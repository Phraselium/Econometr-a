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os" sheetId="1" state="visible" r:id="rId1"/>
    <sheet xmlns:r="http://schemas.openxmlformats.org/officeDocument/2006/relationships" name="magnitudes" sheetId="2" state="visible" r:id="rId2"/>
    <sheet xmlns:r="http://schemas.openxmlformats.org/officeDocument/2006/relationships" name="estimaciones" sheetId="3" state="visible" r:id="rId3"/>
    <sheet xmlns:r="http://schemas.openxmlformats.org/officeDocument/2006/relationships" name="contabil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color rgb="001F4E99"/>
    </font>
    <font>
      <b val="1"/>
      <color rgb="001F4E99"/>
    </font>
    <font>
      <b val="1"/>
      <color rgb="00000000"/>
    </font>
    <font>
      <color rgb="00000000"/>
    </font>
    <font>
      <b val="1"/>
      <color rgb="001E7B34"/>
    </font>
    <font>
      <color rgb="001E7B3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src/v18/f6_documento.py</author>
  </authors>
  <commentList>
    <comment ref="B4" authorId="0" shapeId="0">
      <text>
        <t>Fuente: output/v18/f5/magnitudes_estudios.csv; output/v18/f1/catalogo.csv; docs/v18/plan_replicacion_adenda.md (1.9). Origen: output/v18/f6/hechos.json:V18-B5-E1. Capa C4; clasificación V18: NO ESTIMABLE.</t>
      </text>
    </comment>
    <comment ref="I4" authorId="0" shapeId="0">
      <text>
        <t>Fuente: output/v18/f5/magnitudes.csv (estado_b5, n_unidades_meta, limitacion).</t>
      </text>
    </comment>
    <comment ref="B5" authorId="0" shapeId="0">
      <text>
        <t>Fuente: output/v18/f5/magnitudes_estudios.csv; output/v18/f1/catalogo.csv; docs/v18/plan_replicacion_adenda.md (1.9). Origen: output/v18/f6/hechos.json:V18-B5-E2. Capa C4; clasificación V18: SUGESTIVO.</t>
      </text>
    </comment>
    <comment ref="I5" authorId="0" shapeId="0">
      <text>
        <t>Fuente: output/v18/f5/magnitudes.csv (estado_b5, n_unidades_meta, limitacion).</t>
      </text>
    </comment>
    <comment ref="B6" authorId="0" shapeId="0">
      <text>
        <t>Fuente: output/v18/f5/magnitudes_estudios.csv; output/v18/f1/catalogo.csv; docs/v18/plan_replicacion_adenda.md (1.9). Origen: output/v18/f6/hechos.json:V18-B5-E3. Capa C4; clasificación V18: NO ESTIMABLE.</t>
      </text>
    </comment>
    <comment ref="I6" authorId="0" shapeId="0">
      <text>
        <t>Fuente: output/v18/f5/magnitudes.csv (estado_b5, n_unidades_meta, limitacion).</t>
      </text>
    </comment>
    <comment ref="B7" authorId="0" shapeId="0">
      <text>
        <t>Fuente: output/v18/f5/magnitudes_estudios.csv; output/v18/f1/catalogo.csv; docs/v18/plan_replicacion_adenda.md (1.9). Origen: output/v18/f6/hechos.json:V18-B5-E4. Capa C4; clasificación V18: NO ESTIMABLE.</t>
      </text>
    </comment>
    <comment ref="I7" authorId="0" shapeId="0">
      <text>
        <t>Fuente: output/v18/f5/magnitudes.csv (estado_b5, n_unidades_meta, limitacion).</t>
      </text>
    </comment>
    <comment ref="B8" authorId="0" shapeId="0">
      <text>
        <t>Fuente: output/v18/f5/magnitudes_estudios.csv; output/v18/f1/catalogo.csv; docs/v18/plan_replicacion_adenda.md (1.9). Origen: output/v18/f6/hechos.json:V18-B5-E5. Capa C4; clasificación V18: NO ESTIMABLE.</t>
      </text>
    </comment>
    <comment ref="I8" authorId="0" shapeId="0">
      <text>
        <t>Fuente: output/v18/f5/magnitudes.csv (estado_b5, n_unidades_meta, limitacion).</t>
      </text>
    </comment>
    <comment ref="B9" authorId="0" shapeId="0">
      <text>
        <t>Fuente: output/v18/f5/magnitudes_estudios.csv; output/v18/f1/catalogo.csv; docs/v18/plan_replicacion_adenda.md (1.9). Origen: output/v18/f6/hechos.json:V18-B5-E6. Capa C4; clasificación V18: NO ESTIMABLE.</t>
      </text>
    </comment>
    <comment ref="I9" authorId="0" shapeId="0">
      <text>
        <t>Fuente: output/v18/f5/magnitudes.csv (estado_b5, n_unidades_meta, limitacion).</t>
      </text>
    </comment>
    <comment ref="B10" authorId="0" shapeId="0">
      <text>
        <t>Fuente: output/v18/f5/magnitudes_estudios.csv; output/v18/f1/catalogo.csv; docs/v18/plan_replicacion_adenda.md (1.9). Origen: output/v18/f6/hechos.json:V18-B5-E7. Capa C4; clasificación V18: NO ESTIMABLE.</t>
      </text>
    </comment>
    <comment ref="I10" authorId="0" shapeId="0">
      <text>
        <t>Fuente: output/v18/f5/magnitudes.csv (estado_b5, n_unidades_meta, limitacion).</t>
      </text>
    </comment>
    <comment ref="B11" authorId="0" shapeId="0">
      <text>
        <t>Fuente: output/v18/f5/magnitudes_estudios.csv; output/v18/f1/catalogo.csv; docs/v18/plan_replicacion_adenda.md (1.9). Origen: output/v18/f6/hechos.json:V18-B5-E8. Capa C4; clasificación V18: NO ESTIMABLE.</t>
      </text>
    </comment>
    <comment ref="I11" authorId="0" shapeId="0">
      <text>
        <t>Fuente: output/v18/f5/magnitudes.csv (estado_b5, n_unidades_meta, limitacion).</t>
      </text>
    </comment>
    <comment ref="B12" authorId="0" shapeId="0">
      <text>
        <t>Fuente: output/v18/f5/magnitudes_estudios.csv; output/v18/f1/catalogo.csv; docs/v18/plan_replicacion_adenda.md (1.9). Origen: output/v18/f6/hechos.json:V18-B5-E9. Capa C4; clasificación V18: NO ESTIMABLE.</t>
      </text>
    </comment>
    <comment ref="I12" authorId="0" shapeId="0">
      <text>
        <t>Fuente: output/v18/f5/magnitudes.csv (estado_b5, n_unidades_meta, limitacion).</t>
      </text>
    </comment>
  </commentList>
</comments>
</file>

<file path=xl/comments/comment2.xml><?xml version="1.0" encoding="utf-8"?>
<comments xmlns="http://schemas.openxmlformats.org/spreadsheetml/2006/main">
  <authors>
    <author>src/v18/f6_documento.py</author>
  </authors>
  <commentList>
    <comment ref="A4" authorId="0" shapeId="0">
      <text>
        <t>Fuente: SERPAVI (MIVAU), alquiler mediano por sección, 2011-2024; Ajuntament de Barcelona, registro de viviendas de uso turístico (cortes trimestrales con coordenadas, data/manual/v11); INE, viviendas turísticas (INE-VUT) por sección; Censo 2021 (viviendas por sección); docs/v18/plan_replicacion.md + plan_replicacion_adenda.md (pre-registro interno plan-replicacion-v18); OpenStreetMap (ODbL); Eurostat tour_ce_oan3. Origen: output/v18/f6/hechos.json:V18-E1-A1. Capa C4; clasificación V18: NO ESTIMABLE.</t>
      </text>
    </comment>
    <comment ref="A5" authorId="0" shapeId="0">
      <text>
        <t>Fuente: SERPAVI (MIVAU), alquiler mediano por sección, 2011-2024; Ajuntament de Barcelona, registro de viviendas de uso turístico (cortes trimestrales con coordenadas, data/manual/v11); INE, viviendas turísticas (INE-VUT) por sección; Censo 2021 (viviendas por sección); docs/v18/plan_replicacion.md + plan_replicacion_adenda.md (pre-registro interno plan-replicacion-v18). Origen: output/v18/f6/hechos.json:V18-E1-P-H3. Capa C4; clasificación V18: SUGESTIVO.</t>
      </text>
    </comment>
    <comment ref="A6" authorId="0" shapeId="0">
      <text>
        <t>Fuente: SERPAVI (MIVAU), alquiler mediano por sección, 2011-2024; Ajuntament de Barcelona, registro de viviendas de uso turístico (cortes trimestrales con coordenadas, data/manual/v11); INE, viviendas turísticas (INE-VUT) por sección; Censo 2021 (viviendas por sección); docs/v18/plan_replicacion.md + plan_replicacion_adenda.md (pre-registro interno plan-replicacion-v18). Origen: output/v18/f6/hechos.json:V18-E1-R1. Capa C4; clasificación V18: NO ESTIMABLE.</t>
      </text>
    </comment>
    <comment ref="A7" authorId="0" shapeId="0">
      <text>
        <t>Fuente: SERPAVI (MIVAU), alquiler mediano por sección, 2011-2024; Ajuntament de Barcelona, registro de viviendas de uso turístico (cortes trimestrales con coordenadas, data/manual/v11); INE, viviendas turísticas (INE-VUT) por sección; Censo 2021 (viviendas por sección); docs/v18/plan_replicacion.md + plan_replicacion_adenda.md (pre-registro interno plan-replicacion-v18); OpenStreetMap (ODbL); Google Trends (término «airbnb», ES-CT). Origen: output/v18/f6/hechos.json:V18-E1-R2. Capa C4; clasificación V18: NO ESTIMABLE.</t>
      </text>
    </comment>
    <comment ref="A8" authorId="0" shapeId="0">
      <text>
        <t>Fuente: SERPAVI (MIVAU), alquiler mediano por sección, 2011-2024; Ajuntament de Barcelona, registro de viviendas de uso turístico (cortes trimestrales con coordenadas, data/manual/v11); INE, viviendas turísticas (INE-VUT) por sección; Censo 2021 (viviendas por sección); docs/v18/plan_replicacion.md + plan_replicacion_adenda.md (pre-registro interno plan-replicacion-v18). Origen: output/v18/f6/hechos.json:V18-E1-R3. Capa C4; clasificación V18: ASOCIACIÓN.</t>
      </text>
    </comment>
    <comment ref="A9" authorId="0" shapeId="0">
      <text>
        <t>Fuente: SERPAVI (MIVAU), alquiler mediano por sección, 2011-2024; Ajuntament de Barcelona, registro de viviendas de uso turístico (cortes trimestrales con coordenadas, data/manual/v11); INE, viviendas turísticas (INE-VUT) por sección; Censo 2021 (viviendas por sección); docs/v18/plan_replicacion.md + plan_replicacion_adenda.md (pre-registro interno plan-replicacion-v18). Origen: output/v18/f6/hechos.json:V18-E1-R4. Capa C4; clasificación V18: NO CONCLUYENTE.</t>
      </text>
    </comment>
    <comment ref="A10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output/v18/f6/hechos.json:V18-E10-A1. Capa C4; clasificación V18: ASOCIACIÓN.</t>
      </text>
    </comment>
    <comment ref="A11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output/v18/f6/hechos.json:V18-E10-A1-d. Capa C4; clasificación V18: ASOCIACIÓN.</t>
      </text>
    </comment>
    <comment ref="A12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output/v18/f6/hechos.json:V18-E10-A1-d-v1. Capa C4; clasificación V18: ASOCIACIÓN.</t>
      </text>
    </comment>
    <comment ref="A13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output/v18/f6/hechos.json:V18-E10-A1-d-v2. Capa C4; clasificación V18: ASOCIACIÓN.</t>
      </text>
    </comment>
    <comment ref="A14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output/v18/f6/hechos.json:V18-E10-A1-d-v3. Capa C4; clasificación V18: ASOCIACIÓN.</t>
      </text>
    </comment>
    <comment ref="A15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output/v18/f6/hechos.json:V18-E10-A1-d-v4. Capa C4; clasificación V18: ASOCIACIÓN.</t>
      </text>
    </comment>
    <comment ref="A16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output/v18/f6/hechos.json:V18-E10-A1-d-vF. Capa C4; clasificación V18: ASOCIACIÓN.</t>
      </text>
    </comment>
    <comment ref="A17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output/v18/f6/hechos.json:V18-E10-A1-v1. Capa C4; clasificación V18: ASOCIACIÓN.</t>
      </text>
    </comment>
    <comment ref="A18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output/v18/f6/hechos.json:V18-E10-A1-v2. Capa C4; clasificación V18: ASOCIACIÓN.</t>
      </text>
    </comment>
    <comment ref="A19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output/v18/f6/hechos.json:V18-E10-A1-v3. Capa C4; clasificación V18: ASOCIACIÓN.</t>
      </text>
    </comment>
    <comment ref="A20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output/v18/f6/hechos.json:V18-E10-A1-v4. Capa C4; clasificación V18: ASOCIACIÓN.</t>
      </text>
    </comment>
    <comment ref="A21" authorId="0" shapeId="0">
      <text>
        <t>Fuente: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(V17-AUD-OT-CAT-GT-PARQUE-2026). Origen: output/v18/f6/hechos.json:V18-E10-A1-vF. Capa C4; clasificación V18: ASOCIACIÓN.</t>
      </text>
    </comment>
    <comment ref="A22" authorId="0" shapeId="0">
      <text>
        <t>Fuente: data/raw/mivau_v2_protegida.csv (calificaciones definitivas anuales de vivienda protegida, tabla 1.6, MIVAU); data/raw/mivau_v2_iniciadas_terminadas_prov.csv (viviendas libres iniciadas); data/raw/mivau_parque.csv (parque de viviendas); base:valor_tasado provincial y base:deflactor (E12-A2). Origen: output/v18/f6/hechos.json:V18-E12-A1. Capa C4; clasificación V18: NO ESTIMABLE.</t>
      </text>
    </comment>
    <comment ref="A23" authorId="0" shapeId="0">
      <text>
        <t>Fuente: data/raw/mivau_v2_protegida.csv (calificaciones definitivas anuales de vivienda protegida, tabla 1.6, MIVAU); data/raw/mivau_v2_iniciadas_terminadas_prov.csv (viviendas libres iniciadas); data/raw/mivau_parque.csv (parque de viviendas); base:valor_tasado provincial y base:deflactor (E12-A2). Origen: output/v18/f6/hechos.json:V18-E12-A1-sin-atipicos. Capa C4; clasificación V18: NO ESTIMABLE.</t>
      </text>
    </comment>
    <comment ref="A24" authorId="0" shapeId="0">
      <text>
        <t>Fuente: data/raw/mivau_v2_protegida.csv (calificaciones definitivas anuales de vivienda protegida, tabla 1.6, MIVAU); data/raw/mivau_v2_iniciadas_terminadas_prov.csv (viviendas libres iniciadas); data/raw/mivau_parque.csv (parque de viviendas); base:valor_tasado provincial y base:deflactor (E12-A2). Origen: output/v18/f6/hechos.json:V18-E12-A1-v1. Capa C4; clasificación V18: NO ESTIMABLE.</t>
      </text>
    </comment>
    <comment ref="A25" authorId="0" shapeId="0">
      <text>
        <t>Fuente: data/raw/mivau_v2_protegida.csv (calificaciones definitivas anuales de vivienda protegida, tabla 1.6, MIVAU); data/raw/mivau_v2_iniciadas_terminadas_prov.csv (viviendas libres iniciadas); data/raw/mivau_parque.csv (parque de viviendas); base:valor_tasado provincial y base:deflactor (E12-A2). Origen: output/v18/f6/hechos.json:V18-E12-A1-v2. Capa C4; clasificación V18: NO ESTIMABLE.</t>
      </text>
    </comment>
    <comment ref="A26" authorId="0" shapeId="0">
      <text>
        <t>Fuente: data/raw/mivau_v2_protegida.csv (calificaciones definitivas anuales de vivienda protegida, tabla 1.6, MIVAU); data/raw/mivau_v2_iniciadas_terminadas_prov.csv (viviendas libres iniciadas); data/raw/mivau_parque.csv (parque de viviendas); base:valor_tasado provincial y base:deflactor (E12-A2). Origen: output/v18/f6/hechos.json:V18-E12-A1-v4. Capa C4; clasificación V18: NO ESTIMABLE.</t>
      </text>
    </comment>
    <comment ref="A27" authorId="0" shapeId="0">
      <text>
        <t>Fuente: data/raw/mivau_v2_protegida.csv (calificaciones definitivas anuales de vivienda protegida, tabla 1.6, MIVAU); data/raw/mivau_v2_iniciadas_terminadas_prov.csv (viviendas libres iniciadas); data/raw/mivau_parque.csv (parque de viviendas); base:valor_tasado provincial y base:deflactor (E12-A2). Origen: output/v18/f6/hechos.json:V18-E12-A2. Capa C4; clasificación V18: ASOCIACIÓN.</t>
      </text>
    </comment>
    <comment ref="A28" authorId="0" shapeId="0">
      <text>
        <t>Fuente: data/raw/mivau_v2_protegida.csv (calificaciones definitivas anuales de vivienda protegida, tabla 1.6, MIVAU); data/raw/mivau_v2_iniciadas_terminadas_prov.csv (viviendas libres iniciadas); data/raw/mivau_parque.csv (parque de viviendas); base:valor_tasado provincial y base:deflactor (E12-A2). Origen: output/v18/f6/hechos.json:V18-E12-A2-v1. Capa C4; clasificación V18: ASOCIACIÓN.</t>
      </text>
    </comment>
    <comment ref="A29" authorId="0" shapeId="0">
      <text>
        <t>Fuente: data/raw/mivau_v2_protegida.csv (calificaciones definitivas anuales de vivienda protegida, tabla 1.6, MIVAU); data/raw/mivau_v2_iniciadas_terminadas_prov.csv (viviendas libres iniciadas); data/raw/mivau_parque.csv (parque de viviendas); base:valor_tasado provincial y base:deflactor (E12-A2). Origen: output/v18/f6/hechos.json:V18-E12-A2-v2. Capa C4; clasificación V18: ASOCIACIÓN.</t>
      </text>
    </comment>
    <comment ref="A30" authorId="0" shapeId="0">
      <text>
        <t>Fuente: Incasòl, fianzas (Socrata qww9-bvhh, descarga 2026-10-14); BOE-A-2020-11363 (Ley 11/2020 de Cataluña) y cataluna_contencion_rentas_v3.csv (v3); docs/v18/plan_replicacion.md + plan_replicacion_adenda.md (pre-registro interno plan-replicacion-v18). Origen: output/v18/f6/hechos.json:V18-E2-A1. Capa C4; clasificación V18: NO ESTIMABLE.</t>
      </text>
    </comment>
    <comment ref="A31" authorId="0" shapeId="0">
      <text>
        <t>Fuente: Incasòl, fianzas (Socrata qww9-bvhh, descarga 2026-10-14); BOE-A-2020-11363 (Ley 11/2020 de Cataluña) y cataluna_contencion_rentas_v3.csv (v3); docs/v18/plan_replicacion.md + plan_replicacion_adenda.md (pre-registro interno plan-replicacion-v18); EMAL (Gobierno Vasco). Origen: output/v18/f6/hechos.json:V18-E2-A2. Capa C4; clasificación V18: NO ESTIMABLE.</t>
      </text>
    </comment>
    <comment ref="A32" authorId="0" shapeId="0">
      <text>
        <t>Fuente: Incasòl, fianzas (Socrata qww9-bvhh, descarga 2026-10-14); BOE-A-2020-11363 (Ley 11/2020 de Cataluña) y cataluna_contencion_rentas_v3.csv (v3); docs/v18/plan_replicacion.md + plan_replicacion_adenda.md (pre-registro interno plan-replicacion-v18); MIVAU (compraventas por municipio &gt;25.000 habitantes). Origen: output/v18/f6/hechos.json:V18-E2-A3. Capa C4; clasificación V18: NO ESTIMABLE.</t>
      </text>
    </comment>
    <comment ref="A33" authorId="0" shapeId="0">
      <text>
        <t>Fuente: Incasòl, fianzas (Socrata qww9-bvhh, descarga 2026-10-14); BOE-A-2020-11363 (Ley 11/2020 de Cataluña) y cataluna_contencion_rentas_v3.csv (v3); docs/v18/plan_replicacion.md + plan_replicacion_adenda.md (pre-registro interno plan-replicacion-v18). Origen: output/v18/f6/hechos.json:V18-E2-A4. Capa C4; clasificación V18: NO ESTIMABLE.</t>
      </text>
    </comment>
    <comment ref="A34" authorId="0" shapeId="0">
      <text>
        <t>Fuente: Incasòl, fianzas (Socrata qww9-bvhh, descarga 2026-10-14); BOE-A-2020-11363 (Ley 11/2020 de Cataluña) y cataluna_contencion_rentas_v3.csv (v3); INE, Padrón municipal; IDESCAT (viviendas de uso turístico); INE, Censo 2021 (muestra del 10 %); docs/v18/revision_estimaciones/ronda1_e2_e8.md (ronda 1 del abogado del diablo). Origen: output/v18/f6/hechos.json:V18-E2-B6-A. Capa C4; clasificación V18: SUGESTIVO.</t>
      </text>
    </comment>
    <comment ref="A35" authorId="0" shapeId="0">
      <text>
        <t>Fuente: Incasòl, fianzas (Socrata qww9-bvhh, descarga 2026-10-14); BOE-A-2020-11363 (Ley 11/2020 de Cataluña) y cataluna_contencion_rentas_v3.csv (v3); INE, Padrón municipal; IDESCAT (viviendas de uso turístico); INE, Censo 2021 (muestra del 10 %); docs/v18/revision_estimaciones/ronda1_e2_e8.md (ronda 1 del abogado del diablo). Origen: output/v18/f6/hechos.json:V18-E2-B6-B. Capa C4; clasificación V18: SUGESTIVO.</t>
      </text>
    </comment>
    <comment ref="A36" authorId="0" shapeId="0">
      <text>
        <t>Fuente: Incasòl, fianzas (Socrata qww9-bvhh, descarga 2026-10-14); BOE-A-2020-11363 (Ley 11/2020 de Cataluña) y cataluna_contencion_rentas_v3.csv (v3); INE, Padrón municipal; IDESCAT (viviendas de uso turístico); INE, Censo 2021 (muestra del 10 %); docs/v18/revision_estimaciones/ronda1_e2_e8.md (ronda 1 del abogado del diablo). Origen: output/v18/f6/hechos.json:V18-E2-B6-C. Capa C4; clasificación V18: SUGESTIVO.</t>
      </text>
    </comment>
    <comment ref="A37" authorId="0" shapeId="0">
      <text>
        <t>Fuente: Incasòl, fianzas (Socrata qww9-bvhh, descarga 2026-10-14); BOE-A-2020-11363 (Ley 11/2020 de Cataluña) y cataluna_contencion_rentas_v3.csv (v3); INE, Padrón municipal; IDESCAT (viviendas de uso turístico); INE, Censo 2021 (muestra del 10 %); docs/v18/revision_estimaciones/ronda1_e2_e8.md (ronda 1 del abogado del diablo). Origen: output/v18/f6/hechos.json:V18-E2-B6-D. Capa C4; clasificación V18: SUGESTIVO.</t>
      </text>
    </comment>
    <comment ref="A38" authorId="0" shapeId="0">
      <text>
        <t>Fuente: Incasòl, fianzas (Socrata qww9-bvhh, descarga 2026-10-14); BOE-A-2020-11363 (Ley 11/2020 de Cataluña) y cataluna_contencion_rentas_v3.csv (v3); INE, Padrón municipal; IDESCAT (viviendas de uso turístico); INE, Censo 2021 (muestra del 10 %); docs/v18/revision_estimaciones/ronda1_e2_e8.md (ronda 1 del abogado del diablo). Origen: output/v18/f6/hechos.json:V18-E2-B6-R1CV1. Capa C4; clasificación V18: ASOCIACIÓN.</t>
      </text>
    </comment>
    <comment ref="A39" authorId="0" shapeId="0">
      <text>
        <t>Fuente: Incasòl, fianzas (Socrata qww9-bvhh, descarga 2026-10-14); BOE-A-2020-11363 (Ley 11/2020 de Cataluña) y cataluna_contencion_rentas_v3.csv (v3); docs/v18/plan_replicacion.md + plan_replicacion_adenda.md (pre-registro interno plan-replicacion-v18). Origen: output/v18/f6/hechos.json:V18-E2-R1. Capa C4; clasificación V18: SUGESTIVO.</t>
      </text>
    </comment>
    <comment ref="A40" authorId="0" shapeId="0">
      <text>
        <t>Fuente: Incasòl, fianzas (Socrata qww9-bvhh, descarga 2026-10-14); BOE-A-2020-11363 (Ley 11/2020 de Cataluña) y cataluna_contencion_rentas_v3.csv (v3); docs/v18/plan_replicacion.md + plan_replicacion_adenda.md (pre-registro interno plan-replicacion-v18). Origen: output/v18/f6/hechos.json:V18-E2-R1-REV. Capa C4; clasificación V18: SUGESTIVO.</t>
      </text>
    </comment>
    <comment ref="A41" authorId="0" shapeId="0">
      <text>
        <t>Fuente: Incasòl, fianzas (Socrata qww9-bvhh, descarga 2026-10-14); BOE-A-2020-11363 (Ley 11/2020 de Cataluña) y cataluna_contencion_rentas_v3.csv (v3); docs/v18/plan_replicacion.md + plan_replicacion_adenda.md (pre-registro interno plan-replicacion-v18). Origen: output/v18/f6/hechos.json:V18-E2-R1c. Capa C4; clasificación V18: ASOCIACIÓN.</t>
      </text>
    </comment>
    <comment ref="A42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output/v18/f6/hechos.json:V18-E3-1HHI. Capa C4; clasificación V18: NO CONCLUYENTE.</t>
      </text>
    </comment>
    <comment ref="A43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output/v18/f6/hechos.json:V18-E3-A1-MDE80. Capa C4; clasificación V18: NO ESTIMABLE.</t>
      </text>
    </comment>
    <comment ref="A44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output/v18/f6/hechos.json:V18-E3-A2-MDE80. Capa C4; clasificación V18: NO ESTIMABLE.</t>
      </text>
    </comment>
    <comment ref="A45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output/v18/f6/hechos.json:V18-E3-A5-MDE80. Capa C4; clasificación V18: NO ESTIMABLE.</t>
      </text>
    </comment>
    <comment ref="A46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output/v18/f6/hechos.json:V18-E3-R1-F. Capa C4; clasificación V18: NO CONCLUYENTE.</t>
      </text>
    </comment>
    <comment ref="A47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output/v18/f6/hechos.json:V18-E3-R1-MDE80. Capa C4; clasificación V18: NO CONCLUYENTE.</t>
      </text>
    </comment>
    <comment ref="A48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output/v18/f6/hechos.json:V18-E3-R1-beta. Capa C4; clasificación V18: NO CONCLUYENTE.</t>
      </text>
    </comment>
    <comment ref="A49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output/v18/f6/hechos.json:V18-E3-R2-MDE80. Capa C4; clasificación V18: NO ESTIMABLE.</t>
      </text>
    </comment>
    <comment ref="A50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output/v18/f6/hechos.json:V18-E3-R2b-MDE80. Capa C4; clasificación V18: NO ESTIMABLE.</t>
      </text>
    </comment>
    <comment ref="A51" authorId="0" shapeId="0">
      <text>
        <t>Fuente: Eurostat cens_01rsctz (Censo 2001, INE); Eurostat migr_imm1ctz (INE); MIVAU valor tasado e iniciadas; base del proyecto: pob_extranj, pob_total; Eurostat demo_r_pjanaggr3 y nama_10r_3empers (INE). Origen: output/v18/f6/hechos.json:V18-E3-R2q-MDE80. Capa C4; clasificación V18: NO ESTIMABLE.</t>
      </text>
    </comment>
    <comment ref="A52" authorId="0" shapeId="0">
      <text>
        <t>Fuente: MIVAU valor tasado e iniciadas; Eurostat nama_10r_3empers (INE); deflactor del proyecto. Origen: output/v18/f6/hechos.json:V18-E5-1HHI. Capa C4; clasificación V18: NO ESTIMABLE.</t>
      </text>
    </comment>
    <comment ref="A53" authorId="0" shapeId="0">
      <text>
        <t>Fuente: MIVAU valor tasado e iniciadas; Eurostat nama_10r_3empers (INE); deflactor del proyecto. Origen: output/v18/f6/hechos.json:V18-E5-A1-MDE80. Capa C4; clasificación V18: ASOCIACIÓN.</t>
      </text>
    </comment>
    <comment ref="A54" authorId="0" shapeId="0">
      <text>
        <t>Fuente: MIVAU valor tasado e iniciadas; Eurostat nama_10r_3empers (INE); deflactor del proyecto. Origen: output/v18/f6/hechos.json:V18-E5-A1-psi. Capa C4; clasificación V18: ASOCIACIÓN.</t>
      </text>
    </comment>
    <comment ref="A55" authorId="0" shapeId="0">
      <text>
        <t>Fuente: MIVAU valor tasado e iniciadas; Eurostat nama_10r_3empers (INE); deflactor del proyecto. Origen: output/v18/f6/hechos.json:V18-E5-R1-F. Capa C4; clasificación V18: NO ESTIMABLE.</t>
      </text>
    </comment>
    <comment ref="A56" authorId="0" shapeId="0">
      <text>
        <t>Fuente: MIVAU valor tasado e iniciadas; Eurostat nama_10r_3empers (INE); deflactor del proyecto. Origen: output/v18/f6/hechos.json:V18-E5-R1-F-2002-2007. Capa C4; clasificación V18: NO ESTIMABLE.</t>
      </text>
    </comment>
    <comment ref="A57" authorId="0" shapeId="0">
      <text>
        <t>Fuente: MIVAU valor tasado e iniciadas; Eurostat nama_10r_3empers (INE); deflactor del proyecto. Origen: output/v18/f6/hechos.json:V18-E5-R1-F-2002-2023. Capa C4; clasificación V18: NO ESTIMABLE.</t>
      </text>
    </comment>
    <comment ref="A58" authorId="0" shapeId="0">
      <text>
        <t>Fuente: MIVAU valor tasado e iniciadas; Eurostat nama_10r_3empers (INE); deflactor del proyecto. Origen: output/v18/f6/hechos.json:V18-E5-R1-F-2008-2013. Capa C4; clasificación V18: NO ESTIMABLE.</t>
      </text>
    </comment>
    <comment ref="A59" authorId="0" shapeId="0">
      <text>
        <t>Fuente: MIVAU valor tasado e iniciadas; Eurostat nama_10r_3empers (INE); deflactor del proyecto. Origen: output/v18/f6/hechos.json:V18-E5-R1-F-2014-2023. Capa C4; clasificación V18: NO ESTIMABLE.</t>
      </text>
    </comment>
    <comment ref="A60" authorId="0" shapeId="0">
      <text>
        <t>Fuente: Catastro (DGC), INSPIRE Buildings de la provincia de València (descarga de 2026-08-21, reutilización con reconocimiento); SERPAVI (MIVAU), alquiler mediano por sección, 2011-2024; docs/v18/plan_replicacion.md + plan_replicacion_adenda.md (pre-registro interno plan-replicacion-v18). Origen: output/v18/f6/hechos.json:V18-E6-A1. Capa C4; clasificación V18: NO ESTIMABLE.</t>
      </text>
    </comment>
    <comment ref="A61" authorId="0" shapeId="0">
      <text>
        <t>Fuente: Catastro (DGC), INSPIRE Buildings de la provincia de València (descarga de 2026-08-21, reutilización con reconocimiento); SERPAVI (MIVAU), alquiler mediano por sección, 2011-2024; docs/v18/plan_replicacion.md + plan_replicacion_adenda.md (pre-registro interno plan-replicacion-v18). Origen: output/v18/f6/hechos.json:V18-E6-R1. Capa C4; clasificación V18: NO ESTIMABLE.</t>
      </text>
    </comment>
    <comment ref="A62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output/v18/f6/hechos.json:V18-E7-A1. Capa C4; clasificación V18: ASOCIACIÓN.</t>
      </text>
    </comment>
    <comment ref="A63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output/v18/f6/hechos.json:V18-E7-A1-cv. Capa C4; clasificación V18: ASOCIACIÓN.</t>
      </text>
    </comment>
    <comment ref="A64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output/v18/f6/hechos.json:V18-E7-A1-v1. Capa C4; clasificación V18: ASOCIACIÓN.</t>
      </text>
    </comment>
    <comment ref="A65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output/v18/f6/hechos.json:V18-E7-A1-v1-cv. Capa C4; clasificación V18: ASOCIACIÓN.</t>
      </text>
    </comment>
    <comment ref="A66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output/v18/f6/hechos.json:V18-E7-A1-v1-vis. Capa C4; clasificación V18: ASOCIACIÓN.</t>
      </text>
    </comment>
    <comment ref="A67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output/v18/f6/hechos.json:V18-E7-A1-vis. Capa C4; clasificación V18: ASOCIACIÓN.</t>
      </text>
    </comment>
    <comment ref="A68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output/v18/f6/hechos.json:V18-E7-A2. Capa C4; clasificación V18: NO ESTIMABLE.</t>
      </text>
    </comment>
    <comment ref="A69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output/v18/f6/hechos.json:V18-E7-A2-h12. Capa C4; clasificación V18: NO ESTIMABLE.</t>
      </text>
    </comment>
    <comment ref="A70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output/v18/f6/hechos.json:V18-E7-A2-h4. Capa C4; clasificación V18: NO ESTIMABLE.</t>
      </text>
    </comment>
    <comment ref="A71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output/v18/f6/hechos.json:V18-E7-A2-v2. Capa C4; clasificación V18: NO ESTIMABLE.</t>
      </text>
    </comment>
    <comment ref="A72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output/v18/f6/hechos.json:V18-E7-A2-v3. Capa C4; clasificación V18: NO ESTIMABLE.</t>
      </text>
    </comment>
    <comment ref="A73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output/v18/f6/hechos.json:V18-E7-R1. Capa C4; clasificación V18: NO ESTIMABLE.</t>
      </text>
    </comment>
    <comment ref="A74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output/v18/f6/hechos.json:V18-E7-R1-alq. Capa C4; clasificación V18: NO ESTIMABLE.</t>
      </text>
    </comment>
    <comment ref="A75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output/v18/f6/hechos.json:V18-E7-R1-cv. Capa C4; clasificación V18: NO ESTIMABLE.</t>
      </text>
    </comment>
    <comment ref="A76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output/v18/f6/hechos.json:V18-E7-R1-ipv. Capa C4; clasificación V18: NO ESTIMABLE.</t>
      </text>
    </comment>
    <comment ref="A77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output/v18/f6/hechos.json:V18-E7-R1-v1. Capa C4; clasificación V18: NO ESTIMABLE.</t>
      </text>
    </comment>
    <comment ref="A78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output/v18/f6/hechos.json:V18-E7-R1-v3. Capa C4; clasificación V18: NO ESTIMABLE.</t>
      </text>
    </comment>
    <comment ref="A79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output/v18/f6/hechos.json:V18-E7-R1-v5. Capa C4; clasificación V18: NO ESTIMABLE.</t>
      </text>
    </comment>
    <comment ref="A80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output/v18/f6/hechos.json:V18-E7-R1-v6. Capa C4; clasificación V18: NO ESTIMABLE.</t>
      </text>
    </comment>
    <comment ref="A81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output/v18/f6/hechos.json:V18-E7-R1-v7. Capa C4; clasificación V18: NO ESTIMABLE.</t>
      </text>
    </comment>
    <comment ref="A82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output/v18/f6/hechos.json:V18-E7-R1-v8. Capa C4; clasificación V18: NO ESTIMABLE.</t>
      </text>
    </comment>
    <comment ref="A83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output/v18/f6/hechos.json:V18-E7-R1-v9. Capa C4; clasificación V18: NO ESTIMABLE.</t>
      </text>
    </comment>
    <comment ref="A84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output/v18/f6/hechos.json:V18-E7-R2. Capa C4; clasificación V18: NO ESTIMABLE.</t>
      </text>
    </comment>
    <comment ref="A85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output/v18/f6/hechos.json:V18-E7-R2-v1. Capa C4; clasificación V18: NO ESTIMABLE.</t>
      </text>
    </comment>
    <comment ref="A86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output/v18/f6/hechos.json:V18-E7-R2-v3. Capa C4; clasificación V18: NO ESTIMABLE.</t>
      </text>
    </comment>
    <comment ref="A87" authorId="0" shapeId="0">
      <text>
        <t>Fuente: data/bib/replicacion/jarocinski_karadi2020/shocks_ecb_mpd_me_m.csv (Jarociński y Karadi 2020, actualizado con EA-MPD de Altavilla et al. 2019); base:p_tasado (MIVAU) y base:deflactor hasta 2026T2; base:tipo_hip_bde y base:euribor_1y hasta 2026T2; base:pib_vol_idx y base:inflacion_ipc_yoy hasta 2026T2. Origen: output/v18/f6/hechos.json:V18-E7-R2-v4. Capa C4; clasificación V18: NO ESTIMABLE.</t>
      </text>
    </comment>
    <comment ref="A88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output/v18/f6/hechos.json:V18-E7-R3. Capa C4; clasificación V18: ASOCIACIÓN.</t>
      </text>
    </comment>
    <comment ref="A89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output/v18/f6/hechos.json:V18-E7-R3-cv. Capa C4; clasificación V18: ASOCIACIÓN.</t>
      </text>
    </comment>
    <comment ref="A90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output/v18/f6/hechos.json:V18-E7-R3-v1. Capa C4; clasificación V18: ASOCIACIÓN.</t>
      </text>
    </comment>
    <comment ref="A91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output/v18/f6/hechos.json:V18-E7-R3-v1-cv. Capa C4; clasificación V18: ASOCIACIÓN.</t>
      </text>
    </comment>
    <comment ref="A92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output/v18/f6/hechos.json:V18-E7-R3-v1-vis. Capa C4; clasificación V18: ASOCIACIÓN.</t>
      </text>
    </comment>
    <comment ref="A93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output/v18/f6/hechos.json:V18-E7-R3-v2. Capa C4; clasificación V18: ASOCIACIÓN.</t>
      </text>
    </comment>
    <comment ref="A94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output/v18/f6/hechos.json:V18-E7-R3-v2-cv. Capa C4; clasificación V18: ASOCIACIÓN.</t>
      </text>
    </comment>
    <comment ref="A95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output/v18/f6/hechos.json:V18-E7-R3-v2-vis. Capa C4; clasificación V18: ASOCIACIÓN.</t>
      </text>
    </comment>
    <comment ref="A96" authorId="0" shapeId="0">
      <text>
        <t>Fuente: base:compraventas (INE ETDP) hasta 2026T2; base:p_tasado nominal (MIVAU) hasta 2026T2; base:visados (Fomento) hasta 2026T2: faltan 2016T2 y 2017T2; base:pib_vol_idx hasta 2026T2; base:inflacion_ipc_yoy hasta 2026T2; base:euribor_1y hasta 2026T2; base:credito_nuevo (flujo, no saldo) hasta 2026T2. Origen: output/v18/f6/hechos.json:V18-E7-R3-vis. Capa C4; clasificación V18: ASOCIACIÓN.</t>
      </text>
    </comment>
    <comment ref="A97" authorId="0" shapeId="0">
      <text>
        <t>Fuente: intervenciones.csv de V16 (tipos generales del ITP, memorias del Ministerio de Hacienda: fuente secundaria, fechas sin contraste con el BOE); MIVAU, valor tasado de vivienda libre por provincia; docs/v18/plan_replicacion.md + plan_replicacion_adenda.md (pre-registro interno plan-replicacion-v18). Origen: output/v18/f6/hechos.json:V18-E8-A2. Capa C4; clasificación V18: NO ESTIMABLE.</t>
      </text>
    </comment>
    <comment ref="A98" authorId="0" shapeId="0">
      <text>
        <t>Fuente: intervenciones.csv de V16 (tipos generales del ITP, memorias del Ministerio de Hacienda: fuente secundaria, fechas sin contraste con el BOE); MIVAU, valor tasado de vivienda libre por provincia; docs/v18/plan_replicacion.md + plan_replicacion_adenda.md (pre-registro interno plan-replicacion-v18). Origen: output/v18/f6/hechos.json:V18-E8-R1. Capa C4; clasificación V18: ASOCIACIÓN.</t>
      </text>
    </comment>
    <comment ref="A99" authorId="0" shapeId="0">
      <text>
        <t>Fuente: intervenciones.csv de V16 (tipos generales del ITP, memorias del Ministerio de Hacienda: fuente secundaria, fechas sin contraste con el BOE); MIVAU, valor tasado de vivienda libre por provincia; docs/v18/plan_replicacion.md + plan_replicacion_adenda.md (pre-registro interno plan-replicacion-v18). Origen: output/v18/f6/hechos.json:V18-E8-R2. Capa C4; clasificación V18: NO ESTIMABLE.</t>
      </text>
    </comment>
    <comment ref="A100" authorId="0" shapeId="0">
      <text>
        <t>Fuente: Padrón por nacionalidad 2003 (INE); Eurostat eu_hpi; OCDE house prices. Origen: output/v18/f6/hechos.json:V18-E9-1HHI-origenes. Capa C4; clasificación V18: NO ESTIMABLE.</t>
      </text>
    </comment>
    <comment ref="A101" authorId="0" shapeId="0">
      <text>
        <t>Fuente: Padrón por nacionalidad 2003 (INE); Eurostat eu_hpi; OCDE house prices. Origen: output/v18/f6/hechos.json:V18-E9-1HHI-pesos-poblacion. Capa C4; clasificación V18: NO ESTIMABLE.</t>
      </text>
    </comment>
    <comment ref="A102" authorId="0" shapeId="0">
      <text>
        <t>Fuente: Padrón por nacionalidad 2003 (INE); Eurostat eu_hpi; OCDE house prices. Origen: output/v18/f6/hechos.json:V18-E9-1HHI-todos-paises. Capa C4; clasificación V18: NO ESTIMABLE.</t>
      </text>
    </comment>
    <comment ref="A103" authorId="0" shapeId="0">
      <text>
        <t>Fuente: base:valor_tasado provincial anual (MIVAU) hasta 2024; data/raw/ine_v2_cre.csv (PIB provincial, sustituto de la renta de los hogares); base:parados_epa y base:ocupados_epa provinciales (INE EPA) hasta 2024; base:pob_total provincial (INE ECP) hasta 2024; base:tipo_hip_bde nacional; data/raw/mivau_parque.csv (parque de viviendas provincial); base:deflactor nacional. Origen: output/v18/f6/hechos.json:V18-F1-A1. Capa C4; clasificación V18: ASOCIACIÓN.</t>
      </text>
    </comment>
    <comment ref="A104" authorId="0" shapeId="0">
      <text>
        <t>Fuente: base:p_tasado (MIVAU, valor tasado nacional) hasta 2026T2; base:deflactor hasta 2026T2; base:renta_hog_real (INE CNT; cálculo propio) hasta 2026T2; base:tipo_hip_real_bde hasta 2026T2; base:pob_total (INE ECP; 44 trimestres interpolados 1999-2020). Origen: output/v18/f6/hechos.json:V18-F1-A2. Capa C4; clasificación V18: ASOCIACIÓN.</t>
      </text>
    </comment>
    <comment ref="A105" authorId="0" shapeId="0">
      <text>
        <t>Fuente: base:p_tasado (MIVAU, valor tasado nacional) hasta 2026T2; base:deflactor hasta 2026T2; base:renta_hog_real (INE CNT; cálculo propio) hasta 2026T2; base:tipo_hip_real_bde hasta 2026T2; base:pob_total (INE ECP; 44 trimestres interpolados 1999-2020). Origen: output/v18/f6/hechos.json:V18-F1-A2-v1. Capa C4; clasificación V18: ASOCIACIÓN.</t>
      </text>
    </comment>
    <comment ref="A106" authorId="0" shapeId="0">
      <text>
        <t>Fuente: base:p_tasado (MIVAU, valor tasado nacional) hasta 2026T2; base:deflactor hasta 2026T2; base:renta_hog_real (INE CNT; cálculo propio) hasta 2026T2; base:tipo_hip_real_bde hasta 2026T2; base:pob_total (INE ECP; 44 trimestres interpolados 1999-2020). Origen: output/v18/f6/hechos.json:V18-F1-A2-v2. Capa C4; clasificación V18: ASOCIACIÓN.</t>
      </text>
    </comment>
    <comment ref="A107" authorId="0" shapeId="0">
      <text>
        <t>Fuente: base:p_tasado (MIVAU, valor tasado nacional) hasta 2026T2; base:deflactor hasta 2026T2; base:renta_hog_real (INE CNT; cálculo propio) hasta 2026T2; base:tipo_hip_real_bde hasta 2026T2; base:pob_total (INE ECP; 44 trimestres interpolados 1999-2020). Origen: output/v18/f6/hechos.json:V18-F1-R1. Capa C4; clasificación V18: ASOCIACIÓN.</t>
      </text>
    </comment>
    <comment ref="A108" authorId="0" shapeId="0">
      <text>
        <t>Fuente: base:p_tasado (MIVAU, valor tasado nacional) hasta 2026T2; base:deflactor hasta 2026T2; base:renta_hog_real (INE CNT; cálculo propio) hasta 2026T2; base:tipo_hip_real_bde hasta 2026T2; base:pob_total (INE ECP; 44 trimestres interpolados 1999-2020). Origen: output/v18/f6/hechos.json:V18-F1-R1-v2. Capa C4; clasificación V18: ASOCIACIÓN.</t>
      </text>
    </comment>
    <comment ref="A109" authorId="0" shapeId="0">
      <text>
        <t>Fuente: base:p_tasado (MIVAU, valor tasado nacional) hasta 2026T2; base:deflactor hasta 2026T2; base:renta_hog_real (INE CNT; cálculo propio) hasta 2026T2; base:tipo_hip_real_bde hasta 2026T2; base:pob_total (INE ECP; 44 trimestres interpolados 1999-2020). Origen: output/v18/f6/hechos.json:V18-F1-R1-v3. Capa C4; clasificación V18: ASOCIACIÓN.</t>
      </text>
    </comment>
    <comment ref="A110" authorId="0" shapeId="0">
      <text>
        <t>Fuente: base:p_tasado (MIVAU, valor tasado nacional) hasta 2026T2; base:deflactor hasta 2026T2; base:renta_hog_real (INE CNT; cálculo propio) hasta 2026T2; base:tipo_hip_real_bde hasta 2026T2; base:pob_total (INE ECP; 44 trimestres interpolados 1999-2020). Origen: output/v18/f6/hechos.json:V18-F1-R1-v4. Capa C4; clasificación V18: ASOCIACIÓN.</t>
      </text>
    </comment>
    <comment ref="A111" authorId="0" shapeId="0">
      <text>
        <t>Fuente: base:p_tasado (MIVAU, valor tasado nacional) hasta 2026T2; base:deflactor hasta 2026T2; base:renta_hog_real (INE CNT; cálculo propio) hasta 2026T2; base:tipo_hip_real_bde hasta 2026T2; base:pob_total (INE ECP; 44 trimestres interpolados 1999-2020). Origen: output/v18/f6/hechos.json:V18-F1-R1-v5. Capa C4; clasificación V18: ASOCIACIÓN.</t>
      </text>
    </comment>
    <comment ref="A112" authorId="0" shapeId="0">
      <text>
        <t>Fuente: base:valor_tasado provincial anual (MIVAU) hasta 2024; data/raw/ine_v2_cre.csv (PIB provincial, sustituto de la renta de los hogares); base:parados_epa y base:ocupados_epa provinciales (INE EPA) hasta 2024; base:pob_total provincial (INE ECP) hasta 2024; base:tipo_hip_bde nacional; data/raw/mivau_parque.csv (parque de viviendas provincial); base:deflactor nacional. Origen: output/v18/f6/hechos.json:V18-F1-R2-pmg. Capa C4; clasificación V18: ASOCIACIÓN.</t>
      </text>
    </comment>
    <comment ref="A113" authorId="0" shapeId="0">
      <text>
        <t>Fuente: base:valor_tasado; base:serpavi_alquiler_m2_mediana (tipologia=VC); base:tipo_hip_real_bde. Origen: output/v18/f6/hechos.json:V18-F2-A2. Capa C4; clasificación V18: ASOCIACIÓN.</t>
      </text>
    </comment>
    <comment ref="A114" authorId="0" shapeId="0">
      <text>
        <t>Fuente: base:valor_tasado; base:serpavi_alquiler_m2_mediana (tipologia=VC); base:tipo_hip_real_bde. Origen: output/v18/f6/hechos.json:V18-F2-A2-v1. Capa C4; clasificación V18: ASOCIACIÓN.</t>
      </text>
    </comment>
    <comment ref="A115" authorId="0" shapeId="0">
      <text>
        <t>Fuente: base:valor_tasado; base:serpavi_alquiler_m2_mediana (tipologia=VC); base:tipo_hip_real_bde. Origen: output/v18/f6/hechos.json:V18-F2-A2-v2. Capa C4; clasificación V18: ASOCIACIÓN.</t>
      </text>
    </comment>
    <comment ref="A116" authorId="0" shapeId="0">
      <text>
        <t>Fuente: base:valor_tasado provincial anual (MIVAU) hasta 2024; data/raw/ine_v2_cre.csv (PIB provincial, sustituto de la renta de los hogares); base:parados_epa y base:ocupados_epa provinciales (INE EPA) hasta 2024; base:pob_total provincial (INE ECP) hasta 2024; base:tipo_hip_bde nacional; data/raw/mivau_parque.csv (parque de viviendas provincial); base:deflactor nacional. Origen: output/v18/f6/hechos.json:V18-F2-R1. Capa C4; clasificación V18: ASOCIACIÓN.</t>
      </text>
    </comment>
    <comment ref="A117" authorId="0" shapeId="0">
      <text>
        <t>Fuente: base:valor_tasado provincial anual (MIVAU) hasta 2024; data/raw/ine_v2_cre.csv (PIB provincial, sustituto de la renta de los hogares); base:parados_epa y base:ocupados_epa provinciales (INE EPA) hasta 2024; base:pob_total provincial (INE ECP) hasta 2024; base:tipo_hip_bde nacional; data/raw/mivau_parque.csv (parque de viviendas provincial); base:deflactor nacional. Origen: output/v18/f6/hechos.json:V18-F2-R1-v1. Capa C4; clasificación V18: ASOCIACIÓN.</t>
      </text>
    </comment>
    <comment ref="A118" authorId="0" shapeId="0">
      <text>
        <t>Fuente: base:valor_tasado provincial anual (MIVAU) hasta 2024; data/raw/ine_v2_cre.csv (PIB provincial, sustituto de la renta de los hogares); base:parados_epa y base:ocupados_epa provinciales (INE EPA) hasta 2024; base:pob_total provincial (INE ECP) hasta 2024; base:tipo_hip_bde nacional; data/raw/mivau_parque.csv (parque de viviendas provincial); base:deflactor nacional. Origen: output/v18/f6/hechos.json:V18-F2-R1-v2. Capa C4; clasificación V18: ASOCIACIÓN.</t>
      </text>
    </comment>
    <comment ref="A119" authorId="0" shapeId="0">
      <text>
        <t>Fuente: data/raw/mivau_v2_iniciadas_terminadas_prov.csv; base:valor_tasado_ccaa; base:costes_constr. Origen: output/v18/f6/hechos.json:V18-F3-A1. Capa C4; clasificación V18: ASOCIACIÓN.</t>
      </text>
    </comment>
    <comment ref="A120" authorId="0" shapeId="0">
      <text>
        <t>Fuente: data/raw/mivau_v2_iniciadas_terminadas_prov.csv; base:valor_tasado_ccaa; base:costes_constr. Origen: output/v18/f6/hechos.json:V18-F3-A1-v1. Capa C4; clasificación V18: ASOCIACIÓN.</t>
      </text>
    </comment>
    <comment ref="A121" authorId="0" shapeId="0">
      <text>
        <t>Fuente: data/raw/mivau_v2_iniciadas_terminadas_prov.csv; base:valor_tasado_ccaa; base:costes_constr. Origen: output/v18/f6/hechos.json:V18-F3-A1-v2. Capa C4; clasificación V18: ASOCIACIÓN.</t>
      </text>
    </comment>
    <comment ref="A122" authorId="0" shapeId="0">
      <text>
        <t>Fuente: base:valor_tasado provincial anual (MIVAU) hasta 2024; data/raw/ine_v2_cre.csv (PIB provincial, sustituto de la renta de los hogares); base:parados_epa y base:ocupados_epa provinciales (INE EPA) hasta 2024; base:pob_total provincial (INE ECP) hasta 2024; base:tipo_hip_bde nacional; data/raw/mivau_parque.csv (parque de viviendas provincial); base:deflactor nacional. Origen: output/v18/f6/hechos.json:V18-F3-A2. Capa C4; clasificación V18: ASOCIACIÓN.</t>
      </text>
    </comment>
    <comment ref="A123" authorId="0" shapeId="0">
      <text>
        <t>Fuente: base:valor_tasado provincial anual (MIVAU) hasta 2024; data/raw/ine_v2_cre.csv (PIB provincial, sustituto de la renta de los hogares); base:parados_epa y base:ocupados_epa provinciales (INE EPA) hasta 2024; base:pob_total provincial (INE ECP) hasta 2024; base:tipo_hip_bde nacional; data/raw/mivau_parque.csv (parque de viviendas provincial); base:deflactor nacional. Origen: output/v18/f6/hechos.json:V18-F3-A2-v1. Capa C4; clasificación V18: ASOCIACIÓN.</t>
      </text>
    </comment>
    <comment ref="A124" authorId="0" shapeId="0">
      <text>
        <t>Fuente: base:valor_tasado provincial anual (MIVAU) hasta 2024; data/raw/ine_v2_cre.csv (PIB provincial, sustituto de la renta de los hogares); base:parados_epa y base:ocupados_epa provinciales (INE EPA) hasta 2024; base:pob_total provincial (INE ECP) hasta 2024; base:tipo_hip_bde nacional; data/raw/mivau_parque.csv (parque de viviendas provincial); base:deflactor nacional. Origen: output/v18/f6/hechos.json:V18-F3-A2-v2. Capa C4; clasificación V18: ASOCIACIÓN.</t>
      </text>
    </comment>
    <comment ref="A125" authorId="0" shapeId="0">
      <text>
        <t>Fuente: data/raw/mivau_v2_iniciadas_terminadas_prov.csv; base:valor_tasado_ccaa; base:costes_constr. Origen: output/v18/f6/hechos.json:V18-F3-R1. Capa C4; clasificación V18: ASOCIACIÓN.</t>
      </text>
    </comment>
    <comment ref="A126" authorId="0" shapeId="0">
      <text>
        <t>Fuente: data/raw/mivau_v2_iniciadas_terminadas_prov.csv; base:valor_tasado_ccaa; base:costes_constr. Origen: output/v18/f6/hechos.json:V18-F3-R1-v1. Capa C4; clasificación V18: ASOCIACIÓN.</t>
      </text>
    </comment>
    <comment ref="A127" authorId="0" shapeId="0">
      <text>
        <t>Fuente: data/raw/mivau_v2_iniciadas_terminadas_prov.csv; base:valor_tasado_ccaa; base:costes_constr. Origen: output/v18/f6/hechos.json:V18-F3-R1-v2. Capa C4; clasificación V18: ASOCIACIÓN.</t>
      </text>
    </comment>
  </commentList>
</comments>
</file>

<file path=xl/comments/comment3.xml><?xml version="1.0" encoding="utf-8"?>
<comments xmlns="http://schemas.openxmlformats.org/spreadsheetml/2006/main">
  <authors>
    <author>src/v18/f6_documento.py</author>
  </authors>
  <commentList>
    <comment ref="A4" authorId="0" shapeId="0">
      <text>
        <t>Fuente: output/v18/f5/contabilidad.csv; data/base/hechos.parquet (valor tasado, IPC de alquiler, deflactor). Origen: output/v18/f6/hechos.json:V18-C5-1995T1-2007T4-00-NOEXPL-A. Capa C4; clasificación V18: NO ESTIMABLE.</t>
      </text>
    </comment>
    <comment ref="A5" authorId="0" shapeId="0">
      <text>
        <t>Fuente: output/v18/f5/contabilidad.csv; data/base/hechos.parquet (valor tasado, IPC de alquiler, deflactor). Origen: output/v18/f6/hechos.json:V18-C5-1995T1-2007T4-00-NOEXPL-P. Capa C4; clasificación V18: NO ESTIMABLE.</t>
      </text>
    </comment>
    <comment ref="A6" authorId="0" shapeId="0">
      <text>
        <t>Fuente: output/v18/f5/contabilidad.csv; data/base/hechos.parquet (valor tasado, IPC de alquiler, deflactor). Origen: output/v18/f6/hechos.json:V18-C5-1995T1-2007T4-01-NOEXPL-A. Capa C4; clasificación V18: NO ESTIMABLE.</t>
      </text>
    </comment>
    <comment ref="A7" authorId="0" shapeId="0">
      <text>
        <t>Fuente: output/v18/f5/contabilidad.csv; data/base/hechos.parquet (valor tasado, IPC de alquiler, deflactor). Origen: output/v18/f6/hechos.json:V18-C5-1995T1-2007T4-01-NOEXPL-P. Capa C4; clasificación V18: NO ESTIMABLE.</t>
      </text>
    </comment>
    <comment ref="A8" authorId="0" shapeId="0">
      <text>
        <t>Fuente: output/v18/f5/contabilidad.csv; data/base/hechos.parquet (valor tasado, IPC de alquiler, deflactor). Origen: output/v18/f6/hechos.json:V18-C5-1995T1-2007T4-07-NOEXPL-A. Capa C4; clasificación V18: NO ESTIMABLE.</t>
      </text>
    </comment>
    <comment ref="A9" authorId="0" shapeId="0">
      <text>
        <t>Fuente: output/v18/f5/contabilidad.csv; data/base/hechos.parquet (valor tasado, IPC de alquiler, deflactor). Origen: output/v18/f6/hechos.json:V18-C5-1995T1-2007T4-07-NOEXPL-P. Capa C4; clasificación V18: NO ESTIMABLE.</t>
      </text>
    </comment>
    <comment ref="A10" authorId="0" shapeId="0">
      <text>
        <t>Fuente: output/v18/f5/contabilidad.csv; data/base/hechos.parquet (valor tasado, IPC de alquiler, deflactor). Origen: output/v18/f6/hechos.json:V18-C5-1995T1-2007T4-08-NOEXPL-A. Capa C4; clasificación V18: NO ESTIMABLE.</t>
      </text>
    </comment>
    <comment ref="A11" authorId="0" shapeId="0">
      <text>
        <t>Fuente: output/v18/f5/contabilidad.csv; data/base/hechos.parquet (valor tasado, IPC de alquiler, deflactor). Origen: output/v18/f6/hechos.json:V18-C5-1995T1-2007T4-08-NOEXPL-P. Capa C4; clasificación V18: NO ESTIMABLE.</t>
      </text>
    </comment>
    <comment ref="A12" authorId="0" shapeId="0">
      <text>
        <t>Fuente: output/v18/f5/contabilidad.csv; data/base/hechos.parquet (valor tasado, IPC de alquiler, deflactor). Origen: output/v18/f6/hechos.json:V18-C5-1995T1-2007T4-09-NOEXPL-A. Capa C4; clasificación V18: NO ESTIMABLE.</t>
      </text>
    </comment>
    <comment ref="A13" authorId="0" shapeId="0">
      <text>
        <t>Fuente: output/v18/f5/contabilidad.csv; data/base/hechos.parquet (valor tasado, IPC de alquiler, deflactor). Origen: output/v18/f6/hechos.json:V18-C5-1995T1-2007T4-09-NOEXPL-P. Capa C4; clasificación V18: NO ESTIMABLE.</t>
      </text>
    </comment>
    <comment ref="A14" authorId="0" shapeId="0">
      <text>
        <t>Fuente: output/v18/f5/contabilidad.csv; data/base/hechos.parquet (valor tasado, IPC de alquiler, deflactor). Origen: output/v18/f6/hechos.json:V18-C5-1995T1-2007T4-10-NOEXPL-A. Capa C4; clasificación V18: NO ESTIMABLE.</t>
      </text>
    </comment>
    <comment ref="A15" authorId="0" shapeId="0">
      <text>
        <t>Fuente: output/v18/f5/contabilidad.csv; data/base/hechos.parquet (valor tasado, IPC de alquiler, deflactor). Origen: output/v18/f6/hechos.json:V18-C5-1995T1-2007T4-10-NOEXPL-P. Capa C4; clasificación V18: NO ESTIMABLE.</t>
      </text>
    </comment>
    <comment ref="A16" authorId="0" shapeId="0">
      <text>
        <t>Fuente: output/v18/f5/contabilidad.csv; data/base/hechos.parquet (valor tasado, IPC de alquiler, deflactor). Origen: output/v18/f6/hechos.json:V18-C5-1995T1-2007T4-11-NOEXPL-A. Capa C4; clasificación V18: NO ESTIMABLE.</t>
      </text>
    </comment>
    <comment ref="A17" authorId="0" shapeId="0">
      <text>
        <t>Fuente: output/v18/f5/contabilidad.csv; data/base/hechos.parquet (valor tasado, IPC de alquiler, deflactor). Origen: output/v18/f6/hechos.json:V18-C5-1995T1-2007T4-11-NOEXPL-P. Capa C4; clasificación V18: NO ESTIMABLE.</t>
      </text>
    </comment>
    <comment ref="A18" authorId="0" shapeId="0">
      <text>
        <t>Fuente: output/v18/f5/contabilidad.csv; data/base/hechos.parquet (valor tasado, IPC de alquiler, deflactor). Origen: output/v18/f6/hechos.json:V18-C5-1995T1-2007T4-12-NOEXPL-A. Capa C4; clasificación V18: NO ESTIMABLE.</t>
      </text>
    </comment>
    <comment ref="A19" authorId="0" shapeId="0">
      <text>
        <t>Fuente: output/v18/f5/contabilidad.csv; data/base/hechos.parquet (valor tasado, IPC de alquiler, deflactor). Origen: output/v18/f6/hechos.json:V18-C5-1995T1-2007T4-12-NOEXPL-P. Capa C4; clasificación V18: NO ESTIMABLE.</t>
      </text>
    </comment>
    <comment ref="A20" authorId="0" shapeId="0">
      <text>
        <t>Fuente: output/v18/f5/contabilidad.csv; data/base/hechos.parquet (valor tasado, IPC de alquiler, deflactor). Origen: output/v18/f6/hechos.json:V18-C5-1995T1-2007T4-16-NOEXPL-A. Capa C4; clasificación V18: NO ESTIMABLE.</t>
      </text>
    </comment>
    <comment ref="A21" authorId="0" shapeId="0">
      <text>
        <t>Fuente: output/v18/f5/contabilidad.csv; data/base/hechos.parquet (valor tasado, IPC de alquiler, deflactor). Origen: output/v18/f6/hechos.json:V18-C5-1995T1-2007T4-16-NOEXPL-P. Capa C4; clasificación V18: NO ESTIMABLE.</t>
      </text>
    </comment>
    <comment ref="A22" authorId="0" shapeId="0">
      <text>
        <t>Fuente: output/v18/f5/contabilidad.csv; data/base/hechos.parquet (valor tasado, IPC de alquiler, deflactor). Origen: output/v18/f6/hechos.json:V18-C5-2008T1-2013T4-00-NOEXPL-A. Capa C4; clasificación V18: NO ESTIMABLE.</t>
      </text>
    </comment>
    <comment ref="A23" authorId="0" shapeId="0">
      <text>
        <t>Fuente: output/v18/f5/contabilidad.csv; data/base/hechos.parquet (valor tasado, IPC de alquiler, deflactor). Origen: output/v18/f6/hechos.json:V18-C5-2008T1-2013T4-00-NOEXPL-P. Capa C4; clasificación V18: NO ESTIMABLE.</t>
      </text>
    </comment>
    <comment ref="A24" authorId="0" shapeId="0">
      <text>
        <t>Fuente: output/v18/f5/contabilidad.csv; data/base/hechos.parquet (valor tasado, IPC de alquiler, deflactor). Origen: output/v18/f6/hechos.json:V18-C5-2008T1-2013T4-01-NOEXPL-A. Capa C4; clasificación V18: NO ESTIMABLE.</t>
      </text>
    </comment>
    <comment ref="A25" authorId="0" shapeId="0">
      <text>
        <t>Fuente: output/v18/f5/contabilidad.csv; data/base/hechos.parquet (valor tasado, IPC de alquiler, deflactor). Origen: output/v18/f6/hechos.json:V18-C5-2008T1-2013T4-01-NOEXPL-P. Capa C4; clasificación V18: NO ESTIMABLE.</t>
      </text>
    </comment>
    <comment ref="A26" authorId="0" shapeId="0">
      <text>
        <t>Fuente: output/v18/f5/contabilidad.csv; data/base/hechos.parquet (valor tasado, IPC de alquiler, deflactor). Origen: output/v18/f6/hechos.json:V18-C5-2008T1-2013T4-07-NOEXPL-A. Capa C4; clasificación V18: NO ESTIMABLE.</t>
      </text>
    </comment>
    <comment ref="A27" authorId="0" shapeId="0">
      <text>
        <t>Fuente: output/v18/f5/contabilidad.csv; data/base/hechos.parquet (valor tasado, IPC de alquiler, deflactor). Origen: output/v18/f6/hechos.json:V18-C5-2008T1-2013T4-07-NOEXPL-P. Capa C4; clasificación V18: NO ESTIMABLE.</t>
      </text>
    </comment>
    <comment ref="A28" authorId="0" shapeId="0">
      <text>
        <t>Fuente: output/v18/f5/contabilidad.csv; data/base/hechos.parquet (valor tasado, IPC de alquiler, deflactor). Origen: output/v18/f6/hechos.json:V18-C5-2008T1-2013T4-08-NOEXPL-A. Capa C4; clasificación V18: NO ESTIMABLE.</t>
      </text>
    </comment>
    <comment ref="A29" authorId="0" shapeId="0">
      <text>
        <t>Fuente: output/v18/f5/contabilidad.csv; data/base/hechos.parquet (valor tasado, IPC de alquiler, deflactor). Origen: output/v18/f6/hechos.json:V18-C5-2008T1-2013T4-08-NOEXPL-P. Capa C4; clasificación V18: NO ESTIMABLE.</t>
      </text>
    </comment>
    <comment ref="A30" authorId="0" shapeId="0">
      <text>
        <t>Fuente: output/v18/f5/contabilidad.csv; data/base/hechos.parquet (valor tasado, IPC de alquiler, deflactor). Origen: output/v18/f6/hechos.json:V18-C5-2008T1-2013T4-09-NOEXPL-A. Capa C4; clasificación V18: NO ESTIMABLE.</t>
      </text>
    </comment>
    <comment ref="A31" authorId="0" shapeId="0">
      <text>
        <t>Fuente: output/v18/f5/contabilidad.csv; data/base/hechos.parquet (valor tasado, IPC de alquiler, deflactor). Origen: output/v18/f6/hechos.json:V18-C5-2008T1-2013T4-09-NOEXPL-P. Capa C4; clasificación V18: NO ESTIMABLE.</t>
      </text>
    </comment>
    <comment ref="A32" authorId="0" shapeId="0">
      <text>
        <t>Fuente: output/v18/f5/contabilidad.csv; data/base/hechos.parquet (valor tasado, IPC de alquiler, deflactor). Origen: output/v18/f6/hechos.json:V18-C5-2008T1-2013T4-10-NOEXPL-A. Capa C4; clasificación V18: NO ESTIMABLE.</t>
      </text>
    </comment>
    <comment ref="A33" authorId="0" shapeId="0">
      <text>
        <t>Fuente: output/v18/f5/contabilidad.csv; data/base/hechos.parquet (valor tasado, IPC de alquiler, deflactor). Origen: output/v18/f6/hechos.json:V18-C5-2008T1-2013T4-10-NOEXPL-P. Capa C4; clasificación V18: NO ESTIMABLE.</t>
      </text>
    </comment>
    <comment ref="A34" authorId="0" shapeId="0">
      <text>
        <t>Fuente: output/v18/f5/contabilidad.csv; data/base/hechos.parquet (valor tasado, IPC de alquiler, deflactor). Origen: output/v18/f6/hechos.json:V18-C5-2008T1-2013T4-11-NOEXPL-A. Capa C4; clasificación V18: NO ESTIMABLE.</t>
      </text>
    </comment>
    <comment ref="A35" authorId="0" shapeId="0">
      <text>
        <t>Fuente: output/v18/f5/contabilidad.csv; data/base/hechos.parquet (valor tasado, IPC de alquiler, deflactor). Origen: output/v18/f6/hechos.json:V18-C5-2008T1-2013T4-11-NOEXPL-P. Capa C4; clasificación V18: NO ESTIMABLE.</t>
      </text>
    </comment>
    <comment ref="A36" authorId="0" shapeId="0">
      <text>
        <t>Fuente: output/v18/f5/contabilidad.csv; data/base/hechos.parquet (valor tasado, IPC de alquiler, deflactor). Origen: output/v18/f6/hechos.json:V18-C5-2008T1-2013T4-12-NOEXPL-A. Capa C4; clasificación V18: NO ESTIMABLE.</t>
      </text>
    </comment>
    <comment ref="A37" authorId="0" shapeId="0">
      <text>
        <t>Fuente: output/v18/f5/contabilidad.csv; data/base/hechos.parquet (valor tasado, IPC de alquiler, deflactor). Origen: output/v18/f6/hechos.json:V18-C5-2008T1-2013T4-12-NOEXPL-P. Capa C4; clasificación V18: NO ESTIMABLE.</t>
      </text>
    </comment>
    <comment ref="A38" authorId="0" shapeId="0">
      <text>
        <t>Fuente: output/v18/f5/contabilidad.csv; data/base/hechos.parquet (valor tasado, IPC de alquiler, deflactor). Origen: output/v18/f6/hechos.json:V18-C5-2008T1-2013T4-16-NOEXPL-A. Capa C4; clasificación V18: NO ESTIMABLE.</t>
      </text>
    </comment>
    <comment ref="A39" authorId="0" shapeId="0">
      <text>
        <t>Fuente: output/v18/f5/contabilidad.csv; data/base/hechos.parquet (valor tasado, IPC de alquiler, deflactor). Origen: output/v18/f6/hechos.json:V18-C5-2008T1-2013T4-16-NOEXPL-P. Capa C4; clasificación V18: NO ESTIMABLE.</t>
      </text>
    </comment>
    <comment ref="A40" authorId="0" shapeId="0">
      <text>
        <t>Fuente: output/v18/f5/contabilidad.csv; data/base/hechos.parquet (valor tasado, IPC de alquiler, deflactor). Origen: output/v18/f6/hechos.json:V18-C5-2014T1-2019T4-00-NOEXPL-A. Capa C4; clasificación V18: NO ESTIMABLE.</t>
      </text>
    </comment>
    <comment ref="A41" authorId="0" shapeId="0">
      <text>
        <t>Fuente: output/v18/f5/contabilidad.csv; data/base/hechos.parquet (valor tasado, IPC de alquiler, deflactor). Origen: output/v18/f6/hechos.json:V18-C5-2014T1-2019T4-00-NOEXPL-P. Capa C4; clasificación V18: NO ESTIMABLE.</t>
      </text>
    </comment>
    <comment ref="A42" authorId="0" shapeId="0">
      <text>
        <t>Fuente: output/v18/f5/contabilidad.csv; data/base/hechos.parquet (valor tasado, IPC de alquiler, deflactor). Origen: output/v18/f6/hechos.json:V18-C5-2014T1-2019T4-01-NOEXPL-A. Capa C4; clasificación V18: NO ESTIMABLE.</t>
      </text>
    </comment>
    <comment ref="A43" authorId="0" shapeId="0">
      <text>
        <t>Fuente: output/v18/f5/contabilidad.csv; data/base/hechos.parquet (valor tasado, IPC de alquiler, deflactor). Origen: output/v18/f6/hechos.json:V18-C5-2014T1-2019T4-01-NOEXPL-P. Capa C4; clasificación V18: NO ESTIMABLE.</t>
      </text>
    </comment>
    <comment ref="A44" authorId="0" shapeId="0">
      <text>
        <t>Fuente: output/v18/f5/contabilidad.csv; data/base/hechos.parquet (valor tasado, IPC de alquiler, deflactor). Origen: output/v18/f6/hechos.json:V18-C5-2014T1-2019T4-07-NOEXPL-A. Capa C4; clasificación V18: NO ESTIMABLE.</t>
      </text>
    </comment>
    <comment ref="A45" authorId="0" shapeId="0">
      <text>
        <t>Fuente: output/v18/f5/contabilidad.csv; data/base/hechos.parquet (valor tasado, IPC de alquiler, deflactor). Origen: output/v18/f6/hechos.json:V18-C5-2014T1-2019T4-07-NOEXPL-P. Capa C4; clasificación V18: NO ESTIMABLE.</t>
      </text>
    </comment>
    <comment ref="A46" authorId="0" shapeId="0">
      <text>
        <t>Fuente: output/v18/f5/contabilidad.csv; data/base/hechos.parquet (valor tasado, IPC de alquiler, deflactor). Origen: output/v18/f6/hechos.json:V18-C5-2014T1-2019T4-08-NOEXPL-A. Capa C4; clasificación V18: NO ESTIMABLE.</t>
      </text>
    </comment>
    <comment ref="A47" authorId="0" shapeId="0">
      <text>
        <t>Fuente: output/v18/f5/contabilidad.csv; data/base/hechos.parquet (valor tasado, IPC de alquiler, deflactor). Origen: output/v18/f6/hechos.json:V18-C5-2014T1-2019T4-08-NOEXPL-P. Capa C4; clasificación V18: NO ESTIMABLE.</t>
      </text>
    </comment>
    <comment ref="A48" authorId="0" shapeId="0">
      <text>
        <t>Fuente: output/v18/f5/contabilidad.csv; data/base/hechos.parquet (valor tasado, IPC de alquiler, deflactor). Origen: output/v18/f6/hechos.json:V18-C5-2014T1-2019T4-09-NOEXPL-A. Capa C4; clasificación V18: NO ESTIMABLE.</t>
      </text>
    </comment>
    <comment ref="A49" authorId="0" shapeId="0">
      <text>
        <t>Fuente: output/v18/f5/contabilidad.csv; data/base/hechos.parquet (valor tasado, IPC de alquiler, deflactor). Origen: output/v18/f6/hechos.json:V18-C5-2014T1-2019T4-09-NOEXPL-P. Capa C4; clasificación V18: NO ESTIMABLE.</t>
      </text>
    </comment>
    <comment ref="A50" authorId="0" shapeId="0">
      <text>
        <t>Fuente: output/v18/f5/contabilidad.csv; data/base/hechos.parquet (valor tasado, IPC de alquiler, deflactor). Origen: output/v18/f6/hechos.json:V18-C5-2014T1-2019T4-10-NOEXPL-A. Capa C4; clasificación V18: NO ESTIMABLE.</t>
      </text>
    </comment>
    <comment ref="A51" authorId="0" shapeId="0">
      <text>
        <t>Fuente: output/v18/f5/contabilidad.csv; data/base/hechos.parquet (valor tasado, IPC de alquiler, deflactor). Origen: output/v18/f6/hechos.json:V18-C5-2014T1-2019T4-10-NOEXPL-P. Capa C4; clasificación V18: NO ESTIMABLE.</t>
      </text>
    </comment>
    <comment ref="A52" authorId="0" shapeId="0">
      <text>
        <t>Fuente: output/v18/f5/contabilidad.csv; data/base/hechos.parquet (valor tasado, IPC de alquiler, deflactor). Origen: output/v18/f6/hechos.json:V18-C5-2014T1-2019T4-11-NOEXPL-A. Capa C4; clasificación V18: NO ESTIMABLE.</t>
      </text>
    </comment>
    <comment ref="A53" authorId="0" shapeId="0">
      <text>
        <t>Fuente: output/v18/f5/contabilidad.csv; data/base/hechos.parquet (valor tasado, IPC de alquiler, deflactor). Origen: output/v18/f6/hechos.json:V18-C5-2014T1-2019T4-11-NOEXPL-P. Capa C4; clasificación V18: NO ESTIMABLE.</t>
      </text>
    </comment>
    <comment ref="A54" authorId="0" shapeId="0">
      <text>
        <t>Fuente: output/v18/f5/contabilidad.csv; data/base/hechos.parquet (valor tasado, IPC de alquiler, deflactor). Origen: output/v18/f6/hechos.json:V18-C5-2014T1-2019T4-12-NOEXPL-A. Capa C4; clasificación V18: NO ESTIMABLE.</t>
      </text>
    </comment>
    <comment ref="A55" authorId="0" shapeId="0">
      <text>
        <t>Fuente: output/v18/f5/contabilidad.csv; data/base/hechos.parquet (valor tasado, IPC de alquiler, deflactor). Origen: output/v18/f6/hechos.json:V18-C5-2014T1-2019T4-12-NOEXPL-P. Capa C4; clasificación V18: NO ESTIMABLE.</t>
      </text>
    </comment>
    <comment ref="A56" authorId="0" shapeId="0">
      <text>
        <t>Fuente: output/v18/f5/contabilidad.csv; data/base/hechos.parquet (valor tasado, IPC de alquiler, deflactor). Origen: output/v18/f6/hechos.json:V18-C5-2014T1-2019T4-16-NOEXPL-A. Capa C4; clasificación V18: NO ESTIMABLE.</t>
      </text>
    </comment>
    <comment ref="A57" authorId="0" shapeId="0">
      <text>
        <t>Fuente: output/v18/f5/contabilidad.csv; data/base/hechos.parquet (valor tasado, IPC de alquiler, deflactor). Origen: output/v18/f6/hechos.json:V18-C5-2014T1-2019T4-16-NOEXPL-P. Capa C4; clasificación V18: NO ESTIMABLE.</t>
      </text>
    </comment>
    <comment ref="A58" authorId="0" shapeId="0">
      <text>
        <t>Fuente: output/v18/f5/contabilidad.csv; data/base/hechos.parquet (valor tasado, IPC de alquiler, deflactor). Origen: output/v18/f6/hechos.json:V18-C5-2020T1-2022T2-00-NOEXPL-A. Capa C4; clasificación V18: NO ESTIMABLE.</t>
      </text>
    </comment>
    <comment ref="A59" authorId="0" shapeId="0">
      <text>
        <t>Fuente: output/v18/f5/contabilidad.csv; data/base/hechos.parquet (valor tasado, IPC de alquiler, deflactor). Origen: output/v18/f6/hechos.json:V18-C5-2020T1-2022T2-00-NOEXPL-P. Capa C4; clasificación V18: NO ESTIMABLE.</t>
      </text>
    </comment>
    <comment ref="A60" authorId="0" shapeId="0">
      <text>
        <t>Fuente: output/v18/f5/contabilidad.csv; data/base/hechos.parquet (valor tasado, IPC de alquiler, deflactor). Origen: output/v18/f6/hechos.json:V18-C5-2020T1-2022T2-01-NOEXPL-A. Capa C4; clasificación V18: NO ESTIMABLE.</t>
      </text>
    </comment>
    <comment ref="A61" authorId="0" shapeId="0">
      <text>
        <t>Fuente: output/v18/f5/contabilidad.csv; data/base/hechos.parquet (valor tasado, IPC de alquiler, deflactor). Origen: output/v18/f6/hechos.json:V18-C5-2020T1-2022T2-01-NOEXPL-P. Capa C4; clasificación V18: NO ESTIMABLE.</t>
      </text>
    </comment>
    <comment ref="A62" authorId="0" shapeId="0">
      <text>
        <t>Fuente: output/v18/f5/contabilidad.csv; data/base/hechos.parquet (valor tasado, IPC de alquiler, deflactor). Origen: output/v18/f6/hechos.json:V18-C5-2020T1-2022T2-07-NOEXPL-A. Capa C4; clasificación V18: NO ESTIMABLE.</t>
      </text>
    </comment>
    <comment ref="A63" authorId="0" shapeId="0">
      <text>
        <t>Fuente: output/v18/f5/contabilidad.csv; data/base/hechos.parquet (valor tasado, IPC de alquiler, deflactor). Origen: output/v18/f6/hechos.json:V18-C5-2020T1-2022T2-07-NOEXPL-P. Capa C4; clasificación V18: NO ESTIMABLE.</t>
      </text>
    </comment>
    <comment ref="A64" authorId="0" shapeId="0">
      <text>
        <t>Fuente: output/v18/f5/contabilidad.csv; data/base/hechos.parquet (valor tasado, IPC de alquiler, deflactor). Origen: output/v18/f6/hechos.json:V18-C5-2020T1-2022T2-08-NOEXPL-A. Capa C4; clasificación V18: NO ESTIMABLE.</t>
      </text>
    </comment>
    <comment ref="A65" authorId="0" shapeId="0">
      <text>
        <t>Fuente: output/v18/f5/contabilidad.csv; data/base/hechos.parquet (valor tasado, IPC de alquiler, deflactor). Origen: output/v18/f6/hechos.json:V18-C5-2020T1-2022T2-08-NOEXPL-P. Capa C4; clasificación V18: NO ESTIMABLE.</t>
      </text>
    </comment>
    <comment ref="A66" authorId="0" shapeId="0">
      <text>
        <t>Fuente: output/v18/f5/contabilidad.csv; data/base/hechos.parquet (valor tasado, IPC de alquiler, deflactor). Origen: output/v18/f6/hechos.json:V18-C5-2020T1-2022T2-09-NOEXPL-A. Capa C4; clasificación V18: NO ESTIMABLE.</t>
      </text>
    </comment>
    <comment ref="A67" authorId="0" shapeId="0">
      <text>
        <t>Fuente: output/v18/f5/contabilidad.csv; data/base/hechos.parquet (valor tasado, IPC de alquiler, deflactor). Origen: output/v18/f6/hechos.json:V18-C5-2020T1-2022T2-09-NOEXPL-P. Capa C4; clasificación V18: NO ESTIMABLE.</t>
      </text>
    </comment>
    <comment ref="A68" authorId="0" shapeId="0">
      <text>
        <t>Fuente: output/v18/f5/contabilidad.csv; data/base/hechos.parquet (valor tasado, IPC de alquiler, deflactor). Origen: output/v18/f6/hechos.json:V18-C5-2020T1-2022T2-10-NOEXPL-A. Capa C4; clasificación V18: NO ESTIMABLE.</t>
      </text>
    </comment>
    <comment ref="A69" authorId="0" shapeId="0">
      <text>
        <t>Fuente: output/v18/f5/contabilidad.csv; data/base/hechos.parquet (valor tasado, IPC de alquiler, deflactor). Origen: output/v18/f6/hechos.json:V18-C5-2020T1-2022T2-10-NOEXPL-P. Capa C4; clasificación V18: NO ESTIMABLE.</t>
      </text>
    </comment>
    <comment ref="A70" authorId="0" shapeId="0">
      <text>
        <t>Fuente: output/v18/f5/contabilidad.csv; data/base/hechos.parquet (valor tasado, IPC de alquiler, deflactor). Origen: output/v18/f6/hechos.json:V18-C5-2020T1-2022T2-11-NOEXPL-A. Capa C4; clasificación V18: NO ESTIMABLE.</t>
      </text>
    </comment>
    <comment ref="A71" authorId="0" shapeId="0">
      <text>
        <t>Fuente: output/v18/f5/contabilidad.csv; data/base/hechos.parquet (valor tasado, IPC de alquiler, deflactor). Origen: output/v18/f6/hechos.json:V18-C5-2020T1-2022T2-11-NOEXPL-P. Capa C4; clasificación V18: NO ESTIMABLE.</t>
      </text>
    </comment>
    <comment ref="A72" authorId="0" shapeId="0">
      <text>
        <t>Fuente: output/v18/f5/contabilidad.csv; data/base/hechos.parquet (valor tasado, IPC de alquiler, deflactor). Origen: output/v18/f6/hechos.json:V18-C5-2020T1-2022T2-12-NOEXPL-A. Capa C4; clasificación V18: NO ESTIMABLE.</t>
      </text>
    </comment>
    <comment ref="A73" authorId="0" shapeId="0">
      <text>
        <t>Fuente: output/v18/f5/contabilidad.csv; data/base/hechos.parquet (valor tasado, IPC de alquiler, deflactor). Origen: output/v18/f6/hechos.json:V18-C5-2020T1-2022T2-12-NOEXPL-P. Capa C4; clasificación V18: NO ESTIMABLE.</t>
      </text>
    </comment>
    <comment ref="A74" authorId="0" shapeId="0">
      <text>
        <t>Fuente: output/v18/f5/contabilidad.csv; data/base/hechos.parquet (valor tasado, IPC de alquiler, deflactor). Origen: output/v18/f6/hechos.json:V18-C5-2020T1-2022T2-16-NOEXPL-A. Capa C4; clasificación V18: NO ESTIMABLE.</t>
      </text>
    </comment>
    <comment ref="A75" authorId="0" shapeId="0">
      <text>
        <t>Fuente: output/v18/f5/contabilidad.csv; data/base/hechos.parquet (valor tasado, IPC de alquiler, deflactor). Origen: output/v18/f6/hechos.json:V18-C5-2020T1-2022T2-16-NOEXPL-P. Capa C4; clasificación V18: NO ESTIMABLE.</t>
      </text>
    </comment>
    <comment ref="A76" authorId="0" shapeId="0">
      <text>
        <t>Fuente: output/v18/f5/contabilidad.csv; data/base/hechos.parquet (valor tasado, IPC de alquiler, deflactor). Origen: output/v18/f6/hechos.json:V18-C5-2022T3-2026T2-00-NOEXPL-A. Capa C4; clasificación V18: NO ESTIMABLE.</t>
      </text>
    </comment>
    <comment ref="A77" authorId="0" shapeId="0">
      <text>
        <t>Fuente: output/v18/f5/contabilidad.csv; data/base/hechos.parquet (valor tasado, IPC de alquiler, deflactor). Origen: output/v18/f6/hechos.json:V18-C5-2022T3-2026T2-00-NOEXPL-P. Capa C4; clasificación V18: NO ESTIMABLE.</t>
      </text>
    </comment>
    <comment ref="A78" authorId="0" shapeId="0">
      <text>
        <t>Fuente: output/v18/f5/contabilidad.csv; data/base/hechos.parquet (valor tasado, IPC de alquiler, deflactor). Origen: output/v18/f6/hechos.json:V18-C5-2022T3-2026T2-01-NOEXPL-A. Capa C4; clasificación V18: NO ESTIMABLE.</t>
      </text>
    </comment>
    <comment ref="A79" authorId="0" shapeId="0">
      <text>
        <t>Fuente: output/v18/f5/contabilidad.csv; data/base/hechos.parquet (valor tasado, IPC de alquiler, deflactor). Origen: output/v18/f6/hechos.json:V18-C5-2022T3-2026T2-01-NOEXPL-P. Capa C4; clasificación V18: NO ESTIMABLE.</t>
      </text>
    </comment>
    <comment ref="A80" authorId="0" shapeId="0">
      <text>
        <t>Fuente: output/v18/f5/contabilidad.csv; data/base/hechos.parquet (valor tasado, IPC de alquiler, deflactor). Origen: output/v18/f6/hechos.json:V18-C5-2022T3-2026T2-07-NOEXPL-A. Capa C4; clasificación V18: NO ESTIMABLE.</t>
      </text>
    </comment>
    <comment ref="A81" authorId="0" shapeId="0">
      <text>
        <t>Fuente: output/v18/f5/contabilidad.csv; data/base/hechos.parquet (valor tasado, IPC de alquiler, deflactor). Origen: output/v18/f6/hechos.json:V18-C5-2022T3-2026T2-07-NOEXPL-P. Capa C4; clasificación V18: NO ESTIMABLE.</t>
      </text>
    </comment>
    <comment ref="A82" authorId="0" shapeId="0">
      <text>
        <t>Fuente: output/v18/f5/contabilidad.csv; data/base/hechos.parquet (valor tasado, IPC de alquiler, deflactor). Origen: output/v18/f6/hechos.json:V18-C5-2022T3-2026T2-08-NOEXPL-A. Capa C4; clasificación V18: NO ESTIMABLE.</t>
      </text>
    </comment>
    <comment ref="A83" authorId="0" shapeId="0">
      <text>
        <t>Fuente: output/v18/f5/contabilidad.csv; data/base/hechos.parquet (valor tasado, IPC de alquiler, deflactor). Origen: output/v18/f6/hechos.json:V18-C5-2022T3-2026T2-08-NOEXPL-P. Capa C4; clasificación V18: NO ESTIMABLE.</t>
      </text>
    </comment>
    <comment ref="A84" authorId="0" shapeId="0">
      <text>
        <t>Fuente: output/v18/f5/contabilidad.csv; data/base/hechos.parquet (valor tasado, IPC de alquiler, deflactor). Origen: output/v18/f6/hechos.json:V18-C5-2022T3-2026T2-09-NOEXPL-A. Capa C4; clasificación V18: NO ESTIMABLE.</t>
      </text>
    </comment>
    <comment ref="A85" authorId="0" shapeId="0">
      <text>
        <t>Fuente: output/v18/f5/contabilidad.csv; data/base/hechos.parquet (valor tasado, IPC de alquiler, deflactor). Origen: output/v18/f6/hechos.json:V18-C5-2022T3-2026T2-09-NOEXPL-P. Capa C4; clasificación V18: NO ESTIMABLE.</t>
      </text>
    </comment>
    <comment ref="A86" authorId="0" shapeId="0">
      <text>
        <t>Fuente: output/v18/f5/contabilidad.csv; data/base/hechos.parquet (valor tasado, IPC de alquiler, deflactor). Origen: output/v18/f6/hechos.json:V18-C5-2022T3-2026T2-10-NOEXPL-A. Capa C4; clasificación V18: NO ESTIMABLE.</t>
      </text>
    </comment>
    <comment ref="A87" authorId="0" shapeId="0">
      <text>
        <t>Fuente: output/v18/f5/contabilidad.csv; data/base/hechos.parquet (valor tasado, IPC de alquiler, deflactor). Origen: output/v18/f6/hechos.json:V18-C5-2022T3-2026T2-10-NOEXPL-P. Capa C4; clasificación V18: NO ESTIMABLE.</t>
      </text>
    </comment>
    <comment ref="A88" authorId="0" shapeId="0">
      <text>
        <t>Fuente: output/v18/f5/contabilidad.csv; data/base/hechos.parquet (valor tasado, IPC de alquiler, deflactor). Origen: output/v18/f6/hechos.json:V18-C5-2022T3-2026T2-11-NOEXPL-A. Capa C4; clasificación V18: NO ESTIMABLE.</t>
      </text>
    </comment>
    <comment ref="A89" authorId="0" shapeId="0">
      <text>
        <t>Fuente: output/v18/f5/contabilidad.csv; data/base/hechos.parquet (valor tasado, IPC de alquiler, deflactor). Origen: output/v18/f6/hechos.json:V18-C5-2022T3-2026T2-11-NOEXPL-P. Capa C4; clasificación V18: NO ESTIMABLE.</t>
      </text>
    </comment>
    <comment ref="A90" authorId="0" shapeId="0">
      <text>
        <t>Fuente: output/v18/f5/contabilidad.csv; data/base/hechos.parquet (valor tasado, IPC de alquiler, deflactor). Origen: output/v18/f6/hechos.json:V18-C5-2022T3-2026T2-12-NOEXPL-A. Capa C4; clasificación V18: NO ESTIMABLE.</t>
      </text>
    </comment>
    <comment ref="A91" authorId="0" shapeId="0">
      <text>
        <t>Fuente: output/v18/f5/contabilidad.csv; data/base/hechos.parquet (valor tasado, IPC de alquiler, deflactor). Origen: output/v18/f6/hechos.json:V18-C5-2022T3-2026T2-12-NOEXPL-P. Capa C4; clasificación V18: NO ESTIMABLE.</t>
      </text>
    </comment>
    <comment ref="A92" authorId="0" shapeId="0">
      <text>
        <t>Fuente: output/v18/f5/contabilidad.csv; data/base/hechos.parquet (valor tasado, IPC de alquiler, deflactor). Origen: output/v18/f6/hechos.json:V18-C5-2022T3-2026T2-16-NOEXPL-A. Capa C4; clasificación V18: NO ESTIMABLE.</t>
      </text>
    </comment>
    <comment ref="A93" authorId="0" shapeId="0">
      <text>
        <t>Fuente: output/v18/f5/contabilidad.csv; data/base/hechos.parquet (valor tasado, IPC de alquiler, deflactor). Origen: output/v18/f6/hechos.json:V18-C5-2022T3-2026T2-16-NOEXPL-P. Capa C4; clasificación V18: NO ESTIMABLE.</t>
      </text>
    </comment>
    <comment ref="A94" authorId="0" shapeId="0">
      <text>
        <t>Fuente: output/v18/f5/contabilidad_ilustracion.csv; data/base/hechos.parquet; output/v18/f5/magnitudes.csv. Origen: output/v18/f6/hechos.json:V18-C5I-1995T1-2007T4-00-E3-P. Capa C4; clasificación V18: NO ESTIMABLE.</t>
      </text>
    </comment>
    <comment ref="A95" authorId="0" shapeId="0">
      <text>
        <t>Fuente: output/v18/f5/contabilidad_ilustracion.csv; data/base/hechos.parquet; output/v18/f5/magnitudes.csv. Origen: output/v18/f6/hechos.json:V18-C5I-1995T1-2007T4-00-NOEXPL-P. Capa C4; clasificación V18: NO ESTIMABLE.</t>
      </text>
    </comment>
    <comment ref="A96" authorId="0" shapeId="0">
      <text>
        <t>Fuente: output/v18/f5/contabilidad_ilustracion.csv; data/base/hechos.parquet; output/v18/f5/magnitudes.csv. Origen: output/v18/f6/hechos.json:V18-C5I-1995T1-2007T4-01-E3-P. Capa C4; clasificación V18: NO ESTIMABLE.</t>
      </text>
    </comment>
    <comment ref="A97" authorId="0" shapeId="0">
      <text>
        <t>Fuente: output/v18/f5/contabilidad_ilustracion.csv; data/base/hechos.parquet; output/v18/f5/magnitudes.csv. Origen: output/v18/f6/hechos.json:V18-C5I-1995T1-2007T4-01-NOEXPL-P. Capa C4; clasificación V18: NO ESTIMABLE.</t>
      </text>
    </comment>
    <comment ref="A98" authorId="0" shapeId="0">
      <text>
        <t>Fuente: output/v18/f5/contabilidad_ilustracion.csv; data/base/hechos.parquet; output/v18/f5/magnitudes.csv. Origen: output/v18/f6/hechos.json:V18-C5I-1995T1-2007T4-07-E3-P. Capa C4; clasificación V18: NO ESTIMABLE.</t>
      </text>
    </comment>
    <comment ref="A99" authorId="0" shapeId="0">
      <text>
        <t>Fuente: output/v18/f5/contabilidad_ilustracion.csv; data/base/hechos.parquet; output/v18/f5/magnitudes.csv. Origen: output/v18/f6/hechos.json:V18-C5I-1995T1-2007T4-07-NOEXPL-P. Capa C4; clasificación V18: NO ESTIMABLE.</t>
      </text>
    </comment>
    <comment ref="A100" authorId="0" shapeId="0">
      <text>
        <t>Fuente: output/v18/f5/contabilidad_ilustracion.csv; data/base/hechos.parquet; output/v18/f5/magnitudes.csv. Origen: output/v18/f6/hechos.json:V18-C5I-1995T1-2007T4-08-E3-P. Capa C4; clasificación V18: NO ESTIMABLE.</t>
      </text>
    </comment>
    <comment ref="A101" authorId="0" shapeId="0">
      <text>
        <t>Fuente: output/v18/f5/contabilidad_ilustracion.csv; data/base/hechos.parquet; output/v18/f5/magnitudes.csv. Origen: output/v18/f6/hechos.json:V18-C5I-1995T1-2007T4-08-NOEXPL-P. Capa C4; clasificación V18: NO ESTIMABLE.</t>
      </text>
    </comment>
    <comment ref="A102" authorId="0" shapeId="0">
      <text>
        <t>Fuente: output/v18/f5/contabilidad_ilustracion.csv; data/base/hechos.parquet; output/v18/f5/magnitudes.csv. Origen: output/v18/f6/hechos.json:V18-C5I-1995T1-2007T4-09-E3-P. Capa C4; clasificación V18: NO ESTIMABLE.</t>
      </text>
    </comment>
    <comment ref="A103" authorId="0" shapeId="0">
      <text>
        <t>Fuente: output/v18/f5/contabilidad_ilustracion.csv; data/base/hechos.parquet; output/v18/f5/magnitudes.csv. Origen: output/v18/f6/hechos.json:V18-C5I-1995T1-2007T4-09-NOEXPL-P. Capa C4; clasificación V18: NO ESTIMABLE.</t>
      </text>
    </comment>
    <comment ref="A104" authorId="0" shapeId="0">
      <text>
        <t>Fuente: output/v18/f5/contabilidad_ilustracion.csv; data/base/hechos.parquet; output/v18/f5/magnitudes.csv. Origen: output/v18/f6/hechos.json:V18-C5I-1995T1-2007T4-10-E3-P. Capa C4; clasificación V18: NO ESTIMABLE.</t>
      </text>
    </comment>
    <comment ref="A105" authorId="0" shapeId="0">
      <text>
        <t>Fuente: output/v18/f5/contabilidad_ilustracion.csv; data/base/hechos.parquet; output/v18/f5/magnitudes.csv. Origen: output/v18/f6/hechos.json:V18-C5I-1995T1-2007T4-10-NOEXPL-P. Capa C4; clasificación V18: NO ESTIMABLE.</t>
      </text>
    </comment>
    <comment ref="A106" authorId="0" shapeId="0">
      <text>
        <t>Fuente: output/v18/f5/contabilidad_ilustracion.csv; data/base/hechos.parquet; output/v18/f5/magnitudes.csv. Origen: output/v18/f6/hechos.json:V18-C5I-1995T1-2007T4-11-E3-P. Capa C4; clasificación V18: NO ESTIMABLE.</t>
      </text>
    </comment>
    <comment ref="A107" authorId="0" shapeId="0">
      <text>
        <t>Fuente: output/v18/f5/contabilidad_ilustracion.csv; data/base/hechos.parquet; output/v18/f5/magnitudes.csv. Origen: output/v18/f6/hechos.json:V18-C5I-1995T1-2007T4-11-NOEXPL-P. Capa C4; clasificación V18: NO ESTIMABLE.</t>
      </text>
    </comment>
    <comment ref="A108" authorId="0" shapeId="0">
      <text>
        <t>Fuente: output/v18/f5/contabilidad_ilustracion.csv; data/base/hechos.parquet; output/v18/f5/magnitudes.csv. Origen: output/v18/f6/hechos.json:V18-C5I-1995T1-2007T4-12-E3-P. Capa C4; clasificación V18: NO ESTIMABLE.</t>
      </text>
    </comment>
    <comment ref="A109" authorId="0" shapeId="0">
      <text>
        <t>Fuente: output/v18/f5/contabilidad_ilustracion.csv; data/base/hechos.parquet; output/v18/f5/magnitudes.csv. Origen: output/v18/f6/hechos.json:V18-C5I-1995T1-2007T4-12-NOEXPL-P. Capa C4; clasificación V18: NO ESTIMABLE.</t>
      </text>
    </comment>
    <comment ref="A110" authorId="0" shapeId="0">
      <text>
        <t>Fuente: output/v18/f5/contabilidad_ilustracion.csv; data/base/hechos.parquet; output/v18/f5/magnitudes.csv. Origen: output/v18/f6/hechos.json:V18-C5I-1995T1-2007T4-16-E3-P. Capa C4; clasificación V18: NO ESTIMABLE.</t>
      </text>
    </comment>
    <comment ref="A111" authorId="0" shapeId="0">
      <text>
        <t>Fuente: output/v18/f5/contabilidad_ilustracion.csv; data/base/hechos.parquet; output/v18/f5/magnitudes.csv. Origen: output/v18/f6/hechos.json:V18-C5I-1995T1-2007T4-16-NOEXPL-P. Capa C4; clasificación V18: NO ESTIMABLE.</t>
      </text>
    </comment>
    <comment ref="A112" authorId="0" shapeId="0">
      <text>
        <t>Fuente: output/v18/f5/contabilidad_ilustracion.csv; data/base/hechos.parquet; output/v18/f5/magnitudes.csv. Origen: output/v18/f6/hechos.json:V18-C5I-1995T1-2007T4-46250-E3-P. Capa C4; clasificación V18: NO ESTIMABLE.</t>
      </text>
    </comment>
    <comment ref="A113" authorId="0" shapeId="0">
      <text>
        <t>Fuente: output/v18/f5/contabilidad_ilustracion.csv; data/base/hechos.parquet; output/v18/f5/magnitudes.csv. Origen: output/v18/f6/hechos.json:V18-C5I-1995T1-2007T4-46250-NOEXPL-P. Capa C4; clasificación V18: NO ESTIMABLE.</t>
      </text>
    </comment>
    <comment ref="A114" authorId="0" shapeId="0">
      <text>
        <t>Fuente: output/v18/f5/contabilidad_ilustracion.csv; data/base/hechos.parquet; output/v18/f5/magnitudes.csv. Origen: output/v18/f6/hechos.json:V18-C5I-2008T1-2013T4-00-E3-P. Capa C4; clasificación V18: NO ESTIMABLE.</t>
      </text>
    </comment>
    <comment ref="A115" authorId="0" shapeId="0">
      <text>
        <t>Fuente: output/v18/f5/contabilidad_ilustracion.csv; data/base/hechos.parquet; output/v18/f5/magnitudes.csv. Origen: output/v18/f6/hechos.json:V18-C5I-2008T1-2013T4-00-E7-P. Capa C4; clasificación V18: NO ESTIMABLE.</t>
      </text>
    </comment>
    <comment ref="A116" authorId="0" shapeId="0">
      <text>
        <t>Fuente: output/v18/f5/contabilidad_ilustracion.csv; data/base/hechos.parquet; output/v18/f5/magnitudes.csv. Origen: output/v18/f6/hechos.json:V18-C5I-2008T1-2013T4-00-E9-P. Capa C4; clasificación V18: NO ESTIMABLE.</t>
      </text>
    </comment>
    <comment ref="A117" authorId="0" shapeId="0">
      <text>
        <t>Fuente: output/v18/f5/contabilidad_ilustracion.csv; data/base/hechos.parquet; output/v18/f5/magnitudes.csv. Origen: output/v18/f6/hechos.json:V18-C5I-2008T1-2013T4-00-NOEXPL-P. Capa C4; clasificación V18: NO ESTIMABLE.</t>
      </text>
    </comment>
    <comment ref="A118" authorId="0" shapeId="0">
      <text>
        <t>Fuente: output/v18/f5/contabilidad_ilustracion.csv; data/base/hechos.parquet; output/v18/f5/magnitudes.csv. Origen: output/v18/f6/hechos.json:V18-C5I-2008T1-2013T4-00-NOEXPL_alt_E9-P. Capa C4; clasificación V18: NO ESTIMABLE.</t>
      </text>
    </comment>
    <comment ref="A119" authorId="0" shapeId="0">
      <text>
        <t>Fuente: output/v18/f5/contabilidad_ilustracion.csv; data/base/hechos.parquet; output/v18/f5/magnitudes.csv. Origen: output/v18/f6/hechos.json:V18-C5I-2008T1-2013T4-01-E3-P. Capa C4; clasificación V18: NO ESTIMABLE.</t>
      </text>
    </comment>
    <comment ref="A120" authorId="0" shapeId="0">
      <text>
        <t>Fuente: output/v18/f5/contabilidad_ilustracion.csv; data/base/hechos.parquet; output/v18/f5/magnitudes.csv. Origen: output/v18/f6/hechos.json:V18-C5I-2008T1-2013T4-01-E8-P. Capa C4; clasificación V18: NO ESTIMABLE.</t>
      </text>
    </comment>
    <comment ref="A121" authorId="0" shapeId="0">
      <text>
        <t>Fuente: output/v18/f5/contabilidad_ilustracion.csv; data/base/hechos.parquet; output/v18/f5/magnitudes.csv. Origen: output/v18/f6/hechos.json:V18-C5I-2008T1-2013T4-01-E9-P. Capa C4; clasificación V18: NO ESTIMABLE.</t>
      </text>
    </comment>
    <comment ref="A122" authorId="0" shapeId="0">
      <text>
        <t>Fuente: output/v18/f5/contabilidad_ilustracion.csv; data/base/hechos.parquet; output/v18/f5/magnitudes.csv. Origen: output/v18/f6/hechos.json:V18-C5I-2008T1-2013T4-01-NOEXPL-P. Capa C4; clasificación V18: NO ESTIMABLE.</t>
      </text>
    </comment>
    <comment ref="A123" authorId="0" shapeId="0">
      <text>
        <t>Fuente: output/v18/f5/contabilidad_ilustracion.csv; data/base/hechos.parquet; output/v18/f5/magnitudes.csv. Origen: output/v18/f6/hechos.json:V18-C5I-2008T1-2013T4-01-NOEXPL_alt_E9-P. Capa C4; clasificación V18: NO ESTIMABLE.</t>
      </text>
    </comment>
    <comment ref="A124" authorId="0" shapeId="0">
      <text>
        <t>Fuente: output/v18/f5/contabilidad_ilustracion.csv; data/base/hechos.parquet; output/v18/f5/magnitudes.csv. Origen: output/v18/f6/hechos.json:V18-C5I-2008T1-2013T4-07-E3-P. Capa C4; clasificación V18: NO ESTIMABLE.</t>
      </text>
    </comment>
    <comment ref="A125" authorId="0" shapeId="0">
      <text>
        <t>Fuente: output/v18/f5/contabilidad_ilustracion.csv; data/base/hechos.parquet; output/v18/f5/magnitudes.csv. Origen: output/v18/f6/hechos.json:V18-C5I-2008T1-2013T4-07-E8-P. Capa C4; clasificación V18: NO ESTIMABLE.</t>
      </text>
    </comment>
    <comment ref="A126" authorId="0" shapeId="0">
      <text>
        <t>Fuente: output/v18/f5/contabilidad_ilustracion.csv; data/base/hechos.parquet; output/v18/f5/magnitudes.csv. Origen: output/v18/f6/hechos.json:V18-C5I-2008T1-2013T4-07-E9-P. Capa C4; clasificación V18: NO ESTIMABLE.</t>
      </text>
    </comment>
    <comment ref="A127" authorId="0" shapeId="0">
      <text>
        <t>Fuente: output/v18/f5/contabilidad_ilustracion.csv; data/base/hechos.parquet; output/v18/f5/magnitudes.csv. Origen: output/v18/f6/hechos.json:V18-C5I-2008T1-2013T4-07-NOEXPL-P. Capa C4; clasificación V18: NO ESTIMABLE.</t>
      </text>
    </comment>
    <comment ref="A128" authorId="0" shapeId="0">
      <text>
        <t>Fuente: output/v18/f5/contabilidad_ilustracion.csv; data/base/hechos.parquet; output/v18/f5/magnitudes.csv. Origen: output/v18/f6/hechos.json:V18-C5I-2008T1-2013T4-07-NOEXPL_alt_E9-P. Capa C4; clasificación V18: NO ESTIMABLE.</t>
      </text>
    </comment>
    <comment ref="A129" authorId="0" shapeId="0">
      <text>
        <t>Fuente: output/v18/f5/contabilidad_ilustracion.csv; data/base/hechos.parquet; output/v18/f5/magnitudes.csv. Origen: output/v18/f6/hechos.json:V18-C5I-2008T1-2013T4-08-E3-P. Capa C4; clasificación V18: NO ESTIMABLE.</t>
      </text>
    </comment>
    <comment ref="A130" authorId="0" shapeId="0">
      <text>
        <t>Fuente: output/v18/f5/contabilidad_ilustracion.csv; data/base/hechos.parquet; output/v18/f5/magnitudes.csv. Origen: output/v18/f6/hechos.json:V18-C5I-2008T1-2013T4-08-E8-P. Capa C4; clasificación V18: NO ESTIMABLE.</t>
      </text>
    </comment>
    <comment ref="A131" authorId="0" shapeId="0">
      <text>
        <t>Fuente: output/v18/f5/contabilidad_ilustracion.csv; data/base/hechos.parquet; output/v18/f5/magnitudes.csv. Origen: output/v18/f6/hechos.json:V18-C5I-2008T1-2013T4-08-E9-P. Capa C4; clasificación V18: NO ESTIMABLE.</t>
      </text>
    </comment>
    <comment ref="A132" authorId="0" shapeId="0">
      <text>
        <t>Fuente: output/v18/f5/contabilidad_ilustracion.csv; data/base/hechos.parquet; output/v18/f5/magnitudes.csv. Origen: output/v18/f6/hechos.json:V18-C5I-2008T1-2013T4-08-NOEXPL-P. Capa C4; clasificación V18: NO ESTIMABLE.</t>
      </text>
    </comment>
    <comment ref="A133" authorId="0" shapeId="0">
      <text>
        <t>Fuente: output/v18/f5/contabilidad_ilustracion.csv; data/base/hechos.parquet; output/v18/f5/magnitudes.csv. Origen: output/v18/f6/hechos.json:V18-C5I-2008T1-2013T4-08-NOEXPL_alt_E9-P. Capa C4; clasificación V18: NO ESTIMABLE.</t>
      </text>
    </comment>
    <comment ref="A134" authorId="0" shapeId="0">
      <text>
        <t>Fuente: output/v18/f5/contabilidad_ilustracion.csv; data/base/hechos.parquet; output/v18/f5/magnitudes.csv. Origen: output/v18/f6/hechos.json:V18-C5I-2008T1-2013T4-09-E3-P. Capa C4; clasificación V18: NO ESTIMABLE.</t>
      </text>
    </comment>
    <comment ref="A135" authorId="0" shapeId="0">
      <text>
        <t>Fuente: output/v18/f5/contabilidad_ilustracion.csv; data/base/hechos.parquet; output/v18/f5/magnitudes.csv. Origen: output/v18/f6/hechos.json:V18-C5I-2008T1-2013T4-09-E8-P. Capa C4; clasificación V18: NO ESTIMABLE.</t>
      </text>
    </comment>
    <comment ref="A136" authorId="0" shapeId="0">
      <text>
        <t>Fuente: output/v18/f5/contabilidad_ilustracion.csv; data/base/hechos.parquet; output/v18/f5/magnitudes.csv. Origen: output/v18/f6/hechos.json:V18-C5I-2008T1-2013T4-09-E9-P. Capa C4; clasificación V18: NO ESTIMABLE.</t>
      </text>
    </comment>
    <comment ref="A137" authorId="0" shapeId="0">
      <text>
        <t>Fuente: output/v18/f5/contabilidad_ilustracion.csv; data/base/hechos.parquet; output/v18/f5/magnitudes.csv. Origen: output/v18/f6/hechos.json:V18-C5I-2008T1-2013T4-09-NOEXPL-P. Capa C4; clasificación V18: NO ESTIMABLE.</t>
      </text>
    </comment>
    <comment ref="A138" authorId="0" shapeId="0">
      <text>
        <t>Fuente: output/v18/f5/contabilidad_ilustracion.csv; data/base/hechos.parquet; output/v18/f5/magnitudes.csv. Origen: output/v18/f6/hechos.json:V18-C5I-2008T1-2013T4-09-NOEXPL_alt_E9-P. Capa C4; clasificación V18: NO ESTIMABLE.</t>
      </text>
    </comment>
    <comment ref="A139" authorId="0" shapeId="0">
      <text>
        <t>Fuente: output/v18/f5/contabilidad_ilustracion.csv; data/base/hechos.parquet; output/v18/f5/magnitudes.csv. Origen: output/v18/f6/hechos.json:V18-C5I-2008T1-2013T4-10-E8-P. Capa C4; clasificación V18: NO ESTIMABLE.</t>
      </text>
    </comment>
    <comment ref="A140" authorId="0" shapeId="0">
      <text>
        <t>Fuente: output/v18/f5/contabilidad_ilustracion.csv; data/base/hechos.parquet; output/v18/f5/magnitudes.csv. Origen: output/v18/f6/hechos.json:V18-C5I-2008T1-2013T4-10-E9-P. Capa C4; clasificación V18: NO ESTIMABLE.</t>
      </text>
    </comment>
    <comment ref="A141" authorId="0" shapeId="0">
      <text>
        <t>Fuente: output/v18/f5/contabilidad_ilustracion.csv; data/base/hechos.parquet; output/v18/f5/magnitudes.csv. Origen: output/v18/f6/hechos.json:V18-C5I-2008T1-2013T4-10-NOEXPL-P. Capa C4; clasificación V18: NO ESTIMABLE.</t>
      </text>
    </comment>
    <comment ref="A142" authorId="0" shapeId="0">
      <text>
        <t>Fuente: output/v18/f5/contabilidad_ilustracion.csv; data/base/hechos.parquet; output/v18/f5/magnitudes.csv. Origen: output/v18/f6/hechos.json:V18-C5I-2008T1-2013T4-10-NOEXPL_alt_E9-P. Capa C4; clasificación V18: NO ESTIMABLE.</t>
      </text>
    </comment>
    <comment ref="A143" authorId="0" shapeId="0">
      <text>
        <t>Fuente: output/v18/f5/contabilidad_ilustracion.csv; data/base/hechos.parquet; output/v18/f5/magnitudes.csv. Origen: output/v18/f6/hechos.json:V18-C5I-2008T1-2013T4-11-E3-P. Capa C4; clasificación V18: NO ESTIMABLE.</t>
      </text>
    </comment>
    <comment ref="A144" authorId="0" shapeId="0">
      <text>
        <t>Fuente: output/v18/f5/contabilidad_ilustracion.csv; data/base/hechos.parquet; output/v18/f5/magnitudes.csv. Origen: output/v18/f6/hechos.json:V18-C5I-2008T1-2013T4-11-E8-P. Capa C4; clasificación V18: NO ESTIMABLE.</t>
      </text>
    </comment>
    <comment ref="A145" authorId="0" shapeId="0">
      <text>
        <t>Fuente: output/v18/f5/contabilidad_ilustracion.csv; data/base/hechos.parquet; output/v18/f5/magnitudes.csv. Origen: output/v18/f6/hechos.json:V18-C5I-2008T1-2013T4-11-E9-P. Capa C4; clasificación V18: NO ESTIMABLE.</t>
      </text>
    </comment>
    <comment ref="A146" authorId="0" shapeId="0">
      <text>
        <t>Fuente: output/v18/f5/contabilidad_ilustracion.csv; data/base/hechos.parquet; output/v18/f5/magnitudes.csv. Origen: output/v18/f6/hechos.json:V18-C5I-2008T1-2013T4-11-NOEXPL-P. Capa C4; clasificación V18: NO ESTIMABLE.</t>
      </text>
    </comment>
    <comment ref="A147" authorId="0" shapeId="0">
      <text>
        <t>Fuente: output/v18/f5/contabilidad_ilustracion.csv; data/base/hechos.parquet; output/v18/f5/magnitudes.csv. Origen: output/v18/f6/hechos.json:V18-C5I-2008T1-2013T4-11-NOEXPL_alt_E9-P. Capa C4; clasificación V18: NO ESTIMABLE.</t>
      </text>
    </comment>
    <comment ref="A148" authorId="0" shapeId="0">
      <text>
        <t>Fuente: output/v18/f5/contabilidad_ilustracion.csv; data/base/hechos.parquet; output/v18/f5/magnitudes.csv. Origen: output/v18/f6/hechos.json:V18-C5I-2008T1-2013T4-12-E3-P. Capa C4; clasificación V18: NO ESTIMABLE.</t>
      </text>
    </comment>
    <comment ref="A149" authorId="0" shapeId="0">
      <text>
        <t>Fuente: output/v18/f5/contabilidad_ilustracion.csv; data/base/hechos.parquet; output/v18/f5/magnitudes.csv. Origen: output/v18/f6/hechos.json:V18-C5I-2008T1-2013T4-12-E8-P. Capa C4; clasificación V18: NO ESTIMABLE.</t>
      </text>
    </comment>
    <comment ref="A150" authorId="0" shapeId="0">
      <text>
        <t>Fuente: output/v18/f5/contabilidad_ilustracion.csv; data/base/hechos.parquet; output/v18/f5/magnitudes.csv. Origen: output/v18/f6/hechos.json:V18-C5I-2008T1-2013T4-12-E9-P. Capa C4; clasificación V18: NO ESTIMABLE.</t>
      </text>
    </comment>
    <comment ref="A151" authorId="0" shapeId="0">
      <text>
        <t>Fuente: output/v18/f5/contabilidad_ilustracion.csv; data/base/hechos.parquet; output/v18/f5/magnitudes.csv. Origen: output/v18/f6/hechos.json:V18-C5I-2008T1-2013T4-12-NOEXPL-P. Capa C4; clasificación V18: NO ESTIMABLE.</t>
      </text>
    </comment>
    <comment ref="A152" authorId="0" shapeId="0">
      <text>
        <t>Fuente: output/v18/f5/contabilidad_ilustracion.csv; data/base/hechos.parquet; output/v18/f5/magnitudes.csv. Origen: output/v18/f6/hechos.json:V18-C5I-2008T1-2013T4-12-NOEXPL_alt_E9-P. Capa C4; clasificación V18: NO ESTIMABLE.</t>
      </text>
    </comment>
    <comment ref="A153" authorId="0" shapeId="0">
      <text>
        <t>Fuente: output/v18/f5/contabilidad_ilustracion.csv; data/base/hechos.parquet; output/v18/f5/magnitudes.csv. Origen: output/v18/f6/hechos.json:V18-C5I-2008T1-2013T4-16-E3-P. Capa C4; clasificación V18: NO ESTIMABLE.</t>
      </text>
    </comment>
    <comment ref="A154" authorId="0" shapeId="0">
      <text>
        <t>Fuente: output/v18/f5/contabilidad_ilustracion.csv; data/base/hechos.parquet; output/v18/f5/magnitudes.csv. Origen: output/v18/f6/hechos.json:V18-C5I-2008T1-2013T4-16-E9-P. Capa C4; clasificación V18: NO ESTIMABLE.</t>
      </text>
    </comment>
    <comment ref="A155" authorId="0" shapeId="0">
      <text>
        <t>Fuente: output/v18/f5/contabilidad_ilustracion.csv; data/base/hechos.parquet; output/v18/f5/magnitudes.csv. Origen: output/v18/f6/hechos.json:V18-C5I-2008T1-2013T4-16-NOEXPL-P. Capa C4; clasificación V18: NO ESTIMABLE.</t>
      </text>
    </comment>
    <comment ref="A156" authorId="0" shapeId="0">
      <text>
        <t>Fuente: output/v18/f5/contabilidad_ilustracion.csv; data/base/hechos.parquet; output/v18/f5/magnitudes.csv. Origen: output/v18/f6/hechos.json:V18-C5I-2008T1-2013T4-16-NOEXPL_alt_E9-P. Capa C4; clasificación V18: NO ESTIMABLE.</t>
      </text>
    </comment>
    <comment ref="A157" authorId="0" shapeId="0">
      <text>
        <t>Fuente: output/v18/f5/contabilidad_ilustracion.csv; data/base/hechos.parquet; output/v18/f5/magnitudes.csv. Origen: output/v18/f6/hechos.json:V18-C5I-2014T1-2019T4-00-E3-P. Capa C4; clasificación V18: NO ESTIMABLE.</t>
      </text>
    </comment>
    <comment ref="A158" authorId="0" shapeId="0">
      <text>
        <t>Fuente: output/v18/f5/contabilidad_ilustracion.csv; data/base/hechos.parquet; output/v18/f5/magnitudes.csv. Origen: output/v18/f6/hechos.json:V18-C5I-2014T1-2019T4-00-E7-P. Capa C4; clasificación V18: NO ESTIMABLE.</t>
      </text>
    </comment>
    <comment ref="A159" authorId="0" shapeId="0">
      <text>
        <t>Fuente: output/v18/f5/contabilidad_ilustracion.csv; data/base/hechos.parquet; output/v18/f5/magnitudes.csv. Origen: output/v18/f6/hechos.json:V18-C5I-2014T1-2019T4-00-E9-P. Capa C4; clasificación V18: NO ESTIMABLE.</t>
      </text>
    </comment>
    <comment ref="A160" authorId="0" shapeId="0">
      <text>
        <t>Fuente: output/v18/f5/contabilidad_ilustracion.csv; data/base/hechos.parquet; output/v18/f5/magnitudes.csv. Origen: output/v18/f6/hechos.json:V18-C5I-2014T1-2019T4-00-NOEXPL-P. Capa C4; clasificación V18: NO ESTIMABLE.</t>
      </text>
    </comment>
    <comment ref="A161" authorId="0" shapeId="0">
      <text>
        <t>Fuente: output/v18/f5/contabilidad_ilustracion.csv; data/base/hechos.parquet; output/v18/f5/magnitudes.csv. Origen: output/v18/f6/hechos.json:V18-C5I-2014T1-2019T4-00-NOEXPL_alt_E9-P. Capa C4; clasificación V18: NO ESTIMABLE.</t>
      </text>
    </comment>
    <comment ref="A162" authorId="0" shapeId="0">
      <text>
        <t>Fuente: output/v18/f5/contabilidad_ilustracion.csv; data/base/hechos.parquet; output/v18/f5/magnitudes.csv. Origen: output/v18/f6/hechos.json:V18-C5I-2014T1-2019T4-01-E3-P. Capa C4; clasificación V18: NO ESTIMABLE.</t>
      </text>
    </comment>
    <comment ref="A163" authorId="0" shapeId="0">
      <text>
        <t>Fuente: output/v18/f5/contabilidad_ilustracion.csv; data/base/hechos.parquet; output/v18/f5/magnitudes.csv. Origen: output/v18/f6/hechos.json:V18-C5I-2014T1-2019T4-01-E8-P. Capa C4; clasificación V18: NO ESTIMABLE.</t>
      </text>
    </comment>
    <comment ref="A164" authorId="0" shapeId="0">
      <text>
        <t>Fuente: output/v18/f5/contabilidad_ilustracion.csv; data/base/hechos.parquet; output/v18/f5/magnitudes.csv. Origen: output/v18/f6/hechos.json:V18-C5I-2014T1-2019T4-01-E9-P. Capa C4; clasificación V18: NO ESTIMABLE.</t>
      </text>
    </comment>
    <comment ref="A165" authorId="0" shapeId="0">
      <text>
        <t>Fuente: output/v18/f5/contabilidad_ilustracion.csv; data/base/hechos.parquet; output/v18/f5/magnitudes.csv. Origen: output/v18/f6/hechos.json:V18-C5I-2014T1-2019T4-01-NOEXPL-P. Capa C4; clasificación V18: NO ESTIMABLE.</t>
      </text>
    </comment>
    <comment ref="A166" authorId="0" shapeId="0">
      <text>
        <t>Fuente: output/v18/f5/contabilidad_ilustracion.csv; data/base/hechos.parquet; output/v18/f5/magnitudes.csv. Origen: output/v18/f6/hechos.json:V18-C5I-2014T1-2019T4-01-NOEXPL_alt_E9-P. Capa C4; clasificación V18: NO ESTIMABLE.</t>
      </text>
    </comment>
    <comment ref="A167" authorId="0" shapeId="0">
      <text>
        <t>Fuente: output/v18/f5/contabilidad_ilustracion.csv; data/base/hechos.parquet; output/v18/f5/magnitudes.csv. Origen: output/v18/f6/hechos.json:V18-C5I-2014T1-2019T4-07-E3-P. Capa C4; clasificación V18: NO ESTIMABLE.</t>
      </text>
    </comment>
    <comment ref="A168" authorId="0" shapeId="0">
      <text>
        <t>Fuente: output/v18/f5/contabilidad_ilustracion.csv; data/base/hechos.parquet; output/v18/f5/magnitudes.csv. Origen: output/v18/f6/hechos.json:V18-C5I-2014T1-2019T4-07-E8-P. Capa C4; clasificación V18: NO ESTIMABLE.</t>
      </text>
    </comment>
    <comment ref="A169" authorId="0" shapeId="0">
      <text>
        <t>Fuente: output/v18/f5/contabilidad_ilustracion.csv; data/base/hechos.parquet; output/v18/f5/magnitudes.csv. Origen: output/v18/f6/hechos.json:V18-C5I-2014T1-2019T4-07-E9-P. Capa C4; clasificación V18: NO ESTIMABLE.</t>
      </text>
    </comment>
    <comment ref="A170" authorId="0" shapeId="0">
      <text>
        <t>Fuente: output/v18/f5/contabilidad_ilustracion.csv; data/base/hechos.parquet; output/v18/f5/magnitudes.csv. Origen: output/v18/f6/hechos.json:V18-C5I-2014T1-2019T4-07-NOEXPL-P. Capa C4; clasificación V18: NO ESTIMABLE.</t>
      </text>
    </comment>
    <comment ref="A171" authorId="0" shapeId="0">
      <text>
        <t>Fuente: output/v18/f5/contabilidad_ilustracion.csv; data/base/hechos.parquet; output/v18/f5/magnitudes.csv. Origen: output/v18/f6/hechos.json:V18-C5I-2014T1-2019T4-07-NOEXPL_alt_E9-P. Capa C4; clasificación V18: NO ESTIMABLE.</t>
      </text>
    </comment>
    <comment ref="A172" authorId="0" shapeId="0">
      <text>
        <t>Fuente: output/v18/f5/contabilidad_ilustracion.csv; data/base/hechos.parquet; output/v18/f5/magnitudes.csv. Origen: output/v18/f6/hechos.json:V18-C5I-2014T1-2019T4-08-E3-P. Capa C4; clasificación V18: NO ESTIMABLE.</t>
      </text>
    </comment>
    <comment ref="A173" authorId="0" shapeId="0">
      <text>
        <t>Fuente: output/v18/f5/contabilidad_ilustracion.csv; data/base/hechos.parquet; output/v18/f5/magnitudes.csv. Origen: output/v18/f6/hechos.json:V18-C5I-2014T1-2019T4-08-E8-P. Capa C4; clasificación V18: NO ESTIMABLE.</t>
      </text>
    </comment>
    <comment ref="A174" authorId="0" shapeId="0">
      <text>
        <t>Fuente: output/v18/f5/contabilidad_ilustracion.csv; data/base/hechos.parquet; output/v18/f5/magnitudes.csv. Origen: output/v18/f6/hechos.json:V18-C5I-2014T1-2019T4-08-E9-P. Capa C4; clasificación V18: NO ESTIMABLE.</t>
      </text>
    </comment>
    <comment ref="A175" authorId="0" shapeId="0">
      <text>
        <t>Fuente: output/v18/f5/contabilidad_ilustracion.csv; data/base/hechos.parquet; output/v18/f5/magnitudes.csv. Origen: output/v18/f6/hechos.json:V18-C5I-2014T1-2019T4-08-NOEXPL-P. Capa C4; clasificación V18: NO ESTIMABLE.</t>
      </text>
    </comment>
    <comment ref="A176" authorId="0" shapeId="0">
      <text>
        <t>Fuente: output/v18/f5/contabilidad_ilustracion.csv; data/base/hechos.parquet; output/v18/f5/magnitudes.csv. Origen: output/v18/f6/hechos.json:V18-C5I-2014T1-2019T4-08-NOEXPL_alt_E9-P. Capa C4; clasificación V18: NO ESTIMABLE.</t>
      </text>
    </comment>
    <comment ref="A177" authorId="0" shapeId="0">
      <text>
        <t>Fuente: output/v18/f5/contabilidad_ilustracion.csv; data/base/hechos.parquet; output/v18/f5/magnitudes.csv. Origen: output/v18/f6/hechos.json:V18-C5I-2014T1-2019T4-09-E8-P. Capa C4; clasificación V18: NO ESTIMABLE.</t>
      </text>
    </comment>
    <comment ref="A178" authorId="0" shapeId="0">
      <text>
        <t>Fuente: output/v18/f5/contabilidad_ilustracion.csv; data/base/hechos.parquet; output/v18/f5/magnitudes.csv. Origen: output/v18/f6/hechos.json:V18-C5I-2014T1-2019T4-09-E9-P. Capa C4; clasificación V18: NO ESTIMABLE.</t>
      </text>
    </comment>
    <comment ref="A179" authorId="0" shapeId="0">
      <text>
        <t>Fuente: output/v18/f5/contabilidad_ilustracion.csv; data/base/hechos.parquet; output/v18/f5/magnitudes.csv. Origen: output/v18/f6/hechos.json:V18-C5I-2014T1-2019T4-09-NOEXPL-P. Capa C4; clasificación V18: NO ESTIMABLE.</t>
      </text>
    </comment>
    <comment ref="A180" authorId="0" shapeId="0">
      <text>
        <t>Fuente: output/v18/f5/contabilidad_ilustracion.csv; data/base/hechos.parquet; output/v18/f5/magnitudes.csv. Origen: output/v18/f6/hechos.json:V18-C5I-2014T1-2019T4-09-NOEXPL_alt_E9-P. Capa C4; clasificación V18: NO ESTIMABLE.</t>
      </text>
    </comment>
    <comment ref="A181" authorId="0" shapeId="0">
      <text>
        <t>Fuente: output/v18/f5/contabilidad_ilustracion.csv; data/base/hechos.parquet; output/v18/f5/magnitudes.csv. Origen: output/v18/f6/hechos.json:V18-C5I-2014T1-2019T4-10-E3-P. Capa C4; clasificación V18: NO ESTIMABLE.</t>
      </text>
    </comment>
    <comment ref="A182" authorId="0" shapeId="0">
      <text>
        <t>Fuente: output/v18/f5/contabilidad_ilustracion.csv; data/base/hechos.parquet; output/v18/f5/magnitudes.csv. Origen: output/v18/f6/hechos.json:V18-C5I-2014T1-2019T4-10-E8-P. Capa C4; clasificación V18: NO ESTIMABLE.</t>
      </text>
    </comment>
    <comment ref="A183" authorId="0" shapeId="0">
      <text>
        <t>Fuente: output/v18/f5/contabilidad_ilustracion.csv; data/base/hechos.parquet; output/v18/f5/magnitudes.csv. Origen: output/v18/f6/hechos.json:V18-C5I-2014T1-2019T4-10-E9-P. Capa C4; clasificación V18: NO ESTIMABLE.</t>
      </text>
    </comment>
    <comment ref="A184" authorId="0" shapeId="0">
      <text>
        <t>Fuente: output/v18/f5/contabilidad_ilustracion.csv; data/base/hechos.parquet; output/v18/f5/magnitudes.csv. Origen: output/v18/f6/hechos.json:V18-C5I-2014T1-2019T4-10-NOEXPL-P. Capa C4; clasificación V18: NO ESTIMABLE.</t>
      </text>
    </comment>
    <comment ref="A185" authorId="0" shapeId="0">
      <text>
        <t>Fuente: output/v18/f5/contabilidad_ilustracion.csv; data/base/hechos.parquet; output/v18/f5/magnitudes.csv. Origen: output/v18/f6/hechos.json:V18-C5I-2014T1-2019T4-10-NOEXPL_alt_E9-P. Capa C4; clasificación V18: NO ESTIMABLE.</t>
      </text>
    </comment>
    <comment ref="A186" authorId="0" shapeId="0">
      <text>
        <t>Fuente: output/v18/f5/contabilidad_ilustracion.csv; data/base/hechos.parquet; output/v18/f5/magnitudes.csv. Origen: output/v18/f6/hechos.json:V18-C5I-2014T1-2019T4-11-E3-P. Capa C4; clasificación V18: NO ESTIMABLE.</t>
      </text>
    </comment>
    <comment ref="A187" authorId="0" shapeId="0">
      <text>
        <t>Fuente: output/v18/f5/contabilidad_ilustracion.csv; data/base/hechos.parquet; output/v18/f5/magnitudes.csv. Origen: output/v18/f6/hechos.json:V18-C5I-2014T1-2019T4-11-E8-P. Capa C4; clasificación V18: NO ESTIMABLE.</t>
      </text>
    </comment>
    <comment ref="A188" authorId="0" shapeId="0">
      <text>
        <t>Fuente: output/v18/f5/contabilidad_ilustracion.csv; data/base/hechos.parquet; output/v18/f5/magnitudes.csv. Origen: output/v18/f6/hechos.json:V18-C5I-2014T1-2019T4-11-E9-P. Capa C4; clasificación V18: NO ESTIMABLE.</t>
      </text>
    </comment>
    <comment ref="A189" authorId="0" shapeId="0">
      <text>
        <t>Fuente: output/v18/f5/contabilidad_ilustracion.csv; data/base/hechos.parquet; output/v18/f5/magnitudes.csv. Origen: output/v18/f6/hechos.json:V18-C5I-2014T1-2019T4-11-NOEXPL-P. Capa C4; clasificación V18: NO ESTIMABLE.</t>
      </text>
    </comment>
    <comment ref="A190" authorId="0" shapeId="0">
      <text>
        <t>Fuente: output/v18/f5/contabilidad_ilustracion.csv; data/base/hechos.parquet; output/v18/f5/magnitudes.csv. Origen: output/v18/f6/hechos.json:V18-C5I-2014T1-2019T4-11-NOEXPL_alt_E9-P. Capa C4; clasificación V18: NO ESTIMABLE.</t>
      </text>
    </comment>
    <comment ref="A191" authorId="0" shapeId="0">
      <text>
        <t>Fuente: output/v18/f5/contabilidad_ilustracion.csv; data/base/hechos.parquet; output/v18/f5/magnitudes.csv. Origen: output/v18/f6/hechos.json:V18-C5I-2014T1-2019T4-12-E3-P. Capa C4; clasificación V18: NO ESTIMABLE.</t>
      </text>
    </comment>
    <comment ref="A192" authorId="0" shapeId="0">
      <text>
        <t>Fuente: output/v18/f5/contabilidad_ilustracion.csv; data/base/hechos.parquet; output/v18/f5/magnitudes.csv. Origen: output/v18/f6/hechos.json:V18-C5I-2014T1-2019T4-12-E8-P. Capa C4; clasificación V18: NO ESTIMABLE.</t>
      </text>
    </comment>
    <comment ref="A193" authorId="0" shapeId="0">
      <text>
        <t>Fuente: output/v18/f5/contabilidad_ilustracion.csv; data/base/hechos.parquet; output/v18/f5/magnitudes.csv. Origen: output/v18/f6/hechos.json:V18-C5I-2014T1-2019T4-12-E9-P. Capa C4; clasificación V18: NO ESTIMABLE.</t>
      </text>
    </comment>
    <comment ref="A194" authorId="0" shapeId="0">
      <text>
        <t>Fuente: output/v18/f5/contabilidad_ilustracion.csv; data/base/hechos.parquet; output/v18/f5/magnitudes.csv. Origen: output/v18/f6/hechos.json:V18-C5I-2014T1-2019T4-12-NOEXPL-P. Capa C4; clasificación V18: NO ESTIMABLE.</t>
      </text>
    </comment>
    <comment ref="A195" authorId="0" shapeId="0">
      <text>
        <t>Fuente: output/v18/f5/contabilidad_ilustracion.csv; data/base/hechos.parquet; output/v18/f5/magnitudes.csv. Origen: output/v18/f6/hechos.json:V18-C5I-2014T1-2019T4-12-NOEXPL_alt_E9-P. Capa C4; clasificación V18: NO ESTIMABLE.</t>
      </text>
    </comment>
    <comment ref="A196" authorId="0" shapeId="0">
      <text>
        <t>Fuente: output/v18/f5/contabilidad_ilustracion.csv; data/base/hechos.parquet; output/v18/f5/magnitudes.csv. Origen: output/v18/f6/hechos.json:V18-C5I-2014T1-2019T4-16-E3-P. Capa C4; clasificación V18: NO ESTIMABLE.</t>
      </text>
    </comment>
    <comment ref="A197" authorId="0" shapeId="0">
      <text>
        <t>Fuente: output/v18/f5/contabilidad_ilustracion.csv; data/base/hechos.parquet; output/v18/f5/magnitudes.csv. Origen: output/v18/f6/hechos.json:V18-C5I-2014T1-2019T4-16-E9-P. Capa C4; clasificación V18: NO ESTIMABLE.</t>
      </text>
    </comment>
    <comment ref="A198" authorId="0" shapeId="0">
      <text>
        <t>Fuente: output/v18/f5/contabilidad_ilustracion.csv; data/base/hechos.parquet; output/v18/f5/magnitudes.csv. Origen: output/v18/f6/hechos.json:V18-C5I-2014T1-2019T4-16-NOEXPL-P. Capa C4; clasificación V18: NO ESTIMABLE.</t>
      </text>
    </comment>
    <comment ref="A199" authorId="0" shapeId="0">
      <text>
        <t>Fuente: output/v18/f5/contabilidad_ilustracion.csv; data/base/hechos.parquet; output/v18/f5/magnitudes.csv. Origen: output/v18/f6/hechos.json:V18-C5I-2014T1-2019T4-16-NOEXPL_alt_E9-P. Capa C4; clasificación V18: NO ESTIMABLE.</t>
      </text>
    </comment>
    <comment ref="A200" authorId="0" shapeId="0">
      <text>
        <t>Fuente: output/v18/f5/contabilidad_ilustracion.csv; data/base/hechos.parquet; output/v18/f5/magnitudes.csv. Origen: output/v18/f6/hechos.json:V18-C5I-2014T1-2019T4-46250-E3-P. Capa C4; clasificación V18: NO ESTIMABLE.</t>
      </text>
    </comment>
    <comment ref="A201" authorId="0" shapeId="0">
      <text>
        <t>Fuente: output/v18/f5/contabilidad_ilustracion.csv; data/base/hechos.parquet; output/v18/f5/magnitudes.csv. Origen: output/v18/f6/hechos.json:V18-C5I-2014T1-2019T4-46250-NOEXPL-P. Capa C4; clasificación V18: NO ESTIMABLE.</t>
      </text>
    </comment>
    <comment ref="A202" authorId="0" shapeId="0">
      <text>
        <t>Fuente: output/v18/f5/contabilidad_ilustracion.csv; data/base/hechos.parquet; output/v18/f5/magnitudes.csv. Origen: output/v18/f6/hechos.json:V18-C5I-2020T1-2022T2-00-E3-P. Capa C4; clasificación V18: NO ESTIMABLE.</t>
      </text>
    </comment>
    <comment ref="A203" authorId="0" shapeId="0">
      <text>
        <t>Fuente: output/v18/f5/contabilidad_ilustracion.csv; data/base/hechos.parquet; output/v18/f5/magnitudes.csv. Origen: output/v18/f6/hechos.json:V18-C5I-2020T1-2022T2-00-E7-P. Capa C4; clasificación V18: NO ESTIMABLE.</t>
      </text>
    </comment>
    <comment ref="A204" authorId="0" shapeId="0">
      <text>
        <t>Fuente: output/v18/f5/contabilidad_ilustracion.csv; data/base/hechos.parquet; output/v18/f5/magnitudes.csv. Origen: output/v18/f6/hechos.json:V18-C5I-2020T1-2022T2-00-NOEXPL-P. Capa C4; clasificación V18: NO ESTIMABLE.</t>
      </text>
    </comment>
    <comment ref="A205" authorId="0" shapeId="0">
      <text>
        <t>Fuente: output/v18/f5/contabilidad_ilustracion.csv; data/base/hechos.parquet; output/v18/f5/magnitudes.csv. Origen: output/v18/f6/hechos.json:V18-C5I-2020T1-2022T2-00-NOEXPL_alt_E9-P. Capa C4; clasificación V18: NO ESTIMABLE.</t>
      </text>
    </comment>
    <comment ref="A206" authorId="0" shapeId="0">
      <text>
        <t>Fuente: output/v18/f5/contabilidad_ilustracion.csv; data/base/hechos.parquet; output/v18/f5/magnitudes.csv. Origen: output/v18/f6/hechos.json:V18-C5I-2020T1-2022T2-01-E3-P. Capa C4; clasificación V18: NO ESTIMABLE.</t>
      </text>
    </comment>
    <comment ref="A207" authorId="0" shapeId="0">
      <text>
        <t>Fuente: output/v18/f5/contabilidad_ilustracion.csv; data/base/hechos.parquet; output/v18/f5/magnitudes.csv. Origen: output/v18/f6/hechos.json:V18-C5I-2020T1-2022T2-01-E8-P. Capa C4; clasificación V18: NO ESTIMABLE.</t>
      </text>
    </comment>
    <comment ref="A208" authorId="0" shapeId="0">
      <text>
        <t>Fuente: output/v18/f5/contabilidad_ilustracion.csv; data/base/hechos.parquet; output/v18/f5/magnitudes.csv. Origen: output/v18/f6/hechos.json:V18-C5I-2020T1-2022T2-01-NOEXPL-P. Capa C4; clasificación V18: NO ESTIMABLE.</t>
      </text>
    </comment>
    <comment ref="A209" authorId="0" shapeId="0">
      <text>
        <t>Fuente: output/v18/f5/contabilidad_ilustracion.csv; data/base/hechos.parquet; output/v18/f5/magnitudes.csv. Origen: output/v18/f6/hechos.json:V18-C5I-2020T1-2022T2-01-NOEXPL_alt_E9-P. Capa C4; clasificación V18: NO ESTIMABLE.</t>
      </text>
    </comment>
    <comment ref="A210" authorId="0" shapeId="0">
      <text>
        <t>Fuente: output/v18/f5/contabilidad_ilustracion.csv; data/base/hechos.parquet; output/v18/f5/magnitudes.csv. Origen: output/v18/f6/hechos.json:V18-C5I-2020T1-2022T2-07-E3-P. Capa C4; clasificación V18: NO ESTIMABLE.</t>
      </text>
    </comment>
    <comment ref="A211" authorId="0" shapeId="0">
      <text>
        <t>Fuente: output/v18/f5/contabilidad_ilustracion.csv; data/base/hechos.parquet; output/v18/f5/magnitudes.csv. Origen: output/v18/f6/hechos.json:V18-C5I-2020T1-2022T2-07-E8-P. Capa C4; clasificación V18: NO ESTIMABLE.</t>
      </text>
    </comment>
    <comment ref="A212" authorId="0" shapeId="0">
      <text>
        <t>Fuente: output/v18/f5/contabilidad_ilustracion.csv; data/base/hechos.parquet; output/v18/f5/magnitudes.csv. Origen: output/v18/f6/hechos.json:V18-C5I-2020T1-2022T2-07-E9-P. Capa C4; clasificación V18: NO ESTIMABLE.</t>
      </text>
    </comment>
    <comment ref="A213" authorId="0" shapeId="0">
      <text>
        <t>Fuente: output/v18/f5/contabilidad_ilustracion.csv; data/base/hechos.parquet; output/v18/f5/magnitudes.csv. Origen: output/v18/f6/hechos.json:V18-C5I-2020T1-2022T2-07-NOEXPL-P. Capa C4; clasificación V18: NO ESTIMABLE.</t>
      </text>
    </comment>
    <comment ref="A214" authorId="0" shapeId="0">
      <text>
        <t>Fuente: output/v18/f5/contabilidad_ilustracion.csv; data/base/hechos.parquet; output/v18/f5/magnitudes.csv. Origen: output/v18/f6/hechos.json:V18-C5I-2020T1-2022T2-07-NOEXPL_alt_E9-P. Capa C4; clasificación V18: NO ESTIMABLE.</t>
      </text>
    </comment>
    <comment ref="A215" authorId="0" shapeId="0">
      <text>
        <t>Fuente: output/v18/f5/contabilidad_ilustracion.csv; data/base/hechos.parquet; output/v18/f5/magnitudes.csv. Origen: output/v18/f6/hechos.json:V18-C5I-2020T1-2022T2-08-E3-P. Capa C4; clasificación V18: NO ESTIMABLE.</t>
      </text>
    </comment>
    <comment ref="A216" authorId="0" shapeId="0">
      <text>
        <t>Fuente: output/v18/f5/contabilidad_ilustracion.csv; data/base/hechos.parquet; output/v18/f5/magnitudes.csv. Origen: output/v18/f6/hechos.json:V18-C5I-2020T1-2022T2-08-E8-P. Capa C4; clasificación V18: NO ESTIMABLE.</t>
      </text>
    </comment>
    <comment ref="A217" authorId="0" shapeId="0">
      <text>
        <t>Fuente: output/v18/f5/contabilidad_ilustracion.csv; data/base/hechos.parquet; output/v18/f5/magnitudes.csv. Origen: output/v18/f6/hechos.json:V18-C5I-2020T1-2022T2-08-E9-P. Capa C4; clasificación V18: NO ESTIMABLE.</t>
      </text>
    </comment>
    <comment ref="A218" authorId="0" shapeId="0">
      <text>
        <t>Fuente: output/v18/f5/contabilidad_ilustracion.csv; data/base/hechos.parquet; output/v18/f5/magnitudes.csv. Origen: output/v18/f6/hechos.json:V18-C5I-2020T1-2022T2-08-NOEXPL-P. Capa C4; clasificación V18: NO ESTIMABLE.</t>
      </text>
    </comment>
    <comment ref="A219" authorId="0" shapeId="0">
      <text>
        <t>Fuente: output/v18/f5/contabilidad_ilustracion.csv; data/base/hechos.parquet; output/v18/f5/magnitudes.csv. Origen: output/v18/f6/hechos.json:V18-C5I-2020T1-2022T2-08-NOEXPL_alt_E9-P. Capa C4; clasificación V18: NO ESTIMABLE.</t>
      </text>
    </comment>
    <comment ref="A220" authorId="0" shapeId="0">
      <text>
        <t>Fuente: output/v18/f5/contabilidad_ilustracion.csv; data/base/hechos.parquet; output/v18/f5/magnitudes.csv. Origen: output/v18/f6/hechos.json:V18-C5I-2020T1-2022T2-08019-E1-N. Capa C4; clasificación V18: NO ESTIMABLE.</t>
      </text>
    </comment>
    <comment ref="A221" authorId="0" shapeId="0">
      <text>
        <t>Fuente: output/v18/f5/contabilidad_ilustracion.csv; data/base/hechos.parquet; output/v18/f5/magnitudes.csv. Origen: output/v18/f6/hechos.json:V18-C5I-2020T1-2022T2-08019-NOEXPL-N. Capa C4; clasificación V18: NO ESTIMABLE.</t>
      </text>
    </comment>
    <comment ref="A222" authorId="0" shapeId="0">
      <text>
        <t>Fuente: output/v18/f5/contabilidad_ilustracion.csv; data/base/hechos.parquet; output/v18/f5/magnitudes.csv. Origen: output/v18/f6/hechos.json:V18-C5I-2020T1-2022T2-09-E2-extremos-N. Capa C4; clasificación V18: SUGESTIVO.</t>
      </text>
    </comment>
    <comment ref="A223" authorId="0" shapeId="0">
      <text>
        <t>Fuente: output/v18/f5/contabilidad_ilustracion.csv; data/base/hechos.parquet; output/v18/f5/magnitudes.csv. Origen: output/v18/f6/hechos.json:V18-C5I-2020T1-2022T2-09-E2-vigencia-N. Capa C4; clasificación V18: SUGESTIVO.</t>
      </text>
    </comment>
    <comment ref="A224" authorId="0" shapeId="0">
      <text>
        <t>Fuente: output/v18/f5/contabilidad_ilustracion.csv; data/base/hechos.parquet; output/v18/f5/magnitudes.csv. Origen: output/v18/f6/hechos.json:V18-C5I-2020T1-2022T2-09-E3-P. Capa C4; clasificación V18: NO ESTIMABLE.</t>
      </text>
    </comment>
    <comment ref="A225" authorId="0" shapeId="0">
      <text>
        <t>Fuente: output/v18/f5/contabilidad_ilustracion.csv; data/base/hechos.parquet; output/v18/f5/magnitudes.csv. Origen: output/v18/f6/hechos.json:V18-C5I-2020T1-2022T2-09-E8-P. Capa C4; clasificación V18: NO ESTIMABLE.</t>
      </text>
    </comment>
    <comment ref="A226" authorId="0" shapeId="0">
      <text>
        <t>Fuente: output/v18/f5/contabilidad_ilustracion.csv; data/base/hechos.parquet; output/v18/f5/magnitudes.csv. Origen: output/v18/f6/hechos.json:V18-C5I-2020T1-2022T2-09-E9-P. Capa C4; clasificación V18: NO ESTIMABLE.</t>
      </text>
    </comment>
    <comment ref="A227" authorId="0" shapeId="0">
      <text>
        <t>Fuente: output/v18/f5/contabilidad_ilustracion.csv; data/base/hechos.parquet; output/v18/f5/magnitudes.csv. Origen: output/v18/f6/hechos.json:V18-C5I-2020T1-2022T2-09-NOEXPL-N. Capa C4; clasificación V18: NO ESTIMABLE.</t>
      </text>
    </comment>
    <comment ref="A228" authorId="0" shapeId="0">
      <text>
        <t>Fuente: output/v18/f5/contabilidad_ilustracion.csv; data/base/hechos.parquet; output/v18/f5/magnitudes.csv. Origen: output/v18/f6/hechos.json:V18-C5I-2020T1-2022T2-09-NOEXPL-P. Capa C4; clasificación V18: NO ESTIMABLE.</t>
      </text>
    </comment>
    <comment ref="A229" authorId="0" shapeId="0">
      <text>
        <t>Fuente: output/v18/f5/contabilidad_ilustracion.csv; data/base/hechos.parquet; output/v18/f5/magnitudes.csv. Origen: output/v18/f6/hechos.json:V18-C5I-2020T1-2022T2-09-NOEXPL_alt_E9-P. Capa C4; clasificación V18: NO ESTIMABLE.</t>
      </text>
    </comment>
    <comment ref="A230" authorId="0" shapeId="0">
      <text>
        <t>Fuente: output/v18/f5/contabilidad_ilustracion.csv; data/base/hechos.parquet; output/v18/f5/magnitudes.csv. Origen: output/v18/f6/hechos.json:V18-C5I-2020T1-2022T2-10-E3-P. Capa C4; clasificación V18: NO ESTIMABLE.</t>
      </text>
    </comment>
    <comment ref="A231" authorId="0" shapeId="0">
      <text>
        <t>Fuente: output/v18/f5/contabilidad_ilustracion.csv; data/base/hechos.parquet; output/v18/f5/magnitudes.csv. Origen: output/v18/f6/hechos.json:V18-C5I-2020T1-2022T2-10-E8-P. Capa C4; clasificación V18: NO ESTIMABLE.</t>
      </text>
    </comment>
    <comment ref="A232" authorId="0" shapeId="0">
      <text>
        <t>Fuente: output/v18/f5/contabilidad_ilustracion.csv; data/base/hechos.parquet; output/v18/f5/magnitudes.csv. Origen: output/v18/f6/hechos.json:V18-C5I-2020T1-2022T2-10-E9-P. Capa C4; clasificación V18: NO ESTIMABLE.</t>
      </text>
    </comment>
    <comment ref="A233" authorId="0" shapeId="0">
      <text>
        <t>Fuente: output/v18/f5/contabilidad_ilustracion.csv; data/base/hechos.parquet; output/v18/f5/magnitudes.csv. Origen: output/v18/f6/hechos.json:V18-C5I-2020T1-2022T2-10-NOEXPL-P. Capa C4; clasificación V18: NO ESTIMABLE.</t>
      </text>
    </comment>
    <comment ref="A234" authorId="0" shapeId="0">
      <text>
        <t>Fuente: output/v18/f5/contabilidad_ilustracion.csv; data/base/hechos.parquet; output/v18/f5/magnitudes.csv. Origen: output/v18/f6/hechos.json:V18-C5I-2020T1-2022T2-10-NOEXPL_alt_E9-P. Capa C4; clasificación V18: NO ESTIMABLE.</t>
      </text>
    </comment>
    <comment ref="A235" authorId="0" shapeId="0">
      <text>
        <t>Fuente: output/v18/f5/contabilidad_ilustracion.csv; data/base/hechos.parquet; output/v18/f5/magnitudes.csv. Origen: output/v18/f6/hechos.json:V18-C5I-2020T1-2022T2-11-E3-P. Capa C4; clasificación V18: NO ESTIMABLE.</t>
      </text>
    </comment>
    <comment ref="A236" authorId="0" shapeId="0">
      <text>
        <t>Fuente: output/v18/f5/contabilidad_ilustracion.csv; data/base/hechos.parquet; output/v18/f5/magnitudes.csv. Origen: output/v18/f6/hechos.json:V18-C5I-2020T1-2022T2-11-E8-P. Capa C4; clasificación V18: NO ESTIMABLE.</t>
      </text>
    </comment>
    <comment ref="A237" authorId="0" shapeId="0">
      <text>
        <t>Fuente: output/v18/f5/contabilidad_ilustracion.csv; data/base/hechos.parquet; output/v18/f5/magnitudes.csv. Origen: output/v18/f6/hechos.json:V18-C5I-2020T1-2022T2-11-E9-P. Capa C4; clasificación V18: NO ESTIMABLE.</t>
      </text>
    </comment>
    <comment ref="A238" authorId="0" shapeId="0">
      <text>
        <t>Fuente: output/v18/f5/contabilidad_ilustracion.csv; data/base/hechos.parquet; output/v18/f5/magnitudes.csv. Origen: output/v18/f6/hechos.json:V18-C5I-2020T1-2022T2-11-NOEXPL-P. Capa C4; clasificación V18: NO ESTIMABLE.</t>
      </text>
    </comment>
    <comment ref="A239" authorId="0" shapeId="0">
      <text>
        <t>Fuente: output/v18/f5/contabilidad_ilustracion.csv; data/base/hechos.parquet; output/v18/f5/magnitudes.csv. Origen: output/v18/f6/hechos.json:V18-C5I-2020T1-2022T2-11-NOEXPL_alt_E9-P. Capa C4; clasificación V18: NO ESTIMABLE.</t>
      </text>
    </comment>
    <comment ref="A240" authorId="0" shapeId="0">
      <text>
        <t>Fuente: output/v18/f5/contabilidad_ilustracion.csv; data/base/hechos.parquet; output/v18/f5/magnitudes.csv. Origen: output/v18/f6/hechos.json:V18-C5I-2020T1-2022T2-12-E3-P. Capa C4; clasificación V18: NO ESTIMABLE.</t>
      </text>
    </comment>
    <comment ref="A241" authorId="0" shapeId="0">
      <text>
        <t>Fuente: output/v18/f5/contabilidad_ilustracion.csv; data/base/hechos.parquet; output/v18/f5/magnitudes.csv. Origen: output/v18/f6/hechos.json:V18-C5I-2020T1-2022T2-12-E8-P. Capa C4; clasificación V18: NO ESTIMABLE.</t>
      </text>
    </comment>
    <comment ref="A242" authorId="0" shapeId="0">
      <text>
        <t>Fuente: output/v18/f5/contabilidad_ilustracion.csv; data/base/hechos.parquet; output/v18/f5/magnitudes.csv. Origen: output/v18/f6/hechos.json:V18-C5I-2020T1-2022T2-12-E9-P. Capa C4; clasificación V18: NO ESTIMABLE.</t>
      </text>
    </comment>
    <comment ref="A243" authorId="0" shapeId="0">
      <text>
        <t>Fuente: output/v18/f5/contabilidad_ilustracion.csv; data/base/hechos.parquet; output/v18/f5/magnitudes.csv. Origen: output/v18/f6/hechos.json:V18-C5I-2020T1-2022T2-12-NOEXPL-P. Capa C4; clasificación V18: NO ESTIMABLE.</t>
      </text>
    </comment>
    <comment ref="A244" authorId="0" shapeId="0">
      <text>
        <t>Fuente: output/v18/f5/contabilidad_ilustracion.csv; data/base/hechos.parquet; output/v18/f5/magnitudes.csv. Origen: output/v18/f6/hechos.json:V18-C5I-2020T1-2022T2-12-NOEXPL_alt_E9-P. Capa C4; clasificación V18: NO ESTIMABLE.</t>
      </text>
    </comment>
    <comment ref="A245" authorId="0" shapeId="0">
      <text>
        <t>Fuente: output/v18/f5/contabilidad_ilustracion.csv; data/base/hechos.parquet; output/v18/f5/magnitudes.csv. Origen: output/v18/f6/hechos.json:V18-C5I-2020T1-2022T2-16-E3-P. Capa C4; clasificación V18: NO ESTIMABLE.</t>
      </text>
    </comment>
    <comment ref="A246" authorId="0" shapeId="0">
      <text>
        <t>Fuente: output/v18/f5/contabilidad_ilustracion.csv; data/base/hechos.parquet; output/v18/f5/magnitudes.csv. Origen: output/v18/f6/hechos.json:V18-C5I-2020T1-2022T2-16-E9-P. Capa C4; clasificación V18: NO ESTIMABLE.</t>
      </text>
    </comment>
    <comment ref="A247" authorId="0" shapeId="0">
      <text>
        <t>Fuente: output/v18/f5/contabilidad_ilustracion.csv; data/base/hechos.parquet; output/v18/f5/magnitudes.csv. Origen: output/v18/f6/hechos.json:V18-C5I-2020T1-2022T2-16-NOEXPL-P. Capa C4; clasificación V18: NO ESTIMABLE.</t>
      </text>
    </comment>
    <comment ref="A248" authorId="0" shapeId="0">
      <text>
        <t>Fuente: output/v18/f5/contabilidad_ilustracion.csv; data/base/hechos.parquet; output/v18/f5/magnitudes.csv. Origen: output/v18/f6/hechos.json:V18-C5I-2020T1-2022T2-16-NOEXPL_alt_E9-P. Capa C4; clasificación V18: NO ESTIMABLE.</t>
      </text>
    </comment>
    <comment ref="A249" authorId="0" shapeId="0">
      <text>
        <t>Fuente: output/v18/f5/contabilidad_ilustracion.csv; data/base/hechos.parquet; output/v18/f5/magnitudes.csv. Origen: output/v18/f6/hechos.json:V18-C5I-2020T1-2022T2-46250-E3-P. Capa C4; clasificación V18: NO ESTIMABLE.</t>
      </text>
    </comment>
    <comment ref="A250" authorId="0" shapeId="0">
      <text>
        <t>Fuente: output/v18/f5/contabilidad_ilustracion.csv; data/base/hechos.parquet; output/v18/f5/magnitudes.csv. Origen: output/v18/f6/hechos.json:V18-C5I-2020T1-2022T2-46250-NOEXPL-P. Capa C4; clasificación V18: NO ESTIMABLE.</t>
      </text>
    </comment>
    <comment ref="A251" authorId="0" shapeId="0">
      <text>
        <t>Fuente: output/v18/f5/contabilidad_ilustracion.csv; data/base/hechos.parquet; output/v18/f5/magnitudes.csv. Origen: output/v18/f6/hechos.json:V18-C5I-2022T3-2026T2-00-E3-P. Capa C4; clasificación V18: NO ESTIMABLE.</t>
      </text>
    </comment>
    <comment ref="A252" authorId="0" shapeId="0">
      <text>
        <t>Fuente: output/v18/f5/contabilidad_ilustracion.csv; data/base/hechos.parquet; output/v18/f5/magnitudes.csv. Origen: output/v18/f6/hechos.json:V18-C5I-2022T3-2026T2-00-E7-P. Capa C4; clasificación V18: NO ESTIMABLE.</t>
      </text>
    </comment>
    <comment ref="A253" authorId="0" shapeId="0">
      <text>
        <t>Fuente: output/v18/f5/contabilidad_ilustracion.csv; data/base/hechos.parquet; output/v18/f5/magnitudes.csv. Origen: output/v18/f6/hechos.json:V18-C5I-2022T3-2026T2-00-E9-P. Capa C4; clasificación V18: NO ESTIMABLE.</t>
      </text>
    </comment>
    <comment ref="A254" authorId="0" shapeId="0">
      <text>
        <t>Fuente: output/v18/f5/contabilidad_ilustracion.csv; data/base/hechos.parquet; output/v18/f5/magnitudes.csv. Origen: output/v18/f6/hechos.json:V18-C5I-2022T3-2026T2-00-NOEXPL-P. Capa C4; clasificación V18: NO ESTIMABLE.</t>
      </text>
    </comment>
    <comment ref="A255" authorId="0" shapeId="0">
      <text>
        <t>Fuente: output/v18/f5/contabilidad_ilustracion.csv; data/base/hechos.parquet; output/v18/f5/magnitudes.csv. Origen: output/v18/f6/hechos.json:V18-C5I-2022T3-2026T2-00-NOEXPL_alt_E9-P. Capa C4; clasificación V18: NO ESTIMABLE.</t>
      </text>
    </comment>
    <comment ref="A256" authorId="0" shapeId="0">
      <text>
        <t>Fuente: output/v18/f5/contabilidad_ilustracion.csv; data/base/hechos.parquet; output/v18/f5/magnitudes.csv. Origen: output/v18/f6/hechos.json:V18-C5I-2022T3-2026T2-01-E3-P. Capa C4; clasificación V18: NO ESTIMABLE.</t>
      </text>
    </comment>
    <comment ref="A257" authorId="0" shapeId="0">
      <text>
        <t>Fuente: output/v18/f5/contabilidad_ilustracion.csv; data/base/hechos.parquet; output/v18/f5/magnitudes.csv. Origen: output/v18/f6/hechos.json:V18-C5I-2022T3-2026T2-01-E8-P. Capa C4; clasificación V18: NO ESTIMABLE.</t>
      </text>
    </comment>
    <comment ref="A258" authorId="0" shapeId="0">
      <text>
        <t>Fuente: output/v18/f5/contabilidad_ilustracion.csv; data/base/hechos.parquet; output/v18/f5/magnitudes.csv. Origen: output/v18/f6/hechos.json:V18-C5I-2022T3-2026T2-01-NOEXPL-P. Capa C4; clasificación V18: NO ESTIMABLE.</t>
      </text>
    </comment>
    <comment ref="A259" authorId="0" shapeId="0">
      <text>
        <t>Fuente: output/v18/f5/contabilidad_ilustracion.csv; data/base/hechos.parquet; output/v18/f5/magnitudes.csv. Origen: output/v18/f6/hechos.json:V18-C5I-2022T3-2026T2-01-NOEXPL_alt_E9-P. Capa C4; clasificación V18: NO ESTIMABLE.</t>
      </text>
    </comment>
    <comment ref="A260" authorId="0" shapeId="0">
      <text>
        <t>Fuente: output/v18/f5/contabilidad_ilustracion.csv; data/base/hechos.parquet; output/v18/f5/magnitudes.csv. Origen: output/v18/f6/hechos.json:V18-C5I-2022T3-2026T2-07-E3-P. Capa C4; clasificación V18: NO ESTIMABLE.</t>
      </text>
    </comment>
    <comment ref="A261" authorId="0" shapeId="0">
      <text>
        <t>Fuente: output/v18/f5/contabilidad_ilustracion.csv; data/base/hechos.parquet; output/v18/f5/magnitudes.csv. Origen: output/v18/f6/hechos.json:V18-C5I-2022T3-2026T2-07-E8-P. Capa C4; clasificación V18: NO ESTIMABLE.</t>
      </text>
    </comment>
    <comment ref="A262" authorId="0" shapeId="0">
      <text>
        <t>Fuente: output/v18/f5/contabilidad_ilustracion.csv; data/base/hechos.parquet; output/v18/f5/magnitudes.csv. Origen: output/v18/f6/hechos.json:V18-C5I-2022T3-2026T2-07-E9-P. Capa C4; clasificación V18: NO ESTIMABLE.</t>
      </text>
    </comment>
    <comment ref="A263" authorId="0" shapeId="0">
      <text>
        <t>Fuente: output/v18/f5/contabilidad_ilustracion.csv; data/base/hechos.parquet; output/v18/f5/magnitudes.csv. Origen: output/v18/f6/hechos.json:V18-C5I-2022T3-2026T2-07-NOEXPL-P. Capa C4; clasificación V18: NO ESTIMABLE.</t>
      </text>
    </comment>
    <comment ref="A264" authorId="0" shapeId="0">
      <text>
        <t>Fuente: output/v18/f5/contabilidad_ilustracion.csv; data/base/hechos.parquet; output/v18/f5/magnitudes.csv. Origen: output/v18/f6/hechos.json:V18-C5I-2022T3-2026T2-07-NOEXPL_alt_E9-P. Capa C4; clasificación V18: NO ESTIMABLE.</t>
      </text>
    </comment>
    <comment ref="A265" authorId="0" shapeId="0">
      <text>
        <t>Fuente: output/v18/f5/contabilidad_ilustracion.csv; data/base/hechos.parquet; output/v18/f5/magnitudes.csv. Origen: output/v18/f6/hechos.json:V18-C5I-2022T3-2026T2-08-E3-P. Capa C4; clasificación V18: NO ESTIMABLE.</t>
      </text>
    </comment>
    <comment ref="A266" authorId="0" shapeId="0">
      <text>
        <t>Fuente: output/v18/f5/contabilidad_ilustracion.csv; data/base/hechos.parquet; output/v18/f5/magnitudes.csv. Origen: output/v18/f6/hechos.json:V18-C5I-2022T3-2026T2-08-E8-P. Capa C4; clasificación V18: NO ESTIMABLE.</t>
      </text>
    </comment>
    <comment ref="A267" authorId="0" shapeId="0">
      <text>
        <t>Fuente: output/v18/f5/contabilidad_ilustracion.csv; data/base/hechos.parquet; output/v18/f5/magnitudes.csv. Origen: output/v18/f6/hechos.json:V18-C5I-2022T3-2026T2-08-E9-P. Capa C4; clasificación V18: NO ESTIMABLE.</t>
      </text>
    </comment>
    <comment ref="A268" authorId="0" shapeId="0">
      <text>
        <t>Fuente: output/v18/f5/contabilidad_ilustracion.csv; data/base/hechos.parquet; output/v18/f5/magnitudes.csv. Origen: output/v18/f6/hechos.json:V18-C5I-2022T3-2026T2-08-NOEXPL-P. Capa C4; clasificación V18: NO ESTIMABLE.</t>
      </text>
    </comment>
    <comment ref="A269" authorId="0" shapeId="0">
      <text>
        <t>Fuente: output/v18/f5/contabilidad_ilustracion.csv; data/base/hechos.parquet; output/v18/f5/magnitudes.csv. Origen: output/v18/f6/hechos.json:V18-C5I-2022T3-2026T2-08-NOEXPL_alt_E9-P. Capa C4; clasificación V18: NO ESTIMABLE.</t>
      </text>
    </comment>
    <comment ref="A270" authorId="0" shapeId="0">
      <text>
        <t>Fuente: output/v18/f5/contabilidad_ilustracion.csv; data/base/hechos.parquet; output/v18/f5/magnitudes.csv. Origen: output/v18/f6/hechos.json:V18-C5I-2022T3-2026T2-08019-E1-N. Capa C4; clasificación V18: NO ESTIMABLE.</t>
      </text>
    </comment>
    <comment ref="A271" authorId="0" shapeId="0">
      <text>
        <t>Fuente: output/v18/f5/contabilidad_ilustracion.csv; data/base/hechos.parquet; output/v18/f5/magnitudes.csv. Origen: output/v18/f6/hechos.json:V18-C5I-2022T3-2026T2-08019-NOEXPL-N. Capa C4; clasificación V18: NO ESTIMABLE.</t>
      </text>
    </comment>
    <comment ref="A272" authorId="0" shapeId="0">
      <text>
        <t>Fuente: output/v18/f5/contabilidad_ilustracion.csv; data/base/hechos.parquet; output/v18/f5/magnitudes.csv. Origen: output/v18/f6/hechos.json:V18-C5I-2022T3-2026T2-09-E3-P. Capa C4; clasificación V18: NO ESTIMABLE.</t>
      </text>
    </comment>
    <comment ref="A273" authorId="0" shapeId="0">
      <text>
        <t>Fuente: output/v18/f5/contabilidad_ilustracion.csv; data/base/hechos.parquet; output/v18/f5/magnitudes.csv. Origen: output/v18/f6/hechos.json:V18-C5I-2022T3-2026T2-09-E8-P. Capa C4; clasificación V18: NO ESTIMABLE.</t>
      </text>
    </comment>
    <comment ref="A274" authorId="0" shapeId="0">
      <text>
        <t>Fuente: output/v18/f5/contabilidad_ilustracion.csv; data/base/hechos.parquet; output/v18/f5/magnitudes.csv. Origen: output/v18/f6/hechos.json:V18-C5I-2022T3-2026T2-09-E9-P. Capa C4; clasificación V18: NO ESTIMABLE.</t>
      </text>
    </comment>
    <comment ref="A275" authorId="0" shapeId="0">
      <text>
        <t>Fuente: output/v18/f5/contabilidad_ilustracion.csv; data/base/hechos.parquet; output/v18/f5/magnitudes.csv. Origen: output/v18/f6/hechos.json:V18-C5I-2022T3-2026T2-09-NOEXPL-P. Capa C4; clasificación V18: NO ESTIMABLE.</t>
      </text>
    </comment>
    <comment ref="A276" authorId="0" shapeId="0">
      <text>
        <t>Fuente: output/v18/f5/contabilidad_ilustracion.csv; data/base/hechos.parquet; output/v18/f5/magnitudes.csv. Origen: output/v18/f6/hechos.json:V18-C5I-2022T3-2026T2-09-NOEXPL_alt_E9-P. Capa C4; clasificación V18: NO ESTIMABLE.</t>
      </text>
    </comment>
    <comment ref="A277" authorId="0" shapeId="0">
      <text>
        <t>Fuente: output/v18/f5/contabilidad_ilustracion.csv; data/base/hechos.parquet; output/v18/f5/magnitudes.csv. Origen: output/v18/f6/hechos.json:V18-C5I-2022T3-2026T2-10-E8-P. Capa C4; clasificación V18: NO ESTIMABLE.</t>
      </text>
    </comment>
    <comment ref="A278" authorId="0" shapeId="0">
      <text>
        <t>Fuente: output/v18/f5/contabilidad_ilustracion.csv; data/base/hechos.parquet; output/v18/f5/magnitudes.csv. Origen: output/v18/f6/hechos.json:V18-C5I-2022T3-2026T2-10-E9-P. Capa C4; clasificación V18: NO ESTIMABLE.</t>
      </text>
    </comment>
    <comment ref="A279" authorId="0" shapeId="0">
      <text>
        <t>Fuente: output/v18/f5/contabilidad_ilustracion.csv; data/base/hechos.parquet; output/v18/f5/magnitudes.csv. Origen: output/v18/f6/hechos.json:V18-C5I-2022T3-2026T2-10-NOEXPL-P. Capa C4; clasificación V18: NO ESTIMABLE.</t>
      </text>
    </comment>
    <comment ref="A280" authorId="0" shapeId="0">
      <text>
        <t>Fuente: output/v18/f5/contabilidad_ilustracion.csv; data/base/hechos.parquet; output/v18/f5/magnitudes.csv. Origen: output/v18/f6/hechos.json:V18-C5I-2022T3-2026T2-10-NOEXPL_alt_E9-P. Capa C4; clasificación V18: NO ESTIMABLE.</t>
      </text>
    </comment>
    <comment ref="A281" authorId="0" shapeId="0">
      <text>
        <t>Fuente: output/v18/f5/contabilidad_ilustracion.csv; data/base/hechos.parquet; output/v18/f5/magnitudes.csv. Origen: output/v18/f6/hechos.json:V18-C5I-2022T3-2026T2-11-E8-P. Capa C4; clasificación V18: NO ESTIMABLE.</t>
      </text>
    </comment>
    <comment ref="A282" authorId="0" shapeId="0">
      <text>
        <t>Fuente: output/v18/f5/contabilidad_ilustracion.csv; data/base/hechos.parquet; output/v18/f5/magnitudes.csv. Origen: output/v18/f6/hechos.json:V18-C5I-2022T3-2026T2-11-E9-P. Capa C4; clasificación V18: NO ESTIMABLE.</t>
      </text>
    </comment>
    <comment ref="A283" authorId="0" shapeId="0">
      <text>
        <t>Fuente: output/v18/f5/contabilidad_ilustracion.csv; data/base/hechos.parquet; output/v18/f5/magnitudes.csv. Origen: output/v18/f6/hechos.json:V18-C5I-2022T3-2026T2-11-NOEXPL-P. Capa C4; clasificación V18: NO ESTIMABLE.</t>
      </text>
    </comment>
    <comment ref="A284" authorId="0" shapeId="0">
      <text>
        <t>Fuente: output/v18/f5/contabilidad_ilustracion.csv; data/base/hechos.parquet; output/v18/f5/magnitudes.csv. Origen: output/v18/f6/hechos.json:V18-C5I-2022T3-2026T2-11-NOEXPL_alt_E9-P. Capa C4; clasificación V18: NO ESTIMABLE.</t>
      </text>
    </comment>
    <comment ref="A285" authorId="0" shapeId="0">
      <text>
        <t>Fuente: output/v18/f5/contabilidad_ilustracion.csv; data/base/hechos.parquet; output/v18/f5/magnitudes.csv. Origen: output/v18/f6/hechos.json:V18-C5I-2022T3-2026T2-12-E3-P. Capa C4; clasificación V18: NO ESTIMABLE.</t>
      </text>
    </comment>
    <comment ref="A286" authorId="0" shapeId="0">
      <text>
        <t>Fuente: output/v18/f5/contabilidad_ilustracion.csv; data/base/hechos.parquet; output/v18/f5/magnitudes.csv. Origen: output/v18/f6/hechos.json:V18-C5I-2022T3-2026T2-12-E8-P. Capa C4; clasificación V18: NO ESTIMABLE.</t>
      </text>
    </comment>
    <comment ref="A287" authorId="0" shapeId="0">
      <text>
        <t>Fuente: output/v18/f5/contabilidad_ilustracion.csv; data/base/hechos.parquet; output/v18/f5/magnitudes.csv. Origen: output/v18/f6/hechos.json:V18-C5I-2022T3-2026T2-12-E9-P. Capa C4; clasificación V18: NO ESTIMABLE.</t>
      </text>
    </comment>
    <comment ref="A288" authorId="0" shapeId="0">
      <text>
        <t>Fuente: output/v18/f5/contabilidad_ilustracion.csv; data/base/hechos.parquet; output/v18/f5/magnitudes.csv. Origen: output/v18/f6/hechos.json:V18-C5I-2022T3-2026T2-12-NOEXPL-P. Capa C4; clasificación V18: NO ESTIMABLE.</t>
      </text>
    </comment>
    <comment ref="A289" authorId="0" shapeId="0">
      <text>
        <t>Fuente: output/v18/f5/contabilidad_ilustracion.csv; data/base/hechos.parquet; output/v18/f5/magnitudes.csv. Origen: output/v18/f6/hechos.json:V18-C5I-2022T3-2026T2-12-NOEXPL_alt_E9-P. Capa C4; clasificación V18: NO ESTIMABLE.</t>
      </text>
    </comment>
    <comment ref="A290" authorId="0" shapeId="0">
      <text>
        <t>Fuente: output/v18/f5/contabilidad_ilustracion.csv; data/base/hechos.parquet; output/v18/f5/magnitudes.csv. Origen: output/v18/f6/hechos.json:V18-C5I-2022T3-2026T2-16-E3-P. Capa C4; clasificación V18: NO ESTIMABLE.</t>
      </text>
    </comment>
    <comment ref="A291" authorId="0" shapeId="0">
      <text>
        <t>Fuente: output/v18/f5/contabilidad_ilustracion.csv; data/base/hechos.parquet; output/v18/f5/magnitudes.csv. Origen: output/v18/f6/hechos.json:V18-C5I-2022T3-2026T2-16-E9-P. Capa C4; clasificación V18: NO ESTIMABLE.</t>
      </text>
    </comment>
    <comment ref="A292" authorId="0" shapeId="0">
      <text>
        <t>Fuente: output/v18/f5/contabilidad_ilustracion.csv; data/base/hechos.parquet; output/v18/f5/magnitudes.csv. Origen: output/v18/f6/hechos.json:V18-C5I-2022T3-2026T2-16-NOEXPL-P. Capa C4; clasificación V18: NO ESTIMABLE.</t>
      </text>
    </comment>
    <comment ref="A293" authorId="0" shapeId="0">
      <text>
        <t>Fuente: output/v18/f5/contabilidad_ilustracion.csv; data/base/hechos.parquet; output/v18/f5/magnitudes.csv. Origen: output/v18/f6/hechos.json:V18-C5I-2022T3-2026T2-16-NOEXPL_alt_E9-P. Capa C4; clasificación V18: NO ESTIMABLE.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impactos: tabla del resumen ejecutivo del Documento de Trabajo V18</t>
        </is>
      </c>
    </row>
    <row r="2">
      <c r="A2" s="2" t="inlineStr">
        <is>
          <t>Fuente: pestaña magnitudes (vínculos). AZUL: dato introducido (fuente en la nota de la celda); NEGRO: fórmula de esta hoja; VERDE: vínculo a otra pestaña.</t>
        </is>
      </c>
    </row>
    <row r="3">
      <c r="A3" s="3" t="inlineStr">
        <is>
          <t>factor</t>
        </is>
      </c>
      <c r="B3" s="3" t="inlineStr">
        <is>
          <t>magnitud preferida</t>
        </is>
      </c>
      <c r="C3" s="3" t="inlineStr">
        <is>
          <t>min</t>
        </is>
      </c>
      <c r="D3" s="3" t="inlineStr">
        <is>
          <t>max</t>
        </is>
      </c>
      <c r="E3" s="3" t="inlineStr">
        <is>
          <t>clasificación</t>
        </is>
      </c>
      <c r="F3" s="3" t="inlineStr">
        <is>
          <t>estado B5</t>
        </is>
      </c>
      <c r="G3" s="3" t="inlineStr">
        <is>
          <t>n estudios</t>
        </is>
      </c>
      <c r="H3" s="4" t="inlineStr">
        <is>
          <t>confianza</t>
        </is>
      </c>
      <c r="I3" s="3" t="inlineStr">
        <is>
          <t>limitación principal</t>
        </is>
      </c>
    </row>
    <row r="4">
      <c r="A4" s="5">
        <f>magnitudes!A4</f>
        <v/>
      </c>
      <c r="B4" s="5">
        <f>magnitudes!D4</f>
        <v/>
      </c>
      <c r="C4" s="5">
        <f>magnitudes!E4</f>
        <v/>
      </c>
      <c r="D4" s="5">
        <f>magnitudes!F4</f>
        <v/>
      </c>
      <c r="E4" s="5">
        <f>magnitudes!H4</f>
        <v/>
      </c>
      <c r="F4" s="5">
        <f>magnitudes!I4</f>
        <v/>
      </c>
      <c r="G4" s="5">
        <f>magnitudes!J4</f>
        <v/>
      </c>
      <c r="H4" s="6">
        <f>IF(AND(LEFT(F4,18)="magnitud preferida",G4&gt;=3),"media",IF(LEFT(F4,22)="rango de la literatura","muy baja","baja"))</f>
        <v/>
      </c>
      <c r="I4" s="5">
        <f>magnitudes!K4</f>
        <v/>
      </c>
    </row>
    <row r="5">
      <c r="A5" s="5">
        <f>magnitudes!A5</f>
        <v/>
      </c>
      <c r="B5" s="5">
        <f>magnitudes!D5</f>
        <v/>
      </c>
      <c r="C5" s="5">
        <f>magnitudes!E5</f>
        <v/>
      </c>
      <c r="D5" s="5">
        <f>magnitudes!F5</f>
        <v/>
      </c>
      <c r="E5" s="5">
        <f>magnitudes!H5</f>
        <v/>
      </c>
      <c r="F5" s="5">
        <f>magnitudes!I5</f>
        <v/>
      </c>
      <c r="G5" s="5">
        <f>magnitudes!J5</f>
        <v/>
      </c>
      <c r="H5" s="6">
        <f>IF(AND(LEFT(F5,18)="magnitud preferida",G5&gt;=3),"media",IF(LEFT(F5,22)="rango de la literatura","muy baja","baja"))</f>
        <v/>
      </c>
      <c r="I5" s="5">
        <f>magnitudes!K5</f>
        <v/>
      </c>
    </row>
    <row r="6">
      <c r="A6" s="5">
        <f>magnitudes!A6</f>
        <v/>
      </c>
      <c r="B6" s="5">
        <f>magnitudes!D6</f>
        <v/>
      </c>
      <c r="C6" s="5">
        <f>magnitudes!E6</f>
        <v/>
      </c>
      <c r="D6" s="5">
        <f>magnitudes!F6</f>
        <v/>
      </c>
      <c r="E6" s="5">
        <f>magnitudes!H6</f>
        <v/>
      </c>
      <c r="F6" s="5">
        <f>magnitudes!I6</f>
        <v/>
      </c>
      <c r="G6" s="5">
        <f>magnitudes!J6</f>
        <v/>
      </c>
      <c r="H6" s="6">
        <f>IF(AND(LEFT(F6,18)="magnitud preferida",G6&gt;=3),"media",IF(LEFT(F6,22)="rango de la literatura","muy baja","baja"))</f>
        <v/>
      </c>
      <c r="I6" s="5">
        <f>magnitudes!K6</f>
        <v/>
      </c>
    </row>
    <row r="7">
      <c r="A7" s="5">
        <f>magnitudes!A7</f>
        <v/>
      </c>
      <c r="B7" s="5">
        <f>magnitudes!D7</f>
        <v/>
      </c>
      <c r="C7" s="5">
        <f>magnitudes!E7</f>
        <v/>
      </c>
      <c r="D7" s="5">
        <f>magnitudes!F7</f>
        <v/>
      </c>
      <c r="E7" s="5">
        <f>magnitudes!H7</f>
        <v/>
      </c>
      <c r="F7" s="5">
        <f>magnitudes!I7</f>
        <v/>
      </c>
      <c r="G7" s="5">
        <f>magnitudes!J7</f>
        <v/>
      </c>
      <c r="H7" s="6">
        <f>IF(AND(LEFT(F7,18)="magnitud preferida",G7&gt;=3),"media",IF(LEFT(F7,22)="rango de la literatura","muy baja","baja"))</f>
        <v/>
      </c>
      <c r="I7" s="5">
        <f>magnitudes!K7</f>
        <v/>
      </c>
    </row>
    <row r="8">
      <c r="A8" s="5">
        <f>magnitudes!A8</f>
        <v/>
      </c>
      <c r="B8" s="5">
        <f>magnitudes!D8</f>
        <v/>
      </c>
      <c r="C8" s="5">
        <f>magnitudes!E8</f>
        <v/>
      </c>
      <c r="D8" s="5">
        <f>magnitudes!F8</f>
        <v/>
      </c>
      <c r="E8" s="5">
        <f>magnitudes!H8</f>
        <v/>
      </c>
      <c r="F8" s="5">
        <f>magnitudes!I8</f>
        <v/>
      </c>
      <c r="G8" s="5">
        <f>magnitudes!J8</f>
        <v/>
      </c>
      <c r="H8" s="6">
        <f>IF(AND(LEFT(F8,18)="magnitud preferida",G8&gt;=3),"media",IF(LEFT(F8,22)="rango de la literatura","muy baja","baja"))</f>
        <v/>
      </c>
      <c r="I8" s="5">
        <f>magnitudes!K8</f>
        <v/>
      </c>
    </row>
    <row r="9">
      <c r="A9" s="5">
        <f>magnitudes!A9</f>
        <v/>
      </c>
      <c r="B9" s="5">
        <f>magnitudes!D9</f>
        <v/>
      </c>
      <c r="C9" s="5">
        <f>magnitudes!E9</f>
        <v/>
      </c>
      <c r="D9" s="5">
        <f>magnitudes!F9</f>
        <v/>
      </c>
      <c r="E9" s="5">
        <f>magnitudes!H9</f>
        <v/>
      </c>
      <c r="F9" s="5">
        <f>magnitudes!I9</f>
        <v/>
      </c>
      <c r="G9" s="5">
        <f>magnitudes!J9</f>
        <v/>
      </c>
      <c r="H9" s="6">
        <f>IF(AND(LEFT(F9,18)="magnitud preferida",G9&gt;=3),"media",IF(LEFT(F9,22)="rango de la literatura","muy baja","baja"))</f>
        <v/>
      </c>
      <c r="I9" s="5">
        <f>magnitudes!K9</f>
        <v/>
      </c>
    </row>
    <row r="10">
      <c r="A10" s="5">
        <f>magnitudes!A10</f>
        <v/>
      </c>
      <c r="B10" s="5">
        <f>magnitudes!D10</f>
        <v/>
      </c>
      <c r="C10" s="5">
        <f>magnitudes!E10</f>
        <v/>
      </c>
      <c r="D10" s="5">
        <f>magnitudes!F10</f>
        <v/>
      </c>
      <c r="E10" s="5">
        <f>magnitudes!H10</f>
        <v/>
      </c>
      <c r="F10" s="5">
        <f>magnitudes!I10</f>
        <v/>
      </c>
      <c r="G10" s="5">
        <f>magnitudes!J10</f>
        <v/>
      </c>
      <c r="H10" s="6">
        <f>IF(AND(LEFT(F10,18)="magnitud preferida",G10&gt;=3),"media",IF(LEFT(F10,22)="rango de la literatura","muy baja","baja"))</f>
        <v/>
      </c>
      <c r="I10" s="5">
        <f>magnitudes!K10</f>
        <v/>
      </c>
    </row>
    <row r="11">
      <c r="A11" s="5">
        <f>magnitudes!A11</f>
        <v/>
      </c>
      <c r="B11" s="5">
        <f>magnitudes!D11</f>
        <v/>
      </c>
      <c r="C11" s="5">
        <f>magnitudes!E11</f>
        <v/>
      </c>
      <c r="D11" s="5">
        <f>magnitudes!F11</f>
        <v/>
      </c>
      <c r="E11" s="5">
        <f>magnitudes!H11</f>
        <v/>
      </c>
      <c r="F11" s="5">
        <f>magnitudes!I11</f>
        <v/>
      </c>
      <c r="G11" s="5">
        <f>magnitudes!J11</f>
        <v/>
      </c>
      <c r="H11" s="6">
        <f>IF(AND(LEFT(F11,18)="magnitud preferida",G11&gt;=3),"media",IF(LEFT(F11,22)="rango de la literatura","muy baja","baja"))</f>
        <v/>
      </c>
      <c r="I11" s="5">
        <f>magnitudes!K11</f>
        <v/>
      </c>
    </row>
    <row r="12">
      <c r="A12" s="5">
        <f>magnitudes!A12</f>
        <v/>
      </c>
      <c r="B12" s="5">
        <f>magnitudes!D12</f>
        <v/>
      </c>
      <c r="C12" s="5">
        <f>magnitudes!E12</f>
        <v/>
      </c>
      <c r="D12" s="5">
        <f>magnitudes!F12</f>
        <v/>
      </c>
      <c r="E12" s="5">
        <f>magnitudes!H12</f>
        <v/>
      </c>
      <c r="F12" s="5">
        <f>magnitudes!I12</f>
        <v/>
      </c>
      <c r="G12" s="5">
        <f>magnitudes!J12</f>
        <v/>
      </c>
      <c r="H12" s="6">
        <f>IF(AND(LEFT(F12,18)="magnitud preferida",G12&gt;=3),"media",IF(LEFT(F12,22)="rango de la literatura","muy baja","baja"))</f>
        <v/>
      </c>
      <c r="I12" s="5">
        <f>magnitudes!K12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magnitudes: magnitud preferida por factor (B5)</t>
        </is>
      </c>
    </row>
    <row r="2">
      <c r="A2" s="2" t="inlineStr">
        <is>
          <t>Fuente: output/v5/cifras_clave.csv (V18-B5-E*) y output/v18/f5/magnitudes.csv. AZUL: dato introducido (fuente en la nota de la celda); NEGRO: fórmula de esta hoja; VERDE: vínculo a otra pestaña.</t>
        </is>
      </c>
    </row>
    <row r="3">
      <c r="A3" s="7" t="inlineStr">
        <is>
          <t>factor</t>
        </is>
      </c>
      <c r="B3" s="7" t="inlineStr">
        <is>
          <t>id</t>
        </is>
      </c>
      <c r="C3" s="7" t="inlineStr">
        <is>
          <t>indicador</t>
        </is>
      </c>
      <c r="D3" s="7" t="inlineStr">
        <is>
          <t>valor</t>
        </is>
      </c>
      <c r="E3" s="7" t="inlineStr">
        <is>
          <t>min</t>
        </is>
      </c>
      <c r="F3" s="7" t="inlineStr">
        <is>
          <t>max</t>
        </is>
      </c>
      <c r="G3" s="7" t="inlineStr">
        <is>
          <t>unidad</t>
        </is>
      </c>
      <c r="H3" s="7" t="inlineStr">
        <is>
          <t>clasificacion_v18</t>
        </is>
      </c>
      <c r="I3" s="7" t="inlineStr">
        <is>
          <t>estado_b5</t>
        </is>
      </c>
      <c r="J3" s="7" t="inlineStr">
        <is>
          <t>n_estudios_meta</t>
        </is>
      </c>
      <c r="K3" s="7" t="inlineStr">
        <is>
          <t>limitacion</t>
        </is>
      </c>
      <c r="L3" s="4" t="inlineStr">
        <is>
          <t>ancho (max - min)</t>
        </is>
      </c>
    </row>
    <row r="4">
      <c r="A4" s="2" t="inlineStr">
        <is>
          <t>E1</t>
        </is>
      </c>
      <c r="B4" s="2" t="inlineStr">
        <is>
          <t>V18-B5-E1</t>
        </is>
      </c>
      <c r="C4" s="2" t="inlineStr">
        <is>
          <t>Magnitud preferida de vivienda turística (E1): Δln del alquiler por +1 pp de viviendas turísticas sobre el parque</t>
        </is>
      </c>
      <c r="D4" s="2" t="n">
        <v>0.038</v>
      </c>
      <c r="E4" s="2" t="n">
        <v>0.0145</v>
      </c>
      <c r="F4" s="2" t="n">
        <v>0.0615</v>
      </c>
      <c r="G4" s="2" t="inlineStr">
        <is>
          <t>Δln del alquiler por +1 pp de viviendas turísticas sobre el parque</t>
        </is>
      </c>
      <c r="H4" s="2" t="inlineStr">
        <is>
          <t>NO ESTIMABLE</t>
        </is>
      </c>
      <c r="I4" s="2" t="inlineStr">
        <is>
          <t>magnitud de un solo estudio</t>
        </is>
      </c>
      <c r="J4" s="2" t="n">
        <v>1</v>
      </c>
      <c r="K4" s="2" t="inlineStr">
        <is>
          <t>un solo estudio en la unidad: sin heterogeneidad estimable</t>
        </is>
      </c>
      <c r="L4" s="6">
        <f>IF(AND(ISNUMBER(E4),ISNUMBER(F4)),F4-E4,"")</f>
        <v/>
      </c>
    </row>
    <row r="5">
      <c r="A5" s="2" t="inlineStr">
        <is>
          <t>E2</t>
        </is>
      </c>
      <c r="B5" s="2" t="inlineStr">
        <is>
          <t>V18-B5-E2</t>
        </is>
      </c>
      <c r="C5" s="2" t="inlineStr">
        <is>
          <t>Magnitud preferida de topes al alquiler (E2): ATT en ln de la renta de los contratos regulados</t>
        </is>
      </c>
      <c r="D5" s="2" t="n"/>
      <c r="E5" s="2" t="n">
        <v>-0.1225</v>
      </c>
      <c r="F5" s="2" t="n">
        <v>0.0029</v>
      </c>
      <c r="G5" s="2" t="inlineStr">
        <is>
          <t>ATT en ln de la renta de los contratos regulados</t>
        </is>
      </c>
      <c r="H5" s="2" t="inlineStr">
        <is>
          <t>SUGESTIVO</t>
        </is>
      </c>
      <c r="I5" s="2" t="inlineStr">
        <is>
          <t>rango sin magnitud preferida (la decisión no coincide en las tres priors)</t>
        </is>
      </c>
      <c r="J5" s="2" t="n">
        <v>3</v>
      </c>
      <c r="K5" s="2" t="inlineStr">
        <is>
          <t>herramienta meta_bayes NO APTO por conservadora (intervalos que cubren de más; el prior s/2 queda corto en calibración); episodio compartido con el original: cuenta una vez (rho = 0,8)</t>
        </is>
      </c>
      <c r="L5" s="6">
        <f>IF(AND(ISNUMBER(E5),ISNUMBER(F5)),F5-E5,"")</f>
        <v/>
      </c>
    </row>
    <row r="6">
      <c r="A6" s="2" t="inlineStr">
        <is>
          <t>E3</t>
        </is>
      </c>
      <c r="B6" s="2" t="inlineStr">
        <is>
          <t>V18-B5-E3</t>
        </is>
      </c>
      <c r="C6" s="2" t="inlineStr">
        <is>
          <t>Magnitud preferida de inmigración (E3): % de precio por +1 % de población por entrada de inmigrantes</t>
        </is>
      </c>
      <c r="D6" s="2" t="n"/>
      <c r="E6" s="2" t="n">
        <v>-0.4902</v>
      </c>
      <c r="F6" s="2" t="n">
        <v>3.5146</v>
      </c>
      <c r="G6" s="2" t="inlineStr">
        <is>
          <t>% de precio por +1 % de población por entrada de inmigrantes</t>
        </is>
      </c>
      <c r="H6" s="2" t="inlineStr">
        <is>
          <t>NO ESTIMABLE</t>
        </is>
      </c>
      <c r="I6" s="2" t="inlineStr">
        <is>
          <t>rango sin magnitud preferida (I² &gt; 75 % y el intervalo de predicción cambia de signo)</t>
        </is>
      </c>
      <c r="J6" s="2" t="n">
        <v>5</v>
      </c>
      <c r="K6" s="2" t="inlineStr">
        <is>
          <t>herramienta meta_bayes NO APTO por conservadora (intervalos que cubren de más; el prior s/2 queda corto en calibración)</t>
        </is>
      </c>
      <c r="L6" s="6">
        <f>IF(AND(ISNUMBER(E6),ISNUMBER(F6)),F6-E6,"")</f>
        <v/>
      </c>
    </row>
    <row r="7">
      <c r="A7" s="2" t="inlineStr">
        <is>
          <t>E4</t>
        </is>
      </c>
      <c r="B7" s="2" t="inlineStr">
        <is>
          <t>V18-B5-E4</t>
        </is>
      </c>
      <c r="C7" s="2" t="inlineStr">
        <is>
          <t>Magnitud preferida de ayudas a la demanda (E4): θ: euros de alquiler por euro de ayuda</t>
        </is>
      </c>
      <c r="D7" s="2" t="n">
        <v>0.0408</v>
      </c>
      <c r="E7" s="2" t="n">
        <v>-0.0138</v>
      </c>
      <c r="F7" s="2" t="n">
        <v>0.0953</v>
      </c>
      <c r="G7" s="2" t="inlineStr">
        <is>
          <t>θ: euros de alquiler por euro de ayuda</t>
        </is>
      </c>
      <c r="H7" s="2" t="inlineStr">
        <is>
          <t>NO ESTIMABLE</t>
        </is>
      </c>
      <c r="I7" s="2" t="inlineStr">
        <is>
          <t>magnitud preferida</t>
        </is>
      </c>
      <c r="J7" s="2" t="n">
        <v>2</v>
      </c>
      <c r="K7" s="2" t="inlineStr">
        <is>
          <t>con K = 2 el efecto fijo no cubre mu si hay heterogeneidad (cobertura 0,50-0,56 en el Monte Carlo)</t>
        </is>
      </c>
      <c r="L7" s="6">
        <f>IF(AND(ISNUMBER(E7),ISNUMBER(F7)),F7-E7,"")</f>
        <v/>
      </c>
    </row>
    <row r="8">
      <c r="A8" s="2" t="inlineStr">
        <is>
          <t>E5</t>
        </is>
      </c>
      <c r="B8" s="2" t="inlineStr">
        <is>
          <t>V18-B5-E5</t>
        </is>
      </c>
      <c r="C8" s="2" t="inlineStr">
        <is>
          <t>Magnitud preferida de oferta y suelo (E5): elasticidad precio de la oferta de unidades</t>
        </is>
      </c>
      <c r="D8" s="2" t="n"/>
      <c r="E8" s="2" t="n">
        <v>-0.2016</v>
      </c>
      <c r="F8" s="2" t="n">
        <v>1.4847</v>
      </c>
      <c r="G8" s="2" t="inlineStr">
        <is>
          <t>elasticidad precio de la oferta de unidades</t>
        </is>
      </c>
      <c r="H8" s="2" t="inlineStr">
        <is>
          <t>NO ESTIMABLE</t>
        </is>
      </c>
      <c r="I8" s="2" t="inlineStr">
        <is>
          <t>rango sin magnitud preferida (I² &gt; 75 % y el intervalo de predicción cambia de signo)</t>
        </is>
      </c>
      <c r="J8" s="2" t="n">
        <v>3</v>
      </c>
      <c r="K8" s="2" t="inlineStr">
        <is>
          <t>herramienta meta_bayes NO APTO por conservadora (intervalos que cubren de más; el prior s/2 queda corto en calibración)</t>
        </is>
      </c>
      <c r="L8" s="6">
        <f>IF(AND(ISNUMBER(E8),ISNUMBER(F8)),F8-E8,"")</f>
        <v/>
      </c>
    </row>
    <row r="9">
      <c r="A9" s="2" t="inlineStr">
        <is>
          <t>E6</t>
        </is>
      </c>
      <c r="B9" s="2" t="inlineStr">
        <is>
          <t>V18-B5-E6</t>
        </is>
      </c>
      <c r="C9" s="2" t="inlineStr">
        <is>
          <t>Magnitud preferida de obra nueva (E6): elasticidad del alquiler respecto a la oferta nueva (% por 1 %)</t>
        </is>
      </c>
      <c r="D9" s="2" t="n">
        <v>-0.192</v>
      </c>
      <c r="E9" s="2" t="n">
        <v>-0.3194</v>
      </c>
      <c r="F9" s="2" t="n">
        <v>-0.0646</v>
      </c>
      <c r="G9" s="2" t="inlineStr">
        <is>
          <t>elasticidad del alquiler respecto a la oferta nueva (% por 1 %)</t>
        </is>
      </c>
      <c r="H9" s="2" t="inlineStr">
        <is>
          <t>NO ESTIMABLE</t>
        </is>
      </c>
      <c r="I9" s="2" t="inlineStr">
        <is>
          <t>magnitud de un solo estudio</t>
        </is>
      </c>
      <c r="J9" s="2" t="n">
        <v>1</v>
      </c>
      <c r="K9" s="2" t="inlineStr">
        <is>
          <t>un solo estudio en la unidad: sin heterogeneidad estimable</t>
        </is>
      </c>
      <c r="L9" s="6">
        <f>IF(AND(ISNUMBER(E9),ISNUMBER(F9)),F9-E9,"")</f>
        <v/>
      </c>
    </row>
    <row r="10">
      <c r="A10" s="2" t="inlineStr">
        <is>
          <t>E7</t>
        </is>
      </c>
      <c r="B10" s="2" t="inlineStr">
        <is>
          <t>V18-B5-E7</t>
        </is>
      </c>
      <c r="C10" s="2" t="inlineStr">
        <is>
          <t>Magnitud preferida de tipos de interés (E7): % del precio por +100 pb del tipo hipotecario, a 8 trimestres</t>
        </is>
      </c>
      <c r="D10" s="2" t="n"/>
      <c r="E10" s="2" t="n">
        <v>-5</v>
      </c>
      <c r="F10" s="2" t="n">
        <v>-2</v>
      </c>
      <c r="G10" s="2" t="inlineStr">
        <is>
          <t>% del precio por +100 pb del tipo hipotecario, a 8 trimestres</t>
        </is>
      </c>
      <c r="H10" s="2" t="inlineStr">
        <is>
          <t>NO ESTIMABLE</t>
        </is>
      </c>
      <c r="I10" s="2" t="inlineStr">
        <is>
          <t>rango de la literatura, sin error típico (no hay metaanálisis ni intervalo estadístico)</t>
        </is>
      </c>
      <c r="J10" s="2" t="n">
        <v>0</v>
      </c>
      <c r="K10" s="2" t="n">
        <v/>
      </c>
      <c r="L10" s="6">
        <f>IF(AND(ISNUMBER(E10),ISNUMBER(F10)),F10-E10,"")</f>
        <v/>
      </c>
    </row>
    <row r="11">
      <c r="A11" s="2" t="inlineStr">
        <is>
          <t>E8</t>
        </is>
      </c>
      <c r="B11" s="2" t="inlineStr">
        <is>
          <t>V18-B5-E8</t>
        </is>
      </c>
      <c r="C11" s="2" t="inlineStr">
        <is>
          <t>Magnitud preferida de fiscalidad de la compra (ITP) (E8): % de precio por +1 pp del ITP, a 12 meses</t>
        </is>
      </c>
      <c r="D11" s="2" t="n"/>
      <c r="E11" s="2" t="n">
        <v>-3.5</v>
      </c>
      <c r="F11" s="2" t="n">
        <v>-3</v>
      </c>
      <c r="G11" s="2" t="inlineStr">
        <is>
          <t>% de precio por +1 pp del ITP, a 12 meses</t>
        </is>
      </c>
      <c r="H11" s="2" t="inlineStr">
        <is>
          <t>NO ESTIMABLE</t>
        </is>
      </c>
      <c r="I11" s="2" t="inlineStr">
        <is>
          <t>rango de la literatura, sin error típico (no hay metaanálisis ni intervalo estadístico)</t>
        </is>
      </c>
      <c r="J11" s="2" t="n">
        <v>0</v>
      </c>
      <c r="K11" s="2" t="n">
        <v/>
      </c>
      <c r="L11" s="6">
        <f>IF(AND(ISNUMBER(E11),ISNUMBER(F11)),F11-E11,"")</f>
        <v/>
      </c>
    </row>
    <row r="12">
      <c r="A12" s="2" t="inlineStr">
        <is>
          <t>E9</t>
        </is>
      </c>
      <c r="B12" s="2" t="inlineStr">
        <is>
          <t>V18-B5-E9</t>
        </is>
      </c>
      <c r="C12" s="2" t="inlineStr">
        <is>
          <t>Magnitud preferida de compradores no residentes (E9): % de precio por +1 pp de cuota de compras de no residentes</t>
        </is>
      </c>
      <c r="D12" s="2" t="n"/>
      <c r="E12" s="2" t="n">
        <v>1.4</v>
      </c>
      <c r="F12" s="2" t="n">
        <v>2.1</v>
      </c>
      <c r="G12" s="2" t="inlineStr">
        <is>
          <t>% de precio por +1 pp de cuota de compras de no residentes</t>
        </is>
      </c>
      <c r="H12" s="2" t="inlineStr">
        <is>
          <t>NO ESTIMABLE</t>
        </is>
      </c>
      <c r="I12" s="2" t="inlineStr">
        <is>
          <t>rango de la literatura, sin error típico (no hay metaanálisis ni intervalo estadístico)</t>
        </is>
      </c>
      <c r="J12" s="2" t="n">
        <v>0</v>
      </c>
      <c r="K12" s="2" t="n">
        <v/>
      </c>
      <c r="L12" s="6">
        <f>IF(AND(ISNUMBER(E12),ISNUMBER(F12)),F12-E12,"")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estimaciones: cifras V18 de output/v5/cifras_clave.csv</t>
        </is>
      </c>
    </row>
    <row r="2">
      <c r="A2" s="2" t="inlineStr">
        <is>
          <t>Fuente: output/v5/cifras_clave.csv (ids V18-E* y V18-F*; origen output/v18/f6/hechos.json). AZUL: dato introducido (fuente en la nota de la celda); NEGRO: fórmula de esta hoja; VERDE: vínculo a otra pestaña.</t>
        </is>
      </c>
    </row>
    <row r="3">
      <c r="A3" s="7" t="inlineStr">
        <is>
          <t>id</t>
        </is>
      </c>
      <c r="B3" s="7" t="inlineStr">
        <is>
          <t>indicador</t>
        </is>
      </c>
      <c r="C3" s="7" t="inlineStr">
        <is>
          <t>valor</t>
        </is>
      </c>
      <c r="D3" s="7" t="inlineStr">
        <is>
          <t>min</t>
        </is>
      </c>
      <c r="E3" s="7" t="inlineStr">
        <is>
          <t>max</t>
        </is>
      </c>
      <c r="F3" s="7" t="inlineStr">
        <is>
          <t>unidad</t>
        </is>
      </c>
      <c r="G3" s="7" t="inlineStr">
        <is>
          <t>periodo</t>
        </is>
      </c>
      <c r="H3" s="7" t="inlineStr">
        <is>
          <t>cobertura</t>
        </is>
      </c>
      <c r="I3" s="7" t="inlineStr">
        <is>
          <t>capa</t>
        </is>
      </c>
      <c r="J3" s="7" t="inlineStr">
        <is>
          <t>clasificacion_v18</t>
        </is>
      </c>
      <c r="K3" s="7" t="inlineStr">
        <is>
          <t>tipo_rango</t>
        </is>
      </c>
      <c r="L3" s="4" t="inlineStr">
        <is>
          <t>ancho (max - min)</t>
        </is>
      </c>
      <c r="M3" s="4" t="inlineStr">
        <is>
          <t>intervalo contiene el 0</t>
        </is>
      </c>
    </row>
    <row r="4">
      <c r="A4" s="2" t="inlineStr">
        <is>
          <t>V18-E1-A1</t>
        </is>
      </c>
      <c r="B4" s="2" t="inlineStr">
        <is>
          <t>MDE al 80 % de potencia (Anderson-Rubin) de la ampliación E1-A1: % de viviendas turísticas (INE-VUT) instrumentado con proximidad a atractivos × noches de la NUTS3, València, Sevilla, Málaga y Alicante</t>
        </is>
      </c>
      <c r="C4" s="2" t="n">
        <v>0.165617</v>
      </c>
      <c r="D4" s="2" t="n"/>
      <c r="E4" s="2" t="n"/>
      <c r="F4" s="2" t="inlineStr">
        <is>
          <t>log por punto porcentual de viviendas turísticas</t>
        </is>
      </c>
      <c r="G4" s="2" t="inlineStr">
        <is>
          <t>2021-2024</t>
        </is>
      </c>
      <c r="H4" s="2" t="inlineStr">
        <is>
          <t>1316 secciones, 36 distritos censales, 2021-2024</t>
        </is>
      </c>
      <c r="I4" s="2" t="inlineStr">
        <is>
          <t>C4</t>
        </is>
      </c>
      <c r="J4" s="2" t="inlineStr">
        <is>
          <t>NO ESTIMABLE</t>
        </is>
      </c>
      <c r="K4" s="2" t="inlineStr">
        <is>
          <t>sin rango</t>
        </is>
      </c>
      <c r="L4" s="6">
        <f>IF(AND(ISNUMBER(D4),ISNUMBER(E4)),E4-D4,"")</f>
        <v/>
      </c>
      <c r="M4" s="6">
        <f>IF(AND(ISNUMBER(D4),ISNUMBER(E4)),IF(AND(D4&lt;=0,E4&gt;=0),"sí","no"),"")</f>
        <v/>
      </c>
    </row>
    <row r="5">
      <c r="A5" s="2" t="inlineStr">
        <is>
          <t>V18-E1-P-H3</t>
        </is>
      </c>
      <c r="B5" s="2" t="inlineStr">
        <is>
          <t>Coeficiente del % de viviendas turísticas (INE-VUT, por desviación típica intra-sección) sobre el log del alquiler mediano SERPAVI por sección: especificación de H3 de V15 en la muestra V18</t>
        </is>
      </c>
      <c r="C5" s="2" t="n">
        <v>-6.499999999999999e-05</v>
      </c>
      <c r="D5" s="2" t="n">
        <v>-0.000886</v>
      </c>
      <c r="E5" s="2" t="n">
        <v>0.0007560000000000001</v>
      </c>
      <c r="F5" s="2" t="inlineStr">
        <is>
          <t>log por DT intra-sección</t>
        </is>
      </c>
      <c r="G5" s="2" t="inlineStr">
        <is>
          <t>2021-2024</t>
        </is>
      </c>
      <c r="H5" s="2" t="inlineStr">
        <is>
          <t>10004 secciones de España no selladas, 1208 municipios, 2021-2024</t>
        </is>
      </c>
      <c r="I5" s="2" t="inlineStr">
        <is>
          <t>C4</t>
        </is>
      </c>
      <c r="J5" s="2" t="inlineStr">
        <is>
          <t>SUGESTIVO</t>
        </is>
      </c>
      <c r="K5" s="2" t="inlineStr">
        <is>
          <t>rango</t>
        </is>
      </c>
      <c r="L5" s="6">
        <f>IF(AND(ISNUMBER(D5),ISNUMBER(E5)),E5-D5,"")</f>
        <v/>
      </c>
      <c r="M5" s="6">
        <f>IF(AND(ISNUMBER(D5),ISNUMBER(E5)),IF(AND(D5&lt;=0,E5&gt;=0),"sí","no"),"")</f>
        <v/>
      </c>
    </row>
    <row r="6">
      <c r="A6" s="2" t="inlineStr">
        <is>
          <t>V18-E1-R1</t>
        </is>
      </c>
      <c r="B6" s="2" t="inlineStr">
        <is>
          <t>Barrios de Barcelona cuyo stock de viviendas turísticas cambia al menos un 10 % entre el primer y el último valor anual (mínimo de datos de E1-R1)</t>
        </is>
      </c>
      <c r="C6" s="2" t="n">
        <v>18</v>
      </c>
      <c r="D6" s="2" t="n"/>
      <c r="E6" s="2" t="n"/>
      <c r="F6" s="2" t="inlineStr">
        <is>
          <t>barrios (mínimo 20)</t>
        </is>
      </c>
      <c r="G6" s="2" t="inlineStr">
        <is>
          <t>2018-2024</t>
        </is>
      </c>
      <c r="H6" s="2" t="inlineStr">
        <is>
          <t>48 barrios no sellados; stock por barrio a partir de los puntos del registro</t>
        </is>
      </c>
      <c r="I6" s="2" t="inlineStr">
        <is>
          <t>C4</t>
        </is>
      </c>
      <c r="J6" s="2" t="inlineStr">
        <is>
          <t>NO ESTIMABLE</t>
        </is>
      </c>
      <c r="K6" s="2" t="inlineStr">
        <is>
          <t>sin rango</t>
        </is>
      </c>
      <c r="L6" s="6">
        <f>IF(AND(ISNUMBER(D6),ISNUMBER(E6)),E6-D6,"")</f>
        <v/>
      </c>
      <c r="M6" s="6">
        <f>IF(AND(ISNUMBER(D6),ISNUMBER(E6)),IF(AND(D6&lt;=0,E6&gt;=0),"sí","no"),"")</f>
        <v/>
      </c>
    </row>
    <row r="7">
      <c r="A7" s="2" t="inlineStr">
        <is>
          <t>V18-E1-R2</t>
        </is>
      </c>
      <c r="B7" s="2" t="inlineStr">
        <is>
          <t>F efectivo de la primera etapa de la proximidad a atractivos × Google Trends sobre la densidad de viviendas turísticas (Barcelona, 2018-2024, con distancia al centro × año)</t>
        </is>
      </c>
      <c r="C7" s="2" t="n">
        <v>0.023264</v>
      </c>
      <c r="D7" s="2" t="n"/>
      <c r="E7" s="2" t="n"/>
      <c r="F7" s="2" t="inlineStr">
        <is>
          <t>F efectivo (MOP)</t>
        </is>
      </c>
      <c r="G7" s="2" t="inlineStr">
        <is>
          <t>2018-2024</t>
        </is>
      </c>
      <c r="H7" s="2" t="inlineStr">
        <is>
          <t>769 de las 1.068 secciones de Barcelona (sin Gràcia, Sant Andreu y Nou Barris, sellados en V15 y V16), en 48 barrios; 769 con SERPAVI; viviendas del Censo 2021 como denominador</t>
        </is>
      </c>
      <c r="I7" s="2" t="inlineStr">
        <is>
          <t>C4</t>
        </is>
      </c>
      <c r="J7" s="2" t="inlineStr">
        <is>
          <t>NO ESTIMABLE</t>
        </is>
      </c>
      <c r="K7" s="2" t="inlineStr">
        <is>
          <t>sin rango</t>
        </is>
      </c>
      <c r="L7" s="6">
        <f>IF(AND(ISNUMBER(D7),ISNUMBER(E7)),E7-D7,"")</f>
        <v/>
      </c>
      <c r="M7" s="6">
        <f>IF(AND(ISNUMBER(D7),ISNUMBER(E7)),IF(AND(D7&lt;=0,E7&gt;=0),"sí","no"),"")</f>
        <v/>
      </c>
    </row>
    <row r="8">
      <c r="A8" s="2" t="inlineStr">
        <is>
          <t>V18-E1-R3</t>
        </is>
      </c>
      <c r="B8" s="2" t="inlineStr">
        <is>
          <t>Coeficiente de la densidad de viviendas turísticas (HUT de 2018T2, por pp) × posterior (2014-2019) sobre el log del alquiler mediano SERPAVI por sección, Barcelona</t>
        </is>
      </c>
      <c r="C8" s="2" t="n">
        <v>0.004428</v>
      </c>
      <c r="D8" s="2" t="n">
        <v>0.001989</v>
      </c>
      <c r="E8" s="2" t="n">
        <v>0.006867</v>
      </c>
      <c r="F8" s="2" t="inlineStr">
        <is>
          <t>log por pp de densidad HUT (por 100 viviendas)</t>
        </is>
      </c>
      <c r="G8" s="2" t="inlineStr">
        <is>
          <t>2011-2019</t>
        </is>
      </c>
      <c r="H8" s="2" t="inlineStr">
        <is>
          <t>769 de las 1.068 secciones de Barcelona (sin Gràcia, Sant Andreu y Nou Barris, sellados en V15 y V16), en 48 barrios; 769 con SERPAVI; viviendas del Censo 2021 como denominador</t>
        </is>
      </c>
      <c r="I8" s="2" t="inlineStr">
        <is>
          <t>C4</t>
        </is>
      </c>
      <c r="J8" s="2" t="inlineStr">
        <is>
          <t>ASOCIACIÓN</t>
        </is>
      </c>
      <c r="K8" s="2" t="inlineStr">
        <is>
          <t>rango</t>
        </is>
      </c>
      <c r="L8" s="6">
        <f>IF(AND(ISNUMBER(D8),ISNUMBER(E8)),E8-D8,"")</f>
        <v/>
      </c>
      <c r="M8" s="6">
        <f>IF(AND(ISNUMBER(D8),ISNUMBER(E8)),IF(AND(D8&lt;=0,E8&gt;=0),"sí","no"),"")</f>
        <v/>
      </c>
    </row>
    <row r="9">
      <c r="A9" s="2" t="inlineStr">
        <is>
          <t>V18-E1-R4</t>
        </is>
      </c>
      <c r="B9" s="2" t="inlineStr">
        <is>
          <t>Coeficiente de estar a menos de 500 m de la Sagrada Família × posterior (2014-2019) sobre el log del alquiler mediano SERPAVI por sección, frente al anillo de 500-1.000 m</t>
        </is>
      </c>
      <c r="C9" s="2" t="n">
        <v>0.001659</v>
      </c>
      <c r="D9" s="2" t="n">
        <v>-0.034597</v>
      </c>
      <c r="E9" s="2" t="n">
        <v>0.067167</v>
      </c>
      <c r="F9" s="2" t="inlineStr">
        <is>
          <t>log (diferencia entre radio y anillo, posterior frente a 2013)</t>
        </is>
      </c>
      <c r="G9" s="2" t="inlineStr">
        <is>
          <t>2011-2019</t>
        </is>
      </c>
      <c r="H9" s="2" t="inlineStr">
        <is>
          <t>22 secciones en el radio y 55 en el anillo, no selladas; el anillo conserva 55 de 70 secciones</t>
        </is>
      </c>
      <c r="I9" s="2" t="inlineStr">
        <is>
          <t>C4</t>
        </is>
      </c>
      <c r="J9" s="2" t="inlineStr">
        <is>
          <t>NO CONCLUYENTE</t>
        </is>
      </c>
      <c r="K9" s="2" t="inlineStr">
        <is>
          <t>rango</t>
        </is>
      </c>
      <c r="L9" s="6">
        <f>IF(AND(ISNUMBER(D9),ISNUMBER(E9)),E9-D9,"")</f>
        <v/>
      </c>
      <c r="M9" s="6">
        <f>IF(AND(ISNUMBER(D9),ISNUMBER(E9)),IF(AND(D9&lt;=0,E9&gt;=0),"sí","no"),"")</f>
        <v/>
      </c>
    </row>
    <row r="10">
      <c r="A10" s="2" t="inlineStr">
        <is>
          <t>V18-E10-A1</t>
        </is>
      </c>
      <c r="B10" s="2" t="inlineStr">
        <is>
          <t>Alquiler municipal por m² y % de viviendas de grandes tenedores: asociación transversal (E10-A1)</t>
        </is>
      </c>
      <c r="C10" s="2" t="n">
        <v>1.0683</v>
      </c>
      <c r="D10" s="2" t="n">
        <v>-0.0682</v>
      </c>
      <c r="E10" s="2" t="n">
        <v>2.2047</v>
      </c>
      <c r="F10" s="2" t="inlineStr">
        <is>
          <t>% de variación del alquiler por m² (log × 100) por punto porcentual de viviendas de grandes tenedores en el municipio</t>
        </is>
      </c>
      <c r="G10" s="2" t="inlineStr">
        <is>
          <t>2019-2024</t>
        </is>
      </c>
      <c r="H10" s="2" t="inlineStr">
        <is>
          <t>1365 municipios</t>
        </is>
      </c>
      <c r="I10" s="2" t="inlineStr">
        <is>
          <t>C4</t>
        </is>
      </c>
      <c r="J10" s="2" t="inlineStr">
        <is>
          <t>ASOCIACIÓN</t>
        </is>
      </c>
      <c r="K10" s="2" t="inlineStr">
        <is>
          <t>rango</t>
        </is>
      </c>
      <c r="L10" s="6">
        <f>IF(AND(ISNUMBER(D10),ISNUMBER(E10)),E10-D10,"")</f>
        <v/>
      </c>
      <c r="M10" s="6">
        <f>IF(AND(ISNUMBER(D10),ISNUMBER(E10)),IF(AND(D10&lt;=0,E10&gt;=0),"sí","no"),"")</f>
        <v/>
      </c>
    </row>
    <row r="11">
      <c r="A11" s="2" t="inlineStr">
        <is>
          <t>V18-E10-A1-d</t>
        </is>
      </c>
      <c r="B11" s="2" t="inlineStr">
        <is>
          <t>Alquiler municipal por m² y % de viviendas de grandes tenedores: asociación transversal (E10-A1-d)</t>
        </is>
      </c>
      <c r="C11" s="2" t="n">
        <v>0.1048</v>
      </c>
      <c r="D11" s="2" t="n">
        <v>-0.4369</v>
      </c>
      <c r="E11" s="2" t="n">
        <v>0.6465</v>
      </c>
      <c r="F11" s="2" t="inlineStr">
        <is>
          <t>% de variación del alquiler por m² (log × 100) por punto porcentual de viviendas de grandes tenedores en el municipio</t>
        </is>
      </c>
      <c r="G11" s="2" t="inlineStr">
        <is>
          <t>2019-2024</t>
        </is>
      </c>
      <c r="H11" s="2" t="inlineStr">
        <is>
          <t>1219 municipios</t>
        </is>
      </c>
      <c r="I11" s="2" t="inlineStr">
        <is>
          <t>C4</t>
        </is>
      </c>
      <c r="J11" s="2" t="inlineStr">
        <is>
          <t>ASOCIACIÓN</t>
        </is>
      </c>
      <c r="K11" s="2" t="inlineStr">
        <is>
          <t>rango</t>
        </is>
      </c>
      <c r="L11" s="6">
        <f>IF(AND(ISNUMBER(D11),ISNUMBER(E11)),E11-D11,"")</f>
        <v/>
      </c>
      <c r="M11" s="6">
        <f>IF(AND(ISNUMBER(D11),ISNUMBER(E11)),IF(AND(D11&lt;=0,E11&gt;=0),"sí","no"),"")</f>
        <v/>
      </c>
    </row>
    <row r="12">
      <c r="A12" s="2" t="inlineStr">
        <is>
          <t>V18-E10-A1-d-v1</t>
        </is>
      </c>
      <c r="B12" s="2" t="inlineStr">
        <is>
          <t>Alquiler municipal por m² y % de viviendas de grandes tenedores: asociación transversal (E10-A1-d-v1)</t>
        </is>
      </c>
      <c r="C12" s="2" t="n">
        <v>0.4304</v>
      </c>
      <c r="D12" s="2" t="n">
        <v>0.0961</v>
      </c>
      <c r="E12" s="2" t="n">
        <v>0.7647</v>
      </c>
      <c r="F12" s="2" t="inlineStr">
        <is>
          <t>% de variación del alquiler por m² (log × 100) por punto porcentual de viviendas de grandes tenedores en el municipio</t>
        </is>
      </c>
      <c r="G12" s="2" t="inlineStr">
        <is>
          <t>2019-2024</t>
        </is>
      </c>
      <c r="H12" s="2" t="inlineStr">
        <is>
          <t>1219 municipios</t>
        </is>
      </c>
      <c r="I12" s="2" t="inlineStr">
        <is>
          <t>C4</t>
        </is>
      </c>
      <c r="J12" s="2" t="inlineStr">
        <is>
          <t>ASOCIACIÓN</t>
        </is>
      </c>
      <c r="K12" s="2" t="inlineStr">
        <is>
          <t>rango</t>
        </is>
      </c>
      <c r="L12" s="6">
        <f>IF(AND(ISNUMBER(D12),ISNUMBER(E12)),E12-D12,"")</f>
        <v/>
      </c>
      <c r="M12" s="6">
        <f>IF(AND(ISNUMBER(D12),ISNUMBER(E12)),IF(AND(D12&lt;=0,E12&gt;=0),"sí","no"),"")</f>
        <v/>
      </c>
    </row>
    <row r="13">
      <c r="A13" s="2" t="inlineStr">
        <is>
          <t>V18-E10-A1-d-v2</t>
        </is>
      </c>
      <c r="B13" s="2" t="inlineStr">
        <is>
          <t>Alquiler municipal por m² y % de viviendas de grandes tenedores: asociación transversal (E10-A1-d-v2)</t>
        </is>
      </c>
      <c r="C13" s="2" t="n">
        <v>0.1069</v>
      </c>
      <c r="D13" s="2" t="n">
        <v>-0.4355</v>
      </c>
      <c r="E13" s="2" t="n">
        <v>0.6494</v>
      </c>
      <c r="F13" s="2" t="inlineStr">
        <is>
          <t>% de variación del alquiler por m² (log × 100) por punto porcentual de viviendas de grandes tenedores en el municipio</t>
        </is>
      </c>
      <c r="G13" s="2" t="inlineStr">
        <is>
          <t>2019-2024</t>
        </is>
      </c>
      <c r="H13" s="2" t="inlineStr">
        <is>
          <t>1218 municipios</t>
        </is>
      </c>
      <c r="I13" s="2" t="inlineStr">
        <is>
          <t>C4</t>
        </is>
      </c>
      <c r="J13" s="2" t="inlineStr">
        <is>
          <t>ASOCIACIÓN</t>
        </is>
      </c>
      <c r="K13" s="2" t="inlineStr">
        <is>
          <t>rango</t>
        </is>
      </c>
      <c r="L13" s="6">
        <f>IF(AND(ISNUMBER(D13),ISNUMBER(E13)),E13-D13,"")</f>
        <v/>
      </c>
      <c r="M13" s="6">
        <f>IF(AND(ISNUMBER(D13),ISNUMBER(E13)),IF(AND(D13&lt;=0,E13&gt;=0),"sí","no"),"")</f>
        <v/>
      </c>
    </row>
    <row r="14">
      <c r="A14" s="2" t="inlineStr">
        <is>
          <t>V18-E10-A1-d-v3</t>
        </is>
      </c>
      <c r="B14" s="2" t="inlineStr">
        <is>
          <t>Alquiler municipal por m² y % de viviendas de grandes tenedores: asociación transversal (E10-A1-d-v3)</t>
        </is>
      </c>
      <c r="C14" s="2" t="n">
        <v>-0.0031</v>
      </c>
      <c r="D14" s="2" t="n">
        <v>-0.4711</v>
      </c>
      <c r="E14" s="2" t="n">
        <v>0.4649</v>
      </c>
      <c r="F14" s="2" t="inlineStr">
        <is>
          <t>% de variación del alquiler por m² (log × 100) por punto porcentual de viviendas de grandes tenedores en el municipio</t>
        </is>
      </c>
      <c r="G14" s="2" t="inlineStr">
        <is>
          <t>2019-2024</t>
        </is>
      </c>
      <c r="H14" s="2" t="inlineStr">
        <is>
          <t>1219 municipios</t>
        </is>
      </c>
      <c r="I14" s="2" t="inlineStr">
        <is>
          <t>C4</t>
        </is>
      </c>
      <c r="J14" s="2" t="inlineStr">
        <is>
          <t>ASOCIACIÓN</t>
        </is>
      </c>
      <c r="K14" s="2" t="inlineStr">
        <is>
          <t>rango</t>
        </is>
      </c>
      <c r="L14" s="6">
        <f>IF(AND(ISNUMBER(D14),ISNUMBER(E14)),E14-D14,"")</f>
        <v/>
      </c>
      <c r="M14" s="6">
        <f>IF(AND(ISNUMBER(D14),ISNUMBER(E14)),IF(AND(D14&lt;=0,E14&gt;=0),"sí","no"),"")</f>
        <v/>
      </c>
    </row>
    <row r="15">
      <c r="A15" s="2" t="inlineStr">
        <is>
          <t>V18-E10-A1-d-v4</t>
        </is>
      </c>
      <c r="B15" s="2" t="inlineStr">
        <is>
          <t>Alquiler municipal por m² y % de viviendas de grandes tenedores: asociación transversal (E10-A1-d-v4)</t>
        </is>
      </c>
      <c r="C15" s="2" t="n">
        <v>-0.0196</v>
      </c>
      <c r="D15" s="2" t="n">
        <v>-0.4127</v>
      </c>
      <c r="E15" s="2" t="n">
        <v>0.3734</v>
      </c>
      <c r="F15" s="2" t="inlineStr">
        <is>
          <t>% de variación del alquiler por m² (log × 100) por punto porcentual de viviendas de grandes tenedores en el municipio</t>
        </is>
      </c>
      <c r="G15" s="2" t="inlineStr">
        <is>
          <t>2019-2024</t>
        </is>
      </c>
      <c r="H15" s="2" t="inlineStr">
        <is>
          <t>394 municipios</t>
        </is>
      </c>
      <c r="I15" s="2" t="inlineStr">
        <is>
          <t>C4</t>
        </is>
      </c>
      <c r="J15" s="2" t="inlineStr">
        <is>
          <t>ASOCIACIÓN</t>
        </is>
      </c>
      <c r="K15" s="2" t="inlineStr">
        <is>
          <t>rango</t>
        </is>
      </c>
      <c r="L15" s="6">
        <f>IF(AND(ISNUMBER(D15),ISNUMBER(E15)),E15-D15,"")</f>
        <v/>
      </c>
      <c r="M15" s="6">
        <f>IF(AND(ISNUMBER(D15),ISNUMBER(E15)),IF(AND(D15&lt;=0,E15&gt;=0),"sí","no"),"")</f>
        <v/>
      </c>
    </row>
    <row r="16">
      <c r="A16" s="2" t="inlineStr">
        <is>
          <t>V18-E10-A1-d-vF</t>
        </is>
      </c>
      <c r="B16" s="2" t="inlineStr">
        <is>
          <t>Alquiler municipal por m² y % de viviendas de grandes tenedores: asociación transversal (E10-A1-d-vF)</t>
        </is>
      </c>
      <c r="C16" s="2" t="n">
        <v>0.1041</v>
      </c>
      <c r="D16" s="2" t="n">
        <v>-0.477</v>
      </c>
      <c r="E16" s="2" t="n">
        <v>0.6851</v>
      </c>
      <c r="F16" s="2" t="inlineStr">
        <is>
          <t>% de variación del alquiler por m² (log × 100) por punto porcentual de viviendas de grandes tenedores en el municipio</t>
        </is>
      </c>
      <c r="G16" s="2" t="inlineStr">
        <is>
          <t>2019-2024</t>
        </is>
      </c>
      <c r="H16" s="2" t="inlineStr">
        <is>
          <t>1100 municipios</t>
        </is>
      </c>
      <c r="I16" s="2" t="inlineStr">
        <is>
          <t>C4</t>
        </is>
      </c>
      <c r="J16" s="2" t="inlineStr">
        <is>
          <t>ASOCIACIÓN</t>
        </is>
      </c>
      <c r="K16" s="2" t="inlineStr">
        <is>
          <t>rango</t>
        </is>
      </c>
      <c r="L16" s="6">
        <f>IF(AND(ISNUMBER(D16),ISNUMBER(E16)),E16-D16,"")</f>
        <v/>
      </c>
      <c r="M16" s="6">
        <f>IF(AND(ISNUMBER(D16),ISNUMBER(E16)),IF(AND(D16&lt;=0,E16&gt;=0),"sí","no"),"")</f>
        <v/>
      </c>
    </row>
    <row r="17">
      <c r="A17" s="2" t="inlineStr">
        <is>
          <t>V18-E10-A1-v1</t>
        </is>
      </c>
      <c r="B17" s="2" t="inlineStr">
        <is>
          <t>Alquiler municipal por m² y % de viviendas de grandes tenedores: asociación transversal (E10-A1-v1)</t>
        </is>
      </c>
      <c r="C17" s="2" t="n">
        <v>2.7075</v>
      </c>
      <c r="D17" s="2" t="n">
        <v>1.5415</v>
      </c>
      <c r="E17" s="2" t="n">
        <v>3.8735</v>
      </c>
      <c r="F17" s="2" t="inlineStr">
        <is>
          <t>% de variación del alquiler por m² (log × 100) por punto porcentual de viviendas de grandes tenedores en el municipio</t>
        </is>
      </c>
      <c r="G17" s="2" t="inlineStr">
        <is>
          <t>2019-2024</t>
        </is>
      </c>
      <c r="H17" s="2" t="inlineStr">
        <is>
          <t>1365 municipios</t>
        </is>
      </c>
      <c r="I17" s="2" t="inlineStr">
        <is>
          <t>C4</t>
        </is>
      </c>
      <c r="J17" s="2" t="inlineStr">
        <is>
          <t>ASOCIACIÓN</t>
        </is>
      </c>
      <c r="K17" s="2" t="inlineStr">
        <is>
          <t>rango</t>
        </is>
      </c>
      <c r="L17" s="6">
        <f>IF(AND(ISNUMBER(D17),ISNUMBER(E17)),E17-D17,"")</f>
        <v/>
      </c>
      <c r="M17" s="6">
        <f>IF(AND(ISNUMBER(D17),ISNUMBER(E17)),IF(AND(D17&lt;=0,E17&gt;=0),"sí","no"),"")</f>
        <v/>
      </c>
    </row>
    <row r="18">
      <c r="A18" s="2" t="inlineStr">
        <is>
          <t>V18-E10-A1-v2</t>
        </is>
      </c>
      <c r="B18" s="2" t="inlineStr">
        <is>
          <t>Alquiler municipal por m² y % de viviendas de grandes tenedores: asociación transversal (E10-A1-v2)</t>
        </is>
      </c>
      <c r="C18" s="2" t="n">
        <v>1.0716</v>
      </c>
      <c r="D18" s="2" t="n">
        <v>-0.06469999999999999</v>
      </c>
      <c r="E18" s="2" t="n">
        <v>2.208</v>
      </c>
      <c r="F18" s="2" t="inlineStr">
        <is>
          <t>% de variación del alquiler por m² (log × 100) por punto porcentual de viviendas de grandes tenedores en el municipio</t>
        </is>
      </c>
      <c r="G18" s="2" t="inlineStr">
        <is>
          <t>2019-2024</t>
        </is>
      </c>
      <c r="H18" s="2" t="inlineStr">
        <is>
          <t>1364 municipios</t>
        </is>
      </c>
      <c r="I18" s="2" t="inlineStr">
        <is>
          <t>C4</t>
        </is>
      </c>
      <c r="J18" s="2" t="inlineStr">
        <is>
          <t>ASOCIACIÓN</t>
        </is>
      </c>
      <c r="K18" s="2" t="inlineStr">
        <is>
          <t>rango</t>
        </is>
      </c>
      <c r="L18" s="6">
        <f>IF(AND(ISNUMBER(D18),ISNUMBER(E18)),E18-D18,"")</f>
        <v/>
      </c>
      <c r="M18" s="6">
        <f>IF(AND(ISNUMBER(D18),ISNUMBER(E18)),IF(AND(D18&lt;=0,E18&gt;=0),"sí","no"),"")</f>
        <v/>
      </c>
    </row>
    <row r="19">
      <c r="A19" s="2" t="inlineStr">
        <is>
          <t>V18-E10-A1-v3</t>
        </is>
      </c>
      <c r="B19" s="2" t="inlineStr">
        <is>
          <t>Alquiler municipal por m² y % de viviendas de grandes tenedores: asociación transversal (E10-A1-v3)</t>
        </is>
      </c>
      <c r="C19" s="2" t="n">
        <v>2.3926</v>
      </c>
      <c r="D19" s="2" t="n">
        <v>1.2219</v>
      </c>
      <c r="E19" s="2" t="n">
        <v>3.5634</v>
      </c>
      <c r="F19" s="2" t="inlineStr">
        <is>
          <t>% de variación del alquiler por m² (log × 100) por punto porcentual de viviendas de grandes tenedores en el municipio</t>
        </is>
      </c>
      <c r="G19" s="2" t="inlineStr">
        <is>
          <t>2019-2024</t>
        </is>
      </c>
      <c r="H19" s="2" t="inlineStr">
        <is>
          <t>1365 municipios</t>
        </is>
      </c>
      <c r="I19" s="2" t="inlineStr">
        <is>
          <t>C4</t>
        </is>
      </c>
      <c r="J19" s="2" t="inlineStr">
        <is>
          <t>ASOCIACIÓN</t>
        </is>
      </c>
      <c r="K19" s="2" t="inlineStr">
        <is>
          <t>rango</t>
        </is>
      </c>
      <c r="L19" s="6">
        <f>IF(AND(ISNUMBER(D19),ISNUMBER(E19)),E19-D19,"")</f>
        <v/>
      </c>
      <c r="M19" s="6">
        <f>IF(AND(ISNUMBER(D19),ISNUMBER(E19)),IF(AND(D19&lt;=0,E19&gt;=0),"sí","no"),"")</f>
        <v/>
      </c>
    </row>
    <row r="20">
      <c r="A20" s="2" t="inlineStr">
        <is>
          <t>V18-E10-A1-v4</t>
        </is>
      </c>
      <c r="B20" s="2" t="inlineStr">
        <is>
          <t>Alquiler municipal por m² y % de viviendas de grandes tenedores: asociación transversal (E10-A1-v4)</t>
        </is>
      </c>
      <c r="C20" s="2" t="n">
        <v>-0.1351</v>
      </c>
      <c r="D20" s="2" t="n">
        <v>-1.802</v>
      </c>
      <c r="E20" s="2" t="n">
        <v>1.5317</v>
      </c>
      <c r="F20" s="2" t="inlineStr">
        <is>
          <t>% de variación del alquiler por m² (log × 100) por punto porcentual de viviendas de grandes tenedores en el municipio</t>
        </is>
      </c>
      <c r="G20" s="2" t="inlineStr">
        <is>
          <t>2019-2024</t>
        </is>
      </c>
      <c r="H20" s="2" t="inlineStr">
        <is>
          <t>395 municipios</t>
        </is>
      </c>
      <c r="I20" s="2" t="inlineStr">
        <is>
          <t>C4</t>
        </is>
      </c>
      <c r="J20" s="2" t="inlineStr">
        <is>
          <t>ASOCIACIÓN</t>
        </is>
      </c>
      <c r="K20" s="2" t="inlineStr">
        <is>
          <t>rango</t>
        </is>
      </c>
      <c r="L20" s="6">
        <f>IF(AND(ISNUMBER(D20),ISNUMBER(E20)),E20-D20,"")</f>
        <v/>
      </c>
      <c r="M20" s="6">
        <f>IF(AND(ISNUMBER(D20),ISNUMBER(E20)),IF(AND(D20&lt;=0,E20&gt;=0),"sí","no"),"")</f>
        <v/>
      </c>
    </row>
    <row r="21">
      <c r="A21" s="2" t="inlineStr">
        <is>
          <t>V18-E10-A1-vF</t>
        </is>
      </c>
      <c r="B21" s="2" t="inlineStr">
        <is>
          <t>Alquiler municipal por m² y % de viviendas de grandes tenedores: asociación transversal (E10-A1-vF)</t>
        </is>
      </c>
      <c r="C21" s="2" t="n">
        <v>1.246</v>
      </c>
      <c r="D21" s="2" t="n">
        <v>0.0583</v>
      </c>
      <c r="E21" s="2" t="n">
        <v>2.4336</v>
      </c>
      <c r="F21" s="2" t="inlineStr">
        <is>
          <t>% de variación del alquiler por m² (log × 100) por punto porcentual de viviendas de grandes tenedores en el municipio</t>
        </is>
      </c>
      <c r="G21" s="2" t="inlineStr">
        <is>
          <t>2019-2024</t>
        </is>
      </c>
      <c r="H21" s="2" t="inlineStr">
        <is>
          <t>1246 municipios</t>
        </is>
      </c>
      <c r="I21" s="2" t="inlineStr">
        <is>
          <t>C4</t>
        </is>
      </c>
      <c r="J21" s="2" t="inlineStr">
        <is>
          <t>ASOCIACIÓN</t>
        </is>
      </c>
      <c r="K21" s="2" t="inlineStr">
        <is>
          <t>rango</t>
        </is>
      </c>
      <c r="L21" s="6">
        <f>IF(AND(ISNUMBER(D21),ISNUMBER(E21)),E21-D21,"")</f>
        <v/>
      </c>
      <c r="M21" s="6">
        <f>IF(AND(ISNUMBER(D21),ISNUMBER(E21)),IF(AND(D21&lt;=0,E21&gt;=0),"sí","no"),"")</f>
        <v/>
      </c>
    </row>
    <row r="22">
      <c r="A22" s="2" t="inlineStr">
        <is>
          <t>V18-E12-A1</t>
        </is>
      </c>
      <c r="B22" s="2" t="inlineStr">
        <is>
          <t>Viviendas libres iniciadas: respuesta a la vivienda protegida calificada, IV provincial (E12-A1)</t>
        </is>
      </c>
      <c r="C22" s="2" t="n">
        <v>6.5067</v>
      </c>
      <c r="D22" s="2" t="n">
        <v>-1.1918</v>
      </c>
      <c r="E22" s="2" t="n">
        <v>170.0367</v>
      </c>
      <c r="F22" s="2" t="inlineStr">
        <is>
          <t>viviendas libres iniciadas por 100 viviendas del parque, por vivienda protegida calificada (por 100 del parque): viviendas privadas por vivienda protegida</t>
        </is>
      </c>
      <c r="G22" s="2" t="inlineStr">
        <is>
          <t>2002-2024</t>
        </is>
      </c>
      <c r="H22" s="2" t="inlineStr">
        <is>
          <t>38 provincias</t>
        </is>
      </c>
      <c r="I22" s="2" t="inlineStr">
        <is>
          <t>C4</t>
        </is>
      </c>
      <c r="J22" s="2" t="inlineStr">
        <is>
          <t>NO ESTIMABLE</t>
        </is>
      </c>
      <c r="K22" s="2" t="inlineStr">
        <is>
          <t>rango</t>
        </is>
      </c>
      <c r="L22" s="6">
        <f>IF(AND(ISNUMBER(D22),ISNUMBER(E22)),E22-D22,"")</f>
        <v/>
      </c>
      <c r="M22" s="6">
        <f>IF(AND(ISNUMBER(D22),ISNUMBER(E22)),IF(AND(D22&lt;=0,E22&gt;=0),"sí","no"),"")</f>
        <v/>
      </c>
    </row>
    <row r="23">
      <c r="A23" s="2" t="inlineStr">
        <is>
          <t>V18-E12-A1-sin-atipicos</t>
        </is>
      </c>
      <c r="B23" s="2" t="inlineStr">
        <is>
          <t>Viviendas libres iniciadas: respuesta a la vivienda protegida calificada, IV provincial (E12-A1-sin-atipicos)</t>
        </is>
      </c>
      <c r="C23" s="2" t="n">
        <v>12.4061</v>
      </c>
      <c r="D23" s="2" t="n"/>
      <c r="E23" s="2" t="n"/>
      <c r="F23" s="2" t="inlineStr">
        <is>
          <t>viviendas libres iniciadas por 100 viviendas del parque, por vivienda protegida calificada (por 100 del parque): viviendas privadas por vivienda protegida</t>
        </is>
      </c>
      <c r="G23" s="2" t="inlineStr">
        <is>
          <t>2002-2024</t>
        </is>
      </c>
      <c r="H23" s="2" t="inlineStr">
        <is>
          <t>36 provincias</t>
        </is>
      </c>
      <c r="I23" s="2" t="inlineStr">
        <is>
          <t>C4</t>
        </is>
      </c>
      <c r="J23" s="2" t="inlineStr">
        <is>
          <t>NO ESTIMABLE</t>
        </is>
      </c>
      <c r="K23" s="2" t="inlineStr">
        <is>
          <t>sin rango</t>
        </is>
      </c>
      <c r="L23" s="6">
        <f>IF(AND(ISNUMBER(D23),ISNUMBER(E23)),E23-D23,"")</f>
        <v/>
      </c>
      <c r="M23" s="6">
        <f>IF(AND(ISNUMBER(D23),ISNUMBER(E23)),IF(AND(D23&lt;=0,E23&gt;=0),"sí","no"),"")</f>
        <v/>
      </c>
    </row>
    <row r="24">
      <c r="A24" s="2" t="inlineStr">
        <is>
          <t>V18-E12-A1-v1</t>
        </is>
      </c>
      <c r="B24" s="2" t="inlineStr">
        <is>
          <t>Viviendas libres iniciadas: respuesta a la vivienda protegida calificada, IV provincial (E12-A1-v1)</t>
        </is>
      </c>
      <c r="C24" s="2" t="n">
        <v>4.4909</v>
      </c>
      <c r="D24" s="2" t="n"/>
      <c r="E24" s="2" t="n"/>
      <c r="F24" s="2" t="inlineStr">
        <is>
          <t>viviendas libres iniciadas por 100 viviendas del parque, por vivienda protegida calificada (por 100 del parque): viviendas privadas por vivienda protegida</t>
        </is>
      </c>
      <c r="G24" s="2" t="inlineStr">
        <is>
          <t>2002-2024</t>
        </is>
      </c>
      <c r="H24" s="2" t="inlineStr">
        <is>
          <t>38 provincias</t>
        </is>
      </c>
      <c r="I24" s="2" t="inlineStr">
        <is>
          <t>C4</t>
        </is>
      </c>
      <c r="J24" s="2" t="inlineStr">
        <is>
          <t>NO ESTIMABLE</t>
        </is>
      </c>
      <c r="K24" s="2" t="inlineStr">
        <is>
          <t>sin rango</t>
        </is>
      </c>
      <c r="L24" s="6">
        <f>IF(AND(ISNUMBER(D24),ISNUMBER(E24)),E24-D24,"")</f>
        <v/>
      </c>
      <c r="M24" s="6">
        <f>IF(AND(ISNUMBER(D24),ISNUMBER(E24)),IF(AND(D24&lt;=0,E24&gt;=0),"sí","no"),"")</f>
        <v/>
      </c>
    </row>
    <row r="25">
      <c r="A25" s="2" t="inlineStr">
        <is>
          <t>V18-E12-A1-v2</t>
        </is>
      </c>
      <c r="B25" s="2" t="inlineStr">
        <is>
          <t>Viviendas libres iniciadas: respuesta a la vivienda protegida calificada, IV provincial (E12-A1-v2)</t>
        </is>
      </c>
      <c r="C25" s="2" t="n">
        <v>6.7716</v>
      </c>
      <c r="D25" s="2" t="n"/>
      <c r="E25" s="2" t="n"/>
      <c r="F25" s="2" t="inlineStr">
        <is>
          <t>viviendas libres iniciadas por 100 viviendas del parque, por vivienda protegida calificada (por 100 del parque): viviendas privadas por vivienda protegida</t>
        </is>
      </c>
      <c r="G25" s="2" t="inlineStr">
        <is>
          <t>2002-2024</t>
        </is>
      </c>
      <c r="H25" s="2" t="inlineStr">
        <is>
          <t>37 provincias</t>
        </is>
      </c>
      <c r="I25" s="2" t="inlineStr">
        <is>
          <t>C4</t>
        </is>
      </c>
      <c r="J25" s="2" t="inlineStr">
        <is>
          <t>NO ESTIMABLE</t>
        </is>
      </c>
      <c r="K25" s="2" t="inlineStr">
        <is>
          <t>sin rango</t>
        </is>
      </c>
      <c r="L25" s="6">
        <f>IF(AND(ISNUMBER(D25),ISNUMBER(E25)),E25-D25,"")</f>
        <v/>
      </c>
      <c r="M25" s="6">
        <f>IF(AND(ISNUMBER(D25),ISNUMBER(E25)),IF(AND(D25&lt;=0,E25&gt;=0),"sí","no"),"")</f>
        <v/>
      </c>
    </row>
    <row r="26">
      <c r="A26" s="2" t="inlineStr">
        <is>
          <t>V18-E12-A1-v4</t>
        </is>
      </c>
      <c r="B26" s="2" t="inlineStr">
        <is>
          <t>Viviendas libres iniciadas: respuesta a la vivienda protegida calificada, IV provincial (E12-A1-v4)</t>
        </is>
      </c>
      <c r="C26" s="2" t="n">
        <v>94.0749</v>
      </c>
      <c r="D26" s="2" t="n"/>
      <c r="E26" s="2" t="n"/>
      <c r="F26" s="2" t="inlineStr">
        <is>
          <t>viviendas libres iniciadas por 100 viviendas del parque, por vivienda protegida calificada (por 100 del parque): viviendas privadas por vivienda protegida</t>
        </is>
      </c>
      <c r="G26" s="2" t="inlineStr">
        <is>
          <t>2002-2013</t>
        </is>
      </c>
      <c r="H26" s="2" t="inlineStr">
        <is>
          <t>38 provincias</t>
        </is>
      </c>
      <c r="I26" s="2" t="inlineStr">
        <is>
          <t>C4</t>
        </is>
      </c>
      <c r="J26" s="2" t="inlineStr">
        <is>
          <t>NO ESTIMABLE</t>
        </is>
      </c>
      <c r="K26" s="2" t="inlineStr">
        <is>
          <t>sin rango</t>
        </is>
      </c>
      <c r="L26" s="6">
        <f>IF(AND(ISNUMBER(D26),ISNUMBER(E26)),E26-D26,"")</f>
        <v/>
      </c>
      <c r="M26" s="6">
        <f>IF(AND(ISNUMBER(D26),ISNUMBER(E26)),IF(AND(D26&lt;=0,E26&gt;=0),"sí","no"),"")</f>
        <v/>
      </c>
    </row>
    <row r="27">
      <c r="A27" s="2" t="inlineStr">
        <is>
          <t>V18-E12-A2</t>
        </is>
      </c>
      <c r="B27" s="2" t="inlineStr">
        <is>
          <t>Viviendas valor tasado: respuesta a la vivienda protegida calificada, IV provincial (E12-A2)</t>
        </is>
      </c>
      <c r="C27" s="2" t="n">
        <v>22.084</v>
      </c>
      <c r="D27" s="2" t="n"/>
      <c r="E27" s="2" t="n"/>
      <c r="F27" s="2" t="inlineStr">
        <is>
          <t>% del valor tasado real (variación anual) por cada 100 viviendas protegidas calificadas por 100 del parque</t>
        </is>
      </c>
      <c r="G27" s="2" t="inlineStr">
        <is>
          <t>2003-2024</t>
        </is>
      </c>
      <c r="H27" s="2" t="inlineStr">
        <is>
          <t>33 provincias</t>
        </is>
      </c>
      <c r="I27" s="2" t="inlineStr">
        <is>
          <t>C4</t>
        </is>
      </c>
      <c r="J27" s="2" t="inlineStr">
        <is>
          <t>ASOCIACIÓN</t>
        </is>
      </c>
      <c r="K27" s="2" t="inlineStr">
        <is>
          <t>sin rango</t>
        </is>
      </c>
      <c r="L27" s="6">
        <f>IF(AND(ISNUMBER(D27),ISNUMBER(E27)),E27-D27,"")</f>
        <v/>
      </c>
      <c r="M27" s="6">
        <f>IF(AND(ISNUMBER(D27),ISNUMBER(E27)),IF(AND(D27&lt;=0,E27&gt;=0),"sí","no"),"")</f>
        <v/>
      </c>
    </row>
    <row r="28">
      <c r="A28" s="2" t="inlineStr">
        <is>
          <t>V18-E12-A2-v1</t>
        </is>
      </c>
      <c r="B28" s="2" t="inlineStr">
        <is>
          <t>Viviendas valor tasado: respuesta a la vivienda protegida calificada, IV provincial (E12-A2-v1)</t>
        </is>
      </c>
      <c r="C28" s="2" t="n">
        <v>21.9526</v>
      </c>
      <c r="D28" s="2" t="n"/>
      <c r="E28" s="2" t="n"/>
      <c r="F28" s="2" t="inlineStr">
        <is>
          <t>% del valor tasado real (variación anual) por cada 100 viviendas protegidas calificadas por 100 del parque</t>
        </is>
      </c>
      <c r="G28" s="2" t="inlineStr">
        <is>
          <t>2003-2024</t>
        </is>
      </c>
      <c r="H28" s="2" t="inlineStr">
        <is>
          <t>32 provincias</t>
        </is>
      </c>
      <c r="I28" s="2" t="inlineStr">
        <is>
          <t>C4</t>
        </is>
      </c>
      <c r="J28" s="2" t="inlineStr">
        <is>
          <t>ASOCIACIÓN</t>
        </is>
      </c>
      <c r="K28" s="2" t="inlineStr">
        <is>
          <t>sin rango</t>
        </is>
      </c>
      <c r="L28" s="6">
        <f>IF(AND(ISNUMBER(D28),ISNUMBER(E28)),E28-D28,"")</f>
        <v/>
      </c>
      <c r="M28" s="6">
        <f>IF(AND(ISNUMBER(D28),ISNUMBER(E28)),IF(AND(D28&lt;=0,E28&gt;=0),"sí","no"),"")</f>
        <v/>
      </c>
    </row>
    <row r="29">
      <c r="A29" s="2" t="inlineStr">
        <is>
          <t>V18-E12-A2-v2</t>
        </is>
      </c>
      <c r="B29" s="2" t="inlineStr">
        <is>
          <t>Viviendas valor tasado: respuesta a la vivienda protegida calificada, IV provincial (E12-A2-v2)</t>
        </is>
      </c>
      <c r="C29" s="2" t="n">
        <v>147.2348</v>
      </c>
      <c r="D29" s="2" t="n"/>
      <c r="E29" s="2" t="n"/>
      <c r="F29" s="2" t="inlineStr">
        <is>
          <t>% del valor tasado real (variación anual) por cada 100 viviendas protegidas calificadas por 100 del parque</t>
        </is>
      </c>
      <c r="G29" s="2" t="inlineStr">
        <is>
          <t>2003-2013</t>
        </is>
      </c>
      <c r="H29" s="2" t="inlineStr">
        <is>
          <t>33 provincias</t>
        </is>
      </c>
      <c r="I29" s="2" t="inlineStr">
        <is>
          <t>C4</t>
        </is>
      </c>
      <c r="J29" s="2" t="inlineStr">
        <is>
          <t>ASOCIACIÓN</t>
        </is>
      </c>
      <c r="K29" s="2" t="inlineStr">
        <is>
          <t>sin rango</t>
        </is>
      </c>
      <c r="L29" s="6">
        <f>IF(AND(ISNUMBER(D29),ISNUMBER(E29)),E29-D29,"")</f>
        <v/>
      </c>
      <c r="M29" s="6">
        <f>IF(AND(ISNUMBER(D29),ISNUMBER(E29)),IF(AND(D29&lt;=0,E29&gt;=0),"sí","no"),"")</f>
        <v/>
      </c>
    </row>
    <row r="30">
      <c r="A30" s="2" t="inlineStr">
        <is>
          <t>V18-E2-A1</t>
        </is>
      </c>
      <c r="B30" s="2" t="inlineStr">
        <is>
          <t>MDE al 80 % de potencia de la ampliación a las zonas tensionadas de 2024 de Cataluña (log de la renta media)</t>
        </is>
      </c>
      <c r="C30" s="2" t="n">
        <v>0.040822</v>
      </c>
      <c r="D30" s="2" t="n"/>
      <c r="E30" s="2" t="n"/>
      <c r="F30" s="2" t="inlineStr">
        <is>
          <t>log (MDE80)</t>
        </is>
      </c>
      <c r="G30" s="2" t="inlineStr">
        <is>
          <t>2019T1-2026T1</t>
        </is>
      </c>
      <c r="H30" s="2" t="inlineStr">
        <is>
          <t>169 tratados y 20 controles</t>
        </is>
      </c>
      <c r="I30" s="2" t="inlineStr">
        <is>
          <t>C4</t>
        </is>
      </c>
      <c r="J30" s="2" t="inlineStr">
        <is>
          <t>NO ESTIMABLE</t>
        </is>
      </c>
      <c r="K30" s="2" t="inlineStr">
        <is>
          <t>sin rango</t>
        </is>
      </c>
      <c r="L30" s="6">
        <f>IF(AND(ISNUMBER(D30),ISNUMBER(E30)),E30-D30,"")</f>
        <v/>
      </c>
      <c r="M30" s="6">
        <f>IF(AND(ISNUMBER(D30),ISNUMBER(E30)),IF(AND(D30&lt;=0,E30&gt;=0),"sí","no"),"")</f>
        <v/>
      </c>
    </row>
    <row r="31">
      <c r="A31" s="2" t="inlineStr">
        <is>
          <t>V18-E2-A2</t>
        </is>
      </c>
      <c r="B31" s="2" t="inlineStr">
        <is>
          <t>Zonas tensionadas fuera de Cataluña (País Vasco, EMAL): recuento de municipios tratados con datos</t>
        </is>
      </c>
      <c r="C31" s="2" t="n">
        <v>6</v>
      </c>
      <c r="D31" s="2" t="n"/>
      <c r="E31" s="2" t="n"/>
      <c r="F31" s="2" t="inlineStr">
        <is>
          <t>municipios</t>
        </is>
      </c>
      <c r="G31" s="2" t="inlineStr">
        <is>
          <t>2016T1-2025T4</t>
        </is>
      </c>
      <c r="H31" s="2" t="inlineStr">
        <is>
          <t>6 municipios tratados con EMAL no sellados (mínimo 10) y trimestres posteriores por cohorte {'2025T2': np.int64(3), '2025T3': np.int64(2), '2025T4': np.int64(1), '2026T2': np.int64(0), '2026T3': np.int64(0)} (mínimo 3)</t>
        </is>
      </c>
      <c r="I31" s="2" t="inlineStr">
        <is>
          <t>C4</t>
        </is>
      </c>
      <c r="J31" s="2" t="inlineStr">
        <is>
          <t>NO ESTIMABLE</t>
        </is>
      </c>
      <c r="K31" s="2" t="inlineStr">
        <is>
          <t>sin rango</t>
        </is>
      </c>
      <c r="L31" s="6">
        <f>IF(AND(ISNUMBER(D31),ISNUMBER(E31)),E31-D31,"")</f>
        <v/>
      </c>
      <c r="M31" s="6">
        <f>IF(AND(ISNUMBER(D31),ISNUMBER(E31)),IF(AND(D31&lt;=0,E31&gt;=0),"sí","no"),"")</f>
        <v/>
      </c>
    </row>
    <row r="32">
      <c r="A32" s="2" t="inlineStr">
        <is>
          <t>V18-E2-A3</t>
        </is>
      </c>
      <c r="B32" s="2" t="inlineStr">
        <is>
          <t>Desplazamiento a la venta: compraventas municipales por 1.000 habitantes, controles disponibles en la serie municipal de MIVAU</t>
        </is>
      </c>
      <c r="C32" s="2" t="n">
        <v>2</v>
      </c>
      <c r="D32" s="2" t="n"/>
      <c r="E32" s="2" t="n"/>
      <c r="F32" s="2" t="inlineStr">
        <is>
          <t>municipios de control</t>
        </is>
      </c>
      <c r="G32" s="2" t="inlineStr">
        <is>
          <t>2016-2022</t>
        </is>
      </c>
      <c r="H32" s="2" t="inlineStr">
        <is>
          <t>44 tratados y 2 controles en la serie municipal de MIVAU</t>
        </is>
      </c>
      <c r="I32" s="2" t="inlineStr">
        <is>
          <t>C4</t>
        </is>
      </c>
      <c r="J32" s="2" t="inlineStr">
        <is>
          <t>NO ESTIMABLE</t>
        </is>
      </c>
      <c r="K32" s="2" t="inlineStr">
        <is>
          <t>sin rango</t>
        </is>
      </c>
      <c r="L32" s="6">
        <f>IF(AND(ISNUMBER(D32),ISNUMBER(E32)),E32-D32,"")</f>
        <v/>
      </c>
      <c r="M32" s="6">
        <f>IF(AND(ISNUMBER(D32),ISNUMBER(E32)),IF(AND(D32&lt;=0,E32&gt;=0),"sí","no"),"")</f>
        <v/>
      </c>
    </row>
    <row r="33">
      <c r="A33" s="2" t="inlineStr">
        <is>
          <t>V18-E2-A4</t>
        </is>
      </c>
      <c r="B33" s="2" t="inlineStr">
        <is>
          <t>MDE al 80 % de potencia del desbordamiento a municipios vecinos (log de la renta media)</t>
        </is>
      </c>
      <c r="C33" s="2" t="n">
        <v>0.044404</v>
      </c>
      <c r="D33" s="2" t="n"/>
      <c r="E33" s="2" t="n"/>
      <c r="F33" s="2" t="inlineStr">
        <is>
          <t>log (MDE80)</t>
        </is>
      </c>
      <c r="G33" s="2" t="inlineStr">
        <is>
          <t>2019T1-2022T1</t>
        </is>
      </c>
      <c r="H33" s="2" t="inlineStr">
        <is>
          <t>84 tratados y 12 controles</t>
        </is>
      </c>
      <c r="I33" s="2" t="inlineStr">
        <is>
          <t>C4</t>
        </is>
      </c>
      <c r="J33" s="2" t="inlineStr">
        <is>
          <t>NO ESTIMABLE</t>
        </is>
      </c>
      <c r="K33" s="2" t="inlineStr">
        <is>
          <t>sin rango</t>
        </is>
      </c>
      <c r="L33" s="6">
        <f>IF(AND(ISNUMBER(D33),ISNUMBER(E33)),E33-D33,"")</f>
        <v/>
      </c>
      <c r="M33" s="6">
        <f>IF(AND(ISNUMBER(D33),ISNUMBER(E33)),IF(AND(D33&lt;=0,E33&gt;=0),"sí","no"),"")</f>
        <v/>
      </c>
    </row>
    <row r="34">
      <c r="A34" s="2" t="inlineStr">
        <is>
          <t>V18-E2-B6-A</t>
        </is>
      </c>
      <c r="B34" s="2" t="inlineStr">
        <is>
          <t>Salto en 2022T2 del coeficiente de Reg por trimestre sobre la extrapolación de la recta de 2021T1-2022T1 (log de la renta media; E2-R1, robustez a posteriori)</t>
        </is>
      </c>
      <c r="C34" s="2" t="n">
        <v>-0.021664</v>
      </c>
      <c r="D34" s="2" t="n">
        <v>-0.046751</v>
      </c>
      <c r="E34" s="2" t="n">
        <v>0.003423</v>
      </c>
      <c r="F34" s="2" t="inlineStr">
        <is>
          <t>log</t>
        </is>
      </c>
      <c r="G34" s="2" t="inlineStr">
        <is>
          <t>2019T1-2022T2</t>
        </is>
      </c>
      <c r="H34" s="2" t="inlineStr">
        <is>
          <t>49 regulados y 94 controles, panel equilibrado 2019T1-2022T2</t>
        </is>
      </c>
      <c r="I34" s="2" t="inlineStr">
        <is>
          <t>C4</t>
        </is>
      </c>
      <c r="J34" s="2" t="inlineStr">
        <is>
          <t>SUGESTIVO</t>
        </is>
      </c>
      <c r="K34" s="2" t="inlineStr">
        <is>
          <t>rango</t>
        </is>
      </c>
      <c r="L34" s="6">
        <f>IF(AND(ISNUMBER(D34),ISNUMBER(E34)),E34-D34,"")</f>
        <v/>
      </c>
      <c r="M34" s="6">
        <f>IF(AND(ISNUMBER(D34),ISNUMBER(E34)),IF(AND(D34&lt;=0,E34&gt;=0),"sí","no"),"")</f>
        <v/>
      </c>
    </row>
    <row r="35">
      <c r="A35" s="2" t="inlineStr">
        <is>
          <t>V18-E2-B6-B</t>
        </is>
      </c>
      <c r="B35" s="2" t="inlineStr">
        <is>
          <t>Coeficiente Reg × Post con densidad HUT 2019 y ln(población 2019) por efectos de trimestre (E2-R1, robustez a posteriori)</t>
        </is>
      </c>
      <c r="C35" s="2" t="n">
        <v>-0.024163</v>
      </c>
      <c r="D35" s="2" t="n">
        <v>-0.046151</v>
      </c>
      <c r="E35" s="2" t="n">
        <v>-0.002176</v>
      </c>
      <c r="F35" s="2" t="inlineStr">
        <is>
          <t>log</t>
        </is>
      </c>
      <c r="G35" s="2" t="inlineStr">
        <is>
          <t>2019T1-2022T1</t>
        </is>
      </c>
      <c r="H35" s="2" t="inlineStr">
        <is>
          <t>49 regulados y 94 controles</t>
        </is>
      </c>
      <c r="I35" s="2" t="inlineStr">
        <is>
          <t>C4</t>
        </is>
      </c>
      <c r="J35" s="2" t="inlineStr">
        <is>
          <t>SUGESTIVO</t>
        </is>
      </c>
      <c r="K35" s="2" t="inlineStr">
        <is>
          <t>rango</t>
        </is>
      </c>
      <c r="L35" s="6">
        <f>IF(AND(ISNUMBER(D35),ISNUMBER(E35)),E35-D35,"")</f>
        <v/>
      </c>
      <c r="M35" s="6">
        <f>IF(AND(ISNUMBER(D35),ISNUMBER(E35)),IF(AND(D35&lt;=0,E35&gt;=0),"sí","no"),"")</f>
        <v/>
      </c>
    </row>
    <row r="36">
      <c r="A36" s="2" t="inlineStr">
        <is>
          <t>V18-E2-B6-C</t>
        </is>
      </c>
      <c r="B36" s="2" t="inlineStr">
        <is>
          <t>Coeficiente Reg × Post con controles emparejados por el crecimiento de la renta 2017-2019 (E2-R1, robustez a posteriori)</t>
        </is>
      </c>
      <c r="C36" s="2" t="n">
        <v>-0.054625</v>
      </c>
      <c r="D36" s="2" t="n">
        <v>-0.080597</v>
      </c>
      <c r="E36" s="2" t="n">
        <v>-0.028653</v>
      </c>
      <c r="F36" s="2" t="inlineStr">
        <is>
          <t>log</t>
        </is>
      </c>
      <c r="G36" s="2" t="inlineStr">
        <is>
          <t>2019T1-2022T1</t>
        </is>
      </c>
      <c r="H36" s="2" t="inlineStr">
        <is>
          <t>49 regulados y 31 controles emparejados con reposición</t>
        </is>
      </c>
      <c r="I36" s="2" t="inlineStr">
        <is>
          <t>C4</t>
        </is>
      </c>
      <c r="J36" s="2" t="inlineStr">
        <is>
          <t>SUGESTIVO</t>
        </is>
      </c>
      <c r="K36" s="2" t="inlineStr">
        <is>
          <t>rango</t>
        </is>
      </c>
      <c r="L36" s="6">
        <f>IF(AND(ISNUMBER(D36),ISNUMBER(E36)),E36-D36,"")</f>
        <v/>
      </c>
      <c r="M36" s="6">
        <f>IF(AND(ISNUMBER(D36),ISNUMBER(E36)),IF(AND(D36&lt;=0,E36&gt;=0),"sí","no"),"")</f>
        <v/>
      </c>
    </row>
    <row r="37">
      <c r="A37" s="2" t="inlineStr">
        <is>
          <t>V18-E2-B6-D</t>
        </is>
      </c>
      <c r="B37" s="2" t="inlineStr">
        <is>
          <t>Estimación SDID de Reg × Post con controles ponderados, todos los no regulados con serie completa (E2-R1, robustez a posteriori)</t>
        </is>
      </c>
      <c r="C37" s="2" t="n">
        <v>-0.044</v>
      </c>
      <c r="D37" s="2" t="n">
        <v>-0.062427</v>
      </c>
      <c r="E37" s="2" t="n">
        <v>-0.025572</v>
      </c>
      <c r="F37" s="2" t="inlineStr">
        <is>
          <t>log</t>
        </is>
      </c>
      <c r="G37" s="2" t="inlineStr">
        <is>
          <t>2019T1-2022T1</t>
        </is>
      </c>
      <c r="H37" s="2" t="inlineStr">
        <is>
          <t>49 regulados y 146 controles</t>
        </is>
      </c>
      <c r="I37" s="2" t="inlineStr">
        <is>
          <t>C4</t>
        </is>
      </c>
      <c r="J37" s="2" t="inlineStr">
        <is>
          <t>SUGESTIVO</t>
        </is>
      </c>
      <c r="K37" s="2" t="inlineStr">
        <is>
          <t>rango</t>
        </is>
      </c>
      <c r="L37" s="6">
        <f>IF(AND(ISNUMBER(D37),ISNUMBER(E37)),E37-D37,"")</f>
        <v/>
      </c>
      <c r="M37" s="6">
        <f>IF(AND(ISNUMBER(D37),ISNUMBER(E37)),IF(AND(D37&lt;=0,E37&gt;=0),"sí","no"),"")</f>
        <v/>
      </c>
    </row>
    <row r="38">
      <c r="A38" s="2" t="inlineStr">
        <is>
          <t>V18-E2-B6-R1CV1</t>
        </is>
      </c>
      <c r="B38" s="2" t="inlineStr">
        <is>
          <t>Coeficiente Reg × Post sobre el log de contratos nuevos por 1.000 hogares inquilinos del Censo 2021 (E2-R1c-v1)</t>
        </is>
      </c>
      <c r="C38" s="2" t="n">
        <v>-0.031396</v>
      </c>
      <c r="D38" s="2" t="n">
        <v>-0.084619</v>
      </c>
      <c r="E38" s="2" t="n">
        <v>0.021828</v>
      </c>
      <c r="F38" s="2" t="inlineStr">
        <is>
          <t>log</t>
        </is>
      </c>
      <c r="G38" s="2" t="inlineStr">
        <is>
          <t>2019T1-2022T1</t>
        </is>
      </c>
      <c r="H38" s="2" t="inlineStr">
        <is>
          <t>49 regulados y 38 controles de 10.000 habitantes o más (Censo 2021, muestra del 10 %)</t>
        </is>
      </c>
      <c r="I38" s="2" t="inlineStr">
        <is>
          <t>C4</t>
        </is>
      </c>
      <c r="J38" s="2" t="inlineStr">
        <is>
          <t>ASOCIACIÓN</t>
        </is>
      </c>
      <c r="K38" s="2" t="inlineStr">
        <is>
          <t>rango</t>
        </is>
      </c>
      <c r="L38" s="6">
        <f>IF(AND(ISNUMBER(D38),ISNUMBER(E38)),E38-D38,"")</f>
        <v/>
      </c>
      <c r="M38" s="6">
        <f>IF(AND(ISNUMBER(D38),ISNUMBER(E38)),IF(AND(D38&lt;=0,E38&gt;=0),"sí","no"),"")</f>
        <v/>
      </c>
    </row>
    <row r="39">
      <c r="A39" s="2" t="inlineStr">
        <is>
          <t>V18-E2-R1</t>
        </is>
      </c>
      <c r="B39" s="2" t="inlineStr">
        <is>
          <t>Coeficiente Reg × Post sobre el log de la renta media de contratos nuevos de alquiler (Ley 11/2020, Cataluña, Incasòl)</t>
        </is>
      </c>
      <c r="C39" s="2" t="n">
        <v>-0.038434</v>
      </c>
      <c r="D39" s="2" t="n">
        <v>-0.050944</v>
      </c>
      <c r="E39" s="2" t="n">
        <v>-0.02618</v>
      </c>
      <c r="F39" s="2" t="inlineStr">
        <is>
          <t>log (diferencia entre regulados y controles, posterior frente a previo)</t>
        </is>
      </c>
      <c r="G39" s="2" t="inlineStr">
        <is>
          <t>2019T1-2022T1</t>
        </is>
      </c>
      <c r="H39" s="2" t="inlineStr">
        <is>
          <t>49 municipios regulados por la Ley 11/2020 y 94 controles de Cataluña, panel trimestral equilibrado 2019T1-2022T1 sin Barcelona ciudad; sin los municipios sellados en v6, V15 y V16</t>
        </is>
      </c>
      <c r="I39" s="2" t="inlineStr">
        <is>
          <t>C4</t>
        </is>
      </c>
      <c r="J39" s="2" t="inlineStr">
        <is>
          <t>SUGESTIVO</t>
        </is>
      </c>
      <c r="K39" s="2" t="inlineStr">
        <is>
          <t>rango</t>
        </is>
      </c>
      <c r="L39" s="6">
        <f>IF(AND(ISNUMBER(D39),ISNUMBER(E39)),E39-D39,"")</f>
        <v/>
      </c>
      <c r="M39" s="6">
        <f>IF(AND(ISNUMBER(D39),ISNUMBER(E39)),IF(AND(D39&lt;=0,E39&gt;=0),"sí","no"),"")</f>
        <v/>
      </c>
    </row>
    <row r="40">
      <c r="A40" s="2" t="inlineStr">
        <is>
          <t>V18-E2-R1-REV</t>
        </is>
      </c>
      <c r="B40" s="2" t="inlineStr">
        <is>
          <t>Coeficiente de la reversión en 2022T2-2023T4 (tras la STC 37/2022) sobre el log de la renta media, municipios regulados frente a controles</t>
        </is>
      </c>
      <c r="C40" s="2" t="n">
        <v>-0.001566</v>
      </c>
      <c r="D40" s="2" t="n">
        <v>-0.016786</v>
      </c>
      <c r="E40" s="2" t="n">
        <v>0.013653</v>
      </c>
      <c r="F40" s="2" t="inlineStr">
        <is>
          <t>log (nivel posterior a la norma frente a previo)</t>
        </is>
      </c>
      <c r="G40" s="2" t="inlineStr">
        <is>
          <t>2019T1-2023T4</t>
        </is>
      </c>
      <c r="H40" s="2" t="inlineStr">
        <is>
          <t>49 regulados y 91 controles, panel 2019T1-2023T4</t>
        </is>
      </c>
      <c r="I40" s="2" t="inlineStr">
        <is>
          <t>C4</t>
        </is>
      </c>
      <c r="J40" s="2" t="inlineStr">
        <is>
          <t>SUGESTIVO</t>
        </is>
      </c>
      <c r="K40" s="2" t="inlineStr">
        <is>
          <t>rango</t>
        </is>
      </c>
      <c r="L40" s="6">
        <f>IF(AND(ISNUMBER(D40),ISNUMBER(E40)),E40-D40,"")</f>
        <v/>
      </c>
      <c r="M40" s="6">
        <f>IF(AND(ISNUMBER(D40),ISNUMBER(E40)),IF(AND(D40&lt;=0,E40&gt;=0),"sí","no"),"")</f>
        <v/>
      </c>
    </row>
    <row r="41">
      <c r="A41" s="2" t="inlineStr">
        <is>
          <t>V18-E2-R1c</t>
        </is>
      </c>
      <c r="B41" s="2" t="inlineStr">
        <is>
          <t>Coeficiente Reg × Post sobre el log de contratos nuevos por 1.000 habitantes (Ley 11/2020, Cataluña, Incasòl)</t>
        </is>
      </c>
      <c r="C41" s="2" t="n">
        <v>0.017322</v>
      </c>
      <c r="D41" s="2" t="n">
        <v>-0.024899</v>
      </c>
      <c r="E41" s="2" t="n">
        <v>0.059521</v>
      </c>
      <c r="F41" s="2" t="inlineStr">
        <is>
          <t>log (diferencia entre regulados y controles, posterior frente a previo)</t>
        </is>
      </c>
      <c r="G41" s="2" t="inlineStr">
        <is>
          <t>2019T1-2022T1</t>
        </is>
      </c>
      <c r="H41" s="2" t="inlineStr">
        <is>
          <t>49 regulados y 156 controles, panel trimestral equilibrado</t>
        </is>
      </c>
      <c r="I41" s="2" t="inlineStr">
        <is>
          <t>C4</t>
        </is>
      </c>
      <c r="J41" s="2" t="inlineStr">
        <is>
          <t>ASOCIACIÓN</t>
        </is>
      </c>
      <c r="K41" s="2" t="inlineStr">
        <is>
          <t>rango</t>
        </is>
      </c>
      <c r="L41" s="6">
        <f>IF(AND(ISNUMBER(D41),ISNUMBER(E41)),E41-D41,"")</f>
        <v/>
      </c>
      <c r="M41" s="6">
        <f>IF(AND(ISNUMBER(D41),ISNUMBER(E41)),IF(AND(D41&lt;=0,E41&gt;=0),"sí","no"),"")</f>
        <v/>
      </c>
    </row>
    <row r="42">
      <c r="A42" s="2" t="inlineStr">
        <is>
          <t>V18-E3-1HHI</t>
        </is>
      </c>
      <c r="B42" s="2" t="inlineStr">
        <is>
          <t>E3: número efectivo de choques (1/HHI de los pesos por origen)</t>
        </is>
      </c>
      <c r="C42" s="2" t="n">
        <v>7.858302</v>
      </c>
      <c r="D42" s="2" t="n"/>
      <c r="E42" s="2" t="n"/>
      <c r="F42" s="2" t="inlineStr">
        <is>
          <t>choques efectivos</t>
        </is>
      </c>
      <c r="G42" s="2" t="inlineStr">
        <is>
          <t>2002, 2004-2008</t>
        </is>
      </c>
      <c r="H42" s="2" t="inlineStr">
        <is>
          <t>8 grupos de origen</t>
        </is>
      </c>
      <c r="I42" s="2" t="inlineStr">
        <is>
          <t>C4</t>
        </is>
      </c>
      <c r="J42" s="2" t="inlineStr">
        <is>
          <t>NO CONCLUYENTE</t>
        </is>
      </c>
      <c r="K42" s="2" t="inlineStr">
        <is>
          <t>sin rango</t>
        </is>
      </c>
      <c r="L42" s="6">
        <f>IF(AND(ISNUMBER(D42),ISNUMBER(E42)),E42-D42,"")</f>
        <v/>
      </c>
      <c r="M42" s="6">
        <f>IF(AND(ISNUMBER(D42),ISNUMBER(E42)),IF(AND(D42&lt;=0,E42&gt;=0),"sí","no"),"")</f>
        <v/>
      </c>
    </row>
    <row r="43">
      <c r="A43" s="2" t="inlineStr">
        <is>
          <t>V18-E3-A1-MDE80</t>
        </is>
      </c>
      <c r="B43" s="2" t="inlineStr">
        <is>
          <t>E3-A1: efecto mínimo detectable al 80 % de potencia con la variación real del diseño</t>
        </is>
      </c>
      <c r="C43" s="2" t="n">
        <v>10.382636</v>
      </c>
      <c r="D43" s="2" t="n"/>
      <c r="E43" s="2" t="n"/>
      <c r="F43" s="2" t="inlineStr">
        <is>
          <t>% por punto</t>
        </is>
      </c>
      <c r="G43" s="2" t="inlineStr">
        <is>
          <t>(2014, 2022)</t>
        </is>
      </c>
      <c r="H43" s="2" t="inlineStr">
        <is>
          <t>España (provincias) (comprobación previa por MDE (adenda 1.3), R = 2000)</t>
        </is>
      </c>
      <c r="I43" s="2" t="inlineStr">
        <is>
          <t>C4</t>
        </is>
      </c>
      <c r="J43" s="2" t="inlineStr">
        <is>
          <t>NO ESTIMABLE</t>
        </is>
      </c>
      <c r="K43" s="2" t="inlineStr">
        <is>
          <t>sin rango</t>
        </is>
      </c>
      <c r="L43" s="6">
        <f>IF(AND(ISNUMBER(D43),ISNUMBER(E43)),E43-D43,"")</f>
        <v/>
      </c>
      <c r="M43" s="6">
        <f>IF(AND(ISNUMBER(D43),ISNUMBER(E43)),IF(AND(D43&lt;=0,E43&gt;=0),"sí","no"),"")</f>
        <v/>
      </c>
    </row>
    <row r="44">
      <c r="A44" s="2" t="inlineStr">
        <is>
          <t>V18-E3-A2-MDE80</t>
        </is>
      </c>
      <c r="B44" s="2" t="inlineStr">
        <is>
          <t>E3-A2: efecto mínimo detectable al 80 % de potencia con la variación real del diseño</t>
        </is>
      </c>
      <c r="C44" s="2" t="n">
        <v>13.40649</v>
      </c>
      <c r="D44" s="2" t="n"/>
      <c r="E44" s="2" t="n"/>
      <c r="F44" s="2" t="inlineStr">
        <is>
          <t>% por punto</t>
        </is>
      </c>
      <c r="G44" s="2" t="inlineStr">
        <is>
          <t>(2014, 2022)</t>
        </is>
      </c>
      <c r="H44" s="2" t="inlineStr">
        <is>
          <t>España (provincias) (comprobación previa por MDE (adenda 1.3), R = 2000)</t>
        </is>
      </c>
      <c r="I44" s="2" t="inlineStr">
        <is>
          <t>C4</t>
        </is>
      </c>
      <c r="J44" s="2" t="inlineStr">
        <is>
          <t>NO ESTIMABLE</t>
        </is>
      </c>
      <c r="K44" s="2" t="inlineStr">
        <is>
          <t>sin rango</t>
        </is>
      </c>
      <c r="L44" s="6">
        <f>IF(AND(ISNUMBER(D44),ISNUMBER(E44)),E44-D44,"")</f>
        <v/>
      </c>
      <c r="M44" s="6">
        <f>IF(AND(ISNUMBER(D44),ISNUMBER(E44)),IF(AND(D44&lt;=0,E44&gt;=0),"sí","no"),"")</f>
        <v/>
      </c>
    </row>
    <row r="45">
      <c r="A45" s="2" t="inlineStr">
        <is>
          <t>V18-E3-A5-MDE80</t>
        </is>
      </c>
      <c r="B45" s="2" t="inlineStr">
        <is>
          <t>E3-A5: efecto mínimo detectable al 80 % de potencia con la variación real del diseño</t>
        </is>
      </c>
      <c r="C45" s="2" t="n">
        <v>3.789276</v>
      </c>
      <c r="D45" s="2" t="n"/>
      <c r="E45" s="2" t="n"/>
      <c r="F45" s="2" t="inlineStr">
        <is>
          <t>% por punto</t>
        </is>
      </c>
      <c r="G45" s="2" t="inlineStr">
        <is>
          <t>(2002, 2019)</t>
        </is>
      </c>
      <c r="H45" s="2" t="inlineStr">
        <is>
          <t>España (provincias) (comprobación previa por MDE (adenda 1.3), R = 2000)</t>
        </is>
      </c>
      <c r="I45" s="2" t="inlineStr">
        <is>
          <t>C4</t>
        </is>
      </c>
      <c r="J45" s="2" t="inlineStr">
        <is>
          <t>NO ESTIMABLE</t>
        </is>
      </c>
      <c r="K45" s="2" t="inlineStr">
        <is>
          <t>sin rango</t>
        </is>
      </c>
      <c r="L45" s="6">
        <f>IF(AND(ISNUMBER(D45),ISNUMBER(E45)),E45-D45,"")</f>
        <v/>
      </c>
      <c r="M45" s="6">
        <f>IF(AND(ISNUMBER(D45),ISNUMBER(E45)),IF(AND(D45&lt;=0,E45&gt;=0),"sí","no"),"")</f>
        <v/>
      </c>
    </row>
    <row r="46">
      <c r="A46" s="2" t="inlineStr">
        <is>
          <t>V18-E3-R1-F</t>
        </is>
      </c>
      <c r="B46" s="2" t="inlineStr">
        <is>
          <t>E3-R1: F efectivo de Montiel Olea-Pflueger de la primera etapa</t>
        </is>
      </c>
      <c r="C46" s="2" t="n">
        <v>81.073734</v>
      </c>
      <c r="D46" s="2" t="n"/>
      <c r="E46" s="2" t="n"/>
      <c r="F46" s="2" t="inlineStr">
        <is>
          <t>estadístico F</t>
        </is>
      </c>
      <c r="G46" s="2" t="inlineStr">
        <is>
          <t>2002, 2004-2008</t>
        </is>
      </c>
      <c r="H46" s="2" t="inlineStr">
        <is>
          <t>39 provincias</t>
        </is>
      </c>
      <c r="I46" s="2" t="inlineStr">
        <is>
          <t>C4</t>
        </is>
      </c>
      <c r="J46" s="2" t="inlineStr">
        <is>
          <t>NO CONCLUYENTE</t>
        </is>
      </c>
      <c r="K46" s="2" t="inlineStr">
        <is>
          <t>sin rango</t>
        </is>
      </c>
      <c r="L46" s="6">
        <f>IF(AND(ISNUMBER(D46),ISNUMBER(E46)),E46-D46,"")</f>
        <v/>
      </c>
      <c r="M46" s="6">
        <f>IF(AND(ISNUMBER(D46),ISNUMBER(E46)),IF(AND(D46&lt;=0,E46&gt;=0),"sí","no"),"")</f>
        <v/>
      </c>
    </row>
    <row r="47">
      <c r="A47" s="2" t="inlineStr">
        <is>
          <t>V18-E3-R1-MDE80</t>
        </is>
      </c>
      <c r="B47" s="2" t="inlineStr">
        <is>
          <t>E3-R1: efecto mínimo detectable al 80 % de potencia con la variación real del diseño</t>
        </is>
      </c>
      <c r="C47" s="2" t="n">
        <v>36.736125</v>
      </c>
      <c r="D47" s="2" t="n"/>
      <c r="E47" s="2" t="n"/>
      <c r="F47" s="2" t="inlineStr">
        <is>
          <t>€/m² por punto</t>
        </is>
      </c>
      <c r="G47" s="2" t="inlineStr">
        <is>
          <t>(2002, 2008)</t>
        </is>
      </c>
      <c r="H47" s="2" t="inlineStr">
        <is>
          <t>España (provincias) (comprobación previa por MDE (adenda 1.3), R = 2000)</t>
        </is>
      </c>
      <c r="I47" s="2" t="inlineStr">
        <is>
          <t>C4</t>
        </is>
      </c>
      <c r="J47" s="2" t="inlineStr">
        <is>
          <t>NO CONCLUYENTE</t>
        </is>
      </c>
      <c r="K47" s="2" t="inlineStr">
        <is>
          <t>sin rango</t>
        </is>
      </c>
      <c r="L47" s="6">
        <f>IF(AND(ISNUMBER(D47),ISNUMBER(E47)),E47-D47,"")</f>
        <v/>
      </c>
      <c r="M47" s="6">
        <f>IF(AND(ISNUMBER(D47),ISNUMBER(E47)),IF(AND(D47&lt;=0,E47&gt;=0),"sí","no"),"")</f>
        <v/>
      </c>
    </row>
    <row r="48">
      <c r="A48" s="2" t="inlineStr">
        <is>
          <t>V18-E3-R1-beta</t>
        </is>
      </c>
      <c r="B48" s="2" t="inlineStr">
        <is>
          <t>E3-R1: asociación entre la entrada de extranjeros y la variación anual del valor tasado, estimación IV de asentamiento histórico</t>
        </is>
      </c>
      <c r="C48" s="2" t="n">
        <v>3.554945</v>
      </c>
      <c r="D48" s="2" t="n">
        <v>-53.487752</v>
      </c>
      <c r="E48" s="2" t="n">
        <v>63.871527</v>
      </c>
      <c r="F48" s="2" t="inlineStr">
        <is>
          <t>€/m² por punto de población (IC95 Webb-AR)</t>
        </is>
      </c>
      <c r="G48" s="2" t="inlineStr">
        <is>
          <t>2002, 2004-2008</t>
        </is>
      </c>
      <c r="H48" s="2" t="inlineStr">
        <is>
          <t>39 provincias de entrenamiento; N = 234; sin las 11 provincias de v6</t>
        </is>
      </c>
      <c r="I48" s="2" t="inlineStr">
        <is>
          <t>C4</t>
        </is>
      </c>
      <c r="J48" s="2" t="inlineStr">
        <is>
          <t>NO CONCLUYENTE</t>
        </is>
      </c>
      <c r="K48" s="2" t="inlineStr">
        <is>
          <t>rango</t>
        </is>
      </c>
      <c r="L48" s="6">
        <f>IF(AND(ISNUMBER(D48),ISNUMBER(E48)),E48-D48,"")</f>
        <v/>
      </c>
      <c r="M48" s="6">
        <f>IF(AND(ISNUMBER(D48),ISNUMBER(E48)),IF(AND(D48&lt;=0,E48&gt;=0),"sí","no"),"")</f>
        <v/>
      </c>
    </row>
    <row r="49">
      <c r="A49" s="2" t="inlineStr">
        <is>
          <t>V18-E3-R2-MDE80</t>
        </is>
      </c>
      <c r="B49" s="2" t="inlineStr">
        <is>
          <t>E3-R2: efecto mínimo detectable al 80 % de potencia con la variación real del diseño</t>
        </is>
      </c>
      <c r="C49" s="2" t="n">
        <v>2.331099</v>
      </c>
      <c r="D49" s="2" t="n"/>
      <c r="E49" s="2" t="n"/>
      <c r="F49" s="2" t="inlineStr">
        <is>
          <t>elasticidad</t>
        </is>
      </c>
      <c r="G49" s="2" t="inlineStr">
        <is>
          <t>(2002, 2010)</t>
        </is>
      </c>
      <c r="H49" s="2" t="inlineStr">
        <is>
          <t>España (provincias) (comprobación previa por MDE (adenda 1.3), R = 2000)</t>
        </is>
      </c>
      <c r="I49" s="2" t="inlineStr">
        <is>
          <t>C4</t>
        </is>
      </c>
      <c r="J49" s="2" t="inlineStr">
        <is>
          <t>NO ESTIMABLE</t>
        </is>
      </c>
      <c r="K49" s="2" t="inlineStr">
        <is>
          <t>sin rango</t>
        </is>
      </c>
      <c r="L49" s="6">
        <f>IF(AND(ISNUMBER(D49),ISNUMBER(E49)),E49-D49,"")</f>
        <v/>
      </c>
      <c r="M49" s="6">
        <f>IF(AND(ISNUMBER(D49),ISNUMBER(E49)),IF(AND(D49&lt;=0,E49&gt;=0),"sí","no"),"")</f>
        <v/>
      </c>
    </row>
    <row r="50">
      <c r="A50" s="2" t="inlineStr">
        <is>
          <t>V18-E3-R2b-MDE80</t>
        </is>
      </c>
      <c r="B50" s="2" t="inlineStr">
        <is>
          <t>E3-R2b: efecto mínimo detectable al 80 % de potencia con la variación real del diseño</t>
        </is>
      </c>
      <c r="C50" s="2" t="n">
        <v>2.138081</v>
      </c>
      <c r="D50" s="2" t="n"/>
      <c r="E50" s="2" t="n"/>
      <c r="F50" s="2" t="inlineStr">
        <is>
          <t>elasticidad</t>
        </is>
      </c>
      <c r="G50" s="2" t="inlineStr">
        <is>
          <t>(2002, 2008)</t>
        </is>
      </c>
      <c r="H50" s="2" t="inlineStr">
        <is>
          <t>España (provincias) (comprobación previa por MDE (adenda 1.3), R = 2000)</t>
        </is>
      </c>
      <c r="I50" s="2" t="inlineStr">
        <is>
          <t>C4</t>
        </is>
      </c>
      <c r="J50" s="2" t="inlineStr">
        <is>
          <t>NO ESTIMABLE</t>
        </is>
      </c>
      <c r="K50" s="2" t="inlineStr">
        <is>
          <t>sin rango</t>
        </is>
      </c>
      <c r="L50" s="6">
        <f>IF(AND(ISNUMBER(D50),ISNUMBER(E50)),E50-D50,"")</f>
        <v/>
      </c>
      <c r="M50" s="6">
        <f>IF(AND(ISNUMBER(D50),ISNUMBER(E50)),IF(AND(D50&lt;=0,E50&gt;=0),"sí","no"),"")</f>
        <v/>
      </c>
    </row>
    <row r="51">
      <c r="A51" s="2" t="inlineStr">
        <is>
          <t>V18-E3-R2q-MDE80</t>
        </is>
      </c>
      <c r="B51" s="2" t="inlineStr">
        <is>
          <t>E3-R2q: efecto mínimo detectable al 80 % de potencia con la variación real del diseño</t>
        </is>
      </c>
      <c r="C51" s="2" t="n">
        <v>15.888794</v>
      </c>
      <c r="D51" s="2" t="n"/>
      <c r="E51" s="2" t="n"/>
      <c r="F51" s="2" t="inlineStr">
        <is>
          <t>elasticidad</t>
        </is>
      </c>
      <c r="G51" s="2" t="inlineStr">
        <is>
          <t>(2002, 2010)</t>
        </is>
      </c>
      <c r="H51" s="2" t="inlineStr">
        <is>
          <t>España (provincias) (comprobación previa por MDE (adenda 1.3), R = 2000)</t>
        </is>
      </c>
      <c r="I51" s="2" t="inlineStr">
        <is>
          <t>C4</t>
        </is>
      </c>
      <c r="J51" s="2" t="inlineStr">
        <is>
          <t>NO ESTIMABLE</t>
        </is>
      </c>
      <c r="K51" s="2" t="inlineStr">
        <is>
          <t>sin rango</t>
        </is>
      </c>
      <c r="L51" s="6">
        <f>IF(AND(ISNUMBER(D51),ISNUMBER(E51)),E51-D51,"")</f>
        <v/>
      </c>
      <c r="M51" s="6">
        <f>IF(AND(ISNUMBER(D51),ISNUMBER(E51)),IF(AND(D51&lt;=0,E51&gt;=0),"sí","no"),"")</f>
        <v/>
      </c>
    </row>
    <row r="52">
      <c r="A52" s="2" t="inlineStr">
        <is>
          <t>V18-E5-1HHI</t>
        </is>
      </c>
      <c r="B52" s="2" t="inlineStr">
        <is>
          <t>E5: número efectivo de choques del Bartik (1/HHI de los pesos por rama)</t>
        </is>
      </c>
      <c r="C52" s="2" t="n">
        <v>3.326436</v>
      </c>
      <c r="D52" s="2" t="n"/>
      <c r="E52" s="2" t="n"/>
      <c r="F52" s="2" t="inlineStr">
        <is>
          <t>choques efectivos</t>
        </is>
      </c>
      <c r="G52" s="2" t="inlineStr">
        <is>
          <t>2002-2023</t>
        </is>
      </c>
      <c r="H52" s="2" t="inlineStr">
        <is>
          <t>España (provincias) (4 ramas)</t>
        </is>
      </c>
      <c r="I52" s="2" t="inlineStr">
        <is>
          <t>C4</t>
        </is>
      </c>
      <c r="J52" s="2" t="inlineStr">
        <is>
          <t>NO ESTIMABLE</t>
        </is>
      </c>
      <c r="K52" s="2" t="inlineStr">
        <is>
          <t>sin rango</t>
        </is>
      </c>
      <c r="L52" s="6">
        <f>IF(AND(ISNUMBER(D52),ISNUMBER(E52)),E52-D52,"")</f>
        <v/>
      </c>
      <c r="M52" s="6">
        <f>IF(AND(ISNUMBER(D52),ISNUMBER(E52)),IF(AND(D52&lt;=0,E52&gt;=0),"sí","no"),"")</f>
        <v/>
      </c>
    </row>
    <row r="53">
      <c r="A53" s="2" t="inlineStr">
        <is>
          <t>V18-E5-A1-MDE80</t>
        </is>
      </c>
      <c r="B53" s="2" t="inlineStr">
        <is>
          <t>E5-A1: efecto mínimo detectable al 80 % de la interacción del instrumento de inmigración con los solares por vivienda</t>
        </is>
      </c>
      <c r="C53" s="2" t="n">
        <v>0.013387</v>
      </c>
      <c r="D53" s="2" t="n"/>
      <c r="E53" s="2" t="n"/>
      <c r="F53" s="2" t="inlineStr">
        <is>
          <t>Δ ln P por punto de Z y por desviación típica de S</t>
        </is>
      </c>
      <c r="G53" s="2" t="inlineStr">
        <is>
          <t>2014-2022</t>
        </is>
      </c>
      <c r="H53" s="2" t="inlineStr">
        <is>
          <t>España (provincias) (N = 324)</t>
        </is>
      </c>
      <c r="I53" s="2" t="inlineStr">
        <is>
          <t>C4</t>
        </is>
      </c>
      <c r="J53" s="2" t="inlineStr">
        <is>
          <t>ASOCIACIÓN</t>
        </is>
      </c>
      <c r="K53" s="2" t="inlineStr">
        <is>
          <t>sin rango</t>
        </is>
      </c>
      <c r="L53" s="6">
        <f>IF(AND(ISNUMBER(D53),ISNUMBER(E53)),E53-D53,"")</f>
        <v/>
      </c>
      <c r="M53" s="6">
        <f>IF(AND(ISNUMBER(D53),ISNUMBER(E53)),IF(AND(D53&lt;=0,E53&gt;=0),"sí","no"),"")</f>
        <v/>
      </c>
    </row>
    <row r="54">
      <c r="A54" s="2" t="inlineStr">
        <is>
          <t>V18-E5-A1-psi</t>
        </is>
      </c>
      <c r="B54" s="2" t="inlineStr">
        <is>
          <t>E5-A1: coeficiente de la interacción (forma reducida, asociación)</t>
        </is>
      </c>
      <c r="C54" s="2" t="n">
        <v>0.002439</v>
      </c>
      <c r="D54" s="2" t="n">
        <v>-0.007625</v>
      </c>
      <c r="E54" s="2" t="n">
        <v>0.010496</v>
      </c>
      <c r="F54" s="2" t="inlineStr">
        <is>
          <t>Δ ln P por punto de Z y por desviación típica de S</t>
        </is>
      </c>
      <c r="G54" s="2" t="inlineStr">
        <is>
          <t>2014-2022</t>
        </is>
      </c>
      <c r="H54" s="2" t="inlineStr">
        <is>
          <t>España (provincias) (N = 324)</t>
        </is>
      </c>
      <c r="I54" s="2" t="inlineStr">
        <is>
          <t>C4</t>
        </is>
      </c>
      <c r="J54" s="2" t="inlineStr">
        <is>
          <t>ASOCIACIÓN</t>
        </is>
      </c>
      <c r="K54" s="2" t="inlineStr">
        <is>
          <t>rango</t>
        </is>
      </c>
      <c r="L54" s="6">
        <f>IF(AND(ISNUMBER(D54),ISNUMBER(E54)),E54-D54,"")</f>
        <v/>
      </c>
      <c r="M54" s="6">
        <f>IF(AND(ISNUMBER(D54),ISNUMBER(E54)),IF(AND(D54&lt;=0,E54&gt;=0),"sí","no"),"")</f>
        <v/>
      </c>
    </row>
    <row r="55">
      <c r="A55" s="2" t="inlineStr">
        <is>
          <t>V18-E5-R1-F</t>
        </is>
      </c>
      <c r="B55" s="2" t="inlineStr">
        <is>
          <t>E5-R1: F efectivo de Montiel Olea-Pflueger de la primera etapa del Bartik de cuatro ramas</t>
        </is>
      </c>
      <c r="C55" s="2" t="n">
        <v>0.031952</v>
      </c>
      <c r="D55" s="2" t="n"/>
      <c r="E55" s="2" t="n"/>
      <c r="F55" s="2" t="inlineStr">
        <is>
          <t>estadístico F</t>
        </is>
      </c>
      <c r="G55" s="2" t="inlineStr">
        <is>
          <t>2002-2023</t>
        </is>
      </c>
      <c r="H55" s="2" t="inlineStr">
        <is>
          <t>39 provincias</t>
        </is>
      </c>
      <c r="I55" s="2" t="inlineStr">
        <is>
          <t>C4</t>
        </is>
      </c>
      <c r="J55" s="2" t="inlineStr">
        <is>
          <t>NO ESTIMABLE</t>
        </is>
      </c>
      <c r="K55" s="2" t="inlineStr">
        <is>
          <t>sin rango</t>
        </is>
      </c>
      <c r="L55" s="6">
        <f>IF(AND(ISNUMBER(D55),ISNUMBER(E55)),E55-D55,"")</f>
        <v/>
      </c>
      <c r="M55" s="6">
        <f>IF(AND(ISNUMBER(D55),ISNUMBER(E55)),IF(AND(D55&lt;=0,E55&gt;=0),"sí","no"),"")</f>
        <v/>
      </c>
    </row>
    <row r="56">
      <c r="A56" s="2" t="inlineStr">
        <is>
          <t>V18-E5-R1-F-2002-2007</t>
        </is>
      </c>
      <c r="B56" s="2" t="inlineStr">
        <is>
          <t>E5-R1: F efectivo de la primera etapa en la ventana 2002-2007</t>
        </is>
      </c>
      <c r="C56" s="2" t="n">
        <v>6.580349</v>
      </c>
      <c r="D56" s="2" t="n"/>
      <c r="E56" s="2" t="n"/>
      <c r="F56" s="2" t="inlineStr">
        <is>
          <t>estadístico F</t>
        </is>
      </c>
      <c r="G56" s="2" t="inlineStr">
        <is>
          <t>2002-2007</t>
        </is>
      </c>
      <c r="H56" s="2" t="inlineStr">
        <is>
          <t>España (provincias) (N = 234)</t>
        </is>
      </c>
      <c r="I56" s="2" t="inlineStr">
        <is>
          <t>C4</t>
        </is>
      </c>
      <c r="J56" s="2" t="inlineStr">
        <is>
          <t>NO ESTIMABLE</t>
        </is>
      </c>
      <c r="K56" s="2" t="inlineStr">
        <is>
          <t>sin rango</t>
        </is>
      </c>
      <c r="L56" s="6">
        <f>IF(AND(ISNUMBER(D56),ISNUMBER(E56)),E56-D56,"")</f>
        <v/>
      </c>
      <c r="M56" s="6">
        <f>IF(AND(ISNUMBER(D56),ISNUMBER(E56)),IF(AND(D56&lt;=0,E56&gt;=0),"sí","no"),"")</f>
        <v/>
      </c>
    </row>
    <row r="57">
      <c r="A57" s="2" t="inlineStr">
        <is>
          <t>V18-E5-R1-F-2002-2023</t>
        </is>
      </c>
      <c r="B57" s="2" t="inlineStr">
        <is>
          <t>E5-R1: F efectivo de la primera etapa en la ventana 2002-2023</t>
        </is>
      </c>
      <c r="C57" s="2" t="n">
        <v>0.031952</v>
      </c>
      <c r="D57" s="2" t="n"/>
      <c r="E57" s="2" t="n"/>
      <c r="F57" s="2" t="inlineStr">
        <is>
          <t>estadístico F</t>
        </is>
      </c>
      <c r="G57" s="2" t="inlineStr">
        <is>
          <t>2002-2023</t>
        </is>
      </c>
      <c r="H57" s="2" t="inlineStr">
        <is>
          <t>España (provincias) (N = 848)</t>
        </is>
      </c>
      <c r="I57" s="2" t="inlineStr">
        <is>
          <t>C4</t>
        </is>
      </c>
      <c r="J57" s="2" t="inlineStr">
        <is>
          <t>NO ESTIMABLE</t>
        </is>
      </c>
      <c r="K57" s="2" t="inlineStr">
        <is>
          <t>sin rango</t>
        </is>
      </c>
      <c r="L57" s="6">
        <f>IF(AND(ISNUMBER(D57),ISNUMBER(E57)),E57-D57,"")</f>
        <v/>
      </c>
      <c r="M57" s="6">
        <f>IF(AND(ISNUMBER(D57),ISNUMBER(E57)),IF(AND(D57&lt;=0,E57&gt;=0),"sí","no"),"")</f>
        <v/>
      </c>
    </row>
    <row r="58">
      <c r="A58" s="2" t="inlineStr">
        <is>
          <t>V18-E5-R1-F-2008-2013</t>
        </is>
      </c>
      <c r="B58" s="2" t="inlineStr">
        <is>
          <t>E5-R1: F efectivo de la primera etapa en la ventana 2008-2013</t>
        </is>
      </c>
      <c r="C58" s="2" t="n">
        <v>0.001793</v>
      </c>
      <c r="D58" s="2" t="n"/>
      <c r="E58" s="2" t="n"/>
      <c r="F58" s="2" t="inlineStr">
        <is>
          <t>estadístico F</t>
        </is>
      </c>
      <c r="G58" s="2" t="inlineStr">
        <is>
          <t>2008-2013</t>
        </is>
      </c>
      <c r="H58" s="2" t="inlineStr">
        <is>
          <t>España (provincias) (N = 224)</t>
        </is>
      </c>
      <c r="I58" s="2" t="inlineStr">
        <is>
          <t>C4</t>
        </is>
      </c>
      <c r="J58" s="2" t="inlineStr">
        <is>
          <t>NO ESTIMABLE</t>
        </is>
      </c>
      <c r="K58" s="2" t="inlineStr">
        <is>
          <t>sin rango</t>
        </is>
      </c>
      <c r="L58" s="6">
        <f>IF(AND(ISNUMBER(D58),ISNUMBER(E58)),E58-D58,"")</f>
        <v/>
      </c>
      <c r="M58" s="6">
        <f>IF(AND(ISNUMBER(D58),ISNUMBER(E58)),IF(AND(D58&lt;=0,E58&gt;=0),"sí","no"),"")</f>
        <v/>
      </c>
    </row>
    <row r="59">
      <c r="A59" s="2" t="inlineStr">
        <is>
          <t>V18-E5-R1-F-2014-2023</t>
        </is>
      </c>
      <c r="B59" s="2" t="inlineStr">
        <is>
          <t>E5-R1: F efectivo de la primera etapa en la ventana 2014-2023</t>
        </is>
      </c>
      <c r="C59" s="2" t="n">
        <v>0.181668</v>
      </c>
      <c r="D59" s="2" t="n"/>
      <c r="E59" s="2" t="n"/>
      <c r="F59" s="2" t="inlineStr">
        <is>
          <t>estadístico F</t>
        </is>
      </c>
      <c r="G59" s="2" t="inlineStr">
        <is>
          <t>2014-2023</t>
        </is>
      </c>
      <c r="H59" s="2" t="inlineStr">
        <is>
          <t>España (provincias) (N = 390)</t>
        </is>
      </c>
      <c r="I59" s="2" t="inlineStr">
        <is>
          <t>C4</t>
        </is>
      </c>
      <c r="J59" s="2" t="inlineStr">
        <is>
          <t>NO ESTIMABLE</t>
        </is>
      </c>
      <c r="K59" s="2" t="inlineStr">
        <is>
          <t>sin rango</t>
        </is>
      </c>
      <c r="L59" s="6">
        <f>IF(AND(ISNUMBER(D59),ISNUMBER(E59)),E59-D59,"")</f>
        <v/>
      </c>
      <c r="M59" s="6">
        <f>IF(AND(ISNUMBER(D59),ISNUMBER(E59)),IF(AND(D59&lt;=0,E59&gt;=0),"sí","no"),"")</f>
        <v/>
      </c>
    </row>
    <row r="60">
      <c r="A60" s="2" t="inlineStr">
        <is>
          <t>V18-E6-A1</t>
        </is>
      </c>
      <c r="B60" s="2" t="inlineStr">
        <is>
          <t>Secciones tratadas de E6-A1 (edificios de 50 viviendas o más terminados en 2015-2018; anillo de 250 m), provincia de València</t>
        </is>
      </c>
      <c r="C60" s="2" t="n">
        <v>0</v>
      </c>
      <c r="D60" s="2" t="n"/>
      <c r="E60" s="2" t="n"/>
      <c r="F60" s="2" t="inlineStr">
        <is>
          <t>secciones (mínimo 30)</t>
        </is>
      </c>
      <c r="G60" s="2" t="inlineStr">
        <is>
          <t>2015-2018</t>
        </is>
      </c>
      <c r="H60" s="2" t="inlineStr">
        <is>
          <t>0 secciones tratadas y 40 de control en las pilas de E6-A1 (50 viviendas, anillo de 250 m), provincia de València no sellada</t>
        </is>
      </c>
      <c r="I60" s="2" t="inlineStr">
        <is>
          <t>C4</t>
        </is>
      </c>
      <c r="J60" s="2" t="inlineStr">
        <is>
          <t>NO ESTIMABLE</t>
        </is>
      </c>
      <c r="K60" s="2" t="inlineStr">
        <is>
          <t>sin rango</t>
        </is>
      </c>
      <c r="L60" s="6">
        <f>IF(AND(ISNUMBER(D60),ISNUMBER(E60)),E60-D60,"")</f>
        <v/>
      </c>
      <c r="M60" s="6">
        <f>IF(AND(ISNUMBER(D60),ISNUMBER(E60)),IF(AND(D60&lt;=0,E60&gt;=0),"sí","no"),"")</f>
        <v/>
      </c>
    </row>
    <row r="61">
      <c r="A61" s="2" t="inlineStr">
        <is>
          <t>V18-E6-R1</t>
        </is>
      </c>
      <c r="B61" s="2" t="inlineStr">
        <is>
          <t>MDE al 80 % de potencia de E6-R1: efecto medio (k = 0..3) de un edificio de 20 viviendas o más terminado en 2015-2018 sobre el log del alquiler SERPAVI de las secciones contiguas</t>
        </is>
      </c>
      <c r="C61" s="2" t="n">
        <v>0.062295</v>
      </c>
      <c r="D61" s="2" t="n"/>
      <c r="E61" s="2" t="n"/>
      <c r="F61" s="2" t="inlineStr">
        <is>
          <t>log</t>
        </is>
      </c>
      <c r="G61" s="2" t="inlineStr">
        <is>
          <t>2011-2024</t>
        </is>
      </c>
      <c r="H61" s="2" t="inlineStr">
        <is>
          <t>33 secciones tratadas y 74 de control de la provincia de València no selladas (de 992 de 1830 tras el sellado), 37 clusters (secciones de edificio), 2011-2024</t>
        </is>
      </c>
      <c r="I61" s="2" t="inlineStr">
        <is>
          <t>C4</t>
        </is>
      </c>
      <c r="J61" s="2" t="inlineStr">
        <is>
          <t>NO ESTIMABLE</t>
        </is>
      </c>
      <c r="K61" s="2" t="inlineStr">
        <is>
          <t>sin rango</t>
        </is>
      </c>
      <c r="L61" s="6">
        <f>IF(AND(ISNUMBER(D61),ISNUMBER(E61)),E61-D61,"")</f>
        <v/>
      </c>
      <c r="M61" s="6">
        <f>IF(AND(ISNUMBER(D61),ISNUMBER(E61)),IF(AND(D61&lt;=0,E61&gt;=0),"sí","no"),"")</f>
        <v/>
      </c>
    </row>
    <row r="62">
      <c r="A62" s="2" t="inlineStr">
        <is>
          <t>V18-E7-A1</t>
        </is>
      </c>
      <c r="B62" s="2" t="inlineStr">
        <is>
          <t>Respuesta de precio a 8 trimestres de un aumento de 100 pb del euríbor, BVAR recursivo (E7-A1)</t>
        </is>
      </c>
      <c r="C62" s="2" t="n">
        <v>-0.321</v>
      </c>
      <c r="D62" s="2" t="n">
        <v>-1.897</v>
      </c>
      <c r="E62" s="2" t="n">
        <v>1.206</v>
      </c>
      <c r="F62" s="2" t="inlineStr">
        <is>
          <t>% de el precio nominal (valor tasado) por +100 pb del euríbor a 1 año en el impacto (BVAR recursivo; respuesta en nivel a 8 trimestres)</t>
        </is>
      </c>
      <c r="G62" s="2" t="inlineStr">
        <is>
          <t>2008Q1-2026Q2</t>
        </is>
      </c>
      <c r="H62" s="2" t="inlineStr">
        <is>
          <t>nacional</t>
        </is>
      </c>
      <c r="I62" s="2" t="inlineStr">
        <is>
          <t>C4</t>
        </is>
      </c>
      <c r="J62" s="2" t="inlineStr">
        <is>
          <t>ASOCIACIÓN</t>
        </is>
      </c>
      <c r="K62" s="2" t="inlineStr">
        <is>
          <t>rango</t>
        </is>
      </c>
      <c r="L62" s="6">
        <f>IF(AND(ISNUMBER(D62),ISNUMBER(E62)),E62-D62,"")</f>
        <v/>
      </c>
      <c r="M62" s="6">
        <f>IF(AND(ISNUMBER(D62),ISNUMBER(E62)),IF(AND(D62&lt;=0,E62&gt;=0),"sí","no"),"")</f>
        <v/>
      </c>
    </row>
    <row r="63">
      <c r="A63" s="2" t="inlineStr">
        <is>
          <t>V18-E7-A1-cv</t>
        </is>
      </c>
      <c r="B63" s="2" t="inlineStr">
        <is>
          <t>Respuesta de compraventas a 8 trimestres de un aumento de 100 pb del euríbor, BVAR recursivo (E7-A1)</t>
        </is>
      </c>
      <c r="C63" s="2" t="n">
        <v>-2.021</v>
      </c>
      <c r="D63" s="2" t="n">
        <v>-7.263</v>
      </c>
      <c r="E63" s="2" t="n">
        <v>3.258</v>
      </c>
      <c r="F63" s="2" t="inlineStr">
        <is>
          <t>% de las compraventas por +100 pb del euríbor a 1 año en el impacto (BVAR recursivo; respuesta en nivel a 8 trimestres)</t>
        </is>
      </c>
      <c r="G63" s="2" t="inlineStr">
        <is>
          <t>2008Q1-2026Q2</t>
        </is>
      </c>
      <c r="H63" s="2" t="inlineStr">
        <is>
          <t>nacional</t>
        </is>
      </c>
      <c r="I63" s="2" t="inlineStr">
        <is>
          <t>C4</t>
        </is>
      </c>
      <c r="J63" s="2" t="inlineStr">
        <is>
          <t>ASOCIACIÓN</t>
        </is>
      </c>
      <c r="K63" s="2" t="inlineStr">
        <is>
          <t>rango</t>
        </is>
      </c>
      <c r="L63" s="6">
        <f>IF(AND(ISNUMBER(D63),ISNUMBER(E63)),E63-D63,"")</f>
        <v/>
      </c>
      <c r="M63" s="6">
        <f>IF(AND(ISNUMBER(D63),ISNUMBER(E63)),IF(AND(D63&lt;=0,E63&gt;=0),"sí","no"),"")</f>
        <v/>
      </c>
    </row>
    <row r="64">
      <c r="A64" s="2" t="inlineStr">
        <is>
          <t>V18-E7-A1-v1</t>
        </is>
      </c>
      <c r="B64" s="2" t="inlineStr">
        <is>
          <t>Respuesta de precio a 8 trimestres de un aumento de 100 pb del euríbor, BVAR recursivo (E7-A1-v1)</t>
        </is>
      </c>
      <c r="C64" s="2" t="n">
        <v>-0.634</v>
      </c>
      <c r="D64" s="2" t="n">
        <v>-2.037</v>
      </c>
      <c r="E64" s="2" t="n">
        <v>0.725</v>
      </c>
      <c r="F64" s="2" t="inlineStr">
        <is>
          <t>% de el precio nominal (valor tasado) por +100 pb del euríbor a 1 año en el impacto (BVAR recursivo; respuesta en nivel a 8 trimestres)</t>
        </is>
      </c>
      <c r="G64" s="2" t="inlineStr">
        <is>
          <t>2008Q1-2026Q2</t>
        </is>
      </c>
      <c r="H64" s="2" t="inlineStr">
        <is>
          <t>nacional</t>
        </is>
      </c>
      <c r="I64" s="2" t="inlineStr">
        <is>
          <t>C4</t>
        </is>
      </c>
      <c r="J64" s="2" t="inlineStr">
        <is>
          <t>ASOCIACIÓN</t>
        </is>
      </c>
      <c r="K64" s="2" t="inlineStr">
        <is>
          <t>rango</t>
        </is>
      </c>
      <c r="L64" s="6">
        <f>IF(AND(ISNUMBER(D64),ISNUMBER(E64)),E64-D64,"")</f>
        <v/>
      </c>
      <c r="M64" s="6">
        <f>IF(AND(ISNUMBER(D64),ISNUMBER(E64)),IF(AND(D64&lt;=0,E64&gt;=0),"sí","no"),"")</f>
        <v/>
      </c>
    </row>
    <row r="65">
      <c r="A65" s="2" t="inlineStr">
        <is>
          <t>V18-E7-A1-v1-cv</t>
        </is>
      </c>
      <c r="B65" s="2" t="inlineStr">
        <is>
          <t>Respuesta de compraventas a 8 trimestres de un aumento de 100 pb del euríbor, BVAR recursivo (E7-A1-v1)</t>
        </is>
      </c>
      <c r="C65" s="2" t="n">
        <v>-3.035</v>
      </c>
      <c r="D65" s="2" t="n">
        <v>-7.983</v>
      </c>
      <c r="E65" s="2" t="n">
        <v>1.87</v>
      </c>
      <c r="F65" s="2" t="inlineStr">
        <is>
          <t>% de las compraventas por +100 pb del euríbor a 1 año en el impacto (BVAR recursivo; respuesta en nivel a 8 trimestres)</t>
        </is>
      </c>
      <c r="G65" s="2" t="inlineStr">
        <is>
          <t>2008Q1-2026Q2</t>
        </is>
      </c>
      <c r="H65" s="2" t="inlineStr">
        <is>
          <t>nacional</t>
        </is>
      </c>
      <c r="I65" s="2" t="inlineStr">
        <is>
          <t>C4</t>
        </is>
      </c>
      <c r="J65" s="2" t="inlineStr">
        <is>
          <t>ASOCIACIÓN</t>
        </is>
      </c>
      <c r="K65" s="2" t="inlineStr">
        <is>
          <t>rango</t>
        </is>
      </c>
      <c r="L65" s="6">
        <f>IF(AND(ISNUMBER(D65),ISNUMBER(E65)),E65-D65,"")</f>
        <v/>
      </c>
      <c r="M65" s="6">
        <f>IF(AND(ISNUMBER(D65),ISNUMBER(E65)),IF(AND(D65&lt;=0,E65&gt;=0),"sí","no"),"")</f>
        <v/>
      </c>
    </row>
    <row r="66">
      <c r="A66" s="2" t="inlineStr">
        <is>
          <t>V18-E7-A1-v1-vis</t>
        </is>
      </c>
      <c r="B66" s="2" t="inlineStr">
        <is>
          <t>Respuesta de visados a 8 trimestres de un aumento de 100 pb del euríbor, BVAR recursivo (E7-A1-v1)</t>
        </is>
      </c>
      <c r="C66" s="2" t="n">
        <v>-3.219</v>
      </c>
      <c r="D66" s="2" t="n">
        <v>-9.010999999999999</v>
      </c>
      <c r="E66" s="2" t="n">
        <v>2.536</v>
      </c>
      <c r="F66" s="2" t="inlineStr">
        <is>
          <t>% de los visados de obra nueva por +100 pb del euríbor a 1 año en el impacto (BVAR recursivo; respuesta en nivel a 8 trimestres)</t>
        </is>
      </c>
      <c r="G66" s="2" t="inlineStr">
        <is>
          <t>2008Q1-2026Q2</t>
        </is>
      </c>
      <c r="H66" s="2" t="inlineStr">
        <is>
          <t>nacional</t>
        </is>
      </c>
      <c r="I66" s="2" t="inlineStr">
        <is>
          <t>C4</t>
        </is>
      </c>
      <c r="J66" s="2" t="inlineStr">
        <is>
          <t>ASOCIACIÓN</t>
        </is>
      </c>
      <c r="K66" s="2" t="inlineStr">
        <is>
          <t>rango</t>
        </is>
      </c>
      <c r="L66" s="6">
        <f>IF(AND(ISNUMBER(D66),ISNUMBER(E66)),E66-D66,"")</f>
        <v/>
      </c>
      <c r="M66" s="6">
        <f>IF(AND(ISNUMBER(D66),ISNUMBER(E66)),IF(AND(D66&lt;=0,E66&gt;=0),"sí","no"),"")</f>
        <v/>
      </c>
    </row>
    <row r="67">
      <c r="A67" s="2" t="inlineStr">
        <is>
          <t>V18-E7-A1-vis</t>
        </is>
      </c>
      <c r="B67" s="2" t="inlineStr">
        <is>
          <t>Respuesta de visados a 8 trimestres de un aumento de 100 pb del euríbor, BVAR recursivo (E7-A1)</t>
        </is>
      </c>
      <c r="C67" s="2" t="n">
        <v>-1.108</v>
      </c>
      <c r="D67" s="2" t="n">
        <v>-8.553000000000001</v>
      </c>
      <c r="E67" s="2" t="n">
        <v>6.431</v>
      </c>
      <c r="F67" s="2" t="inlineStr">
        <is>
          <t>% de los visados de obra nueva por +100 pb del euríbor a 1 año en el impacto (BVAR recursivo; respuesta en nivel a 8 trimestres)</t>
        </is>
      </c>
      <c r="G67" s="2" t="inlineStr">
        <is>
          <t>2008Q1-2026Q2</t>
        </is>
      </c>
      <c r="H67" s="2" t="inlineStr">
        <is>
          <t>nacional</t>
        </is>
      </c>
      <c r="I67" s="2" t="inlineStr">
        <is>
          <t>C4</t>
        </is>
      </c>
      <c r="J67" s="2" t="inlineStr">
        <is>
          <t>ASOCIACIÓN</t>
        </is>
      </c>
      <c r="K67" s="2" t="inlineStr">
        <is>
          <t>rango</t>
        </is>
      </c>
      <c r="L67" s="6">
        <f>IF(AND(ISNUMBER(D67),ISNUMBER(E67)),E67-D67,"")</f>
        <v/>
      </c>
      <c r="M67" s="6">
        <f>IF(AND(ISNUMBER(D67),ISNUMBER(E67)),IF(AND(D67&lt;=0,E67&gt;=0),"sí","no"),"")</f>
        <v/>
      </c>
    </row>
    <row r="68">
      <c r="A68" s="2" t="inlineStr">
        <is>
          <t>V18-E7-A2</t>
        </is>
      </c>
      <c r="B68" s="2" t="inlineStr">
        <is>
          <t>Respuesta relativa entre provincias del precio a la sorpresa × exposición hipotecaria a 8 trimestres</t>
        </is>
      </c>
      <c r="C68" s="2" t="n">
        <v>-19.6738</v>
      </c>
      <c r="D68" s="2" t="n">
        <v>-36.8538</v>
      </c>
      <c r="E68" s="2" t="n">
        <v>-2.4937</v>
      </c>
      <c r="F68" s="2" t="inlineStr">
        <is>
          <t>% del precio por pp de sorpresa y por unidad de exposición (relativo entre provincias, sin el componente común)</t>
        </is>
      </c>
      <c r="G68" s="2" t="inlineStr">
        <is>
          <t>2002Q2-2024Q2</t>
        </is>
      </c>
      <c r="H68" s="2" t="inlineStr">
        <is>
          <t>33 provincias</t>
        </is>
      </c>
      <c r="I68" s="2" t="inlineStr">
        <is>
          <t>C4</t>
        </is>
      </c>
      <c r="J68" s="2" t="inlineStr">
        <is>
          <t>NO ESTIMABLE</t>
        </is>
      </c>
      <c r="K68" s="2" t="inlineStr">
        <is>
          <t>rango</t>
        </is>
      </c>
      <c r="L68" s="6">
        <f>IF(AND(ISNUMBER(D68),ISNUMBER(E68)),E68-D68,"")</f>
        <v/>
      </c>
      <c r="M68" s="6">
        <f>IF(AND(ISNUMBER(D68),ISNUMBER(E68)),IF(AND(D68&lt;=0,E68&gt;=0),"sí","no"),"")</f>
        <v/>
      </c>
    </row>
    <row r="69">
      <c r="A69" s="2" t="inlineStr">
        <is>
          <t>V18-E7-A2-h12</t>
        </is>
      </c>
      <c r="B69" s="2" t="inlineStr">
        <is>
          <t>Respuesta relativa entre provincias del precio a la sorpresa × exposición hipotecaria a 12 trimestres</t>
        </is>
      </c>
      <c r="C69" s="2" t="n">
        <v>-39.4939</v>
      </c>
      <c r="D69" s="2" t="n">
        <v>-59.2788</v>
      </c>
      <c r="E69" s="2" t="n">
        <v>-19.7091</v>
      </c>
      <c r="F69" s="2" t="inlineStr">
        <is>
          <t>% del precio por pp de sorpresa y por unidad de exposición (relativo entre provincias, sin el componente común)</t>
        </is>
      </c>
      <c r="G69" s="2" t="inlineStr">
        <is>
          <t>2002Q2-2023Q2</t>
        </is>
      </c>
      <c r="H69" s="2" t="inlineStr">
        <is>
          <t>33 provincias</t>
        </is>
      </c>
      <c r="I69" s="2" t="inlineStr">
        <is>
          <t>C4</t>
        </is>
      </c>
      <c r="J69" s="2" t="inlineStr">
        <is>
          <t>NO ESTIMABLE</t>
        </is>
      </c>
      <c r="K69" s="2" t="inlineStr">
        <is>
          <t>rango</t>
        </is>
      </c>
      <c r="L69" s="6">
        <f>IF(AND(ISNUMBER(D69),ISNUMBER(E69)),E69-D69,"")</f>
        <v/>
      </c>
      <c r="M69" s="6">
        <f>IF(AND(ISNUMBER(D69),ISNUMBER(E69)),IF(AND(D69&lt;=0,E69&gt;=0),"sí","no"),"")</f>
        <v/>
      </c>
    </row>
    <row r="70">
      <c r="A70" s="2" t="inlineStr">
        <is>
          <t>V18-E7-A2-h4</t>
        </is>
      </c>
      <c r="B70" s="2" t="inlineStr">
        <is>
          <t>Respuesta relativa entre provincias del precio a la sorpresa × exposición hipotecaria a 4 trimestres</t>
        </is>
      </c>
      <c r="C70" s="2" t="n">
        <v>1.5649</v>
      </c>
      <c r="D70" s="2" t="n">
        <v>-13.8104</v>
      </c>
      <c r="E70" s="2" t="n">
        <v>16.9403</v>
      </c>
      <c r="F70" s="2" t="inlineStr">
        <is>
          <t>% del precio por pp de sorpresa y por unidad de exposición (relativo entre provincias, sin el componente común)</t>
        </is>
      </c>
      <c r="G70" s="2" t="inlineStr">
        <is>
          <t>2002Q2-2025Q2</t>
        </is>
      </c>
      <c r="H70" s="2" t="inlineStr">
        <is>
          <t>33 provincias</t>
        </is>
      </c>
      <c r="I70" s="2" t="inlineStr">
        <is>
          <t>C4</t>
        </is>
      </c>
      <c r="J70" s="2" t="inlineStr">
        <is>
          <t>NO ESTIMABLE</t>
        </is>
      </c>
      <c r="K70" s="2" t="inlineStr">
        <is>
          <t>rango</t>
        </is>
      </c>
      <c r="L70" s="6">
        <f>IF(AND(ISNUMBER(D70),ISNUMBER(E70)),E70-D70,"")</f>
        <v/>
      </c>
      <c r="M70" s="6">
        <f>IF(AND(ISNUMBER(D70),ISNUMBER(E70)),IF(AND(D70&lt;=0,E70&gt;=0),"sí","no"),"")</f>
        <v/>
      </c>
    </row>
    <row r="71">
      <c r="A71" s="2" t="inlineStr">
        <is>
          <t>V18-E7-A2-v2</t>
        </is>
      </c>
      <c r="B71" s="2" t="inlineStr">
        <is>
          <t>Respuesta relativa entre provincias del precio a la sorpresa × exposición hipotecaria a 8 trimestres</t>
        </is>
      </c>
      <c r="C71" s="2" t="n">
        <v>-17.8021</v>
      </c>
      <c r="D71" s="2" t="n">
        <v>-35.2712</v>
      </c>
      <c r="E71" s="2" t="n">
        <v>-0.333</v>
      </c>
      <c r="F71" s="2" t="inlineStr">
        <is>
          <t>% del precio por pp de sorpresa y por unidad de exposición (relativo entre provincias, sin el componente común)</t>
        </is>
      </c>
      <c r="G71" s="2" t="inlineStr">
        <is>
          <t>2002Q2-2024Q2</t>
        </is>
      </c>
      <c r="H71" s="2" t="inlineStr">
        <is>
          <t>32 provincias</t>
        </is>
      </c>
      <c r="I71" s="2" t="inlineStr">
        <is>
          <t>C4</t>
        </is>
      </c>
      <c r="J71" s="2" t="inlineStr">
        <is>
          <t>NO ESTIMABLE</t>
        </is>
      </c>
      <c r="K71" s="2" t="inlineStr">
        <is>
          <t>rango</t>
        </is>
      </c>
      <c r="L71" s="6">
        <f>IF(AND(ISNUMBER(D71),ISNUMBER(E71)),E71-D71,"")</f>
        <v/>
      </c>
      <c r="M71" s="6">
        <f>IF(AND(ISNUMBER(D71),ISNUMBER(E71)),IF(AND(D71&lt;=0,E71&gt;=0),"sí","no"),"")</f>
        <v/>
      </c>
    </row>
    <row r="72">
      <c r="A72" s="2" t="inlineStr">
        <is>
          <t>V18-E7-A2-v3</t>
        </is>
      </c>
      <c r="B72" s="2" t="inlineStr">
        <is>
          <t>Respuesta relativa entre provincias del precio a la sorpresa × exposición hipotecaria a 8 trimestres</t>
        </is>
      </c>
      <c r="C72" s="2" t="n">
        <v>-11.99</v>
      </c>
      <c r="D72" s="2" t="n">
        <v>-26.9845</v>
      </c>
      <c r="E72" s="2" t="n">
        <v>3.0045</v>
      </c>
      <c r="F72" s="2" t="inlineStr">
        <is>
          <t>% del precio por pp de sorpresa y por unidad de exposición (relativo entre provincias, sin el componente común)</t>
        </is>
      </c>
      <c r="G72" s="2" t="inlineStr">
        <is>
          <t>2002Q2-2024Q2</t>
        </is>
      </c>
      <c r="H72" s="2" t="inlineStr">
        <is>
          <t>33 provincias</t>
        </is>
      </c>
      <c r="I72" s="2" t="inlineStr">
        <is>
          <t>C4</t>
        </is>
      </c>
      <c r="J72" s="2" t="inlineStr">
        <is>
          <t>NO ESTIMABLE</t>
        </is>
      </c>
      <c r="K72" s="2" t="inlineStr">
        <is>
          <t>rango</t>
        </is>
      </c>
      <c r="L72" s="6">
        <f>IF(AND(ISNUMBER(D72),ISNUMBER(E72)),E72-D72,"")</f>
        <v/>
      </c>
      <c r="M72" s="6">
        <f>IF(AND(ISNUMBER(D72),ISNUMBER(E72)),IF(AND(D72&lt;=0,E72&gt;=0),"sí","no"),"")</f>
        <v/>
      </c>
    </row>
    <row r="73">
      <c r="A73" s="2" t="inlineStr">
        <is>
          <t>V18-E7-R1</t>
        </is>
      </c>
      <c r="B73" s="2" t="inlineStr">
        <is>
          <t>Respuesta del precio real (valor tasado) a un aumento de 100 pb del tipo hipotecario a 8 trimestres (E7-R1)</t>
        </is>
      </c>
      <c r="C73" s="2" t="n">
        <v>1.2765</v>
      </c>
      <c r="D73" s="2" t="n"/>
      <c r="E73" s="2" t="n"/>
      <c r="F73" s="2" t="inlineStr">
        <is>
          <t>% del precio por +100 pb del tipo (acumulado a h trimestres; LP-IV)</t>
        </is>
      </c>
      <c r="G73" s="2" t="inlineStr">
        <is>
          <t>1999Q1-2024Q2</t>
        </is>
      </c>
      <c r="H73" s="2" t="inlineStr">
        <is>
          <t>nacional</t>
        </is>
      </c>
      <c r="I73" s="2" t="inlineStr">
        <is>
          <t>C4</t>
        </is>
      </c>
      <c r="J73" s="2" t="inlineStr">
        <is>
          <t>NO ESTIMABLE</t>
        </is>
      </c>
      <c r="K73" s="2" t="inlineStr">
        <is>
          <t>sin rango</t>
        </is>
      </c>
      <c r="L73" s="6">
        <f>IF(AND(ISNUMBER(D73),ISNUMBER(E73)),E73-D73,"")</f>
        <v/>
      </c>
      <c r="M73" s="6">
        <f>IF(AND(ISNUMBER(D73),ISNUMBER(E73)),IF(AND(D73&lt;=0,E73&gt;=0),"sí","no"),"")</f>
        <v/>
      </c>
    </row>
    <row r="74">
      <c r="A74" s="2" t="inlineStr">
        <is>
          <t>V18-E7-R1-alq</t>
        </is>
      </c>
      <c r="B74" s="2" t="inlineStr">
        <is>
          <t>Respuesta del IPC de alquiler real a un aumento de 100 pb del tipo hipotecario a 8 trimestres (E7-R1-alq)</t>
        </is>
      </c>
      <c r="C74" s="2" t="n">
        <v>29.1878</v>
      </c>
      <c r="D74" s="2" t="n"/>
      <c r="E74" s="2" t="n"/>
      <c r="F74" s="2" t="inlineStr">
        <is>
          <t>% del IPC de alquiler real por +100 pb del tipo (LP-IV)</t>
        </is>
      </c>
      <c r="G74" s="2" t="inlineStr">
        <is>
          <t>2003Q1-2024Q2</t>
        </is>
      </c>
      <c r="H74" s="2" t="inlineStr">
        <is>
          <t>nacional</t>
        </is>
      </c>
      <c r="I74" s="2" t="inlineStr">
        <is>
          <t>C4</t>
        </is>
      </c>
      <c r="J74" s="2" t="inlineStr">
        <is>
          <t>NO ESTIMABLE</t>
        </is>
      </c>
      <c r="K74" s="2" t="inlineStr">
        <is>
          <t>sin rango</t>
        </is>
      </c>
      <c r="L74" s="6">
        <f>IF(AND(ISNUMBER(D74),ISNUMBER(E74)),E74-D74,"")</f>
        <v/>
      </c>
      <c r="M74" s="6">
        <f>IF(AND(ISNUMBER(D74),ISNUMBER(E74)),IF(AND(D74&lt;=0,E74&gt;=0),"sí","no"),"")</f>
        <v/>
      </c>
    </row>
    <row r="75">
      <c r="A75" s="2" t="inlineStr">
        <is>
          <t>V18-E7-R1-cv</t>
        </is>
      </c>
      <c r="B75" s="2" t="inlineStr">
        <is>
          <t>Respuesta de las compraventas a un aumento de 100 pb del tipo hipotecario a 8 trimestres (E7-R1-cv)</t>
        </is>
      </c>
      <c r="C75" s="2" t="n">
        <v>-73.7383</v>
      </c>
      <c r="D75" s="2" t="n"/>
      <c r="E75" s="2" t="n"/>
      <c r="F75" s="2" t="inlineStr">
        <is>
          <t>% de las compraventas por +100 pb del tipo (LP-IV)</t>
        </is>
      </c>
      <c r="G75" s="2" t="inlineStr">
        <is>
          <t>2008Q1-2024Q2</t>
        </is>
      </c>
      <c r="H75" s="2" t="inlineStr">
        <is>
          <t>nacional</t>
        </is>
      </c>
      <c r="I75" s="2" t="inlineStr">
        <is>
          <t>C4</t>
        </is>
      </c>
      <c r="J75" s="2" t="inlineStr">
        <is>
          <t>NO ESTIMABLE</t>
        </is>
      </c>
      <c r="K75" s="2" t="inlineStr">
        <is>
          <t>sin rango</t>
        </is>
      </c>
      <c r="L75" s="6">
        <f>IF(AND(ISNUMBER(D75),ISNUMBER(E75)),E75-D75,"")</f>
        <v/>
      </c>
      <c r="M75" s="6">
        <f>IF(AND(ISNUMBER(D75),ISNUMBER(E75)),IF(AND(D75&lt;=0,E75&gt;=0),"sí","no"),"")</f>
        <v/>
      </c>
    </row>
    <row r="76">
      <c r="A76" s="2" t="inlineStr">
        <is>
          <t>V18-E7-R1-ipv</t>
        </is>
      </c>
      <c r="B76" s="2" t="inlineStr">
        <is>
          <t>Respuesta del IPV real a un aumento de 100 pb del tipo hipotecario a 8 trimestres (E7-R1-ipv)</t>
        </is>
      </c>
      <c r="C76" s="2" t="n">
        <v>0.1671</v>
      </c>
      <c r="D76" s="2" t="n"/>
      <c r="E76" s="2" t="n"/>
      <c r="F76" s="2" t="inlineStr">
        <is>
          <t>% del precio por +100 pb del tipo (acumulado a h trimestres; LP-IV)</t>
        </is>
      </c>
      <c r="G76" s="2" t="inlineStr">
        <is>
          <t>2008Q1-2024Q2</t>
        </is>
      </c>
      <c r="H76" s="2" t="inlineStr">
        <is>
          <t>nacional</t>
        </is>
      </c>
      <c r="I76" s="2" t="inlineStr">
        <is>
          <t>C4</t>
        </is>
      </c>
      <c r="J76" s="2" t="inlineStr">
        <is>
          <t>NO ESTIMABLE</t>
        </is>
      </c>
      <c r="K76" s="2" t="inlineStr">
        <is>
          <t>sin rango</t>
        </is>
      </c>
      <c r="L76" s="6">
        <f>IF(AND(ISNUMBER(D76),ISNUMBER(E76)),E76-D76,"")</f>
        <v/>
      </c>
      <c r="M76" s="6">
        <f>IF(AND(ISNUMBER(D76),ISNUMBER(E76)),IF(AND(D76&lt;=0,E76&gt;=0),"sí","no"),"")</f>
        <v/>
      </c>
    </row>
    <row r="77">
      <c r="A77" s="2" t="inlineStr">
        <is>
          <t>V18-E7-R1-v1</t>
        </is>
      </c>
      <c r="B77" s="2" t="inlineStr">
        <is>
          <t>Respuesta del precio real (valor tasado) a un aumento de 100 pb del tipo hipotecario a 8 trimestres (E7-R1-v1)</t>
        </is>
      </c>
      <c r="C77" s="2" t="n">
        <v>-0.9132</v>
      </c>
      <c r="D77" s="2" t="n"/>
      <c r="E77" s="2" t="n"/>
      <c r="F77" s="2" t="inlineStr">
        <is>
          <t>% del precio por +100 pb del tipo (acumulado a h trimestres; LP-IV)</t>
        </is>
      </c>
      <c r="G77" s="2" t="inlineStr">
        <is>
          <t>1999Q1-2024Q2</t>
        </is>
      </c>
      <c r="H77" s="2" t="inlineStr">
        <is>
          <t>nacional</t>
        </is>
      </c>
      <c r="I77" s="2" t="inlineStr">
        <is>
          <t>C4</t>
        </is>
      </c>
      <c r="J77" s="2" t="inlineStr">
        <is>
          <t>NO ESTIMABLE</t>
        </is>
      </c>
      <c r="K77" s="2" t="inlineStr">
        <is>
          <t>sin rango</t>
        </is>
      </c>
      <c r="L77" s="6">
        <f>IF(AND(ISNUMBER(D77),ISNUMBER(E77)),E77-D77,"")</f>
        <v/>
      </c>
      <c r="M77" s="6">
        <f>IF(AND(ISNUMBER(D77),ISNUMBER(E77)),IF(AND(D77&lt;=0,E77&gt;=0),"sí","no"),"")</f>
        <v/>
      </c>
    </row>
    <row r="78">
      <c r="A78" s="2" t="inlineStr">
        <is>
          <t>V18-E7-R1-v3</t>
        </is>
      </c>
      <c r="B78" s="2" t="inlineStr">
        <is>
          <t>Respuesta del precio real (valor tasado) a un aumento de 100 pb del tipo hipotecario a 8 trimestres (E7-R1-v3)</t>
        </is>
      </c>
      <c r="C78" s="2" t="n">
        <v>13.2932</v>
      </c>
      <c r="D78" s="2" t="n"/>
      <c r="E78" s="2" t="n"/>
      <c r="F78" s="2" t="inlineStr">
        <is>
          <t>% del precio por +100 pb del tipo (acumulado a h trimestres; LP-IV)</t>
        </is>
      </c>
      <c r="G78" s="2" t="inlineStr">
        <is>
          <t>1999Q1-2024Q2</t>
        </is>
      </c>
      <c r="H78" s="2" t="inlineStr">
        <is>
          <t>nacional</t>
        </is>
      </c>
      <c r="I78" s="2" t="inlineStr">
        <is>
          <t>C4</t>
        </is>
      </c>
      <c r="J78" s="2" t="inlineStr">
        <is>
          <t>NO ESTIMABLE</t>
        </is>
      </c>
      <c r="K78" s="2" t="inlineStr">
        <is>
          <t>sin rango</t>
        </is>
      </c>
      <c r="L78" s="6">
        <f>IF(AND(ISNUMBER(D78),ISNUMBER(E78)),E78-D78,"")</f>
        <v/>
      </c>
      <c r="M78" s="6">
        <f>IF(AND(ISNUMBER(D78),ISNUMBER(E78)),IF(AND(D78&lt;=0,E78&gt;=0),"sí","no"),"")</f>
        <v/>
      </c>
    </row>
    <row r="79">
      <c r="A79" s="2" t="inlineStr">
        <is>
          <t>V18-E7-R1-v5</t>
        </is>
      </c>
      <c r="B79" s="2" t="inlineStr">
        <is>
          <t>Respuesta del precio real (valor tasado) a un aumento de 100 pb del tipo hipotecario a 8 trimestres (E7-R1-v5)</t>
        </is>
      </c>
      <c r="C79" s="2" t="n">
        <v>126.6086</v>
      </c>
      <c r="D79" s="2" t="n"/>
      <c r="E79" s="2" t="n"/>
      <c r="F79" s="2" t="inlineStr">
        <is>
          <t>% del precio por +100 pb del tipo (acumulado a h trimestres; LP-IV)</t>
        </is>
      </c>
      <c r="G79" s="2" t="inlineStr">
        <is>
          <t>1999Q1-2024Q2</t>
        </is>
      </c>
      <c r="H79" s="2" t="inlineStr">
        <is>
          <t>nacional</t>
        </is>
      </c>
      <c r="I79" s="2" t="inlineStr">
        <is>
          <t>C4</t>
        </is>
      </c>
      <c r="J79" s="2" t="inlineStr">
        <is>
          <t>NO ESTIMABLE</t>
        </is>
      </c>
      <c r="K79" s="2" t="inlineStr">
        <is>
          <t>sin rango</t>
        </is>
      </c>
      <c r="L79" s="6">
        <f>IF(AND(ISNUMBER(D79),ISNUMBER(E79)),E79-D79,"")</f>
        <v/>
      </c>
      <c r="M79" s="6">
        <f>IF(AND(ISNUMBER(D79),ISNUMBER(E79)),IF(AND(D79&lt;=0,E79&gt;=0),"sí","no"),"")</f>
        <v/>
      </c>
    </row>
    <row r="80">
      <c r="A80" s="2" t="inlineStr">
        <is>
          <t>V18-E7-R1-v6</t>
        </is>
      </c>
      <c r="B80" s="2" t="inlineStr">
        <is>
          <t>Respuesta del precio real (valor tasado) a un aumento de 100 pb del tipo hipotecario a 8 trimestres (E7-R1-v6)</t>
        </is>
      </c>
      <c r="C80" s="2" t="n">
        <v>1.2765</v>
      </c>
      <c r="D80" s="2" t="n"/>
      <c r="E80" s="2" t="n"/>
      <c r="F80" s="2" t="inlineStr">
        <is>
          <t>% del precio por +100 pb del tipo (acumulado a h trimestres; LP-IV)</t>
        </is>
      </c>
      <c r="G80" s="2" t="inlineStr">
        <is>
          <t>1999Q1-2024Q2</t>
        </is>
      </c>
      <c r="H80" s="2" t="inlineStr">
        <is>
          <t>nacional</t>
        </is>
      </c>
      <c r="I80" s="2" t="inlineStr">
        <is>
          <t>C4</t>
        </is>
      </c>
      <c r="J80" s="2" t="inlineStr">
        <is>
          <t>NO ESTIMABLE</t>
        </is>
      </c>
      <c r="K80" s="2" t="inlineStr">
        <is>
          <t>sin rango</t>
        </is>
      </c>
      <c r="L80" s="6">
        <f>IF(AND(ISNUMBER(D80),ISNUMBER(E80)),E80-D80,"")</f>
        <v/>
      </c>
      <c r="M80" s="6">
        <f>IF(AND(ISNUMBER(D80),ISNUMBER(E80)),IF(AND(D80&lt;=0,E80&gt;=0),"sí","no"),"")</f>
        <v/>
      </c>
    </row>
    <row r="81">
      <c r="A81" s="2" t="inlineStr">
        <is>
          <t>V18-E7-R1-v7</t>
        </is>
      </c>
      <c r="B81" s="2" t="inlineStr">
        <is>
          <t>Respuesta del precio real (valor tasado) a un aumento de 100 pb del tipo hipotecario a 8 trimestres (E7-R1-v7)</t>
        </is>
      </c>
      <c r="C81" s="2" t="n">
        <v>3.269</v>
      </c>
      <c r="D81" s="2" t="n"/>
      <c r="E81" s="2" t="n"/>
      <c r="F81" s="2" t="inlineStr">
        <is>
          <t>% del precio por +100 pb del tipo (acumulado a h trimestres; LP-IV)</t>
        </is>
      </c>
      <c r="G81" s="2" t="inlineStr">
        <is>
          <t>1999Q1-2024Q2</t>
        </is>
      </c>
      <c r="H81" s="2" t="inlineStr">
        <is>
          <t>nacional</t>
        </is>
      </c>
      <c r="I81" s="2" t="inlineStr">
        <is>
          <t>C4</t>
        </is>
      </c>
      <c r="J81" s="2" t="inlineStr">
        <is>
          <t>NO ESTIMABLE</t>
        </is>
      </c>
      <c r="K81" s="2" t="inlineStr">
        <is>
          <t>sin rango</t>
        </is>
      </c>
      <c r="L81" s="6">
        <f>IF(AND(ISNUMBER(D81),ISNUMBER(E81)),E81-D81,"")</f>
        <v/>
      </c>
      <c r="M81" s="6">
        <f>IF(AND(ISNUMBER(D81),ISNUMBER(E81)),IF(AND(D81&lt;=0,E81&gt;=0),"sí","no"),"")</f>
        <v/>
      </c>
    </row>
    <row r="82">
      <c r="A82" s="2" t="inlineStr">
        <is>
          <t>V18-E7-R1-v8</t>
        </is>
      </c>
      <c r="B82" s="2" t="inlineStr">
        <is>
          <t>Respuesta del precio real (valor tasado) a un aumento de 100 pb del tipo hipotecario a 4 trimestres (E7-R1-v8)</t>
        </is>
      </c>
      <c r="C82" s="2" t="n">
        <v>9.4589</v>
      </c>
      <c r="D82" s="2" t="n"/>
      <c r="E82" s="2" t="n"/>
      <c r="F82" s="2" t="inlineStr">
        <is>
          <t>% del precio por +100 pb del tipo (acumulado a h trimestres; LP-IV)</t>
        </is>
      </c>
      <c r="G82" s="2" t="inlineStr">
        <is>
          <t>1999Q1-2025Q2</t>
        </is>
      </c>
      <c r="H82" s="2" t="inlineStr">
        <is>
          <t>nacional</t>
        </is>
      </c>
      <c r="I82" s="2" t="inlineStr">
        <is>
          <t>C4</t>
        </is>
      </c>
      <c r="J82" s="2" t="inlineStr">
        <is>
          <t>NO ESTIMABLE</t>
        </is>
      </c>
      <c r="K82" s="2" t="inlineStr">
        <is>
          <t>sin rango</t>
        </is>
      </c>
      <c r="L82" s="6">
        <f>IF(AND(ISNUMBER(D82),ISNUMBER(E82)),E82-D82,"")</f>
        <v/>
      </c>
      <c r="M82" s="6">
        <f>IF(AND(ISNUMBER(D82),ISNUMBER(E82)),IF(AND(D82&lt;=0,E82&gt;=0),"sí","no"),"")</f>
        <v/>
      </c>
    </row>
    <row r="83">
      <c r="A83" s="2" t="inlineStr">
        <is>
          <t>V18-E7-R1-v9</t>
        </is>
      </c>
      <c r="B83" s="2" t="inlineStr">
        <is>
          <t>Respuesta del precio real (valor tasado) a un aumento de 100 pb del tipo hipotecario a 12 trimestres (E7-R1-v9)</t>
        </is>
      </c>
      <c r="C83" s="2" t="n">
        <v>-5.4118</v>
      </c>
      <c r="D83" s="2" t="n"/>
      <c r="E83" s="2" t="n"/>
      <c r="F83" s="2" t="inlineStr">
        <is>
          <t>% del precio por +100 pb del tipo (acumulado a h trimestres; LP-IV)</t>
        </is>
      </c>
      <c r="G83" s="2" t="inlineStr">
        <is>
          <t>1999Q1-2023Q2</t>
        </is>
      </c>
      <c r="H83" s="2" t="inlineStr">
        <is>
          <t>nacional</t>
        </is>
      </c>
      <c r="I83" s="2" t="inlineStr">
        <is>
          <t>C4</t>
        </is>
      </c>
      <c r="J83" s="2" t="inlineStr">
        <is>
          <t>NO ESTIMABLE</t>
        </is>
      </c>
      <c r="K83" s="2" t="inlineStr">
        <is>
          <t>sin rango</t>
        </is>
      </c>
      <c r="L83" s="6">
        <f>IF(AND(ISNUMBER(D83),ISNUMBER(E83)),E83-D83,"")</f>
        <v/>
      </c>
      <c r="M83" s="6">
        <f>IF(AND(ISNUMBER(D83),ISNUMBER(E83)),IF(AND(D83&lt;=0,E83&gt;=0),"sí","no"),"")</f>
        <v/>
      </c>
    </row>
    <row r="84">
      <c r="A84" s="2" t="inlineStr">
        <is>
          <t>V18-E7-R2</t>
        </is>
      </c>
      <c r="B84" s="2" t="inlineStr">
        <is>
          <t>Respuesta del precio real a +100 pb del tipo hipotecario a 8 trimestres (SVAR con proxy, E7-R2)</t>
        </is>
      </c>
      <c r="C84" s="2" t="n">
        <v>-10.539</v>
      </c>
      <c r="D84" s="2" t="n"/>
      <c r="E84" s="2" t="n"/>
      <c r="F84" s="2" t="inlineStr">
        <is>
          <t>% del precio por +100 pb del tipo (impacto normalizado; SVAR con proxy)</t>
        </is>
      </c>
      <c r="G84" s="2" t="inlineStr">
        <is>
          <t>2007Q1-2025Q3</t>
        </is>
      </c>
      <c r="H84" s="2" t="inlineStr">
        <is>
          <t>nacional</t>
        </is>
      </c>
      <c r="I84" s="2" t="inlineStr">
        <is>
          <t>C4</t>
        </is>
      </c>
      <c r="J84" s="2" t="inlineStr">
        <is>
          <t>NO ESTIMABLE</t>
        </is>
      </c>
      <c r="K84" s="2" t="inlineStr">
        <is>
          <t>sin rango</t>
        </is>
      </c>
      <c r="L84" s="6">
        <f>IF(AND(ISNUMBER(D84),ISNUMBER(E84)),E84-D84,"")</f>
        <v/>
      </c>
      <c r="M84" s="6">
        <f>IF(AND(ISNUMBER(D84),ISNUMBER(E84)),IF(AND(D84&lt;=0,E84&gt;=0),"sí","no"),"")</f>
        <v/>
      </c>
    </row>
    <row r="85">
      <c r="A85" s="2" t="inlineStr">
        <is>
          <t>V18-E7-R2-v1</t>
        </is>
      </c>
      <c r="B85" s="2" t="inlineStr">
        <is>
          <t>Respuesta del precio real a +100 pb del tipo hipotecario a 8 trimestres (SVAR con proxy, E7-R2-v1)</t>
        </is>
      </c>
      <c r="C85" s="2" t="n">
        <v>-16.1136</v>
      </c>
      <c r="D85" s="2" t="n"/>
      <c r="E85" s="2" t="n"/>
      <c r="F85" s="2" t="inlineStr">
        <is>
          <t>% del precio por +100 pb del tipo (impacto normalizado; SVAR con proxy)</t>
        </is>
      </c>
      <c r="G85" s="2" t="inlineStr">
        <is>
          <t>2007Q1-2025Q3</t>
        </is>
      </c>
      <c r="H85" s="2" t="inlineStr">
        <is>
          <t>nacional</t>
        </is>
      </c>
      <c r="I85" s="2" t="inlineStr">
        <is>
          <t>C4</t>
        </is>
      </c>
      <c r="J85" s="2" t="inlineStr">
        <is>
          <t>NO ESTIMABLE</t>
        </is>
      </c>
      <c r="K85" s="2" t="inlineStr">
        <is>
          <t>sin rango</t>
        </is>
      </c>
      <c r="L85" s="6">
        <f>IF(AND(ISNUMBER(D85),ISNUMBER(E85)),E85-D85,"")</f>
        <v/>
      </c>
      <c r="M85" s="6">
        <f>IF(AND(ISNUMBER(D85),ISNUMBER(E85)),IF(AND(D85&lt;=0,E85&gt;=0),"sí","no"),"")</f>
        <v/>
      </c>
    </row>
    <row r="86">
      <c r="A86" s="2" t="inlineStr">
        <is>
          <t>V18-E7-R2-v3</t>
        </is>
      </c>
      <c r="B86" s="2" t="inlineStr">
        <is>
          <t>Respuesta del precio real a +100 pb del tipo hipotecario a 8 trimestres (SVAR con proxy, E7-R2-v3)</t>
        </is>
      </c>
      <c r="C86" s="2" t="n">
        <v>42.5953</v>
      </c>
      <c r="D86" s="2" t="n"/>
      <c r="E86" s="2" t="n"/>
      <c r="F86" s="2" t="inlineStr">
        <is>
          <t>% del precio por +100 pb del tipo (impacto normalizado; SVAR con proxy)</t>
        </is>
      </c>
      <c r="G86" s="2" t="inlineStr">
        <is>
          <t>2007Q1-2025Q3</t>
        </is>
      </c>
      <c r="H86" s="2" t="inlineStr">
        <is>
          <t>nacional</t>
        </is>
      </c>
      <c r="I86" s="2" t="inlineStr">
        <is>
          <t>C4</t>
        </is>
      </c>
      <c r="J86" s="2" t="inlineStr">
        <is>
          <t>NO ESTIMABLE</t>
        </is>
      </c>
      <c r="K86" s="2" t="inlineStr">
        <is>
          <t>sin rango</t>
        </is>
      </c>
      <c r="L86" s="6">
        <f>IF(AND(ISNUMBER(D86),ISNUMBER(E86)),E86-D86,"")</f>
        <v/>
      </c>
      <c r="M86" s="6">
        <f>IF(AND(ISNUMBER(D86),ISNUMBER(E86)),IF(AND(D86&lt;=0,E86&gt;=0),"sí","no"),"")</f>
        <v/>
      </c>
    </row>
    <row r="87">
      <c r="A87" s="2" t="inlineStr">
        <is>
          <t>V18-E7-R2-v4</t>
        </is>
      </c>
      <c r="B87" s="2" t="inlineStr">
        <is>
          <t>Respuesta del precio real a +100 pb del tipo hipotecario a 8 trimestres (SVAR con proxy, E7-R2-v4)</t>
        </is>
      </c>
      <c r="C87" s="2" t="n">
        <v>-5.4935</v>
      </c>
      <c r="D87" s="2" t="n"/>
      <c r="E87" s="2" t="n"/>
      <c r="F87" s="2" t="inlineStr">
        <is>
          <t>% del precio por +100 pb del tipo (impacto normalizado; SVAR con proxy)</t>
        </is>
      </c>
      <c r="G87" s="2" t="inlineStr">
        <is>
          <t>2007Q1-2025Q3</t>
        </is>
      </c>
      <c r="H87" s="2" t="inlineStr">
        <is>
          <t>nacional</t>
        </is>
      </c>
      <c r="I87" s="2" t="inlineStr">
        <is>
          <t>C4</t>
        </is>
      </c>
      <c r="J87" s="2" t="inlineStr">
        <is>
          <t>NO ESTIMABLE</t>
        </is>
      </c>
      <c r="K87" s="2" t="inlineStr">
        <is>
          <t>sin rango</t>
        </is>
      </c>
      <c r="L87" s="6">
        <f>IF(AND(ISNUMBER(D87),ISNUMBER(E87)),E87-D87,"")</f>
        <v/>
      </c>
      <c r="M87" s="6">
        <f>IF(AND(ISNUMBER(D87),ISNUMBER(E87)),IF(AND(D87&lt;=0,E87&gt;=0),"sí","no"),"")</f>
        <v/>
      </c>
    </row>
    <row r="88">
      <c r="A88" s="2" t="inlineStr">
        <is>
          <t>V18-E7-R3</t>
        </is>
      </c>
      <c r="B88" s="2" t="inlineStr">
        <is>
          <t>Respuesta de precio a 8 trimestres de un aumento de 100 pb del euríbor, BVAR recursivo (E7-R3)</t>
        </is>
      </c>
      <c r="C88" s="2" t="n">
        <v>-1.551</v>
      </c>
      <c r="D88" s="2" t="n">
        <v>-2.28</v>
      </c>
      <c r="E88" s="2" t="n">
        <v>-0.867</v>
      </c>
      <c r="F88" s="2" t="inlineStr">
        <is>
          <t>% de el precio nominal (valor tasado) por +100 pb del euríbor a 1 año en el impacto (BVAR recursivo; respuesta en nivel a 8 trimestres)</t>
        </is>
      </c>
      <c r="G88" s="2" t="inlineStr">
        <is>
          <t>2008Q1-2022Q4</t>
        </is>
      </c>
      <c r="H88" s="2" t="inlineStr">
        <is>
          <t>nacional</t>
        </is>
      </c>
      <c r="I88" s="2" t="inlineStr">
        <is>
          <t>C4</t>
        </is>
      </c>
      <c r="J88" s="2" t="inlineStr">
        <is>
          <t>ASOCIACIÓN</t>
        </is>
      </c>
      <c r="K88" s="2" t="inlineStr">
        <is>
          <t>rango</t>
        </is>
      </c>
      <c r="L88" s="6">
        <f>IF(AND(ISNUMBER(D88),ISNUMBER(E88)),E88-D88,"")</f>
        <v/>
      </c>
      <c r="M88" s="6">
        <f>IF(AND(ISNUMBER(D88),ISNUMBER(E88)),IF(AND(D88&lt;=0,E88&gt;=0),"sí","no"),"")</f>
        <v/>
      </c>
    </row>
    <row r="89">
      <c r="A89" s="2" t="inlineStr">
        <is>
          <t>V18-E7-R3-cv</t>
        </is>
      </c>
      <c r="B89" s="2" t="inlineStr">
        <is>
          <t>Respuesta de compraventas a 8 trimestres de un aumento de 100 pb del euríbor, BVAR recursivo (E7-R3)</t>
        </is>
      </c>
      <c r="C89" s="2" t="n">
        <v>-4.825</v>
      </c>
      <c r="D89" s="2" t="n">
        <v>-9.548</v>
      </c>
      <c r="E89" s="2" t="n">
        <v>-0.447</v>
      </c>
      <c r="F89" s="2" t="inlineStr">
        <is>
          <t>% de las compraventas por +100 pb del euríbor a 1 año en el impacto (BVAR recursivo; respuesta en nivel a 8 trimestres)</t>
        </is>
      </c>
      <c r="G89" s="2" t="inlineStr">
        <is>
          <t>2008Q1-2022Q4</t>
        </is>
      </c>
      <c r="H89" s="2" t="inlineStr">
        <is>
          <t>nacional</t>
        </is>
      </c>
      <c r="I89" s="2" t="inlineStr">
        <is>
          <t>C4</t>
        </is>
      </c>
      <c r="J89" s="2" t="inlineStr">
        <is>
          <t>ASOCIACIÓN</t>
        </is>
      </c>
      <c r="K89" s="2" t="inlineStr">
        <is>
          <t>rango</t>
        </is>
      </c>
      <c r="L89" s="6">
        <f>IF(AND(ISNUMBER(D89),ISNUMBER(E89)),E89-D89,"")</f>
        <v/>
      </c>
      <c r="M89" s="6">
        <f>IF(AND(ISNUMBER(D89),ISNUMBER(E89)),IF(AND(D89&lt;=0,E89&gt;=0),"sí","no"),"")</f>
        <v/>
      </c>
    </row>
    <row r="90">
      <c r="A90" s="2" t="inlineStr">
        <is>
          <t>V18-E7-R3-v1</t>
        </is>
      </c>
      <c r="B90" s="2" t="inlineStr">
        <is>
          <t>Respuesta de precio a 8 trimestres de un aumento de 100 pb del euríbor, BVAR recursivo (E7-R3-v1)</t>
        </is>
      </c>
      <c r="C90" s="2" t="n">
        <v>-1.543</v>
      </c>
      <c r="D90" s="2" t="n">
        <v>-2.582</v>
      </c>
      <c r="E90" s="2" t="n">
        <v>-0.498</v>
      </c>
      <c r="F90" s="2" t="inlineStr">
        <is>
          <t>% de el precio nominal (valor tasado) por +100 pb del euríbor a 1 año en el impacto (BVAR recursivo; respuesta en nivel a 8 trimestres)</t>
        </is>
      </c>
      <c r="G90" s="2" t="inlineStr">
        <is>
          <t>2008Q1-2022Q4</t>
        </is>
      </c>
      <c r="H90" s="2" t="inlineStr">
        <is>
          <t>nacional</t>
        </is>
      </c>
      <c r="I90" s="2" t="inlineStr">
        <is>
          <t>C4</t>
        </is>
      </c>
      <c r="J90" s="2" t="inlineStr">
        <is>
          <t>ASOCIACIÓN</t>
        </is>
      </c>
      <c r="K90" s="2" t="inlineStr">
        <is>
          <t>rango</t>
        </is>
      </c>
      <c r="L90" s="6">
        <f>IF(AND(ISNUMBER(D90),ISNUMBER(E90)),E90-D90,"")</f>
        <v/>
      </c>
      <c r="M90" s="6">
        <f>IF(AND(ISNUMBER(D90),ISNUMBER(E90)),IF(AND(D90&lt;=0,E90&gt;=0),"sí","no"),"")</f>
        <v/>
      </c>
    </row>
    <row r="91">
      <c r="A91" s="2" t="inlineStr">
        <is>
          <t>V18-E7-R3-v1-cv</t>
        </is>
      </c>
      <c r="B91" s="2" t="inlineStr">
        <is>
          <t>Respuesta de compraventas a 8 trimestres de un aumento de 100 pb del euríbor, BVAR recursivo (E7-R3-v1)</t>
        </is>
      </c>
      <c r="C91" s="2" t="n">
        <v>-0.357</v>
      </c>
      <c r="D91" s="2" t="n">
        <v>-6.741</v>
      </c>
      <c r="E91" s="2" t="n">
        <v>5.93</v>
      </c>
      <c r="F91" s="2" t="inlineStr">
        <is>
          <t>% de las compraventas por +100 pb del euríbor a 1 año en el impacto (BVAR recursivo; respuesta en nivel a 8 trimestres)</t>
        </is>
      </c>
      <c r="G91" s="2" t="inlineStr">
        <is>
          <t>2008Q1-2022Q4</t>
        </is>
      </c>
      <c r="H91" s="2" t="inlineStr">
        <is>
          <t>nacional</t>
        </is>
      </c>
      <c r="I91" s="2" t="inlineStr">
        <is>
          <t>C4</t>
        </is>
      </c>
      <c r="J91" s="2" t="inlineStr">
        <is>
          <t>ASOCIACIÓN</t>
        </is>
      </c>
      <c r="K91" s="2" t="inlineStr">
        <is>
          <t>rango</t>
        </is>
      </c>
      <c r="L91" s="6">
        <f>IF(AND(ISNUMBER(D91),ISNUMBER(E91)),E91-D91,"")</f>
        <v/>
      </c>
      <c r="M91" s="6">
        <f>IF(AND(ISNUMBER(D91),ISNUMBER(E91)),IF(AND(D91&lt;=0,E91&gt;=0),"sí","no"),"")</f>
        <v/>
      </c>
    </row>
    <row r="92">
      <c r="A92" s="2" t="inlineStr">
        <is>
          <t>V18-E7-R3-v1-vis</t>
        </is>
      </c>
      <c r="B92" s="2" t="inlineStr">
        <is>
          <t>Respuesta de visados a 8 trimestres de un aumento de 100 pb del euríbor, BVAR recursivo (E7-R3-v1)</t>
        </is>
      </c>
      <c r="C92" s="2" t="n">
        <v>-4.771</v>
      </c>
      <c r="D92" s="2" t="n">
        <v>-14.385</v>
      </c>
      <c r="E92" s="2" t="n">
        <v>5.18</v>
      </c>
      <c r="F92" s="2" t="inlineStr">
        <is>
          <t>% de los visados de obra nueva por +100 pb del euríbor a 1 año en el impacto (BVAR recursivo; respuesta en nivel a 8 trimestres)</t>
        </is>
      </c>
      <c r="G92" s="2" t="inlineStr">
        <is>
          <t>2008Q1-2022Q4</t>
        </is>
      </c>
      <c r="H92" s="2" t="inlineStr">
        <is>
          <t>nacional</t>
        </is>
      </c>
      <c r="I92" s="2" t="inlineStr">
        <is>
          <t>C4</t>
        </is>
      </c>
      <c r="J92" s="2" t="inlineStr">
        <is>
          <t>ASOCIACIÓN</t>
        </is>
      </c>
      <c r="K92" s="2" t="inlineStr">
        <is>
          <t>rango</t>
        </is>
      </c>
      <c r="L92" s="6">
        <f>IF(AND(ISNUMBER(D92),ISNUMBER(E92)),E92-D92,"")</f>
        <v/>
      </c>
      <c r="M92" s="6">
        <f>IF(AND(ISNUMBER(D92),ISNUMBER(E92)),IF(AND(D92&lt;=0,E92&gt;=0),"sí","no"),"")</f>
        <v/>
      </c>
    </row>
    <row r="93">
      <c r="A93" s="2" t="inlineStr">
        <is>
          <t>V18-E7-R3-v2</t>
        </is>
      </c>
      <c r="B93" s="2" t="inlineStr">
        <is>
          <t>Respuesta de precio a 8 trimestres de un aumento de 100 pb del euríbor, BVAR recursivo (E7-R3-v2)</t>
        </is>
      </c>
      <c r="C93" s="2" t="n">
        <v>-0.506</v>
      </c>
      <c r="D93" s="2" t="n">
        <v>-1.414</v>
      </c>
      <c r="E93" s="2" t="n">
        <v>0.375</v>
      </c>
      <c r="F93" s="2" t="inlineStr">
        <is>
          <t>% de el precio nominal (valor tasado) por +100 pb del euríbor a 1 año en el impacto (BVAR recursivo; respuesta en nivel a 8 trimestres)</t>
        </is>
      </c>
      <c r="G93" s="2" t="inlineStr">
        <is>
          <t>2008Q1-2019Q4</t>
        </is>
      </c>
      <c r="H93" s="2" t="inlineStr">
        <is>
          <t>nacional</t>
        </is>
      </c>
      <c r="I93" s="2" t="inlineStr">
        <is>
          <t>C4</t>
        </is>
      </c>
      <c r="J93" s="2" t="inlineStr">
        <is>
          <t>ASOCIACIÓN</t>
        </is>
      </c>
      <c r="K93" s="2" t="inlineStr">
        <is>
          <t>rango</t>
        </is>
      </c>
      <c r="L93" s="6">
        <f>IF(AND(ISNUMBER(D93),ISNUMBER(E93)),E93-D93,"")</f>
        <v/>
      </c>
      <c r="M93" s="6">
        <f>IF(AND(ISNUMBER(D93),ISNUMBER(E93)),IF(AND(D93&lt;=0,E93&gt;=0),"sí","no"),"")</f>
        <v/>
      </c>
    </row>
    <row r="94">
      <c r="A94" s="2" t="inlineStr">
        <is>
          <t>V18-E7-R3-v2-cv</t>
        </is>
      </c>
      <c r="B94" s="2" t="inlineStr">
        <is>
          <t>Respuesta de compraventas a 8 trimestres de un aumento de 100 pb del euríbor, BVAR recursivo (E7-R3-v2)</t>
        </is>
      </c>
      <c r="C94" s="2" t="n">
        <v>0.407</v>
      </c>
      <c r="D94" s="2" t="n">
        <v>-4.118</v>
      </c>
      <c r="E94" s="2" t="n">
        <v>5.234</v>
      </c>
      <c r="F94" s="2" t="inlineStr">
        <is>
          <t>% de las compraventas por +100 pb del euríbor a 1 año en el impacto (BVAR recursivo; respuesta en nivel a 8 trimestres)</t>
        </is>
      </c>
      <c r="G94" s="2" t="inlineStr">
        <is>
          <t>2008Q1-2019Q4</t>
        </is>
      </c>
      <c r="H94" s="2" t="inlineStr">
        <is>
          <t>nacional</t>
        </is>
      </c>
      <c r="I94" s="2" t="inlineStr">
        <is>
          <t>C4</t>
        </is>
      </c>
      <c r="J94" s="2" t="inlineStr">
        <is>
          <t>ASOCIACIÓN</t>
        </is>
      </c>
      <c r="K94" s="2" t="inlineStr">
        <is>
          <t>rango</t>
        </is>
      </c>
      <c r="L94" s="6">
        <f>IF(AND(ISNUMBER(D94),ISNUMBER(E94)),E94-D94,"")</f>
        <v/>
      </c>
      <c r="M94" s="6">
        <f>IF(AND(ISNUMBER(D94),ISNUMBER(E94)),IF(AND(D94&lt;=0,E94&gt;=0),"sí","no"),"")</f>
        <v/>
      </c>
    </row>
    <row r="95">
      <c r="A95" s="2" t="inlineStr">
        <is>
          <t>V18-E7-R3-v2-vis</t>
        </is>
      </c>
      <c r="B95" s="2" t="inlineStr">
        <is>
          <t>Respuesta de visados a 8 trimestres de un aumento de 100 pb del euríbor, BVAR recursivo (E7-R3-v2)</t>
        </is>
      </c>
      <c r="C95" s="2" t="n">
        <v>-1.209</v>
      </c>
      <c r="D95" s="2" t="n">
        <v>-9.952999999999999</v>
      </c>
      <c r="E95" s="2" t="n">
        <v>7.192</v>
      </c>
      <c r="F95" s="2" t="inlineStr">
        <is>
          <t>% de los visados de obra nueva por +100 pb del euríbor a 1 año en el impacto (BVAR recursivo; respuesta en nivel a 8 trimestres)</t>
        </is>
      </c>
      <c r="G95" s="2" t="inlineStr">
        <is>
          <t>2008Q1-2019Q4</t>
        </is>
      </c>
      <c r="H95" s="2" t="inlineStr">
        <is>
          <t>nacional</t>
        </is>
      </c>
      <c r="I95" s="2" t="inlineStr">
        <is>
          <t>C4</t>
        </is>
      </c>
      <c r="J95" s="2" t="inlineStr">
        <is>
          <t>ASOCIACIÓN</t>
        </is>
      </c>
      <c r="K95" s="2" t="inlineStr">
        <is>
          <t>rango</t>
        </is>
      </c>
      <c r="L95" s="6">
        <f>IF(AND(ISNUMBER(D95),ISNUMBER(E95)),E95-D95,"")</f>
        <v/>
      </c>
      <c r="M95" s="6">
        <f>IF(AND(ISNUMBER(D95),ISNUMBER(E95)),IF(AND(D95&lt;=0,E95&gt;=0),"sí","no"),"")</f>
        <v/>
      </c>
    </row>
    <row r="96">
      <c r="A96" s="2" t="inlineStr">
        <is>
          <t>V18-E7-R3-vis</t>
        </is>
      </c>
      <c r="B96" s="2" t="inlineStr">
        <is>
          <t>Respuesta de visados a 8 trimestres de un aumento de 100 pb del euríbor, BVAR recursivo (E7-R3)</t>
        </is>
      </c>
      <c r="C96" s="2" t="n">
        <v>-6.628</v>
      </c>
      <c r="D96" s="2" t="n">
        <v>-14.002</v>
      </c>
      <c r="E96" s="2" t="n">
        <v>0.626</v>
      </c>
      <c r="F96" s="2" t="inlineStr">
        <is>
          <t>% de los visados de obra nueva por +100 pb del euríbor a 1 año en el impacto (BVAR recursivo; respuesta en nivel a 8 trimestres)</t>
        </is>
      </c>
      <c r="G96" s="2" t="inlineStr">
        <is>
          <t>2008Q1-2022Q4</t>
        </is>
      </c>
      <c r="H96" s="2" t="inlineStr">
        <is>
          <t>nacional</t>
        </is>
      </c>
      <c r="I96" s="2" t="inlineStr">
        <is>
          <t>C4</t>
        </is>
      </c>
      <c r="J96" s="2" t="inlineStr">
        <is>
          <t>ASOCIACIÓN</t>
        </is>
      </c>
      <c r="K96" s="2" t="inlineStr">
        <is>
          <t>rango</t>
        </is>
      </c>
      <c r="L96" s="6">
        <f>IF(AND(ISNUMBER(D96),ISNUMBER(E96)),E96-D96,"")</f>
        <v/>
      </c>
      <c r="M96" s="6">
        <f>IF(AND(ISNUMBER(D96),ISNUMBER(E96)),IF(AND(D96&lt;=0,E96&gt;=0),"sí","no"),"")</f>
        <v/>
      </c>
    </row>
    <row r="97">
      <c r="A97" s="2" t="inlineStr">
        <is>
          <t>V18-E8-A2</t>
        </is>
      </c>
      <c r="B97" s="2" t="inlineStr">
        <is>
          <t>MDE al 80 % de potencia del efecto del tipo general del ITP sobre las compraventas municipales (por punto)</t>
        </is>
      </c>
      <c r="C97" s="2" t="n">
        <v>0.2157</v>
      </c>
      <c r="D97" s="2" t="n"/>
      <c r="E97" s="2" t="n"/>
      <c r="F97" s="2" t="inlineStr">
        <is>
          <t>log por punto (MDE80)</t>
        </is>
      </c>
      <c r="G97" s="2" t="inlineStr">
        <is>
          <t>2007-2024</t>
        </is>
      </c>
      <c r="H97" s="2" t="inlineStr">
        <is>
          <t>164 municipios grandes, 72 trimestres, 8 comunidades</t>
        </is>
      </c>
      <c r="I97" s="2" t="inlineStr">
        <is>
          <t>C4</t>
        </is>
      </c>
      <c r="J97" s="2" t="inlineStr">
        <is>
          <t>NO ESTIMABLE</t>
        </is>
      </c>
      <c r="K97" s="2" t="inlineStr">
        <is>
          <t>sin rango</t>
        </is>
      </c>
      <c r="L97" s="6">
        <f>IF(AND(ISNUMBER(D97),ISNUMBER(E97)),E97-D97,"")</f>
        <v/>
      </c>
      <c r="M97" s="6">
        <f>IF(AND(ISNUMBER(D97),ISNUMBER(E97)),IF(AND(D97&lt;=0,E97&gt;=0),"sí","no"),"")</f>
        <v/>
      </c>
    </row>
    <row r="98">
      <c r="A98" s="2" t="inlineStr">
        <is>
          <t>V18-E8-R1</t>
        </is>
      </c>
      <c r="B98" s="2" t="inlineStr">
        <is>
          <t>Cambio del log del valor tasado provincial a 4 trimestres por punto de variación del tipo general del ITP (Wald-DID de dosis continua)</t>
        </is>
      </c>
      <c r="C98" s="2" t="n">
        <v>0.014609</v>
      </c>
      <c r="D98" s="2" t="n">
        <v>0.000925</v>
      </c>
      <c r="E98" s="2" t="n">
        <v>0.030856</v>
      </c>
      <c r="F98" s="2" t="inlineStr">
        <is>
          <t>log por punto del tipo general</t>
        </is>
      </c>
      <c r="G98" s="2" t="inlineStr">
        <is>
          <t>2007T1-2026T2</t>
        </is>
      </c>
      <c r="H98" s="2" t="inlineStr">
        <is>
          <t>30 provincias con valor tasado trimestral de 7 comunidades de régimen común no selladas (sin Cantabria: no hay serie provincial completa), 2007T1-2026T2</t>
        </is>
      </c>
      <c r="I98" s="2" t="inlineStr">
        <is>
          <t>C4</t>
        </is>
      </c>
      <c r="J98" s="2" t="inlineStr">
        <is>
          <t>ASOCIACIÓN</t>
        </is>
      </c>
      <c r="K98" s="2" t="inlineStr">
        <is>
          <t>rango</t>
        </is>
      </c>
      <c r="L98" s="6">
        <f>IF(AND(ISNUMBER(D98),ISNUMBER(E98)),E98-D98,"")</f>
        <v/>
      </c>
      <c r="M98" s="6">
        <f>IF(AND(ISNUMBER(D98),ISNUMBER(E98)),IF(AND(D98&lt;=0,E98&gt;=0),"sí","no"),"")</f>
        <v/>
      </c>
    </row>
    <row r="99">
      <c r="A99" s="2" t="inlineStr">
        <is>
          <t>V18-E8-R2</t>
        </is>
      </c>
      <c r="B99" s="2" t="inlineStr">
        <is>
          <t>MDE al 80 % de potencia del efecto del tipo general del ITP sobre las compraventas provinciales mensuales (por punto)</t>
        </is>
      </c>
      <c r="C99" s="2" t="n">
        <v>0.089447</v>
      </c>
      <c r="D99" s="2" t="n"/>
      <c r="E99" s="2" t="n"/>
      <c r="F99" s="2" t="inlineStr">
        <is>
          <t>log por punto (MDE80)</t>
        </is>
      </c>
      <c r="G99" s="2" t="inlineStr">
        <is>
          <t>2007-2024</t>
        </is>
      </c>
      <c r="H99" s="2" t="inlineStr">
        <is>
          <t>36 provincias, 216 meses, 8 comunidades</t>
        </is>
      </c>
      <c r="I99" s="2" t="inlineStr">
        <is>
          <t>C4</t>
        </is>
      </c>
      <c r="J99" s="2" t="inlineStr">
        <is>
          <t>NO ESTIMABLE</t>
        </is>
      </c>
      <c r="K99" s="2" t="inlineStr">
        <is>
          <t>sin rango</t>
        </is>
      </c>
      <c r="L99" s="6">
        <f>IF(AND(ISNUMBER(D99),ISNUMBER(E99)),E99-D99,"")</f>
        <v/>
      </c>
      <c r="M99" s="6">
        <f>IF(AND(ISNUMBER(D99),ISNUMBER(E99)),IF(AND(D99&lt;=0,E99&gt;=0),"sí","no"),"")</f>
        <v/>
      </c>
    </row>
    <row r="100">
      <c r="A100" s="2" t="inlineStr">
        <is>
          <t>V18-E9-1HHI-origenes</t>
        </is>
      </c>
      <c r="B100" s="2" t="inlineStr">
        <is>
          <t>E9: número efectivo de choques (1/HHI de los pesos por origen) con exposición del padrón de 2003 y serie de riesgo en origen, sin pesos</t>
        </is>
      </c>
      <c r="C100" s="2" t="n">
        <v>6.302148</v>
      </c>
      <c r="D100" s="2" t="n"/>
      <c r="E100" s="2" t="n"/>
      <c r="F100" s="2" t="inlineStr">
        <is>
          <t>choques efectivos</t>
        </is>
      </c>
      <c r="G100" s="2" t="inlineStr">
        <is>
          <t>2003 (exposición); 2007-2025 (riesgo)</t>
        </is>
      </c>
      <c r="H100" s="2" t="inlineStr">
        <is>
          <t>8 orígenes con serie de riesgo; 39 provincias de entrenamiento</t>
        </is>
      </c>
      <c r="I100" s="2" t="inlineStr">
        <is>
          <t>C4</t>
        </is>
      </c>
      <c r="J100" s="2" t="inlineStr">
        <is>
          <t>NO ESTIMABLE</t>
        </is>
      </c>
      <c r="K100" s="2" t="inlineStr">
        <is>
          <t>sin rango</t>
        </is>
      </c>
      <c r="L100" s="6">
        <f>IF(AND(ISNUMBER(D100),ISNUMBER(E100)),E100-D100,"")</f>
        <v/>
      </c>
      <c r="M100" s="6">
        <f>IF(AND(ISNUMBER(D100),ISNUMBER(E100)),IF(AND(D100&lt;=0,E100&gt;=0),"sí","no"),"")</f>
        <v/>
      </c>
    </row>
    <row r="101">
      <c r="A101" s="2" t="inlineStr">
        <is>
          <t>V18-E9-1HHI-pesos-poblacion</t>
        </is>
      </c>
      <c r="B101" s="2" t="inlineStr">
        <is>
          <t>E9: número efectivo de choques con pesos de población de 2003</t>
        </is>
      </c>
      <c r="C101" s="2" t="n">
        <v>5.879899</v>
      </c>
      <c r="D101" s="2" t="n"/>
      <c r="E101" s="2" t="n"/>
      <c r="F101" s="2" t="inlineStr">
        <is>
          <t>choques efectivos</t>
        </is>
      </c>
      <c r="G101" s="2" t="inlineStr">
        <is>
          <t>2003</t>
        </is>
      </c>
      <c r="H101" s="2" t="inlineStr">
        <is>
          <t>8 orígenes</t>
        </is>
      </c>
      <c r="I101" s="2" t="inlineStr">
        <is>
          <t>C4</t>
        </is>
      </c>
      <c r="J101" s="2" t="inlineStr">
        <is>
          <t>NO ESTIMABLE</t>
        </is>
      </c>
      <c r="K101" s="2" t="inlineStr">
        <is>
          <t>sin rango</t>
        </is>
      </c>
      <c r="L101" s="6">
        <f>IF(AND(ISNUMBER(D101),ISNUMBER(E101)),E101-D101,"")</f>
        <v/>
      </c>
      <c r="M101" s="6">
        <f>IF(AND(ISNUMBER(D101),ISNUMBER(E101)),IF(AND(D101&lt;=0,E101&gt;=0),"sí","no"),"")</f>
        <v/>
      </c>
    </row>
    <row r="102">
      <c r="A102" s="2" t="inlineStr">
        <is>
          <t>V18-E9-1HHI-todos-paises</t>
        </is>
      </c>
      <c r="B102" s="2" t="inlineStr">
        <is>
          <t>E9: número efectivo de choques si los 28 países del padrón tuvieran serie de riesgo (información)</t>
        </is>
      </c>
      <c r="C102" s="2" t="n">
        <v>11.538973</v>
      </c>
      <c r="D102" s="2" t="n"/>
      <c r="E102" s="2" t="n"/>
      <c r="F102" s="2" t="inlineStr">
        <is>
          <t>choques efectivos</t>
        </is>
      </c>
      <c r="G102" s="2" t="inlineStr">
        <is>
          <t>2003</t>
        </is>
      </c>
      <c r="H102" s="2" t="inlineStr">
        <is>
          <t>28 países del padrón</t>
        </is>
      </c>
      <c r="I102" s="2" t="inlineStr">
        <is>
          <t>C4</t>
        </is>
      </c>
      <c r="J102" s="2" t="inlineStr">
        <is>
          <t>NO ESTIMABLE</t>
        </is>
      </c>
      <c r="K102" s="2" t="inlineStr">
        <is>
          <t>sin rango</t>
        </is>
      </c>
      <c r="L102" s="6">
        <f>IF(AND(ISNUMBER(D102),ISNUMBER(E102)),E102-D102,"")</f>
        <v/>
      </c>
      <c r="M102" s="6">
        <f>IF(AND(ISNUMBER(D102),ISNUMBER(E102)),IF(AND(D102&lt;=0,E102&gt;=0),"sí","no"),"")</f>
        <v/>
      </c>
    </row>
    <row r="103">
      <c r="A103" s="2" t="inlineStr">
        <is>
          <t>V18-F1-A1</t>
        </is>
      </c>
      <c r="B103" s="2" t="inlineStr">
        <is>
          <t>Respuesta de corto plazo del ln p a la variación de la renta real per cápita (ln; PIB provincial como sustituto) (F1-A1)</t>
        </is>
      </c>
      <c r="C103" s="2" t="n">
        <v>0.0615</v>
      </c>
      <c r="D103" s="2" t="n">
        <v>-0.0182</v>
      </c>
      <c r="E103" s="2" t="n">
        <v>0.2634</v>
      </c>
      <c r="F103" s="2" t="inlineStr">
        <is>
          <t>elasticidad de impacto en variaciones (PMG, grupo medio; IC95 por bootstrap de provincias)</t>
        </is>
      </c>
      <c r="G103" s="2" t="inlineStr">
        <is>
          <t>2002-2024</t>
        </is>
      </c>
      <c r="H103" s="2" t="inlineStr">
        <is>
          <t>33 provincias</t>
        </is>
      </c>
      <c r="I103" s="2" t="inlineStr">
        <is>
          <t>C4</t>
        </is>
      </c>
      <c r="J103" s="2" t="inlineStr">
        <is>
          <t>ASOCIACIÓN</t>
        </is>
      </c>
      <c r="K103" s="2" t="inlineStr">
        <is>
          <t>rango</t>
        </is>
      </c>
      <c r="L103" s="6">
        <f>IF(AND(ISNUMBER(D103),ISNUMBER(E103)),E103-D103,"")</f>
        <v/>
      </c>
      <c r="M103" s="6">
        <f>IF(AND(ISNUMBER(D103),ISNUMBER(E103)),IF(AND(D103&lt;=0,E103&gt;=0),"sí","no"),"")</f>
        <v/>
      </c>
    </row>
    <row r="104">
      <c r="A104" s="2" t="inlineStr">
        <is>
          <t>V18-F1-A2</t>
        </is>
      </c>
      <c r="B104" s="2" t="inlineStr">
        <is>
          <t>Respuesta de corto plazo de la variación del precio real a la variación de la renta real de los hogares (ln) (modelo F1-A2)</t>
        </is>
      </c>
      <c r="C104" s="2" t="n">
        <v>1.0523</v>
      </c>
      <c r="D104" s="2" t="n">
        <v>0.1733</v>
      </c>
      <c r="E104" s="2" t="n">
        <v>1.9313</v>
      </c>
      <c r="F104" s="2" t="inlineStr">
        <is>
          <t>elasticidad de impacto en variaciones (corto plazo; MCO clásico)</t>
        </is>
      </c>
      <c r="G104" s="2" t="inlineStr">
        <is>
          <t>2001-2025</t>
        </is>
      </c>
      <c r="H104" s="2" t="inlineStr">
        <is>
          <t>nacional</t>
        </is>
      </c>
      <c r="I104" s="2" t="inlineStr">
        <is>
          <t>C4</t>
        </is>
      </c>
      <c r="J104" s="2" t="inlineStr">
        <is>
          <t>ASOCIACIÓN</t>
        </is>
      </c>
      <c r="K104" s="2" t="inlineStr">
        <is>
          <t>rango</t>
        </is>
      </c>
      <c r="L104" s="6">
        <f>IF(AND(ISNUMBER(D104),ISNUMBER(E104)),E104-D104,"")</f>
        <v/>
      </c>
      <c r="M104" s="6">
        <f>IF(AND(ISNUMBER(D104),ISNUMBER(E104)),IF(AND(D104&lt;=0,E104&gt;=0),"sí","no"),"")</f>
        <v/>
      </c>
    </row>
    <row r="105">
      <c r="A105" s="2" t="inlineStr">
        <is>
          <t>V18-F1-A2-v1</t>
        </is>
      </c>
      <c r="B105" s="2" t="inlineStr">
        <is>
          <t>Respuesta de corto plazo de la variación del precio real a la variación de la renta real de los hogares (ln) (modelo F1-A2-v1)</t>
        </is>
      </c>
      <c r="C105" s="2" t="n">
        <v>0.7018</v>
      </c>
      <c r="D105" s="2" t="n">
        <v>-0.0804</v>
      </c>
      <c r="E105" s="2" t="n">
        <v>1.484</v>
      </c>
      <c r="F105" s="2" t="inlineStr">
        <is>
          <t>elasticidad de impacto en variaciones (corto plazo; MCO clásico)</t>
        </is>
      </c>
      <c r="G105" s="2" t="inlineStr">
        <is>
          <t>2001-2025</t>
        </is>
      </c>
      <c r="H105" s="2" t="inlineStr">
        <is>
          <t>nacional</t>
        </is>
      </c>
      <c r="I105" s="2" t="inlineStr">
        <is>
          <t>C4</t>
        </is>
      </c>
      <c r="J105" s="2" t="inlineStr">
        <is>
          <t>ASOCIACIÓN</t>
        </is>
      </c>
      <c r="K105" s="2" t="inlineStr">
        <is>
          <t>rango</t>
        </is>
      </c>
      <c r="L105" s="6">
        <f>IF(AND(ISNUMBER(D105),ISNUMBER(E105)),E105-D105,"")</f>
        <v/>
      </c>
      <c r="M105" s="6">
        <f>IF(AND(ISNUMBER(D105),ISNUMBER(E105)),IF(AND(D105&lt;=0,E105&gt;=0),"sí","no"),"")</f>
        <v/>
      </c>
    </row>
    <row r="106">
      <c r="A106" s="2" t="inlineStr">
        <is>
          <t>V18-F1-A2-v2</t>
        </is>
      </c>
      <c r="B106" s="2" t="inlineStr">
        <is>
          <t>Respuesta de corto plazo de la variación del precio real a la variación de la renta real de los hogares (ln) (modelo F1-A2-v2)</t>
        </is>
      </c>
      <c r="C106" s="2" t="n">
        <v>0.9340000000000001</v>
      </c>
      <c r="D106" s="2" t="n">
        <v>0.1322</v>
      </c>
      <c r="E106" s="2" t="n">
        <v>1.7358</v>
      </c>
      <c r="F106" s="2" t="inlineStr">
        <is>
          <t>elasticidad de impacto en variaciones (corto plazo; MCO clásico)</t>
        </is>
      </c>
      <c r="G106" s="2" t="inlineStr">
        <is>
          <t>2001-2025</t>
        </is>
      </c>
      <c r="H106" s="2" t="inlineStr">
        <is>
          <t>nacional</t>
        </is>
      </c>
      <c r="I106" s="2" t="inlineStr">
        <is>
          <t>C4</t>
        </is>
      </c>
      <c r="J106" s="2" t="inlineStr">
        <is>
          <t>ASOCIACIÓN</t>
        </is>
      </c>
      <c r="K106" s="2" t="inlineStr">
        <is>
          <t>rango</t>
        </is>
      </c>
      <c r="L106" s="6">
        <f>IF(AND(ISNUMBER(D106),ISNUMBER(E106)),E106-D106,"")</f>
        <v/>
      </c>
      <c r="M106" s="6">
        <f>IF(AND(ISNUMBER(D106),ISNUMBER(E106)),IF(AND(D106&lt;=0,E106&gt;=0),"sí","no"),"")</f>
        <v/>
      </c>
    </row>
    <row r="107">
      <c r="A107" s="2" t="inlineStr">
        <is>
          <t>V18-F1-R1</t>
        </is>
      </c>
      <c r="B107" s="2" t="inlineStr">
        <is>
          <t>Respuesta de corto plazo de la variación del precio real a la variación de la renta real de los hogares (ln) (modelo F1-R1)</t>
        </is>
      </c>
      <c r="C107" s="2" t="n">
        <v>0.1261</v>
      </c>
      <c r="D107" s="2" t="n">
        <v>-0.0227</v>
      </c>
      <c r="E107" s="2" t="n">
        <v>0.2749</v>
      </c>
      <c r="F107" s="2" t="inlineStr">
        <is>
          <t>elasticidad de impacto en variaciones (corto plazo; MCO clásico)</t>
        </is>
      </c>
      <c r="G107" s="2" t="inlineStr">
        <is>
          <t>1999Q1-2026Q2</t>
        </is>
      </c>
      <c r="H107" s="2" t="inlineStr">
        <is>
          <t>nacional</t>
        </is>
      </c>
      <c r="I107" s="2" t="inlineStr">
        <is>
          <t>C4</t>
        </is>
      </c>
      <c r="J107" s="2" t="inlineStr">
        <is>
          <t>ASOCIACIÓN</t>
        </is>
      </c>
      <c r="K107" s="2" t="inlineStr">
        <is>
          <t>rango</t>
        </is>
      </c>
      <c r="L107" s="6">
        <f>IF(AND(ISNUMBER(D107),ISNUMBER(E107)),E107-D107,"")</f>
        <v/>
      </c>
      <c r="M107" s="6">
        <f>IF(AND(ISNUMBER(D107),ISNUMBER(E107)),IF(AND(D107&lt;=0,E107&gt;=0),"sí","no"),"")</f>
        <v/>
      </c>
    </row>
    <row r="108">
      <c r="A108" s="2" t="inlineStr">
        <is>
          <t>V18-F1-R1-v2</t>
        </is>
      </c>
      <c r="B108" s="2" t="inlineStr">
        <is>
          <t>Respuesta de corto plazo de la variación del precio real a la variación de la renta real de los hogares (ln) (modelo F1-R1-v2)</t>
        </is>
      </c>
      <c r="C108" s="2" t="n">
        <v>0.1321</v>
      </c>
      <c r="D108" s="2" t="n">
        <v>-0.0392</v>
      </c>
      <c r="E108" s="2" t="n">
        <v>0.3034</v>
      </c>
      <c r="F108" s="2" t="inlineStr">
        <is>
          <t>elasticidad de impacto en variaciones (corto plazo; MCO clásico)</t>
        </is>
      </c>
      <c r="G108" s="2" t="inlineStr">
        <is>
          <t>1999Q1-2026Q2</t>
        </is>
      </c>
      <c r="H108" s="2" t="inlineStr">
        <is>
          <t>nacional</t>
        </is>
      </c>
      <c r="I108" s="2" t="inlineStr">
        <is>
          <t>C4</t>
        </is>
      </c>
      <c r="J108" s="2" t="inlineStr">
        <is>
          <t>ASOCIACIÓN</t>
        </is>
      </c>
      <c r="K108" s="2" t="inlineStr">
        <is>
          <t>rango</t>
        </is>
      </c>
      <c r="L108" s="6">
        <f>IF(AND(ISNUMBER(D108),ISNUMBER(E108)),E108-D108,"")</f>
        <v/>
      </c>
      <c r="M108" s="6">
        <f>IF(AND(ISNUMBER(D108),ISNUMBER(E108)),IF(AND(D108&lt;=0,E108&gt;=0),"sí","no"),"")</f>
        <v/>
      </c>
    </row>
    <row r="109">
      <c r="A109" s="2" t="inlineStr">
        <is>
          <t>V18-F1-R1-v3</t>
        </is>
      </c>
      <c r="B109" s="2" t="inlineStr">
        <is>
          <t>Respuesta de corto plazo de la variación del precio real a la variación de la renta real de los hogares (ln) (modelo F1-R1-v3)</t>
        </is>
      </c>
      <c r="C109" s="2" t="n">
        <v>0.2813</v>
      </c>
      <c r="D109" s="2" t="n">
        <v>0.0452</v>
      </c>
      <c r="E109" s="2" t="n">
        <v>0.5173</v>
      </c>
      <c r="F109" s="2" t="inlineStr">
        <is>
          <t>elasticidad de impacto en variaciones (corto plazo; MCO clásico)</t>
        </is>
      </c>
      <c r="G109" s="2" t="inlineStr">
        <is>
          <t>2007Q1-2026Q2</t>
        </is>
      </c>
      <c r="H109" s="2" t="inlineStr">
        <is>
          <t>nacional</t>
        </is>
      </c>
      <c r="I109" s="2" t="inlineStr">
        <is>
          <t>C4</t>
        </is>
      </c>
      <c r="J109" s="2" t="inlineStr">
        <is>
          <t>ASOCIACIÓN</t>
        </is>
      </c>
      <c r="K109" s="2" t="inlineStr">
        <is>
          <t>rango</t>
        </is>
      </c>
      <c r="L109" s="6">
        <f>IF(AND(ISNUMBER(D109),ISNUMBER(E109)),E109-D109,"")</f>
        <v/>
      </c>
      <c r="M109" s="6">
        <f>IF(AND(ISNUMBER(D109),ISNUMBER(E109)),IF(AND(D109&lt;=0,E109&gt;=0),"sí","no"),"")</f>
        <v/>
      </c>
    </row>
    <row r="110">
      <c r="A110" s="2" t="inlineStr">
        <is>
          <t>V18-F1-R1-v4</t>
        </is>
      </c>
      <c r="B110" s="2" t="inlineStr">
        <is>
          <t>Respuesta de corto plazo de la variación del precio real a la variación de la renta real de los hogares (ln) (modelo F1-R1-v4)</t>
        </is>
      </c>
      <c r="C110" s="2" t="n">
        <v>0.1593</v>
      </c>
      <c r="D110" s="2" t="n">
        <v>0.01</v>
      </c>
      <c r="E110" s="2" t="n">
        <v>0.3086</v>
      </c>
      <c r="F110" s="2" t="inlineStr">
        <is>
          <t>elasticidad de impacto en variaciones (corto plazo; MCO clásico)</t>
        </is>
      </c>
      <c r="G110" s="2" t="inlineStr">
        <is>
          <t>1999Q1-2026Q2</t>
        </is>
      </c>
      <c r="H110" s="2" t="inlineStr">
        <is>
          <t>nacional</t>
        </is>
      </c>
      <c r="I110" s="2" t="inlineStr">
        <is>
          <t>C4</t>
        </is>
      </c>
      <c r="J110" s="2" t="inlineStr">
        <is>
          <t>ASOCIACIÓN</t>
        </is>
      </c>
      <c r="K110" s="2" t="inlineStr">
        <is>
          <t>rango</t>
        </is>
      </c>
      <c r="L110" s="6">
        <f>IF(AND(ISNUMBER(D110),ISNUMBER(E110)),E110-D110,"")</f>
        <v/>
      </c>
      <c r="M110" s="6">
        <f>IF(AND(ISNUMBER(D110),ISNUMBER(E110)),IF(AND(D110&lt;=0,E110&gt;=0),"sí","no"),"")</f>
        <v/>
      </c>
    </row>
    <row r="111">
      <c r="A111" s="2" t="inlineStr">
        <is>
          <t>V18-F1-R1-v5</t>
        </is>
      </c>
      <c r="B111" s="2" t="inlineStr">
        <is>
          <t>Respuesta de corto plazo de la variación del precio real a la variación de la renta real de los hogares (ln) (modelo F1-R1-v5)</t>
        </is>
      </c>
      <c r="C111" s="2" t="n">
        <v>0.0801</v>
      </c>
      <c r="D111" s="2" t="n">
        <v>-0.0702</v>
      </c>
      <c r="E111" s="2" t="n">
        <v>0.2305</v>
      </c>
      <c r="F111" s="2" t="inlineStr">
        <is>
          <t>elasticidad de impacto en variaciones (corto plazo; MCO clásico)</t>
        </is>
      </c>
      <c r="G111" s="2" t="inlineStr">
        <is>
          <t>1999Q1-2026Q2</t>
        </is>
      </c>
      <c r="H111" s="2" t="inlineStr">
        <is>
          <t>nacional</t>
        </is>
      </c>
      <c r="I111" s="2" t="inlineStr">
        <is>
          <t>C4</t>
        </is>
      </c>
      <c r="J111" s="2" t="inlineStr">
        <is>
          <t>ASOCIACIÓN</t>
        </is>
      </c>
      <c r="K111" s="2" t="inlineStr">
        <is>
          <t>rango</t>
        </is>
      </c>
      <c r="L111" s="6">
        <f>IF(AND(ISNUMBER(D111),ISNUMBER(E111)),E111-D111,"")</f>
        <v/>
      </c>
      <c r="M111" s="6">
        <f>IF(AND(ISNUMBER(D111),ISNUMBER(E111)),IF(AND(D111&lt;=0,E111&gt;=0),"sí","no"),"")</f>
        <v/>
      </c>
    </row>
    <row r="112">
      <c r="A112" s="2" t="inlineStr">
        <is>
          <t>V18-F1-R2-pmg</t>
        </is>
      </c>
      <c r="B112" s="2" t="inlineStr">
        <is>
          <t>Respuesta de corto plazo del ln p a la variación de la renta real per cápita (ln; PIB provincial como sustituto) (F1-R2-pmg)</t>
        </is>
      </c>
      <c r="C112" s="2" t="n">
        <v>0.3479</v>
      </c>
      <c r="D112" s="2" t="n">
        <v>0.164</v>
      </c>
      <c r="E112" s="2" t="n">
        <v>0.5597</v>
      </c>
      <c r="F112" s="2" t="inlineStr">
        <is>
          <t>elasticidad de impacto en variaciones (PMG, grupo medio; IC95 por bootstrap de provincias)</t>
        </is>
      </c>
      <c r="G112" s="2" t="inlineStr">
        <is>
          <t>2002-2018</t>
        </is>
      </c>
      <c r="H112" s="2" t="inlineStr">
        <is>
          <t>33 provincias</t>
        </is>
      </c>
      <c r="I112" s="2" t="inlineStr">
        <is>
          <t>C4</t>
        </is>
      </c>
      <c r="J112" s="2" t="inlineStr">
        <is>
          <t>ASOCIACIÓN</t>
        </is>
      </c>
      <c r="K112" s="2" t="inlineStr">
        <is>
          <t>rango</t>
        </is>
      </c>
      <c r="L112" s="6">
        <f>IF(AND(ISNUMBER(D112),ISNUMBER(E112)),E112-D112,"")</f>
        <v/>
      </c>
      <c r="M112" s="6">
        <f>IF(AND(ISNUMBER(D112),ISNUMBER(E112)),IF(AND(D112&lt;=0,E112&gt;=0),"sí","no"),"")</f>
        <v/>
      </c>
    </row>
    <row r="113">
      <c r="A113" s="2" t="inlineStr">
        <is>
          <t>V18-F2-A2</t>
        </is>
      </c>
      <c r="B113" s="2" t="inlineStr">
        <is>
          <t>Semielasticidad del ratio precio/alquiler respecto del coste de uso (panel provincial)</t>
        </is>
      </c>
      <c r="C113" s="2" t="n">
        <v>0.0091</v>
      </c>
      <c r="D113" s="2" t="n">
        <v>0.0073</v>
      </c>
      <c r="E113" s="2" t="n">
        <v>0.0109</v>
      </c>
      <c r="F113" s="2" t="inlineStr">
        <is>
          <t>ln del ratio por pp de coste de uso</t>
        </is>
      </c>
      <c r="G113" s="2" t="inlineStr">
        <is>
          <t>2013-2024</t>
        </is>
      </c>
      <c r="H113" s="2" t="inlineStr">
        <is>
          <t>30 provincias</t>
        </is>
      </c>
      <c r="I113" s="2" t="inlineStr">
        <is>
          <t>C4</t>
        </is>
      </c>
      <c r="J113" s="2" t="inlineStr">
        <is>
          <t>ASOCIACIÓN</t>
        </is>
      </c>
      <c r="K113" s="2" t="inlineStr">
        <is>
          <t>rango</t>
        </is>
      </c>
      <c r="L113" s="6">
        <f>IF(AND(ISNUMBER(D113),ISNUMBER(E113)),E113-D113,"")</f>
        <v/>
      </c>
      <c r="M113" s="6">
        <f>IF(AND(ISNUMBER(D113),ISNUMBER(E113)),IF(AND(D113&lt;=0,E113&gt;=0),"sí","no"),"")</f>
        <v/>
      </c>
    </row>
    <row r="114">
      <c r="A114" s="2" t="inlineStr">
        <is>
          <t>V18-F2-A2-v1</t>
        </is>
      </c>
      <c r="B114" s="2" t="inlineStr">
        <is>
          <t>Semielasticidad del ratio precio/alquiler respecto del coste de uso (panel provincial)</t>
        </is>
      </c>
      <c r="C114" s="2" t="n">
        <v>0.0091</v>
      </c>
      <c r="D114" s="2" t="n">
        <v>0.0073</v>
      </c>
      <c r="E114" s="2" t="n">
        <v>0.0109</v>
      </c>
      <c r="F114" s="2" t="inlineStr">
        <is>
          <t>ln del ratio por pp de coste de uso</t>
        </is>
      </c>
      <c r="G114" s="2" t="inlineStr">
        <is>
          <t>2013-2024</t>
        </is>
      </c>
      <c r="H114" s="2" t="inlineStr">
        <is>
          <t>30 provincias</t>
        </is>
      </c>
      <c r="I114" s="2" t="inlineStr">
        <is>
          <t>C4</t>
        </is>
      </c>
      <c r="J114" s="2" t="inlineStr">
        <is>
          <t>ASOCIACIÓN</t>
        </is>
      </c>
      <c r="K114" s="2" t="inlineStr">
        <is>
          <t>rango</t>
        </is>
      </c>
      <c r="L114" s="6">
        <f>IF(AND(ISNUMBER(D114),ISNUMBER(E114)),E114-D114,"")</f>
        <v/>
      </c>
      <c r="M114" s="6">
        <f>IF(AND(ISNUMBER(D114),ISNUMBER(E114)),IF(AND(D114&lt;=0,E114&gt;=0),"sí","no"),"")</f>
        <v/>
      </c>
    </row>
    <row r="115">
      <c r="A115" s="2" t="inlineStr">
        <is>
          <t>V18-F2-A2-v2</t>
        </is>
      </c>
      <c r="B115" s="2" t="inlineStr">
        <is>
          <t>Semielasticidad del ratio precio/alquiler respecto del coste de uso (panel provincial)</t>
        </is>
      </c>
      <c r="C115" s="2" t="n">
        <v>0.0185</v>
      </c>
      <c r="D115" s="2" t="n">
        <v>0.0159</v>
      </c>
      <c r="E115" s="2" t="n">
        <v>0.021</v>
      </c>
      <c r="F115" s="2" t="inlineStr">
        <is>
          <t>ln del ratio por pp de coste de uso</t>
        </is>
      </c>
      <c r="G115" s="2" t="inlineStr">
        <is>
          <t>2013-2024</t>
        </is>
      </c>
      <c r="H115" s="2" t="inlineStr">
        <is>
          <t>35 provincias</t>
        </is>
      </c>
      <c r="I115" s="2" t="inlineStr">
        <is>
          <t>C4</t>
        </is>
      </c>
      <c r="J115" s="2" t="inlineStr">
        <is>
          <t>ASOCIACIÓN</t>
        </is>
      </c>
      <c r="K115" s="2" t="inlineStr">
        <is>
          <t>rango</t>
        </is>
      </c>
      <c r="L115" s="6">
        <f>IF(AND(ISNUMBER(D115),ISNUMBER(E115)),E115-D115,"")</f>
        <v/>
      </c>
      <c r="M115" s="6">
        <f>IF(AND(ISNUMBER(D115),ISNUMBER(E115)),IF(AND(D115&lt;=0,E115&gt;=0),"sí","no"),"")</f>
        <v/>
      </c>
    </row>
    <row r="116">
      <c r="A116" s="2" t="inlineStr">
        <is>
          <t>V18-F2-R1</t>
        </is>
      </c>
      <c r="B116" s="2" t="inlineStr">
        <is>
          <t>Respuesta de corto plazo del ln alq a la variación de la renta real per cápita (ln) (F2-R1)</t>
        </is>
      </c>
      <c r="C116" s="2" t="n">
        <v>-0.1017</v>
      </c>
      <c r="D116" s="2" t="n">
        <v>-0.1203</v>
      </c>
      <c r="E116" s="2" t="n">
        <v>-0.0786</v>
      </c>
      <c r="F116" s="2" t="inlineStr">
        <is>
          <t>elasticidad de impacto en variaciones (PMG, grupo medio; IC95 por bootstrap de provincias)</t>
        </is>
      </c>
      <c r="G116" s="2" t="inlineStr">
        <is>
          <t>2002-2024</t>
        </is>
      </c>
      <c r="H116" s="2" t="inlineStr">
        <is>
          <t>38 provincias</t>
        </is>
      </c>
      <c r="I116" s="2" t="inlineStr">
        <is>
          <t>C4</t>
        </is>
      </c>
      <c r="J116" s="2" t="inlineStr">
        <is>
          <t>ASOCIACIÓN</t>
        </is>
      </c>
      <c r="K116" s="2" t="inlineStr">
        <is>
          <t>rango</t>
        </is>
      </c>
      <c r="L116" s="6">
        <f>IF(AND(ISNUMBER(D116),ISNUMBER(E116)),E116-D116,"")</f>
        <v/>
      </c>
      <c r="M116" s="6">
        <f>IF(AND(ISNUMBER(D116),ISNUMBER(E116)),IF(AND(D116&lt;=0,E116&gt;=0),"sí","no"),"")</f>
        <v/>
      </c>
    </row>
    <row r="117">
      <c r="A117" s="2" t="inlineStr">
        <is>
          <t>V18-F2-R1-v1</t>
        </is>
      </c>
      <c r="B117" s="2" t="inlineStr">
        <is>
          <t>Respuesta de corto plazo del ln serp a la variación de la renta real per cápita (ln) (F2-R1-v1)</t>
        </is>
      </c>
      <c r="C117" s="2" t="n">
        <v>0.1947</v>
      </c>
      <c r="D117" s="2" t="n">
        <v>0.1373</v>
      </c>
      <c r="E117" s="2" t="n">
        <v>0.2325</v>
      </c>
      <c r="F117" s="2" t="inlineStr">
        <is>
          <t>elasticidad de impacto en variaciones (PMG, grupo medio; IC95 por bootstrap de provincias)</t>
        </is>
      </c>
      <c r="G117" s="2" t="inlineStr">
        <is>
          <t>2011-2024</t>
        </is>
      </c>
      <c r="H117" s="2" t="inlineStr">
        <is>
          <t>35 provincias</t>
        </is>
      </c>
      <c r="I117" s="2" t="inlineStr">
        <is>
          <t>C4</t>
        </is>
      </c>
      <c r="J117" s="2" t="inlineStr">
        <is>
          <t>ASOCIACIÓN</t>
        </is>
      </c>
      <c r="K117" s="2" t="inlineStr">
        <is>
          <t>rango</t>
        </is>
      </c>
      <c r="L117" s="6">
        <f>IF(AND(ISNUMBER(D117),ISNUMBER(E117)),E117-D117,"")</f>
        <v/>
      </c>
      <c r="M117" s="6">
        <f>IF(AND(ISNUMBER(D117),ISNUMBER(E117)),IF(AND(D117&lt;=0,E117&gt;=0),"sí","no"),"")</f>
        <v/>
      </c>
    </row>
    <row r="118">
      <c r="A118" s="2" t="inlineStr">
        <is>
          <t>V18-F2-R1-v2</t>
        </is>
      </c>
      <c r="B118" s="2" t="inlineStr">
        <is>
          <t>Respuesta de corto plazo del ln alq a la variación de la renta real per cápita (ln) (F2-R1-v2)</t>
        </is>
      </c>
      <c r="C118" s="2" t="n">
        <v>-0.1061</v>
      </c>
      <c r="D118" s="2" t="n">
        <v>-0.1247</v>
      </c>
      <c r="E118" s="2" t="n">
        <v>-0.0871</v>
      </c>
      <c r="F118" s="2" t="inlineStr">
        <is>
          <t>elasticidad de impacto en variaciones (PMG, grupo medio; IC95 por bootstrap de provincias)</t>
        </is>
      </c>
      <c r="G118" s="2" t="inlineStr">
        <is>
          <t>2002-2024</t>
        </is>
      </c>
      <c r="H118" s="2" t="inlineStr">
        <is>
          <t>38 provincias</t>
        </is>
      </c>
      <c r="I118" s="2" t="inlineStr">
        <is>
          <t>C4</t>
        </is>
      </c>
      <c r="J118" s="2" t="inlineStr">
        <is>
          <t>ASOCIACIÓN</t>
        </is>
      </c>
      <c r="K118" s="2" t="inlineStr">
        <is>
          <t>rango</t>
        </is>
      </c>
      <c r="L118" s="6">
        <f>IF(AND(ISNUMBER(D118),ISNUMBER(E118)),E118-D118,"")</f>
        <v/>
      </c>
      <c r="M118" s="6">
        <f>IF(AND(ISNUMBER(D118),ISNUMBER(E118)),IF(AND(D118&lt;=0,E118&gt;=0),"sí","no"),"")</f>
        <v/>
      </c>
    </row>
    <row r="119">
      <c r="A119" s="2" t="inlineStr">
        <is>
          <t>V18-F3-A1</t>
        </is>
      </c>
      <c r="B119" s="2" t="inlineStr">
        <is>
          <t>Elasticidad de las viviendas libres iniciadas respecto del valor tasado real (CCAA no selladas)</t>
        </is>
      </c>
      <c r="C119" s="2" t="n">
        <v>-0.3722</v>
      </c>
      <c r="D119" s="2" t="n">
        <v>-0.8120000000000001</v>
      </c>
      <c r="E119" s="2" t="n">
        <v>0.06759999999999999</v>
      </c>
      <c r="F119" s="2" t="inlineStr">
        <is>
          <t>elasticidad (log-log)</t>
        </is>
      </c>
      <c r="G119" s="2" t="inlineStr">
        <is>
          <t>1997-2024</t>
        </is>
      </c>
      <c r="H119" s="2" t="inlineStr">
        <is>
          <t>9 CCAA</t>
        </is>
      </c>
      <c r="I119" s="2" t="inlineStr">
        <is>
          <t>C4</t>
        </is>
      </c>
      <c r="J119" s="2" t="inlineStr">
        <is>
          <t>ASOCIACIÓN</t>
        </is>
      </c>
      <c r="K119" s="2" t="inlineStr">
        <is>
          <t>rango</t>
        </is>
      </c>
      <c r="L119" s="6">
        <f>IF(AND(ISNUMBER(D119),ISNUMBER(E119)),E119-D119,"")</f>
        <v/>
      </c>
      <c r="M119" s="6">
        <f>IF(AND(ISNUMBER(D119),ISNUMBER(E119)),IF(AND(D119&lt;=0,E119&gt;=0),"sí","no"),"")</f>
        <v/>
      </c>
    </row>
    <row r="120">
      <c r="A120" s="2" t="inlineStr">
        <is>
          <t>V18-F3-A1-v1</t>
        </is>
      </c>
      <c r="B120" s="2" t="inlineStr">
        <is>
          <t>Elasticidad de las viviendas libres iniciadas respecto del valor tasado real (CCAA no selladas)</t>
        </is>
      </c>
      <c r="C120" s="2" t="n">
        <v>0.2749</v>
      </c>
      <c r="D120" s="2" t="n">
        <v>-0.7804</v>
      </c>
      <c r="E120" s="2" t="n">
        <v>1.3302</v>
      </c>
      <c r="F120" s="2" t="inlineStr">
        <is>
          <t>elasticidad (log-log)</t>
        </is>
      </c>
      <c r="G120" s="2" t="inlineStr">
        <is>
          <t>1997-2024</t>
        </is>
      </c>
      <c r="H120" s="2" t="inlineStr">
        <is>
          <t>9 CCAA</t>
        </is>
      </c>
      <c r="I120" s="2" t="inlineStr">
        <is>
          <t>C4</t>
        </is>
      </c>
      <c r="J120" s="2" t="inlineStr">
        <is>
          <t>ASOCIACIÓN</t>
        </is>
      </c>
      <c r="K120" s="2" t="inlineStr">
        <is>
          <t>rango</t>
        </is>
      </c>
      <c r="L120" s="6">
        <f>IF(AND(ISNUMBER(D120),ISNUMBER(E120)),E120-D120,"")</f>
        <v/>
      </c>
      <c r="M120" s="6">
        <f>IF(AND(ISNUMBER(D120),ISNUMBER(E120)),IF(AND(D120&lt;=0,E120&gt;=0),"sí","no"),"")</f>
        <v/>
      </c>
    </row>
    <row r="121">
      <c r="A121" s="2" t="inlineStr">
        <is>
          <t>V18-F3-A1-v2</t>
        </is>
      </c>
      <c r="B121" s="2" t="inlineStr">
        <is>
          <t>Elasticidad de las viviendas libres iniciadas respecto del valor tasado real (CCAA no selladas)</t>
        </is>
      </c>
      <c r="C121" s="2" t="n">
        <v>0.1771</v>
      </c>
      <c r="D121" s="2" t="n">
        <v>-0.3758</v>
      </c>
      <c r="E121" s="2" t="n">
        <v>0.7299</v>
      </c>
      <c r="F121" s="2" t="inlineStr">
        <is>
          <t>elasticidad (log-log)</t>
        </is>
      </c>
      <c r="G121" s="2" t="inlineStr">
        <is>
          <t>1997-2024</t>
        </is>
      </c>
      <c r="H121" s="2" t="inlineStr">
        <is>
          <t>9 CCAA</t>
        </is>
      </c>
      <c r="I121" s="2" t="inlineStr">
        <is>
          <t>C4</t>
        </is>
      </c>
      <c r="J121" s="2" t="inlineStr">
        <is>
          <t>ASOCIACIÓN</t>
        </is>
      </c>
      <c r="K121" s="2" t="inlineStr">
        <is>
          <t>rango</t>
        </is>
      </c>
      <c r="L121" s="6">
        <f>IF(AND(ISNUMBER(D121),ISNUMBER(E121)),E121-D121,"")</f>
        <v/>
      </c>
      <c r="M121" s="6">
        <f>IF(AND(ISNUMBER(D121),ISNUMBER(E121)),IF(AND(D121&lt;=0,E121&gt;=0),"sí","no"),"")</f>
        <v/>
      </c>
    </row>
    <row r="122">
      <c r="A122" s="2" t="inlineStr">
        <is>
          <t>V18-F3-A2</t>
        </is>
      </c>
      <c r="B122" s="2" t="inlineStr">
        <is>
          <t>Respuesta de corto plazo del ln ini a la variación de el valor tasado real (ln) (F3-A2)</t>
        </is>
      </c>
      <c r="C122" s="2" t="n">
        <v>3.5186</v>
      </c>
      <c r="D122" s="2" t="n">
        <v>2.6773</v>
      </c>
      <c r="E122" s="2" t="n">
        <v>4.5075</v>
      </c>
      <c r="F122" s="2" t="inlineStr">
        <is>
          <t>elasticidad de impacto en variaciones (PMG, grupo medio; IC95 por bootstrap de provincias)</t>
        </is>
      </c>
      <c r="G122" s="2" t="inlineStr">
        <is>
          <t>2004-2024</t>
        </is>
      </c>
      <c r="H122" s="2" t="inlineStr">
        <is>
          <t>31 provincias</t>
        </is>
      </c>
      <c r="I122" s="2" t="inlineStr">
        <is>
          <t>C4</t>
        </is>
      </c>
      <c r="J122" s="2" t="inlineStr">
        <is>
          <t>ASOCIACIÓN</t>
        </is>
      </c>
      <c r="K122" s="2" t="inlineStr">
        <is>
          <t>rango</t>
        </is>
      </c>
      <c r="L122" s="6">
        <f>IF(AND(ISNUMBER(D122),ISNUMBER(E122)),E122-D122,"")</f>
        <v/>
      </c>
      <c r="M122" s="6">
        <f>IF(AND(ISNUMBER(D122),ISNUMBER(E122)),IF(AND(D122&lt;=0,E122&gt;=0),"sí","no"),"")</f>
        <v/>
      </c>
    </row>
    <row r="123">
      <c r="A123" s="2" t="inlineStr">
        <is>
          <t>V18-F3-A2-v1</t>
        </is>
      </c>
      <c r="B123" s="2" t="inlineStr">
        <is>
          <t>Respuesta de corto plazo del ln ini a la variación de el valor tasado real (ln) (F3-A2-v1)</t>
        </is>
      </c>
      <c r="C123" s="2" t="n">
        <v>3.5789</v>
      </c>
      <c r="D123" s="2" t="n">
        <v>2.7111</v>
      </c>
      <c r="E123" s="2" t="n">
        <v>4.3965</v>
      </c>
      <c r="F123" s="2" t="inlineStr">
        <is>
          <t>elasticidad de impacto en variaciones (PMG, grupo medio; IC95 por bootstrap de provincias)</t>
        </is>
      </c>
      <c r="G123" s="2" t="inlineStr">
        <is>
          <t>2004-2024</t>
        </is>
      </c>
      <c r="H123" s="2" t="inlineStr">
        <is>
          <t>33 provincias</t>
        </is>
      </c>
      <c r="I123" s="2" t="inlineStr">
        <is>
          <t>C4</t>
        </is>
      </c>
      <c r="J123" s="2" t="inlineStr">
        <is>
          <t>ASOCIACIÓN</t>
        </is>
      </c>
      <c r="K123" s="2" t="inlineStr">
        <is>
          <t>rango</t>
        </is>
      </c>
      <c r="L123" s="6">
        <f>IF(AND(ISNUMBER(D123),ISNUMBER(E123)),E123-D123,"")</f>
        <v/>
      </c>
      <c r="M123" s="6">
        <f>IF(AND(ISNUMBER(D123),ISNUMBER(E123)),IF(AND(D123&lt;=0,E123&gt;=0),"sí","no"),"")</f>
        <v/>
      </c>
    </row>
    <row r="124">
      <c r="A124" s="2" t="inlineStr">
        <is>
          <t>V18-F3-A2-v2</t>
        </is>
      </c>
      <c r="B124" s="2" t="inlineStr">
        <is>
          <t>Respuesta de corto plazo del ln ini a la variación de el valor tasado real (ln) (F3-A2-v2)</t>
        </is>
      </c>
      <c r="C124" s="2" t="n">
        <v>5.9641</v>
      </c>
      <c r="D124" s="2" t="n">
        <v>5.1802</v>
      </c>
      <c r="E124" s="2" t="n">
        <v>6.7192</v>
      </c>
      <c r="F124" s="2" t="inlineStr">
        <is>
          <t>elasticidad de impacto en variaciones (PMG, grupo medio; IC95 por bootstrap de provincias)</t>
        </is>
      </c>
      <c r="G124" s="2" t="inlineStr">
        <is>
          <t>2004-2024</t>
        </is>
      </c>
      <c r="H124" s="2" t="inlineStr">
        <is>
          <t>31 provincias</t>
        </is>
      </c>
      <c r="I124" s="2" t="inlineStr">
        <is>
          <t>C4</t>
        </is>
      </c>
      <c r="J124" s="2" t="inlineStr">
        <is>
          <t>ASOCIACIÓN</t>
        </is>
      </c>
      <c r="K124" s="2" t="inlineStr">
        <is>
          <t>rango</t>
        </is>
      </c>
      <c r="L124" s="6">
        <f>IF(AND(ISNUMBER(D124),ISNUMBER(E124)),E124-D124,"")</f>
        <v/>
      </c>
      <c r="M124" s="6">
        <f>IF(AND(ISNUMBER(D124),ISNUMBER(E124)),IF(AND(D124&lt;=0,E124&gt;=0),"sí","no"),"")</f>
        <v/>
      </c>
    </row>
    <row r="125">
      <c r="A125" s="2" t="inlineStr">
        <is>
          <t>V18-F3-R1</t>
        </is>
      </c>
      <c r="B125" s="2" t="inlineStr">
        <is>
          <t>Elasticidad de las viviendas libres iniciadas respecto del valor tasado real (CCAA no selladas)</t>
        </is>
      </c>
      <c r="C125" s="2" t="n">
        <v>0.4687</v>
      </c>
      <c r="D125" s="2" t="n">
        <v>-0.7776</v>
      </c>
      <c r="E125" s="2" t="n">
        <v>1.7151</v>
      </c>
      <c r="F125" s="2" t="inlineStr">
        <is>
          <t>elasticidad (log-log)</t>
        </is>
      </c>
      <c r="G125" s="2" t="inlineStr">
        <is>
          <t>1997-2004</t>
        </is>
      </c>
      <c r="H125" s="2" t="inlineStr">
        <is>
          <t>9 CCAA</t>
        </is>
      </c>
      <c r="I125" s="2" t="inlineStr">
        <is>
          <t>C4</t>
        </is>
      </c>
      <c r="J125" s="2" t="inlineStr">
        <is>
          <t>ASOCIACIÓN</t>
        </is>
      </c>
      <c r="K125" s="2" t="inlineStr">
        <is>
          <t>rango</t>
        </is>
      </c>
      <c r="L125" s="6">
        <f>IF(AND(ISNUMBER(D125),ISNUMBER(E125)),E125-D125,"")</f>
        <v/>
      </c>
      <c r="M125" s="6">
        <f>IF(AND(ISNUMBER(D125),ISNUMBER(E125)),IF(AND(D125&lt;=0,E125&gt;=0),"sí","no"),"")</f>
        <v/>
      </c>
    </row>
    <row r="126">
      <c r="A126" s="2" t="inlineStr">
        <is>
          <t>V18-F3-R1-v1</t>
        </is>
      </c>
      <c r="B126" s="2" t="inlineStr">
        <is>
          <t>Elasticidad de las viviendas libres iniciadas respecto del valor tasado real (CCAA no selladas)</t>
        </is>
      </c>
      <c r="C126" s="2" t="n">
        <v>1.0349</v>
      </c>
      <c r="D126" s="2" t="n">
        <v>0.369</v>
      </c>
      <c r="E126" s="2" t="n">
        <v>1.7009</v>
      </c>
      <c r="F126" s="2" t="inlineStr">
        <is>
          <t>elasticidad (log-log)</t>
        </is>
      </c>
      <c r="G126" s="2" t="inlineStr">
        <is>
          <t>1997-2004</t>
        </is>
      </c>
      <c r="H126" s="2" t="inlineStr">
        <is>
          <t>9 CCAA</t>
        </is>
      </c>
      <c r="I126" s="2" t="inlineStr">
        <is>
          <t>C4</t>
        </is>
      </c>
      <c r="J126" s="2" t="inlineStr">
        <is>
          <t>ASOCIACIÓN</t>
        </is>
      </c>
      <c r="K126" s="2" t="inlineStr">
        <is>
          <t>rango</t>
        </is>
      </c>
      <c r="L126" s="6">
        <f>IF(AND(ISNUMBER(D126),ISNUMBER(E126)),E126-D126,"")</f>
        <v/>
      </c>
      <c r="M126" s="6">
        <f>IF(AND(ISNUMBER(D126),ISNUMBER(E126)),IF(AND(D126&lt;=0,E126&gt;=0),"sí","no"),"")</f>
        <v/>
      </c>
    </row>
    <row r="127">
      <c r="A127" s="2" t="inlineStr">
        <is>
          <t>V18-F3-R1-v2</t>
        </is>
      </c>
      <c r="B127" s="2" t="inlineStr">
        <is>
          <t>Elasticidad de las viviendas libres iniciadas respecto del valor tasado real (CCAA no selladas)</t>
        </is>
      </c>
      <c r="C127" s="2" t="n">
        <v>0.6094000000000001</v>
      </c>
      <c r="D127" s="2" t="n">
        <v>-0.5594</v>
      </c>
      <c r="E127" s="2" t="n">
        <v>1.7782</v>
      </c>
      <c r="F127" s="2" t="inlineStr">
        <is>
          <t>elasticidad (log-log)</t>
        </is>
      </c>
      <c r="G127" s="2" t="inlineStr">
        <is>
          <t>1997-2004</t>
        </is>
      </c>
      <c r="H127" s="2" t="inlineStr">
        <is>
          <t>9 CCAA</t>
        </is>
      </c>
      <c r="I127" s="2" t="inlineStr">
        <is>
          <t>C4</t>
        </is>
      </c>
      <c r="J127" s="2" t="inlineStr">
        <is>
          <t>ASOCIACIÓN</t>
        </is>
      </c>
      <c r="K127" s="2" t="inlineStr">
        <is>
          <t>rango</t>
        </is>
      </c>
      <c r="L127" s="6">
        <f>IF(AND(ISNUMBER(D127),ISNUMBER(E127)),E127-D127,"")</f>
        <v/>
      </c>
      <c r="M127" s="6">
        <f>IF(AND(ISNUMBER(D127),ISNUMBER(E127)),IF(AND(D127&lt;=0,E127&gt;=0),"sí","no"),"")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contabilidad: cifras V18 de output/v5/cifras_clave.csv</t>
        </is>
      </c>
    </row>
    <row r="2">
      <c r="A2" s="2" t="inlineStr">
        <is>
          <t>Fuente: output/v5/cifras_clave.csv (ids V18-C5-*: contabilidad principal; V18-C5I-*: ilustración con magnitudes de la literatura, no es una atribución). AZUL: dato introducido (fuente en la nota de la celda); NEGRO: fórmula de esta hoja; VERDE: vínculo a otra pestaña.</t>
        </is>
      </c>
    </row>
    <row r="3">
      <c r="A3" s="7" t="inlineStr">
        <is>
          <t>id</t>
        </is>
      </c>
      <c r="B3" s="7" t="inlineStr">
        <is>
          <t>indicador</t>
        </is>
      </c>
      <c r="C3" s="7" t="inlineStr">
        <is>
          <t>valor</t>
        </is>
      </c>
      <c r="D3" s="7" t="inlineStr">
        <is>
          <t>min</t>
        </is>
      </c>
      <c r="E3" s="7" t="inlineStr">
        <is>
          <t>max</t>
        </is>
      </c>
      <c r="F3" s="7" t="inlineStr">
        <is>
          <t>unidad</t>
        </is>
      </c>
      <c r="G3" s="7" t="inlineStr">
        <is>
          <t>periodo</t>
        </is>
      </c>
      <c r="H3" s="7" t="inlineStr">
        <is>
          <t>cobertura</t>
        </is>
      </c>
      <c r="I3" s="7" t="inlineStr">
        <is>
          <t>capa</t>
        </is>
      </c>
      <c r="J3" s="7" t="inlineStr">
        <is>
          <t>clasificacion_v18</t>
        </is>
      </c>
      <c r="K3" s="7" t="inlineStr">
        <is>
          <t>tipo_rango</t>
        </is>
      </c>
      <c r="L3" s="4" t="inlineStr">
        <is>
          <t>ancho (max - min)</t>
        </is>
      </c>
      <c r="M3" s="4" t="inlineStr">
        <is>
          <t>intervalo contiene el 0</t>
        </is>
      </c>
    </row>
    <row r="4">
      <c r="A4" s="2" t="inlineStr">
        <is>
          <t>V18-C5-1995T1-2007T4-00-NOEXPL-A</t>
        </is>
      </c>
      <c r="B4" s="2" t="inlineStr">
        <is>
          <t>Variación del alquiler real sin explicar, 1995T1-2007T4, Nacional</t>
        </is>
      </c>
      <c r="C4" s="2" t="n">
        <v>1.7972</v>
      </c>
      <c r="D4" s="2" t="n">
        <v>1.7972</v>
      </c>
      <c r="E4" s="2" t="n">
        <v>1.7972</v>
      </c>
      <c r="F4" s="2" t="inlineStr">
        <is>
          <t>pp (100·Δln)</t>
        </is>
      </c>
      <c r="G4" s="2" t="inlineStr">
        <is>
          <t>1995T1-2007T4</t>
        </is>
      </c>
      <c r="H4" s="2" t="inlineStr">
        <is>
          <t>Nacional; 2002T1 a 2007T4</t>
        </is>
      </c>
      <c r="I4" s="2" t="inlineStr">
        <is>
          <t>C4</t>
        </is>
      </c>
      <c r="J4" s="2" t="inlineStr">
        <is>
          <t>NO ESTIMABLE</t>
        </is>
      </c>
      <c r="K4" s="2" t="inlineStr">
        <is>
          <t>rango</t>
        </is>
      </c>
      <c r="L4" s="6">
        <f>IF(AND(ISNUMBER(D4),ISNUMBER(E4)),E4-D4,"")</f>
        <v/>
      </c>
      <c r="M4" s="6">
        <f>IF(AND(ISNUMBER(D4),ISNUMBER(E4)),IF(AND(D4&lt;=0,E4&gt;=0),"sí","no"),"")</f>
        <v/>
      </c>
    </row>
    <row r="5">
      <c r="A5" s="2" t="inlineStr">
        <is>
          <t>V18-C5-1995T1-2007T4-00-NOEXPL-P</t>
        </is>
      </c>
      <c r="B5" s="2" t="inlineStr">
        <is>
          <t>Variación del precio real sin explicar, 1995T1-2007T4, Nacional</t>
        </is>
      </c>
      <c r="C5" s="2" t="n">
        <v>68.98090000000001</v>
      </c>
      <c r="D5" s="2" t="n">
        <v>68.98090000000001</v>
      </c>
      <c r="E5" s="2" t="n">
        <v>68.98090000000001</v>
      </c>
      <c r="F5" s="2" t="inlineStr">
        <is>
          <t>pp (100·Δln)</t>
        </is>
      </c>
      <c r="G5" s="2" t="inlineStr">
        <is>
          <t>1995T1-2007T4</t>
        </is>
      </c>
      <c r="H5" s="2" t="inlineStr">
        <is>
          <t>Nacional; 1995T1 a 2007T4</t>
        </is>
      </c>
      <c r="I5" s="2" t="inlineStr">
        <is>
          <t>C4</t>
        </is>
      </c>
      <c r="J5" s="2" t="inlineStr">
        <is>
          <t>NO ESTIMABLE</t>
        </is>
      </c>
      <c r="K5" s="2" t="inlineStr">
        <is>
          <t>rango</t>
        </is>
      </c>
      <c r="L5" s="6">
        <f>IF(AND(ISNUMBER(D5),ISNUMBER(E5)),E5-D5,"")</f>
        <v/>
      </c>
      <c r="M5" s="6">
        <f>IF(AND(ISNUMBER(D5),ISNUMBER(E5)),IF(AND(D5&lt;=0,E5&gt;=0),"sí","no"),"")</f>
        <v/>
      </c>
    </row>
    <row r="6">
      <c r="A6" s="2" t="inlineStr">
        <is>
          <t>V18-C5-1995T1-2007T4-01-NOEXPL-A</t>
        </is>
      </c>
      <c r="B6" s="2" t="inlineStr">
        <is>
          <t>Variación del alquiler real sin explicar, 1995T1-2007T4, Andalucía</t>
        </is>
      </c>
      <c r="C6" s="2" t="n">
        <v>3.0977</v>
      </c>
      <c r="D6" s="2" t="n">
        <v>3.0977</v>
      </c>
      <c r="E6" s="2" t="n">
        <v>3.0977</v>
      </c>
      <c r="F6" s="2" t="inlineStr">
        <is>
          <t>pp (100·Δln)</t>
        </is>
      </c>
      <c r="G6" s="2" t="inlineStr">
        <is>
          <t>1995T1-2007T4</t>
        </is>
      </c>
      <c r="H6" s="2" t="inlineStr">
        <is>
          <t>Andalucía; 2002T1 a 2007T4 (media de provincias no selladas, ponderada por población)</t>
        </is>
      </c>
      <c r="I6" s="2" t="inlineStr">
        <is>
          <t>C4</t>
        </is>
      </c>
      <c r="J6" s="2" t="inlineStr">
        <is>
          <t>NO ESTIMABLE</t>
        </is>
      </c>
      <c r="K6" s="2" t="inlineStr">
        <is>
          <t>rango</t>
        </is>
      </c>
      <c r="L6" s="6">
        <f>IF(AND(ISNUMBER(D6),ISNUMBER(E6)),E6-D6,"")</f>
        <v/>
      </c>
      <c r="M6" s="6">
        <f>IF(AND(ISNUMBER(D6),ISNUMBER(E6)),IF(AND(D6&lt;=0,E6&gt;=0),"sí","no"),"")</f>
        <v/>
      </c>
    </row>
    <row r="7">
      <c r="A7" s="2" t="inlineStr">
        <is>
          <t>V18-C5-1995T1-2007T4-01-NOEXPL-P</t>
        </is>
      </c>
      <c r="B7" s="2" t="inlineStr">
        <is>
          <t>Variación del precio real sin explicar, 1995T1-2007T4, Andalucía</t>
        </is>
      </c>
      <c r="C7" s="2" t="n">
        <v>9.2104</v>
      </c>
      <c r="D7" s="2" t="n">
        <v>9.2104</v>
      </c>
      <c r="E7" s="2" t="n">
        <v>9.2104</v>
      </c>
      <c r="F7" s="2" t="inlineStr">
        <is>
          <t>pp (100·Δln)</t>
        </is>
      </c>
      <c r="G7" s="2" t="inlineStr">
        <is>
          <t>1995T1-2007T4</t>
        </is>
      </c>
      <c r="H7" s="2" t="inlineStr">
        <is>
          <t>Andalucía; 2002T1 a 2007T4 (media de provincias no selladas, ponderada por población)</t>
        </is>
      </c>
      <c r="I7" s="2" t="inlineStr">
        <is>
          <t>C4</t>
        </is>
      </c>
      <c r="J7" s="2" t="inlineStr">
        <is>
          <t>NO ESTIMABLE</t>
        </is>
      </c>
      <c r="K7" s="2" t="inlineStr">
        <is>
          <t>rango</t>
        </is>
      </c>
      <c r="L7" s="6">
        <f>IF(AND(ISNUMBER(D7),ISNUMBER(E7)),E7-D7,"")</f>
        <v/>
      </c>
      <c r="M7" s="6">
        <f>IF(AND(ISNUMBER(D7),ISNUMBER(E7)),IF(AND(D7&lt;=0,E7&gt;=0),"sí","no"),"")</f>
        <v/>
      </c>
    </row>
    <row r="8">
      <c r="A8" s="2" t="inlineStr">
        <is>
          <t>V18-C5-1995T1-2007T4-07-NOEXPL-A</t>
        </is>
      </c>
      <c r="B8" s="2" t="inlineStr">
        <is>
          <t>Variación del alquiler real sin explicar, 1995T1-2007T4, Castilla y León</t>
        </is>
      </c>
      <c r="C8" s="2" t="n">
        <v>-2.7872</v>
      </c>
      <c r="D8" s="2" t="n">
        <v>-2.7872</v>
      </c>
      <c r="E8" s="2" t="n">
        <v>-2.7872</v>
      </c>
      <c r="F8" s="2" t="inlineStr">
        <is>
          <t>pp (100·Δln)</t>
        </is>
      </c>
      <c r="G8" s="2" t="inlineStr">
        <is>
          <t>1995T1-2007T4</t>
        </is>
      </c>
      <c r="H8" s="2" t="inlineStr">
        <is>
          <t>Castilla y León; 2002T1 a 2007T4 (media de provincias no selladas, ponderada por población)</t>
        </is>
      </c>
      <c r="I8" s="2" t="inlineStr">
        <is>
          <t>C4</t>
        </is>
      </c>
      <c r="J8" s="2" t="inlineStr">
        <is>
          <t>NO ESTIMABLE</t>
        </is>
      </c>
      <c r="K8" s="2" t="inlineStr">
        <is>
          <t>rango</t>
        </is>
      </c>
      <c r="L8" s="6">
        <f>IF(AND(ISNUMBER(D8),ISNUMBER(E8)),E8-D8,"")</f>
        <v/>
      </c>
      <c r="M8" s="6">
        <f>IF(AND(ISNUMBER(D8),ISNUMBER(E8)),IF(AND(D8&lt;=0,E8&gt;=0),"sí","no"),"")</f>
        <v/>
      </c>
    </row>
    <row r="9">
      <c r="A9" s="2" t="inlineStr">
        <is>
          <t>V18-C5-1995T1-2007T4-07-NOEXPL-P</t>
        </is>
      </c>
      <c r="B9" s="2" t="inlineStr">
        <is>
          <t>Variación del precio real sin explicar, 1995T1-2007T4, Castilla y León</t>
        </is>
      </c>
      <c r="C9" s="2" t="n">
        <v>-13.1981</v>
      </c>
      <c r="D9" s="2" t="n">
        <v>-13.1981</v>
      </c>
      <c r="E9" s="2" t="n">
        <v>-13.1981</v>
      </c>
      <c r="F9" s="2" t="inlineStr">
        <is>
          <t>pp (100·Δln)</t>
        </is>
      </c>
      <c r="G9" s="2" t="inlineStr">
        <is>
          <t>1995T1-2007T4</t>
        </is>
      </c>
      <c r="H9" s="2" t="inlineStr">
        <is>
          <t>Castilla y León; 2002T1 a 2007T4 (media de provincias no selladas, ponderada por población)</t>
        </is>
      </c>
      <c r="I9" s="2" t="inlineStr">
        <is>
          <t>C4</t>
        </is>
      </c>
      <c r="J9" s="2" t="inlineStr">
        <is>
          <t>NO ESTIMABLE</t>
        </is>
      </c>
      <c r="K9" s="2" t="inlineStr">
        <is>
          <t>rango</t>
        </is>
      </c>
      <c r="L9" s="6">
        <f>IF(AND(ISNUMBER(D9),ISNUMBER(E9)),E9-D9,"")</f>
        <v/>
      </c>
      <c r="M9" s="6">
        <f>IF(AND(ISNUMBER(D9),ISNUMBER(E9)),IF(AND(D9&lt;=0,E9&gt;=0),"sí","no"),"")</f>
        <v/>
      </c>
    </row>
    <row r="10">
      <c r="A10" s="2" t="inlineStr">
        <is>
          <t>V18-C5-1995T1-2007T4-08-NOEXPL-A</t>
        </is>
      </c>
      <c r="B10" s="2" t="inlineStr">
        <is>
          <t>Variación del alquiler real sin explicar, 1995T1-2007T4, Castilla-La Mancha</t>
        </is>
      </c>
      <c r="C10" s="2" t="n">
        <v>-0.5646</v>
      </c>
      <c r="D10" s="2" t="n">
        <v>-0.5646</v>
      </c>
      <c r="E10" s="2" t="n">
        <v>-0.5646</v>
      </c>
      <c r="F10" s="2" t="inlineStr">
        <is>
          <t>pp (100·Δln)</t>
        </is>
      </c>
      <c r="G10" s="2" t="inlineStr">
        <is>
          <t>1995T1-2007T4</t>
        </is>
      </c>
      <c r="H10" s="2" t="inlineStr">
        <is>
          <t>Castilla-La Mancha; 2002T1 a 2007T4 (media de provincias no selladas, ponderada por población)</t>
        </is>
      </c>
      <c r="I10" s="2" t="inlineStr">
        <is>
          <t>C4</t>
        </is>
      </c>
      <c r="J10" s="2" t="inlineStr">
        <is>
          <t>NO ESTIMABLE</t>
        </is>
      </c>
      <c r="K10" s="2" t="inlineStr">
        <is>
          <t>rango</t>
        </is>
      </c>
      <c r="L10" s="6">
        <f>IF(AND(ISNUMBER(D10),ISNUMBER(E10)),E10-D10,"")</f>
        <v/>
      </c>
      <c r="M10" s="6">
        <f>IF(AND(ISNUMBER(D10),ISNUMBER(E10)),IF(AND(D10&lt;=0,E10&gt;=0),"sí","no"),"")</f>
        <v/>
      </c>
    </row>
    <row r="11">
      <c r="A11" s="2" t="inlineStr">
        <is>
          <t>V18-C5-1995T1-2007T4-08-NOEXPL-P</t>
        </is>
      </c>
      <c r="B11" s="2" t="inlineStr">
        <is>
          <t>Variación del precio real sin explicar, 1995T1-2007T4, Castilla-La Mancha</t>
        </is>
      </c>
      <c r="C11" s="2" t="n">
        <v>2.7742</v>
      </c>
      <c r="D11" s="2" t="n">
        <v>2.7742</v>
      </c>
      <c r="E11" s="2" t="n">
        <v>2.7742</v>
      </c>
      <c r="F11" s="2" t="inlineStr">
        <is>
          <t>pp (100·Δln)</t>
        </is>
      </c>
      <c r="G11" s="2" t="inlineStr">
        <is>
          <t>1995T1-2007T4</t>
        </is>
      </c>
      <c r="H11" s="2" t="inlineStr">
        <is>
          <t>Castilla-La Mancha; 2002T1 a 2007T4 (media de provincias no selladas, ponderada por población)</t>
        </is>
      </c>
      <c r="I11" s="2" t="inlineStr">
        <is>
          <t>C4</t>
        </is>
      </c>
      <c r="J11" s="2" t="inlineStr">
        <is>
          <t>NO ESTIMABLE</t>
        </is>
      </c>
      <c r="K11" s="2" t="inlineStr">
        <is>
          <t>rango</t>
        </is>
      </c>
      <c r="L11" s="6">
        <f>IF(AND(ISNUMBER(D11),ISNUMBER(E11)),E11-D11,"")</f>
        <v/>
      </c>
      <c r="M11" s="6">
        <f>IF(AND(ISNUMBER(D11),ISNUMBER(E11)),IF(AND(D11&lt;=0,E11&gt;=0),"sí","no"),"")</f>
        <v/>
      </c>
    </row>
    <row r="12">
      <c r="A12" s="2" t="inlineStr">
        <is>
          <t>V18-C5-1995T1-2007T4-09-NOEXPL-A</t>
        </is>
      </c>
      <c r="B12" s="2" t="inlineStr">
        <is>
          <t>Variación del alquiler real sin explicar, 1995T1-2007T4, Cataluña</t>
        </is>
      </c>
      <c r="C12" s="2" t="n">
        <v>5.191</v>
      </c>
      <c r="D12" s="2" t="n">
        <v>5.191</v>
      </c>
      <c r="E12" s="2" t="n">
        <v>5.191</v>
      </c>
      <c r="F12" s="2" t="inlineStr">
        <is>
          <t>pp (100·Δln)</t>
        </is>
      </c>
      <c r="G12" s="2" t="inlineStr">
        <is>
          <t>1995T1-2007T4</t>
        </is>
      </c>
      <c r="H12" s="2" t="inlineStr">
        <is>
          <t>Cataluña; 2002T1 a 2007T4 (media de provincias no selladas, ponderada por población)</t>
        </is>
      </c>
      <c r="I12" s="2" t="inlineStr">
        <is>
          <t>C4</t>
        </is>
      </c>
      <c r="J12" s="2" t="inlineStr">
        <is>
          <t>NO ESTIMABLE</t>
        </is>
      </c>
      <c r="K12" s="2" t="inlineStr">
        <is>
          <t>rango</t>
        </is>
      </c>
      <c r="L12" s="6">
        <f>IF(AND(ISNUMBER(D12),ISNUMBER(E12)),E12-D12,"")</f>
        <v/>
      </c>
      <c r="M12" s="6">
        <f>IF(AND(ISNUMBER(D12),ISNUMBER(E12)),IF(AND(D12&lt;=0,E12&gt;=0),"sí","no"),"")</f>
        <v/>
      </c>
    </row>
    <row r="13">
      <c r="A13" s="2" t="inlineStr">
        <is>
          <t>V18-C5-1995T1-2007T4-09-NOEXPL-P</t>
        </is>
      </c>
      <c r="B13" s="2" t="inlineStr">
        <is>
          <t>Variación del precio real sin explicar, 1995T1-2007T4, Cataluña</t>
        </is>
      </c>
      <c r="C13" s="2" t="n">
        <v>-3.4503</v>
      </c>
      <c r="D13" s="2" t="n">
        <v>-3.4503</v>
      </c>
      <c r="E13" s="2" t="n">
        <v>-3.4503</v>
      </c>
      <c r="F13" s="2" t="inlineStr">
        <is>
          <t>pp (100·Δln)</t>
        </is>
      </c>
      <c r="G13" s="2" t="inlineStr">
        <is>
          <t>1995T1-2007T4</t>
        </is>
      </c>
      <c r="H13" s="2" t="inlineStr">
        <is>
          <t>Cataluña; 2002T1 a 2007T4 (media de provincias no selladas, ponderada por población)</t>
        </is>
      </c>
      <c r="I13" s="2" t="inlineStr">
        <is>
          <t>C4</t>
        </is>
      </c>
      <c r="J13" s="2" t="inlineStr">
        <is>
          <t>NO ESTIMABLE</t>
        </is>
      </c>
      <c r="K13" s="2" t="inlineStr">
        <is>
          <t>rango</t>
        </is>
      </c>
      <c r="L13" s="6">
        <f>IF(AND(ISNUMBER(D13),ISNUMBER(E13)),E13-D13,"")</f>
        <v/>
      </c>
      <c r="M13" s="6">
        <f>IF(AND(ISNUMBER(D13),ISNUMBER(E13)),IF(AND(D13&lt;=0,E13&gt;=0),"sí","no"),"")</f>
        <v/>
      </c>
    </row>
    <row r="14">
      <c r="A14" s="2" t="inlineStr">
        <is>
          <t>V18-C5-1995T1-2007T4-10-NOEXPL-A</t>
        </is>
      </c>
      <c r="B14" s="2" t="inlineStr">
        <is>
          <t>Variación del alquiler real sin explicar, 1995T1-2007T4, Comunitat Valenciana</t>
        </is>
      </c>
      <c r="C14" s="2" t="n">
        <v>1.4901</v>
      </c>
      <c r="D14" s="2" t="n">
        <v>1.4901</v>
      </c>
      <c r="E14" s="2" t="n">
        <v>1.4901</v>
      </c>
      <c r="F14" s="2" t="inlineStr">
        <is>
          <t>pp (100·Δln)</t>
        </is>
      </c>
      <c r="G14" s="2" t="inlineStr">
        <is>
          <t>1995T1-2007T4</t>
        </is>
      </c>
      <c r="H14" s="2" t="inlineStr">
        <is>
          <t>Comunitat Valenciana; 2002T1 a 2007T4 (media de provincias no selladas, ponderada por población)</t>
        </is>
      </c>
      <c r="I14" s="2" t="inlineStr">
        <is>
          <t>C4</t>
        </is>
      </c>
      <c r="J14" s="2" t="inlineStr">
        <is>
          <t>NO ESTIMABLE</t>
        </is>
      </c>
      <c r="K14" s="2" t="inlineStr">
        <is>
          <t>rango</t>
        </is>
      </c>
      <c r="L14" s="6">
        <f>IF(AND(ISNUMBER(D14),ISNUMBER(E14)),E14-D14,"")</f>
        <v/>
      </c>
      <c r="M14" s="6">
        <f>IF(AND(ISNUMBER(D14),ISNUMBER(E14)),IF(AND(D14&lt;=0,E14&gt;=0),"sí","no"),"")</f>
        <v/>
      </c>
    </row>
    <row r="15">
      <c r="A15" s="2" t="inlineStr">
        <is>
          <t>V18-C5-1995T1-2007T4-10-NOEXPL-P</t>
        </is>
      </c>
      <c r="B15" s="2" t="inlineStr">
        <is>
          <t>Variación del precio real sin explicar, 1995T1-2007T4, Comunitat Valenciana</t>
        </is>
      </c>
      <c r="C15" s="2" t="n">
        <v>37.8577</v>
      </c>
      <c r="D15" s="2" t="n">
        <v>37.8577</v>
      </c>
      <c r="E15" s="2" t="n">
        <v>37.8577</v>
      </c>
      <c r="F15" s="2" t="inlineStr">
        <is>
          <t>pp (100·Δln)</t>
        </is>
      </c>
      <c r="G15" s="2" t="inlineStr">
        <is>
          <t>1995T1-2007T4</t>
        </is>
      </c>
      <c r="H15" s="2" t="inlineStr">
        <is>
          <t>Comunitat Valenciana; 1995T1 a 2007T4 (media de provincias no selladas, ponderada por población)</t>
        </is>
      </c>
      <c r="I15" s="2" t="inlineStr">
        <is>
          <t>C4</t>
        </is>
      </c>
      <c r="J15" s="2" t="inlineStr">
        <is>
          <t>NO ESTIMABLE</t>
        </is>
      </c>
      <c r="K15" s="2" t="inlineStr">
        <is>
          <t>rango</t>
        </is>
      </c>
      <c r="L15" s="6">
        <f>IF(AND(ISNUMBER(D15),ISNUMBER(E15)),E15-D15,"")</f>
        <v/>
      </c>
      <c r="M15" s="6">
        <f>IF(AND(ISNUMBER(D15),ISNUMBER(E15)),IF(AND(D15&lt;=0,E15&gt;=0),"sí","no"),"")</f>
        <v/>
      </c>
    </row>
    <row r="16">
      <c r="A16" s="2" t="inlineStr">
        <is>
          <t>V18-C5-1995T1-2007T4-11-NOEXPL-A</t>
        </is>
      </c>
      <c r="B16" s="2" t="inlineStr">
        <is>
          <t>Variación del alquiler real sin explicar, 1995T1-2007T4, Extremadura</t>
        </is>
      </c>
      <c r="C16" s="2" t="n">
        <v>-2.4442</v>
      </c>
      <c r="D16" s="2" t="n">
        <v>-2.4442</v>
      </c>
      <c r="E16" s="2" t="n">
        <v>-2.4442</v>
      </c>
      <c r="F16" s="2" t="inlineStr">
        <is>
          <t>pp (100·Δln)</t>
        </is>
      </c>
      <c r="G16" s="2" t="inlineStr">
        <is>
          <t>1995T1-2007T4</t>
        </is>
      </c>
      <c r="H16" s="2" t="inlineStr">
        <is>
          <t>Extremadura; 2002T1 a 2007T4 (media de provincias no selladas, ponderada por población)</t>
        </is>
      </c>
      <c r="I16" s="2" t="inlineStr">
        <is>
          <t>C4</t>
        </is>
      </c>
      <c r="J16" s="2" t="inlineStr">
        <is>
          <t>NO ESTIMABLE</t>
        </is>
      </c>
      <c r="K16" s="2" t="inlineStr">
        <is>
          <t>rango</t>
        </is>
      </c>
      <c r="L16" s="6">
        <f>IF(AND(ISNUMBER(D16),ISNUMBER(E16)),E16-D16,"")</f>
        <v/>
      </c>
      <c r="M16" s="6">
        <f>IF(AND(ISNUMBER(D16),ISNUMBER(E16)),IF(AND(D16&lt;=0,E16&gt;=0),"sí","no"),"")</f>
        <v/>
      </c>
    </row>
    <row r="17">
      <c r="A17" s="2" t="inlineStr">
        <is>
          <t>V18-C5-1995T1-2007T4-11-NOEXPL-P</t>
        </is>
      </c>
      <c r="B17" s="2" t="inlineStr">
        <is>
          <t>Variación del precio real sin explicar, 1995T1-2007T4, Extremadura</t>
        </is>
      </c>
      <c r="C17" s="2" t="n">
        <v>-7.0038</v>
      </c>
      <c r="D17" s="2" t="n">
        <v>-7.0038</v>
      </c>
      <c r="E17" s="2" t="n">
        <v>-7.0038</v>
      </c>
      <c r="F17" s="2" t="inlineStr">
        <is>
          <t>pp (100·Δln)</t>
        </is>
      </c>
      <c r="G17" s="2" t="inlineStr">
        <is>
          <t>1995T1-2007T4</t>
        </is>
      </c>
      <c r="H17" s="2" t="inlineStr">
        <is>
          <t>Extremadura; 2002T1 a 2007T4 (media de provincias no selladas, ponderada por población)</t>
        </is>
      </c>
      <c r="I17" s="2" t="inlineStr">
        <is>
          <t>C4</t>
        </is>
      </c>
      <c r="J17" s="2" t="inlineStr">
        <is>
          <t>NO ESTIMABLE</t>
        </is>
      </c>
      <c r="K17" s="2" t="inlineStr">
        <is>
          <t>rango</t>
        </is>
      </c>
      <c r="L17" s="6">
        <f>IF(AND(ISNUMBER(D17),ISNUMBER(E17)),E17-D17,"")</f>
        <v/>
      </c>
      <c r="M17" s="6">
        <f>IF(AND(ISNUMBER(D17),ISNUMBER(E17)),IF(AND(D17&lt;=0,E17&gt;=0),"sí","no"),"")</f>
        <v/>
      </c>
    </row>
    <row r="18">
      <c r="A18" s="2" t="inlineStr">
        <is>
          <t>V18-C5-1995T1-2007T4-12-NOEXPL-A</t>
        </is>
      </c>
      <c r="B18" s="2" t="inlineStr">
        <is>
          <t>Variación del alquiler real sin explicar, 1995T1-2007T4, Galicia</t>
        </is>
      </c>
      <c r="C18" s="2" t="n">
        <v>-1.6936</v>
      </c>
      <c r="D18" s="2" t="n">
        <v>-1.6936</v>
      </c>
      <c r="E18" s="2" t="n">
        <v>-1.6936</v>
      </c>
      <c r="F18" s="2" t="inlineStr">
        <is>
          <t>pp (100·Δln)</t>
        </is>
      </c>
      <c r="G18" s="2" t="inlineStr">
        <is>
          <t>1995T1-2007T4</t>
        </is>
      </c>
      <c r="H18" s="2" t="inlineStr">
        <is>
          <t>Galicia; 2002T1 a 2007T4 (media de provincias no selladas, ponderada por población)</t>
        </is>
      </c>
      <c r="I18" s="2" t="inlineStr">
        <is>
          <t>C4</t>
        </is>
      </c>
      <c r="J18" s="2" t="inlineStr">
        <is>
          <t>NO ESTIMABLE</t>
        </is>
      </c>
      <c r="K18" s="2" t="inlineStr">
        <is>
          <t>rango</t>
        </is>
      </c>
      <c r="L18" s="6">
        <f>IF(AND(ISNUMBER(D18),ISNUMBER(E18)),E18-D18,"")</f>
        <v/>
      </c>
      <c r="M18" s="6">
        <f>IF(AND(ISNUMBER(D18),ISNUMBER(E18)),IF(AND(D18&lt;=0,E18&gt;=0),"sí","no"),"")</f>
        <v/>
      </c>
    </row>
    <row r="19">
      <c r="A19" s="2" t="inlineStr">
        <is>
          <t>V18-C5-1995T1-2007T4-12-NOEXPL-P</t>
        </is>
      </c>
      <c r="B19" s="2" t="inlineStr">
        <is>
          <t>Variación del precio real sin explicar, 1995T1-2007T4, Galicia</t>
        </is>
      </c>
      <c r="C19" s="2" t="n">
        <v>-1.406</v>
      </c>
      <c r="D19" s="2" t="n">
        <v>-1.406</v>
      </c>
      <c r="E19" s="2" t="n">
        <v>-1.406</v>
      </c>
      <c r="F19" s="2" t="inlineStr">
        <is>
          <t>pp (100·Δln)</t>
        </is>
      </c>
      <c r="G19" s="2" t="inlineStr">
        <is>
          <t>1995T1-2007T4</t>
        </is>
      </c>
      <c r="H19" s="2" t="inlineStr">
        <is>
          <t>Galicia; 2002T1 a 2007T4 (media de provincias no selladas, ponderada por población)</t>
        </is>
      </c>
      <c r="I19" s="2" t="inlineStr">
        <is>
          <t>C4</t>
        </is>
      </c>
      <c r="J19" s="2" t="inlineStr">
        <is>
          <t>NO ESTIMABLE</t>
        </is>
      </c>
      <c r="K19" s="2" t="inlineStr">
        <is>
          <t>rango</t>
        </is>
      </c>
      <c r="L19" s="6">
        <f>IF(AND(ISNUMBER(D19),ISNUMBER(E19)),E19-D19,"")</f>
        <v/>
      </c>
      <c r="M19" s="6">
        <f>IF(AND(ISNUMBER(D19),ISNUMBER(E19)),IF(AND(D19&lt;=0,E19&gt;=0),"sí","no"),"")</f>
        <v/>
      </c>
    </row>
    <row r="20">
      <c r="A20" s="2" t="inlineStr">
        <is>
          <t>V18-C5-1995T1-2007T4-16-NOEXPL-A</t>
        </is>
      </c>
      <c r="B20" s="2" t="inlineStr">
        <is>
          <t>Variación del alquiler real sin explicar, 1995T1-2007T4, País Vasco</t>
        </is>
      </c>
      <c r="C20" s="2" t="n">
        <v>4.5339</v>
      </c>
      <c r="D20" s="2" t="n">
        <v>4.5339</v>
      </c>
      <c r="E20" s="2" t="n">
        <v>4.5339</v>
      </c>
      <c r="F20" s="2" t="inlineStr">
        <is>
          <t>pp (100·Δln)</t>
        </is>
      </c>
      <c r="G20" s="2" t="inlineStr">
        <is>
          <t>1995T1-2007T4</t>
        </is>
      </c>
      <c r="H20" s="2" t="inlineStr">
        <is>
          <t>País Vasco; 2002T1 a 2007T4 (media de provincias no selladas, ponderada por población)</t>
        </is>
      </c>
      <c r="I20" s="2" t="inlineStr">
        <is>
          <t>C4</t>
        </is>
      </c>
      <c r="J20" s="2" t="inlineStr">
        <is>
          <t>NO ESTIMABLE</t>
        </is>
      </c>
      <c r="K20" s="2" t="inlineStr">
        <is>
          <t>rango</t>
        </is>
      </c>
      <c r="L20" s="6">
        <f>IF(AND(ISNUMBER(D20),ISNUMBER(E20)),E20-D20,"")</f>
        <v/>
      </c>
      <c r="M20" s="6">
        <f>IF(AND(ISNUMBER(D20),ISNUMBER(E20)),IF(AND(D20&lt;=0,E20&gt;=0),"sí","no"),"")</f>
        <v/>
      </c>
    </row>
    <row r="21">
      <c r="A21" s="2" t="inlineStr">
        <is>
          <t>V18-C5-1995T1-2007T4-16-NOEXPL-P</t>
        </is>
      </c>
      <c r="B21" s="2" t="inlineStr">
        <is>
          <t>Variación del precio real sin explicar, 1995T1-2007T4, País Vasco</t>
        </is>
      </c>
      <c r="C21" s="2" t="n">
        <v>-13.8328</v>
      </c>
      <c r="D21" s="2" t="n">
        <v>-13.8328</v>
      </c>
      <c r="E21" s="2" t="n">
        <v>-13.8328</v>
      </c>
      <c r="F21" s="2" t="inlineStr">
        <is>
          <t>pp (100·Δln)</t>
        </is>
      </c>
      <c r="G21" s="2" t="inlineStr">
        <is>
          <t>1995T1-2007T4</t>
        </is>
      </c>
      <c r="H21" s="2" t="inlineStr">
        <is>
          <t>País Vasco; 2002T1 a 2007T4 (media de provincias no selladas, ponderada por población)</t>
        </is>
      </c>
      <c r="I21" s="2" t="inlineStr">
        <is>
          <t>C4</t>
        </is>
      </c>
      <c r="J21" s="2" t="inlineStr">
        <is>
          <t>NO ESTIMABLE</t>
        </is>
      </c>
      <c r="K21" s="2" t="inlineStr">
        <is>
          <t>rango</t>
        </is>
      </c>
      <c r="L21" s="6">
        <f>IF(AND(ISNUMBER(D21),ISNUMBER(E21)),E21-D21,"")</f>
        <v/>
      </c>
      <c r="M21" s="6">
        <f>IF(AND(ISNUMBER(D21),ISNUMBER(E21)),IF(AND(D21&lt;=0,E21&gt;=0),"sí","no"),"")</f>
        <v/>
      </c>
    </row>
    <row r="22">
      <c r="A22" s="2" t="inlineStr">
        <is>
          <t>V18-C5-2008T1-2013T4-00-NOEXPL-A</t>
        </is>
      </c>
      <c r="B22" s="2" t="inlineStr">
        <is>
          <t>Variación del alquiler real sin explicar, 2008T1-2013T4, Nacional</t>
        </is>
      </c>
      <c r="C22" s="2" t="n">
        <v>6.6454</v>
      </c>
      <c r="D22" s="2" t="n">
        <v>6.6454</v>
      </c>
      <c r="E22" s="2" t="n">
        <v>6.6454</v>
      </c>
      <c r="F22" s="2" t="inlineStr">
        <is>
          <t>pp (100·Δln)</t>
        </is>
      </c>
      <c r="G22" s="2" t="inlineStr">
        <is>
          <t>2008T1-2013T4</t>
        </is>
      </c>
      <c r="H22" s="2" t="inlineStr">
        <is>
          <t>Nacional; 2007T4 a 2013T4</t>
        </is>
      </c>
      <c r="I22" s="2" t="inlineStr">
        <is>
          <t>C4</t>
        </is>
      </c>
      <c r="J22" s="2" t="inlineStr">
        <is>
          <t>NO ESTIMABLE</t>
        </is>
      </c>
      <c r="K22" s="2" t="inlineStr">
        <is>
          <t>rango</t>
        </is>
      </c>
      <c r="L22" s="6">
        <f>IF(AND(ISNUMBER(D22),ISNUMBER(E22)),E22-D22,"")</f>
        <v/>
      </c>
      <c r="M22" s="6">
        <f>IF(AND(ISNUMBER(D22),ISNUMBER(E22)),IF(AND(D22&lt;=0,E22&gt;=0),"sí","no"),"")</f>
        <v/>
      </c>
    </row>
    <row r="23">
      <c r="A23" s="2" t="inlineStr">
        <is>
          <t>V18-C5-2008T1-2013T4-00-NOEXPL-P</t>
        </is>
      </c>
      <c r="B23" s="2" t="inlineStr">
        <is>
          <t>Variación del precio real sin explicar, 2008T1-2013T4, Nacional</t>
        </is>
      </c>
      <c r="C23" s="2" t="n">
        <v>-36.6376</v>
      </c>
      <c r="D23" s="2" t="n">
        <v>-36.6376</v>
      </c>
      <c r="E23" s="2" t="n">
        <v>-36.6376</v>
      </c>
      <c r="F23" s="2" t="inlineStr">
        <is>
          <t>pp (100·Δln)</t>
        </is>
      </c>
      <c r="G23" s="2" t="inlineStr">
        <is>
          <t>2008T1-2013T4</t>
        </is>
      </c>
      <c r="H23" s="2" t="inlineStr">
        <is>
          <t>Nacional; 2007T4 a 2013T4</t>
        </is>
      </c>
      <c r="I23" s="2" t="inlineStr">
        <is>
          <t>C4</t>
        </is>
      </c>
      <c r="J23" s="2" t="inlineStr">
        <is>
          <t>NO ESTIMABLE</t>
        </is>
      </c>
      <c r="K23" s="2" t="inlineStr">
        <is>
          <t>rango</t>
        </is>
      </c>
      <c r="L23" s="6">
        <f>IF(AND(ISNUMBER(D23),ISNUMBER(E23)),E23-D23,"")</f>
        <v/>
      </c>
      <c r="M23" s="6">
        <f>IF(AND(ISNUMBER(D23),ISNUMBER(E23)),IF(AND(D23&lt;=0,E23&gt;=0),"sí","no"),"")</f>
        <v/>
      </c>
    </row>
    <row r="24">
      <c r="A24" s="2" t="inlineStr">
        <is>
          <t>V18-C5-2008T1-2013T4-01-NOEXPL-A</t>
        </is>
      </c>
      <c r="B24" s="2" t="inlineStr">
        <is>
          <t>Variación del alquiler real sin explicar, 2008T1-2013T4, Andalucía</t>
        </is>
      </c>
      <c r="C24" s="2" t="n">
        <v>0.6341</v>
      </c>
      <c r="D24" s="2" t="n">
        <v>0.6341</v>
      </c>
      <c r="E24" s="2" t="n">
        <v>0.6341</v>
      </c>
      <c r="F24" s="2" t="inlineStr">
        <is>
          <t>pp (100·Δln)</t>
        </is>
      </c>
      <c r="G24" s="2" t="inlineStr">
        <is>
          <t>2008T1-2013T4</t>
        </is>
      </c>
      <c r="H24" s="2" t="inlineStr">
        <is>
          <t>Andalucía; 2007T4 a 2013T4 (media de provincias no selladas, ponderada por población)</t>
        </is>
      </c>
      <c r="I24" s="2" t="inlineStr">
        <is>
          <t>C4</t>
        </is>
      </c>
      <c r="J24" s="2" t="inlineStr">
        <is>
          <t>NO ESTIMABLE</t>
        </is>
      </c>
      <c r="K24" s="2" t="inlineStr">
        <is>
          <t>rango</t>
        </is>
      </c>
      <c r="L24" s="6">
        <f>IF(AND(ISNUMBER(D24),ISNUMBER(E24)),E24-D24,"")</f>
        <v/>
      </c>
      <c r="M24" s="6">
        <f>IF(AND(ISNUMBER(D24),ISNUMBER(E24)),IF(AND(D24&lt;=0,E24&gt;=0),"sí","no"),"")</f>
        <v/>
      </c>
    </row>
    <row r="25">
      <c r="A25" s="2" t="inlineStr">
        <is>
          <t>V18-C5-2008T1-2013T4-01-NOEXPL-P</t>
        </is>
      </c>
      <c r="B25" s="2" t="inlineStr">
        <is>
          <t>Variación del precio real sin explicar, 2008T1-2013T4, Andalucía</t>
        </is>
      </c>
      <c r="C25" s="2" t="n">
        <v>-2.8197</v>
      </c>
      <c r="D25" s="2" t="n">
        <v>-2.8197</v>
      </c>
      <c r="E25" s="2" t="n">
        <v>-2.8197</v>
      </c>
      <c r="F25" s="2" t="inlineStr">
        <is>
          <t>pp (100·Δln)</t>
        </is>
      </c>
      <c r="G25" s="2" t="inlineStr">
        <is>
          <t>2008T1-2013T4</t>
        </is>
      </c>
      <c r="H25" s="2" t="inlineStr">
        <is>
          <t>Andalucía; 2007T4 a 2013T4 (media de provincias no selladas, ponderada por población)</t>
        </is>
      </c>
      <c r="I25" s="2" t="inlineStr">
        <is>
          <t>C4</t>
        </is>
      </c>
      <c r="J25" s="2" t="inlineStr">
        <is>
          <t>NO ESTIMABLE</t>
        </is>
      </c>
      <c r="K25" s="2" t="inlineStr">
        <is>
          <t>rango</t>
        </is>
      </c>
      <c r="L25" s="6">
        <f>IF(AND(ISNUMBER(D25),ISNUMBER(E25)),E25-D25,"")</f>
        <v/>
      </c>
      <c r="M25" s="6">
        <f>IF(AND(ISNUMBER(D25),ISNUMBER(E25)),IF(AND(D25&lt;=0,E25&gt;=0),"sí","no"),"")</f>
        <v/>
      </c>
    </row>
    <row r="26">
      <c r="A26" s="2" t="inlineStr">
        <is>
          <t>V18-C5-2008T1-2013T4-07-NOEXPL-A</t>
        </is>
      </c>
      <c r="B26" s="2" t="inlineStr">
        <is>
          <t>Variación del alquiler real sin explicar, 2008T1-2013T4, Castilla y León</t>
        </is>
      </c>
      <c r="C26" s="2" t="n">
        <v>0.735</v>
      </c>
      <c r="D26" s="2" t="n">
        <v>0.735</v>
      </c>
      <c r="E26" s="2" t="n">
        <v>0.735</v>
      </c>
      <c r="F26" s="2" t="inlineStr">
        <is>
          <t>pp (100·Δln)</t>
        </is>
      </c>
      <c r="G26" s="2" t="inlineStr">
        <is>
          <t>2008T1-2013T4</t>
        </is>
      </c>
      <c r="H26" s="2" t="inlineStr">
        <is>
          <t>Castilla y León; 2007T4 a 2013T4 (media de provincias no selladas, ponderada por población)</t>
        </is>
      </c>
      <c r="I26" s="2" t="inlineStr">
        <is>
          <t>C4</t>
        </is>
      </c>
      <c r="J26" s="2" t="inlineStr">
        <is>
          <t>NO ESTIMABLE</t>
        </is>
      </c>
      <c r="K26" s="2" t="inlineStr">
        <is>
          <t>rango</t>
        </is>
      </c>
      <c r="L26" s="6">
        <f>IF(AND(ISNUMBER(D26),ISNUMBER(E26)),E26-D26,"")</f>
        <v/>
      </c>
      <c r="M26" s="6">
        <f>IF(AND(ISNUMBER(D26),ISNUMBER(E26)),IF(AND(D26&lt;=0,E26&gt;=0),"sí","no"),"")</f>
        <v/>
      </c>
    </row>
    <row r="27">
      <c r="A27" s="2" t="inlineStr">
        <is>
          <t>V18-C5-2008T1-2013T4-07-NOEXPL-P</t>
        </is>
      </c>
      <c r="B27" s="2" t="inlineStr">
        <is>
          <t>Variación del precio real sin explicar, 2008T1-2013T4, Castilla y León</t>
        </is>
      </c>
      <c r="C27" s="2" t="n">
        <v>-0.2954</v>
      </c>
      <c r="D27" s="2" t="n">
        <v>-0.2954</v>
      </c>
      <c r="E27" s="2" t="n">
        <v>-0.2954</v>
      </c>
      <c r="F27" s="2" t="inlineStr">
        <is>
          <t>pp (100·Δln)</t>
        </is>
      </c>
      <c r="G27" s="2" t="inlineStr">
        <is>
          <t>2008T1-2013T4</t>
        </is>
      </c>
      <c r="H27" s="2" t="inlineStr">
        <is>
          <t>Castilla y León; 2007T4 a 2013T4 (media de provincias no selladas, ponderada por población)</t>
        </is>
      </c>
      <c r="I27" s="2" t="inlineStr">
        <is>
          <t>C4</t>
        </is>
      </c>
      <c r="J27" s="2" t="inlineStr">
        <is>
          <t>NO ESTIMABLE</t>
        </is>
      </c>
      <c r="K27" s="2" t="inlineStr">
        <is>
          <t>rango</t>
        </is>
      </c>
      <c r="L27" s="6">
        <f>IF(AND(ISNUMBER(D27),ISNUMBER(E27)),E27-D27,"")</f>
        <v/>
      </c>
      <c r="M27" s="6">
        <f>IF(AND(ISNUMBER(D27),ISNUMBER(E27)),IF(AND(D27&lt;=0,E27&gt;=0),"sí","no"),"")</f>
        <v/>
      </c>
    </row>
    <row r="28">
      <c r="A28" s="2" t="inlineStr">
        <is>
          <t>V18-C5-2008T1-2013T4-08-NOEXPL-A</t>
        </is>
      </c>
      <c r="B28" s="2" t="inlineStr">
        <is>
          <t>Variación del alquiler real sin explicar, 2008T1-2013T4, Castilla-La Mancha</t>
        </is>
      </c>
      <c r="C28" s="2" t="n">
        <v>0.1997</v>
      </c>
      <c r="D28" s="2" t="n">
        <v>0.1997</v>
      </c>
      <c r="E28" s="2" t="n">
        <v>0.1997</v>
      </c>
      <c r="F28" s="2" t="inlineStr">
        <is>
          <t>pp (100·Δln)</t>
        </is>
      </c>
      <c r="G28" s="2" t="inlineStr">
        <is>
          <t>2008T1-2013T4</t>
        </is>
      </c>
      <c r="H28" s="2" t="inlineStr">
        <is>
          <t>Castilla-La Mancha; 2007T4 a 2013T4 (media de provincias no selladas, ponderada por población)</t>
        </is>
      </c>
      <c r="I28" s="2" t="inlineStr">
        <is>
          <t>C4</t>
        </is>
      </c>
      <c r="J28" s="2" t="inlineStr">
        <is>
          <t>NO ESTIMABLE</t>
        </is>
      </c>
      <c r="K28" s="2" t="inlineStr">
        <is>
          <t>rango</t>
        </is>
      </c>
      <c r="L28" s="6">
        <f>IF(AND(ISNUMBER(D28),ISNUMBER(E28)),E28-D28,"")</f>
        <v/>
      </c>
      <c r="M28" s="6">
        <f>IF(AND(ISNUMBER(D28),ISNUMBER(E28)),IF(AND(D28&lt;=0,E28&gt;=0),"sí","no"),"")</f>
        <v/>
      </c>
    </row>
    <row r="29">
      <c r="A29" s="2" t="inlineStr">
        <is>
          <t>V18-C5-2008T1-2013T4-08-NOEXPL-P</t>
        </is>
      </c>
      <c r="B29" s="2" t="inlineStr">
        <is>
          <t>Variación del precio real sin explicar, 2008T1-2013T4, Castilla-La Mancha</t>
        </is>
      </c>
      <c r="C29" s="2" t="n">
        <v>-9.198499999999999</v>
      </c>
      <c r="D29" s="2" t="n">
        <v>-9.198499999999999</v>
      </c>
      <c r="E29" s="2" t="n">
        <v>-9.198499999999999</v>
      </c>
      <c r="F29" s="2" t="inlineStr">
        <is>
          <t>pp (100·Δln)</t>
        </is>
      </c>
      <c r="G29" s="2" t="inlineStr">
        <is>
          <t>2008T1-2013T4</t>
        </is>
      </c>
      <c r="H29" s="2" t="inlineStr">
        <is>
          <t>Castilla-La Mancha; 2007T4 a 2013T4 (media de provincias no selladas, ponderada por población)</t>
        </is>
      </c>
      <c r="I29" s="2" t="inlineStr">
        <is>
          <t>C4</t>
        </is>
      </c>
      <c r="J29" s="2" t="inlineStr">
        <is>
          <t>NO ESTIMABLE</t>
        </is>
      </c>
      <c r="K29" s="2" t="inlineStr">
        <is>
          <t>rango</t>
        </is>
      </c>
      <c r="L29" s="6">
        <f>IF(AND(ISNUMBER(D29),ISNUMBER(E29)),E29-D29,"")</f>
        <v/>
      </c>
      <c r="M29" s="6">
        <f>IF(AND(ISNUMBER(D29),ISNUMBER(E29)),IF(AND(D29&lt;=0,E29&gt;=0),"sí","no"),"")</f>
        <v/>
      </c>
    </row>
    <row r="30">
      <c r="A30" s="2" t="inlineStr">
        <is>
          <t>V18-C5-2008T1-2013T4-09-NOEXPL-A</t>
        </is>
      </c>
      <c r="B30" s="2" t="inlineStr">
        <is>
          <t>Variación del alquiler real sin explicar, 2008T1-2013T4, Cataluña</t>
        </is>
      </c>
      <c r="C30" s="2" t="n">
        <v>2.7936</v>
      </c>
      <c r="D30" s="2" t="n">
        <v>2.7936</v>
      </c>
      <c r="E30" s="2" t="n">
        <v>2.7936</v>
      </c>
      <c r="F30" s="2" t="inlineStr">
        <is>
          <t>pp (100·Δln)</t>
        </is>
      </c>
      <c r="G30" s="2" t="inlineStr">
        <is>
          <t>2008T1-2013T4</t>
        </is>
      </c>
      <c r="H30" s="2" t="inlineStr">
        <is>
          <t>Cataluña; 2007T4 a 2013T4 (media de provincias no selladas, ponderada por población)</t>
        </is>
      </c>
      <c r="I30" s="2" t="inlineStr">
        <is>
          <t>C4</t>
        </is>
      </c>
      <c r="J30" s="2" t="inlineStr">
        <is>
          <t>NO ESTIMABLE</t>
        </is>
      </c>
      <c r="K30" s="2" t="inlineStr">
        <is>
          <t>rango</t>
        </is>
      </c>
      <c r="L30" s="6">
        <f>IF(AND(ISNUMBER(D30),ISNUMBER(E30)),E30-D30,"")</f>
        <v/>
      </c>
      <c r="M30" s="6">
        <f>IF(AND(ISNUMBER(D30),ISNUMBER(E30)),IF(AND(D30&lt;=0,E30&gt;=0),"sí","no"),"")</f>
        <v/>
      </c>
    </row>
    <row r="31">
      <c r="A31" s="2" t="inlineStr">
        <is>
          <t>V18-C5-2008T1-2013T4-09-NOEXPL-P</t>
        </is>
      </c>
      <c r="B31" s="2" t="inlineStr">
        <is>
          <t>Variación del precio real sin explicar, 2008T1-2013T4, Cataluña</t>
        </is>
      </c>
      <c r="C31" s="2" t="n">
        <v>-5.9087</v>
      </c>
      <c r="D31" s="2" t="n">
        <v>-5.9087</v>
      </c>
      <c r="E31" s="2" t="n">
        <v>-5.9087</v>
      </c>
      <c r="F31" s="2" t="inlineStr">
        <is>
          <t>pp (100·Δln)</t>
        </is>
      </c>
      <c r="G31" s="2" t="inlineStr">
        <is>
          <t>2008T1-2013T4</t>
        </is>
      </c>
      <c r="H31" s="2" t="inlineStr">
        <is>
          <t>Cataluña; 2007T4 a 2013T4 (media de provincias no selladas, ponderada por población)</t>
        </is>
      </c>
      <c r="I31" s="2" t="inlineStr">
        <is>
          <t>C4</t>
        </is>
      </c>
      <c r="J31" s="2" t="inlineStr">
        <is>
          <t>NO ESTIMABLE</t>
        </is>
      </c>
      <c r="K31" s="2" t="inlineStr">
        <is>
          <t>rango</t>
        </is>
      </c>
      <c r="L31" s="6">
        <f>IF(AND(ISNUMBER(D31),ISNUMBER(E31)),E31-D31,"")</f>
        <v/>
      </c>
      <c r="M31" s="6">
        <f>IF(AND(ISNUMBER(D31),ISNUMBER(E31)),IF(AND(D31&lt;=0,E31&gt;=0),"sí","no"),"")</f>
        <v/>
      </c>
    </row>
    <row r="32">
      <c r="A32" s="2" t="inlineStr">
        <is>
          <t>V18-C5-2008T1-2013T4-10-NOEXPL-A</t>
        </is>
      </c>
      <c r="B32" s="2" t="inlineStr">
        <is>
          <t>Variación del alquiler real sin explicar, 2008T1-2013T4, Comunitat Valenciana</t>
        </is>
      </c>
      <c r="C32" s="2" t="n">
        <v>-1.8189</v>
      </c>
      <c r="D32" s="2" t="n">
        <v>-1.8189</v>
      </c>
      <c r="E32" s="2" t="n">
        <v>-1.8189</v>
      </c>
      <c r="F32" s="2" t="inlineStr">
        <is>
          <t>pp (100·Δln)</t>
        </is>
      </c>
      <c r="G32" s="2" t="inlineStr">
        <is>
          <t>2008T1-2013T4</t>
        </is>
      </c>
      <c r="H32" s="2" t="inlineStr">
        <is>
          <t>Comunitat Valenciana; 2007T4 a 2013T4 (media de provincias no selladas, ponderada por población)</t>
        </is>
      </c>
      <c r="I32" s="2" t="inlineStr">
        <is>
          <t>C4</t>
        </is>
      </c>
      <c r="J32" s="2" t="inlineStr">
        <is>
          <t>NO ESTIMABLE</t>
        </is>
      </c>
      <c r="K32" s="2" t="inlineStr">
        <is>
          <t>rango</t>
        </is>
      </c>
      <c r="L32" s="6">
        <f>IF(AND(ISNUMBER(D32),ISNUMBER(E32)),E32-D32,"")</f>
        <v/>
      </c>
      <c r="M32" s="6">
        <f>IF(AND(ISNUMBER(D32),ISNUMBER(E32)),IF(AND(D32&lt;=0,E32&gt;=0),"sí","no"),"")</f>
        <v/>
      </c>
    </row>
    <row r="33">
      <c r="A33" s="2" t="inlineStr">
        <is>
          <t>V18-C5-2008T1-2013T4-10-NOEXPL-P</t>
        </is>
      </c>
      <c r="B33" s="2" t="inlineStr">
        <is>
          <t>Variación del precio real sin explicar, 2008T1-2013T4, Comunitat Valenciana</t>
        </is>
      </c>
      <c r="C33" s="2" t="n">
        <v>-6.4277</v>
      </c>
      <c r="D33" s="2" t="n">
        <v>-6.4277</v>
      </c>
      <c r="E33" s="2" t="n">
        <v>-6.4277</v>
      </c>
      <c r="F33" s="2" t="inlineStr">
        <is>
          <t>pp (100·Δln)</t>
        </is>
      </c>
      <c r="G33" s="2" t="inlineStr">
        <is>
          <t>2008T1-2013T4</t>
        </is>
      </c>
      <c r="H33" s="2" t="inlineStr">
        <is>
          <t>Comunitat Valenciana; 2007T4 a 2013T4 (media de provincias no selladas, ponderada por población)</t>
        </is>
      </c>
      <c r="I33" s="2" t="inlineStr">
        <is>
          <t>C4</t>
        </is>
      </c>
      <c r="J33" s="2" t="inlineStr">
        <is>
          <t>NO ESTIMABLE</t>
        </is>
      </c>
      <c r="K33" s="2" t="inlineStr">
        <is>
          <t>rango</t>
        </is>
      </c>
      <c r="L33" s="6">
        <f>IF(AND(ISNUMBER(D33),ISNUMBER(E33)),E33-D33,"")</f>
        <v/>
      </c>
      <c r="M33" s="6">
        <f>IF(AND(ISNUMBER(D33),ISNUMBER(E33)),IF(AND(D33&lt;=0,E33&gt;=0),"sí","no"),"")</f>
        <v/>
      </c>
    </row>
    <row r="34">
      <c r="A34" s="2" t="inlineStr">
        <is>
          <t>V18-C5-2008T1-2013T4-11-NOEXPL-A</t>
        </is>
      </c>
      <c r="B34" s="2" t="inlineStr">
        <is>
          <t>Variación del alquiler real sin explicar, 2008T1-2013T4, Extremadura</t>
        </is>
      </c>
      <c r="C34" s="2" t="n">
        <v>-2.5124</v>
      </c>
      <c r="D34" s="2" t="n">
        <v>-2.5124</v>
      </c>
      <c r="E34" s="2" t="n">
        <v>-2.5124</v>
      </c>
      <c r="F34" s="2" t="inlineStr">
        <is>
          <t>pp (100·Δln)</t>
        </is>
      </c>
      <c r="G34" s="2" t="inlineStr">
        <is>
          <t>2008T1-2013T4</t>
        </is>
      </c>
      <c r="H34" s="2" t="inlineStr">
        <is>
          <t>Extremadura; 2007T4 a 2013T4 (media de provincias no selladas, ponderada por población)</t>
        </is>
      </c>
      <c r="I34" s="2" t="inlineStr">
        <is>
          <t>C4</t>
        </is>
      </c>
      <c r="J34" s="2" t="inlineStr">
        <is>
          <t>NO ESTIMABLE</t>
        </is>
      </c>
      <c r="K34" s="2" t="inlineStr">
        <is>
          <t>rango</t>
        </is>
      </c>
      <c r="L34" s="6">
        <f>IF(AND(ISNUMBER(D34),ISNUMBER(E34)),E34-D34,"")</f>
        <v/>
      </c>
      <c r="M34" s="6">
        <f>IF(AND(ISNUMBER(D34),ISNUMBER(E34)),IF(AND(D34&lt;=0,E34&gt;=0),"sí","no"),"")</f>
        <v/>
      </c>
    </row>
    <row r="35">
      <c r="A35" s="2" t="inlineStr">
        <is>
          <t>V18-C5-2008T1-2013T4-11-NOEXPL-P</t>
        </is>
      </c>
      <c r="B35" s="2" t="inlineStr">
        <is>
          <t>Variación del precio real sin explicar, 2008T1-2013T4, Extremadura</t>
        </is>
      </c>
      <c r="C35" s="2" t="n">
        <v>13.6459</v>
      </c>
      <c r="D35" s="2" t="n">
        <v>13.6459</v>
      </c>
      <c r="E35" s="2" t="n">
        <v>13.6459</v>
      </c>
      <c r="F35" s="2" t="inlineStr">
        <is>
          <t>pp (100·Δln)</t>
        </is>
      </c>
      <c r="G35" s="2" t="inlineStr">
        <is>
          <t>2008T1-2013T4</t>
        </is>
      </c>
      <c r="H35" s="2" t="inlineStr">
        <is>
          <t>Extremadura; 2007T4 a 2013T4 (media de provincias no selladas, ponderada por población)</t>
        </is>
      </c>
      <c r="I35" s="2" t="inlineStr">
        <is>
          <t>C4</t>
        </is>
      </c>
      <c r="J35" s="2" t="inlineStr">
        <is>
          <t>NO ESTIMABLE</t>
        </is>
      </c>
      <c r="K35" s="2" t="inlineStr">
        <is>
          <t>rango</t>
        </is>
      </c>
      <c r="L35" s="6">
        <f>IF(AND(ISNUMBER(D35),ISNUMBER(E35)),E35-D35,"")</f>
        <v/>
      </c>
      <c r="M35" s="6">
        <f>IF(AND(ISNUMBER(D35),ISNUMBER(E35)),IF(AND(D35&lt;=0,E35&gt;=0),"sí","no"),"")</f>
        <v/>
      </c>
    </row>
    <row r="36">
      <c r="A36" s="2" t="inlineStr">
        <is>
          <t>V18-C5-2008T1-2013T4-12-NOEXPL-A</t>
        </is>
      </c>
      <c r="B36" s="2" t="inlineStr">
        <is>
          <t>Variación del alquiler real sin explicar, 2008T1-2013T4, Galicia</t>
        </is>
      </c>
      <c r="C36" s="2" t="n">
        <v>1.7877</v>
      </c>
      <c r="D36" s="2" t="n">
        <v>1.7877</v>
      </c>
      <c r="E36" s="2" t="n">
        <v>1.7877</v>
      </c>
      <c r="F36" s="2" t="inlineStr">
        <is>
          <t>pp (100·Δln)</t>
        </is>
      </c>
      <c r="G36" s="2" t="inlineStr">
        <is>
          <t>2008T1-2013T4</t>
        </is>
      </c>
      <c r="H36" s="2" t="inlineStr">
        <is>
          <t>Galicia; 2007T4 a 2013T4 (media de provincias no selladas, ponderada por población)</t>
        </is>
      </c>
      <c r="I36" s="2" t="inlineStr">
        <is>
          <t>C4</t>
        </is>
      </c>
      <c r="J36" s="2" t="inlineStr">
        <is>
          <t>NO ESTIMABLE</t>
        </is>
      </c>
      <c r="K36" s="2" t="inlineStr">
        <is>
          <t>rango</t>
        </is>
      </c>
      <c r="L36" s="6">
        <f>IF(AND(ISNUMBER(D36),ISNUMBER(E36)),E36-D36,"")</f>
        <v/>
      </c>
      <c r="M36" s="6">
        <f>IF(AND(ISNUMBER(D36),ISNUMBER(E36)),IF(AND(D36&lt;=0,E36&gt;=0),"sí","no"),"")</f>
        <v/>
      </c>
    </row>
    <row r="37">
      <c r="A37" s="2" t="inlineStr">
        <is>
          <t>V18-C5-2008T1-2013T4-12-NOEXPL-P</t>
        </is>
      </c>
      <c r="B37" s="2" t="inlineStr">
        <is>
          <t>Variación del precio real sin explicar, 2008T1-2013T4, Galicia</t>
        </is>
      </c>
      <c r="C37" s="2" t="n">
        <v>6.7831</v>
      </c>
      <c r="D37" s="2" t="n">
        <v>6.7831</v>
      </c>
      <c r="E37" s="2" t="n">
        <v>6.7831</v>
      </c>
      <c r="F37" s="2" t="inlineStr">
        <is>
          <t>pp (100·Δln)</t>
        </is>
      </c>
      <c r="G37" s="2" t="inlineStr">
        <is>
          <t>2008T1-2013T4</t>
        </is>
      </c>
      <c r="H37" s="2" t="inlineStr">
        <is>
          <t>Galicia; 2007T4 a 2013T4 (media de provincias no selladas, ponderada por población)</t>
        </is>
      </c>
      <c r="I37" s="2" t="inlineStr">
        <is>
          <t>C4</t>
        </is>
      </c>
      <c r="J37" s="2" t="inlineStr">
        <is>
          <t>NO ESTIMABLE</t>
        </is>
      </c>
      <c r="K37" s="2" t="inlineStr">
        <is>
          <t>rango</t>
        </is>
      </c>
      <c r="L37" s="6">
        <f>IF(AND(ISNUMBER(D37),ISNUMBER(E37)),E37-D37,"")</f>
        <v/>
      </c>
      <c r="M37" s="6">
        <f>IF(AND(ISNUMBER(D37),ISNUMBER(E37)),IF(AND(D37&lt;=0,E37&gt;=0),"sí","no"),"")</f>
        <v/>
      </c>
    </row>
    <row r="38">
      <c r="A38" s="2" t="inlineStr">
        <is>
          <t>V18-C5-2008T1-2013T4-16-NOEXPL-A</t>
        </is>
      </c>
      <c r="B38" s="2" t="inlineStr">
        <is>
          <t>Variación del alquiler real sin explicar, 2008T1-2013T4, País Vasco</t>
        </is>
      </c>
      <c r="C38" s="2" t="n">
        <v>1.8073</v>
      </c>
      <c r="D38" s="2" t="n">
        <v>1.8073</v>
      </c>
      <c r="E38" s="2" t="n">
        <v>1.8073</v>
      </c>
      <c r="F38" s="2" t="inlineStr">
        <is>
          <t>pp (100·Δln)</t>
        </is>
      </c>
      <c r="G38" s="2" t="inlineStr">
        <is>
          <t>2008T1-2013T4</t>
        </is>
      </c>
      <c r="H38" s="2" t="inlineStr">
        <is>
          <t>País Vasco; 2007T4 a 2013T4 (media de provincias no selladas, ponderada por población)</t>
        </is>
      </c>
      <c r="I38" s="2" t="inlineStr">
        <is>
          <t>C4</t>
        </is>
      </c>
      <c r="J38" s="2" t="inlineStr">
        <is>
          <t>NO ESTIMABLE</t>
        </is>
      </c>
      <c r="K38" s="2" t="inlineStr">
        <is>
          <t>rango</t>
        </is>
      </c>
      <c r="L38" s="6">
        <f>IF(AND(ISNUMBER(D38),ISNUMBER(E38)),E38-D38,"")</f>
        <v/>
      </c>
      <c r="M38" s="6">
        <f>IF(AND(ISNUMBER(D38),ISNUMBER(E38)),IF(AND(D38&lt;=0,E38&gt;=0),"sí","no"),"")</f>
        <v/>
      </c>
    </row>
    <row r="39">
      <c r="A39" s="2" t="inlineStr">
        <is>
          <t>V18-C5-2008T1-2013T4-16-NOEXPL-P</t>
        </is>
      </c>
      <c r="B39" s="2" t="inlineStr">
        <is>
          <t>Variación del precio real sin explicar, 2008T1-2013T4, País Vasco</t>
        </is>
      </c>
      <c r="C39" s="2" t="n">
        <v>14.1094</v>
      </c>
      <c r="D39" s="2" t="n">
        <v>14.1094</v>
      </c>
      <c r="E39" s="2" t="n">
        <v>14.1094</v>
      </c>
      <c r="F39" s="2" t="inlineStr">
        <is>
          <t>pp (100·Δln)</t>
        </is>
      </c>
      <c r="G39" s="2" t="inlineStr">
        <is>
          <t>2008T1-2013T4</t>
        </is>
      </c>
      <c r="H39" s="2" t="inlineStr">
        <is>
          <t>País Vasco; 2007T4 a 2013T4 (media de provincias no selladas, ponderada por población)</t>
        </is>
      </c>
      <c r="I39" s="2" t="inlineStr">
        <is>
          <t>C4</t>
        </is>
      </c>
      <c r="J39" s="2" t="inlineStr">
        <is>
          <t>NO ESTIMABLE</t>
        </is>
      </c>
      <c r="K39" s="2" t="inlineStr">
        <is>
          <t>rango</t>
        </is>
      </c>
      <c r="L39" s="6">
        <f>IF(AND(ISNUMBER(D39),ISNUMBER(E39)),E39-D39,"")</f>
        <v/>
      </c>
      <c r="M39" s="6">
        <f>IF(AND(ISNUMBER(D39),ISNUMBER(E39)),IF(AND(D39&lt;=0,E39&gt;=0),"sí","no"),"")</f>
        <v/>
      </c>
    </row>
    <row r="40">
      <c r="A40" s="2" t="inlineStr">
        <is>
          <t>V18-C5-2014T1-2019T4-00-NOEXPL-A</t>
        </is>
      </c>
      <c r="B40" s="2" t="inlineStr">
        <is>
          <t>Variación del alquiler real sin explicar, 2014T1-2019T4, Nacional</t>
        </is>
      </c>
      <c r="C40" s="2" t="n">
        <v>-2.9339</v>
      </c>
      <c r="D40" s="2" t="n">
        <v>-2.9339</v>
      </c>
      <c r="E40" s="2" t="n">
        <v>-2.9339</v>
      </c>
      <c r="F40" s="2" t="inlineStr">
        <is>
          <t>pp (100·Δln)</t>
        </is>
      </c>
      <c r="G40" s="2" t="inlineStr">
        <is>
          <t>2014T1-2019T4</t>
        </is>
      </c>
      <c r="H40" s="2" t="inlineStr">
        <is>
          <t>Nacional; 2013T4 a 2019T4</t>
        </is>
      </c>
      <c r="I40" s="2" t="inlineStr">
        <is>
          <t>C4</t>
        </is>
      </c>
      <c r="J40" s="2" t="inlineStr">
        <is>
          <t>NO ESTIMABLE</t>
        </is>
      </c>
      <c r="K40" s="2" t="inlineStr">
        <is>
          <t>rango</t>
        </is>
      </c>
      <c r="L40" s="6">
        <f>IF(AND(ISNUMBER(D40),ISNUMBER(E40)),E40-D40,"")</f>
        <v/>
      </c>
      <c r="M40" s="6">
        <f>IF(AND(ISNUMBER(D40),ISNUMBER(E40)),IF(AND(D40&lt;=0,E40&gt;=0),"sí","no"),"")</f>
        <v/>
      </c>
    </row>
    <row r="41">
      <c r="A41" s="2" t="inlineStr">
        <is>
          <t>V18-C5-2014T1-2019T4-00-NOEXPL-P</t>
        </is>
      </c>
      <c r="B41" s="2" t="inlineStr">
        <is>
          <t>Variación del precio real sin explicar, 2014T1-2019T4, Nacional</t>
        </is>
      </c>
      <c r="C41" s="2" t="n">
        <v>6.3422</v>
      </c>
      <c r="D41" s="2" t="n">
        <v>6.3422</v>
      </c>
      <c r="E41" s="2" t="n">
        <v>6.3422</v>
      </c>
      <c r="F41" s="2" t="inlineStr">
        <is>
          <t>pp (100·Δln)</t>
        </is>
      </c>
      <c r="G41" s="2" t="inlineStr">
        <is>
          <t>2014T1-2019T4</t>
        </is>
      </c>
      <c r="H41" s="2" t="inlineStr">
        <is>
          <t>Nacional; 2013T4 a 2019T4</t>
        </is>
      </c>
      <c r="I41" s="2" t="inlineStr">
        <is>
          <t>C4</t>
        </is>
      </c>
      <c r="J41" s="2" t="inlineStr">
        <is>
          <t>NO ESTIMABLE</t>
        </is>
      </c>
      <c r="K41" s="2" t="inlineStr">
        <is>
          <t>rango</t>
        </is>
      </c>
      <c r="L41" s="6">
        <f>IF(AND(ISNUMBER(D41),ISNUMBER(E41)),E41-D41,"")</f>
        <v/>
      </c>
      <c r="M41" s="6">
        <f>IF(AND(ISNUMBER(D41),ISNUMBER(E41)),IF(AND(D41&lt;=0,E41&gt;=0),"sí","no"),"")</f>
        <v/>
      </c>
    </row>
    <row r="42">
      <c r="A42" s="2" t="inlineStr">
        <is>
          <t>V18-C5-2014T1-2019T4-01-NOEXPL-A</t>
        </is>
      </c>
      <c r="B42" s="2" t="inlineStr">
        <is>
          <t>Variación del alquiler real sin explicar, 2014T1-2019T4, Andalucía</t>
        </is>
      </c>
      <c r="C42" s="2" t="n">
        <v>0.759</v>
      </c>
      <c r="D42" s="2" t="n">
        <v>0.759</v>
      </c>
      <c r="E42" s="2" t="n">
        <v>0.759</v>
      </c>
      <c r="F42" s="2" t="inlineStr">
        <is>
          <t>pp (100·Δln)</t>
        </is>
      </c>
      <c r="G42" s="2" t="inlineStr">
        <is>
          <t>2014T1-2019T4</t>
        </is>
      </c>
      <c r="H42" s="2" t="inlineStr">
        <is>
          <t>Andalucía; 2013T4 a 2019T4 (media de provincias no selladas, ponderada por población)</t>
        </is>
      </c>
      <c r="I42" s="2" t="inlineStr">
        <is>
          <t>C4</t>
        </is>
      </c>
      <c r="J42" s="2" t="inlineStr">
        <is>
          <t>NO ESTIMABLE</t>
        </is>
      </c>
      <c r="K42" s="2" t="inlineStr">
        <is>
          <t>rango</t>
        </is>
      </c>
      <c r="L42" s="6">
        <f>IF(AND(ISNUMBER(D42),ISNUMBER(E42)),E42-D42,"")</f>
        <v/>
      </c>
      <c r="M42" s="6">
        <f>IF(AND(ISNUMBER(D42),ISNUMBER(E42)),IF(AND(D42&lt;=0,E42&gt;=0),"sí","no"),"")</f>
        <v/>
      </c>
    </row>
    <row r="43">
      <c r="A43" s="2" t="inlineStr">
        <is>
          <t>V18-C5-2014T1-2019T4-01-NOEXPL-P</t>
        </is>
      </c>
      <c r="B43" s="2" t="inlineStr">
        <is>
          <t>Variación del precio real sin explicar, 2014T1-2019T4, Andalucía</t>
        </is>
      </c>
      <c r="C43" s="2" t="n">
        <v>5.6952</v>
      </c>
      <c r="D43" s="2" t="n">
        <v>5.6952</v>
      </c>
      <c r="E43" s="2" t="n">
        <v>5.6952</v>
      </c>
      <c r="F43" s="2" t="inlineStr">
        <is>
          <t>pp (100·Δln)</t>
        </is>
      </c>
      <c r="G43" s="2" t="inlineStr">
        <is>
          <t>2014T1-2019T4</t>
        </is>
      </c>
      <c r="H43" s="2" t="inlineStr">
        <is>
          <t>Andalucía; 2013T4 a 2019T4 (media de provincias no selladas, ponderada por población)</t>
        </is>
      </c>
      <c r="I43" s="2" t="inlineStr">
        <is>
          <t>C4</t>
        </is>
      </c>
      <c r="J43" s="2" t="inlineStr">
        <is>
          <t>NO ESTIMABLE</t>
        </is>
      </c>
      <c r="K43" s="2" t="inlineStr">
        <is>
          <t>rango</t>
        </is>
      </c>
      <c r="L43" s="6">
        <f>IF(AND(ISNUMBER(D43),ISNUMBER(E43)),E43-D43,"")</f>
        <v/>
      </c>
      <c r="M43" s="6">
        <f>IF(AND(ISNUMBER(D43),ISNUMBER(E43)),IF(AND(D43&lt;=0,E43&gt;=0),"sí","no"),"")</f>
        <v/>
      </c>
    </row>
    <row r="44">
      <c r="A44" s="2" t="inlineStr">
        <is>
          <t>V18-C5-2014T1-2019T4-07-NOEXPL-A</t>
        </is>
      </c>
      <c r="B44" s="2" t="inlineStr">
        <is>
          <t>Variación del alquiler real sin explicar, 2014T1-2019T4, Castilla y León</t>
        </is>
      </c>
      <c r="C44" s="2" t="n">
        <v>-0.6989</v>
      </c>
      <c r="D44" s="2" t="n">
        <v>-0.6989</v>
      </c>
      <c r="E44" s="2" t="n">
        <v>-0.6989</v>
      </c>
      <c r="F44" s="2" t="inlineStr">
        <is>
          <t>pp (100·Δln)</t>
        </is>
      </c>
      <c r="G44" s="2" t="inlineStr">
        <is>
          <t>2014T1-2019T4</t>
        </is>
      </c>
      <c r="H44" s="2" t="inlineStr">
        <is>
          <t>Castilla y León; 2013T4 a 2019T4 (media de provincias no selladas, ponderada por población)</t>
        </is>
      </c>
      <c r="I44" s="2" t="inlineStr">
        <is>
          <t>C4</t>
        </is>
      </c>
      <c r="J44" s="2" t="inlineStr">
        <is>
          <t>NO ESTIMABLE</t>
        </is>
      </c>
      <c r="K44" s="2" t="inlineStr">
        <is>
          <t>rango</t>
        </is>
      </c>
      <c r="L44" s="6">
        <f>IF(AND(ISNUMBER(D44),ISNUMBER(E44)),E44-D44,"")</f>
        <v/>
      </c>
      <c r="M44" s="6">
        <f>IF(AND(ISNUMBER(D44),ISNUMBER(E44)),IF(AND(D44&lt;=0,E44&gt;=0),"sí","no"),"")</f>
        <v/>
      </c>
    </row>
    <row r="45">
      <c r="A45" s="2" t="inlineStr">
        <is>
          <t>V18-C5-2014T1-2019T4-07-NOEXPL-P</t>
        </is>
      </c>
      <c r="B45" s="2" t="inlineStr">
        <is>
          <t>Variación del precio real sin explicar, 2014T1-2019T4, Castilla y León</t>
        </is>
      </c>
      <c r="C45" s="2" t="n">
        <v>-3.8766</v>
      </c>
      <c r="D45" s="2" t="n">
        <v>-3.8766</v>
      </c>
      <c r="E45" s="2" t="n">
        <v>-3.8766</v>
      </c>
      <c r="F45" s="2" t="inlineStr">
        <is>
          <t>pp (100·Δln)</t>
        </is>
      </c>
      <c r="G45" s="2" t="inlineStr">
        <is>
          <t>2014T1-2019T4</t>
        </is>
      </c>
      <c r="H45" s="2" t="inlineStr">
        <is>
          <t>Castilla y León; 2013T4 a 2019T4 (media de provincias no selladas, ponderada por población)</t>
        </is>
      </c>
      <c r="I45" s="2" t="inlineStr">
        <is>
          <t>C4</t>
        </is>
      </c>
      <c r="J45" s="2" t="inlineStr">
        <is>
          <t>NO ESTIMABLE</t>
        </is>
      </c>
      <c r="K45" s="2" t="inlineStr">
        <is>
          <t>rango</t>
        </is>
      </c>
      <c r="L45" s="6">
        <f>IF(AND(ISNUMBER(D45),ISNUMBER(E45)),E45-D45,"")</f>
        <v/>
      </c>
      <c r="M45" s="6">
        <f>IF(AND(ISNUMBER(D45),ISNUMBER(E45)),IF(AND(D45&lt;=0,E45&gt;=0),"sí","no"),"")</f>
        <v/>
      </c>
    </row>
    <row r="46">
      <c r="A46" s="2" t="inlineStr">
        <is>
          <t>V18-C5-2014T1-2019T4-08-NOEXPL-A</t>
        </is>
      </c>
      <c r="B46" s="2" t="inlineStr">
        <is>
          <t>Variación del alquiler real sin explicar, 2014T1-2019T4, Castilla-La Mancha</t>
        </is>
      </c>
      <c r="C46" s="2" t="n">
        <v>-1.0908</v>
      </c>
      <c r="D46" s="2" t="n">
        <v>-1.0908</v>
      </c>
      <c r="E46" s="2" t="n">
        <v>-1.0908</v>
      </c>
      <c r="F46" s="2" t="inlineStr">
        <is>
          <t>pp (100·Δln)</t>
        </is>
      </c>
      <c r="G46" s="2" t="inlineStr">
        <is>
          <t>2014T1-2019T4</t>
        </is>
      </c>
      <c r="H46" s="2" t="inlineStr">
        <is>
          <t>Castilla-La Mancha; 2013T4 a 2019T4 (media de provincias no selladas, ponderada por población)</t>
        </is>
      </c>
      <c r="I46" s="2" t="inlineStr">
        <is>
          <t>C4</t>
        </is>
      </c>
      <c r="J46" s="2" t="inlineStr">
        <is>
          <t>NO ESTIMABLE</t>
        </is>
      </c>
      <c r="K46" s="2" t="inlineStr">
        <is>
          <t>rango</t>
        </is>
      </c>
      <c r="L46" s="6">
        <f>IF(AND(ISNUMBER(D46),ISNUMBER(E46)),E46-D46,"")</f>
        <v/>
      </c>
      <c r="M46" s="6">
        <f>IF(AND(ISNUMBER(D46),ISNUMBER(E46)),IF(AND(D46&lt;=0,E46&gt;=0),"sí","no"),"")</f>
        <v/>
      </c>
    </row>
    <row r="47">
      <c r="A47" s="2" t="inlineStr">
        <is>
          <t>V18-C5-2014T1-2019T4-08-NOEXPL-P</t>
        </is>
      </c>
      <c r="B47" s="2" t="inlineStr">
        <is>
          <t>Variación del precio real sin explicar, 2014T1-2019T4, Castilla-La Mancha</t>
        </is>
      </c>
      <c r="C47" s="2" t="n">
        <v>-2.8479</v>
      </c>
      <c r="D47" s="2" t="n">
        <v>-2.8479</v>
      </c>
      <c r="E47" s="2" t="n">
        <v>-2.8479</v>
      </c>
      <c r="F47" s="2" t="inlineStr">
        <is>
          <t>pp (100·Δln)</t>
        </is>
      </c>
      <c r="G47" s="2" t="inlineStr">
        <is>
          <t>2014T1-2019T4</t>
        </is>
      </c>
      <c r="H47" s="2" t="inlineStr">
        <is>
          <t>Castilla-La Mancha; 2013T4 a 2019T4 (media de provincias no selladas, ponderada por población)</t>
        </is>
      </c>
      <c r="I47" s="2" t="inlineStr">
        <is>
          <t>C4</t>
        </is>
      </c>
      <c r="J47" s="2" t="inlineStr">
        <is>
          <t>NO ESTIMABLE</t>
        </is>
      </c>
      <c r="K47" s="2" t="inlineStr">
        <is>
          <t>rango</t>
        </is>
      </c>
      <c r="L47" s="6">
        <f>IF(AND(ISNUMBER(D47),ISNUMBER(E47)),E47-D47,"")</f>
        <v/>
      </c>
      <c r="M47" s="6">
        <f>IF(AND(ISNUMBER(D47),ISNUMBER(E47)),IF(AND(D47&lt;=0,E47&gt;=0),"sí","no"),"")</f>
        <v/>
      </c>
    </row>
    <row r="48">
      <c r="A48" s="2" t="inlineStr">
        <is>
          <t>V18-C5-2014T1-2019T4-09-NOEXPL-A</t>
        </is>
      </c>
      <c r="B48" s="2" t="inlineStr">
        <is>
          <t>Variación del alquiler real sin explicar, 2014T1-2019T4, Cataluña</t>
        </is>
      </c>
      <c r="C48" s="2" t="n">
        <v>2.8886</v>
      </c>
      <c r="D48" s="2" t="n">
        <v>2.8886</v>
      </c>
      <c r="E48" s="2" t="n">
        <v>2.8886</v>
      </c>
      <c r="F48" s="2" t="inlineStr">
        <is>
          <t>pp (100·Δln)</t>
        </is>
      </c>
      <c r="G48" s="2" t="inlineStr">
        <is>
          <t>2014T1-2019T4</t>
        </is>
      </c>
      <c r="H48" s="2" t="inlineStr">
        <is>
          <t>Cataluña; 2013T4 a 2019T4 (media de provincias no selladas, ponderada por población)</t>
        </is>
      </c>
      <c r="I48" s="2" t="inlineStr">
        <is>
          <t>C4</t>
        </is>
      </c>
      <c r="J48" s="2" t="inlineStr">
        <is>
          <t>NO ESTIMABLE</t>
        </is>
      </c>
      <c r="K48" s="2" t="inlineStr">
        <is>
          <t>rango</t>
        </is>
      </c>
      <c r="L48" s="6">
        <f>IF(AND(ISNUMBER(D48),ISNUMBER(E48)),E48-D48,"")</f>
        <v/>
      </c>
      <c r="M48" s="6">
        <f>IF(AND(ISNUMBER(D48),ISNUMBER(E48)),IF(AND(D48&lt;=0,E48&gt;=0),"sí","no"),"")</f>
        <v/>
      </c>
    </row>
    <row r="49">
      <c r="A49" s="2" t="inlineStr">
        <is>
          <t>V18-C5-2014T1-2019T4-09-NOEXPL-P</t>
        </is>
      </c>
      <c r="B49" s="2" t="inlineStr">
        <is>
          <t>Variación del precio real sin explicar, 2014T1-2019T4, Cataluña</t>
        </is>
      </c>
      <c r="C49" s="2" t="n">
        <v>19.2507</v>
      </c>
      <c r="D49" s="2" t="n">
        <v>19.2507</v>
      </c>
      <c r="E49" s="2" t="n">
        <v>19.2507</v>
      </c>
      <c r="F49" s="2" t="inlineStr">
        <is>
          <t>pp (100·Δln)</t>
        </is>
      </c>
      <c r="G49" s="2" t="inlineStr">
        <is>
          <t>2014T1-2019T4</t>
        </is>
      </c>
      <c r="H49" s="2" t="inlineStr">
        <is>
          <t>Cataluña; 2013T4 a 2019T4 (media de provincias no selladas, ponderada por población)</t>
        </is>
      </c>
      <c r="I49" s="2" t="inlineStr">
        <is>
          <t>C4</t>
        </is>
      </c>
      <c r="J49" s="2" t="inlineStr">
        <is>
          <t>NO ESTIMABLE</t>
        </is>
      </c>
      <c r="K49" s="2" t="inlineStr">
        <is>
          <t>rango</t>
        </is>
      </c>
      <c r="L49" s="6">
        <f>IF(AND(ISNUMBER(D49),ISNUMBER(E49)),E49-D49,"")</f>
        <v/>
      </c>
      <c r="M49" s="6">
        <f>IF(AND(ISNUMBER(D49),ISNUMBER(E49)),IF(AND(D49&lt;=0,E49&gt;=0),"sí","no"),"")</f>
        <v/>
      </c>
    </row>
    <row r="50">
      <c r="A50" s="2" t="inlineStr">
        <is>
          <t>V18-C5-2014T1-2019T4-10-NOEXPL-A</t>
        </is>
      </c>
      <c r="B50" s="2" t="inlineStr">
        <is>
          <t>Variación del alquiler real sin explicar, 2014T1-2019T4, Comunitat Valenciana</t>
        </is>
      </c>
      <c r="C50" s="2" t="n">
        <v>1.0821</v>
      </c>
      <c r="D50" s="2" t="n">
        <v>1.0821</v>
      </c>
      <c r="E50" s="2" t="n">
        <v>1.0821</v>
      </c>
      <c r="F50" s="2" t="inlineStr">
        <is>
          <t>pp (100·Δln)</t>
        </is>
      </c>
      <c r="G50" s="2" t="inlineStr">
        <is>
          <t>2014T1-2019T4</t>
        </is>
      </c>
      <c r="H50" s="2" t="inlineStr">
        <is>
          <t>Comunitat Valenciana; 2013T4 a 2019T4 (media de provincias no selladas, ponderada por población)</t>
        </is>
      </c>
      <c r="I50" s="2" t="inlineStr">
        <is>
          <t>C4</t>
        </is>
      </c>
      <c r="J50" s="2" t="inlineStr">
        <is>
          <t>NO ESTIMABLE</t>
        </is>
      </c>
      <c r="K50" s="2" t="inlineStr">
        <is>
          <t>rango</t>
        </is>
      </c>
      <c r="L50" s="6">
        <f>IF(AND(ISNUMBER(D50),ISNUMBER(E50)),E50-D50,"")</f>
        <v/>
      </c>
      <c r="M50" s="6">
        <f>IF(AND(ISNUMBER(D50),ISNUMBER(E50)),IF(AND(D50&lt;=0,E50&gt;=0),"sí","no"),"")</f>
        <v/>
      </c>
    </row>
    <row r="51">
      <c r="A51" s="2" t="inlineStr">
        <is>
          <t>V18-C5-2014T1-2019T4-10-NOEXPL-P</t>
        </is>
      </c>
      <c r="B51" s="2" t="inlineStr">
        <is>
          <t>Variación del precio real sin explicar, 2014T1-2019T4, Comunitat Valenciana</t>
        </is>
      </c>
      <c r="C51" s="2" t="n">
        <v>8.4771</v>
      </c>
      <c r="D51" s="2" t="n">
        <v>8.4771</v>
      </c>
      <c r="E51" s="2" t="n">
        <v>8.4771</v>
      </c>
      <c r="F51" s="2" t="inlineStr">
        <is>
          <t>pp (100·Δln)</t>
        </is>
      </c>
      <c r="G51" s="2" t="inlineStr">
        <is>
          <t>2014T1-2019T4</t>
        </is>
      </c>
      <c r="H51" s="2" t="inlineStr">
        <is>
          <t>Comunitat Valenciana; 2013T4 a 2019T4 (media de provincias no selladas, ponderada por población)</t>
        </is>
      </c>
      <c r="I51" s="2" t="inlineStr">
        <is>
          <t>C4</t>
        </is>
      </c>
      <c r="J51" s="2" t="inlineStr">
        <is>
          <t>NO ESTIMABLE</t>
        </is>
      </c>
      <c r="K51" s="2" t="inlineStr">
        <is>
          <t>rango</t>
        </is>
      </c>
      <c r="L51" s="6">
        <f>IF(AND(ISNUMBER(D51),ISNUMBER(E51)),E51-D51,"")</f>
        <v/>
      </c>
      <c r="M51" s="6">
        <f>IF(AND(ISNUMBER(D51),ISNUMBER(E51)),IF(AND(D51&lt;=0,E51&gt;=0),"sí","no"),"")</f>
        <v/>
      </c>
    </row>
    <row r="52">
      <c r="A52" s="2" t="inlineStr">
        <is>
          <t>V18-C5-2014T1-2019T4-11-NOEXPL-A</t>
        </is>
      </c>
      <c r="B52" s="2" t="inlineStr">
        <is>
          <t>Variación del alquiler real sin explicar, 2014T1-2019T4, Extremadura</t>
        </is>
      </c>
      <c r="C52" s="2" t="n">
        <v>-1.6009</v>
      </c>
      <c r="D52" s="2" t="n">
        <v>-1.6009</v>
      </c>
      <c r="E52" s="2" t="n">
        <v>-1.6009</v>
      </c>
      <c r="F52" s="2" t="inlineStr">
        <is>
          <t>pp (100·Δln)</t>
        </is>
      </c>
      <c r="G52" s="2" t="inlineStr">
        <is>
          <t>2014T1-2019T4</t>
        </is>
      </c>
      <c r="H52" s="2" t="inlineStr">
        <is>
          <t>Extremadura; 2013T4 a 2019T4 (media de provincias no selladas, ponderada por población)</t>
        </is>
      </c>
      <c r="I52" s="2" t="inlineStr">
        <is>
          <t>C4</t>
        </is>
      </c>
      <c r="J52" s="2" t="inlineStr">
        <is>
          <t>NO ESTIMABLE</t>
        </is>
      </c>
      <c r="K52" s="2" t="inlineStr">
        <is>
          <t>rango</t>
        </is>
      </c>
      <c r="L52" s="6">
        <f>IF(AND(ISNUMBER(D52),ISNUMBER(E52)),E52-D52,"")</f>
        <v/>
      </c>
      <c r="M52" s="6">
        <f>IF(AND(ISNUMBER(D52),ISNUMBER(E52)),IF(AND(D52&lt;=0,E52&gt;=0),"sí","no"),"")</f>
        <v/>
      </c>
    </row>
    <row r="53">
      <c r="A53" s="2" t="inlineStr">
        <is>
          <t>V18-C5-2014T1-2019T4-11-NOEXPL-P</t>
        </is>
      </c>
      <c r="B53" s="2" t="inlineStr">
        <is>
          <t>Variación del precio real sin explicar, 2014T1-2019T4, Extremadura</t>
        </is>
      </c>
      <c r="C53" s="2" t="n">
        <v>1.0008</v>
      </c>
      <c r="D53" s="2" t="n">
        <v>1.0008</v>
      </c>
      <c r="E53" s="2" t="n">
        <v>1.0008</v>
      </c>
      <c r="F53" s="2" t="inlineStr">
        <is>
          <t>pp (100·Δln)</t>
        </is>
      </c>
      <c r="G53" s="2" t="inlineStr">
        <is>
          <t>2014T1-2019T4</t>
        </is>
      </c>
      <c r="H53" s="2" t="inlineStr">
        <is>
          <t>Extremadura; 2013T4 a 2019T4 (media de provincias no selladas, ponderada por población)</t>
        </is>
      </c>
      <c r="I53" s="2" t="inlineStr">
        <is>
          <t>C4</t>
        </is>
      </c>
      <c r="J53" s="2" t="inlineStr">
        <is>
          <t>NO ESTIMABLE</t>
        </is>
      </c>
      <c r="K53" s="2" t="inlineStr">
        <is>
          <t>rango</t>
        </is>
      </c>
      <c r="L53" s="6">
        <f>IF(AND(ISNUMBER(D53),ISNUMBER(E53)),E53-D53,"")</f>
        <v/>
      </c>
      <c r="M53" s="6">
        <f>IF(AND(ISNUMBER(D53),ISNUMBER(E53)),IF(AND(D53&lt;=0,E53&gt;=0),"sí","no"),"")</f>
        <v/>
      </c>
    </row>
    <row r="54">
      <c r="A54" s="2" t="inlineStr">
        <is>
          <t>V18-C5-2014T1-2019T4-12-NOEXPL-A</t>
        </is>
      </c>
      <c r="B54" s="2" t="inlineStr">
        <is>
          <t>Variación del alquiler real sin explicar, 2014T1-2019T4, Galicia</t>
        </is>
      </c>
      <c r="C54" s="2" t="n">
        <v>1.8416</v>
      </c>
      <c r="D54" s="2" t="n">
        <v>1.8416</v>
      </c>
      <c r="E54" s="2" t="n">
        <v>1.8416</v>
      </c>
      <c r="F54" s="2" t="inlineStr">
        <is>
          <t>pp (100·Δln)</t>
        </is>
      </c>
      <c r="G54" s="2" t="inlineStr">
        <is>
          <t>2014T1-2019T4</t>
        </is>
      </c>
      <c r="H54" s="2" t="inlineStr">
        <is>
          <t>Galicia; 2013T4 a 2019T4 (media de provincias no selladas, ponderada por población)</t>
        </is>
      </c>
      <c r="I54" s="2" t="inlineStr">
        <is>
          <t>C4</t>
        </is>
      </c>
      <c r="J54" s="2" t="inlineStr">
        <is>
          <t>NO ESTIMABLE</t>
        </is>
      </c>
      <c r="K54" s="2" t="inlineStr">
        <is>
          <t>rango</t>
        </is>
      </c>
      <c r="L54" s="6">
        <f>IF(AND(ISNUMBER(D54),ISNUMBER(E54)),E54-D54,"")</f>
        <v/>
      </c>
      <c r="M54" s="6">
        <f>IF(AND(ISNUMBER(D54),ISNUMBER(E54)),IF(AND(D54&lt;=0,E54&gt;=0),"sí","no"),"")</f>
        <v/>
      </c>
    </row>
    <row r="55">
      <c r="A55" s="2" t="inlineStr">
        <is>
          <t>V18-C5-2014T1-2019T4-12-NOEXPL-P</t>
        </is>
      </c>
      <c r="B55" s="2" t="inlineStr">
        <is>
          <t>Variación del precio real sin explicar, 2014T1-2019T4, Galicia</t>
        </is>
      </c>
      <c r="C55" s="2" t="n">
        <v>0.8512</v>
      </c>
      <c r="D55" s="2" t="n">
        <v>0.8512</v>
      </c>
      <c r="E55" s="2" t="n">
        <v>0.8512</v>
      </c>
      <c r="F55" s="2" t="inlineStr">
        <is>
          <t>pp (100·Δln)</t>
        </is>
      </c>
      <c r="G55" s="2" t="inlineStr">
        <is>
          <t>2014T1-2019T4</t>
        </is>
      </c>
      <c r="H55" s="2" t="inlineStr">
        <is>
          <t>Galicia; 2013T4 a 2019T4 (media de provincias no selladas, ponderada por población)</t>
        </is>
      </c>
      <c r="I55" s="2" t="inlineStr">
        <is>
          <t>C4</t>
        </is>
      </c>
      <c r="J55" s="2" t="inlineStr">
        <is>
          <t>NO ESTIMABLE</t>
        </is>
      </c>
      <c r="K55" s="2" t="inlineStr">
        <is>
          <t>rango</t>
        </is>
      </c>
      <c r="L55" s="6">
        <f>IF(AND(ISNUMBER(D55),ISNUMBER(E55)),E55-D55,"")</f>
        <v/>
      </c>
      <c r="M55" s="6">
        <f>IF(AND(ISNUMBER(D55),ISNUMBER(E55)),IF(AND(D55&lt;=0,E55&gt;=0),"sí","no"),"")</f>
        <v/>
      </c>
    </row>
    <row r="56">
      <c r="A56" s="2" t="inlineStr">
        <is>
          <t>V18-C5-2014T1-2019T4-16-NOEXPL-A</t>
        </is>
      </c>
      <c r="B56" s="2" t="inlineStr">
        <is>
          <t>Variación del alquiler real sin explicar, 2014T1-2019T4, País Vasco</t>
        </is>
      </c>
      <c r="C56" s="2" t="n">
        <v>-0.4979</v>
      </c>
      <c r="D56" s="2" t="n">
        <v>-0.4979</v>
      </c>
      <c r="E56" s="2" t="n">
        <v>-0.4979</v>
      </c>
      <c r="F56" s="2" t="inlineStr">
        <is>
          <t>pp (100·Δln)</t>
        </is>
      </c>
      <c r="G56" s="2" t="inlineStr">
        <is>
          <t>2014T1-2019T4</t>
        </is>
      </c>
      <c r="H56" s="2" t="inlineStr">
        <is>
          <t>País Vasco; 2013T4 a 2019T4 (media de provincias no selladas, ponderada por población)</t>
        </is>
      </c>
      <c r="I56" s="2" t="inlineStr">
        <is>
          <t>C4</t>
        </is>
      </c>
      <c r="J56" s="2" t="inlineStr">
        <is>
          <t>NO ESTIMABLE</t>
        </is>
      </c>
      <c r="K56" s="2" t="inlineStr">
        <is>
          <t>rango</t>
        </is>
      </c>
      <c r="L56" s="6">
        <f>IF(AND(ISNUMBER(D56),ISNUMBER(E56)),E56-D56,"")</f>
        <v/>
      </c>
      <c r="M56" s="6">
        <f>IF(AND(ISNUMBER(D56),ISNUMBER(E56)),IF(AND(D56&lt;=0,E56&gt;=0),"sí","no"),"")</f>
        <v/>
      </c>
    </row>
    <row r="57">
      <c r="A57" s="2" t="inlineStr">
        <is>
          <t>V18-C5-2014T1-2019T4-16-NOEXPL-P</t>
        </is>
      </c>
      <c r="B57" s="2" t="inlineStr">
        <is>
          <t>Variación del precio real sin explicar, 2014T1-2019T4, País Vasco</t>
        </is>
      </c>
      <c r="C57" s="2" t="n">
        <v>-1.5786</v>
      </c>
      <c r="D57" s="2" t="n">
        <v>-1.5786</v>
      </c>
      <c r="E57" s="2" t="n">
        <v>-1.5786</v>
      </c>
      <c r="F57" s="2" t="inlineStr">
        <is>
          <t>pp (100·Δln)</t>
        </is>
      </c>
      <c r="G57" s="2" t="inlineStr">
        <is>
          <t>2014T1-2019T4</t>
        </is>
      </c>
      <c r="H57" s="2" t="inlineStr">
        <is>
          <t>País Vasco; 2013T4 a 2019T4 (media de provincias no selladas, ponderada por población)</t>
        </is>
      </c>
      <c r="I57" s="2" t="inlineStr">
        <is>
          <t>C4</t>
        </is>
      </c>
      <c r="J57" s="2" t="inlineStr">
        <is>
          <t>NO ESTIMABLE</t>
        </is>
      </c>
      <c r="K57" s="2" t="inlineStr">
        <is>
          <t>rango</t>
        </is>
      </c>
      <c r="L57" s="6">
        <f>IF(AND(ISNUMBER(D57),ISNUMBER(E57)),E57-D57,"")</f>
        <v/>
      </c>
      <c r="M57" s="6">
        <f>IF(AND(ISNUMBER(D57),ISNUMBER(E57)),IF(AND(D57&lt;=0,E57&gt;=0),"sí","no"),"")</f>
        <v/>
      </c>
    </row>
    <row r="58">
      <c r="A58" s="2" t="inlineStr">
        <is>
          <t>V18-C5-2020T1-2022T2-00-NOEXPL-A</t>
        </is>
      </c>
      <c r="B58" s="2" t="inlineStr">
        <is>
          <t>Variación del alquiler real sin explicar, 2020T1-2022T2, Nacional</t>
        </is>
      </c>
      <c r="C58" s="2" t="n">
        <v>-3.8382</v>
      </c>
      <c r="D58" s="2" t="n">
        <v>-3.8382</v>
      </c>
      <c r="E58" s="2" t="n">
        <v>-3.8382</v>
      </c>
      <c r="F58" s="2" t="inlineStr">
        <is>
          <t>pp (100·Δln)</t>
        </is>
      </c>
      <c r="G58" s="2" t="inlineStr">
        <is>
          <t>2020T1-2022T2</t>
        </is>
      </c>
      <c r="H58" s="2" t="inlineStr">
        <is>
          <t>Nacional; 2019T4 a 2022T2</t>
        </is>
      </c>
      <c r="I58" s="2" t="inlineStr">
        <is>
          <t>C4</t>
        </is>
      </c>
      <c r="J58" s="2" t="inlineStr">
        <is>
          <t>NO ESTIMABLE</t>
        </is>
      </c>
      <c r="K58" s="2" t="inlineStr">
        <is>
          <t>rango</t>
        </is>
      </c>
      <c r="L58" s="6">
        <f>IF(AND(ISNUMBER(D58),ISNUMBER(E58)),E58-D58,"")</f>
        <v/>
      </c>
      <c r="M58" s="6">
        <f>IF(AND(ISNUMBER(D58),ISNUMBER(E58)),IF(AND(D58&lt;=0,E58&gt;=0),"sí","no"),"")</f>
        <v/>
      </c>
    </row>
    <row r="59">
      <c r="A59" s="2" t="inlineStr">
        <is>
          <t>V18-C5-2020T1-2022T2-00-NOEXPL-P</t>
        </is>
      </c>
      <c r="B59" s="2" t="inlineStr">
        <is>
          <t>Variación del precio real sin explicar, 2020T1-2022T2, Nacional</t>
        </is>
      </c>
      <c r="C59" s="2" t="n">
        <v>-1.0475</v>
      </c>
      <c r="D59" s="2" t="n">
        <v>-1.0475</v>
      </c>
      <c r="E59" s="2" t="n">
        <v>-1.0475</v>
      </c>
      <c r="F59" s="2" t="inlineStr">
        <is>
          <t>pp (100·Δln)</t>
        </is>
      </c>
      <c r="G59" s="2" t="inlineStr">
        <is>
          <t>2020T1-2022T2</t>
        </is>
      </c>
      <c r="H59" s="2" t="inlineStr">
        <is>
          <t>Nacional; 2019T4 a 2022T2</t>
        </is>
      </c>
      <c r="I59" s="2" t="inlineStr">
        <is>
          <t>C4</t>
        </is>
      </c>
      <c r="J59" s="2" t="inlineStr">
        <is>
          <t>NO ESTIMABLE</t>
        </is>
      </c>
      <c r="K59" s="2" t="inlineStr">
        <is>
          <t>rango</t>
        </is>
      </c>
      <c r="L59" s="6">
        <f>IF(AND(ISNUMBER(D59),ISNUMBER(E59)),E59-D59,"")</f>
        <v/>
      </c>
      <c r="M59" s="6">
        <f>IF(AND(ISNUMBER(D59),ISNUMBER(E59)),IF(AND(D59&lt;=0,E59&gt;=0),"sí","no"),"")</f>
        <v/>
      </c>
    </row>
    <row r="60">
      <c r="A60" s="2" t="inlineStr">
        <is>
          <t>V18-C5-2020T1-2022T2-01-NOEXPL-A</t>
        </is>
      </c>
      <c r="B60" s="2" t="inlineStr">
        <is>
          <t>Variación del alquiler real sin explicar, 2020T1-2022T2, Andalucía</t>
        </is>
      </c>
      <c r="C60" s="2" t="n">
        <v>-0.104</v>
      </c>
      <c r="D60" s="2" t="n">
        <v>-0.104</v>
      </c>
      <c r="E60" s="2" t="n">
        <v>-0.104</v>
      </c>
      <c r="F60" s="2" t="inlineStr">
        <is>
          <t>pp (100·Δln)</t>
        </is>
      </c>
      <c r="G60" s="2" t="inlineStr">
        <is>
          <t>2020T1-2022T2</t>
        </is>
      </c>
      <c r="H60" s="2" t="inlineStr">
        <is>
          <t>Andalucía; 2019T4 a 2022T2 (media de provincias no selladas, ponderada por población)</t>
        </is>
      </c>
      <c r="I60" s="2" t="inlineStr">
        <is>
          <t>C4</t>
        </is>
      </c>
      <c r="J60" s="2" t="inlineStr">
        <is>
          <t>NO ESTIMABLE</t>
        </is>
      </c>
      <c r="K60" s="2" t="inlineStr">
        <is>
          <t>rango</t>
        </is>
      </c>
      <c r="L60" s="6">
        <f>IF(AND(ISNUMBER(D60),ISNUMBER(E60)),E60-D60,"")</f>
        <v/>
      </c>
      <c r="M60" s="6">
        <f>IF(AND(ISNUMBER(D60),ISNUMBER(E60)),IF(AND(D60&lt;=0,E60&gt;=0),"sí","no"),"")</f>
        <v/>
      </c>
    </row>
    <row r="61">
      <c r="A61" s="2" t="inlineStr">
        <is>
          <t>V18-C5-2020T1-2022T2-01-NOEXPL-P</t>
        </is>
      </c>
      <c r="B61" s="2" t="inlineStr">
        <is>
          <t>Variación del precio real sin explicar, 2020T1-2022T2, Andalucía</t>
        </is>
      </c>
      <c r="C61" s="2" t="n">
        <v>1.4772</v>
      </c>
      <c r="D61" s="2" t="n">
        <v>1.4772</v>
      </c>
      <c r="E61" s="2" t="n">
        <v>1.4772</v>
      </c>
      <c r="F61" s="2" t="inlineStr">
        <is>
          <t>pp (100·Δln)</t>
        </is>
      </c>
      <c r="G61" s="2" t="inlineStr">
        <is>
          <t>2020T1-2022T2</t>
        </is>
      </c>
      <c r="H61" s="2" t="inlineStr">
        <is>
          <t>Andalucía; 2019T4 a 2022T2 (media de provincias no selladas, ponderada por población)</t>
        </is>
      </c>
      <c r="I61" s="2" t="inlineStr">
        <is>
          <t>C4</t>
        </is>
      </c>
      <c r="J61" s="2" t="inlineStr">
        <is>
          <t>NO ESTIMABLE</t>
        </is>
      </c>
      <c r="K61" s="2" t="inlineStr">
        <is>
          <t>rango</t>
        </is>
      </c>
      <c r="L61" s="6">
        <f>IF(AND(ISNUMBER(D61),ISNUMBER(E61)),E61-D61,"")</f>
        <v/>
      </c>
      <c r="M61" s="6">
        <f>IF(AND(ISNUMBER(D61),ISNUMBER(E61)),IF(AND(D61&lt;=0,E61&gt;=0),"sí","no"),"")</f>
        <v/>
      </c>
    </row>
    <row r="62">
      <c r="A62" s="2" t="inlineStr">
        <is>
          <t>V18-C5-2020T1-2022T2-07-NOEXPL-A</t>
        </is>
      </c>
      <c r="B62" s="2" t="inlineStr">
        <is>
          <t>Variación del alquiler real sin explicar, 2020T1-2022T2, Castilla y León</t>
        </is>
      </c>
      <c r="C62" s="2" t="n">
        <v>-0.1059</v>
      </c>
      <c r="D62" s="2" t="n">
        <v>-0.1059</v>
      </c>
      <c r="E62" s="2" t="n">
        <v>-0.1059</v>
      </c>
      <c r="F62" s="2" t="inlineStr">
        <is>
          <t>pp (100·Δln)</t>
        </is>
      </c>
      <c r="G62" s="2" t="inlineStr">
        <is>
          <t>2020T1-2022T2</t>
        </is>
      </c>
      <c r="H62" s="2" t="inlineStr">
        <is>
          <t>Castilla y León; 2019T4 a 2022T2 (media de provincias no selladas, ponderada por población)</t>
        </is>
      </c>
      <c r="I62" s="2" t="inlineStr">
        <is>
          <t>C4</t>
        </is>
      </c>
      <c r="J62" s="2" t="inlineStr">
        <is>
          <t>NO ESTIMABLE</t>
        </is>
      </c>
      <c r="K62" s="2" t="inlineStr">
        <is>
          <t>rango</t>
        </is>
      </c>
      <c r="L62" s="6">
        <f>IF(AND(ISNUMBER(D62),ISNUMBER(E62)),E62-D62,"")</f>
        <v/>
      </c>
      <c r="M62" s="6">
        <f>IF(AND(ISNUMBER(D62),ISNUMBER(E62)),IF(AND(D62&lt;=0,E62&gt;=0),"sí","no"),"")</f>
        <v/>
      </c>
    </row>
    <row r="63">
      <c r="A63" s="2" t="inlineStr">
        <is>
          <t>V18-C5-2020T1-2022T2-07-NOEXPL-P</t>
        </is>
      </c>
      <c r="B63" s="2" t="inlineStr">
        <is>
          <t>Variación del precio real sin explicar, 2020T1-2022T2, Castilla y León</t>
        </is>
      </c>
      <c r="C63" s="2" t="n">
        <v>-1.8696</v>
      </c>
      <c r="D63" s="2" t="n">
        <v>-1.8696</v>
      </c>
      <c r="E63" s="2" t="n">
        <v>-1.8696</v>
      </c>
      <c r="F63" s="2" t="inlineStr">
        <is>
          <t>pp (100·Δln)</t>
        </is>
      </c>
      <c r="G63" s="2" t="inlineStr">
        <is>
          <t>2020T1-2022T2</t>
        </is>
      </c>
      <c r="H63" s="2" t="inlineStr">
        <is>
          <t>Castilla y León; 2019T4 a 2022T2 (media de provincias no selladas, ponderada por población)</t>
        </is>
      </c>
      <c r="I63" s="2" t="inlineStr">
        <is>
          <t>C4</t>
        </is>
      </c>
      <c r="J63" s="2" t="inlineStr">
        <is>
          <t>NO ESTIMABLE</t>
        </is>
      </c>
      <c r="K63" s="2" t="inlineStr">
        <is>
          <t>rango</t>
        </is>
      </c>
      <c r="L63" s="6">
        <f>IF(AND(ISNUMBER(D63),ISNUMBER(E63)),E63-D63,"")</f>
        <v/>
      </c>
      <c r="M63" s="6">
        <f>IF(AND(ISNUMBER(D63),ISNUMBER(E63)),IF(AND(D63&lt;=0,E63&gt;=0),"sí","no"),"")</f>
        <v/>
      </c>
    </row>
    <row r="64">
      <c r="A64" s="2" t="inlineStr">
        <is>
          <t>V18-C5-2020T1-2022T2-08-NOEXPL-A</t>
        </is>
      </c>
      <c r="B64" s="2" t="inlineStr">
        <is>
          <t>Variación del alquiler real sin explicar, 2020T1-2022T2, Castilla-La Mancha</t>
        </is>
      </c>
      <c r="C64" s="2" t="n">
        <v>-0.6756</v>
      </c>
      <c r="D64" s="2" t="n">
        <v>-0.6756</v>
      </c>
      <c r="E64" s="2" t="n">
        <v>-0.6756</v>
      </c>
      <c r="F64" s="2" t="inlineStr">
        <is>
          <t>pp (100·Δln)</t>
        </is>
      </c>
      <c r="G64" s="2" t="inlineStr">
        <is>
          <t>2020T1-2022T2</t>
        </is>
      </c>
      <c r="H64" s="2" t="inlineStr">
        <is>
          <t>Castilla-La Mancha; 2019T4 a 2022T2 (media de provincias no selladas, ponderada por población)</t>
        </is>
      </c>
      <c r="I64" s="2" t="inlineStr">
        <is>
          <t>C4</t>
        </is>
      </c>
      <c r="J64" s="2" t="inlineStr">
        <is>
          <t>NO ESTIMABLE</t>
        </is>
      </c>
      <c r="K64" s="2" t="inlineStr">
        <is>
          <t>rango</t>
        </is>
      </c>
      <c r="L64" s="6">
        <f>IF(AND(ISNUMBER(D64),ISNUMBER(E64)),E64-D64,"")</f>
        <v/>
      </c>
      <c r="M64" s="6">
        <f>IF(AND(ISNUMBER(D64),ISNUMBER(E64)),IF(AND(D64&lt;=0,E64&gt;=0),"sí","no"),"")</f>
        <v/>
      </c>
    </row>
    <row r="65">
      <c r="A65" s="2" t="inlineStr">
        <is>
          <t>V18-C5-2020T1-2022T2-08-NOEXPL-P</t>
        </is>
      </c>
      <c r="B65" s="2" t="inlineStr">
        <is>
          <t>Variación del precio real sin explicar, 2020T1-2022T2, Castilla-La Mancha</t>
        </is>
      </c>
      <c r="C65" s="2" t="n">
        <v>-0.7095</v>
      </c>
      <c r="D65" s="2" t="n">
        <v>-0.7095</v>
      </c>
      <c r="E65" s="2" t="n">
        <v>-0.7095</v>
      </c>
      <c r="F65" s="2" t="inlineStr">
        <is>
          <t>pp (100·Δln)</t>
        </is>
      </c>
      <c r="G65" s="2" t="inlineStr">
        <is>
          <t>2020T1-2022T2</t>
        </is>
      </c>
      <c r="H65" s="2" t="inlineStr">
        <is>
          <t>Castilla-La Mancha; 2019T4 a 2022T2 (media de provincias no selladas, ponderada por población)</t>
        </is>
      </c>
      <c r="I65" s="2" t="inlineStr">
        <is>
          <t>C4</t>
        </is>
      </c>
      <c r="J65" s="2" t="inlineStr">
        <is>
          <t>NO ESTIMABLE</t>
        </is>
      </c>
      <c r="K65" s="2" t="inlineStr">
        <is>
          <t>rango</t>
        </is>
      </c>
      <c r="L65" s="6">
        <f>IF(AND(ISNUMBER(D65),ISNUMBER(E65)),E65-D65,"")</f>
        <v/>
      </c>
      <c r="M65" s="6">
        <f>IF(AND(ISNUMBER(D65),ISNUMBER(E65)),IF(AND(D65&lt;=0,E65&gt;=0),"sí","no"),"")</f>
        <v/>
      </c>
    </row>
    <row r="66">
      <c r="A66" s="2" t="inlineStr">
        <is>
          <t>V18-C5-2020T1-2022T2-09-NOEXPL-A</t>
        </is>
      </c>
      <c r="B66" s="2" t="inlineStr">
        <is>
          <t>Variación del alquiler real sin explicar, 2020T1-2022T2, Cataluña</t>
        </is>
      </c>
      <c r="C66" s="2" t="n">
        <v>0.5779</v>
      </c>
      <c r="D66" s="2" t="n">
        <v>0.5779</v>
      </c>
      <c r="E66" s="2" t="n">
        <v>0.5779</v>
      </c>
      <c r="F66" s="2" t="inlineStr">
        <is>
          <t>pp (100·Δln)</t>
        </is>
      </c>
      <c r="G66" s="2" t="inlineStr">
        <is>
          <t>2020T1-2022T2</t>
        </is>
      </c>
      <c r="H66" s="2" t="inlineStr">
        <is>
          <t>Cataluña; 2019T4 a 2022T2 (media de provincias no selladas, ponderada por población)</t>
        </is>
      </c>
      <c r="I66" s="2" t="inlineStr">
        <is>
          <t>C4</t>
        </is>
      </c>
      <c r="J66" s="2" t="inlineStr">
        <is>
          <t>NO ESTIMABLE</t>
        </is>
      </c>
      <c r="K66" s="2" t="inlineStr">
        <is>
          <t>rango</t>
        </is>
      </c>
      <c r="L66" s="6">
        <f>IF(AND(ISNUMBER(D66),ISNUMBER(E66)),E66-D66,"")</f>
        <v/>
      </c>
      <c r="M66" s="6">
        <f>IF(AND(ISNUMBER(D66),ISNUMBER(E66)),IF(AND(D66&lt;=0,E66&gt;=0),"sí","no"),"")</f>
        <v/>
      </c>
    </row>
    <row r="67">
      <c r="A67" s="2" t="inlineStr">
        <is>
          <t>V18-C5-2020T1-2022T2-09-NOEXPL-P</t>
        </is>
      </c>
      <c r="B67" s="2" t="inlineStr">
        <is>
          <t>Variación del precio real sin explicar, 2020T1-2022T2, Cataluña</t>
        </is>
      </c>
      <c r="C67" s="2" t="n">
        <v>1.4181</v>
      </c>
      <c r="D67" s="2" t="n">
        <v>1.4181</v>
      </c>
      <c r="E67" s="2" t="n">
        <v>1.4181</v>
      </c>
      <c r="F67" s="2" t="inlineStr">
        <is>
          <t>pp (100·Δln)</t>
        </is>
      </c>
      <c r="G67" s="2" t="inlineStr">
        <is>
          <t>2020T1-2022T2</t>
        </is>
      </c>
      <c r="H67" s="2" t="inlineStr">
        <is>
          <t>Cataluña; 2019T4 a 2022T2 (media de provincias no selladas, ponderada por población)</t>
        </is>
      </c>
      <c r="I67" s="2" t="inlineStr">
        <is>
          <t>C4</t>
        </is>
      </c>
      <c r="J67" s="2" t="inlineStr">
        <is>
          <t>NO ESTIMABLE</t>
        </is>
      </c>
      <c r="K67" s="2" t="inlineStr">
        <is>
          <t>rango</t>
        </is>
      </c>
      <c r="L67" s="6">
        <f>IF(AND(ISNUMBER(D67),ISNUMBER(E67)),E67-D67,"")</f>
        <v/>
      </c>
      <c r="M67" s="6">
        <f>IF(AND(ISNUMBER(D67),ISNUMBER(E67)),IF(AND(D67&lt;=0,E67&gt;=0),"sí","no"),"")</f>
        <v/>
      </c>
    </row>
    <row r="68">
      <c r="A68" s="2" t="inlineStr">
        <is>
          <t>V18-C5-2020T1-2022T2-10-NOEXPL-A</t>
        </is>
      </c>
      <c r="B68" s="2" t="inlineStr">
        <is>
          <t>Variación del alquiler real sin explicar, 2020T1-2022T2, Comunitat Valenciana</t>
        </is>
      </c>
      <c r="C68" s="2" t="n">
        <v>0.7973</v>
      </c>
      <c r="D68" s="2" t="n">
        <v>0.7973</v>
      </c>
      <c r="E68" s="2" t="n">
        <v>0.7973</v>
      </c>
      <c r="F68" s="2" t="inlineStr">
        <is>
          <t>pp (100·Δln)</t>
        </is>
      </c>
      <c r="G68" s="2" t="inlineStr">
        <is>
          <t>2020T1-2022T2</t>
        </is>
      </c>
      <c r="H68" s="2" t="inlineStr">
        <is>
          <t>Comunitat Valenciana; 2019T4 a 2022T2 (media de provincias no selladas, ponderada por población)</t>
        </is>
      </c>
      <c r="I68" s="2" t="inlineStr">
        <is>
          <t>C4</t>
        </is>
      </c>
      <c r="J68" s="2" t="inlineStr">
        <is>
          <t>NO ESTIMABLE</t>
        </is>
      </c>
      <c r="K68" s="2" t="inlineStr">
        <is>
          <t>rango</t>
        </is>
      </c>
      <c r="L68" s="6">
        <f>IF(AND(ISNUMBER(D68),ISNUMBER(E68)),E68-D68,"")</f>
        <v/>
      </c>
      <c r="M68" s="6">
        <f>IF(AND(ISNUMBER(D68),ISNUMBER(E68)),IF(AND(D68&lt;=0,E68&gt;=0),"sí","no"),"")</f>
        <v/>
      </c>
    </row>
    <row r="69">
      <c r="A69" s="2" t="inlineStr">
        <is>
          <t>V18-C5-2020T1-2022T2-10-NOEXPL-P</t>
        </is>
      </c>
      <c r="B69" s="2" t="inlineStr">
        <is>
          <t>Variación del precio real sin explicar, 2020T1-2022T2, Comunitat Valenciana</t>
        </is>
      </c>
      <c r="C69" s="2" t="n">
        <v>3.5461</v>
      </c>
      <c r="D69" s="2" t="n">
        <v>3.5461</v>
      </c>
      <c r="E69" s="2" t="n">
        <v>3.5461</v>
      </c>
      <c r="F69" s="2" t="inlineStr">
        <is>
          <t>pp (100·Δln)</t>
        </is>
      </c>
      <c r="G69" s="2" t="inlineStr">
        <is>
          <t>2020T1-2022T2</t>
        </is>
      </c>
      <c r="H69" s="2" t="inlineStr">
        <is>
          <t>Comunitat Valenciana; 2019T4 a 2022T2 (media de provincias no selladas, ponderada por población)</t>
        </is>
      </c>
      <c r="I69" s="2" t="inlineStr">
        <is>
          <t>C4</t>
        </is>
      </c>
      <c r="J69" s="2" t="inlineStr">
        <is>
          <t>NO ESTIMABLE</t>
        </is>
      </c>
      <c r="K69" s="2" t="inlineStr">
        <is>
          <t>rango</t>
        </is>
      </c>
      <c r="L69" s="6">
        <f>IF(AND(ISNUMBER(D69),ISNUMBER(E69)),E69-D69,"")</f>
        <v/>
      </c>
      <c r="M69" s="6">
        <f>IF(AND(ISNUMBER(D69),ISNUMBER(E69)),IF(AND(D69&lt;=0,E69&gt;=0),"sí","no"),"")</f>
        <v/>
      </c>
    </row>
    <row r="70">
      <c r="A70" s="2" t="inlineStr">
        <is>
          <t>V18-C5-2020T1-2022T2-11-NOEXPL-A</t>
        </is>
      </c>
      <c r="B70" s="2" t="inlineStr">
        <is>
          <t>Variación del alquiler real sin explicar, 2020T1-2022T2, Extremadura</t>
        </is>
      </c>
      <c r="C70" s="2" t="n">
        <v>-0.1659</v>
      </c>
      <c r="D70" s="2" t="n">
        <v>-0.1659</v>
      </c>
      <c r="E70" s="2" t="n">
        <v>-0.1659</v>
      </c>
      <c r="F70" s="2" t="inlineStr">
        <is>
          <t>pp (100·Δln)</t>
        </is>
      </c>
      <c r="G70" s="2" t="inlineStr">
        <is>
          <t>2020T1-2022T2</t>
        </is>
      </c>
      <c r="H70" s="2" t="inlineStr">
        <is>
          <t>Extremadura; 2019T4 a 2022T2 (media de provincias no selladas, ponderada por población)</t>
        </is>
      </c>
      <c r="I70" s="2" t="inlineStr">
        <is>
          <t>C4</t>
        </is>
      </c>
      <c r="J70" s="2" t="inlineStr">
        <is>
          <t>NO ESTIMABLE</t>
        </is>
      </c>
      <c r="K70" s="2" t="inlineStr">
        <is>
          <t>rango</t>
        </is>
      </c>
      <c r="L70" s="6">
        <f>IF(AND(ISNUMBER(D70),ISNUMBER(E70)),E70-D70,"")</f>
        <v/>
      </c>
      <c r="M70" s="6">
        <f>IF(AND(ISNUMBER(D70),ISNUMBER(E70)),IF(AND(D70&lt;=0,E70&gt;=0),"sí","no"),"")</f>
        <v/>
      </c>
    </row>
    <row r="71">
      <c r="A71" s="2" t="inlineStr">
        <is>
          <t>V18-C5-2020T1-2022T2-11-NOEXPL-P</t>
        </is>
      </c>
      <c r="B71" s="2" t="inlineStr">
        <is>
          <t>Variación del precio real sin explicar, 2020T1-2022T2, Extremadura</t>
        </is>
      </c>
      <c r="C71" s="2" t="n">
        <v>-1.2008</v>
      </c>
      <c r="D71" s="2" t="n">
        <v>-1.2008</v>
      </c>
      <c r="E71" s="2" t="n">
        <v>-1.2008</v>
      </c>
      <c r="F71" s="2" t="inlineStr">
        <is>
          <t>pp (100·Δln)</t>
        </is>
      </c>
      <c r="G71" s="2" t="inlineStr">
        <is>
          <t>2020T1-2022T2</t>
        </is>
      </c>
      <c r="H71" s="2" t="inlineStr">
        <is>
          <t>Extremadura; 2019T4 a 2022T2 (media de provincias no selladas, ponderada por población)</t>
        </is>
      </c>
      <c r="I71" s="2" t="inlineStr">
        <is>
          <t>C4</t>
        </is>
      </c>
      <c r="J71" s="2" t="inlineStr">
        <is>
          <t>NO ESTIMABLE</t>
        </is>
      </c>
      <c r="K71" s="2" t="inlineStr">
        <is>
          <t>rango</t>
        </is>
      </c>
      <c r="L71" s="6">
        <f>IF(AND(ISNUMBER(D71),ISNUMBER(E71)),E71-D71,"")</f>
        <v/>
      </c>
      <c r="M71" s="6">
        <f>IF(AND(ISNUMBER(D71),ISNUMBER(E71)),IF(AND(D71&lt;=0,E71&gt;=0),"sí","no"),"")</f>
        <v/>
      </c>
    </row>
    <row r="72">
      <c r="A72" s="2" t="inlineStr">
        <is>
          <t>V18-C5-2020T1-2022T2-12-NOEXPL-A</t>
        </is>
      </c>
      <c r="B72" s="2" t="inlineStr">
        <is>
          <t>Variación del alquiler real sin explicar, 2020T1-2022T2, Galicia</t>
        </is>
      </c>
      <c r="C72" s="2" t="n">
        <v>0.2403</v>
      </c>
      <c r="D72" s="2" t="n">
        <v>0.2403</v>
      </c>
      <c r="E72" s="2" t="n">
        <v>0.2403</v>
      </c>
      <c r="F72" s="2" t="inlineStr">
        <is>
          <t>pp (100·Δln)</t>
        </is>
      </c>
      <c r="G72" s="2" t="inlineStr">
        <is>
          <t>2020T1-2022T2</t>
        </is>
      </c>
      <c r="H72" s="2" t="inlineStr">
        <is>
          <t>Galicia; 2019T4 a 2022T2 (media de provincias no selladas, ponderada por población)</t>
        </is>
      </c>
      <c r="I72" s="2" t="inlineStr">
        <is>
          <t>C4</t>
        </is>
      </c>
      <c r="J72" s="2" t="inlineStr">
        <is>
          <t>NO ESTIMABLE</t>
        </is>
      </c>
      <c r="K72" s="2" t="inlineStr">
        <is>
          <t>rango</t>
        </is>
      </c>
      <c r="L72" s="6">
        <f>IF(AND(ISNUMBER(D72),ISNUMBER(E72)),E72-D72,"")</f>
        <v/>
      </c>
      <c r="M72" s="6">
        <f>IF(AND(ISNUMBER(D72),ISNUMBER(E72)),IF(AND(D72&lt;=0,E72&gt;=0),"sí","no"),"")</f>
        <v/>
      </c>
    </row>
    <row r="73">
      <c r="A73" s="2" t="inlineStr">
        <is>
          <t>V18-C5-2020T1-2022T2-12-NOEXPL-P</t>
        </is>
      </c>
      <c r="B73" s="2" t="inlineStr">
        <is>
          <t>Variación del precio real sin explicar, 2020T1-2022T2, Galicia</t>
        </is>
      </c>
      <c r="C73" s="2" t="n">
        <v>1.659</v>
      </c>
      <c r="D73" s="2" t="n">
        <v>1.659</v>
      </c>
      <c r="E73" s="2" t="n">
        <v>1.659</v>
      </c>
      <c r="F73" s="2" t="inlineStr">
        <is>
          <t>pp (100·Δln)</t>
        </is>
      </c>
      <c r="G73" s="2" t="inlineStr">
        <is>
          <t>2020T1-2022T2</t>
        </is>
      </c>
      <c r="H73" s="2" t="inlineStr">
        <is>
          <t>Galicia; 2019T4 a 2022T2 (media de provincias no selladas, ponderada por población)</t>
        </is>
      </c>
      <c r="I73" s="2" t="inlineStr">
        <is>
          <t>C4</t>
        </is>
      </c>
      <c r="J73" s="2" t="inlineStr">
        <is>
          <t>NO ESTIMABLE</t>
        </is>
      </c>
      <c r="K73" s="2" t="inlineStr">
        <is>
          <t>rango</t>
        </is>
      </c>
      <c r="L73" s="6">
        <f>IF(AND(ISNUMBER(D73),ISNUMBER(E73)),E73-D73,"")</f>
        <v/>
      </c>
      <c r="M73" s="6">
        <f>IF(AND(ISNUMBER(D73),ISNUMBER(E73)),IF(AND(D73&lt;=0,E73&gt;=0),"sí","no"),"")</f>
        <v/>
      </c>
    </row>
    <row r="74">
      <c r="A74" s="2" t="inlineStr">
        <is>
          <t>V18-C5-2020T1-2022T2-16-NOEXPL-A</t>
        </is>
      </c>
      <c r="B74" s="2" t="inlineStr">
        <is>
          <t>Variación del alquiler real sin explicar, 2020T1-2022T2, País Vasco</t>
        </is>
      </c>
      <c r="C74" s="2" t="n">
        <v>0.3793</v>
      </c>
      <c r="D74" s="2" t="n">
        <v>0.3793</v>
      </c>
      <c r="E74" s="2" t="n">
        <v>0.3793</v>
      </c>
      <c r="F74" s="2" t="inlineStr">
        <is>
          <t>pp (100·Δln)</t>
        </is>
      </c>
      <c r="G74" s="2" t="inlineStr">
        <is>
          <t>2020T1-2022T2</t>
        </is>
      </c>
      <c r="H74" s="2" t="inlineStr">
        <is>
          <t>País Vasco; 2019T4 a 2022T2 (media de provincias no selladas, ponderada por población)</t>
        </is>
      </c>
      <c r="I74" s="2" t="inlineStr">
        <is>
          <t>C4</t>
        </is>
      </c>
      <c r="J74" s="2" t="inlineStr">
        <is>
          <t>NO ESTIMABLE</t>
        </is>
      </c>
      <c r="K74" s="2" t="inlineStr">
        <is>
          <t>rango</t>
        </is>
      </c>
      <c r="L74" s="6">
        <f>IF(AND(ISNUMBER(D74),ISNUMBER(E74)),E74-D74,"")</f>
        <v/>
      </c>
      <c r="M74" s="6">
        <f>IF(AND(ISNUMBER(D74),ISNUMBER(E74)),IF(AND(D74&lt;=0,E74&gt;=0),"sí","no"),"")</f>
        <v/>
      </c>
    </row>
    <row r="75">
      <c r="A75" s="2" t="inlineStr">
        <is>
          <t>V18-C5-2020T1-2022T2-16-NOEXPL-P</t>
        </is>
      </c>
      <c r="B75" s="2" t="inlineStr">
        <is>
          <t>Variación del precio real sin explicar, 2020T1-2022T2, País Vasco</t>
        </is>
      </c>
      <c r="C75" s="2" t="n">
        <v>-0.1682</v>
      </c>
      <c r="D75" s="2" t="n">
        <v>-0.1682</v>
      </c>
      <c r="E75" s="2" t="n">
        <v>-0.1682</v>
      </c>
      <c r="F75" s="2" t="inlineStr">
        <is>
          <t>pp (100·Δln)</t>
        </is>
      </c>
      <c r="G75" s="2" t="inlineStr">
        <is>
          <t>2020T1-2022T2</t>
        </is>
      </c>
      <c r="H75" s="2" t="inlineStr">
        <is>
          <t>País Vasco; 2019T4 a 2022T2 (media de provincias no selladas, ponderada por población)</t>
        </is>
      </c>
      <c r="I75" s="2" t="inlineStr">
        <is>
          <t>C4</t>
        </is>
      </c>
      <c r="J75" s="2" t="inlineStr">
        <is>
          <t>NO ESTIMABLE</t>
        </is>
      </c>
      <c r="K75" s="2" t="inlineStr">
        <is>
          <t>rango</t>
        </is>
      </c>
      <c r="L75" s="6">
        <f>IF(AND(ISNUMBER(D75),ISNUMBER(E75)),E75-D75,"")</f>
        <v/>
      </c>
      <c r="M75" s="6">
        <f>IF(AND(ISNUMBER(D75),ISNUMBER(E75)),IF(AND(D75&lt;=0,E75&gt;=0),"sí","no"),"")</f>
        <v/>
      </c>
    </row>
    <row r="76">
      <c r="A76" s="2" t="inlineStr">
        <is>
          <t>V18-C5-2022T3-2026T2-00-NOEXPL-A</t>
        </is>
      </c>
      <c r="B76" s="2" t="inlineStr">
        <is>
          <t>Variación del alquiler real sin explicar, 2022T3-2026T2, Nacional</t>
        </is>
      </c>
      <c r="C76" s="2" t="n">
        <v>-6.3556</v>
      </c>
      <c r="D76" s="2" t="n">
        <v>-6.3556</v>
      </c>
      <c r="E76" s="2" t="n">
        <v>-6.3556</v>
      </c>
      <c r="F76" s="2" t="inlineStr">
        <is>
          <t>pp (100·Δln)</t>
        </is>
      </c>
      <c r="G76" s="2" t="inlineStr">
        <is>
          <t>2022T3-2026T2</t>
        </is>
      </c>
      <c r="H76" s="2" t="inlineStr">
        <is>
          <t>Nacional; 2022T2 a 2026T2</t>
        </is>
      </c>
      <c r="I76" s="2" t="inlineStr">
        <is>
          <t>C4</t>
        </is>
      </c>
      <c r="J76" s="2" t="inlineStr">
        <is>
          <t>NO ESTIMABLE</t>
        </is>
      </c>
      <c r="K76" s="2" t="inlineStr">
        <is>
          <t>rango</t>
        </is>
      </c>
      <c r="L76" s="6">
        <f>IF(AND(ISNUMBER(D76),ISNUMBER(E76)),E76-D76,"")</f>
        <v/>
      </c>
      <c r="M76" s="6">
        <f>IF(AND(ISNUMBER(D76),ISNUMBER(E76)),IF(AND(D76&lt;=0,E76&gt;=0),"sí","no"),"")</f>
        <v/>
      </c>
    </row>
    <row r="77">
      <c r="A77" s="2" t="inlineStr">
        <is>
          <t>V18-C5-2022T3-2026T2-00-NOEXPL-P</t>
        </is>
      </c>
      <c r="B77" s="2" t="inlineStr">
        <is>
          <t>Variación del precio real sin explicar, 2022T3-2026T2, Nacional</t>
        </is>
      </c>
      <c r="C77" s="2" t="n">
        <v>14.8744</v>
      </c>
      <c r="D77" s="2" t="n">
        <v>14.8744</v>
      </c>
      <c r="E77" s="2" t="n">
        <v>14.8744</v>
      </c>
      <c r="F77" s="2" t="inlineStr">
        <is>
          <t>pp (100·Δln)</t>
        </is>
      </c>
      <c r="G77" s="2" t="inlineStr">
        <is>
          <t>2022T3-2026T2</t>
        </is>
      </c>
      <c r="H77" s="2" t="inlineStr">
        <is>
          <t>Nacional; 2022T2 a 2026T2</t>
        </is>
      </c>
      <c r="I77" s="2" t="inlineStr">
        <is>
          <t>C4</t>
        </is>
      </c>
      <c r="J77" s="2" t="inlineStr">
        <is>
          <t>NO ESTIMABLE</t>
        </is>
      </c>
      <c r="K77" s="2" t="inlineStr">
        <is>
          <t>rango</t>
        </is>
      </c>
      <c r="L77" s="6">
        <f>IF(AND(ISNUMBER(D77),ISNUMBER(E77)),E77-D77,"")</f>
        <v/>
      </c>
      <c r="M77" s="6">
        <f>IF(AND(ISNUMBER(D77),ISNUMBER(E77)),IF(AND(D77&lt;=0,E77&gt;=0),"sí","no"),"")</f>
        <v/>
      </c>
    </row>
    <row r="78">
      <c r="A78" s="2" t="inlineStr">
        <is>
          <t>V18-C5-2022T3-2026T2-01-NOEXPL-A</t>
        </is>
      </c>
      <c r="B78" s="2" t="inlineStr">
        <is>
          <t>Variación del alquiler real sin explicar, 2022T3-2026T2, Andalucía</t>
        </is>
      </c>
      <c r="C78" s="2" t="n">
        <v>1.1401</v>
      </c>
      <c r="D78" s="2" t="n">
        <v>1.1401</v>
      </c>
      <c r="E78" s="2" t="n">
        <v>1.1401</v>
      </c>
      <c r="F78" s="2" t="inlineStr">
        <is>
          <t>pp (100·Δln)</t>
        </is>
      </c>
      <c r="G78" s="2" t="inlineStr">
        <is>
          <t>2022T3-2026T2</t>
        </is>
      </c>
      <c r="H78" s="2" t="inlineStr">
        <is>
          <t>Andalucía; 2022T2 a 2026T2 (media de provincias no selladas, ponderada por población)</t>
        </is>
      </c>
      <c r="I78" s="2" t="inlineStr">
        <is>
          <t>C4</t>
        </is>
      </c>
      <c r="J78" s="2" t="inlineStr">
        <is>
          <t>NO ESTIMABLE</t>
        </is>
      </c>
      <c r="K78" s="2" t="inlineStr">
        <is>
          <t>rango</t>
        </is>
      </c>
      <c r="L78" s="6">
        <f>IF(AND(ISNUMBER(D78),ISNUMBER(E78)),E78-D78,"")</f>
        <v/>
      </c>
      <c r="M78" s="6">
        <f>IF(AND(ISNUMBER(D78),ISNUMBER(E78)),IF(AND(D78&lt;=0,E78&gt;=0),"sí","no"),"")</f>
        <v/>
      </c>
    </row>
    <row r="79">
      <c r="A79" s="2" t="inlineStr">
        <is>
          <t>V18-C5-2022T3-2026T2-01-NOEXPL-P</t>
        </is>
      </c>
      <c r="B79" s="2" t="inlineStr">
        <is>
          <t>Variación del precio real sin explicar, 2022T3-2026T2, Andalucía</t>
        </is>
      </c>
      <c r="C79" s="2" t="n">
        <v>5.1872</v>
      </c>
      <c r="D79" s="2" t="n">
        <v>5.1872</v>
      </c>
      <c r="E79" s="2" t="n">
        <v>5.1872</v>
      </c>
      <c r="F79" s="2" t="inlineStr">
        <is>
          <t>pp (100·Δln)</t>
        </is>
      </c>
      <c r="G79" s="2" t="inlineStr">
        <is>
          <t>2022T3-2026T2</t>
        </is>
      </c>
      <c r="H79" s="2" t="inlineStr">
        <is>
          <t>Andalucía; 2022T2 a 2026T2 (media de provincias no selladas, ponderada por población)</t>
        </is>
      </c>
      <c r="I79" s="2" t="inlineStr">
        <is>
          <t>C4</t>
        </is>
      </c>
      <c r="J79" s="2" t="inlineStr">
        <is>
          <t>NO ESTIMABLE</t>
        </is>
      </c>
      <c r="K79" s="2" t="inlineStr">
        <is>
          <t>rango</t>
        </is>
      </c>
      <c r="L79" s="6">
        <f>IF(AND(ISNUMBER(D79),ISNUMBER(E79)),E79-D79,"")</f>
        <v/>
      </c>
      <c r="M79" s="6">
        <f>IF(AND(ISNUMBER(D79),ISNUMBER(E79)),IF(AND(D79&lt;=0,E79&gt;=0),"sí","no"),"")</f>
        <v/>
      </c>
    </row>
    <row r="80">
      <c r="A80" s="2" t="inlineStr">
        <is>
          <t>V18-C5-2022T3-2026T2-07-NOEXPL-A</t>
        </is>
      </c>
      <c r="B80" s="2" t="inlineStr">
        <is>
          <t>Variación del alquiler real sin explicar, 2022T3-2026T2, Castilla y León</t>
        </is>
      </c>
      <c r="C80" s="2" t="n">
        <v>-0.6044</v>
      </c>
      <c r="D80" s="2" t="n">
        <v>-0.6044</v>
      </c>
      <c r="E80" s="2" t="n">
        <v>-0.6044</v>
      </c>
      <c r="F80" s="2" t="inlineStr">
        <is>
          <t>pp (100·Δln)</t>
        </is>
      </c>
      <c r="G80" s="2" t="inlineStr">
        <is>
          <t>2022T3-2026T2</t>
        </is>
      </c>
      <c r="H80" s="2" t="inlineStr">
        <is>
          <t>Castilla y León; 2022T2 a 2026T2 (media de provincias no selladas, ponderada por población)</t>
        </is>
      </c>
      <c r="I80" s="2" t="inlineStr">
        <is>
          <t>C4</t>
        </is>
      </c>
      <c r="J80" s="2" t="inlineStr">
        <is>
          <t>NO ESTIMABLE</t>
        </is>
      </c>
      <c r="K80" s="2" t="inlineStr">
        <is>
          <t>rango</t>
        </is>
      </c>
      <c r="L80" s="6">
        <f>IF(AND(ISNUMBER(D80),ISNUMBER(E80)),E80-D80,"")</f>
        <v/>
      </c>
      <c r="M80" s="6">
        <f>IF(AND(ISNUMBER(D80),ISNUMBER(E80)),IF(AND(D80&lt;=0,E80&gt;=0),"sí","no"),"")</f>
        <v/>
      </c>
    </row>
    <row r="81">
      <c r="A81" s="2" t="inlineStr">
        <is>
          <t>V18-C5-2022T3-2026T2-07-NOEXPL-P</t>
        </is>
      </c>
      <c r="B81" s="2" t="inlineStr">
        <is>
          <t>Variación del precio real sin explicar, 2022T3-2026T2, Castilla y León</t>
        </is>
      </c>
      <c r="C81" s="2" t="n">
        <v>-0.9864000000000001</v>
      </c>
      <c r="D81" s="2" t="n">
        <v>-0.9864000000000001</v>
      </c>
      <c r="E81" s="2" t="n">
        <v>-0.9864000000000001</v>
      </c>
      <c r="F81" s="2" t="inlineStr">
        <is>
          <t>pp (100·Δln)</t>
        </is>
      </c>
      <c r="G81" s="2" t="inlineStr">
        <is>
          <t>2022T3-2026T2</t>
        </is>
      </c>
      <c r="H81" s="2" t="inlineStr">
        <is>
          <t>Castilla y León; 2022T2 a 2026T2 (media de provincias no selladas, ponderada por población)</t>
        </is>
      </c>
      <c r="I81" s="2" t="inlineStr">
        <is>
          <t>C4</t>
        </is>
      </c>
      <c r="J81" s="2" t="inlineStr">
        <is>
          <t>NO ESTIMABLE</t>
        </is>
      </c>
      <c r="K81" s="2" t="inlineStr">
        <is>
          <t>rango</t>
        </is>
      </c>
      <c r="L81" s="6">
        <f>IF(AND(ISNUMBER(D81),ISNUMBER(E81)),E81-D81,"")</f>
        <v/>
      </c>
      <c r="M81" s="6">
        <f>IF(AND(ISNUMBER(D81),ISNUMBER(E81)),IF(AND(D81&lt;=0,E81&gt;=0),"sí","no"),"")</f>
        <v/>
      </c>
    </row>
    <row r="82">
      <c r="A82" s="2" t="inlineStr">
        <is>
          <t>V18-C5-2022T3-2026T2-08-NOEXPL-A</t>
        </is>
      </c>
      <c r="B82" s="2" t="inlineStr">
        <is>
          <t>Variación del alquiler real sin explicar, 2022T3-2026T2, Castilla-La Mancha</t>
        </is>
      </c>
      <c r="C82" s="2" t="n">
        <v>0.7481</v>
      </c>
      <c r="D82" s="2" t="n">
        <v>0.7481</v>
      </c>
      <c r="E82" s="2" t="n">
        <v>0.7481</v>
      </c>
      <c r="F82" s="2" t="inlineStr">
        <is>
          <t>pp (100·Δln)</t>
        </is>
      </c>
      <c r="G82" s="2" t="inlineStr">
        <is>
          <t>2022T3-2026T2</t>
        </is>
      </c>
      <c r="H82" s="2" t="inlineStr">
        <is>
          <t>Castilla-La Mancha; 2022T2 a 2026T2 (media de provincias no selladas, ponderada por población)</t>
        </is>
      </c>
      <c r="I82" s="2" t="inlineStr">
        <is>
          <t>C4</t>
        </is>
      </c>
      <c r="J82" s="2" t="inlineStr">
        <is>
          <t>NO ESTIMABLE</t>
        </is>
      </c>
      <c r="K82" s="2" t="inlineStr">
        <is>
          <t>rango</t>
        </is>
      </c>
      <c r="L82" s="6">
        <f>IF(AND(ISNUMBER(D82),ISNUMBER(E82)),E82-D82,"")</f>
        <v/>
      </c>
      <c r="M82" s="6">
        <f>IF(AND(ISNUMBER(D82),ISNUMBER(E82)),IF(AND(D82&lt;=0,E82&gt;=0),"sí","no"),"")</f>
        <v/>
      </c>
    </row>
    <row r="83">
      <c r="A83" s="2" t="inlineStr">
        <is>
          <t>V18-C5-2022T3-2026T2-08-NOEXPL-P</t>
        </is>
      </c>
      <c r="B83" s="2" t="inlineStr">
        <is>
          <t>Variación del precio real sin explicar, 2022T3-2026T2, Castilla-La Mancha</t>
        </is>
      </c>
      <c r="C83" s="2" t="n">
        <v>2.0233</v>
      </c>
      <c r="D83" s="2" t="n">
        <v>2.0233</v>
      </c>
      <c r="E83" s="2" t="n">
        <v>2.0233</v>
      </c>
      <c r="F83" s="2" t="inlineStr">
        <is>
          <t>pp (100·Δln)</t>
        </is>
      </c>
      <c r="G83" s="2" t="inlineStr">
        <is>
          <t>2022T3-2026T2</t>
        </is>
      </c>
      <c r="H83" s="2" t="inlineStr">
        <is>
          <t>Castilla-La Mancha; 2022T2 a 2026T2 (media de provincias no selladas, ponderada por población)</t>
        </is>
      </c>
      <c r="I83" s="2" t="inlineStr">
        <is>
          <t>C4</t>
        </is>
      </c>
      <c r="J83" s="2" t="inlineStr">
        <is>
          <t>NO ESTIMABLE</t>
        </is>
      </c>
      <c r="K83" s="2" t="inlineStr">
        <is>
          <t>rango</t>
        </is>
      </c>
      <c r="L83" s="6">
        <f>IF(AND(ISNUMBER(D83),ISNUMBER(E83)),E83-D83,"")</f>
        <v/>
      </c>
      <c r="M83" s="6">
        <f>IF(AND(ISNUMBER(D83),ISNUMBER(E83)),IF(AND(D83&lt;=0,E83&gt;=0),"sí","no"),"")</f>
        <v/>
      </c>
    </row>
    <row r="84">
      <c r="A84" s="2" t="inlineStr">
        <is>
          <t>V18-C5-2022T3-2026T2-09-NOEXPL-A</t>
        </is>
      </c>
      <c r="B84" s="2" t="inlineStr">
        <is>
          <t>Variación del alquiler real sin explicar, 2022T3-2026T2, Cataluña</t>
        </is>
      </c>
      <c r="C84" s="2" t="n">
        <v>-1.6972</v>
      </c>
      <c r="D84" s="2" t="n">
        <v>-1.6972</v>
      </c>
      <c r="E84" s="2" t="n">
        <v>-1.6972</v>
      </c>
      <c r="F84" s="2" t="inlineStr">
        <is>
          <t>pp (100·Δln)</t>
        </is>
      </c>
      <c r="G84" s="2" t="inlineStr">
        <is>
          <t>2022T3-2026T2</t>
        </is>
      </c>
      <c r="H84" s="2" t="inlineStr">
        <is>
          <t>Cataluña; 2022T2 a 2026T2 (media de provincias no selladas, ponderada por población)</t>
        </is>
      </c>
      <c r="I84" s="2" t="inlineStr">
        <is>
          <t>C4</t>
        </is>
      </c>
      <c r="J84" s="2" t="inlineStr">
        <is>
          <t>NO ESTIMABLE</t>
        </is>
      </c>
      <c r="K84" s="2" t="inlineStr">
        <is>
          <t>rango</t>
        </is>
      </c>
      <c r="L84" s="6">
        <f>IF(AND(ISNUMBER(D84),ISNUMBER(E84)),E84-D84,"")</f>
        <v/>
      </c>
      <c r="M84" s="6">
        <f>IF(AND(ISNUMBER(D84),ISNUMBER(E84)),IF(AND(D84&lt;=0,E84&gt;=0),"sí","no"),"")</f>
        <v/>
      </c>
    </row>
    <row r="85">
      <c r="A85" s="2" t="inlineStr">
        <is>
          <t>V18-C5-2022T3-2026T2-09-NOEXPL-P</t>
        </is>
      </c>
      <c r="B85" s="2" t="inlineStr">
        <is>
          <t>Variación del precio real sin explicar, 2022T3-2026T2, Cataluña</t>
        </is>
      </c>
      <c r="C85" s="2" t="n">
        <v>-1.5722</v>
      </c>
      <c r="D85" s="2" t="n">
        <v>-1.5722</v>
      </c>
      <c r="E85" s="2" t="n">
        <v>-1.5722</v>
      </c>
      <c r="F85" s="2" t="inlineStr">
        <is>
          <t>pp (100·Δln)</t>
        </is>
      </c>
      <c r="G85" s="2" t="inlineStr">
        <is>
          <t>2022T3-2026T2</t>
        </is>
      </c>
      <c r="H85" s="2" t="inlineStr">
        <is>
          <t>Cataluña; 2022T2 a 2026T2 (media de provincias no selladas, ponderada por población)</t>
        </is>
      </c>
      <c r="I85" s="2" t="inlineStr">
        <is>
          <t>C4</t>
        </is>
      </c>
      <c r="J85" s="2" t="inlineStr">
        <is>
          <t>NO ESTIMABLE</t>
        </is>
      </c>
      <c r="K85" s="2" t="inlineStr">
        <is>
          <t>rango</t>
        </is>
      </c>
      <c r="L85" s="6">
        <f>IF(AND(ISNUMBER(D85),ISNUMBER(E85)),E85-D85,"")</f>
        <v/>
      </c>
      <c r="M85" s="6">
        <f>IF(AND(ISNUMBER(D85),ISNUMBER(E85)),IF(AND(D85&lt;=0,E85&gt;=0),"sí","no"),"")</f>
        <v/>
      </c>
    </row>
    <row r="86">
      <c r="A86" s="2" t="inlineStr">
        <is>
          <t>V18-C5-2022T3-2026T2-10-NOEXPL-A</t>
        </is>
      </c>
      <c r="B86" s="2" t="inlineStr">
        <is>
          <t>Variación del alquiler real sin explicar, 2022T3-2026T2, Comunitat Valenciana</t>
        </is>
      </c>
      <c r="C86" s="2" t="n">
        <v>3.8451</v>
      </c>
      <c r="D86" s="2" t="n">
        <v>3.8451</v>
      </c>
      <c r="E86" s="2" t="n">
        <v>3.8451</v>
      </c>
      <c r="F86" s="2" t="inlineStr">
        <is>
          <t>pp (100·Δln)</t>
        </is>
      </c>
      <c r="G86" s="2" t="inlineStr">
        <is>
          <t>2022T3-2026T2</t>
        </is>
      </c>
      <c r="H86" s="2" t="inlineStr">
        <is>
          <t>Comunitat Valenciana; 2022T2 a 2026T2 (media de provincias no selladas, ponderada por población)</t>
        </is>
      </c>
      <c r="I86" s="2" t="inlineStr">
        <is>
          <t>C4</t>
        </is>
      </c>
      <c r="J86" s="2" t="inlineStr">
        <is>
          <t>NO ESTIMABLE</t>
        </is>
      </c>
      <c r="K86" s="2" t="inlineStr">
        <is>
          <t>rango</t>
        </is>
      </c>
      <c r="L86" s="6">
        <f>IF(AND(ISNUMBER(D86),ISNUMBER(E86)),E86-D86,"")</f>
        <v/>
      </c>
      <c r="M86" s="6">
        <f>IF(AND(ISNUMBER(D86),ISNUMBER(E86)),IF(AND(D86&lt;=0,E86&gt;=0),"sí","no"),"")</f>
        <v/>
      </c>
    </row>
    <row r="87">
      <c r="A87" s="2" t="inlineStr">
        <is>
          <t>V18-C5-2022T3-2026T2-10-NOEXPL-P</t>
        </is>
      </c>
      <c r="B87" s="2" t="inlineStr">
        <is>
          <t>Variación del precio real sin explicar, 2022T3-2026T2, Comunitat Valenciana</t>
        </is>
      </c>
      <c r="C87" s="2" t="n">
        <v>12.5948</v>
      </c>
      <c r="D87" s="2" t="n">
        <v>12.5948</v>
      </c>
      <c r="E87" s="2" t="n">
        <v>12.5948</v>
      </c>
      <c r="F87" s="2" t="inlineStr">
        <is>
          <t>pp (100·Δln)</t>
        </is>
      </c>
      <c r="G87" s="2" t="inlineStr">
        <is>
          <t>2022T3-2026T2</t>
        </is>
      </c>
      <c r="H87" s="2" t="inlineStr">
        <is>
          <t>Comunitat Valenciana; 2022T2 a 2026T2 (media de provincias no selladas, ponderada por población)</t>
        </is>
      </c>
      <c r="I87" s="2" t="inlineStr">
        <is>
          <t>C4</t>
        </is>
      </c>
      <c r="J87" s="2" t="inlineStr">
        <is>
          <t>NO ESTIMABLE</t>
        </is>
      </c>
      <c r="K87" s="2" t="inlineStr">
        <is>
          <t>rango</t>
        </is>
      </c>
      <c r="L87" s="6">
        <f>IF(AND(ISNUMBER(D87),ISNUMBER(E87)),E87-D87,"")</f>
        <v/>
      </c>
      <c r="M87" s="6">
        <f>IF(AND(ISNUMBER(D87),ISNUMBER(E87)),IF(AND(D87&lt;=0,E87&gt;=0),"sí","no"),"")</f>
        <v/>
      </c>
    </row>
    <row r="88">
      <c r="A88" s="2" t="inlineStr">
        <is>
          <t>V18-C5-2022T3-2026T2-11-NOEXPL-A</t>
        </is>
      </c>
      <c r="B88" s="2" t="inlineStr">
        <is>
          <t>Variación del alquiler real sin explicar, 2022T3-2026T2, Extremadura</t>
        </is>
      </c>
      <c r="C88" s="2" t="n">
        <v>-0.7677</v>
      </c>
      <c r="D88" s="2" t="n">
        <v>-0.7677</v>
      </c>
      <c r="E88" s="2" t="n">
        <v>-0.7677</v>
      </c>
      <c r="F88" s="2" t="inlineStr">
        <is>
          <t>pp (100·Δln)</t>
        </is>
      </c>
      <c r="G88" s="2" t="inlineStr">
        <is>
          <t>2022T3-2026T2</t>
        </is>
      </c>
      <c r="H88" s="2" t="inlineStr">
        <is>
          <t>Extremadura; 2022T2 a 2026T2 (media de provincias no selladas, ponderada por población)</t>
        </is>
      </c>
      <c r="I88" s="2" t="inlineStr">
        <is>
          <t>C4</t>
        </is>
      </c>
      <c r="J88" s="2" t="inlineStr">
        <is>
          <t>NO ESTIMABLE</t>
        </is>
      </c>
      <c r="K88" s="2" t="inlineStr">
        <is>
          <t>rango</t>
        </is>
      </c>
      <c r="L88" s="6">
        <f>IF(AND(ISNUMBER(D88),ISNUMBER(E88)),E88-D88,"")</f>
        <v/>
      </c>
      <c r="M88" s="6">
        <f>IF(AND(ISNUMBER(D88),ISNUMBER(E88)),IF(AND(D88&lt;=0,E88&gt;=0),"sí","no"),"")</f>
        <v/>
      </c>
    </row>
    <row r="89">
      <c r="A89" s="2" t="inlineStr">
        <is>
          <t>V18-C5-2022T3-2026T2-11-NOEXPL-P</t>
        </is>
      </c>
      <c r="B89" s="2" t="inlineStr">
        <is>
          <t>Variación del precio real sin explicar, 2022T3-2026T2, Extremadura</t>
        </is>
      </c>
      <c r="C89" s="2" t="n">
        <v>-13.1357</v>
      </c>
      <c r="D89" s="2" t="n">
        <v>-13.1357</v>
      </c>
      <c r="E89" s="2" t="n">
        <v>-13.1357</v>
      </c>
      <c r="F89" s="2" t="inlineStr">
        <is>
          <t>pp (100·Δln)</t>
        </is>
      </c>
      <c r="G89" s="2" t="inlineStr">
        <is>
          <t>2022T3-2026T2</t>
        </is>
      </c>
      <c r="H89" s="2" t="inlineStr">
        <is>
          <t>Extremadura; 2022T2 a 2026T2 (media de provincias no selladas, ponderada por población)</t>
        </is>
      </c>
      <c r="I89" s="2" t="inlineStr">
        <is>
          <t>C4</t>
        </is>
      </c>
      <c r="J89" s="2" t="inlineStr">
        <is>
          <t>NO ESTIMABLE</t>
        </is>
      </c>
      <c r="K89" s="2" t="inlineStr">
        <is>
          <t>rango</t>
        </is>
      </c>
      <c r="L89" s="6">
        <f>IF(AND(ISNUMBER(D89),ISNUMBER(E89)),E89-D89,"")</f>
        <v/>
      </c>
      <c r="M89" s="6">
        <f>IF(AND(ISNUMBER(D89),ISNUMBER(E89)),IF(AND(D89&lt;=0,E89&gt;=0),"sí","no"),"")</f>
        <v/>
      </c>
    </row>
    <row r="90">
      <c r="A90" s="2" t="inlineStr">
        <is>
          <t>V18-C5-2022T3-2026T2-12-NOEXPL-A</t>
        </is>
      </c>
      <c r="B90" s="2" t="inlineStr">
        <is>
          <t>Variación del alquiler real sin explicar, 2022T3-2026T2, Galicia</t>
        </is>
      </c>
      <c r="C90" s="2" t="n">
        <v>-0.1108</v>
      </c>
      <c r="D90" s="2" t="n">
        <v>-0.1108</v>
      </c>
      <c r="E90" s="2" t="n">
        <v>-0.1108</v>
      </c>
      <c r="F90" s="2" t="inlineStr">
        <is>
          <t>pp (100·Δln)</t>
        </is>
      </c>
      <c r="G90" s="2" t="inlineStr">
        <is>
          <t>2022T3-2026T2</t>
        </is>
      </c>
      <c r="H90" s="2" t="inlineStr">
        <is>
          <t>Galicia; 2022T2 a 2026T2 (media de provincias no selladas, ponderada por población)</t>
        </is>
      </c>
      <c r="I90" s="2" t="inlineStr">
        <is>
          <t>C4</t>
        </is>
      </c>
      <c r="J90" s="2" t="inlineStr">
        <is>
          <t>NO ESTIMABLE</t>
        </is>
      </c>
      <c r="K90" s="2" t="inlineStr">
        <is>
          <t>rango</t>
        </is>
      </c>
      <c r="L90" s="6">
        <f>IF(AND(ISNUMBER(D90),ISNUMBER(E90)),E90-D90,"")</f>
        <v/>
      </c>
      <c r="M90" s="6">
        <f>IF(AND(ISNUMBER(D90),ISNUMBER(E90)),IF(AND(D90&lt;=0,E90&gt;=0),"sí","no"),"")</f>
        <v/>
      </c>
    </row>
    <row r="91">
      <c r="A91" s="2" t="inlineStr">
        <is>
          <t>V18-C5-2022T3-2026T2-12-NOEXPL-P</t>
        </is>
      </c>
      <c r="B91" s="2" t="inlineStr">
        <is>
          <t>Variación del precio real sin explicar, 2022T3-2026T2, Galicia</t>
        </is>
      </c>
      <c r="C91" s="2" t="n">
        <v>1.0927</v>
      </c>
      <c r="D91" s="2" t="n">
        <v>1.0927</v>
      </c>
      <c r="E91" s="2" t="n">
        <v>1.0927</v>
      </c>
      <c r="F91" s="2" t="inlineStr">
        <is>
          <t>pp (100·Δln)</t>
        </is>
      </c>
      <c r="G91" s="2" t="inlineStr">
        <is>
          <t>2022T3-2026T2</t>
        </is>
      </c>
      <c r="H91" s="2" t="inlineStr">
        <is>
          <t>Galicia; 2022T2 a 2026T2 (media de provincias no selladas, ponderada por población)</t>
        </is>
      </c>
      <c r="I91" s="2" t="inlineStr">
        <is>
          <t>C4</t>
        </is>
      </c>
      <c r="J91" s="2" t="inlineStr">
        <is>
          <t>NO ESTIMABLE</t>
        </is>
      </c>
      <c r="K91" s="2" t="inlineStr">
        <is>
          <t>rango</t>
        </is>
      </c>
      <c r="L91" s="6">
        <f>IF(AND(ISNUMBER(D91),ISNUMBER(E91)),E91-D91,"")</f>
        <v/>
      </c>
      <c r="M91" s="6">
        <f>IF(AND(ISNUMBER(D91),ISNUMBER(E91)),IF(AND(D91&lt;=0,E91&gt;=0),"sí","no"),"")</f>
        <v/>
      </c>
    </row>
    <row r="92">
      <c r="A92" s="2" t="inlineStr">
        <is>
          <t>V18-C5-2022T3-2026T2-16-NOEXPL-A</t>
        </is>
      </c>
      <c r="B92" s="2" t="inlineStr">
        <is>
          <t>Variación del alquiler real sin explicar, 2022T3-2026T2, País Vasco</t>
        </is>
      </c>
      <c r="C92" s="2" t="n">
        <v>-2.6375</v>
      </c>
      <c r="D92" s="2" t="n">
        <v>-2.6375</v>
      </c>
      <c r="E92" s="2" t="n">
        <v>-2.6375</v>
      </c>
      <c r="F92" s="2" t="inlineStr">
        <is>
          <t>pp (100·Δln)</t>
        </is>
      </c>
      <c r="G92" s="2" t="inlineStr">
        <is>
          <t>2022T3-2026T2</t>
        </is>
      </c>
      <c r="H92" s="2" t="inlineStr">
        <is>
          <t>País Vasco; 2022T2 a 2026T2 (media de provincias no selladas, ponderada por población)</t>
        </is>
      </c>
      <c r="I92" s="2" t="inlineStr">
        <is>
          <t>C4</t>
        </is>
      </c>
      <c r="J92" s="2" t="inlineStr">
        <is>
          <t>NO ESTIMABLE</t>
        </is>
      </c>
      <c r="K92" s="2" t="inlineStr">
        <is>
          <t>rango</t>
        </is>
      </c>
      <c r="L92" s="6">
        <f>IF(AND(ISNUMBER(D92),ISNUMBER(E92)),E92-D92,"")</f>
        <v/>
      </c>
      <c r="M92" s="6">
        <f>IF(AND(ISNUMBER(D92),ISNUMBER(E92)),IF(AND(D92&lt;=0,E92&gt;=0),"sí","no"),"")</f>
        <v/>
      </c>
    </row>
    <row r="93">
      <c r="A93" s="2" t="inlineStr">
        <is>
          <t>V18-C5-2022T3-2026T2-16-NOEXPL-P</t>
        </is>
      </c>
      <c r="B93" s="2" t="inlineStr">
        <is>
          <t>Variación del precio real sin explicar, 2022T3-2026T2, País Vasco</t>
        </is>
      </c>
      <c r="C93" s="2" t="n">
        <v>-4.4165</v>
      </c>
      <c r="D93" s="2" t="n">
        <v>-4.4165</v>
      </c>
      <c r="E93" s="2" t="n">
        <v>-4.4165</v>
      </c>
      <c r="F93" s="2" t="inlineStr">
        <is>
          <t>pp (100·Δln)</t>
        </is>
      </c>
      <c r="G93" s="2" t="inlineStr">
        <is>
          <t>2022T3-2026T2</t>
        </is>
      </c>
      <c r="H93" s="2" t="inlineStr">
        <is>
          <t>País Vasco; 2022T2 a 2026T2 (media de provincias no selladas, ponderada por población)</t>
        </is>
      </c>
      <c r="I93" s="2" t="inlineStr">
        <is>
          <t>C4</t>
        </is>
      </c>
      <c r="J93" s="2" t="inlineStr">
        <is>
          <t>NO ESTIMABLE</t>
        </is>
      </c>
      <c r="K93" s="2" t="inlineStr">
        <is>
          <t>rango</t>
        </is>
      </c>
      <c r="L93" s="6">
        <f>IF(AND(ISNUMBER(D93),ISNUMBER(E93)),E93-D93,"")</f>
        <v/>
      </c>
      <c r="M93" s="6">
        <f>IF(AND(ISNUMBER(D93),ISNUMBER(E93)),IF(AND(D93&lt;=0,E93&gt;=0),"sí","no"),"")</f>
        <v/>
      </c>
    </row>
    <row r="94">
      <c r="A94" s="2" t="inlineStr">
        <is>
          <t>V18-C5I-1995T1-2007T4-00-E3-P</t>
        </is>
      </c>
      <c r="B94" s="2" t="inlineStr">
        <is>
          <t>Ilustración: inmigración, precio real, 1995T1-2007T4, Nacional (factor)</t>
        </is>
      </c>
      <c r="C94" s="2" t="n">
        <v>6.8614</v>
      </c>
      <c r="D94" s="2" t="n">
        <v>-11.3443</v>
      </c>
      <c r="E94" s="2" t="n">
        <v>24.2468</v>
      </c>
      <c r="F94" s="2" t="inlineStr">
        <is>
          <t>pp (100·Δln)</t>
        </is>
      </c>
      <c r="G94" s="2" t="inlineStr">
        <is>
          <t>1995T1-2007T4</t>
        </is>
      </c>
      <c r="H94" s="2" t="inlineStr">
        <is>
          <t>Nacional; stock a 1 de enero de 2002 a 2008</t>
        </is>
      </c>
      <c r="I94" s="2" t="inlineStr">
        <is>
          <t>C4</t>
        </is>
      </c>
      <c r="J94" s="2" t="inlineStr">
        <is>
          <t>NO ESTIMABLE</t>
        </is>
      </c>
      <c r="K94" s="2" t="inlineStr">
        <is>
          <t>rango</t>
        </is>
      </c>
      <c r="L94" s="6">
        <f>IF(AND(ISNUMBER(D94),ISNUMBER(E94)),E94-D94,"")</f>
        <v/>
      </c>
      <c r="M94" s="6">
        <f>IF(AND(ISNUMBER(D94),ISNUMBER(E94)),IF(AND(D94&lt;=0,E94&gt;=0),"sí","no"),"")</f>
        <v/>
      </c>
    </row>
    <row r="95">
      <c r="A95" s="2" t="inlineStr">
        <is>
          <t>V18-C5I-1995T1-2007T4-00-NOEXPL-P</t>
        </is>
      </c>
      <c r="B95" s="2" t="inlineStr">
        <is>
          <t>Ilustración: variación sin explicar, precio real, 1995T1-2007T4, Nacional (no_explicado)</t>
        </is>
      </c>
      <c r="C95" s="2" t="n">
        <v>62.1196</v>
      </c>
      <c r="D95" s="2" t="n">
        <v>44.7342</v>
      </c>
      <c r="E95" s="2" t="n">
        <v>80.3252</v>
      </c>
      <c r="F95" s="2" t="inlineStr">
        <is>
          <t>pp (100·Δln)</t>
        </is>
      </c>
      <c r="G95" s="2" t="inlineStr">
        <is>
          <t>1995T1-2007T4</t>
        </is>
      </c>
      <c r="H95" s="2" t="inlineStr">
        <is>
          <t>Nacional</t>
        </is>
      </c>
      <c r="I95" s="2" t="inlineStr">
        <is>
          <t>C4</t>
        </is>
      </c>
      <c r="J95" s="2" t="inlineStr">
        <is>
          <t>NO ESTIMABLE</t>
        </is>
      </c>
      <c r="K95" s="2" t="inlineStr">
        <is>
          <t>rango</t>
        </is>
      </c>
      <c r="L95" s="6">
        <f>IF(AND(ISNUMBER(D95),ISNUMBER(E95)),E95-D95,"")</f>
        <v/>
      </c>
      <c r="M95" s="6">
        <f>IF(AND(ISNUMBER(D95),ISNUMBER(E95)),IF(AND(D95&lt;=0,E95&gt;=0),"sí","no"),"")</f>
        <v/>
      </c>
    </row>
    <row r="96">
      <c r="A96" s="2" t="inlineStr">
        <is>
          <t>V18-C5I-1995T1-2007T4-01-E3-P</t>
        </is>
      </c>
      <c r="B96" s="2" t="inlineStr">
        <is>
          <t>Ilustración: inmigración, precio real, 1995T1-2007T4, Andalucía (factor)</t>
        </is>
      </c>
      <c r="C96" s="2" t="n">
        <v>-1.4709</v>
      </c>
      <c r="D96" s="2" t="n">
        <v>-5.1978</v>
      </c>
      <c r="E96" s="2" t="n">
        <v>2.4319</v>
      </c>
      <c r="F96" s="2" t="inlineStr">
        <is>
          <t>pp (100·Δln)</t>
        </is>
      </c>
      <c r="G96" s="2" t="inlineStr">
        <is>
          <t>1995T1-2007T4</t>
        </is>
      </c>
      <c r="H96" s="2" t="inlineStr">
        <is>
          <t>Andalucía; stock a 1 de enero de 2002 a 2008</t>
        </is>
      </c>
      <c r="I96" s="2" t="inlineStr">
        <is>
          <t>C4</t>
        </is>
      </c>
      <c r="J96" s="2" t="inlineStr">
        <is>
          <t>NO ESTIMABLE</t>
        </is>
      </c>
      <c r="K96" s="2" t="inlineStr">
        <is>
          <t>rango</t>
        </is>
      </c>
      <c r="L96" s="6">
        <f>IF(AND(ISNUMBER(D96),ISNUMBER(E96)),E96-D96,"")</f>
        <v/>
      </c>
      <c r="M96" s="6">
        <f>IF(AND(ISNUMBER(D96),ISNUMBER(E96)),IF(AND(D96&lt;=0,E96&gt;=0),"sí","no"),"")</f>
        <v/>
      </c>
    </row>
    <row r="97">
      <c r="A97" s="2" t="inlineStr">
        <is>
          <t>V18-C5I-1995T1-2007T4-01-NOEXPL-P</t>
        </is>
      </c>
      <c r="B97" s="2" t="inlineStr">
        <is>
          <t>Ilustración: variación sin explicar, precio real, 1995T1-2007T4, Andalucía (no_explicado)</t>
        </is>
      </c>
      <c r="C97" s="2" t="n">
        <v>10.6813</v>
      </c>
      <c r="D97" s="2" t="n">
        <v>6.7785</v>
      </c>
      <c r="E97" s="2" t="n">
        <v>14.4082</v>
      </c>
      <c r="F97" s="2" t="inlineStr">
        <is>
          <t>pp (100·Δln)</t>
        </is>
      </c>
      <c r="G97" s="2" t="inlineStr">
        <is>
          <t>1995T1-2007T4</t>
        </is>
      </c>
      <c r="H97" s="2" t="inlineStr">
        <is>
          <t>Andalucía</t>
        </is>
      </c>
      <c r="I97" s="2" t="inlineStr">
        <is>
          <t>C4</t>
        </is>
      </c>
      <c r="J97" s="2" t="inlineStr">
        <is>
          <t>NO ESTIMABLE</t>
        </is>
      </c>
      <c r="K97" s="2" t="inlineStr">
        <is>
          <t>rango</t>
        </is>
      </c>
      <c r="L97" s="6">
        <f>IF(AND(ISNUMBER(D97),ISNUMBER(E97)),E97-D97,"")</f>
        <v/>
      </c>
      <c r="M97" s="6">
        <f>IF(AND(ISNUMBER(D97),ISNUMBER(E97)),IF(AND(D97&lt;=0,E97&gt;=0),"sí","no"),"")</f>
        <v/>
      </c>
    </row>
    <row r="98">
      <c r="A98" s="2" t="inlineStr">
        <is>
          <t>V18-C5I-1995T1-2007T4-07-E3-P</t>
        </is>
      </c>
      <c r="B98" s="2" t="inlineStr">
        <is>
          <t>Ilustración: inmigración, precio real, 1995T1-2007T4, Castilla y León (factor)</t>
        </is>
      </c>
      <c r="C98" s="2" t="n">
        <v>-2.1211</v>
      </c>
      <c r="D98" s="2" t="n">
        <v>-7.4955</v>
      </c>
      <c r="E98" s="2" t="n">
        <v>3.5069</v>
      </c>
      <c r="F98" s="2" t="inlineStr">
        <is>
          <t>pp (100·Δln)</t>
        </is>
      </c>
      <c r="G98" s="2" t="inlineStr">
        <is>
          <t>1995T1-2007T4</t>
        </is>
      </c>
      <c r="H98" s="2" t="inlineStr">
        <is>
          <t>Castilla y León; stock a 1 de enero de 2002 a 2008</t>
        </is>
      </c>
      <c r="I98" s="2" t="inlineStr">
        <is>
          <t>C4</t>
        </is>
      </c>
      <c r="J98" s="2" t="inlineStr">
        <is>
          <t>NO ESTIMABLE</t>
        </is>
      </c>
      <c r="K98" s="2" t="inlineStr">
        <is>
          <t>rango</t>
        </is>
      </c>
      <c r="L98" s="6">
        <f>IF(AND(ISNUMBER(D98),ISNUMBER(E98)),E98-D98,"")</f>
        <v/>
      </c>
      <c r="M98" s="6">
        <f>IF(AND(ISNUMBER(D98),ISNUMBER(E98)),IF(AND(D98&lt;=0,E98&gt;=0),"sí","no"),"")</f>
        <v/>
      </c>
    </row>
    <row r="99">
      <c r="A99" s="2" t="inlineStr">
        <is>
          <t>V18-C5I-1995T1-2007T4-07-NOEXPL-P</t>
        </is>
      </c>
      <c r="B99" s="2" t="inlineStr">
        <is>
          <t>Ilustración: variación sin explicar, precio real, 1995T1-2007T4, Castilla y León (no_explicado)</t>
        </is>
      </c>
      <c r="C99" s="2" t="n">
        <v>-11.077</v>
      </c>
      <c r="D99" s="2" t="n">
        <v>-16.705</v>
      </c>
      <c r="E99" s="2" t="n">
        <v>-5.7026</v>
      </c>
      <c r="F99" s="2" t="inlineStr">
        <is>
          <t>pp (100·Δln)</t>
        </is>
      </c>
      <c r="G99" s="2" t="inlineStr">
        <is>
          <t>1995T1-2007T4</t>
        </is>
      </c>
      <c r="H99" s="2" t="inlineStr">
        <is>
          <t>Castilla y León</t>
        </is>
      </c>
      <c r="I99" s="2" t="inlineStr">
        <is>
          <t>C4</t>
        </is>
      </c>
      <c r="J99" s="2" t="inlineStr">
        <is>
          <t>NO ESTIMABLE</t>
        </is>
      </c>
      <c r="K99" s="2" t="inlineStr">
        <is>
          <t>rango</t>
        </is>
      </c>
      <c r="L99" s="6">
        <f>IF(AND(ISNUMBER(D99),ISNUMBER(E99)),E99-D99,"")</f>
        <v/>
      </c>
      <c r="M99" s="6">
        <f>IF(AND(ISNUMBER(D99),ISNUMBER(E99)),IF(AND(D99&lt;=0,E99&gt;=0),"sí","no"),"")</f>
        <v/>
      </c>
    </row>
    <row r="100">
      <c r="A100" s="2" t="inlineStr">
        <is>
          <t>V18-C5I-1995T1-2007T4-08-E3-P</t>
        </is>
      </c>
      <c r="B100" s="2" t="inlineStr">
        <is>
          <t>Ilustración: inmigración, precio real, 1995T1-2007T4, Castilla-La Mancha (factor)</t>
        </is>
      </c>
      <c r="C100" s="2" t="n">
        <v>1.5172</v>
      </c>
      <c r="D100" s="2" t="n">
        <v>-2.5086</v>
      </c>
      <c r="E100" s="2" t="n">
        <v>5.3617</v>
      </c>
      <c r="F100" s="2" t="inlineStr">
        <is>
          <t>pp (100·Δln)</t>
        </is>
      </c>
      <c r="G100" s="2" t="inlineStr">
        <is>
          <t>1995T1-2007T4</t>
        </is>
      </c>
      <c r="H100" s="2" t="inlineStr">
        <is>
          <t>Castilla-La Mancha; stock a 1 de enero de 2002 a 2008</t>
        </is>
      </c>
      <c r="I100" s="2" t="inlineStr">
        <is>
          <t>C4</t>
        </is>
      </c>
      <c r="J100" s="2" t="inlineStr">
        <is>
          <t>NO ESTIMABLE</t>
        </is>
      </c>
      <c r="K100" s="2" t="inlineStr">
        <is>
          <t>rango</t>
        </is>
      </c>
      <c r="L100" s="6">
        <f>IF(AND(ISNUMBER(D100),ISNUMBER(E100)),E100-D100,"")</f>
        <v/>
      </c>
      <c r="M100" s="6">
        <f>IF(AND(ISNUMBER(D100),ISNUMBER(E100)),IF(AND(D100&lt;=0,E100&gt;=0),"sí","no"),"")</f>
        <v/>
      </c>
    </row>
    <row r="101">
      <c r="A101" s="2" t="inlineStr">
        <is>
          <t>V18-C5I-1995T1-2007T4-08-NOEXPL-P</t>
        </is>
      </c>
      <c r="B101" s="2" t="inlineStr">
        <is>
          <t>Ilustración: variación sin explicar, precio real, 1995T1-2007T4, Castilla-La Mancha (no_explicado)</t>
        </is>
      </c>
      <c r="C101" s="2" t="n">
        <v>1.2569</v>
      </c>
      <c r="D101" s="2" t="n">
        <v>-2.5875</v>
      </c>
      <c r="E101" s="2" t="n">
        <v>5.2827</v>
      </c>
      <c r="F101" s="2" t="inlineStr">
        <is>
          <t>pp (100·Δln)</t>
        </is>
      </c>
      <c r="G101" s="2" t="inlineStr">
        <is>
          <t>1995T1-2007T4</t>
        </is>
      </c>
      <c r="H101" s="2" t="inlineStr">
        <is>
          <t>Castilla-La Mancha</t>
        </is>
      </c>
      <c r="I101" s="2" t="inlineStr">
        <is>
          <t>C4</t>
        </is>
      </c>
      <c r="J101" s="2" t="inlineStr">
        <is>
          <t>NO ESTIMABLE</t>
        </is>
      </c>
      <c r="K101" s="2" t="inlineStr">
        <is>
          <t>rango</t>
        </is>
      </c>
      <c r="L101" s="6">
        <f>IF(AND(ISNUMBER(D101),ISNUMBER(E101)),E101-D101,"")</f>
        <v/>
      </c>
      <c r="M101" s="6">
        <f>IF(AND(ISNUMBER(D101),ISNUMBER(E101)),IF(AND(D101&lt;=0,E101&gt;=0),"sí","no"),"")</f>
        <v/>
      </c>
    </row>
    <row r="102">
      <c r="A102" s="2" t="inlineStr">
        <is>
          <t>V18-C5I-1995T1-2007T4-09-E3-P</t>
        </is>
      </c>
      <c r="B102" s="2" t="inlineStr">
        <is>
          <t>Ilustración: inmigración, precio real, 1995T1-2007T4, Cataluña (factor)</t>
        </is>
      </c>
      <c r="C102" s="2" t="n">
        <v>4.0424</v>
      </c>
      <c r="D102" s="2" t="n">
        <v>-6.6835</v>
      </c>
      <c r="E102" s="2" t="n">
        <v>14.2849</v>
      </c>
      <c r="F102" s="2" t="inlineStr">
        <is>
          <t>pp (100·Δln)</t>
        </is>
      </c>
      <c r="G102" s="2" t="inlineStr">
        <is>
          <t>1995T1-2007T4</t>
        </is>
      </c>
      <c r="H102" s="2" t="inlineStr">
        <is>
          <t>Cataluña; stock a 1 de enero de 2002 a 2008</t>
        </is>
      </c>
      <c r="I102" s="2" t="inlineStr">
        <is>
          <t>C4</t>
        </is>
      </c>
      <c r="J102" s="2" t="inlineStr">
        <is>
          <t>NO ESTIMABLE</t>
        </is>
      </c>
      <c r="K102" s="2" t="inlineStr">
        <is>
          <t>rango</t>
        </is>
      </c>
      <c r="L102" s="6">
        <f>IF(AND(ISNUMBER(D102),ISNUMBER(E102)),E102-D102,"")</f>
        <v/>
      </c>
      <c r="M102" s="6">
        <f>IF(AND(ISNUMBER(D102),ISNUMBER(E102)),IF(AND(D102&lt;=0,E102&gt;=0),"sí","no"),"")</f>
        <v/>
      </c>
    </row>
    <row r="103">
      <c r="A103" s="2" t="inlineStr">
        <is>
          <t>V18-C5I-1995T1-2007T4-09-NOEXPL-P</t>
        </is>
      </c>
      <c r="B103" s="2" t="inlineStr">
        <is>
          <t>Ilustración: variación sin explicar, precio real, 1995T1-2007T4, Cataluña (no_explicado)</t>
        </is>
      </c>
      <c r="C103" s="2" t="n">
        <v>-7.4926</v>
      </c>
      <c r="D103" s="2" t="n">
        <v>-17.7352</v>
      </c>
      <c r="E103" s="2" t="n">
        <v>3.2332</v>
      </c>
      <c r="F103" s="2" t="inlineStr">
        <is>
          <t>pp (100·Δln)</t>
        </is>
      </c>
      <c r="G103" s="2" t="inlineStr">
        <is>
          <t>1995T1-2007T4</t>
        </is>
      </c>
      <c r="H103" s="2" t="inlineStr">
        <is>
          <t>Cataluña</t>
        </is>
      </c>
      <c r="I103" s="2" t="inlineStr">
        <is>
          <t>C4</t>
        </is>
      </c>
      <c r="J103" s="2" t="inlineStr">
        <is>
          <t>NO ESTIMABLE</t>
        </is>
      </c>
      <c r="K103" s="2" t="inlineStr">
        <is>
          <t>rango</t>
        </is>
      </c>
      <c r="L103" s="6">
        <f>IF(AND(ISNUMBER(D103),ISNUMBER(E103)),E103-D103,"")</f>
        <v/>
      </c>
      <c r="M103" s="6">
        <f>IF(AND(ISNUMBER(D103),ISNUMBER(E103)),IF(AND(D103&lt;=0,E103&gt;=0),"sí","no"),"")</f>
        <v/>
      </c>
    </row>
    <row r="104">
      <c r="A104" s="2" t="inlineStr">
        <is>
          <t>V18-C5I-1995T1-2007T4-10-E3-P</t>
        </is>
      </c>
      <c r="B104" s="2" t="inlineStr">
        <is>
          <t>Ilustración: inmigración, precio real, 1995T1-2007T4, Comunitat Valenciana (factor)</t>
        </is>
      </c>
      <c r="C104" s="2" t="n">
        <v>4.9001</v>
      </c>
      <c r="D104" s="2" t="n">
        <v>-8.101599999999999</v>
      </c>
      <c r="E104" s="2" t="n">
        <v>17.316</v>
      </c>
      <c r="F104" s="2" t="inlineStr">
        <is>
          <t>pp (100·Δln)</t>
        </is>
      </c>
      <c r="G104" s="2" t="inlineStr">
        <is>
          <t>1995T1-2007T4</t>
        </is>
      </c>
      <c r="H104" s="2" t="inlineStr">
        <is>
          <t>España (Comunitat Valenciana; stock a 1 de enero de 2002 a 2008)</t>
        </is>
      </c>
      <c r="I104" s="2" t="inlineStr">
        <is>
          <t>C4</t>
        </is>
      </c>
      <c r="J104" s="2" t="inlineStr">
        <is>
          <t>NO ESTIMABLE</t>
        </is>
      </c>
      <c r="K104" s="2" t="inlineStr">
        <is>
          <t>rango</t>
        </is>
      </c>
      <c r="L104" s="6">
        <f>IF(AND(ISNUMBER(D104),ISNUMBER(E104)),E104-D104,"")</f>
        <v/>
      </c>
      <c r="M104" s="6">
        <f>IF(AND(ISNUMBER(D104),ISNUMBER(E104)),IF(AND(D104&lt;=0,E104&gt;=0),"sí","no"),"")</f>
        <v/>
      </c>
    </row>
    <row r="105">
      <c r="A105" s="2" t="inlineStr">
        <is>
          <t>V18-C5I-1995T1-2007T4-10-NOEXPL-P</t>
        </is>
      </c>
      <c r="B105" s="2" t="inlineStr">
        <is>
          <t>Ilustración: variación sin explicar, precio real, 1995T1-2007T4, Comunitat Valenciana (no_explicado)</t>
        </is>
      </c>
      <c r="C105" s="2" t="n">
        <v>32.9576</v>
      </c>
      <c r="D105" s="2" t="n">
        <v>20.5417</v>
      </c>
      <c r="E105" s="2" t="n">
        <v>45.9593</v>
      </c>
      <c r="F105" s="2" t="inlineStr">
        <is>
          <t>pp (100·Δln)</t>
        </is>
      </c>
      <c r="G105" s="2" t="inlineStr">
        <is>
          <t>1995T1-2007T4</t>
        </is>
      </c>
      <c r="H105" s="2" t="inlineStr">
        <is>
          <t>España (Comunitat Valenciana)</t>
        </is>
      </c>
      <c r="I105" s="2" t="inlineStr">
        <is>
          <t>C4</t>
        </is>
      </c>
      <c r="J105" s="2" t="inlineStr">
        <is>
          <t>NO ESTIMABLE</t>
        </is>
      </c>
      <c r="K105" s="2" t="inlineStr">
        <is>
          <t>rango</t>
        </is>
      </c>
      <c r="L105" s="6">
        <f>IF(AND(ISNUMBER(D105),ISNUMBER(E105)),E105-D105,"")</f>
        <v/>
      </c>
      <c r="M105" s="6">
        <f>IF(AND(ISNUMBER(D105),ISNUMBER(E105)),IF(AND(D105&lt;=0,E105&gt;=0),"sí","no"),"")</f>
        <v/>
      </c>
    </row>
    <row r="106">
      <c r="A106" s="2" t="inlineStr">
        <is>
          <t>V18-C5I-1995T1-2007T4-11-E3-P</t>
        </is>
      </c>
      <c r="B106" s="2" t="inlineStr">
        <is>
          <t>Ilustración: inmigración, precio real, 1995T1-2007T4, Extremadura (factor)</t>
        </is>
      </c>
      <c r="C106" s="2" t="n">
        <v>-4.1857</v>
      </c>
      <c r="D106" s="2" t="n">
        <v>-14.7914</v>
      </c>
      <c r="E106" s="2" t="n">
        <v>6.9204</v>
      </c>
      <c r="F106" s="2" t="inlineStr">
        <is>
          <t>pp (100·Δln)</t>
        </is>
      </c>
      <c r="G106" s="2" t="inlineStr">
        <is>
          <t>1995T1-2007T4</t>
        </is>
      </c>
      <c r="H106" s="2" t="inlineStr">
        <is>
          <t>Extremadura; stock a 1 de enero de 2002 a 2008</t>
        </is>
      </c>
      <c r="I106" s="2" t="inlineStr">
        <is>
          <t>C4</t>
        </is>
      </c>
      <c r="J106" s="2" t="inlineStr">
        <is>
          <t>NO ESTIMABLE</t>
        </is>
      </c>
      <c r="K106" s="2" t="inlineStr">
        <is>
          <t>rango</t>
        </is>
      </c>
      <c r="L106" s="6">
        <f>IF(AND(ISNUMBER(D106),ISNUMBER(E106)),E106-D106,"")</f>
        <v/>
      </c>
      <c r="M106" s="6">
        <f>IF(AND(ISNUMBER(D106),ISNUMBER(E106)),IF(AND(D106&lt;=0,E106&gt;=0),"sí","no"),"")</f>
        <v/>
      </c>
    </row>
    <row r="107">
      <c r="A107" s="2" t="inlineStr">
        <is>
          <t>V18-C5I-1995T1-2007T4-11-NOEXPL-P</t>
        </is>
      </c>
      <c r="B107" s="2" t="inlineStr">
        <is>
          <t>Ilustración: variación sin explicar, precio real, 1995T1-2007T4, Extremadura (no_explicado)</t>
        </is>
      </c>
      <c r="C107" s="2" t="n">
        <v>-2.8181</v>
      </c>
      <c r="D107" s="2" t="n">
        <v>-13.9242</v>
      </c>
      <c r="E107" s="2" t="n">
        <v>7.7876</v>
      </c>
      <c r="F107" s="2" t="inlineStr">
        <is>
          <t>pp (100·Δln)</t>
        </is>
      </c>
      <c r="G107" s="2" t="inlineStr">
        <is>
          <t>1995T1-2007T4</t>
        </is>
      </c>
      <c r="H107" s="2" t="inlineStr">
        <is>
          <t>Extremadura</t>
        </is>
      </c>
      <c r="I107" s="2" t="inlineStr">
        <is>
          <t>C4</t>
        </is>
      </c>
      <c r="J107" s="2" t="inlineStr">
        <is>
          <t>NO ESTIMABLE</t>
        </is>
      </c>
      <c r="K107" s="2" t="inlineStr">
        <is>
          <t>rango</t>
        </is>
      </c>
      <c r="L107" s="6">
        <f>IF(AND(ISNUMBER(D107),ISNUMBER(E107)),E107-D107,"")</f>
        <v/>
      </c>
      <c r="M107" s="6">
        <f>IF(AND(ISNUMBER(D107),ISNUMBER(E107)),IF(AND(D107&lt;=0,E107&gt;=0),"sí","no"),"")</f>
        <v/>
      </c>
    </row>
    <row r="108">
      <c r="A108" s="2" t="inlineStr">
        <is>
          <t>V18-C5I-1995T1-2007T4-12-E3-P</t>
        </is>
      </c>
      <c r="B108" s="2" t="inlineStr">
        <is>
          <t>Ilustración: inmigración, precio real, 1995T1-2007T4, Galicia (factor)</t>
        </is>
      </c>
      <c r="C108" s="2" t="n">
        <v>-4.2139</v>
      </c>
      <c r="D108" s="2" t="n">
        <v>-14.8912</v>
      </c>
      <c r="E108" s="2" t="n">
        <v>6.9671</v>
      </c>
      <c r="F108" s="2" t="inlineStr">
        <is>
          <t>pp (100·Δln)</t>
        </is>
      </c>
      <c r="G108" s="2" t="inlineStr">
        <is>
          <t>1995T1-2007T4</t>
        </is>
      </c>
      <c r="H108" s="2" t="inlineStr">
        <is>
          <t>Galicia; stock a 1 de enero de 2002 a 2008</t>
        </is>
      </c>
      <c r="I108" s="2" t="inlineStr">
        <is>
          <t>C4</t>
        </is>
      </c>
      <c r="J108" s="2" t="inlineStr">
        <is>
          <t>NO ESTIMABLE</t>
        </is>
      </c>
      <c r="K108" s="2" t="inlineStr">
        <is>
          <t>rango</t>
        </is>
      </c>
      <c r="L108" s="6">
        <f>IF(AND(ISNUMBER(D108),ISNUMBER(E108)),E108-D108,"")</f>
        <v/>
      </c>
      <c r="M108" s="6">
        <f>IF(AND(ISNUMBER(D108),ISNUMBER(E108)),IF(AND(D108&lt;=0,E108&gt;=0),"sí","no"),"")</f>
        <v/>
      </c>
    </row>
    <row r="109">
      <c r="A109" s="2" t="inlineStr">
        <is>
          <t>V18-C5I-1995T1-2007T4-12-NOEXPL-P</t>
        </is>
      </c>
      <c r="B109" s="2" t="inlineStr">
        <is>
          <t>Ilustración: variación sin explicar, precio real, 1995T1-2007T4, Galicia (no_explicado)</t>
        </is>
      </c>
      <c r="C109" s="2" t="n">
        <v>2.808</v>
      </c>
      <c r="D109" s="2" t="n">
        <v>-8.373100000000001</v>
      </c>
      <c r="E109" s="2" t="n">
        <v>13.4852</v>
      </c>
      <c r="F109" s="2" t="inlineStr">
        <is>
          <t>pp (100·Δln)</t>
        </is>
      </c>
      <c r="G109" s="2" t="inlineStr">
        <is>
          <t>1995T1-2007T4</t>
        </is>
      </c>
      <c r="H109" s="2" t="inlineStr">
        <is>
          <t>Galicia</t>
        </is>
      </c>
      <c r="I109" s="2" t="inlineStr">
        <is>
          <t>C4</t>
        </is>
      </c>
      <c r="J109" s="2" t="inlineStr">
        <is>
          <t>NO ESTIMABLE</t>
        </is>
      </c>
      <c r="K109" s="2" t="inlineStr">
        <is>
          <t>rango</t>
        </is>
      </c>
      <c r="L109" s="6">
        <f>IF(AND(ISNUMBER(D109),ISNUMBER(E109)),E109-D109,"")</f>
        <v/>
      </c>
      <c r="M109" s="6">
        <f>IF(AND(ISNUMBER(D109),ISNUMBER(E109)),IF(AND(D109&lt;=0,E109&gt;=0),"sí","no"),"")</f>
        <v/>
      </c>
    </row>
    <row r="110">
      <c r="A110" s="2" t="inlineStr">
        <is>
          <t>V18-C5I-1995T1-2007T4-16-E3-P</t>
        </is>
      </c>
      <c r="B110" s="2" t="inlineStr">
        <is>
          <t>Ilustración: inmigración, precio real, 1995T1-2007T4, País Vasco (factor)</t>
        </is>
      </c>
      <c r="C110" s="2" t="n">
        <v>-2.241</v>
      </c>
      <c r="D110" s="2" t="n">
        <v>-7.9192</v>
      </c>
      <c r="E110" s="2" t="n">
        <v>3.7051</v>
      </c>
      <c r="F110" s="2" t="inlineStr">
        <is>
          <t>pp (100·Δln)</t>
        </is>
      </c>
      <c r="G110" s="2" t="inlineStr">
        <is>
          <t>1995T1-2007T4</t>
        </is>
      </c>
      <c r="H110" s="2" t="inlineStr">
        <is>
          <t>País Vasco; stock a 1 de enero de 2002 a 2008</t>
        </is>
      </c>
      <c r="I110" s="2" t="inlineStr">
        <is>
          <t>C4</t>
        </is>
      </c>
      <c r="J110" s="2" t="inlineStr">
        <is>
          <t>NO ESTIMABLE</t>
        </is>
      </c>
      <c r="K110" s="2" t="inlineStr">
        <is>
          <t>rango</t>
        </is>
      </c>
      <c r="L110" s="6">
        <f>IF(AND(ISNUMBER(D110),ISNUMBER(E110)),E110-D110,"")</f>
        <v/>
      </c>
      <c r="M110" s="6">
        <f>IF(AND(ISNUMBER(D110),ISNUMBER(E110)),IF(AND(D110&lt;=0,E110&gt;=0),"sí","no"),"")</f>
        <v/>
      </c>
    </row>
    <row r="111">
      <c r="A111" s="2" t="inlineStr">
        <is>
          <t>V18-C5I-1995T1-2007T4-16-NOEXPL-P</t>
        </is>
      </c>
      <c r="B111" s="2" t="inlineStr">
        <is>
          <t>Ilustración: variación sin explicar, precio real, 1995T1-2007T4, País Vasco (no_explicado)</t>
        </is>
      </c>
      <c r="C111" s="2" t="n">
        <v>-11.5918</v>
      </c>
      <c r="D111" s="2" t="n">
        <v>-17.5379</v>
      </c>
      <c r="E111" s="2" t="n">
        <v>-5.9136</v>
      </c>
      <c r="F111" s="2" t="inlineStr">
        <is>
          <t>pp (100·Δln)</t>
        </is>
      </c>
      <c r="G111" s="2" t="inlineStr">
        <is>
          <t>1995T1-2007T4</t>
        </is>
      </c>
      <c r="H111" s="2" t="inlineStr">
        <is>
          <t>País Vasco</t>
        </is>
      </c>
      <c r="I111" s="2" t="inlineStr">
        <is>
          <t>C4</t>
        </is>
      </c>
      <c r="J111" s="2" t="inlineStr">
        <is>
          <t>NO ESTIMABLE</t>
        </is>
      </c>
      <c r="K111" s="2" t="inlineStr">
        <is>
          <t>rango</t>
        </is>
      </c>
      <c r="L111" s="6">
        <f>IF(AND(ISNUMBER(D111),ISNUMBER(E111)),E111-D111,"")</f>
        <v/>
      </c>
      <c r="M111" s="6">
        <f>IF(AND(ISNUMBER(D111),ISNUMBER(E111)),IF(AND(D111&lt;=0,E111&gt;=0),"sí","no"),"")</f>
        <v/>
      </c>
    </row>
    <row r="112">
      <c r="A112" s="2" t="inlineStr">
        <is>
          <t>V18-C5I-1995T1-2007T4-46250-E3-P</t>
        </is>
      </c>
      <c r="B112" s="2" t="inlineStr">
        <is>
          <t>Ilustración: inmigración, precio real, 1995T1-2007T4, València (factor)</t>
        </is>
      </c>
      <c r="C112" s="2" t="n">
        <v>2.2896</v>
      </c>
      <c r="D112" s="2" t="n">
        <v>-3.7856</v>
      </c>
      <c r="E112" s="2" t="n">
        <v>8.091100000000001</v>
      </c>
      <c r="F112" s="2" t="inlineStr">
        <is>
          <t>pp (100·Δln)</t>
        </is>
      </c>
      <c r="G112" s="2" t="inlineStr">
        <is>
          <t>1995T1-2007T4</t>
        </is>
      </c>
      <c r="H112" s="2" t="inlineStr">
        <is>
          <t>València; stock a 1 de enero de 2002 a 2008</t>
        </is>
      </c>
      <c r="I112" s="2" t="inlineStr">
        <is>
          <t>C4</t>
        </is>
      </c>
      <c r="J112" s="2" t="inlineStr">
        <is>
          <t>NO ESTIMABLE</t>
        </is>
      </c>
      <c r="K112" s="2" t="inlineStr">
        <is>
          <t>rango</t>
        </is>
      </c>
      <c r="L112" s="6">
        <f>IF(AND(ISNUMBER(D112),ISNUMBER(E112)),E112-D112,"")</f>
        <v/>
      </c>
      <c r="M112" s="6">
        <f>IF(AND(ISNUMBER(D112),ISNUMBER(E112)),IF(AND(D112&lt;=0,E112&gt;=0),"sí","no"),"")</f>
        <v/>
      </c>
    </row>
    <row r="113">
      <c r="A113" s="2" t="inlineStr">
        <is>
          <t>V18-C5I-1995T1-2007T4-46250-NOEXPL-P</t>
        </is>
      </c>
      <c r="B113" s="2" t="inlineStr">
        <is>
          <t>Ilustración: variación sin explicar, precio real, 1995T1-2007T4, València (no_explicado)</t>
        </is>
      </c>
      <c r="C113" s="2" t="n">
        <v>-22.1326</v>
      </c>
      <c r="D113" s="2" t="n">
        <v>-27.9341</v>
      </c>
      <c r="E113" s="2" t="n">
        <v>-16.0574</v>
      </c>
      <c r="F113" s="2" t="inlineStr">
        <is>
          <t>pp (100·Δln)</t>
        </is>
      </c>
      <c r="G113" s="2" t="inlineStr">
        <is>
          <t>1995T1-2007T4</t>
        </is>
      </c>
      <c r="H113" s="2" t="inlineStr">
        <is>
          <t>València</t>
        </is>
      </c>
      <c r="I113" s="2" t="inlineStr">
        <is>
          <t>C4</t>
        </is>
      </c>
      <c r="J113" s="2" t="inlineStr">
        <is>
          <t>NO ESTIMABLE</t>
        </is>
      </c>
      <c r="K113" s="2" t="inlineStr">
        <is>
          <t>rango</t>
        </is>
      </c>
      <c r="L113" s="6">
        <f>IF(AND(ISNUMBER(D113),ISNUMBER(E113)),E113-D113,"")</f>
        <v/>
      </c>
      <c r="M113" s="6">
        <f>IF(AND(ISNUMBER(D113),ISNUMBER(E113)),IF(AND(D113&lt;=0,E113&gt;=0),"sí","no"),"")</f>
        <v/>
      </c>
    </row>
    <row r="114">
      <c r="A114" s="2" t="inlineStr">
        <is>
          <t>V18-C5I-2008T1-2013T4-00-E3-P</t>
        </is>
      </c>
      <c r="B114" s="2" t="inlineStr">
        <is>
          <t>Ilustración: inmigración, precio real, 2008T1-2013T4, Nacional (factor)</t>
        </is>
      </c>
      <c r="C114" s="2" t="n">
        <v>-0.7548</v>
      </c>
      <c r="D114" s="2" t="n">
        <v>-2.6674</v>
      </c>
      <c r="E114" s="2" t="n">
        <v>1.248</v>
      </c>
      <c r="F114" s="2" t="inlineStr">
        <is>
          <t>pp (100·Δln)</t>
        </is>
      </c>
      <c r="G114" s="2" t="inlineStr">
        <is>
          <t>2008T1-2013T4</t>
        </is>
      </c>
      <c r="H114" s="2" t="inlineStr">
        <is>
          <t>Nacional; stock a 1 de enero de 2008 a 2014</t>
        </is>
      </c>
      <c r="I114" s="2" t="inlineStr">
        <is>
          <t>C4</t>
        </is>
      </c>
      <c r="J114" s="2" t="inlineStr">
        <is>
          <t>NO ESTIMABLE</t>
        </is>
      </c>
      <c r="K114" s="2" t="inlineStr">
        <is>
          <t>rango</t>
        </is>
      </c>
      <c r="L114" s="6">
        <f>IF(AND(ISNUMBER(D114),ISNUMBER(E114)),E114-D114,"")</f>
        <v/>
      </c>
      <c r="M114" s="6">
        <f>IF(AND(ISNUMBER(D114),ISNUMBER(E114)),IF(AND(D114&lt;=0,E114&gt;=0),"sí","no"),"")</f>
        <v/>
      </c>
    </row>
    <row r="115">
      <c r="A115" s="2" t="inlineStr">
        <is>
          <t>V18-C5I-2008T1-2013T4-00-E7-P</t>
        </is>
      </c>
      <c r="B115" s="2" t="inlineStr">
        <is>
          <t>Ilustración: tipos de interés, precio real, 2008T1-2013T4, Nacional (factor)</t>
        </is>
      </c>
      <c r="C115" s="2" t="n">
        <v>1.1403</v>
      </c>
      <c r="D115" s="2" t="n">
        <v>0.6996</v>
      </c>
      <c r="E115" s="2" t="n">
        <v>1.5767</v>
      </c>
      <c r="F115" s="2" t="inlineStr">
        <is>
          <t>pp (100·Δln)</t>
        </is>
      </c>
      <c r="G115" s="2" t="inlineStr">
        <is>
          <t>2008T1-2013T4</t>
        </is>
      </c>
      <c r="H115" s="2" t="inlineStr">
        <is>
          <t>Nacional; 2011T4 a 2013T4 (horizonte de 8 trimestres)</t>
        </is>
      </c>
      <c r="I115" s="2" t="inlineStr">
        <is>
          <t>C4</t>
        </is>
      </c>
      <c r="J115" s="2" t="inlineStr">
        <is>
          <t>NO ESTIMABLE</t>
        </is>
      </c>
      <c r="K115" s="2" t="inlineStr">
        <is>
          <t>rango</t>
        </is>
      </c>
      <c r="L115" s="6">
        <f>IF(AND(ISNUMBER(D115),ISNUMBER(E115)),E115-D115,"")</f>
        <v/>
      </c>
      <c r="M115" s="6">
        <f>IF(AND(ISNUMBER(D115),ISNUMBER(E115)),IF(AND(D115&lt;=0,E115&gt;=0),"sí","no"),"")</f>
        <v/>
      </c>
    </row>
    <row r="116">
      <c r="A116" s="2" t="inlineStr">
        <is>
          <t>V18-C5I-2008T1-2013T4-00-E9-P</t>
        </is>
      </c>
      <c r="B116" s="2" t="inlineStr">
        <is>
          <t>Ilustración: compradores no residentes, precio real, 2008T1-2013T4, Nacional (factor)</t>
        </is>
      </c>
      <c r="C116" s="2" t="n">
        <v>11.1915</v>
      </c>
      <c r="D116" s="2" t="n">
        <v>9.1877</v>
      </c>
      <c r="E116" s="2" t="n">
        <v>13.2409</v>
      </c>
      <c r="F116" s="2" t="inlineStr">
        <is>
          <t>pp (100·Δln)</t>
        </is>
      </c>
      <c r="G116" s="2" t="inlineStr">
        <is>
          <t>2008T1-2013T4</t>
        </is>
      </c>
      <c r="H116" s="2" t="inlineStr">
        <is>
          <t>Nacional; cuota media de cuatro trimestres: 2007T4 a 2013T4</t>
        </is>
      </c>
      <c r="I116" s="2" t="inlineStr">
        <is>
          <t>C4</t>
        </is>
      </c>
      <c r="J116" s="2" t="inlineStr">
        <is>
          <t>NO ESTIMABLE</t>
        </is>
      </c>
      <c r="K116" s="2" t="inlineStr">
        <is>
          <t>rango</t>
        </is>
      </c>
      <c r="L116" s="6">
        <f>IF(AND(ISNUMBER(D116),ISNUMBER(E116)),E116-D116,"")</f>
        <v/>
      </c>
      <c r="M116" s="6">
        <f>IF(AND(ISNUMBER(D116),ISNUMBER(E116)),IF(AND(D116&lt;=0,E116&gt;=0),"sí","no"),"")</f>
        <v/>
      </c>
    </row>
    <row r="117">
      <c r="A117" s="2" t="inlineStr">
        <is>
          <t>V18-C5I-2008T1-2013T4-00-NOEXPL-P</t>
        </is>
      </c>
      <c r="B117" s="2" t="inlineStr">
        <is>
          <t>Ilustración: variación sin explicar, precio real, 2008T1-2013T4, Nacional (no_explicado)</t>
        </is>
      </c>
      <c r="C117" s="2" t="n">
        <v>-37.0263</v>
      </c>
      <c r="D117" s="2" t="n">
        <v>-39.0759</v>
      </c>
      <c r="E117" s="2" t="n">
        <v>-35.0696</v>
      </c>
      <c r="F117" s="2" t="inlineStr">
        <is>
          <t>pp (100·Δln)</t>
        </is>
      </c>
      <c r="G117" s="2" t="inlineStr">
        <is>
          <t>2008T1-2013T4</t>
        </is>
      </c>
      <c r="H117" s="2" t="inlineStr">
        <is>
          <t>Nacional</t>
        </is>
      </c>
      <c r="I117" s="2" t="inlineStr">
        <is>
          <t>C4</t>
        </is>
      </c>
      <c r="J117" s="2" t="inlineStr">
        <is>
          <t>NO ESTIMABLE</t>
        </is>
      </c>
      <c r="K117" s="2" t="inlineStr">
        <is>
          <t>rango</t>
        </is>
      </c>
      <c r="L117" s="6">
        <f>IF(AND(ISNUMBER(D117),ISNUMBER(E117)),E117-D117,"")</f>
        <v/>
      </c>
      <c r="M117" s="6">
        <f>IF(AND(ISNUMBER(D117),ISNUMBER(E117)),IF(AND(D117&lt;=0,E117&gt;=0),"sí","no"),"")</f>
        <v/>
      </c>
    </row>
    <row r="118">
      <c r="A118" s="2" t="inlineStr">
        <is>
          <t>V18-C5I-2008T1-2013T4-00-NOEXPL_alt_E9-P</t>
        </is>
      </c>
      <c r="B118" s="2" t="inlineStr">
        <is>
          <t>Ilustración: variación sin explicar, precio real, 2008T1-2013T4, Nacional (no_explicado_alternativa)</t>
        </is>
      </c>
      <c r="C118" s="2" t="n">
        <v>-48.9614</v>
      </c>
      <c r="D118" s="2" t="n">
        <v>-51.0707</v>
      </c>
      <c r="E118" s="2" t="n">
        <v>-46.9022</v>
      </c>
      <c r="F118" s="2" t="inlineStr">
        <is>
          <t>pp (100·Δln)</t>
        </is>
      </c>
      <c r="G118" s="2" t="inlineStr">
        <is>
          <t>2008T1-2013T4</t>
        </is>
      </c>
      <c r="H118" s="2" t="inlineStr">
        <is>
          <t>Nacional</t>
        </is>
      </c>
      <c r="I118" s="2" t="inlineStr">
        <is>
          <t>C4</t>
        </is>
      </c>
      <c r="J118" s="2" t="inlineStr">
        <is>
          <t>NO ESTIMABLE</t>
        </is>
      </c>
      <c r="K118" s="2" t="inlineStr">
        <is>
          <t>rango</t>
        </is>
      </c>
      <c r="L118" s="6">
        <f>IF(AND(ISNUMBER(D118),ISNUMBER(E118)),E118-D118,"")</f>
        <v/>
      </c>
      <c r="M118" s="6">
        <f>IF(AND(ISNUMBER(D118),ISNUMBER(E118)),IF(AND(D118&lt;=0,E118&gt;=0),"sí","no"),"")</f>
        <v/>
      </c>
    </row>
    <row r="119">
      <c r="A119" s="2" t="inlineStr">
        <is>
          <t>V18-C5I-2008T1-2013T4-01-E3-P</t>
        </is>
      </c>
      <c r="B119" s="2" t="inlineStr">
        <is>
          <t>Ilustración: inmigración, precio real, 2008T1-2013T4, Andalucía (factor)</t>
        </is>
      </c>
      <c r="C119" s="2" t="n">
        <v>0.6778999999999999</v>
      </c>
      <c r="D119" s="2" t="n">
        <v>-1.1208</v>
      </c>
      <c r="E119" s="2" t="n">
        <v>2.3954</v>
      </c>
      <c r="F119" s="2" t="inlineStr">
        <is>
          <t>pp (100·Δln)</t>
        </is>
      </c>
      <c r="G119" s="2" t="inlineStr">
        <is>
          <t>2008T1-2013T4</t>
        </is>
      </c>
      <c r="H119" s="2" t="inlineStr">
        <is>
          <t>Andalucía; stock a 1 de enero de 2008 a 2014</t>
        </is>
      </c>
      <c r="I119" s="2" t="inlineStr">
        <is>
          <t>C4</t>
        </is>
      </c>
      <c r="J119" s="2" t="inlineStr">
        <is>
          <t>NO ESTIMABLE</t>
        </is>
      </c>
      <c r="K119" s="2" t="inlineStr">
        <is>
          <t>rango</t>
        </is>
      </c>
      <c r="L119" s="6">
        <f>IF(AND(ISNUMBER(D119),ISNUMBER(E119)),E119-D119,"")</f>
        <v/>
      </c>
      <c r="M119" s="6">
        <f>IF(AND(ISNUMBER(D119),ISNUMBER(E119)),IF(AND(D119&lt;=0,E119&gt;=0),"sí","no"),"")</f>
        <v/>
      </c>
    </row>
    <row r="120">
      <c r="A120" s="2" t="inlineStr">
        <is>
          <t>V18-C5I-2008T1-2013T4-01-E8-P</t>
        </is>
      </c>
      <c r="B120" s="2" t="inlineStr">
        <is>
          <t>Ilustración: fiscalidad de la compra (ITP), precio real, 2008T1-2013T4, Andalucía (factor)</t>
        </is>
      </c>
      <c r="C120" s="2" t="n">
        <v>2.4357</v>
      </c>
      <c r="D120" s="2" t="n">
        <v>2.2694</v>
      </c>
      <c r="E120" s="2" t="n">
        <v>2.6064</v>
      </c>
      <c r="F120" s="2" t="inlineStr">
        <is>
          <t>pp (100·Δln)</t>
        </is>
      </c>
      <c r="G120" s="2" t="inlineStr">
        <is>
          <t>2008T1-2013T4</t>
        </is>
      </c>
      <c r="H120" s="2" t="inlineStr">
        <is>
          <t>Andalucía; cambios del tipo general entre 2010-01-01 y 2013-12-31 (el calendario empieza en 2010-01-01; fechas sin contraste con el BOE)</t>
        </is>
      </c>
      <c r="I120" s="2" t="inlineStr">
        <is>
          <t>C4</t>
        </is>
      </c>
      <c r="J120" s="2" t="inlineStr">
        <is>
          <t>NO ESTIMABLE</t>
        </is>
      </c>
      <c r="K120" s="2" t="inlineStr">
        <is>
          <t>rango</t>
        </is>
      </c>
      <c r="L120" s="6">
        <f>IF(AND(ISNUMBER(D120),ISNUMBER(E120)),E120-D120,"")</f>
        <v/>
      </c>
      <c r="M120" s="6">
        <f>IF(AND(ISNUMBER(D120),ISNUMBER(E120)),IF(AND(D120&lt;=0,E120&gt;=0),"sí","no"),"")</f>
        <v/>
      </c>
    </row>
    <row r="121">
      <c r="A121" s="2" t="inlineStr">
        <is>
          <t>V18-C5I-2008T1-2013T4-01-E9-P</t>
        </is>
      </c>
      <c r="B121" s="2" t="inlineStr">
        <is>
          <t>Ilustración: compradores no residentes, precio real, 2008T1-2013T4, Andalucía (factor)</t>
        </is>
      </c>
      <c r="C121" s="2" t="n">
        <v>7.2426</v>
      </c>
      <c r="D121" s="2" t="n">
        <v>5.9459</v>
      </c>
      <c r="E121" s="2" t="n">
        <v>8.568899999999999</v>
      </c>
      <c r="F121" s="2" t="inlineStr">
        <is>
          <t>pp (100·Δln)</t>
        </is>
      </c>
      <c r="G121" s="2" t="inlineStr">
        <is>
          <t>2008T1-2013T4</t>
        </is>
      </c>
      <c r="H121" s="2" t="inlineStr">
        <is>
          <t>Andalucía; cuota media de cuatro trimestres: 2007T4 a 2013T4</t>
        </is>
      </c>
      <c r="I121" s="2" t="inlineStr">
        <is>
          <t>C4</t>
        </is>
      </c>
      <c r="J121" s="2" t="inlineStr">
        <is>
          <t>NO ESTIMABLE</t>
        </is>
      </c>
      <c r="K121" s="2" t="inlineStr">
        <is>
          <t>rango</t>
        </is>
      </c>
      <c r="L121" s="6">
        <f>IF(AND(ISNUMBER(D121),ISNUMBER(E121)),E121-D121,"")</f>
        <v/>
      </c>
      <c r="M121" s="6">
        <f>IF(AND(ISNUMBER(D121),ISNUMBER(E121)),IF(AND(D121&lt;=0,E121&gt;=0),"sí","no"),"")</f>
        <v/>
      </c>
    </row>
    <row r="122">
      <c r="A122" s="2" t="inlineStr">
        <is>
          <t>V18-C5I-2008T1-2013T4-01-NOEXPL-P</t>
        </is>
      </c>
      <c r="B122" s="2" t="inlineStr">
        <is>
          <t>Ilustración: variación sin explicar, precio real, 2008T1-2013T4, Andalucía (no_explicado)</t>
        </is>
      </c>
      <c r="C122" s="2" t="n">
        <v>-5.9306</v>
      </c>
      <c r="D122" s="2" t="n">
        <v>-7.6585</v>
      </c>
      <c r="E122" s="2" t="n">
        <v>-4.1396</v>
      </c>
      <c r="F122" s="2" t="inlineStr">
        <is>
          <t>pp (100·Δln)</t>
        </is>
      </c>
      <c r="G122" s="2" t="inlineStr">
        <is>
          <t>2008T1-2013T4</t>
        </is>
      </c>
      <c r="H122" s="2" t="inlineStr">
        <is>
          <t>Andalucía</t>
        </is>
      </c>
      <c r="I122" s="2" t="inlineStr">
        <is>
          <t>C4</t>
        </is>
      </c>
      <c r="J122" s="2" t="inlineStr">
        <is>
          <t>NO ESTIMABLE</t>
        </is>
      </c>
      <c r="K122" s="2" t="inlineStr">
        <is>
          <t>rango</t>
        </is>
      </c>
      <c r="L122" s="6">
        <f>IF(AND(ISNUMBER(D122),ISNUMBER(E122)),E122-D122,"")</f>
        <v/>
      </c>
      <c r="M122" s="6">
        <f>IF(AND(ISNUMBER(D122),ISNUMBER(E122)),IF(AND(D122&lt;=0,E122&gt;=0),"sí","no"),"")</f>
        <v/>
      </c>
    </row>
    <row r="123">
      <c r="A123" s="2" t="inlineStr">
        <is>
          <t>V18-C5I-2008T1-2013T4-01-NOEXPL_alt_E9-P</t>
        </is>
      </c>
      <c r="B123" s="2" t="inlineStr">
        <is>
          <t>Ilustración: variación sin explicar, precio real, 2008T1-2013T4, Andalucía (no_explicado_alternativa)</t>
        </is>
      </c>
      <c r="C123" s="2" t="n">
        <v>-12.4983</v>
      </c>
      <c r="D123" s="2" t="n">
        <v>-13.8225</v>
      </c>
      <c r="E123" s="2" t="n">
        <v>-11.2109</v>
      </c>
      <c r="F123" s="2" t="inlineStr">
        <is>
          <t>pp (100·Δln)</t>
        </is>
      </c>
      <c r="G123" s="2" t="inlineStr">
        <is>
          <t>2008T1-2013T4</t>
        </is>
      </c>
      <c r="H123" s="2" t="inlineStr">
        <is>
          <t>Andalucía</t>
        </is>
      </c>
      <c r="I123" s="2" t="inlineStr">
        <is>
          <t>C4</t>
        </is>
      </c>
      <c r="J123" s="2" t="inlineStr">
        <is>
          <t>NO ESTIMABLE</t>
        </is>
      </c>
      <c r="K123" s="2" t="inlineStr">
        <is>
          <t>rango</t>
        </is>
      </c>
      <c r="L123" s="6">
        <f>IF(AND(ISNUMBER(D123),ISNUMBER(E123)),E123-D123,"")</f>
        <v/>
      </c>
      <c r="M123" s="6">
        <f>IF(AND(ISNUMBER(D123),ISNUMBER(E123)),IF(AND(D123&lt;=0,E123&gt;=0),"sí","no"),"")</f>
        <v/>
      </c>
    </row>
    <row r="124">
      <c r="A124" s="2" t="inlineStr">
        <is>
          <t>V18-C5I-2008T1-2013T4-07-E3-P</t>
        </is>
      </c>
      <c r="B124" s="2" t="inlineStr">
        <is>
          <t>Ilustración: inmigración, precio real, 2008T1-2013T4, Castilla y León (factor)</t>
        </is>
      </c>
      <c r="C124" s="2" t="n">
        <v>-0.0774</v>
      </c>
      <c r="D124" s="2" t="n">
        <v>-0.2736</v>
      </c>
      <c r="E124" s="2" t="n">
        <v>0.128</v>
      </c>
      <c r="F124" s="2" t="inlineStr">
        <is>
          <t>pp (100·Δln)</t>
        </is>
      </c>
      <c r="G124" s="2" t="inlineStr">
        <is>
          <t>2008T1-2013T4</t>
        </is>
      </c>
      <c r="H124" s="2" t="inlineStr">
        <is>
          <t>Castilla y León; stock a 1 de enero de 2008 a 2014</t>
        </is>
      </c>
      <c r="I124" s="2" t="inlineStr">
        <is>
          <t>C4</t>
        </is>
      </c>
      <c r="J124" s="2" t="inlineStr">
        <is>
          <t>NO ESTIMABLE</t>
        </is>
      </c>
      <c r="K124" s="2" t="inlineStr">
        <is>
          <t>rango</t>
        </is>
      </c>
      <c r="L124" s="6">
        <f>IF(AND(ISNUMBER(D124),ISNUMBER(E124)),E124-D124,"")</f>
        <v/>
      </c>
      <c r="M124" s="6">
        <f>IF(AND(ISNUMBER(D124),ISNUMBER(E124)),IF(AND(D124&lt;=0,E124&gt;=0),"sí","no"),"")</f>
        <v/>
      </c>
    </row>
    <row r="125">
      <c r="A125" s="2" t="inlineStr">
        <is>
          <t>V18-C5I-2008T1-2013T4-07-E8-P</t>
        </is>
      </c>
      <c r="B125" s="2" t="inlineStr">
        <is>
          <t>Ilustración: fiscalidad de la compra (ITP), precio real, 2008T1-2013T4, Castilla y León (factor)</t>
        </is>
      </c>
      <c r="C125" s="2" t="n">
        <v>2.4357</v>
      </c>
      <c r="D125" s="2" t="n">
        <v>2.2694</v>
      </c>
      <c r="E125" s="2" t="n">
        <v>2.6064</v>
      </c>
      <c r="F125" s="2" t="inlineStr">
        <is>
          <t>pp (100·Δln)</t>
        </is>
      </c>
      <c r="G125" s="2" t="inlineStr">
        <is>
          <t>2008T1-2013T4</t>
        </is>
      </c>
      <c r="H125" s="2" t="inlineStr">
        <is>
          <t>Castilla y León; cambios del tipo general entre 2010-01-01 y 2013-12-31 (el calendario empieza en 2010-01-01; fechas sin contraste con el BOE)</t>
        </is>
      </c>
      <c r="I125" s="2" t="inlineStr">
        <is>
          <t>C4</t>
        </is>
      </c>
      <c r="J125" s="2" t="inlineStr">
        <is>
          <t>NO ESTIMABLE</t>
        </is>
      </c>
      <c r="K125" s="2" t="inlineStr">
        <is>
          <t>rango</t>
        </is>
      </c>
      <c r="L125" s="6">
        <f>IF(AND(ISNUMBER(D125),ISNUMBER(E125)),E125-D125,"")</f>
        <v/>
      </c>
      <c r="M125" s="6">
        <f>IF(AND(ISNUMBER(D125),ISNUMBER(E125)),IF(AND(D125&lt;=0,E125&gt;=0),"sí","no"),"")</f>
        <v/>
      </c>
    </row>
    <row r="126">
      <c r="A126" s="2" t="inlineStr">
        <is>
          <t>V18-C5I-2008T1-2013T4-07-E9-P</t>
        </is>
      </c>
      <c r="B126" s="2" t="inlineStr">
        <is>
          <t>Ilustración: compradores no residentes, precio real, 2008T1-2013T4, Castilla y León (factor)</t>
        </is>
      </c>
      <c r="C126" s="2" t="n">
        <v>-3.8788</v>
      </c>
      <c r="D126" s="2" t="n">
        <v>-4.5891</v>
      </c>
      <c r="E126" s="2" t="n">
        <v>-3.1843</v>
      </c>
      <c r="F126" s="2" t="inlineStr">
        <is>
          <t>pp (100·Δln)</t>
        </is>
      </c>
      <c r="G126" s="2" t="inlineStr">
        <is>
          <t>2008T1-2013T4</t>
        </is>
      </c>
      <c r="H126" s="2" t="inlineStr">
        <is>
          <t>Castilla y León; cuota media de cuatro trimestres: 2007T4 a 2013T4</t>
        </is>
      </c>
      <c r="I126" s="2" t="inlineStr">
        <is>
          <t>C4</t>
        </is>
      </c>
      <c r="J126" s="2" t="inlineStr">
        <is>
          <t>NO ESTIMABLE</t>
        </is>
      </c>
      <c r="K126" s="2" t="inlineStr">
        <is>
          <t>rango</t>
        </is>
      </c>
      <c r="L126" s="6">
        <f>IF(AND(ISNUMBER(D126),ISNUMBER(E126)),E126-D126,"")</f>
        <v/>
      </c>
      <c r="M126" s="6">
        <f>IF(AND(ISNUMBER(D126),ISNUMBER(E126)),IF(AND(D126&lt;=0,E126&gt;=0),"sí","no"),"")</f>
        <v/>
      </c>
    </row>
    <row r="127">
      <c r="A127" s="2" t="inlineStr">
        <is>
          <t>V18-C5I-2008T1-2013T4-07-NOEXPL-P</t>
        </is>
      </c>
      <c r="B127" s="2" t="inlineStr">
        <is>
          <t>Ilustración: variación sin explicar, precio real, 2008T1-2013T4, Castilla y León (no_explicado)</t>
        </is>
      </c>
      <c r="C127" s="2" t="n">
        <v>-2.657</v>
      </c>
      <c r="D127" s="2" t="n">
        <v>-2.9381</v>
      </c>
      <c r="E127" s="2" t="n">
        <v>-2.3811</v>
      </c>
      <c r="F127" s="2" t="inlineStr">
        <is>
          <t>pp (100·Δln)</t>
        </is>
      </c>
      <c r="G127" s="2" t="inlineStr">
        <is>
          <t>2008T1-2013T4</t>
        </is>
      </c>
      <c r="H127" s="2" t="inlineStr">
        <is>
          <t>Castilla y León</t>
        </is>
      </c>
      <c r="I127" s="2" t="inlineStr">
        <is>
          <t>C4</t>
        </is>
      </c>
      <c r="J127" s="2" t="inlineStr">
        <is>
          <t>NO ESTIMABLE</t>
        </is>
      </c>
      <c r="K127" s="2" t="inlineStr">
        <is>
          <t>rango</t>
        </is>
      </c>
      <c r="L127" s="6">
        <f>IF(AND(ISNUMBER(D127),ISNUMBER(E127)),E127-D127,"")</f>
        <v/>
      </c>
      <c r="M127" s="6">
        <f>IF(AND(ISNUMBER(D127),ISNUMBER(E127)),IF(AND(D127&lt;=0,E127&gt;=0),"sí","no"),"")</f>
        <v/>
      </c>
    </row>
    <row r="128">
      <c r="A128" s="2" t="inlineStr">
        <is>
          <t>V18-C5I-2008T1-2013T4-07-NOEXPL_alt_E9-P</t>
        </is>
      </c>
      <c r="B128" s="2" t="inlineStr">
        <is>
          <t>Ilustración: variación sin explicar, precio real, 2008T1-2013T4, Castilla y León (no_explicado_alternativa)</t>
        </is>
      </c>
      <c r="C128" s="2" t="n">
        <v>1.1457</v>
      </c>
      <c r="D128" s="2" t="n">
        <v>0.4284</v>
      </c>
      <c r="E128" s="2" t="n">
        <v>1.8725</v>
      </c>
      <c r="F128" s="2" t="inlineStr">
        <is>
          <t>pp (100·Δln)</t>
        </is>
      </c>
      <c r="G128" s="2" t="inlineStr">
        <is>
          <t>2008T1-2013T4</t>
        </is>
      </c>
      <c r="H128" s="2" t="inlineStr">
        <is>
          <t>Castilla y León</t>
        </is>
      </c>
      <c r="I128" s="2" t="inlineStr">
        <is>
          <t>C4</t>
        </is>
      </c>
      <c r="J128" s="2" t="inlineStr">
        <is>
          <t>NO ESTIMABLE</t>
        </is>
      </c>
      <c r="K128" s="2" t="inlineStr">
        <is>
          <t>rango</t>
        </is>
      </c>
      <c r="L128" s="6">
        <f>IF(AND(ISNUMBER(D128),ISNUMBER(E128)),E128-D128,"")</f>
        <v/>
      </c>
      <c r="M128" s="6">
        <f>IF(AND(ISNUMBER(D128),ISNUMBER(E128)),IF(AND(D128&lt;=0,E128&gt;=0),"sí","no"),"")</f>
        <v/>
      </c>
    </row>
    <row r="129">
      <c r="A129" s="2" t="inlineStr">
        <is>
          <t>V18-C5I-2008T1-2013T4-08-E3-P</t>
        </is>
      </c>
      <c r="B129" s="2" t="inlineStr">
        <is>
          <t>Ilustración: inmigración, precio real, 2008T1-2013T4, Castilla-La Mancha (factor)</t>
        </is>
      </c>
      <c r="C129" s="2" t="n">
        <v>-0.3085</v>
      </c>
      <c r="D129" s="2" t="n">
        <v>-1.09</v>
      </c>
      <c r="E129" s="2" t="n">
        <v>0.51</v>
      </c>
      <c r="F129" s="2" t="inlineStr">
        <is>
          <t>pp (100·Δln)</t>
        </is>
      </c>
      <c r="G129" s="2" t="inlineStr">
        <is>
          <t>2008T1-2013T4</t>
        </is>
      </c>
      <c r="H129" s="2" t="inlineStr">
        <is>
          <t>Castilla-La Mancha; stock a 1 de enero de 2008 a 2014</t>
        </is>
      </c>
      <c r="I129" s="2" t="inlineStr">
        <is>
          <t>C4</t>
        </is>
      </c>
      <c r="J129" s="2" t="inlineStr">
        <is>
          <t>NO ESTIMABLE</t>
        </is>
      </c>
      <c r="K129" s="2" t="inlineStr">
        <is>
          <t>rango</t>
        </is>
      </c>
      <c r="L129" s="6">
        <f>IF(AND(ISNUMBER(D129),ISNUMBER(E129)),E129-D129,"")</f>
        <v/>
      </c>
      <c r="M129" s="6">
        <f>IF(AND(ISNUMBER(D129),ISNUMBER(E129)),IF(AND(D129&lt;=0,E129&gt;=0),"sí","no"),"")</f>
        <v/>
      </c>
    </row>
    <row r="130">
      <c r="A130" s="2" t="inlineStr">
        <is>
          <t>V18-C5I-2008T1-2013T4-08-E8-P</t>
        </is>
      </c>
      <c r="B130" s="2" t="inlineStr">
        <is>
          <t>Ilustración: fiscalidad de la compra (ITP), precio real, 2008T1-2013T4, Castilla-La Mancha (factor)</t>
        </is>
      </c>
      <c r="C130" s="2" t="n">
        <v>2.4357</v>
      </c>
      <c r="D130" s="2" t="n">
        <v>2.2694</v>
      </c>
      <c r="E130" s="2" t="n">
        <v>2.6064</v>
      </c>
      <c r="F130" s="2" t="inlineStr">
        <is>
          <t>pp (100·Δln)</t>
        </is>
      </c>
      <c r="G130" s="2" t="inlineStr">
        <is>
          <t>2008T1-2013T4</t>
        </is>
      </c>
      <c r="H130" s="2" t="inlineStr">
        <is>
          <t>Castilla-La Mancha; cambios del tipo general entre 2010-01-01 y 2013-12-31 (el calendario empieza en 2010-01-01; fechas sin contraste con el BOE)</t>
        </is>
      </c>
      <c r="I130" s="2" t="inlineStr">
        <is>
          <t>C4</t>
        </is>
      </c>
      <c r="J130" s="2" t="inlineStr">
        <is>
          <t>NO ESTIMABLE</t>
        </is>
      </c>
      <c r="K130" s="2" t="inlineStr">
        <is>
          <t>rango</t>
        </is>
      </c>
      <c r="L130" s="6">
        <f>IF(AND(ISNUMBER(D130),ISNUMBER(E130)),E130-D130,"")</f>
        <v/>
      </c>
      <c r="M130" s="6">
        <f>IF(AND(ISNUMBER(D130),ISNUMBER(E130)),IF(AND(D130&lt;=0,E130&gt;=0),"sí","no"),"")</f>
        <v/>
      </c>
    </row>
    <row r="131">
      <c r="A131" s="2" t="inlineStr">
        <is>
          <t>V18-C5I-2008T1-2013T4-08-E9-P</t>
        </is>
      </c>
      <c r="B131" s="2" t="inlineStr">
        <is>
          <t>Ilustración: compradores no residentes, precio real, 2008T1-2013T4, Castilla-La Mancha (factor)</t>
        </is>
      </c>
      <c r="C131" s="2" t="n">
        <v>-4.141</v>
      </c>
      <c r="D131" s="2" t="n">
        <v>-4.8993</v>
      </c>
      <c r="E131" s="2" t="n">
        <v>-3.3996</v>
      </c>
      <c r="F131" s="2" t="inlineStr">
        <is>
          <t>pp (100·Δln)</t>
        </is>
      </c>
      <c r="G131" s="2" t="inlineStr">
        <is>
          <t>2008T1-2013T4</t>
        </is>
      </c>
      <c r="H131" s="2" t="inlineStr">
        <is>
          <t>Castilla-La Mancha; cuota media de cuatro trimestres: 2007T4 a 2013T4</t>
        </is>
      </c>
      <c r="I131" s="2" t="inlineStr">
        <is>
          <t>C4</t>
        </is>
      </c>
      <c r="J131" s="2" t="inlineStr">
        <is>
          <t>NO ESTIMABLE</t>
        </is>
      </c>
      <c r="K131" s="2" t="inlineStr">
        <is>
          <t>rango</t>
        </is>
      </c>
      <c r="L131" s="6">
        <f>IF(AND(ISNUMBER(D131),ISNUMBER(E131)),E131-D131,"")</f>
        <v/>
      </c>
      <c r="M131" s="6">
        <f>IF(AND(ISNUMBER(D131),ISNUMBER(E131)),IF(AND(D131&lt;=0,E131&gt;=0),"sí","no"),"")</f>
        <v/>
      </c>
    </row>
    <row r="132">
      <c r="A132" s="2" t="inlineStr">
        <is>
          <t>V18-C5I-2008T1-2013T4-08-NOEXPL-P</t>
        </is>
      </c>
      <c r="B132" s="2" t="inlineStr">
        <is>
          <t>Ilustración: variación sin explicar, precio real, 2008T1-2013T4, Castilla-La Mancha (no_explicado)</t>
        </is>
      </c>
      <c r="C132" s="2" t="n">
        <v>-11.3296</v>
      </c>
      <c r="D132" s="2" t="n">
        <v>-12.1582</v>
      </c>
      <c r="E132" s="2" t="n">
        <v>-10.532</v>
      </c>
      <c r="F132" s="2" t="inlineStr">
        <is>
          <t>pp (100·Δln)</t>
        </is>
      </c>
      <c r="G132" s="2" t="inlineStr">
        <is>
          <t>2008T1-2013T4</t>
        </is>
      </c>
      <c r="H132" s="2" t="inlineStr">
        <is>
          <t>Castilla-La Mancha</t>
        </is>
      </c>
      <c r="I132" s="2" t="inlineStr">
        <is>
          <t>C4</t>
        </is>
      </c>
      <c r="J132" s="2" t="inlineStr">
        <is>
          <t>NO ESTIMABLE</t>
        </is>
      </c>
      <c r="K132" s="2" t="inlineStr">
        <is>
          <t>rango</t>
        </is>
      </c>
      <c r="L132" s="6">
        <f>IF(AND(ISNUMBER(D132),ISNUMBER(E132)),E132-D132,"")</f>
        <v/>
      </c>
      <c r="M132" s="6">
        <f>IF(AND(ISNUMBER(D132),ISNUMBER(E132)),IF(AND(D132&lt;=0,E132&gt;=0),"sí","no"),"")</f>
        <v/>
      </c>
    </row>
    <row r="133">
      <c r="A133" s="2" t="inlineStr">
        <is>
          <t>V18-C5I-2008T1-2013T4-08-NOEXPL_alt_E9-P</t>
        </is>
      </c>
      <c r="B133" s="2" t="inlineStr">
        <is>
          <t>Ilustración: variación sin explicar, precio real, 2008T1-2013T4, Castilla-La Mancha (no_explicado_alternativa)</t>
        </is>
      </c>
      <c r="C133" s="2" t="n">
        <v>-7.4956</v>
      </c>
      <c r="D133" s="2" t="n">
        <v>-8.2555</v>
      </c>
      <c r="E133" s="2" t="n">
        <v>-6.7216</v>
      </c>
      <c r="F133" s="2" t="inlineStr">
        <is>
          <t>pp (100·Δln)</t>
        </is>
      </c>
      <c r="G133" s="2" t="inlineStr">
        <is>
          <t>2008T1-2013T4</t>
        </is>
      </c>
      <c r="H133" s="2" t="inlineStr">
        <is>
          <t>Castilla-La Mancha</t>
        </is>
      </c>
      <c r="I133" s="2" t="inlineStr">
        <is>
          <t>C4</t>
        </is>
      </c>
      <c r="J133" s="2" t="inlineStr">
        <is>
          <t>NO ESTIMABLE</t>
        </is>
      </c>
      <c r="K133" s="2" t="inlineStr">
        <is>
          <t>rango</t>
        </is>
      </c>
      <c r="L133" s="6">
        <f>IF(AND(ISNUMBER(D133),ISNUMBER(E133)),E133-D133,"")</f>
        <v/>
      </c>
      <c r="M133" s="6">
        <f>IF(AND(ISNUMBER(D133),ISNUMBER(E133)),IF(AND(D133&lt;=0,E133&gt;=0),"sí","no"),"")</f>
        <v/>
      </c>
    </row>
    <row r="134">
      <c r="A134" s="2" t="inlineStr">
        <is>
          <t>V18-C5I-2008T1-2013T4-09-E3-P</t>
        </is>
      </c>
      <c r="B134" s="2" t="inlineStr">
        <is>
          <t>Ilustración: inmigración, precio real, 2008T1-2013T4, Cataluña (factor)</t>
        </is>
      </c>
      <c r="C134" s="2" t="n">
        <v>-1.0012</v>
      </c>
      <c r="D134" s="2" t="n">
        <v>-3.5382</v>
      </c>
      <c r="E134" s="2" t="n">
        <v>1.6554</v>
      </c>
      <c r="F134" s="2" t="inlineStr">
        <is>
          <t>pp (100·Δln)</t>
        </is>
      </c>
      <c r="G134" s="2" t="inlineStr">
        <is>
          <t>2008T1-2013T4</t>
        </is>
      </c>
      <c r="H134" s="2" t="inlineStr">
        <is>
          <t>Cataluña; stock a 1 de enero de 2008 a 2014</t>
        </is>
      </c>
      <c r="I134" s="2" t="inlineStr">
        <is>
          <t>C4</t>
        </is>
      </c>
      <c r="J134" s="2" t="inlineStr">
        <is>
          <t>NO ESTIMABLE</t>
        </is>
      </c>
      <c r="K134" s="2" t="inlineStr">
        <is>
          <t>rango</t>
        </is>
      </c>
      <c r="L134" s="6">
        <f>IF(AND(ISNUMBER(D134),ISNUMBER(E134)),E134-D134,"")</f>
        <v/>
      </c>
      <c r="M134" s="6">
        <f>IF(AND(ISNUMBER(D134),ISNUMBER(E134)),IF(AND(D134&lt;=0,E134&gt;=0),"sí","no"),"")</f>
        <v/>
      </c>
    </row>
    <row r="135">
      <c r="A135" s="2" t="inlineStr">
        <is>
          <t>V18-C5I-2008T1-2013T4-09-E8-P</t>
        </is>
      </c>
      <c r="B135" s="2" t="inlineStr">
        <is>
          <t>Ilustración: fiscalidad de la compra (ITP), precio real, 2008T1-2013T4, Cataluña (factor)</t>
        </is>
      </c>
      <c r="C135" s="2" t="n">
        <v>-4.0595</v>
      </c>
      <c r="D135" s="2" t="n">
        <v>-4.344</v>
      </c>
      <c r="E135" s="2" t="n">
        <v>-3.7824</v>
      </c>
      <c r="F135" s="2" t="inlineStr">
        <is>
          <t>pp (100·Δln)</t>
        </is>
      </c>
      <c r="G135" s="2" t="inlineStr">
        <is>
          <t>2008T1-2013T4</t>
        </is>
      </c>
      <c r="H135" s="2" t="inlineStr">
        <is>
          <t>Cataluña; cambios del tipo general entre 2010-01-01 y 2013-12-31 (el calendario empieza en 2010-01-01; fechas sin contraste con el BOE)</t>
        </is>
      </c>
      <c r="I135" s="2" t="inlineStr">
        <is>
          <t>C4</t>
        </is>
      </c>
      <c r="J135" s="2" t="inlineStr">
        <is>
          <t>NO ESTIMABLE</t>
        </is>
      </c>
      <c r="K135" s="2" t="inlineStr">
        <is>
          <t>rango</t>
        </is>
      </c>
      <c r="L135" s="6">
        <f>IF(AND(ISNUMBER(D135),ISNUMBER(E135)),E135-D135,"")</f>
        <v/>
      </c>
      <c r="M135" s="6">
        <f>IF(AND(ISNUMBER(D135),ISNUMBER(E135)),IF(AND(D135&lt;=0,E135&gt;=0),"sí","no"),"")</f>
        <v/>
      </c>
    </row>
    <row r="136">
      <c r="A136" s="2" t="inlineStr">
        <is>
          <t>V18-C5I-2008T1-2013T4-09-E9-P</t>
        </is>
      </c>
      <c r="B136" s="2" t="inlineStr">
        <is>
          <t>Ilustración: compradores no residentes, precio real, 2008T1-2013T4, Cataluña (factor)</t>
        </is>
      </c>
      <c r="C136" s="2" t="n">
        <v>8.693300000000001</v>
      </c>
      <c r="D136" s="2" t="n">
        <v>7.1368</v>
      </c>
      <c r="E136" s="2" t="n">
        <v>10.2852</v>
      </c>
      <c r="F136" s="2" t="inlineStr">
        <is>
          <t>pp (100·Δln)</t>
        </is>
      </c>
      <c r="G136" s="2" t="inlineStr">
        <is>
          <t>2008T1-2013T4</t>
        </is>
      </c>
      <c r="H136" s="2" t="inlineStr">
        <is>
          <t>Cataluña; cuota media de cuatro trimestres: 2007T4 a 2013T4</t>
        </is>
      </c>
      <c r="I136" s="2" t="inlineStr">
        <is>
          <t>C4</t>
        </is>
      </c>
      <c r="J136" s="2" t="inlineStr">
        <is>
          <t>NO ESTIMABLE</t>
        </is>
      </c>
      <c r="K136" s="2" t="inlineStr">
        <is>
          <t>rango</t>
        </is>
      </c>
      <c r="L136" s="6">
        <f>IF(AND(ISNUMBER(D136),ISNUMBER(E136)),E136-D136,"")</f>
        <v/>
      </c>
      <c r="M136" s="6">
        <f>IF(AND(ISNUMBER(D136),ISNUMBER(E136)),IF(AND(D136&lt;=0,E136&gt;=0),"sí","no"),"")</f>
        <v/>
      </c>
    </row>
    <row r="137">
      <c r="A137" s="2" t="inlineStr">
        <is>
          <t>V18-C5I-2008T1-2013T4-09-NOEXPL-P</t>
        </is>
      </c>
      <c r="B137" s="2" t="inlineStr">
        <is>
          <t>Ilustración: variación sin explicar, precio real, 2008T1-2013T4, Cataluña (no_explicado)</t>
        </is>
      </c>
      <c r="C137" s="2" t="n">
        <v>-0.8578</v>
      </c>
      <c r="D137" s="2" t="n">
        <v>-3.5076</v>
      </c>
      <c r="E137" s="2" t="n">
        <v>1.701</v>
      </c>
      <c r="F137" s="2" t="inlineStr">
        <is>
          <t>pp (100·Δln)</t>
        </is>
      </c>
      <c r="G137" s="2" t="inlineStr">
        <is>
          <t>2008T1-2013T4</t>
        </is>
      </c>
      <c r="H137" s="2" t="inlineStr">
        <is>
          <t>Cataluña</t>
        </is>
      </c>
      <c r="I137" s="2" t="inlineStr">
        <is>
          <t>C4</t>
        </is>
      </c>
      <c r="J137" s="2" t="inlineStr">
        <is>
          <t>NO ESTIMABLE</t>
        </is>
      </c>
      <c r="K137" s="2" t="inlineStr">
        <is>
          <t>rango</t>
        </is>
      </c>
      <c r="L137" s="6">
        <f>IF(AND(ISNUMBER(D137),ISNUMBER(E137)),E137-D137,"")</f>
        <v/>
      </c>
      <c r="M137" s="6">
        <f>IF(AND(ISNUMBER(D137),ISNUMBER(E137)),IF(AND(D137&lt;=0,E137&gt;=0),"sí","no"),"")</f>
        <v/>
      </c>
    </row>
    <row r="138">
      <c r="A138" s="2" t="inlineStr">
        <is>
          <t>V18-C5I-2008T1-2013T4-09-NOEXPL_alt_E9-P</t>
        </is>
      </c>
      <c r="B138" s="2" t="inlineStr">
        <is>
          <t>Ilustración: variación sin explicar, precio real, 2008T1-2013T4, Cataluña (no_explicado_alternativa)</t>
        </is>
      </c>
      <c r="C138" s="2" t="n">
        <v>-10.5356</v>
      </c>
      <c r="D138" s="2" t="n">
        <v>-12.1429</v>
      </c>
      <c r="E138" s="2" t="n">
        <v>-8.9695</v>
      </c>
      <c r="F138" s="2" t="inlineStr">
        <is>
          <t>pp (100·Δln)</t>
        </is>
      </c>
      <c r="G138" s="2" t="inlineStr">
        <is>
          <t>2008T1-2013T4</t>
        </is>
      </c>
      <c r="H138" s="2" t="inlineStr">
        <is>
          <t>Cataluña</t>
        </is>
      </c>
      <c r="I138" s="2" t="inlineStr">
        <is>
          <t>C4</t>
        </is>
      </c>
      <c r="J138" s="2" t="inlineStr">
        <is>
          <t>NO ESTIMABLE</t>
        </is>
      </c>
      <c r="K138" s="2" t="inlineStr">
        <is>
          <t>rango</t>
        </is>
      </c>
      <c r="L138" s="6">
        <f>IF(AND(ISNUMBER(D138),ISNUMBER(E138)),E138-D138,"")</f>
        <v/>
      </c>
      <c r="M138" s="6">
        <f>IF(AND(ISNUMBER(D138),ISNUMBER(E138)),IF(AND(D138&lt;=0,E138&gt;=0),"sí","no"),"")</f>
        <v/>
      </c>
    </row>
    <row r="139">
      <c r="A139" s="2" t="inlineStr">
        <is>
          <t>V18-C5I-2008T1-2013T4-10-E8-P</t>
        </is>
      </c>
      <c r="B139" s="2" t="inlineStr">
        <is>
          <t>Ilustración: fiscalidad de la compra (ITP), precio real, 2008T1-2013T4, Comunitat Valenciana (factor)</t>
        </is>
      </c>
      <c r="C139" s="2" t="n">
        <v>-4.0595</v>
      </c>
      <c r="D139" s="2" t="n">
        <v>-4.344</v>
      </c>
      <c r="E139" s="2" t="n">
        <v>-3.7824</v>
      </c>
      <c r="F139" s="2" t="inlineStr">
        <is>
          <t>pp (100·Δln)</t>
        </is>
      </c>
      <c r="G139" s="2" t="inlineStr">
        <is>
          <t>2008T1-2013T4</t>
        </is>
      </c>
      <c r="H139" s="2" t="inlineStr">
        <is>
          <t>España (Comunitat Valenciana; cambios del tipo general entre 2010-01-01 y 2013-12-31 (el calendario empieza en 2010-01-01; fechas sin contraste con el BOE))</t>
        </is>
      </c>
      <c r="I139" s="2" t="inlineStr">
        <is>
          <t>C4</t>
        </is>
      </c>
      <c r="J139" s="2" t="inlineStr">
        <is>
          <t>NO ESTIMABLE</t>
        </is>
      </c>
      <c r="K139" s="2" t="inlineStr">
        <is>
          <t>rango</t>
        </is>
      </c>
      <c r="L139" s="6">
        <f>IF(AND(ISNUMBER(D139),ISNUMBER(E139)),E139-D139,"")</f>
        <v/>
      </c>
      <c r="M139" s="6">
        <f>IF(AND(ISNUMBER(D139),ISNUMBER(E139)),IF(AND(D139&lt;=0,E139&gt;=0),"sí","no"),"")</f>
        <v/>
      </c>
    </row>
    <row r="140">
      <c r="A140" s="2" t="inlineStr">
        <is>
          <t>V18-C5I-2008T1-2013T4-10-E9-P</t>
        </is>
      </c>
      <c r="B140" s="2" t="inlineStr">
        <is>
          <t>Ilustración: compradores no residentes, precio real, 2008T1-2013T4, Comunitat Valenciana (factor)</t>
        </is>
      </c>
      <c r="C140" s="2" t="n">
        <v>22.3403</v>
      </c>
      <c r="D140" s="2" t="n">
        <v>18.3403</v>
      </c>
      <c r="E140" s="2" t="n">
        <v>26.4312</v>
      </c>
      <c r="F140" s="2" t="inlineStr">
        <is>
          <t>pp (100·Δln)</t>
        </is>
      </c>
      <c r="G140" s="2" t="inlineStr">
        <is>
          <t>2008T1-2013T4</t>
        </is>
      </c>
      <c r="H140" s="2" t="inlineStr">
        <is>
          <t>España (Comunitat Valenciana; cuota media de cuatro trimestres: 2007T4 a 2013T4)</t>
        </is>
      </c>
      <c r="I140" s="2" t="inlineStr">
        <is>
          <t>C4</t>
        </is>
      </c>
      <c r="J140" s="2" t="inlineStr">
        <is>
          <t>NO ESTIMABLE</t>
        </is>
      </c>
      <c r="K140" s="2" t="inlineStr">
        <is>
          <t>rango</t>
        </is>
      </c>
      <c r="L140" s="6">
        <f>IF(AND(ISNUMBER(D140),ISNUMBER(E140)),E140-D140,"")</f>
        <v/>
      </c>
      <c r="M140" s="6">
        <f>IF(AND(ISNUMBER(D140),ISNUMBER(E140)),IF(AND(D140&lt;=0,E140&gt;=0),"sí","no"),"")</f>
        <v/>
      </c>
    </row>
    <row r="141">
      <c r="A141" s="2" t="inlineStr">
        <is>
          <t>V18-C5I-2008T1-2013T4-10-NOEXPL-P</t>
        </is>
      </c>
      <c r="B141" s="2" t="inlineStr">
        <is>
          <t>Ilustración: variación sin explicar, precio real, 2008T1-2013T4, Comunitat Valenciana (no_explicado)</t>
        </is>
      </c>
      <c r="C141" s="2" t="n">
        <v>-2.3683</v>
      </c>
      <c r="D141" s="2" t="n">
        <v>-2.6453</v>
      </c>
      <c r="E141" s="2" t="n">
        <v>-2.0838</v>
      </c>
      <c r="F141" s="2" t="inlineStr">
        <is>
          <t>pp (100·Δln)</t>
        </is>
      </c>
      <c r="G141" s="2" t="inlineStr">
        <is>
          <t>2008T1-2013T4</t>
        </is>
      </c>
      <c r="H141" s="2" t="inlineStr">
        <is>
          <t>España (Comunitat Valenciana)</t>
        </is>
      </c>
      <c r="I141" s="2" t="inlineStr">
        <is>
          <t>C4</t>
        </is>
      </c>
      <c r="J141" s="2" t="inlineStr">
        <is>
          <t>NO ESTIMABLE</t>
        </is>
      </c>
      <c r="K141" s="2" t="inlineStr">
        <is>
          <t>rango</t>
        </is>
      </c>
      <c r="L141" s="6">
        <f>IF(AND(ISNUMBER(D141),ISNUMBER(E141)),E141-D141,"")</f>
        <v/>
      </c>
      <c r="M141" s="6">
        <f>IF(AND(ISNUMBER(D141),ISNUMBER(E141)),IF(AND(D141&lt;=0,E141&gt;=0),"sí","no"),"")</f>
        <v/>
      </c>
    </row>
    <row r="142">
      <c r="A142" s="2" t="inlineStr">
        <is>
          <t>V18-C5I-2008T1-2013T4-10-NOEXPL_alt_E9-P</t>
        </is>
      </c>
      <c r="B142" s="2" t="inlineStr">
        <is>
          <t>Ilustración: variación sin explicar, precio real, 2008T1-2013T4, Comunitat Valenciana (no_explicado_alternativa)</t>
        </is>
      </c>
      <c r="C142" s="2" t="n">
        <v>-24.6936</v>
      </c>
      <c r="D142" s="2" t="n">
        <v>-28.7865</v>
      </c>
      <c r="E142" s="2" t="n">
        <v>-20.6874</v>
      </c>
      <c r="F142" s="2" t="inlineStr">
        <is>
          <t>pp (100·Δln)</t>
        </is>
      </c>
      <c r="G142" s="2" t="inlineStr">
        <is>
          <t>2008T1-2013T4</t>
        </is>
      </c>
      <c r="H142" s="2" t="inlineStr">
        <is>
          <t>España (Comunitat Valenciana)</t>
        </is>
      </c>
      <c r="I142" s="2" t="inlineStr">
        <is>
          <t>C4</t>
        </is>
      </c>
      <c r="J142" s="2" t="inlineStr">
        <is>
          <t>NO ESTIMABLE</t>
        </is>
      </c>
      <c r="K142" s="2" t="inlineStr">
        <is>
          <t>rango</t>
        </is>
      </c>
      <c r="L142" s="6">
        <f>IF(AND(ISNUMBER(D142),ISNUMBER(E142)),E142-D142,"")</f>
        <v/>
      </c>
      <c r="M142" s="6">
        <f>IF(AND(ISNUMBER(D142),ISNUMBER(E142)),IF(AND(D142&lt;=0,E142&gt;=0),"sí","no"),"")</f>
        <v/>
      </c>
    </row>
    <row r="143">
      <c r="A143" s="2" t="inlineStr">
        <is>
          <t>V18-C5I-2008T1-2013T4-11-E3-P</t>
        </is>
      </c>
      <c r="B143" s="2" t="inlineStr">
        <is>
          <t>Ilustración: inmigración, precio real, 2008T1-2013T4, Extremadura (factor)</t>
        </is>
      </c>
      <c r="C143" s="2" t="n">
        <v>0.4069</v>
      </c>
      <c r="D143" s="2" t="n">
        <v>-0.6728</v>
      </c>
      <c r="E143" s="2" t="n">
        <v>1.438</v>
      </c>
      <c r="F143" s="2" t="inlineStr">
        <is>
          <t>pp (100·Δln)</t>
        </is>
      </c>
      <c r="G143" s="2" t="inlineStr">
        <is>
          <t>2008T1-2013T4</t>
        </is>
      </c>
      <c r="H143" s="2" t="inlineStr">
        <is>
          <t>Extremadura; stock a 1 de enero de 2008 a 2014</t>
        </is>
      </c>
      <c r="I143" s="2" t="inlineStr">
        <is>
          <t>C4</t>
        </is>
      </c>
      <c r="J143" s="2" t="inlineStr">
        <is>
          <t>NO ESTIMABLE</t>
        </is>
      </c>
      <c r="K143" s="2" t="inlineStr">
        <is>
          <t>rango</t>
        </is>
      </c>
      <c r="L143" s="6">
        <f>IF(AND(ISNUMBER(D143),ISNUMBER(E143)),E143-D143,"")</f>
        <v/>
      </c>
      <c r="M143" s="6">
        <f>IF(AND(ISNUMBER(D143),ISNUMBER(E143)),IF(AND(D143&lt;=0,E143&gt;=0),"sí","no"),"")</f>
        <v/>
      </c>
    </row>
    <row r="144">
      <c r="A144" s="2" t="inlineStr">
        <is>
          <t>V18-C5I-2008T1-2013T4-11-E8-P</t>
        </is>
      </c>
      <c r="B144" s="2" t="inlineStr">
        <is>
          <t>Ilustración: fiscalidad de la compra (ITP), precio real, 2008T1-2013T4, Extremadura (factor)</t>
        </is>
      </c>
      <c r="C144" s="2" t="n">
        <v>2.4357</v>
      </c>
      <c r="D144" s="2" t="n">
        <v>2.2694</v>
      </c>
      <c r="E144" s="2" t="n">
        <v>2.6064</v>
      </c>
      <c r="F144" s="2" t="inlineStr">
        <is>
          <t>pp (100·Δln)</t>
        </is>
      </c>
      <c r="G144" s="2" t="inlineStr">
        <is>
          <t>2008T1-2013T4</t>
        </is>
      </c>
      <c r="H144" s="2" t="inlineStr">
        <is>
          <t>Extremadura; cambios del tipo general entre 2010-01-01 y 2013-12-31 (el calendario empieza en 2010-01-01; fechas sin contraste con el BOE)</t>
        </is>
      </c>
      <c r="I144" s="2" t="inlineStr">
        <is>
          <t>C4</t>
        </is>
      </c>
      <c r="J144" s="2" t="inlineStr">
        <is>
          <t>NO ESTIMABLE</t>
        </is>
      </c>
      <c r="K144" s="2" t="inlineStr">
        <is>
          <t>rango</t>
        </is>
      </c>
      <c r="L144" s="6">
        <f>IF(AND(ISNUMBER(D144),ISNUMBER(E144)),E144-D144,"")</f>
        <v/>
      </c>
      <c r="M144" s="6">
        <f>IF(AND(ISNUMBER(D144),ISNUMBER(E144)),IF(AND(D144&lt;=0,E144&gt;=0),"sí","no"),"")</f>
        <v/>
      </c>
    </row>
    <row r="145">
      <c r="A145" s="2" t="inlineStr">
        <is>
          <t>V18-C5I-2008T1-2013T4-11-E9-P</t>
        </is>
      </c>
      <c r="B145" s="2" t="inlineStr">
        <is>
          <t>Ilustración: compradores no residentes, precio real, 2008T1-2013T4, Extremadura (factor)</t>
        </is>
      </c>
      <c r="C145" s="2" t="n">
        <v>-4.0575</v>
      </c>
      <c r="D145" s="2" t="n">
        <v>-4.8005</v>
      </c>
      <c r="E145" s="2" t="n">
        <v>-3.331</v>
      </c>
      <c r="F145" s="2" t="inlineStr">
        <is>
          <t>pp (100·Δln)</t>
        </is>
      </c>
      <c r="G145" s="2" t="inlineStr">
        <is>
          <t>2008T1-2013T4</t>
        </is>
      </c>
      <c r="H145" s="2" t="inlineStr">
        <is>
          <t>Extremadura; cuota media de cuatro trimestres: 2007T4 a 2013T4</t>
        </is>
      </c>
      <c r="I145" s="2" t="inlineStr">
        <is>
          <t>C4</t>
        </is>
      </c>
      <c r="J145" s="2" t="inlineStr">
        <is>
          <t>NO ESTIMABLE</t>
        </is>
      </c>
      <c r="K145" s="2" t="inlineStr">
        <is>
          <t>rango</t>
        </is>
      </c>
      <c r="L145" s="6">
        <f>IF(AND(ISNUMBER(D145),ISNUMBER(E145)),E145-D145,"")</f>
        <v/>
      </c>
      <c r="M145" s="6">
        <f>IF(AND(ISNUMBER(D145),ISNUMBER(E145)),IF(AND(D145&lt;=0,E145&gt;=0),"sí","no"),"")</f>
        <v/>
      </c>
    </row>
    <row r="146">
      <c r="A146" s="2" t="inlineStr">
        <is>
          <t>V18-C5I-2008T1-2013T4-11-NOEXPL-P</t>
        </is>
      </c>
      <c r="B146" s="2" t="inlineStr">
        <is>
          <t>Ilustración: variación sin explicar, precio real, 2008T1-2013T4, Extremadura (no_explicado)</t>
        </is>
      </c>
      <c r="C146" s="2" t="n">
        <v>10.8049</v>
      </c>
      <c r="D146" s="2" t="n">
        <v>9.758100000000001</v>
      </c>
      <c r="E146" s="2" t="n">
        <v>11.888</v>
      </c>
      <c r="F146" s="2" t="inlineStr">
        <is>
          <t>pp (100·Δln)</t>
        </is>
      </c>
      <c r="G146" s="2" t="inlineStr">
        <is>
          <t>2008T1-2013T4</t>
        </is>
      </c>
      <c r="H146" s="2" t="inlineStr">
        <is>
          <t>Extremadura</t>
        </is>
      </c>
      <c r="I146" s="2" t="inlineStr">
        <is>
          <t>C4</t>
        </is>
      </c>
      <c r="J146" s="2" t="inlineStr">
        <is>
          <t>NO ESTIMABLE</t>
        </is>
      </c>
      <c r="K146" s="2" t="inlineStr">
        <is>
          <t>rango</t>
        </is>
      </c>
      <c r="L146" s="6">
        <f>IF(AND(ISNUMBER(D146),ISNUMBER(E146)),E146-D146,"")</f>
        <v/>
      </c>
      <c r="M146" s="6">
        <f>IF(AND(ISNUMBER(D146),ISNUMBER(E146)),IF(AND(D146&lt;=0,E146&gt;=0),"sí","no"),"")</f>
        <v/>
      </c>
    </row>
    <row r="147">
      <c r="A147" s="2" t="inlineStr">
        <is>
          <t>V18-C5I-2008T1-2013T4-11-NOEXPL_alt_E9-P</t>
        </is>
      </c>
      <c r="B147" s="2" t="inlineStr">
        <is>
          <t>Ilustración: variación sin explicar, precio real, 2008T1-2013T4, Extremadura (no_explicado_alternativa)</t>
        </is>
      </c>
      <c r="C147" s="2" t="n">
        <v>15.2656</v>
      </c>
      <c r="D147" s="2" t="n">
        <v>14.519</v>
      </c>
      <c r="E147" s="2" t="n">
        <v>16.0246</v>
      </c>
      <c r="F147" s="2" t="inlineStr">
        <is>
          <t>pp (100·Δln)</t>
        </is>
      </c>
      <c r="G147" s="2" t="inlineStr">
        <is>
          <t>2008T1-2013T4</t>
        </is>
      </c>
      <c r="H147" s="2" t="inlineStr">
        <is>
          <t>Extremadura</t>
        </is>
      </c>
      <c r="I147" s="2" t="inlineStr">
        <is>
          <t>C4</t>
        </is>
      </c>
      <c r="J147" s="2" t="inlineStr">
        <is>
          <t>NO ESTIMABLE</t>
        </is>
      </c>
      <c r="K147" s="2" t="inlineStr">
        <is>
          <t>rango</t>
        </is>
      </c>
      <c r="L147" s="6">
        <f>IF(AND(ISNUMBER(D147),ISNUMBER(E147)),E147-D147,"")</f>
        <v/>
      </c>
      <c r="M147" s="6">
        <f>IF(AND(ISNUMBER(D147),ISNUMBER(E147)),IF(AND(D147&lt;=0,E147&gt;=0),"sí","no"),"")</f>
        <v/>
      </c>
    </row>
    <row r="148">
      <c r="A148" s="2" t="inlineStr">
        <is>
          <t>V18-C5I-2008T1-2013T4-12-E3-P</t>
        </is>
      </c>
      <c r="B148" s="2" t="inlineStr">
        <is>
          <t>Ilustración: inmigración, precio real, 2008T1-2013T4, Galicia (factor)</t>
        </is>
      </c>
      <c r="C148" s="2" t="n">
        <v>0.2842</v>
      </c>
      <c r="D148" s="2" t="n">
        <v>-0.4698</v>
      </c>
      <c r="E148" s="2" t="n">
        <v>1.0041</v>
      </c>
      <c r="F148" s="2" t="inlineStr">
        <is>
          <t>pp (100·Δln)</t>
        </is>
      </c>
      <c r="G148" s="2" t="inlineStr">
        <is>
          <t>2008T1-2013T4</t>
        </is>
      </c>
      <c r="H148" s="2" t="inlineStr">
        <is>
          <t>Galicia; stock a 1 de enero de 2008 a 2014</t>
        </is>
      </c>
      <c r="I148" s="2" t="inlineStr">
        <is>
          <t>C4</t>
        </is>
      </c>
      <c r="J148" s="2" t="inlineStr">
        <is>
          <t>NO ESTIMABLE</t>
        </is>
      </c>
      <c r="K148" s="2" t="inlineStr">
        <is>
          <t>rango</t>
        </is>
      </c>
      <c r="L148" s="6">
        <f>IF(AND(ISNUMBER(D148),ISNUMBER(E148)),E148-D148,"")</f>
        <v/>
      </c>
      <c r="M148" s="6">
        <f>IF(AND(ISNUMBER(D148),ISNUMBER(E148)),IF(AND(D148&lt;=0,E148&gt;=0),"sí","no"),"")</f>
        <v/>
      </c>
    </row>
    <row r="149">
      <c r="A149" s="2" t="inlineStr">
        <is>
          <t>V18-C5I-2008T1-2013T4-12-E8-P</t>
        </is>
      </c>
      <c r="B149" s="2" t="inlineStr">
        <is>
          <t>Ilustración: fiscalidad de la compra (ITP), precio real, 2008T1-2013T4, Galicia (factor)</t>
        </is>
      </c>
      <c r="C149" s="2" t="n">
        <v>-4.0595</v>
      </c>
      <c r="D149" s="2" t="n">
        <v>-4.344</v>
      </c>
      <c r="E149" s="2" t="n">
        <v>-3.7824</v>
      </c>
      <c r="F149" s="2" t="inlineStr">
        <is>
          <t>pp (100·Δln)</t>
        </is>
      </c>
      <c r="G149" s="2" t="inlineStr">
        <is>
          <t>2008T1-2013T4</t>
        </is>
      </c>
      <c r="H149" s="2" t="inlineStr">
        <is>
          <t>Galicia; cambios del tipo general entre 2010-01-01 y 2013-12-31 (el calendario empieza en 2010-01-01; fechas sin contraste con el BOE)</t>
        </is>
      </c>
      <c r="I149" s="2" t="inlineStr">
        <is>
          <t>C4</t>
        </is>
      </c>
      <c r="J149" s="2" t="inlineStr">
        <is>
          <t>NO ESTIMABLE</t>
        </is>
      </c>
      <c r="K149" s="2" t="inlineStr">
        <is>
          <t>rango</t>
        </is>
      </c>
      <c r="L149" s="6">
        <f>IF(AND(ISNUMBER(D149),ISNUMBER(E149)),E149-D149,"")</f>
        <v/>
      </c>
      <c r="M149" s="6">
        <f>IF(AND(ISNUMBER(D149),ISNUMBER(E149)),IF(AND(D149&lt;=0,E149&gt;=0),"sí","no"),"")</f>
        <v/>
      </c>
    </row>
    <row r="150">
      <c r="A150" s="2" t="inlineStr">
        <is>
          <t>V18-C5I-2008T1-2013T4-12-E9-P</t>
        </is>
      </c>
      <c r="B150" s="2" t="inlineStr">
        <is>
          <t>Ilustración: compradores no residentes, precio real, 2008T1-2013T4, Galicia (factor)</t>
        </is>
      </c>
      <c r="C150" s="2" t="n">
        <v>-2.9966</v>
      </c>
      <c r="D150" s="2" t="n">
        <v>-3.5453</v>
      </c>
      <c r="E150" s="2" t="n">
        <v>-2.4601</v>
      </c>
      <c r="F150" s="2" t="inlineStr">
        <is>
          <t>pp (100·Δln)</t>
        </is>
      </c>
      <c r="G150" s="2" t="inlineStr">
        <is>
          <t>2008T1-2013T4</t>
        </is>
      </c>
      <c r="H150" s="2" t="inlineStr">
        <is>
          <t>Galicia; cuota media de cuatro trimestres: 2007T4 a 2013T4</t>
        </is>
      </c>
      <c r="I150" s="2" t="inlineStr">
        <is>
          <t>C4</t>
        </is>
      </c>
      <c r="J150" s="2" t="inlineStr">
        <is>
          <t>NO ESTIMABLE</t>
        </is>
      </c>
      <c r="K150" s="2" t="inlineStr">
        <is>
          <t>rango</t>
        </is>
      </c>
      <c r="L150" s="6">
        <f>IF(AND(ISNUMBER(D150),ISNUMBER(E150)),E150-D150,"")</f>
        <v/>
      </c>
      <c r="M150" s="6">
        <f>IF(AND(ISNUMBER(D150),ISNUMBER(E150)),IF(AND(D150&lt;=0,E150&gt;=0),"sí","no"),"")</f>
        <v/>
      </c>
    </row>
    <row r="151">
      <c r="A151" s="2" t="inlineStr">
        <is>
          <t>V18-C5I-2008T1-2013T4-12-NOEXPL-P</t>
        </is>
      </c>
      <c r="B151" s="2" t="inlineStr">
        <is>
          <t>Ilustración: variación sin explicar, precio real, 2008T1-2013T4, Galicia (no_explicado)</t>
        </is>
      </c>
      <c r="C151" s="2" t="n">
        <v>10.568</v>
      </c>
      <c r="D151" s="2" t="n">
        <v>9.769500000000001</v>
      </c>
      <c r="E151" s="2" t="n">
        <v>11.378</v>
      </c>
      <c r="F151" s="2" t="inlineStr">
        <is>
          <t>pp (100·Δln)</t>
        </is>
      </c>
      <c r="G151" s="2" t="inlineStr">
        <is>
          <t>2008T1-2013T4</t>
        </is>
      </c>
      <c r="H151" s="2" t="inlineStr">
        <is>
          <t>Galicia</t>
        </is>
      </c>
      <c r="I151" s="2" t="inlineStr">
        <is>
          <t>C4</t>
        </is>
      </c>
      <c r="J151" s="2" t="inlineStr">
        <is>
          <t>NO ESTIMABLE</t>
        </is>
      </c>
      <c r="K151" s="2" t="inlineStr">
        <is>
          <t>rango</t>
        </is>
      </c>
      <c r="L151" s="6">
        <f>IF(AND(ISNUMBER(D151),ISNUMBER(E151)),E151-D151,"")</f>
        <v/>
      </c>
      <c r="M151" s="6">
        <f>IF(AND(ISNUMBER(D151),ISNUMBER(E151)),IF(AND(D151&lt;=0,E151&gt;=0),"sí","no"),"")</f>
        <v/>
      </c>
    </row>
    <row r="152">
      <c r="A152" s="2" t="inlineStr">
        <is>
          <t>V18-C5I-2008T1-2013T4-12-NOEXPL_alt_E9-P</t>
        </is>
      </c>
      <c r="B152" s="2" t="inlineStr">
        <is>
          <t>Ilustración: variación sin explicar, precio real, 2008T1-2013T4, Galicia (no_explicado_alternativa)</t>
        </is>
      </c>
      <c r="C152" s="2" t="n">
        <v>13.8407</v>
      </c>
      <c r="D152" s="2" t="n">
        <v>13.2091</v>
      </c>
      <c r="E152" s="2" t="n">
        <v>14.4868</v>
      </c>
      <c r="F152" s="2" t="inlineStr">
        <is>
          <t>pp (100·Δln)</t>
        </is>
      </c>
      <c r="G152" s="2" t="inlineStr">
        <is>
          <t>2008T1-2013T4</t>
        </is>
      </c>
      <c r="H152" s="2" t="inlineStr">
        <is>
          <t>Galicia</t>
        </is>
      </c>
      <c r="I152" s="2" t="inlineStr">
        <is>
          <t>C4</t>
        </is>
      </c>
      <c r="J152" s="2" t="inlineStr">
        <is>
          <t>NO ESTIMABLE</t>
        </is>
      </c>
      <c r="K152" s="2" t="inlineStr">
        <is>
          <t>rango</t>
        </is>
      </c>
      <c r="L152" s="6">
        <f>IF(AND(ISNUMBER(D152),ISNUMBER(E152)),E152-D152,"")</f>
        <v/>
      </c>
      <c r="M152" s="6">
        <f>IF(AND(ISNUMBER(D152),ISNUMBER(E152)),IF(AND(D152&lt;=0,E152&gt;=0),"sí","no"),"")</f>
        <v/>
      </c>
    </row>
    <row r="153">
      <c r="A153" s="2" t="inlineStr">
        <is>
          <t>V18-C5I-2008T1-2013T4-16-E3-P</t>
        </is>
      </c>
      <c r="B153" s="2" t="inlineStr">
        <is>
          <t>Ilustración: inmigración, precio real, 2008T1-2013T4, País Vasco (factor)</t>
        </is>
      </c>
      <c r="C153" s="2" t="n">
        <v>0.1691</v>
      </c>
      <c r="D153" s="2" t="n">
        <v>-0.2796</v>
      </c>
      <c r="E153" s="2" t="n">
        <v>0.5975</v>
      </c>
      <c r="F153" s="2" t="inlineStr">
        <is>
          <t>pp (100·Δln)</t>
        </is>
      </c>
      <c r="G153" s="2" t="inlineStr">
        <is>
          <t>2008T1-2013T4</t>
        </is>
      </c>
      <c r="H153" s="2" t="inlineStr">
        <is>
          <t>País Vasco; stock a 1 de enero de 2008 a 2014</t>
        </is>
      </c>
      <c r="I153" s="2" t="inlineStr">
        <is>
          <t>C4</t>
        </is>
      </c>
      <c r="J153" s="2" t="inlineStr">
        <is>
          <t>NO ESTIMABLE</t>
        </is>
      </c>
      <c r="K153" s="2" t="inlineStr">
        <is>
          <t>rango</t>
        </is>
      </c>
      <c r="L153" s="6">
        <f>IF(AND(ISNUMBER(D153),ISNUMBER(E153)),E153-D153,"")</f>
        <v/>
      </c>
      <c r="M153" s="6">
        <f>IF(AND(ISNUMBER(D153),ISNUMBER(E153)),IF(AND(D153&lt;=0,E153&gt;=0),"sí","no"),"")</f>
        <v/>
      </c>
    </row>
    <row r="154">
      <c r="A154" s="2" t="inlineStr">
        <is>
          <t>V18-C5I-2008T1-2013T4-16-E9-P</t>
        </is>
      </c>
      <c r="B154" s="2" t="inlineStr">
        <is>
          <t>Ilustración: compradores no residentes, precio real, 2008T1-2013T4, País Vasco (factor)</t>
        </is>
      </c>
      <c r="C154" s="2" t="n">
        <v>-3.8448</v>
      </c>
      <c r="D154" s="2" t="n">
        <v>-4.5489</v>
      </c>
      <c r="E154" s="2" t="n">
        <v>-3.1564</v>
      </c>
      <c r="F154" s="2" t="inlineStr">
        <is>
          <t>pp (100·Δln)</t>
        </is>
      </c>
      <c r="G154" s="2" t="inlineStr">
        <is>
          <t>2008T1-2013T4</t>
        </is>
      </c>
      <c r="H154" s="2" t="inlineStr">
        <is>
          <t>País Vasco; cuota media de cuatro trimestres: 2007T4 a 2013T4</t>
        </is>
      </c>
      <c r="I154" s="2" t="inlineStr">
        <is>
          <t>C4</t>
        </is>
      </c>
      <c r="J154" s="2" t="inlineStr">
        <is>
          <t>NO ESTIMABLE</t>
        </is>
      </c>
      <c r="K154" s="2" t="inlineStr">
        <is>
          <t>rango</t>
        </is>
      </c>
      <c r="L154" s="6">
        <f>IF(AND(ISNUMBER(D154),ISNUMBER(E154)),E154-D154,"")</f>
        <v/>
      </c>
      <c r="M154" s="6">
        <f>IF(AND(ISNUMBER(D154),ISNUMBER(E154)),IF(AND(D154&lt;=0,E154&gt;=0),"sí","no"),"")</f>
        <v/>
      </c>
    </row>
    <row r="155">
      <c r="A155" s="2" t="inlineStr">
        <is>
          <t>V18-C5I-2008T1-2013T4-16-NOEXPL-P</t>
        </is>
      </c>
      <c r="B155" s="2" t="inlineStr">
        <is>
          <t>Ilustración: variación sin explicar, precio real, 2008T1-2013T4, País Vasco (no_explicado)</t>
        </is>
      </c>
      <c r="C155" s="2" t="n">
        <v>13.9403</v>
      </c>
      <c r="D155" s="2" t="n">
        <v>13.5119</v>
      </c>
      <c r="E155" s="2" t="n">
        <v>14.389</v>
      </c>
      <c r="F155" s="2" t="inlineStr">
        <is>
          <t>pp (100·Δln)</t>
        </is>
      </c>
      <c r="G155" s="2" t="inlineStr">
        <is>
          <t>2008T1-2013T4</t>
        </is>
      </c>
      <c r="H155" s="2" t="inlineStr">
        <is>
          <t>País Vasco</t>
        </is>
      </c>
      <c r="I155" s="2" t="inlineStr">
        <is>
          <t>C4</t>
        </is>
      </c>
      <c r="J155" s="2" t="inlineStr">
        <is>
          <t>NO ESTIMABLE</t>
        </is>
      </c>
      <c r="K155" s="2" t="inlineStr">
        <is>
          <t>rango</t>
        </is>
      </c>
      <c r="L155" s="6">
        <f>IF(AND(ISNUMBER(D155),ISNUMBER(E155)),E155-D155,"")</f>
        <v/>
      </c>
      <c r="M155" s="6">
        <f>IF(AND(ISNUMBER(D155),ISNUMBER(E155)),IF(AND(D155&lt;=0,E155&gt;=0),"sí","no"),"")</f>
        <v/>
      </c>
    </row>
    <row r="156">
      <c r="A156" s="2" t="inlineStr">
        <is>
          <t>V18-C5I-2008T1-2013T4-16-NOEXPL_alt_E9-P</t>
        </is>
      </c>
      <c r="B156" s="2" t="inlineStr">
        <is>
          <t>Ilustración: variación sin explicar, precio real, 2008T1-2013T4, País Vasco (no_explicado_alternativa)</t>
        </is>
      </c>
      <c r="C156" s="2" t="n">
        <v>17.9542</v>
      </c>
      <c r="D156" s="2" t="n">
        <v>17.2658</v>
      </c>
      <c r="E156" s="2" t="n">
        <v>18.6583</v>
      </c>
      <c r="F156" s="2" t="inlineStr">
        <is>
          <t>pp (100·Δln)</t>
        </is>
      </c>
      <c r="G156" s="2" t="inlineStr">
        <is>
          <t>2008T1-2013T4</t>
        </is>
      </c>
      <c r="H156" s="2" t="inlineStr">
        <is>
          <t>País Vasco</t>
        </is>
      </c>
      <c r="I156" s="2" t="inlineStr">
        <is>
          <t>C4</t>
        </is>
      </c>
      <c r="J156" s="2" t="inlineStr">
        <is>
          <t>NO ESTIMABLE</t>
        </is>
      </c>
      <c r="K156" s="2" t="inlineStr">
        <is>
          <t>rango</t>
        </is>
      </c>
      <c r="L156" s="6">
        <f>IF(AND(ISNUMBER(D156),ISNUMBER(E156)),E156-D156,"")</f>
        <v/>
      </c>
      <c r="M156" s="6">
        <f>IF(AND(ISNUMBER(D156),ISNUMBER(E156)),IF(AND(D156&lt;=0,E156&gt;=0),"sí","no"),"")</f>
        <v/>
      </c>
    </row>
    <row r="157">
      <c r="A157" s="2" t="inlineStr">
        <is>
          <t>V18-C5I-2014T1-2019T4-00-E3-P</t>
        </is>
      </c>
      <c r="B157" s="2" t="inlineStr">
        <is>
          <t>Ilustración: inmigración, precio real, 2014T1-2019T4, Nacional (factor)</t>
        </is>
      </c>
      <c r="C157" s="2" t="n">
        <v>1.0217</v>
      </c>
      <c r="D157" s="2" t="n">
        <v>-1.6892</v>
      </c>
      <c r="E157" s="2" t="n">
        <v>3.6105</v>
      </c>
      <c r="F157" s="2" t="inlineStr">
        <is>
          <t>pp (100·Δln)</t>
        </is>
      </c>
      <c r="G157" s="2" t="inlineStr">
        <is>
          <t>2014T1-2019T4</t>
        </is>
      </c>
      <c r="H157" s="2" t="inlineStr">
        <is>
          <t>Nacional; stock a 1 de enero de 2014 a 2020</t>
        </is>
      </c>
      <c r="I157" s="2" t="inlineStr">
        <is>
          <t>C4</t>
        </is>
      </c>
      <c r="J157" s="2" t="inlineStr">
        <is>
          <t>NO ESTIMABLE</t>
        </is>
      </c>
      <c r="K157" s="2" t="inlineStr">
        <is>
          <t>rango</t>
        </is>
      </c>
      <c r="L157" s="6">
        <f>IF(AND(ISNUMBER(D157),ISNUMBER(E157)),E157-D157,"")</f>
        <v/>
      </c>
      <c r="M157" s="6">
        <f>IF(AND(ISNUMBER(D157),ISNUMBER(E157)),IF(AND(D157&lt;=0,E157&gt;=0),"sí","no"),"")</f>
        <v/>
      </c>
    </row>
    <row r="158">
      <c r="A158" s="2" t="inlineStr">
        <is>
          <t>V18-C5I-2014T1-2019T4-00-E7-P</t>
        </is>
      </c>
      <c r="B158" s="2" t="inlineStr">
        <is>
          <t>Ilustración: tipos de interés, precio real, 2014T1-2019T4, Nacional (factor)</t>
        </is>
      </c>
      <c r="C158" s="2" t="n">
        <v>0.3505</v>
      </c>
      <c r="D158" s="2" t="n">
        <v>0.215</v>
      </c>
      <c r="E158" s="2" t="n">
        <v>0.4847</v>
      </c>
      <c r="F158" s="2" t="inlineStr">
        <is>
          <t>pp (100·Δln)</t>
        </is>
      </c>
      <c r="G158" s="2" t="inlineStr">
        <is>
          <t>2014T1-2019T4</t>
        </is>
      </c>
      <c r="H158" s="2" t="inlineStr">
        <is>
          <t>Nacional; 2017T4 a 2019T4 (horizonte de 8 trimestres)</t>
        </is>
      </c>
      <c r="I158" s="2" t="inlineStr">
        <is>
          <t>C4</t>
        </is>
      </c>
      <c r="J158" s="2" t="inlineStr">
        <is>
          <t>NO ESTIMABLE</t>
        </is>
      </c>
      <c r="K158" s="2" t="inlineStr">
        <is>
          <t>rango</t>
        </is>
      </c>
      <c r="L158" s="6">
        <f>IF(AND(ISNUMBER(D158),ISNUMBER(E158)),E158-D158,"")</f>
        <v/>
      </c>
      <c r="M158" s="6">
        <f>IF(AND(ISNUMBER(D158),ISNUMBER(E158)),IF(AND(D158&lt;=0,E158&gt;=0),"sí","no"),"")</f>
        <v/>
      </c>
    </row>
    <row r="159">
      <c r="A159" s="2" t="inlineStr">
        <is>
          <t>V18-C5I-2014T1-2019T4-00-E9-P</t>
        </is>
      </c>
      <c r="B159" s="2" t="inlineStr">
        <is>
          <t>Ilustración: compradores no residentes, precio real, 2014T1-2019T4, Nacional (factor)</t>
        </is>
      </c>
      <c r="C159" s="2" t="n">
        <v>-4.2307</v>
      </c>
      <c r="D159" s="2" t="n">
        <v>-5.0054</v>
      </c>
      <c r="E159" s="2" t="n">
        <v>-3.4732</v>
      </c>
      <c r="F159" s="2" t="inlineStr">
        <is>
          <t>pp (100·Δln)</t>
        </is>
      </c>
      <c r="G159" s="2" t="inlineStr">
        <is>
          <t>2014T1-2019T4</t>
        </is>
      </c>
      <c r="H159" s="2" t="inlineStr">
        <is>
          <t>Nacional; cuota media de cuatro trimestres: 2013T4 a 2019T4</t>
        </is>
      </c>
      <c r="I159" s="2" t="inlineStr">
        <is>
          <t>C4</t>
        </is>
      </c>
      <c r="J159" s="2" t="inlineStr">
        <is>
          <t>NO ESTIMABLE</t>
        </is>
      </c>
      <c r="K159" s="2" t="inlineStr">
        <is>
          <t>rango</t>
        </is>
      </c>
      <c r="L159" s="6">
        <f>IF(AND(ISNUMBER(D159),ISNUMBER(E159)),E159-D159,"")</f>
        <v/>
      </c>
      <c r="M159" s="6">
        <f>IF(AND(ISNUMBER(D159),ISNUMBER(E159)),IF(AND(D159&lt;=0,E159&gt;=0),"sí","no"),"")</f>
        <v/>
      </c>
    </row>
    <row r="160">
      <c r="A160" s="2" t="inlineStr">
        <is>
          <t>V18-C5I-2014T1-2019T4-00-NOEXPL-P</t>
        </is>
      </c>
      <c r="B160" s="2" t="inlineStr">
        <is>
          <t>Ilustración: variación sin explicar, precio real, 2014T1-2019T4, Nacional (no_explicado)</t>
        </is>
      </c>
      <c r="C160" s="2" t="n">
        <v>4.9749</v>
      </c>
      <c r="D160" s="2" t="n">
        <v>2.3797</v>
      </c>
      <c r="E160" s="2" t="n">
        <v>7.6783</v>
      </c>
      <c r="F160" s="2" t="inlineStr">
        <is>
          <t>pp (100·Δln)</t>
        </is>
      </c>
      <c r="G160" s="2" t="inlineStr">
        <is>
          <t>2014T1-2019T4</t>
        </is>
      </c>
      <c r="H160" s="2" t="inlineStr">
        <is>
          <t>Nacional</t>
        </is>
      </c>
      <c r="I160" s="2" t="inlineStr">
        <is>
          <t>C4</t>
        </is>
      </c>
      <c r="J160" s="2" t="inlineStr">
        <is>
          <t>NO ESTIMABLE</t>
        </is>
      </c>
      <c r="K160" s="2" t="inlineStr">
        <is>
          <t>rango</t>
        </is>
      </c>
      <c r="L160" s="6">
        <f>IF(AND(ISNUMBER(D160),ISNUMBER(E160)),E160-D160,"")</f>
        <v/>
      </c>
      <c r="M160" s="6">
        <f>IF(AND(ISNUMBER(D160),ISNUMBER(E160)),IF(AND(D160&lt;=0,E160&gt;=0),"sí","no"),"")</f>
        <v/>
      </c>
    </row>
    <row r="161">
      <c r="A161" s="2" t="inlineStr">
        <is>
          <t>V18-C5I-2014T1-2019T4-00-NOEXPL_alt_E9-P</t>
        </is>
      </c>
      <c r="B161" s="2" t="inlineStr">
        <is>
          <t>Ilustración: variación sin explicar, precio real, 2014T1-2019T4, Nacional (no_explicado_alternativa)</t>
        </is>
      </c>
      <c r="C161" s="2" t="n">
        <v>10.2246</v>
      </c>
      <c r="D161" s="2" t="n">
        <v>9.4626</v>
      </c>
      <c r="E161" s="2" t="n">
        <v>11.0077</v>
      </c>
      <c r="F161" s="2" t="inlineStr">
        <is>
          <t>pp (100·Δln)</t>
        </is>
      </c>
      <c r="G161" s="2" t="inlineStr">
        <is>
          <t>2014T1-2019T4</t>
        </is>
      </c>
      <c r="H161" s="2" t="inlineStr">
        <is>
          <t>Nacional</t>
        </is>
      </c>
      <c r="I161" s="2" t="inlineStr">
        <is>
          <t>C4</t>
        </is>
      </c>
      <c r="J161" s="2" t="inlineStr">
        <is>
          <t>NO ESTIMABLE</t>
        </is>
      </c>
      <c r="K161" s="2" t="inlineStr">
        <is>
          <t>rango</t>
        </is>
      </c>
      <c r="L161" s="6">
        <f>IF(AND(ISNUMBER(D161),ISNUMBER(E161)),E161-D161,"")</f>
        <v/>
      </c>
      <c r="M161" s="6">
        <f>IF(AND(ISNUMBER(D161),ISNUMBER(E161)),IF(AND(D161&lt;=0,E161&gt;=0),"sí","no"),"")</f>
        <v/>
      </c>
    </row>
    <row r="162">
      <c r="A162" s="2" t="inlineStr">
        <is>
          <t>V18-C5I-2014T1-2019T4-01-E3-P</t>
        </is>
      </c>
      <c r="B162" s="2" t="inlineStr">
        <is>
          <t>Ilustración: inmigración, precio real, 2014T1-2019T4, Andalucía (factor)</t>
        </is>
      </c>
      <c r="C162" s="2" t="n">
        <v>0.0258</v>
      </c>
      <c r="D162" s="2" t="n">
        <v>-0.0426</v>
      </c>
      <c r="E162" s="2" t="n">
        <v>0.091</v>
      </c>
      <c r="F162" s="2" t="inlineStr">
        <is>
          <t>pp (100·Δln)</t>
        </is>
      </c>
      <c r="G162" s="2" t="inlineStr">
        <is>
          <t>2014T1-2019T4</t>
        </is>
      </c>
      <c r="H162" s="2" t="inlineStr">
        <is>
          <t>Andalucía; stock a 1 de enero de 2014 a 2020</t>
        </is>
      </c>
      <c r="I162" s="2" t="inlineStr">
        <is>
          <t>C4</t>
        </is>
      </c>
      <c r="J162" s="2" t="inlineStr">
        <is>
          <t>NO ESTIMABLE</t>
        </is>
      </c>
      <c r="K162" s="2" t="inlineStr">
        <is>
          <t>rango</t>
        </is>
      </c>
      <c r="L162" s="6">
        <f>IF(AND(ISNUMBER(D162),ISNUMBER(E162)),E162-D162,"")</f>
        <v/>
      </c>
      <c r="M162" s="6">
        <f>IF(AND(ISNUMBER(D162),ISNUMBER(E162)),IF(AND(D162&lt;=0,E162&gt;=0),"sí","no"),"")</f>
        <v/>
      </c>
    </row>
    <row r="163">
      <c r="A163" s="2" t="inlineStr">
        <is>
          <t>V18-C5I-2014T1-2019T4-01-E8-P</t>
        </is>
      </c>
      <c r="B163" s="2" t="inlineStr">
        <is>
          <t>Ilustración: fiscalidad de la compra (ITP), precio real, 2014T1-2019T4, Andalucía (factor)</t>
        </is>
      </c>
      <c r="C163" s="2" t="n">
        <v>1.2178</v>
      </c>
      <c r="D163" s="2" t="n">
        <v>1.1347</v>
      </c>
      <c r="E163" s="2" t="n">
        <v>1.3032</v>
      </c>
      <c r="F163" s="2" t="inlineStr">
        <is>
          <t>pp (100·Δln)</t>
        </is>
      </c>
      <c r="G163" s="2" t="inlineStr">
        <is>
          <t>2014T1-2019T4</t>
        </is>
      </c>
      <c r="H163" s="2" t="inlineStr">
        <is>
          <t>Andalucía; cambios del tipo general entre 2014-01-01 y 2019-12-31 (el calendario empieza en 2010-01-01; fechas sin contraste con el BOE)</t>
        </is>
      </c>
      <c r="I163" s="2" t="inlineStr">
        <is>
          <t>C4</t>
        </is>
      </c>
      <c r="J163" s="2" t="inlineStr">
        <is>
          <t>NO ESTIMABLE</t>
        </is>
      </c>
      <c r="K163" s="2" t="inlineStr">
        <is>
          <t>rango</t>
        </is>
      </c>
      <c r="L163" s="6">
        <f>IF(AND(ISNUMBER(D163),ISNUMBER(E163)),E163-D163,"")</f>
        <v/>
      </c>
      <c r="M163" s="6">
        <f>IF(AND(ISNUMBER(D163),ISNUMBER(E163)),IF(AND(D163&lt;=0,E163&gt;=0),"sí","no"),"")</f>
        <v/>
      </c>
    </row>
    <row r="164">
      <c r="A164" s="2" t="inlineStr">
        <is>
          <t>V18-C5I-2014T1-2019T4-01-E9-P</t>
        </is>
      </c>
      <c r="B164" s="2" t="inlineStr">
        <is>
          <t>Ilustración: compradores no residentes, precio real, 2014T1-2019T4, Andalucía (factor)</t>
        </is>
      </c>
      <c r="C164" s="2" t="n">
        <v>-3.7015</v>
      </c>
      <c r="D164" s="2" t="n">
        <v>-4.3793</v>
      </c>
      <c r="E164" s="2" t="n">
        <v>-3.0388</v>
      </c>
      <c r="F164" s="2" t="inlineStr">
        <is>
          <t>pp (100·Δln)</t>
        </is>
      </c>
      <c r="G164" s="2" t="inlineStr">
        <is>
          <t>2014T1-2019T4</t>
        </is>
      </c>
      <c r="H164" s="2" t="inlineStr">
        <is>
          <t>Andalucía; cuota media de cuatro trimestres: 2013T4 a 2019T4</t>
        </is>
      </c>
      <c r="I164" s="2" t="inlineStr">
        <is>
          <t>C4</t>
        </is>
      </c>
      <c r="J164" s="2" t="inlineStr">
        <is>
          <t>NO ESTIMABLE</t>
        </is>
      </c>
      <c r="K164" s="2" t="inlineStr">
        <is>
          <t>rango</t>
        </is>
      </c>
      <c r="L164" s="6">
        <f>IF(AND(ISNUMBER(D164),ISNUMBER(E164)),E164-D164,"")</f>
        <v/>
      </c>
      <c r="M164" s="6">
        <f>IF(AND(ISNUMBER(D164),ISNUMBER(E164)),IF(AND(D164&lt;=0,E164&gt;=0),"sí","no"),"")</f>
        <v/>
      </c>
    </row>
    <row r="165">
      <c r="A165" s="2" t="inlineStr">
        <is>
          <t>V18-C5I-2014T1-2019T4-01-NOEXPL-P</t>
        </is>
      </c>
      <c r="B165" s="2" t="inlineStr">
        <is>
          <t>Ilustración: variación sin explicar, precio real, 2014T1-2019T4, Andalucía (no_explicado)</t>
        </is>
      </c>
      <c r="C165" s="2" t="n">
        <v>4.4523</v>
      </c>
      <c r="D165" s="2" t="n">
        <v>4.3368</v>
      </c>
      <c r="E165" s="2" t="n">
        <v>4.5662</v>
      </c>
      <c r="F165" s="2" t="inlineStr">
        <is>
          <t>pp (100·Δln)</t>
        </is>
      </c>
      <c r="G165" s="2" t="inlineStr">
        <is>
          <t>2014T1-2019T4</t>
        </is>
      </c>
      <c r="H165" s="2" t="inlineStr">
        <is>
          <t>Andalucía</t>
        </is>
      </c>
      <c r="I165" s="2" t="inlineStr">
        <is>
          <t>C4</t>
        </is>
      </c>
      <c r="J165" s="2" t="inlineStr">
        <is>
          <t>NO ESTIMABLE</t>
        </is>
      </c>
      <c r="K165" s="2" t="inlineStr">
        <is>
          <t>rango</t>
        </is>
      </c>
      <c r="L165" s="6">
        <f>IF(AND(ISNUMBER(D165),ISNUMBER(E165)),E165-D165,"")</f>
        <v/>
      </c>
      <c r="M165" s="6">
        <f>IF(AND(ISNUMBER(D165),ISNUMBER(E165)),IF(AND(D165&lt;=0,E165&gt;=0),"sí","no"),"")</f>
        <v/>
      </c>
    </row>
    <row r="166">
      <c r="A166" s="2" t="inlineStr">
        <is>
          <t>V18-C5I-2014T1-2019T4-01-NOEXPL_alt_E9-P</t>
        </is>
      </c>
      <c r="B166" s="2" t="inlineStr">
        <is>
          <t>Ilustración: variación sin explicar, precio real, 2014T1-2019T4, Andalucía (no_explicado_alternativa)</t>
        </is>
      </c>
      <c r="C166" s="2" t="n">
        <v>8.176299999999999</v>
      </c>
      <c r="D166" s="2" t="n">
        <v>7.5165</v>
      </c>
      <c r="E166" s="2" t="n">
        <v>8.855600000000001</v>
      </c>
      <c r="F166" s="2" t="inlineStr">
        <is>
          <t>pp (100·Δln)</t>
        </is>
      </c>
      <c r="G166" s="2" t="inlineStr">
        <is>
          <t>2014T1-2019T4</t>
        </is>
      </c>
      <c r="H166" s="2" t="inlineStr">
        <is>
          <t>Andalucía</t>
        </is>
      </c>
      <c r="I166" s="2" t="inlineStr">
        <is>
          <t>C4</t>
        </is>
      </c>
      <c r="J166" s="2" t="inlineStr">
        <is>
          <t>NO ESTIMABLE</t>
        </is>
      </c>
      <c r="K166" s="2" t="inlineStr">
        <is>
          <t>rango</t>
        </is>
      </c>
      <c r="L166" s="6">
        <f>IF(AND(ISNUMBER(D166),ISNUMBER(E166)),E166-D166,"")</f>
        <v/>
      </c>
      <c r="M166" s="6">
        <f>IF(AND(ISNUMBER(D166),ISNUMBER(E166)),IF(AND(D166&lt;=0,E166&gt;=0),"sí","no"),"")</f>
        <v/>
      </c>
    </row>
    <row r="167">
      <c r="A167" s="2" t="inlineStr">
        <is>
          <t>V18-C5I-2014T1-2019T4-07-E3-P</t>
        </is>
      </c>
      <c r="B167" s="2" t="inlineStr">
        <is>
          <t>Ilustración: inmigración, precio real, 2014T1-2019T4, Castilla y León (factor)</t>
        </is>
      </c>
      <c r="C167" s="2" t="n">
        <v>-0.6072</v>
      </c>
      <c r="D167" s="2" t="n">
        <v>-2.1457</v>
      </c>
      <c r="E167" s="2" t="n">
        <v>1.0039</v>
      </c>
      <c r="F167" s="2" t="inlineStr">
        <is>
          <t>pp (100·Δln)</t>
        </is>
      </c>
      <c r="G167" s="2" t="inlineStr">
        <is>
          <t>2014T1-2019T4</t>
        </is>
      </c>
      <c r="H167" s="2" t="inlineStr">
        <is>
          <t>Castilla y León; stock a 1 de enero de 2014 a 2020</t>
        </is>
      </c>
      <c r="I167" s="2" t="inlineStr">
        <is>
          <t>C4</t>
        </is>
      </c>
      <c r="J167" s="2" t="inlineStr">
        <is>
          <t>NO ESTIMABLE</t>
        </is>
      </c>
      <c r="K167" s="2" t="inlineStr">
        <is>
          <t>rango</t>
        </is>
      </c>
      <c r="L167" s="6">
        <f>IF(AND(ISNUMBER(D167),ISNUMBER(E167)),E167-D167,"")</f>
        <v/>
      </c>
      <c r="M167" s="6">
        <f>IF(AND(ISNUMBER(D167),ISNUMBER(E167)),IF(AND(D167&lt;=0,E167&gt;=0),"sí","no"),"")</f>
        <v/>
      </c>
    </row>
    <row r="168">
      <c r="A168" s="2" t="inlineStr">
        <is>
          <t>V18-C5I-2014T1-2019T4-07-E8-P</t>
        </is>
      </c>
      <c r="B168" s="2" t="inlineStr">
        <is>
          <t>Ilustración: fiscalidad de la compra (ITP), precio real, 2014T1-2019T4, Castilla y León (factor)</t>
        </is>
      </c>
      <c r="C168" s="2" t="n">
        <v>1.2178</v>
      </c>
      <c r="D168" s="2" t="n">
        <v>1.1347</v>
      </c>
      <c r="E168" s="2" t="n">
        <v>1.3032</v>
      </c>
      <c r="F168" s="2" t="inlineStr">
        <is>
          <t>pp (100·Δln)</t>
        </is>
      </c>
      <c r="G168" s="2" t="inlineStr">
        <is>
          <t>2014T1-2019T4</t>
        </is>
      </c>
      <c r="H168" s="2" t="inlineStr">
        <is>
          <t>Castilla y León; cambios del tipo general entre 2014-01-01 y 2019-12-31 (el calendario empieza en 2010-01-01; fechas sin contraste con el BOE)</t>
        </is>
      </c>
      <c r="I168" s="2" t="inlineStr">
        <is>
          <t>C4</t>
        </is>
      </c>
      <c r="J168" s="2" t="inlineStr">
        <is>
          <t>NO ESTIMABLE</t>
        </is>
      </c>
      <c r="K168" s="2" t="inlineStr">
        <is>
          <t>rango</t>
        </is>
      </c>
      <c r="L168" s="6">
        <f>IF(AND(ISNUMBER(D168),ISNUMBER(E168)),E168-D168,"")</f>
        <v/>
      </c>
      <c r="M168" s="6">
        <f>IF(AND(ISNUMBER(D168),ISNUMBER(E168)),IF(AND(D168&lt;=0,E168&gt;=0),"sí","no"),"")</f>
        <v/>
      </c>
    </row>
    <row r="169">
      <c r="A169" s="2" t="inlineStr">
        <is>
          <t>V18-C5I-2014T1-2019T4-07-E9-P</t>
        </is>
      </c>
      <c r="B169" s="2" t="inlineStr">
        <is>
          <t>Ilustración: compradores no residentes, precio real, 2014T1-2019T4, Castilla y León (factor)</t>
        </is>
      </c>
      <c r="C169" s="2" t="n">
        <v>1.2825</v>
      </c>
      <c r="D169" s="2" t="n">
        <v>1.0529</v>
      </c>
      <c r="E169" s="2" t="n">
        <v>1.5174</v>
      </c>
      <c r="F169" s="2" t="inlineStr">
        <is>
          <t>pp (100·Δln)</t>
        </is>
      </c>
      <c r="G169" s="2" t="inlineStr">
        <is>
          <t>2014T1-2019T4</t>
        </is>
      </c>
      <c r="H169" s="2" t="inlineStr">
        <is>
          <t>Castilla y León; cuota media de cuatro trimestres: 2013T4 a 2019T4</t>
        </is>
      </c>
      <c r="I169" s="2" t="inlineStr">
        <is>
          <t>C4</t>
        </is>
      </c>
      <c r="J169" s="2" t="inlineStr">
        <is>
          <t>NO ESTIMABLE</t>
        </is>
      </c>
      <c r="K169" s="2" t="inlineStr">
        <is>
          <t>rango</t>
        </is>
      </c>
      <c r="L169" s="6">
        <f>IF(AND(ISNUMBER(D169),ISNUMBER(E169)),E169-D169,"")</f>
        <v/>
      </c>
      <c r="M169" s="6">
        <f>IF(AND(ISNUMBER(D169),ISNUMBER(E169)),IF(AND(D169&lt;=0,E169&gt;=0),"sí","no"),"")</f>
        <v/>
      </c>
    </row>
    <row r="170">
      <c r="A170" s="2" t="inlineStr">
        <is>
          <t>V18-C5I-2014T1-2019T4-07-NOEXPL-P</t>
        </is>
      </c>
      <c r="B170" s="2" t="inlineStr">
        <is>
          <t>Ilustración: variación sin explicar, precio real, 2014T1-2019T4, Castilla y León (no_explicado)</t>
        </is>
      </c>
      <c r="C170" s="2" t="n">
        <v>-4.4904</v>
      </c>
      <c r="D170" s="2" t="n">
        <v>-6.0975</v>
      </c>
      <c r="E170" s="2" t="n">
        <v>-2.9474</v>
      </c>
      <c r="F170" s="2" t="inlineStr">
        <is>
          <t>pp (100·Δln)</t>
        </is>
      </c>
      <c r="G170" s="2" t="inlineStr">
        <is>
          <t>2014T1-2019T4</t>
        </is>
      </c>
      <c r="H170" s="2" t="inlineStr">
        <is>
          <t>Castilla y León</t>
        </is>
      </c>
      <c r="I170" s="2" t="inlineStr">
        <is>
          <t>C4</t>
        </is>
      </c>
      <c r="J170" s="2" t="inlineStr">
        <is>
          <t>NO ESTIMABLE</t>
        </is>
      </c>
      <c r="K170" s="2" t="inlineStr">
        <is>
          <t>rango</t>
        </is>
      </c>
      <c r="L170" s="6">
        <f>IF(AND(ISNUMBER(D170),ISNUMBER(E170)),E170-D170,"")</f>
        <v/>
      </c>
      <c r="M170" s="6">
        <f>IF(AND(ISNUMBER(D170),ISNUMBER(E170)),IF(AND(D170&lt;=0,E170&gt;=0),"sí","no"),"")</f>
        <v/>
      </c>
    </row>
    <row r="171">
      <c r="A171" s="2" t="inlineStr">
        <is>
          <t>V18-C5I-2014T1-2019T4-07-NOEXPL_alt_E9-P</t>
        </is>
      </c>
      <c r="B171" s="2" t="inlineStr">
        <is>
          <t>Ilustración: variación sin explicar, precio real, 2014T1-2019T4, Castilla y León (no_explicado_alternativa)</t>
        </is>
      </c>
      <c r="C171" s="2" t="n">
        <v>-6.3781</v>
      </c>
      <c r="D171" s="2" t="n">
        <v>-6.6335</v>
      </c>
      <c r="E171" s="2" t="n">
        <v>-6.127</v>
      </c>
      <c r="F171" s="2" t="inlineStr">
        <is>
          <t>pp (100·Δln)</t>
        </is>
      </c>
      <c r="G171" s="2" t="inlineStr">
        <is>
          <t>2014T1-2019T4</t>
        </is>
      </c>
      <c r="H171" s="2" t="inlineStr">
        <is>
          <t>Castilla y León</t>
        </is>
      </c>
      <c r="I171" s="2" t="inlineStr">
        <is>
          <t>C4</t>
        </is>
      </c>
      <c r="J171" s="2" t="inlineStr">
        <is>
          <t>NO ESTIMABLE</t>
        </is>
      </c>
      <c r="K171" s="2" t="inlineStr">
        <is>
          <t>rango</t>
        </is>
      </c>
      <c r="L171" s="6">
        <f>IF(AND(ISNUMBER(D171),ISNUMBER(E171)),E171-D171,"")</f>
        <v/>
      </c>
      <c r="M171" s="6">
        <f>IF(AND(ISNUMBER(D171),ISNUMBER(E171)),IF(AND(D171&lt;=0,E171&gt;=0),"sí","no"),"")</f>
        <v/>
      </c>
    </row>
    <row r="172">
      <c r="A172" s="2" t="inlineStr">
        <is>
          <t>V18-C5I-2014T1-2019T4-08-E3-P</t>
        </is>
      </c>
      <c r="B172" s="2" t="inlineStr">
        <is>
          <t>Ilustración: inmigración, precio real, 2014T1-2019T4, Castilla-La Mancha (factor)</t>
        </is>
      </c>
      <c r="C172" s="2" t="n">
        <v>-0.6163</v>
      </c>
      <c r="D172" s="2" t="n">
        <v>-2.1778</v>
      </c>
      <c r="E172" s="2" t="n">
        <v>1.0189</v>
      </c>
      <c r="F172" s="2" t="inlineStr">
        <is>
          <t>pp (100·Δln)</t>
        </is>
      </c>
      <c r="G172" s="2" t="inlineStr">
        <is>
          <t>2014T1-2019T4</t>
        </is>
      </c>
      <c r="H172" s="2" t="inlineStr">
        <is>
          <t>Castilla-La Mancha; stock a 1 de enero de 2014 a 2020</t>
        </is>
      </c>
      <c r="I172" s="2" t="inlineStr">
        <is>
          <t>C4</t>
        </is>
      </c>
      <c r="J172" s="2" t="inlineStr">
        <is>
          <t>NO ESTIMABLE</t>
        </is>
      </c>
      <c r="K172" s="2" t="inlineStr">
        <is>
          <t>rango</t>
        </is>
      </c>
      <c r="L172" s="6">
        <f>IF(AND(ISNUMBER(D172),ISNUMBER(E172)),E172-D172,"")</f>
        <v/>
      </c>
      <c r="M172" s="6">
        <f>IF(AND(ISNUMBER(D172),ISNUMBER(E172)),IF(AND(D172&lt;=0,E172&gt;=0),"sí","no"),"")</f>
        <v/>
      </c>
    </row>
    <row r="173">
      <c r="A173" s="2" t="inlineStr">
        <is>
          <t>V18-C5I-2014T1-2019T4-08-E8-P</t>
        </is>
      </c>
      <c r="B173" s="2" t="inlineStr">
        <is>
          <t>Ilustración: fiscalidad de la compra (ITP), precio real, 2014T1-2019T4, Castilla-La Mancha (factor)</t>
        </is>
      </c>
      <c r="C173" s="2" t="n">
        <v>-2.0297</v>
      </c>
      <c r="D173" s="2" t="n">
        <v>-2.172</v>
      </c>
      <c r="E173" s="2" t="n">
        <v>-1.8912</v>
      </c>
      <c r="F173" s="2" t="inlineStr">
        <is>
          <t>pp (100·Δln)</t>
        </is>
      </c>
      <c r="G173" s="2" t="inlineStr">
        <is>
          <t>2014T1-2019T4</t>
        </is>
      </c>
      <c r="H173" s="2" t="inlineStr">
        <is>
          <t>Castilla-La Mancha; cambios del tipo general entre 2014-01-01 y 2019-12-31 (el calendario empieza en 2010-01-01; fechas sin contraste con el BOE)</t>
        </is>
      </c>
      <c r="I173" s="2" t="inlineStr">
        <is>
          <t>C4</t>
        </is>
      </c>
      <c r="J173" s="2" t="inlineStr">
        <is>
          <t>NO ESTIMABLE</t>
        </is>
      </c>
      <c r="K173" s="2" t="inlineStr">
        <is>
          <t>rango</t>
        </is>
      </c>
      <c r="L173" s="6">
        <f>IF(AND(ISNUMBER(D173),ISNUMBER(E173)),E173-D173,"")</f>
        <v/>
      </c>
      <c r="M173" s="6">
        <f>IF(AND(ISNUMBER(D173),ISNUMBER(E173)),IF(AND(D173&lt;=0,E173&gt;=0),"sí","no"),"")</f>
        <v/>
      </c>
    </row>
    <row r="174">
      <c r="A174" s="2" t="inlineStr">
        <is>
          <t>V18-C5I-2014T1-2019T4-08-E9-P</t>
        </is>
      </c>
      <c r="B174" s="2" t="inlineStr">
        <is>
          <t>Ilustración: compradores no residentes, precio real, 2014T1-2019T4, Castilla-La Mancha (factor)</t>
        </is>
      </c>
      <c r="C174" s="2" t="n">
        <v>1.2125</v>
      </c>
      <c r="D174" s="2" t="n">
        <v>0.9954</v>
      </c>
      <c r="E174" s="2" t="n">
        <v>1.4346</v>
      </c>
      <c r="F174" s="2" t="inlineStr">
        <is>
          <t>pp (100·Δln)</t>
        </is>
      </c>
      <c r="G174" s="2" t="inlineStr">
        <is>
          <t>2014T1-2019T4</t>
        </is>
      </c>
      <c r="H174" s="2" t="inlineStr">
        <is>
          <t>Castilla-La Mancha; cuota media de cuatro trimestres: 2013T4 a 2019T4</t>
        </is>
      </c>
      <c r="I174" s="2" t="inlineStr">
        <is>
          <t>C4</t>
        </is>
      </c>
      <c r="J174" s="2" t="inlineStr">
        <is>
          <t>NO ESTIMABLE</t>
        </is>
      </c>
      <c r="K174" s="2" t="inlineStr">
        <is>
          <t>rango</t>
        </is>
      </c>
      <c r="L174" s="6">
        <f>IF(AND(ISNUMBER(D174),ISNUMBER(E174)),E174-D174,"")</f>
        <v/>
      </c>
      <c r="M174" s="6">
        <f>IF(AND(ISNUMBER(D174),ISNUMBER(E174)),IF(AND(D174&lt;=0,E174&gt;=0),"sí","no"),"")</f>
        <v/>
      </c>
    </row>
    <row r="175">
      <c r="A175" s="2" t="inlineStr">
        <is>
          <t>V18-C5I-2014T1-2019T4-08-NOEXPL-P</t>
        </is>
      </c>
      <c r="B175" s="2" t="inlineStr">
        <is>
          <t>Ilustración: variación sin explicar, precio real, 2014T1-2019T4, Castilla-La Mancha (no_explicado)</t>
        </is>
      </c>
      <c r="C175" s="2" t="n">
        <v>-0.2044</v>
      </c>
      <c r="D175" s="2" t="n">
        <v>-1.8328</v>
      </c>
      <c r="E175" s="2" t="n">
        <v>1.3658</v>
      </c>
      <c r="F175" s="2" t="inlineStr">
        <is>
          <t>pp (100·Δln)</t>
        </is>
      </c>
      <c r="G175" s="2" t="inlineStr">
        <is>
          <t>2014T1-2019T4</t>
        </is>
      </c>
      <c r="H175" s="2" t="inlineStr">
        <is>
          <t>Castilla-La Mancha</t>
        </is>
      </c>
      <c r="I175" s="2" t="inlineStr">
        <is>
          <t>C4</t>
        </is>
      </c>
      <c r="J175" s="2" t="inlineStr">
        <is>
          <t>NO ESTIMABLE</t>
        </is>
      </c>
      <c r="K175" s="2" t="inlineStr">
        <is>
          <t>rango</t>
        </is>
      </c>
      <c r="L175" s="6">
        <f>IF(AND(ISNUMBER(D175),ISNUMBER(E175)),E175-D175,"")</f>
        <v/>
      </c>
      <c r="M175" s="6">
        <f>IF(AND(ISNUMBER(D175),ISNUMBER(E175)),IF(AND(D175&lt;=0,E175&gt;=0),"sí","no"),"")</f>
        <v/>
      </c>
    </row>
    <row r="176">
      <c r="A176" s="2" t="inlineStr">
        <is>
          <t>V18-C5I-2014T1-2019T4-08-NOEXPL_alt_E9-P</t>
        </is>
      </c>
      <c r="B176" s="2" t="inlineStr">
        <is>
          <t>Ilustración: variación sin explicar, precio real, 2014T1-2019T4, Castilla-La Mancha (no_explicado_alternativa)</t>
        </is>
      </c>
      <c r="C176" s="2" t="n">
        <v>-2.03</v>
      </c>
      <c r="D176" s="2" t="n">
        <v>-2.3039</v>
      </c>
      <c r="E176" s="2" t="n">
        <v>-1.7545</v>
      </c>
      <c r="F176" s="2" t="inlineStr">
        <is>
          <t>pp (100·Δln)</t>
        </is>
      </c>
      <c r="G176" s="2" t="inlineStr">
        <is>
          <t>2014T1-2019T4</t>
        </is>
      </c>
      <c r="H176" s="2" t="inlineStr">
        <is>
          <t>Castilla-La Mancha</t>
        </is>
      </c>
      <c r="I176" s="2" t="inlineStr">
        <is>
          <t>C4</t>
        </is>
      </c>
      <c r="J176" s="2" t="inlineStr">
        <is>
          <t>NO ESTIMABLE</t>
        </is>
      </c>
      <c r="K176" s="2" t="inlineStr">
        <is>
          <t>rango</t>
        </is>
      </c>
      <c r="L176" s="6">
        <f>IF(AND(ISNUMBER(D176),ISNUMBER(E176)),E176-D176,"")</f>
        <v/>
      </c>
      <c r="M176" s="6">
        <f>IF(AND(ISNUMBER(D176),ISNUMBER(E176)),IF(AND(D176&lt;=0,E176&gt;=0),"sí","no"),"")</f>
        <v/>
      </c>
    </row>
    <row r="177">
      <c r="A177" s="2" t="inlineStr">
        <is>
          <t>V18-C5I-2014T1-2019T4-09-E8-P</t>
        </is>
      </c>
      <c r="B177" s="2" t="inlineStr">
        <is>
          <t>Ilustración: fiscalidad de la compra (ITP), precio real, 2014T1-2019T4, Cataluña (factor)</t>
        </is>
      </c>
      <c r="C177" s="2" t="n">
        <v>1.2178</v>
      </c>
      <c r="D177" s="2" t="n">
        <v>1.1347</v>
      </c>
      <c r="E177" s="2" t="n">
        <v>1.3032</v>
      </c>
      <c r="F177" s="2" t="inlineStr">
        <is>
          <t>pp (100·Δln)</t>
        </is>
      </c>
      <c r="G177" s="2" t="inlineStr">
        <is>
          <t>2014T1-2019T4</t>
        </is>
      </c>
      <c r="H177" s="2" t="inlineStr">
        <is>
          <t>Cataluña; cambios del tipo general entre 2014-01-01 y 2019-12-31 (el calendario empieza en 2010-01-01; fechas sin contraste con el BOE)</t>
        </is>
      </c>
      <c r="I177" s="2" t="inlineStr">
        <is>
          <t>C4</t>
        </is>
      </c>
      <c r="J177" s="2" t="inlineStr">
        <is>
          <t>NO ESTIMABLE</t>
        </is>
      </c>
      <c r="K177" s="2" t="inlineStr">
        <is>
          <t>rango</t>
        </is>
      </c>
      <c r="L177" s="6">
        <f>IF(AND(ISNUMBER(D177),ISNUMBER(E177)),E177-D177,"")</f>
        <v/>
      </c>
      <c r="M177" s="6">
        <f>IF(AND(ISNUMBER(D177),ISNUMBER(E177)),IF(AND(D177&lt;=0,E177&gt;=0),"sí","no"),"")</f>
        <v/>
      </c>
    </row>
    <row r="178">
      <c r="A178" s="2" t="inlineStr">
        <is>
          <t>V18-C5I-2014T1-2019T4-09-E9-P</t>
        </is>
      </c>
      <c r="B178" s="2" t="inlineStr">
        <is>
          <t>Ilustración: compradores no residentes, precio real, 2014T1-2019T4, Cataluña (factor)</t>
        </is>
      </c>
      <c r="C178" s="2" t="n">
        <v>-5.092</v>
      </c>
      <c r="D178" s="2" t="n">
        <v>-6.0244</v>
      </c>
      <c r="E178" s="2" t="n">
        <v>-4.1803</v>
      </c>
      <c r="F178" s="2" t="inlineStr">
        <is>
          <t>pp (100·Δln)</t>
        </is>
      </c>
      <c r="G178" s="2" t="inlineStr">
        <is>
          <t>2014T1-2019T4</t>
        </is>
      </c>
      <c r="H178" s="2" t="inlineStr">
        <is>
          <t>Cataluña; cuota media de cuatro trimestres: 2013T4 a 2019T4</t>
        </is>
      </c>
      <c r="I178" s="2" t="inlineStr">
        <is>
          <t>C4</t>
        </is>
      </c>
      <c r="J178" s="2" t="inlineStr">
        <is>
          <t>NO ESTIMABLE</t>
        </is>
      </c>
      <c r="K178" s="2" t="inlineStr">
        <is>
          <t>rango</t>
        </is>
      </c>
      <c r="L178" s="6">
        <f>IF(AND(ISNUMBER(D178),ISNUMBER(E178)),E178-D178,"")</f>
        <v/>
      </c>
      <c r="M178" s="6">
        <f>IF(AND(ISNUMBER(D178),ISNUMBER(E178)),IF(AND(D178&lt;=0,E178&gt;=0),"sí","no"),"")</f>
        <v/>
      </c>
    </row>
    <row r="179">
      <c r="A179" s="2" t="inlineStr">
        <is>
          <t>V18-C5I-2014T1-2019T4-09-NOEXPL-P</t>
        </is>
      </c>
      <c r="B179" s="2" t="inlineStr">
        <is>
          <t>Ilustración: variación sin explicar, precio real, 2014T1-2019T4, Cataluña (no_explicado)</t>
        </is>
      </c>
      <c r="C179" s="2" t="n">
        <v>18.0328</v>
      </c>
      <c r="D179" s="2" t="n">
        <v>17.9475</v>
      </c>
      <c r="E179" s="2" t="n">
        <v>18.1159</v>
      </c>
      <c r="F179" s="2" t="inlineStr">
        <is>
          <t>pp (100·Δln)</t>
        </is>
      </c>
      <c r="G179" s="2" t="inlineStr">
        <is>
          <t>2014T1-2019T4</t>
        </is>
      </c>
      <c r="H179" s="2" t="inlineStr">
        <is>
          <t>Cataluña</t>
        </is>
      </c>
      <c r="I179" s="2" t="inlineStr">
        <is>
          <t>C4</t>
        </is>
      </c>
      <c r="J179" s="2" t="inlineStr">
        <is>
          <t>NO ESTIMABLE</t>
        </is>
      </c>
      <c r="K179" s="2" t="inlineStr">
        <is>
          <t>rango</t>
        </is>
      </c>
      <c r="L179" s="6">
        <f>IF(AND(ISNUMBER(D179),ISNUMBER(E179)),E179-D179,"")</f>
        <v/>
      </c>
      <c r="M179" s="6">
        <f>IF(AND(ISNUMBER(D179),ISNUMBER(E179)),IF(AND(D179&lt;=0,E179&gt;=0),"sí","no"),"")</f>
        <v/>
      </c>
    </row>
    <row r="180">
      <c r="A180" s="2" t="inlineStr">
        <is>
          <t>V18-C5I-2014T1-2019T4-09-NOEXPL_alt_E9-P</t>
        </is>
      </c>
      <c r="B180" s="2" t="inlineStr">
        <is>
          <t>Ilustración: variación sin explicar, precio real, 2014T1-2019T4, Cataluña (no_explicado_alternativa)</t>
        </is>
      </c>
      <c r="C180" s="2" t="n">
        <v>23.1214</v>
      </c>
      <c r="D180" s="2" t="n">
        <v>22.2123</v>
      </c>
      <c r="E180" s="2" t="n">
        <v>24.0549</v>
      </c>
      <c r="F180" s="2" t="inlineStr">
        <is>
          <t>pp (100·Δln)</t>
        </is>
      </c>
      <c r="G180" s="2" t="inlineStr">
        <is>
          <t>2014T1-2019T4</t>
        </is>
      </c>
      <c r="H180" s="2" t="inlineStr">
        <is>
          <t>Cataluña</t>
        </is>
      </c>
      <c r="I180" s="2" t="inlineStr">
        <is>
          <t>C4</t>
        </is>
      </c>
      <c r="J180" s="2" t="inlineStr">
        <is>
          <t>NO ESTIMABLE</t>
        </is>
      </c>
      <c r="K180" s="2" t="inlineStr">
        <is>
          <t>rango</t>
        </is>
      </c>
      <c r="L180" s="6">
        <f>IF(AND(ISNUMBER(D180),ISNUMBER(E180)),E180-D180,"")</f>
        <v/>
      </c>
      <c r="M180" s="6">
        <f>IF(AND(ISNUMBER(D180),ISNUMBER(E180)),IF(AND(D180&lt;=0,E180&gt;=0),"sí","no"),"")</f>
        <v/>
      </c>
    </row>
    <row r="181">
      <c r="A181" s="2" t="inlineStr">
        <is>
          <t>V18-C5I-2014T1-2019T4-10-E3-P</t>
        </is>
      </c>
      <c r="B181" s="2" t="inlineStr">
        <is>
          <t>Ilustración: inmigración, precio real, 2014T1-2019T4, Comunitat Valenciana (factor)</t>
        </is>
      </c>
      <c r="C181" s="2" t="n">
        <v>0.3065</v>
      </c>
      <c r="D181" s="2" t="n">
        <v>-0.5067</v>
      </c>
      <c r="E181" s="2" t="n">
        <v>1.083</v>
      </c>
      <c r="F181" s="2" t="inlineStr">
        <is>
          <t>pp (100·Δln)</t>
        </is>
      </c>
      <c r="G181" s="2" t="inlineStr">
        <is>
          <t>2014T1-2019T4</t>
        </is>
      </c>
      <c r="H181" s="2" t="inlineStr">
        <is>
          <t>España (Comunitat Valenciana; stock a 1 de enero de 2014 a 2020)</t>
        </is>
      </c>
      <c r="I181" s="2" t="inlineStr">
        <is>
          <t>C4</t>
        </is>
      </c>
      <c r="J181" s="2" t="inlineStr">
        <is>
          <t>NO ESTIMABLE</t>
        </is>
      </c>
      <c r="K181" s="2" t="inlineStr">
        <is>
          <t>rango</t>
        </is>
      </c>
      <c r="L181" s="6">
        <f>IF(AND(ISNUMBER(D181),ISNUMBER(E181)),E181-D181,"")</f>
        <v/>
      </c>
      <c r="M181" s="6">
        <f>IF(AND(ISNUMBER(D181),ISNUMBER(E181)),IF(AND(D181&lt;=0,E181&gt;=0),"sí","no"),"")</f>
        <v/>
      </c>
    </row>
    <row r="182">
      <c r="A182" s="2" t="inlineStr">
        <is>
          <t>V18-C5I-2014T1-2019T4-10-E8-P</t>
        </is>
      </c>
      <c r="B182" s="2" t="inlineStr">
        <is>
          <t>Ilustración: fiscalidad de la compra (ITP), precio real, 2014T1-2019T4, Comunitat Valenciana (factor)</t>
        </is>
      </c>
      <c r="C182" s="2" t="n">
        <v>1.2178</v>
      </c>
      <c r="D182" s="2" t="n">
        <v>1.1347</v>
      </c>
      <c r="E182" s="2" t="n">
        <v>1.3032</v>
      </c>
      <c r="F182" s="2" t="inlineStr">
        <is>
          <t>pp (100·Δln)</t>
        </is>
      </c>
      <c r="G182" s="2" t="inlineStr">
        <is>
          <t>2014T1-2019T4</t>
        </is>
      </c>
      <c r="H182" s="2" t="inlineStr">
        <is>
          <t>España (Comunitat Valenciana; cambios del tipo general entre 2014-01-01 y 2019-12-31 (el calendario empieza en 2010-01-01; fechas sin contraste con el BOE))</t>
        </is>
      </c>
      <c r="I182" s="2" t="inlineStr">
        <is>
          <t>C4</t>
        </is>
      </c>
      <c r="J182" s="2" t="inlineStr">
        <is>
          <t>NO ESTIMABLE</t>
        </is>
      </c>
      <c r="K182" s="2" t="inlineStr">
        <is>
          <t>rango</t>
        </is>
      </c>
      <c r="L182" s="6">
        <f>IF(AND(ISNUMBER(D182),ISNUMBER(E182)),E182-D182,"")</f>
        <v/>
      </c>
      <c r="M182" s="6">
        <f>IF(AND(ISNUMBER(D182),ISNUMBER(E182)),IF(AND(D182&lt;=0,E182&gt;=0),"sí","no"),"")</f>
        <v/>
      </c>
    </row>
    <row r="183">
      <c r="A183" s="2" t="inlineStr">
        <is>
          <t>V18-C5I-2014T1-2019T4-10-E9-P</t>
        </is>
      </c>
      <c r="B183" s="2" t="inlineStr">
        <is>
          <t>Ilustración: compradores no residentes, precio real, 2014T1-2019T4, Comunitat Valenciana (factor)</t>
        </is>
      </c>
      <c r="C183" s="2" t="n">
        <v>-5.3268</v>
      </c>
      <c r="D183" s="2" t="n">
        <v>-6.3023</v>
      </c>
      <c r="E183" s="2" t="n">
        <v>-4.3731</v>
      </c>
      <c r="F183" s="2" t="inlineStr">
        <is>
          <t>pp (100·Δln)</t>
        </is>
      </c>
      <c r="G183" s="2" t="inlineStr">
        <is>
          <t>2014T1-2019T4</t>
        </is>
      </c>
      <c r="H183" s="2" t="inlineStr">
        <is>
          <t>España (Comunitat Valenciana; cuota media de cuatro trimestres: 2013T4 a 2019T4)</t>
        </is>
      </c>
      <c r="I183" s="2" t="inlineStr">
        <is>
          <t>C4</t>
        </is>
      </c>
      <c r="J183" s="2" t="inlineStr">
        <is>
          <t>NO ESTIMABLE</t>
        </is>
      </c>
      <c r="K183" s="2" t="inlineStr">
        <is>
          <t>rango</t>
        </is>
      </c>
      <c r="L183" s="6">
        <f>IF(AND(ISNUMBER(D183),ISNUMBER(E183)),E183-D183,"")</f>
        <v/>
      </c>
      <c r="M183" s="6">
        <f>IF(AND(ISNUMBER(D183),ISNUMBER(E183)),IF(AND(D183&lt;=0,E183&gt;=0),"sí","no"),"")</f>
        <v/>
      </c>
    </row>
    <row r="184">
      <c r="A184" s="2" t="inlineStr">
        <is>
          <t>V18-C5I-2014T1-2019T4-10-NOEXPL-P</t>
        </is>
      </c>
      <c r="B184" s="2" t="inlineStr">
        <is>
          <t>Ilustración: variación sin explicar, precio real, 2014T1-2019T4, Comunitat Valenciana (no_explicado)</t>
        </is>
      </c>
      <c r="C184" s="2" t="n">
        <v>6.9557</v>
      </c>
      <c r="D184" s="2" t="n">
        <v>6.1724</v>
      </c>
      <c r="E184" s="2" t="n">
        <v>7.7663</v>
      </c>
      <c r="F184" s="2" t="inlineStr">
        <is>
          <t>pp (100·Δln)</t>
        </is>
      </c>
      <c r="G184" s="2" t="inlineStr">
        <is>
          <t>2014T1-2019T4</t>
        </is>
      </c>
      <c r="H184" s="2" t="inlineStr">
        <is>
          <t>España (Comunitat Valenciana)</t>
        </is>
      </c>
      <c r="I184" s="2" t="inlineStr">
        <is>
          <t>C4</t>
        </is>
      </c>
      <c r="J184" s="2" t="inlineStr">
        <is>
          <t>NO ESTIMABLE</t>
        </is>
      </c>
      <c r="K184" s="2" t="inlineStr">
        <is>
          <t>rango</t>
        </is>
      </c>
      <c r="L184" s="6">
        <f>IF(AND(ISNUMBER(D184),ISNUMBER(E184)),E184-D184,"")</f>
        <v/>
      </c>
      <c r="M184" s="6">
        <f>IF(AND(ISNUMBER(D184),ISNUMBER(E184)),IF(AND(D184&lt;=0,E184&gt;=0),"sí","no"),"")</f>
        <v/>
      </c>
    </row>
    <row r="185">
      <c r="A185" s="2" t="inlineStr">
        <is>
          <t>V18-C5I-2014T1-2019T4-10-NOEXPL_alt_E9-P</t>
        </is>
      </c>
      <c r="B185" s="2" t="inlineStr">
        <is>
          <t>Ilustración: variación sin explicar, precio real, 2014T1-2019T4, Comunitat Valenciana (no_explicado_alternativa)</t>
        </is>
      </c>
      <c r="C185" s="2" t="n">
        <v>12.582</v>
      </c>
      <c r="D185" s="2" t="n">
        <v>11.6299</v>
      </c>
      <c r="E185" s="2" t="n">
        <v>13.5589</v>
      </c>
      <c r="F185" s="2" t="inlineStr">
        <is>
          <t>pp (100·Δln)</t>
        </is>
      </c>
      <c r="G185" s="2" t="inlineStr">
        <is>
          <t>2014T1-2019T4</t>
        </is>
      </c>
      <c r="H185" s="2" t="inlineStr">
        <is>
          <t>España (Comunitat Valenciana)</t>
        </is>
      </c>
      <c r="I185" s="2" t="inlineStr">
        <is>
          <t>C4</t>
        </is>
      </c>
      <c r="J185" s="2" t="inlineStr">
        <is>
          <t>NO ESTIMABLE</t>
        </is>
      </c>
      <c r="K185" s="2" t="inlineStr">
        <is>
          <t>rango</t>
        </is>
      </c>
      <c r="L185" s="6">
        <f>IF(AND(ISNUMBER(D185),ISNUMBER(E185)),E185-D185,"")</f>
        <v/>
      </c>
      <c r="M185" s="6">
        <f>IF(AND(ISNUMBER(D185),ISNUMBER(E185)),IF(AND(D185&lt;=0,E185&gt;=0),"sí","no"),"")</f>
        <v/>
      </c>
    </row>
    <row r="186">
      <c r="A186" s="2" t="inlineStr">
        <is>
          <t>V18-C5I-2014T1-2019T4-11-E3-P</t>
        </is>
      </c>
      <c r="B186" s="2" t="inlineStr">
        <is>
          <t>Ilustración: inmigración, precio real, 2014T1-2019T4, Extremadura (factor)</t>
        </is>
      </c>
      <c r="C186" s="2" t="n">
        <v>-0.6495</v>
      </c>
      <c r="D186" s="2" t="n">
        <v>-2.295</v>
      </c>
      <c r="E186" s="2" t="n">
        <v>1.0738</v>
      </c>
      <c r="F186" s="2" t="inlineStr">
        <is>
          <t>pp (100·Δln)</t>
        </is>
      </c>
      <c r="G186" s="2" t="inlineStr">
        <is>
          <t>2014T1-2019T4</t>
        </is>
      </c>
      <c r="H186" s="2" t="inlineStr">
        <is>
          <t>Extremadura; stock a 1 de enero de 2014 a 2020</t>
        </is>
      </c>
      <c r="I186" s="2" t="inlineStr">
        <is>
          <t>C4</t>
        </is>
      </c>
      <c r="J186" s="2" t="inlineStr">
        <is>
          <t>NO ESTIMABLE</t>
        </is>
      </c>
      <c r="K186" s="2" t="inlineStr">
        <is>
          <t>rango</t>
        </is>
      </c>
      <c r="L186" s="6">
        <f>IF(AND(ISNUMBER(D186),ISNUMBER(E186)),E186-D186,"")</f>
        <v/>
      </c>
      <c r="M186" s="6">
        <f>IF(AND(ISNUMBER(D186),ISNUMBER(E186)),IF(AND(D186&lt;=0,E186&gt;=0),"sí","no"),"")</f>
        <v/>
      </c>
    </row>
    <row r="187">
      <c r="A187" s="2" t="inlineStr">
        <is>
          <t>V18-C5I-2014T1-2019T4-11-E8-P</t>
        </is>
      </c>
      <c r="B187" s="2" t="inlineStr">
        <is>
          <t>Ilustración: fiscalidad de la compra (ITP), precio real, 2014T1-2019T4, Extremadura (factor)</t>
        </is>
      </c>
      <c r="C187" s="2" t="n">
        <v>1.2178</v>
      </c>
      <c r="D187" s="2" t="n">
        <v>1.1347</v>
      </c>
      <c r="E187" s="2" t="n">
        <v>1.3032</v>
      </c>
      <c r="F187" s="2" t="inlineStr">
        <is>
          <t>pp (100·Δln)</t>
        </is>
      </c>
      <c r="G187" s="2" t="inlineStr">
        <is>
          <t>2014T1-2019T4</t>
        </is>
      </c>
      <c r="H187" s="2" t="inlineStr">
        <is>
          <t>Extremadura; cambios del tipo general entre 2014-01-01 y 2019-12-31 (el calendario empieza en 2010-01-01; fechas sin contraste con el BOE)</t>
        </is>
      </c>
      <c r="I187" s="2" t="inlineStr">
        <is>
          <t>C4</t>
        </is>
      </c>
      <c r="J187" s="2" t="inlineStr">
        <is>
          <t>NO ESTIMABLE</t>
        </is>
      </c>
      <c r="K187" s="2" t="inlineStr">
        <is>
          <t>rango</t>
        </is>
      </c>
      <c r="L187" s="6">
        <f>IF(AND(ISNUMBER(D187),ISNUMBER(E187)),E187-D187,"")</f>
        <v/>
      </c>
      <c r="M187" s="6">
        <f>IF(AND(ISNUMBER(D187),ISNUMBER(E187)),IF(AND(D187&lt;=0,E187&gt;=0),"sí","no"),"")</f>
        <v/>
      </c>
    </row>
    <row r="188">
      <c r="A188" s="2" t="inlineStr">
        <is>
          <t>V18-C5I-2014T1-2019T4-11-E9-P</t>
        </is>
      </c>
      <c r="B188" s="2" t="inlineStr">
        <is>
          <t>Ilustración: compradores no residentes, precio real, 2014T1-2019T4, Extremadura (factor)</t>
        </is>
      </c>
      <c r="C188" s="2" t="n">
        <v>0.8879</v>
      </c>
      <c r="D188" s="2" t="n">
        <v>0.7289</v>
      </c>
      <c r="E188" s="2" t="n">
        <v>1.0505</v>
      </c>
      <c r="F188" s="2" t="inlineStr">
        <is>
          <t>pp (100·Δln)</t>
        </is>
      </c>
      <c r="G188" s="2" t="inlineStr">
        <is>
          <t>2014T1-2019T4</t>
        </is>
      </c>
      <c r="H188" s="2" t="inlineStr">
        <is>
          <t>Extremadura; cuota media de cuatro trimestres: 2013T4 a 2019T4</t>
        </is>
      </c>
      <c r="I188" s="2" t="inlineStr">
        <is>
          <t>C4</t>
        </is>
      </c>
      <c r="J188" s="2" t="inlineStr">
        <is>
          <t>NO ESTIMABLE</t>
        </is>
      </c>
      <c r="K188" s="2" t="inlineStr">
        <is>
          <t>rango</t>
        </is>
      </c>
      <c r="L188" s="6">
        <f>IF(AND(ISNUMBER(D188),ISNUMBER(E188)),E188-D188,"")</f>
        <v/>
      </c>
      <c r="M188" s="6">
        <f>IF(AND(ISNUMBER(D188),ISNUMBER(E188)),IF(AND(D188&lt;=0,E188&gt;=0),"sí","no"),"")</f>
        <v/>
      </c>
    </row>
    <row r="189">
      <c r="A189" s="2" t="inlineStr">
        <is>
          <t>V18-C5I-2014T1-2019T4-11-NOEXPL-P</t>
        </is>
      </c>
      <c r="B189" s="2" t="inlineStr">
        <is>
          <t>Ilustración: variación sin explicar, precio real, 2014T1-2019T4, Extremadura (no_explicado)</t>
        </is>
      </c>
      <c r="C189" s="2" t="n">
        <v>0.4287</v>
      </c>
      <c r="D189" s="2" t="n">
        <v>-1.2885</v>
      </c>
      <c r="E189" s="2" t="n">
        <v>2.0783</v>
      </c>
      <c r="F189" s="2" t="inlineStr">
        <is>
          <t>pp (100·Δln)</t>
        </is>
      </c>
      <c r="G189" s="2" t="inlineStr">
        <is>
          <t>2014T1-2019T4</t>
        </is>
      </c>
      <c r="H189" s="2" t="inlineStr">
        <is>
          <t>Extremadura</t>
        </is>
      </c>
      <c r="I189" s="2" t="inlineStr">
        <is>
          <t>C4</t>
        </is>
      </c>
      <c r="J189" s="2" t="inlineStr">
        <is>
          <t>NO ESTIMABLE</t>
        </is>
      </c>
      <c r="K189" s="2" t="inlineStr">
        <is>
          <t>rango</t>
        </is>
      </c>
      <c r="L189" s="6">
        <f>IF(AND(ISNUMBER(D189),ISNUMBER(E189)),E189-D189,"")</f>
        <v/>
      </c>
      <c r="M189" s="6">
        <f>IF(AND(ISNUMBER(D189),ISNUMBER(E189)),IF(AND(D189&lt;=0,E189&gt;=0),"sí","no"),"")</f>
        <v/>
      </c>
    </row>
    <row r="190">
      <c r="A190" s="2" t="inlineStr">
        <is>
          <t>V18-C5I-2014T1-2019T4-11-NOEXPL_alt_E9-P</t>
        </is>
      </c>
      <c r="B190" s="2" t="inlineStr">
        <is>
          <t>Ilustración: variación sin explicar, precio real, 2014T1-2019T4, Extremadura (no_explicado_alternativa)</t>
        </is>
      </c>
      <c r="C190" s="2" t="n">
        <v>-1.1055</v>
      </c>
      <c r="D190" s="2" t="n">
        <v>-1.2975</v>
      </c>
      <c r="E190" s="2" t="n">
        <v>-0.9176</v>
      </c>
      <c r="F190" s="2" t="inlineStr">
        <is>
          <t>pp (100·Δln)</t>
        </is>
      </c>
      <c r="G190" s="2" t="inlineStr">
        <is>
          <t>2014T1-2019T4</t>
        </is>
      </c>
      <c r="H190" s="2" t="inlineStr">
        <is>
          <t>Extremadura</t>
        </is>
      </c>
      <c r="I190" s="2" t="inlineStr">
        <is>
          <t>C4</t>
        </is>
      </c>
      <c r="J190" s="2" t="inlineStr">
        <is>
          <t>NO ESTIMABLE</t>
        </is>
      </c>
      <c r="K190" s="2" t="inlineStr">
        <is>
          <t>rango</t>
        </is>
      </c>
      <c r="L190" s="6">
        <f>IF(AND(ISNUMBER(D190),ISNUMBER(E190)),E190-D190,"")</f>
        <v/>
      </c>
      <c r="M190" s="6">
        <f>IF(AND(ISNUMBER(D190),ISNUMBER(E190)),IF(AND(D190&lt;=0,E190&gt;=0),"sí","no"),"")</f>
        <v/>
      </c>
    </row>
    <row r="191">
      <c r="A191" s="2" t="inlineStr">
        <is>
          <t>V18-C5I-2014T1-2019T4-12-E3-P</t>
        </is>
      </c>
      <c r="B191" s="2" t="inlineStr">
        <is>
          <t>Ilustración: inmigración, precio real, 2014T1-2019T4, Galicia (factor)</t>
        </is>
      </c>
      <c r="C191" s="2" t="n">
        <v>-0.0206</v>
      </c>
      <c r="D191" s="2" t="n">
        <v>-0.0728</v>
      </c>
      <c r="E191" s="2" t="n">
        <v>0.0341</v>
      </c>
      <c r="F191" s="2" t="inlineStr">
        <is>
          <t>pp (100·Δln)</t>
        </is>
      </c>
      <c r="G191" s="2" t="inlineStr">
        <is>
          <t>2014T1-2019T4</t>
        </is>
      </c>
      <c r="H191" s="2" t="inlineStr">
        <is>
          <t>Galicia; stock a 1 de enero de 2014 a 2020</t>
        </is>
      </c>
      <c r="I191" s="2" t="inlineStr">
        <is>
          <t>C4</t>
        </is>
      </c>
      <c r="J191" s="2" t="inlineStr">
        <is>
          <t>NO ESTIMABLE</t>
        </is>
      </c>
      <c r="K191" s="2" t="inlineStr">
        <is>
          <t>rango</t>
        </is>
      </c>
      <c r="L191" s="6">
        <f>IF(AND(ISNUMBER(D191),ISNUMBER(E191)),E191-D191,"")</f>
        <v/>
      </c>
      <c r="M191" s="6">
        <f>IF(AND(ISNUMBER(D191),ISNUMBER(E191)),IF(AND(D191&lt;=0,E191&gt;=0),"sí","no"),"")</f>
        <v/>
      </c>
    </row>
    <row r="192">
      <c r="A192" s="2" t="inlineStr">
        <is>
          <t>V18-C5I-2014T1-2019T4-12-E8-P</t>
        </is>
      </c>
      <c r="B192" s="2" t="inlineStr">
        <is>
          <t>Ilustración: fiscalidad de la compra (ITP), precio real, 2014T1-2019T4, Galicia (factor)</t>
        </is>
      </c>
      <c r="C192" s="2" t="n">
        <v>1.2178</v>
      </c>
      <c r="D192" s="2" t="n">
        <v>1.1347</v>
      </c>
      <c r="E192" s="2" t="n">
        <v>1.3032</v>
      </c>
      <c r="F192" s="2" t="inlineStr">
        <is>
          <t>pp (100·Δln)</t>
        </is>
      </c>
      <c r="G192" s="2" t="inlineStr">
        <is>
          <t>2014T1-2019T4</t>
        </is>
      </c>
      <c r="H192" s="2" t="inlineStr">
        <is>
          <t>Galicia; cambios del tipo general entre 2014-01-01 y 2019-12-31 (el calendario empieza en 2010-01-01; fechas sin contraste con el BOE)</t>
        </is>
      </c>
      <c r="I192" s="2" t="inlineStr">
        <is>
          <t>C4</t>
        </is>
      </c>
      <c r="J192" s="2" t="inlineStr">
        <is>
          <t>NO ESTIMABLE</t>
        </is>
      </c>
      <c r="K192" s="2" t="inlineStr">
        <is>
          <t>rango</t>
        </is>
      </c>
      <c r="L192" s="6">
        <f>IF(AND(ISNUMBER(D192),ISNUMBER(E192)),E192-D192,"")</f>
        <v/>
      </c>
      <c r="M192" s="6">
        <f>IF(AND(ISNUMBER(D192),ISNUMBER(E192)),IF(AND(D192&lt;=0,E192&gt;=0),"sí","no"),"")</f>
        <v/>
      </c>
    </row>
    <row r="193">
      <c r="A193" s="2" t="inlineStr">
        <is>
          <t>V18-C5I-2014T1-2019T4-12-E9-P</t>
        </is>
      </c>
      <c r="B193" s="2" t="inlineStr">
        <is>
          <t>Ilustración: compradores no residentes, precio real, 2014T1-2019T4, Galicia (factor)</t>
        </is>
      </c>
      <c r="C193" s="2" t="n">
        <v>0.9577</v>
      </c>
      <c r="D193" s="2" t="n">
        <v>0.7862</v>
      </c>
      <c r="E193" s="2" t="n">
        <v>1.133</v>
      </c>
      <c r="F193" s="2" t="inlineStr">
        <is>
          <t>pp (100·Δln)</t>
        </is>
      </c>
      <c r="G193" s="2" t="inlineStr">
        <is>
          <t>2014T1-2019T4</t>
        </is>
      </c>
      <c r="H193" s="2" t="inlineStr">
        <is>
          <t>Galicia; cuota media de cuatro trimestres: 2013T4 a 2019T4</t>
        </is>
      </c>
      <c r="I193" s="2" t="inlineStr">
        <is>
          <t>C4</t>
        </is>
      </c>
      <c r="J193" s="2" t="inlineStr">
        <is>
          <t>NO ESTIMABLE</t>
        </is>
      </c>
      <c r="K193" s="2" t="inlineStr">
        <is>
          <t>rango</t>
        </is>
      </c>
      <c r="L193" s="6">
        <f>IF(AND(ISNUMBER(D193),ISNUMBER(E193)),E193-D193,"")</f>
        <v/>
      </c>
      <c r="M193" s="6">
        <f>IF(AND(ISNUMBER(D193),ISNUMBER(E193)),IF(AND(D193&lt;=0,E193&gt;=0),"sí","no"),"")</f>
        <v/>
      </c>
    </row>
    <row r="194">
      <c r="A194" s="2" t="inlineStr">
        <is>
          <t>V18-C5I-2014T1-2019T4-12-NOEXPL-P</t>
        </is>
      </c>
      <c r="B194" s="2" t="inlineStr">
        <is>
          <t>Ilustración: variación sin explicar, precio real, 2014T1-2019T4, Galicia (no_explicado)</t>
        </is>
      </c>
      <c r="C194" s="2" t="n">
        <v>-0.3476</v>
      </c>
      <c r="D194" s="2" t="n">
        <v>-0.453</v>
      </c>
      <c r="E194" s="2" t="n">
        <v>-0.2414</v>
      </c>
      <c r="F194" s="2" t="inlineStr">
        <is>
          <t>pp (100·Δln)</t>
        </is>
      </c>
      <c r="G194" s="2" t="inlineStr">
        <is>
          <t>2014T1-2019T4</t>
        </is>
      </c>
      <c r="H194" s="2" t="inlineStr">
        <is>
          <t>Galicia</t>
        </is>
      </c>
      <c r="I194" s="2" t="inlineStr">
        <is>
          <t>C4</t>
        </is>
      </c>
      <c r="J194" s="2" t="inlineStr">
        <is>
          <t>NO ESTIMABLE</t>
        </is>
      </c>
      <c r="K194" s="2" t="inlineStr">
        <is>
          <t>rango</t>
        </is>
      </c>
      <c r="L194" s="6">
        <f>IF(AND(ISNUMBER(D194),ISNUMBER(E194)),E194-D194,"")</f>
        <v/>
      </c>
      <c r="M194" s="6">
        <f>IF(AND(ISNUMBER(D194),ISNUMBER(E194)),IF(AND(D194&lt;=0,E194&gt;=0),"sí","no"),"")</f>
        <v/>
      </c>
    </row>
    <row r="195">
      <c r="A195" s="2" t="inlineStr">
        <is>
          <t>V18-C5I-2014T1-2019T4-12-NOEXPL_alt_E9-P</t>
        </is>
      </c>
      <c r="B195" s="2" t="inlineStr">
        <is>
          <t>Ilustración: variación sin explicar, precio real, 2014T1-2019T4, Galicia (no_explicado_alternativa)</t>
        </is>
      </c>
      <c r="C195" s="2" t="n">
        <v>-1.3251</v>
      </c>
      <c r="D195" s="2" t="n">
        <v>-1.5285</v>
      </c>
      <c r="E195" s="2" t="n">
        <v>-1.1259</v>
      </c>
      <c r="F195" s="2" t="inlineStr">
        <is>
          <t>pp (100·Δln)</t>
        </is>
      </c>
      <c r="G195" s="2" t="inlineStr">
        <is>
          <t>2014T1-2019T4</t>
        </is>
      </c>
      <c r="H195" s="2" t="inlineStr">
        <is>
          <t>Galicia</t>
        </is>
      </c>
      <c r="I195" s="2" t="inlineStr">
        <is>
          <t>C4</t>
        </is>
      </c>
      <c r="J195" s="2" t="inlineStr">
        <is>
          <t>NO ESTIMABLE</t>
        </is>
      </c>
      <c r="K195" s="2" t="inlineStr">
        <is>
          <t>rango</t>
        </is>
      </c>
      <c r="L195" s="6">
        <f>IF(AND(ISNUMBER(D195),ISNUMBER(E195)),E195-D195,"")</f>
        <v/>
      </c>
      <c r="M195" s="6">
        <f>IF(AND(ISNUMBER(D195),ISNUMBER(E195)),IF(AND(D195&lt;=0,E195&gt;=0),"sí","no"),"")</f>
        <v/>
      </c>
    </row>
    <row r="196">
      <c r="A196" s="2" t="inlineStr">
        <is>
          <t>V18-C5I-2014T1-2019T4-16-E3-P</t>
        </is>
      </c>
      <c r="B196" s="2" t="inlineStr">
        <is>
          <t>Ilustración: inmigración, precio real, 2014T1-2019T4, País Vasco (factor)</t>
        </is>
      </c>
      <c r="C196" s="2" t="n">
        <v>1.4051</v>
      </c>
      <c r="D196" s="2" t="n">
        <v>-2.3231</v>
      </c>
      <c r="E196" s="2" t="n">
        <v>4.9654</v>
      </c>
      <c r="F196" s="2" t="inlineStr">
        <is>
          <t>pp (100·Δln)</t>
        </is>
      </c>
      <c r="G196" s="2" t="inlineStr">
        <is>
          <t>2014T1-2019T4</t>
        </is>
      </c>
      <c r="H196" s="2" t="inlineStr">
        <is>
          <t>País Vasco; stock a 1 de enero de 2014 a 2020</t>
        </is>
      </c>
      <c r="I196" s="2" t="inlineStr">
        <is>
          <t>C4</t>
        </is>
      </c>
      <c r="J196" s="2" t="inlineStr">
        <is>
          <t>NO ESTIMABLE</t>
        </is>
      </c>
      <c r="K196" s="2" t="inlineStr">
        <is>
          <t>rango</t>
        </is>
      </c>
      <c r="L196" s="6">
        <f>IF(AND(ISNUMBER(D196),ISNUMBER(E196)),E196-D196,"")</f>
        <v/>
      </c>
      <c r="M196" s="6">
        <f>IF(AND(ISNUMBER(D196),ISNUMBER(E196)),IF(AND(D196&lt;=0,E196&gt;=0),"sí","no"),"")</f>
        <v/>
      </c>
    </row>
    <row r="197">
      <c r="A197" s="2" t="inlineStr">
        <is>
          <t>V18-C5I-2014T1-2019T4-16-E9-P</t>
        </is>
      </c>
      <c r="B197" s="2" t="inlineStr">
        <is>
          <t>Ilustración: compradores no residentes, precio real, 2014T1-2019T4, País Vasco (factor)</t>
        </is>
      </c>
      <c r="C197" s="2" t="n">
        <v>1.4766</v>
      </c>
      <c r="D197" s="2" t="n">
        <v>1.2122</v>
      </c>
      <c r="E197" s="2" t="n">
        <v>1.747</v>
      </c>
      <c r="F197" s="2" t="inlineStr">
        <is>
          <t>pp (100·Δln)</t>
        </is>
      </c>
      <c r="G197" s="2" t="inlineStr">
        <is>
          <t>2014T1-2019T4</t>
        </is>
      </c>
      <c r="H197" s="2" t="inlineStr">
        <is>
          <t>País Vasco; cuota media de cuatro trimestres: 2013T4 a 2019T4</t>
        </is>
      </c>
      <c r="I197" s="2" t="inlineStr">
        <is>
          <t>C4</t>
        </is>
      </c>
      <c r="J197" s="2" t="inlineStr">
        <is>
          <t>NO ESTIMABLE</t>
        </is>
      </c>
      <c r="K197" s="2" t="inlineStr">
        <is>
          <t>rango</t>
        </is>
      </c>
      <c r="L197" s="6">
        <f>IF(AND(ISNUMBER(D197),ISNUMBER(E197)),E197-D197,"")</f>
        <v/>
      </c>
      <c r="M197" s="6">
        <f>IF(AND(ISNUMBER(D197),ISNUMBER(E197)),IF(AND(D197&lt;=0,E197&gt;=0),"sí","no"),"")</f>
        <v/>
      </c>
    </row>
    <row r="198">
      <c r="A198" s="2" t="inlineStr">
        <is>
          <t>V18-C5I-2014T1-2019T4-16-NOEXPL-P</t>
        </is>
      </c>
      <c r="B198" s="2" t="inlineStr">
        <is>
          <t>Ilustración: variación sin explicar, precio real, 2014T1-2019T4, País Vasco (no_explicado)</t>
        </is>
      </c>
      <c r="C198" s="2" t="n">
        <v>-2.9837</v>
      </c>
      <c r="D198" s="2" t="n">
        <v>-6.544</v>
      </c>
      <c r="E198" s="2" t="n">
        <v>0.7445000000000001</v>
      </c>
      <c r="F198" s="2" t="inlineStr">
        <is>
          <t>pp (100·Δln)</t>
        </is>
      </c>
      <c r="G198" s="2" t="inlineStr">
        <is>
          <t>2014T1-2019T4</t>
        </is>
      </c>
      <c r="H198" s="2" t="inlineStr">
        <is>
          <t>País Vasco</t>
        </is>
      </c>
      <c r="I198" s="2" t="inlineStr">
        <is>
          <t>C4</t>
        </is>
      </c>
      <c r="J198" s="2" t="inlineStr">
        <is>
          <t>NO ESTIMABLE</t>
        </is>
      </c>
      <c r="K198" s="2" t="inlineStr">
        <is>
          <t>rango</t>
        </is>
      </c>
      <c r="L198" s="6">
        <f>IF(AND(ISNUMBER(D198),ISNUMBER(E198)),E198-D198,"")</f>
        <v/>
      </c>
      <c r="M198" s="6">
        <f>IF(AND(ISNUMBER(D198),ISNUMBER(E198)),IF(AND(D198&lt;=0,E198&gt;=0),"sí","no"),"")</f>
        <v/>
      </c>
    </row>
    <row r="199">
      <c r="A199" s="2" t="inlineStr">
        <is>
          <t>V18-C5I-2014T1-2019T4-16-NOEXPL_alt_E9-P</t>
        </is>
      </c>
      <c r="B199" s="2" t="inlineStr">
        <is>
          <t>Ilustración: variación sin explicar, precio real, 2014T1-2019T4, País Vasco (no_explicado_alternativa)</t>
        </is>
      </c>
      <c r="C199" s="2" t="n">
        <v>-3.0552</v>
      </c>
      <c r="D199" s="2" t="n">
        <v>-3.3256</v>
      </c>
      <c r="E199" s="2" t="n">
        <v>-2.7908</v>
      </c>
      <c r="F199" s="2" t="inlineStr">
        <is>
          <t>pp (100·Δln)</t>
        </is>
      </c>
      <c r="G199" s="2" t="inlineStr">
        <is>
          <t>2014T1-2019T4</t>
        </is>
      </c>
      <c r="H199" s="2" t="inlineStr">
        <is>
          <t>País Vasco</t>
        </is>
      </c>
      <c r="I199" s="2" t="inlineStr">
        <is>
          <t>C4</t>
        </is>
      </c>
      <c r="J199" s="2" t="inlineStr">
        <is>
          <t>NO ESTIMABLE</t>
        </is>
      </c>
      <c r="K199" s="2" t="inlineStr">
        <is>
          <t>rango</t>
        </is>
      </c>
      <c r="L199" s="6">
        <f>IF(AND(ISNUMBER(D199),ISNUMBER(E199)),E199-D199,"")</f>
        <v/>
      </c>
      <c r="M199" s="6">
        <f>IF(AND(ISNUMBER(D199),ISNUMBER(E199)),IF(AND(D199&lt;=0,E199&gt;=0),"sí","no"),"")</f>
        <v/>
      </c>
    </row>
    <row r="200">
      <c r="A200" s="2" t="inlineStr">
        <is>
          <t>V18-C5I-2014T1-2019T4-46250-E3-P</t>
        </is>
      </c>
      <c r="B200" s="2" t="inlineStr">
        <is>
          <t>Ilustración: inmigración, precio real, 2014T1-2019T4, València (factor)</t>
        </is>
      </c>
      <c r="C200" s="2" t="n">
        <v>0.9183</v>
      </c>
      <c r="D200" s="2" t="n">
        <v>-1.5182</v>
      </c>
      <c r="E200" s="2" t="n">
        <v>3.2449</v>
      </c>
      <c r="F200" s="2" t="inlineStr">
        <is>
          <t>pp (100·Δln)</t>
        </is>
      </c>
      <c r="G200" s="2" t="inlineStr">
        <is>
          <t>2014T1-2019T4</t>
        </is>
      </c>
      <c r="H200" s="2" t="inlineStr">
        <is>
          <t>València; stock a 1 de enero de 2014 a 2020</t>
        </is>
      </c>
      <c r="I200" s="2" t="inlineStr">
        <is>
          <t>C4</t>
        </is>
      </c>
      <c r="J200" s="2" t="inlineStr">
        <is>
          <t>NO ESTIMABLE</t>
        </is>
      </c>
      <c r="K200" s="2" t="inlineStr">
        <is>
          <t>rango</t>
        </is>
      </c>
      <c r="L200" s="6">
        <f>IF(AND(ISNUMBER(D200),ISNUMBER(E200)),E200-D200,"")</f>
        <v/>
      </c>
      <c r="M200" s="6">
        <f>IF(AND(ISNUMBER(D200),ISNUMBER(E200)),IF(AND(D200&lt;=0,E200&gt;=0),"sí","no"),"")</f>
        <v/>
      </c>
    </row>
    <row r="201">
      <c r="A201" s="2" t="inlineStr">
        <is>
          <t>V18-C5I-2014T1-2019T4-46250-NOEXPL-P</t>
        </is>
      </c>
      <c r="B201" s="2" t="inlineStr">
        <is>
          <t>Ilustración: variación sin explicar, precio real, 2014T1-2019T4, València (no_explicado)</t>
        </is>
      </c>
      <c r="C201" s="2" t="n">
        <v>12.7079</v>
      </c>
      <c r="D201" s="2" t="n">
        <v>10.3812</v>
      </c>
      <c r="E201" s="2" t="n">
        <v>15.1443</v>
      </c>
      <c r="F201" s="2" t="inlineStr">
        <is>
          <t>pp (100·Δln)</t>
        </is>
      </c>
      <c r="G201" s="2" t="inlineStr">
        <is>
          <t>2014T1-2019T4</t>
        </is>
      </c>
      <c r="H201" s="2" t="inlineStr">
        <is>
          <t>València</t>
        </is>
      </c>
      <c r="I201" s="2" t="inlineStr">
        <is>
          <t>C4</t>
        </is>
      </c>
      <c r="J201" s="2" t="inlineStr">
        <is>
          <t>NO ESTIMABLE</t>
        </is>
      </c>
      <c r="K201" s="2" t="inlineStr">
        <is>
          <t>rango</t>
        </is>
      </c>
      <c r="L201" s="6">
        <f>IF(AND(ISNUMBER(D201),ISNUMBER(E201)),E201-D201,"")</f>
        <v/>
      </c>
      <c r="M201" s="6">
        <f>IF(AND(ISNUMBER(D201),ISNUMBER(E201)),IF(AND(D201&lt;=0,E201&gt;=0),"sí","no"),"")</f>
        <v/>
      </c>
    </row>
    <row r="202">
      <c r="A202" s="2" t="inlineStr">
        <is>
          <t>V18-C5I-2020T1-2022T2-00-E3-P</t>
        </is>
      </c>
      <c r="B202" s="2" t="inlineStr">
        <is>
          <t>Ilustración: inmigración, precio real, 2020T1-2022T2, Nacional (factor)</t>
        </is>
      </c>
      <c r="C202" s="2" t="n">
        <v>0.476</v>
      </c>
      <c r="D202" s="2" t="n">
        <v>-0.787</v>
      </c>
      <c r="E202" s="2" t="n">
        <v>1.6821</v>
      </c>
      <c r="F202" s="2" t="inlineStr">
        <is>
          <t>pp (100·Δln)</t>
        </is>
      </c>
      <c r="G202" s="2" t="inlineStr">
        <is>
          <t>2020T1-2022T2</t>
        </is>
      </c>
      <c r="H202" s="2" t="inlineStr">
        <is>
          <t>Nacional; stock a 1 de enero de 2020 a 2022</t>
        </is>
      </c>
      <c r="I202" s="2" t="inlineStr">
        <is>
          <t>C4</t>
        </is>
      </c>
      <c r="J202" s="2" t="inlineStr">
        <is>
          <t>NO ESTIMABLE</t>
        </is>
      </c>
      <c r="K202" s="2" t="inlineStr">
        <is>
          <t>rango</t>
        </is>
      </c>
      <c r="L202" s="6">
        <f>IF(AND(ISNUMBER(D202),ISNUMBER(E202)),E202-D202,"")</f>
        <v/>
      </c>
      <c r="M202" s="6">
        <f>IF(AND(ISNUMBER(D202),ISNUMBER(E202)),IF(AND(D202&lt;=0,E202&gt;=0),"sí","no"),"")</f>
        <v/>
      </c>
    </row>
    <row r="203">
      <c r="A203" s="2" t="inlineStr">
        <is>
          <t>V18-C5I-2020T1-2022T2-00-E7-P</t>
        </is>
      </c>
      <c r="B203" s="2" t="inlineStr">
        <is>
          <t>Ilustración: tipos de interés, precio real, 2020T1-2022T2, Nacional (factor)</t>
        </is>
      </c>
      <c r="C203" s="2" t="n">
        <v>0.3271</v>
      </c>
      <c r="D203" s="2" t="n">
        <v>0.2007</v>
      </c>
      <c r="E203" s="2" t="n">
        <v>0.4523</v>
      </c>
      <c r="F203" s="2" t="inlineStr">
        <is>
          <t>pp (100·Δln)</t>
        </is>
      </c>
      <c r="G203" s="2" t="inlineStr">
        <is>
          <t>2020T1-2022T2</t>
        </is>
      </c>
      <c r="H203" s="2" t="inlineStr">
        <is>
          <t>Nacional; 2020T2 a 2022T2 (horizonte de 8 trimestres)</t>
        </is>
      </c>
      <c r="I203" s="2" t="inlineStr">
        <is>
          <t>C4</t>
        </is>
      </c>
      <c r="J203" s="2" t="inlineStr">
        <is>
          <t>NO ESTIMABLE</t>
        </is>
      </c>
      <c r="K203" s="2" t="inlineStr">
        <is>
          <t>rango</t>
        </is>
      </c>
      <c r="L203" s="6">
        <f>IF(AND(ISNUMBER(D203),ISNUMBER(E203)),E203-D203,"")</f>
        <v/>
      </c>
      <c r="M203" s="6">
        <f>IF(AND(ISNUMBER(D203),ISNUMBER(E203)),IF(AND(D203&lt;=0,E203&gt;=0),"sí","no"),"")</f>
        <v/>
      </c>
    </row>
    <row r="204">
      <c r="A204" s="2" t="inlineStr">
        <is>
          <t>V18-C5I-2020T1-2022T2-00-NOEXPL-P</t>
        </is>
      </c>
      <c r="B204" s="2" t="inlineStr">
        <is>
          <t>Ilustración: variación sin explicar, precio real, 2020T1-2022T2, Nacional (no_explicado)</t>
        </is>
      </c>
      <c r="C204" s="2" t="n">
        <v>-1.8508</v>
      </c>
      <c r="D204" s="2" t="n">
        <v>-3.06</v>
      </c>
      <c r="E204" s="2" t="n">
        <v>-0.5924</v>
      </c>
      <c r="F204" s="2" t="inlineStr">
        <is>
          <t>pp (100·Δln)</t>
        </is>
      </c>
      <c r="G204" s="2" t="inlineStr">
        <is>
          <t>2020T1-2022T2</t>
        </is>
      </c>
      <c r="H204" s="2" t="inlineStr">
        <is>
          <t>Nacional</t>
        </is>
      </c>
      <c r="I204" s="2" t="inlineStr">
        <is>
          <t>C4</t>
        </is>
      </c>
      <c r="J204" s="2" t="inlineStr">
        <is>
          <t>NO ESTIMABLE</t>
        </is>
      </c>
      <c r="K204" s="2" t="inlineStr">
        <is>
          <t>rango</t>
        </is>
      </c>
      <c r="L204" s="6">
        <f>IF(AND(ISNUMBER(D204),ISNUMBER(E204)),E204-D204,"")</f>
        <v/>
      </c>
      <c r="M204" s="6">
        <f>IF(AND(ISNUMBER(D204),ISNUMBER(E204)),IF(AND(D204&lt;=0,E204&gt;=0),"sí","no"),"")</f>
        <v/>
      </c>
    </row>
    <row r="205">
      <c r="A205" s="2" t="inlineStr">
        <is>
          <t>V18-C5I-2020T1-2022T2-00-NOEXPL_alt_E9-P</t>
        </is>
      </c>
      <c r="B205" s="2" t="inlineStr">
        <is>
          <t>Ilustración: variación sin explicar, precio real, 2020T1-2022T2, Nacional (no_explicado_alternativa)</t>
        </is>
      </c>
      <c r="C205" s="2" t="n">
        <v>-1.3746</v>
      </c>
      <c r="D205" s="2" t="n">
        <v>-1.4998</v>
      </c>
      <c r="E205" s="2" t="n">
        <v>-1.2482</v>
      </c>
      <c r="F205" s="2" t="inlineStr">
        <is>
          <t>pp (100·Δln)</t>
        </is>
      </c>
      <c r="G205" s="2" t="inlineStr">
        <is>
          <t>2020T1-2022T2</t>
        </is>
      </c>
      <c r="H205" s="2" t="inlineStr">
        <is>
          <t>Nacional</t>
        </is>
      </c>
      <c r="I205" s="2" t="inlineStr">
        <is>
          <t>C4</t>
        </is>
      </c>
      <c r="J205" s="2" t="inlineStr">
        <is>
          <t>NO ESTIMABLE</t>
        </is>
      </c>
      <c r="K205" s="2" t="inlineStr">
        <is>
          <t>rango</t>
        </is>
      </c>
      <c r="L205" s="6">
        <f>IF(AND(ISNUMBER(D205),ISNUMBER(E205)),E205-D205,"")</f>
        <v/>
      </c>
      <c r="M205" s="6">
        <f>IF(AND(ISNUMBER(D205),ISNUMBER(E205)),IF(AND(D205&lt;=0,E205&gt;=0),"sí","no"),"")</f>
        <v/>
      </c>
    </row>
    <row r="206">
      <c r="A206" s="2" t="inlineStr">
        <is>
          <t>V18-C5I-2020T1-2022T2-01-E3-P</t>
        </is>
      </c>
      <c r="B206" s="2" t="inlineStr">
        <is>
          <t>Ilustración: inmigración, precio real, 2020T1-2022T2, Andalucía (factor)</t>
        </is>
      </c>
      <c r="C206" s="2" t="n">
        <v>0.0992</v>
      </c>
      <c r="D206" s="2" t="n">
        <v>-0.1641</v>
      </c>
      <c r="E206" s="2" t="n">
        <v>0.3507</v>
      </c>
      <c r="F206" s="2" t="inlineStr">
        <is>
          <t>pp (100·Δln)</t>
        </is>
      </c>
      <c r="G206" s="2" t="inlineStr">
        <is>
          <t>2020T1-2022T2</t>
        </is>
      </c>
      <c r="H206" s="2" t="inlineStr">
        <is>
          <t>Andalucía; stock a 1 de enero de 2020 a 2022</t>
        </is>
      </c>
      <c r="I206" s="2" t="inlineStr">
        <is>
          <t>C4</t>
        </is>
      </c>
      <c r="J206" s="2" t="inlineStr">
        <is>
          <t>NO ESTIMABLE</t>
        </is>
      </c>
      <c r="K206" s="2" t="inlineStr">
        <is>
          <t>rango</t>
        </is>
      </c>
      <c r="L206" s="6">
        <f>IF(AND(ISNUMBER(D206),ISNUMBER(E206)),E206-D206,"")</f>
        <v/>
      </c>
      <c r="M206" s="6">
        <f>IF(AND(ISNUMBER(D206),ISNUMBER(E206)),IF(AND(D206&lt;=0,E206&gt;=0),"sí","no"),"")</f>
        <v/>
      </c>
    </row>
    <row r="207">
      <c r="A207" s="2" t="inlineStr">
        <is>
          <t>V18-C5I-2020T1-2022T2-01-E8-P</t>
        </is>
      </c>
      <c r="B207" s="2" t="inlineStr">
        <is>
          <t>Ilustración: fiscalidad de la compra (ITP), precio real, 2020T1-2022T2, Andalucía (factor)</t>
        </is>
      </c>
      <c r="C207" s="2" t="n">
        <v>2.4357</v>
      </c>
      <c r="D207" s="2" t="n">
        <v>2.2694</v>
      </c>
      <c r="E207" s="2" t="n">
        <v>2.6064</v>
      </c>
      <c r="F207" s="2" t="inlineStr">
        <is>
          <t>pp (100·Δln)</t>
        </is>
      </c>
      <c r="G207" s="2" t="inlineStr">
        <is>
          <t>2020T1-2022T2</t>
        </is>
      </c>
      <c r="H207" s="2" t="inlineStr">
        <is>
          <t>Andalucía; cambios del tipo general entre 2020-01-01 y 2022-06-30 (el calendario empieza en 2010-01-01; fechas sin contraste con el BOE)</t>
        </is>
      </c>
      <c r="I207" s="2" t="inlineStr">
        <is>
          <t>C4</t>
        </is>
      </c>
      <c r="J207" s="2" t="inlineStr">
        <is>
          <t>NO ESTIMABLE</t>
        </is>
      </c>
      <c r="K207" s="2" t="inlineStr">
        <is>
          <t>rango</t>
        </is>
      </c>
      <c r="L207" s="6">
        <f>IF(AND(ISNUMBER(D207),ISNUMBER(E207)),E207-D207,"")</f>
        <v/>
      </c>
      <c r="M207" s="6">
        <f>IF(AND(ISNUMBER(D207),ISNUMBER(E207)),IF(AND(D207&lt;=0,E207&gt;=0),"sí","no"),"")</f>
        <v/>
      </c>
    </row>
    <row r="208">
      <c r="A208" s="2" t="inlineStr">
        <is>
          <t>V18-C5I-2020T1-2022T2-01-NOEXPL-P</t>
        </is>
      </c>
      <c r="B208" s="2" t="inlineStr">
        <is>
          <t>Ilustración: variación sin explicar, precio real, 2020T1-2022T2, Andalucía (no_explicado)</t>
        </is>
      </c>
      <c r="C208" s="2" t="n">
        <v>-1.0571</v>
      </c>
      <c r="D208" s="2" t="n">
        <v>-1.3804</v>
      </c>
      <c r="E208" s="2" t="n">
        <v>-0.7286</v>
      </c>
      <c r="F208" s="2" t="inlineStr">
        <is>
          <t>pp (100·Δln)</t>
        </is>
      </c>
      <c r="G208" s="2" t="inlineStr">
        <is>
          <t>2020T1-2022T2</t>
        </is>
      </c>
      <c r="H208" s="2" t="inlineStr">
        <is>
          <t>Andalucía</t>
        </is>
      </c>
      <c r="I208" s="2" t="inlineStr">
        <is>
          <t>C4</t>
        </is>
      </c>
      <c r="J208" s="2" t="inlineStr">
        <is>
          <t>NO ESTIMABLE</t>
        </is>
      </c>
      <c r="K208" s="2" t="inlineStr">
        <is>
          <t>rango</t>
        </is>
      </c>
      <c r="L208" s="6">
        <f>IF(AND(ISNUMBER(D208),ISNUMBER(E208)),E208-D208,"")</f>
        <v/>
      </c>
      <c r="M208" s="6">
        <f>IF(AND(ISNUMBER(D208),ISNUMBER(E208)),IF(AND(D208&lt;=0,E208&gt;=0),"sí","no"),"")</f>
        <v/>
      </c>
    </row>
    <row r="209">
      <c r="A209" s="2" t="inlineStr">
        <is>
          <t>V18-C5I-2020T1-2022T2-01-NOEXPL_alt_E9-P</t>
        </is>
      </c>
      <c r="B209" s="2" t="inlineStr">
        <is>
          <t>Ilustración: variación sin explicar, precio real, 2020T1-2022T2, Andalucía (no_explicado_alternativa)</t>
        </is>
      </c>
      <c r="C209" s="2" t="n">
        <v>-0.9584</v>
      </c>
      <c r="D209" s="2" t="n">
        <v>-1.1291</v>
      </c>
      <c r="E209" s="2" t="n">
        <v>-0.7922</v>
      </c>
      <c r="F209" s="2" t="inlineStr">
        <is>
          <t>pp (100·Δln)</t>
        </is>
      </c>
      <c r="G209" s="2" t="inlineStr">
        <is>
          <t>2020T1-2022T2</t>
        </is>
      </c>
      <c r="H209" s="2" t="inlineStr">
        <is>
          <t>Andalucía</t>
        </is>
      </c>
      <c r="I209" s="2" t="inlineStr">
        <is>
          <t>C4</t>
        </is>
      </c>
      <c r="J209" s="2" t="inlineStr">
        <is>
          <t>NO ESTIMABLE</t>
        </is>
      </c>
      <c r="K209" s="2" t="inlineStr">
        <is>
          <t>rango</t>
        </is>
      </c>
      <c r="L209" s="6">
        <f>IF(AND(ISNUMBER(D209),ISNUMBER(E209)),E209-D209,"")</f>
        <v/>
      </c>
      <c r="M209" s="6">
        <f>IF(AND(ISNUMBER(D209),ISNUMBER(E209)),IF(AND(D209&lt;=0,E209&gt;=0),"sí","no"),"")</f>
        <v/>
      </c>
    </row>
    <row r="210">
      <c r="A210" s="2" t="inlineStr">
        <is>
          <t>V18-C5I-2020T1-2022T2-07-E3-P</t>
        </is>
      </c>
      <c r="B210" s="2" t="inlineStr">
        <is>
          <t>Ilustración: inmigración, precio real, 2020T1-2022T2, Castilla y León (factor)</t>
        </is>
      </c>
      <c r="C210" s="2" t="n">
        <v>-0.1733</v>
      </c>
      <c r="D210" s="2" t="n">
        <v>-0.6124000000000001</v>
      </c>
      <c r="E210" s="2" t="n">
        <v>0.2865</v>
      </c>
      <c r="F210" s="2" t="inlineStr">
        <is>
          <t>pp (100·Δln)</t>
        </is>
      </c>
      <c r="G210" s="2" t="inlineStr">
        <is>
          <t>2020T1-2022T2</t>
        </is>
      </c>
      <c r="H210" s="2" t="inlineStr">
        <is>
          <t>Castilla y León; stock a 1 de enero de 2020 a 2022</t>
        </is>
      </c>
      <c r="I210" s="2" t="inlineStr">
        <is>
          <t>C4</t>
        </is>
      </c>
      <c r="J210" s="2" t="inlineStr">
        <is>
          <t>NO ESTIMABLE</t>
        </is>
      </c>
      <c r="K210" s="2" t="inlineStr">
        <is>
          <t>rango</t>
        </is>
      </c>
      <c r="L210" s="6">
        <f>IF(AND(ISNUMBER(D210),ISNUMBER(E210)),E210-D210,"")</f>
        <v/>
      </c>
      <c r="M210" s="6">
        <f>IF(AND(ISNUMBER(D210),ISNUMBER(E210)),IF(AND(D210&lt;=0,E210&gt;=0),"sí","no"),"")</f>
        <v/>
      </c>
    </row>
    <row r="211">
      <c r="A211" s="2" t="inlineStr">
        <is>
          <t>V18-C5I-2020T1-2022T2-07-E8-P</t>
        </is>
      </c>
      <c r="B211" s="2" t="inlineStr">
        <is>
          <t>Ilustración: fiscalidad de la compra (ITP), precio real, 2020T1-2022T2, Castilla y León (factor)</t>
        </is>
      </c>
      <c r="C211" s="2" t="n">
        <v>-0.8119</v>
      </c>
      <c r="D211" s="2" t="n">
        <v>-0.8688</v>
      </c>
      <c r="E211" s="2" t="n">
        <v>-0.7565</v>
      </c>
      <c r="F211" s="2" t="inlineStr">
        <is>
          <t>pp (100·Δln)</t>
        </is>
      </c>
      <c r="G211" s="2" t="inlineStr">
        <is>
          <t>2020T1-2022T2</t>
        </is>
      </c>
      <c r="H211" s="2" t="inlineStr">
        <is>
          <t>Castilla y León; cambios del tipo general entre 2020-01-01 y 2022-06-30 (el calendario empieza en 2010-01-01; fechas sin contraste con el BOE)</t>
        </is>
      </c>
      <c r="I211" s="2" t="inlineStr">
        <is>
          <t>C4</t>
        </is>
      </c>
      <c r="J211" s="2" t="inlineStr">
        <is>
          <t>NO ESTIMABLE</t>
        </is>
      </c>
      <c r="K211" s="2" t="inlineStr">
        <is>
          <t>rango</t>
        </is>
      </c>
      <c r="L211" s="6">
        <f>IF(AND(ISNUMBER(D211),ISNUMBER(E211)),E211-D211,"")</f>
        <v/>
      </c>
      <c r="M211" s="6">
        <f>IF(AND(ISNUMBER(D211),ISNUMBER(E211)),IF(AND(D211&lt;=0,E211&gt;=0),"sí","no"),"")</f>
        <v/>
      </c>
    </row>
    <row r="212">
      <c r="A212" s="2" t="inlineStr">
        <is>
          <t>V18-C5I-2020T1-2022T2-07-E9-P</t>
        </is>
      </c>
      <c r="B212" s="2" t="inlineStr">
        <is>
          <t>Ilustración: compradores no residentes, precio real, 2020T1-2022T2, Castilla y León (factor)</t>
        </is>
      </c>
      <c r="C212" s="2" t="n">
        <v>-0.4871</v>
      </c>
      <c r="D212" s="2" t="n">
        <v>-0.5763</v>
      </c>
      <c r="E212" s="2" t="n">
        <v>-0.3999</v>
      </c>
      <c r="F212" s="2" t="inlineStr">
        <is>
          <t>pp (100·Δln)</t>
        </is>
      </c>
      <c r="G212" s="2" t="inlineStr">
        <is>
          <t>2020T1-2022T2</t>
        </is>
      </c>
      <c r="H212" s="2" t="inlineStr">
        <is>
          <t>Castilla y León; cuota media de cuatro trimestres: 2019T4 a 2022T2</t>
        </is>
      </c>
      <c r="I212" s="2" t="inlineStr">
        <is>
          <t>C4</t>
        </is>
      </c>
      <c r="J212" s="2" t="inlineStr">
        <is>
          <t>NO ESTIMABLE</t>
        </is>
      </c>
      <c r="K212" s="2" t="inlineStr">
        <is>
          <t>rango</t>
        </is>
      </c>
      <c r="L212" s="6">
        <f>IF(AND(ISNUMBER(D212),ISNUMBER(E212)),E212-D212,"")</f>
        <v/>
      </c>
      <c r="M212" s="6">
        <f>IF(AND(ISNUMBER(D212),ISNUMBER(E212)),IF(AND(D212&lt;=0,E212&gt;=0),"sí","no"),"")</f>
        <v/>
      </c>
    </row>
    <row r="213">
      <c r="A213" s="2" t="inlineStr">
        <is>
          <t>V18-C5I-2020T1-2022T2-07-NOEXPL-P</t>
        </is>
      </c>
      <c r="B213" s="2" t="inlineStr">
        <is>
          <t>Ilustración: variación sin explicar, precio real, 2020T1-2022T2, Castilla y León (no_explicado)</t>
        </is>
      </c>
      <c r="C213" s="2" t="n">
        <v>-0.8856000000000001</v>
      </c>
      <c r="D213" s="2" t="n">
        <v>-1.3446</v>
      </c>
      <c r="E213" s="2" t="n">
        <v>-0.4426</v>
      </c>
      <c r="F213" s="2" t="inlineStr">
        <is>
          <t>pp (100·Δln)</t>
        </is>
      </c>
      <c r="G213" s="2" t="inlineStr">
        <is>
          <t>2020T1-2022T2</t>
        </is>
      </c>
      <c r="H213" s="2" t="inlineStr">
        <is>
          <t>Castilla y León</t>
        </is>
      </c>
      <c r="I213" s="2" t="inlineStr">
        <is>
          <t>C4</t>
        </is>
      </c>
      <c r="J213" s="2" t="inlineStr">
        <is>
          <t>NO ESTIMABLE</t>
        </is>
      </c>
      <c r="K213" s="2" t="inlineStr">
        <is>
          <t>rango</t>
        </is>
      </c>
      <c r="L213" s="6">
        <f>IF(AND(ISNUMBER(D213),ISNUMBER(E213)),E213-D213,"")</f>
        <v/>
      </c>
      <c r="M213" s="6">
        <f>IF(AND(ISNUMBER(D213),ISNUMBER(E213)),IF(AND(D213&lt;=0,E213&gt;=0),"sí","no"),"")</f>
        <v/>
      </c>
    </row>
    <row r="214">
      <c r="A214" s="2" t="inlineStr">
        <is>
          <t>V18-C5I-2020T1-2022T2-07-NOEXPL_alt_E9-P</t>
        </is>
      </c>
      <c r="B214" s="2" t="inlineStr">
        <is>
          <t>Ilustración: variación sin explicar, precio real, 2020T1-2022T2, Castilla y León (no_explicado_alternativa)</t>
        </is>
      </c>
      <c r="C214" s="2" t="n">
        <v>-0.5699</v>
      </c>
      <c r="D214" s="2" t="n">
        <v>-0.6794</v>
      </c>
      <c r="E214" s="2" t="n">
        <v>-0.4585</v>
      </c>
      <c r="F214" s="2" t="inlineStr">
        <is>
          <t>pp (100·Δln)</t>
        </is>
      </c>
      <c r="G214" s="2" t="inlineStr">
        <is>
          <t>2020T1-2022T2</t>
        </is>
      </c>
      <c r="H214" s="2" t="inlineStr">
        <is>
          <t>Castilla y León</t>
        </is>
      </c>
      <c r="I214" s="2" t="inlineStr">
        <is>
          <t>C4</t>
        </is>
      </c>
      <c r="J214" s="2" t="inlineStr">
        <is>
          <t>NO ESTIMABLE</t>
        </is>
      </c>
      <c r="K214" s="2" t="inlineStr">
        <is>
          <t>rango</t>
        </is>
      </c>
      <c r="L214" s="6">
        <f>IF(AND(ISNUMBER(D214),ISNUMBER(E214)),E214-D214,"")</f>
        <v/>
      </c>
      <c r="M214" s="6">
        <f>IF(AND(ISNUMBER(D214),ISNUMBER(E214)),IF(AND(D214&lt;=0,E214&gt;=0),"sí","no"),"")</f>
        <v/>
      </c>
    </row>
    <row r="215">
      <c r="A215" s="2" t="inlineStr">
        <is>
          <t>V18-C5I-2020T1-2022T2-08-E3-P</t>
        </is>
      </c>
      <c r="B215" s="2" t="inlineStr">
        <is>
          <t>Ilustración: inmigración, precio real, 2020T1-2022T2, Castilla-La Mancha (factor)</t>
        </is>
      </c>
      <c r="C215" s="2" t="n">
        <v>0.0129</v>
      </c>
      <c r="D215" s="2" t="n">
        <v>-0.0214</v>
      </c>
      <c r="E215" s="2" t="n">
        <v>0.0457</v>
      </c>
      <c r="F215" s="2" t="inlineStr">
        <is>
          <t>pp (100·Δln)</t>
        </is>
      </c>
      <c r="G215" s="2" t="inlineStr">
        <is>
          <t>2020T1-2022T2</t>
        </is>
      </c>
      <c r="H215" s="2" t="inlineStr">
        <is>
          <t>Castilla-La Mancha; stock a 1 de enero de 2020 a 2022</t>
        </is>
      </c>
      <c r="I215" s="2" t="inlineStr">
        <is>
          <t>C4</t>
        </is>
      </c>
      <c r="J215" s="2" t="inlineStr">
        <is>
          <t>NO ESTIMABLE</t>
        </is>
      </c>
      <c r="K215" s="2" t="inlineStr">
        <is>
          <t>rango</t>
        </is>
      </c>
      <c r="L215" s="6">
        <f>IF(AND(ISNUMBER(D215),ISNUMBER(E215)),E215-D215,"")</f>
        <v/>
      </c>
      <c r="M215" s="6">
        <f>IF(AND(ISNUMBER(D215),ISNUMBER(E215)),IF(AND(D215&lt;=0,E215&gt;=0),"sí","no"),"")</f>
        <v/>
      </c>
    </row>
    <row r="216">
      <c r="A216" s="2" t="inlineStr">
        <is>
          <t>V18-C5I-2020T1-2022T2-08-E8-P</t>
        </is>
      </c>
      <c r="B216" s="2" t="inlineStr">
        <is>
          <t>Ilustración: fiscalidad de la compra (ITP), precio real, 2020T1-2022T2, Castilla-La Mancha (factor)</t>
        </is>
      </c>
      <c r="C216" s="2" t="n">
        <v>-0.8119</v>
      </c>
      <c r="D216" s="2" t="n">
        <v>-0.8688</v>
      </c>
      <c r="E216" s="2" t="n">
        <v>-0.7565</v>
      </c>
      <c r="F216" s="2" t="inlineStr">
        <is>
          <t>pp (100·Δln)</t>
        </is>
      </c>
      <c r="G216" s="2" t="inlineStr">
        <is>
          <t>2020T1-2022T2</t>
        </is>
      </c>
      <c r="H216" s="2" t="inlineStr">
        <is>
          <t>Castilla-La Mancha; cambios del tipo general entre 2020-01-01 y 2022-06-30 (el calendario empieza en 2010-01-01; fechas sin contraste con el BOE)</t>
        </is>
      </c>
      <c r="I216" s="2" t="inlineStr">
        <is>
          <t>C4</t>
        </is>
      </c>
      <c r="J216" s="2" t="inlineStr">
        <is>
          <t>NO ESTIMABLE</t>
        </is>
      </c>
      <c r="K216" s="2" t="inlineStr">
        <is>
          <t>rango</t>
        </is>
      </c>
      <c r="L216" s="6">
        <f>IF(AND(ISNUMBER(D216),ISNUMBER(E216)),E216-D216,"")</f>
        <v/>
      </c>
      <c r="M216" s="6">
        <f>IF(AND(ISNUMBER(D216),ISNUMBER(E216)),IF(AND(D216&lt;=0,E216&gt;=0),"sí","no"),"")</f>
        <v/>
      </c>
    </row>
    <row r="217">
      <c r="A217" s="2" t="inlineStr">
        <is>
          <t>V18-C5I-2020T1-2022T2-08-E9-P</t>
        </is>
      </c>
      <c r="B217" s="2" t="inlineStr">
        <is>
          <t>Ilustración: compradores no residentes, precio real, 2020T1-2022T2, Castilla-La Mancha (factor)</t>
        </is>
      </c>
      <c r="C217" s="2" t="n">
        <v>0.2407</v>
      </c>
      <c r="D217" s="2" t="n">
        <v>0.1976</v>
      </c>
      <c r="E217" s="2" t="n">
        <v>0.2848</v>
      </c>
      <c r="F217" s="2" t="inlineStr">
        <is>
          <t>pp (100·Δln)</t>
        </is>
      </c>
      <c r="G217" s="2" t="inlineStr">
        <is>
          <t>2020T1-2022T2</t>
        </is>
      </c>
      <c r="H217" s="2" t="inlineStr">
        <is>
          <t>Castilla-La Mancha; cuota media de cuatro trimestres: 2019T4 a 2022T2</t>
        </is>
      </c>
      <c r="I217" s="2" t="inlineStr">
        <is>
          <t>C4</t>
        </is>
      </c>
      <c r="J217" s="2" t="inlineStr">
        <is>
          <t>NO ESTIMABLE</t>
        </is>
      </c>
      <c r="K217" s="2" t="inlineStr">
        <is>
          <t>rango</t>
        </is>
      </c>
      <c r="L217" s="6">
        <f>IF(AND(ISNUMBER(D217),ISNUMBER(E217)),E217-D217,"")</f>
        <v/>
      </c>
      <c r="M217" s="6">
        <f>IF(AND(ISNUMBER(D217),ISNUMBER(E217)),IF(AND(D217&lt;=0,E217&gt;=0),"sí","no"),"")</f>
        <v/>
      </c>
    </row>
    <row r="218">
      <c r="A218" s="2" t="inlineStr">
        <is>
          <t>V18-C5I-2020T1-2022T2-08-NOEXPL-P</t>
        </is>
      </c>
      <c r="B218" s="2" t="inlineStr">
        <is>
          <t>Ilustración: variación sin explicar, precio real, 2020T1-2022T2, Castilla-La Mancha (no_explicado)</t>
        </is>
      </c>
      <c r="C218" s="2" t="n">
        <v>0.0905</v>
      </c>
      <c r="D218" s="2" t="n">
        <v>0.0208</v>
      </c>
      <c r="E218" s="2" t="n">
        <v>0.1594</v>
      </c>
      <c r="F218" s="2" t="inlineStr">
        <is>
          <t>pp (100·Δln)</t>
        </is>
      </c>
      <c r="G218" s="2" t="inlineStr">
        <is>
          <t>2020T1-2022T2</t>
        </is>
      </c>
      <c r="H218" s="2" t="inlineStr">
        <is>
          <t>Castilla-La Mancha</t>
        </is>
      </c>
      <c r="I218" s="2" t="inlineStr">
        <is>
          <t>C4</t>
        </is>
      </c>
      <c r="J218" s="2" t="inlineStr">
        <is>
          <t>NO ESTIMABLE</t>
        </is>
      </c>
      <c r="K218" s="2" t="inlineStr">
        <is>
          <t>rango</t>
        </is>
      </c>
      <c r="L218" s="6">
        <f>IF(AND(ISNUMBER(D218),ISNUMBER(E218)),E218-D218,"")</f>
        <v/>
      </c>
      <c r="M218" s="6">
        <f>IF(AND(ISNUMBER(D218),ISNUMBER(E218)),IF(AND(D218&lt;=0,E218&gt;=0),"sí","no"),"")</f>
        <v/>
      </c>
    </row>
    <row r="219">
      <c r="A219" s="2" t="inlineStr">
        <is>
          <t>V18-C5I-2020T1-2022T2-08-NOEXPL_alt_E9-P</t>
        </is>
      </c>
      <c r="B219" s="2" t="inlineStr">
        <is>
          <t>Ilustración: variación sin explicar, precio real, 2020T1-2022T2, Castilla-La Mancha (no_explicado_alternativa)</t>
        </is>
      </c>
      <c r="C219" s="2" t="n">
        <v>-0.1386</v>
      </c>
      <c r="D219" s="2" t="n">
        <v>-0.2127</v>
      </c>
      <c r="E219" s="2" t="n">
        <v>-0.0621</v>
      </c>
      <c r="F219" s="2" t="inlineStr">
        <is>
          <t>pp (100·Δln)</t>
        </is>
      </c>
      <c r="G219" s="2" t="inlineStr">
        <is>
          <t>2020T1-2022T2</t>
        </is>
      </c>
      <c r="H219" s="2" t="inlineStr">
        <is>
          <t>Castilla-La Mancha</t>
        </is>
      </c>
      <c r="I219" s="2" t="inlineStr">
        <is>
          <t>C4</t>
        </is>
      </c>
      <c r="J219" s="2" t="inlineStr">
        <is>
          <t>NO ESTIMABLE</t>
        </is>
      </c>
      <c r="K219" s="2" t="inlineStr">
        <is>
          <t>rango</t>
        </is>
      </c>
      <c r="L219" s="6">
        <f>IF(AND(ISNUMBER(D219),ISNUMBER(E219)),E219-D219,"")</f>
        <v/>
      </c>
      <c r="M219" s="6">
        <f>IF(AND(ISNUMBER(D219),ISNUMBER(E219)),IF(AND(D219&lt;=0,E219&gt;=0),"sí","no"),"")</f>
        <v/>
      </c>
    </row>
    <row r="220">
      <c r="A220" s="2" t="inlineStr">
        <is>
          <t>V18-C5I-2020T1-2022T2-08019-E1-N</t>
        </is>
      </c>
      <c r="B220" s="2" t="inlineStr">
        <is>
          <t>Ilustración: vivienda turística, alquiler_contratos_nuevos real, 2020T1-2022T2, Barcelona (factor)</t>
        </is>
      </c>
      <c r="C220" s="2" t="n">
        <v>-0.0843</v>
      </c>
      <c r="D220" s="2" t="n">
        <v>-0.1277</v>
      </c>
      <c r="E220" s="2" t="n">
        <v>-0.0404</v>
      </c>
      <c r="F220" s="2" t="inlineStr">
        <is>
          <t>pp (100·Δln)</t>
        </is>
      </c>
      <c r="G220" s="2" t="inlineStr">
        <is>
          <t>2020T1-2022T2</t>
        </is>
      </c>
      <c r="H220" s="2" t="inlineStr">
        <is>
          <t>Barcelona; cortes del registro HUT 2019T4 a 2021T4; 769 de 1068 secciones (las selladas de V15/V16 no se leen)</t>
        </is>
      </c>
      <c r="I220" s="2" t="inlineStr">
        <is>
          <t>C4</t>
        </is>
      </c>
      <c r="J220" s="2" t="inlineStr">
        <is>
          <t>NO ESTIMABLE</t>
        </is>
      </c>
      <c r="K220" s="2" t="inlineStr">
        <is>
          <t>rango</t>
        </is>
      </c>
      <c r="L220" s="6">
        <f>IF(AND(ISNUMBER(D220),ISNUMBER(E220)),E220-D220,"")</f>
        <v/>
      </c>
      <c r="M220" s="6">
        <f>IF(AND(ISNUMBER(D220),ISNUMBER(E220)),IF(AND(D220&lt;=0,E220&gt;=0),"sí","no"),"")</f>
        <v/>
      </c>
    </row>
    <row r="221">
      <c r="A221" s="2" t="inlineStr">
        <is>
          <t>V18-C5I-2020T1-2022T2-08019-NOEXPL-N</t>
        </is>
      </c>
      <c r="B221" s="2" t="inlineStr">
        <is>
          <t>Ilustración: variación sin explicar, alquiler_contratos_nuevos real, 2020T1-2022T2, Barcelona (no_explicado)</t>
        </is>
      </c>
      <c r="C221" s="2" t="n">
        <v>-6.0475</v>
      </c>
      <c r="D221" s="2" t="n">
        <v>-6.0913</v>
      </c>
      <c r="E221" s="2" t="n">
        <v>-6.0041</v>
      </c>
      <c r="F221" s="2" t="inlineStr">
        <is>
          <t>pp (100·Δln)</t>
        </is>
      </c>
      <c r="G221" s="2" t="inlineStr">
        <is>
          <t>2020T1-2022T2</t>
        </is>
      </c>
      <c r="H221" s="2" t="inlineStr">
        <is>
          <t>Barcelona; 2019T4 a 2022T2</t>
        </is>
      </c>
      <c r="I221" s="2" t="inlineStr">
        <is>
          <t>C4</t>
        </is>
      </c>
      <c r="J221" s="2" t="inlineStr">
        <is>
          <t>NO ESTIMABLE</t>
        </is>
      </c>
      <c r="K221" s="2" t="inlineStr">
        <is>
          <t>rango</t>
        </is>
      </c>
      <c r="L221" s="6">
        <f>IF(AND(ISNUMBER(D221),ISNUMBER(E221)),E221-D221,"")</f>
        <v/>
      </c>
      <c r="M221" s="6">
        <f>IF(AND(ISNUMBER(D221),ISNUMBER(E221)),IF(AND(D221&lt;=0,E221&gt;=0),"sí","no"),"")</f>
        <v/>
      </c>
    </row>
    <row r="222">
      <c r="A222" s="2" t="inlineStr">
        <is>
          <t>V18-C5I-2020T1-2022T2-09-E2-extremos-N</t>
        </is>
      </c>
      <c r="B222" s="2" t="inlineStr">
        <is>
          <t>Ilustración: topes al alquiler, alquiler_contratos_nuevos real, 2020T1-2022T2, Cataluña (sin Barcelona ciudad) (factor_extremos)</t>
        </is>
      </c>
      <c r="C222" s="2" t="n">
        <v>0</v>
      </c>
      <c r="D222" s="2" t="n">
        <v>0</v>
      </c>
      <c r="E222" s="2" t="n">
        <v>0</v>
      </c>
      <c r="F222" s="2" t="inlineStr">
        <is>
          <t>pp (100·Δln)</t>
        </is>
      </c>
      <c r="G222" s="2" t="inlineStr">
        <is>
          <t>2020T1-2022T2</t>
        </is>
      </c>
      <c r="H222" s="2" t="inlineStr">
        <is>
          <t>Cataluña (sin Barcelona ciudad); cuota de contratos en 50 de 364 municipios con contratos (sin Barcelona ciudad ni sellados)</t>
        </is>
      </c>
      <c r="I222" s="2" t="inlineStr">
        <is>
          <t>C4</t>
        </is>
      </c>
      <c r="J222" s="2" t="inlineStr">
        <is>
          <t>SUGESTIVO</t>
        </is>
      </c>
      <c r="K222" s="2" t="inlineStr">
        <is>
          <t>rango</t>
        </is>
      </c>
      <c r="L222" s="6">
        <f>IF(AND(ISNUMBER(D222),ISNUMBER(E222)),E222-D222,"")</f>
        <v/>
      </c>
      <c r="M222" s="6">
        <f>IF(AND(ISNUMBER(D222),ISNUMBER(E222)),IF(AND(D222&lt;=0,E222&gt;=0),"sí","no"),"")</f>
        <v/>
      </c>
    </row>
    <row r="223">
      <c r="A223" s="2" t="inlineStr">
        <is>
          <t>V18-C5I-2020T1-2022T2-09-E2-vigencia-N</t>
        </is>
      </c>
      <c r="B223" s="2" t="inlineStr">
        <is>
          <t>Ilustración: topes al alquiler, alquiler_contratos_nuevos real, 2020T1-2022T2, Cataluña (sin Barcelona ciudad) (factor_vigencia)</t>
        </is>
      </c>
      <c r="C223" s="2" t="n">
        <v>-2.7078</v>
      </c>
      <c r="D223" s="2" t="n">
        <v>-3.4631</v>
      </c>
      <c r="E223" s="2" t="n">
        <v>-1.9703</v>
      </c>
      <c r="F223" s="2" t="inlineStr">
        <is>
          <t>pp (100·Δln)</t>
        </is>
      </c>
      <c r="G223" s="2" t="inlineStr">
        <is>
          <t>2020T1-2022T2</t>
        </is>
      </c>
      <c r="H223" s="2" t="inlineStr">
        <is>
          <t>Cataluña (sin Barcelona ciudad); cuota de contratos en 50 de 364 municipios con contratos (sin Barcelona ciudad ni sellados)</t>
        </is>
      </c>
      <c r="I223" s="2" t="inlineStr">
        <is>
          <t>C4</t>
        </is>
      </c>
      <c r="J223" s="2" t="inlineStr">
        <is>
          <t>SUGESTIVO</t>
        </is>
      </c>
      <c r="K223" s="2" t="inlineStr">
        <is>
          <t>rango</t>
        </is>
      </c>
      <c r="L223" s="6">
        <f>IF(AND(ISNUMBER(D223),ISNUMBER(E223)),E223-D223,"")</f>
        <v/>
      </c>
      <c r="M223" s="6">
        <f>IF(AND(ISNUMBER(D223),ISNUMBER(E223)),IF(AND(D223&lt;=0,E223&gt;=0),"sí","no"),"")</f>
        <v/>
      </c>
    </row>
    <row r="224">
      <c r="A224" s="2" t="inlineStr">
        <is>
          <t>V18-C5I-2020T1-2022T2-09-E3-P</t>
        </is>
      </c>
      <c r="B224" s="2" t="inlineStr">
        <is>
          <t>Ilustración: inmigración, precio real, 2020T1-2022T2, Cataluña (factor)</t>
        </is>
      </c>
      <c r="C224" s="2" t="n">
        <v>0.07770000000000001</v>
      </c>
      <c r="D224" s="2" t="n">
        <v>-0.1284</v>
      </c>
      <c r="E224" s="2" t="n">
        <v>0.2745</v>
      </c>
      <c r="F224" s="2" t="inlineStr">
        <is>
          <t>pp (100·Δln)</t>
        </is>
      </c>
      <c r="G224" s="2" t="inlineStr">
        <is>
          <t>2020T1-2022T2</t>
        </is>
      </c>
      <c r="H224" s="2" t="inlineStr">
        <is>
          <t>Cataluña; stock a 1 de enero de 2020 a 2022</t>
        </is>
      </c>
      <c r="I224" s="2" t="inlineStr">
        <is>
          <t>C4</t>
        </is>
      </c>
      <c r="J224" s="2" t="inlineStr">
        <is>
          <t>NO ESTIMABLE</t>
        </is>
      </c>
      <c r="K224" s="2" t="inlineStr">
        <is>
          <t>rango</t>
        </is>
      </c>
      <c r="L224" s="6">
        <f>IF(AND(ISNUMBER(D224),ISNUMBER(E224)),E224-D224,"")</f>
        <v/>
      </c>
      <c r="M224" s="6">
        <f>IF(AND(ISNUMBER(D224),ISNUMBER(E224)),IF(AND(D224&lt;=0,E224&gt;=0),"sí","no"),"")</f>
        <v/>
      </c>
    </row>
    <row r="225">
      <c r="A225" s="2" t="inlineStr">
        <is>
          <t>V18-C5I-2020T1-2022T2-09-E8-P</t>
        </is>
      </c>
      <c r="B225" s="2" t="inlineStr">
        <is>
          <t>Ilustración: fiscalidad de la compra (ITP), precio real, 2020T1-2022T2, Cataluña (factor)</t>
        </is>
      </c>
      <c r="C225" s="2" t="n">
        <v>-0.8119</v>
      </c>
      <c r="D225" s="2" t="n">
        <v>-0.8688</v>
      </c>
      <c r="E225" s="2" t="n">
        <v>-0.7565</v>
      </c>
      <c r="F225" s="2" t="inlineStr">
        <is>
          <t>pp (100·Δln)</t>
        </is>
      </c>
      <c r="G225" s="2" t="inlineStr">
        <is>
          <t>2020T1-2022T2</t>
        </is>
      </c>
      <c r="H225" s="2" t="inlineStr">
        <is>
          <t>Cataluña; cambios del tipo general entre 2020-01-01 y 2022-06-30 (el calendario empieza en 2010-01-01; fechas sin contraste con el BOE)</t>
        </is>
      </c>
      <c r="I225" s="2" t="inlineStr">
        <is>
          <t>C4</t>
        </is>
      </c>
      <c r="J225" s="2" t="inlineStr">
        <is>
          <t>NO ESTIMABLE</t>
        </is>
      </c>
      <c r="K225" s="2" t="inlineStr">
        <is>
          <t>rango</t>
        </is>
      </c>
      <c r="L225" s="6">
        <f>IF(AND(ISNUMBER(D225),ISNUMBER(E225)),E225-D225,"")</f>
        <v/>
      </c>
      <c r="M225" s="6">
        <f>IF(AND(ISNUMBER(D225),ISNUMBER(E225)),IF(AND(D225&lt;=0,E225&gt;=0),"sí","no"),"")</f>
        <v/>
      </c>
    </row>
    <row r="226">
      <c r="A226" s="2" t="inlineStr">
        <is>
          <t>V18-C5I-2020T1-2022T2-09-E9-P</t>
        </is>
      </c>
      <c r="B226" s="2" t="inlineStr">
        <is>
          <t>Ilustración: compradores no residentes, precio real, 2020T1-2022T2, Cataluña (factor)</t>
        </is>
      </c>
      <c r="C226" s="2" t="n">
        <v>-0.503</v>
      </c>
      <c r="D226" s="2" t="n">
        <v>-0.5951</v>
      </c>
      <c r="E226" s="2" t="n">
        <v>-0.4129</v>
      </c>
      <c r="F226" s="2" t="inlineStr">
        <is>
          <t>pp (100·Δln)</t>
        </is>
      </c>
      <c r="G226" s="2" t="inlineStr">
        <is>
          <t>2020T1-2022T2</t>
        </is>
      </c>
      <c r="H226" s="2" t="inlineStr">
        <is>
          <t>Cataluña; cuota media de cuatro trimestres: 2019T4 a 2022T2</t>
        </is>
      </c>
      <c r="I226" s="2" t="inlineStr">
        <is>
          <t>C4</t>
        </is>
      </c>
      <c r="J226" s="2" t="inlineStr">
        <is>
          <t>NO ESTIMABLE</t>
        </is>
      </c>
      <c r="K226" s="2" t="inlineStr">
        <is>
          <t>rango</t>
        </is>
      </c>
      <c r="L226" s="6">
        <f>IF(AND(ISNUMBER(D226),ISNUMBER(E226)),E226-D226,"")</f>
        <v/>
      </c>
      <c r="M226" s="6">
        <f>IF(AND(ISNUMBER(D226),ISNUMBER(E226)),IF(AND(D226&lt;=0,E226&gt;=0),"sí","no"),"")</f>
        <v/>
      </c>
    </row>
    <row r="227">
      <c r="A227" s="2" t="inlineStr">
        <is>
          <t>V18-C5I-2020T1-2022T2-09-NOEXPL-N</t>
        </is>
      </c>
      <c r="B227" s="2" t="inlineStr">
        <is>
          <t>Ilustración: variación sin explicar, alquiler_contratos_nuevos real, 2020T1-2022T2, Cataluña (sin Barcelona ciudad) (no_explicado)</t>
        </is>
      </c>
      <c r="C227" s="2" t="n">
        <v>-2.8124</v>
      </c>
      <c r="D227" s="2" t="n">
        <v>-2.8124</v>
      </c>
      <c r="E227" s="2" t="n">
        <v>-2.8124</v>
      </c>
      <c r="F227" s="2" t="inlineStr">
        <is>
          <t>pp (100·Δln)</t>
        </is>
      </c>
      <c r="G227" s="2" t="inlineStr">
        <is>
          <t>2020T1-2022T2</t>
        </is>
      </c>
      <c r="H227" s="2" t="inlineStr">
        <is>
          <t>Cataluña (sin Barcelona ciudad); 2019T4 a 2022T2</t>
        </is>
      </c>
      <c r="I227" s="2" t="inlineStr">
        <is>
          <t>C4</t>
        </is>
      </c>
      <c r="J227" s="2" t="inlineStr">
        <is>
          <t>NO ESTIMABLE</t>
        </is>
      </c>
      <c r="K227" s="2" t="inlineStr">
        <is>
          <t>rango</t>
        </is>
      </c>
      <c r="L227" s="6">
        <f>IF(AND(ISNUMBER(D227),ISNUMBER(E227)),E227-D227,"")</f>
        <v/>
      </c>
      <c r="M227" s="6">
        <f>IF(AND(ISNUMBER(D227),ISNUMBER(E227)),IF(AND(D227&lt;=0,E227&gt;=0),"sí","no"),"")</f>
        <v/>
      </c>
    </row>
    <row r="228">
      <c r="A228" s="2" t="inlineStr">
        <is>
          <t>V18-C5I-2020T1-2022T2-09-NOEXPL-P</t>
        </is>
      </c>
      <c r="B228" s="2" t="inlineStr">
        <is>
          <t>Ilustración: variación sin explicar, precio real, 2020T1-2022T2, Cataluña (no_explicado)</t>
        </is>
      </c>
      <c r="C228" s="2" t="n">
        <v>2.1537</v>
      </c>
      <c r="D228" s="2" t="n">
        <v>1.9471</v>
      </c>
      <c r="E228" s="2" t="n">
        <v>2.3669</v>
      </c>
      <c r="F228" s="2" t="inlineStr">
        <is>
          <t>pp (100·Δln)</t>
        </is>
      </c>
      <c r="G228" s="2" t="inlineStr">
        <is>
          <t>2020T1-2022T2</t>
        </is>
      </c>
      <c r="H228" s="2" t="inlineStr">
        <is>
          <t>Cataluña</t>
        </is>
      </c>
      <c r="I228" s="2" t="inlineStr">
        <is>
          <t>C4</t>
        </is>
      </c>
      <c r="J228" s="2" t="inlineStr">
        <is>
          <t>NO ESTIMABLE</t>
        </is>
      </c>
      <c r="K228" s="2" t="inlineStr">
        <is>
          <t>rango</t>
        </is>
      </c>
      <c r="L228" s="6">
        <f>IF(AND(ISNUMBER(D228),ISNUMBER(E228)),E228-D228,"")</f>
        <v/>
      </c>
      <c r="M228" s="6">
        <f>IF(AND(ISNUMBER(D228),ISNUMBER(E228)),IF(AND(D228&lt;=0,E228&gt;=0),"sí","no"),"")</f>
        <v/>
      </c>
    </row>
    <row r="229">
      <c r="A229" s="2" t="inlineStr">
        <is>
          <t>V18-C5I-2020T1-2022T2-09-NOEXPL_alt_E9-P</t>
        </is>
      </c>
      <c r="B229" s="2" t="inlineStr">
        <is>
          <t>Ilustración: variación sin explicar, precio real, 2020T1-2022T2, Cataluña (no_explicado_alternativa)</t>
        </is>
      </c>
      <c r="C229" s="2" t="n">
        <v>2.7338</v>
      </c>
      <c r="D229" s="2" t="n">
        <v>2.622</v>
      </c>
      <c r="E229" s="2" t="n">
        <v>2.8476</v>
      </c>
      <c r="F229" s="2" t="inlineStr">
        <is>
          <t>pp (100·Δln)</t>
        </is>
      </c>
      <c r="G229" s="2" t="inlineStr">
        <is>
          <t>2020T1-2022T2</t>
        </is>
      </c>
      <c r="H229" s="2" t="inlineStr">
        <is>
          <t>Cataluña</t>
        </is>
      </c>
      <c r="I229" s="2" t="inlineStr">
        <is>
          <t>C4</t>
        </is>
      </c>
      <c r="J229" s="2" t="inlineStr">
        <is>
          <t>NO ESTIMABLE</t>
        </is>
      </c>
      <c r="K229" s="2" t="inlineStr">
        <is>
          <t>rango</t>
        </is>
      </c>
      <c r="L229" s="6">
        <f>IF(AND(ISNUMBER(D229),ISNUMBER(E229)),E229-D229,"")</f>
        <v/>
      </c>
      <c r="M229" s="6">
        <f>IF(AND(ISNUMBER(D229),ISNUMBER(E229)),IF(AND(D229&lt;=0,E229&gt;=0),"sí","no"),"")</f>
        <v/>
      </c>
    </row>
    <row r="230">
      <c r="A230" s="2" t="inlineStr">
        <is>
          <t>V18-C5I-2020T1-2022T2-10-E3-P</t>
        </is>
      </c>
      <c r="B230" s="2" t="inlineStr">
        <is>
          <t>Ilustración: inmigración, precio real, 2020T1-2022T2, Comunitat Valenciana (factor)</t>
        </is>
      </c>
      <c r="C230" s="2" t="n">
        <v>0.4777</v>
      </c>
      <c r="D230" s="2" t="n">
        <v>-0.7897</v>
      </c>
      <c r="E230" s="2" t="n">
        <v>1.6879</v>
      </c>
      <c r="F230" s="2" t="inlineStr">
        <is>
          <t>pp (100·Δln)</t>
        </is>
      </c>
      <c r="G230" s="2" t="inlineStr">
        <is>
          <t>2020T1-2022T2</t>
        </is>
      </c>
      <c r="H230" s="2" t="inlineStr">
        <is>
          <t>España (Comunitat Valenciana; stock a 1 de enero de 2020 a 2022)</t>
        </is>
      </c>
      <c r="I230" s="2" t="inlineStr">
        <is>
          <t>C4</t>
        </is>
      </c>
      <c r="J230" s="2" t="inlineStr">
        <is>
          <t>NO ESTIMABLE</t>
        </is>
      </c>
      <c r="K230" s="2" t="inlineStr">
        <is>
          <t>rango</t>
        </is>
      </c>
      <c r="L230" s="6">
        <f>IF(AND(ISNUMBER(D230),ISNUMBER(E230)),E230-D230,"")</f>
        <v/>
      </c>
      <c r="M230" s="6">
        <f>IF(AND(ISNUMBER(D230),ISNUMBER(E230)),IF(AND(D230&lt;=0,E230&gt;=0),"sí","no"),"")</f>
        <v/>
      </c>
    </row>
    <row r="231">
      <c r="A231" s="2" t="inlineStr">
        <is>
          <t>V18-C5I-2020T1-2022T2-10-E8-P</t>
        </is>
      </c>
      <c r="B231" s="2" t="inlineStr">
        <is>
          <t>Ilustración: fiscalidad de la compra (ITP), precio real, 2020T1-2022T2, Comunitat Valenciana (factor)</t>
        </is>
      </c>
      <c r="C231" s="2" t="n">
        <v>-0.8119</v>
      </c>
      <c r="D231" s="2" t="n">
        <v>-0.8688</v>
      </c>
      <c r="E231" s="2" t="n">
        <v>-0.7565</v>
      </c>
      <c r="F231" s="2" t="inlineStr">
        <is>
          <t>pp (100·Δln)</t>
        </is>
      </c>
      <c r="G231" s="2" t="inlineStr">
        <is>
          <t>2020T1-2022T2</t>
        </is>
      </c>
      <c r="H231" s="2" t="inlineStr">
        <is>
          <t>España (Comunitat Valenciana; cambios del tipo general entre 2020-01-01 y 2022-06-30 (el calendario empieza en 2010-01-01; fechas sin contraste con el BOE))</t>
        </is>
      </c>
      <c r="I231" s="2" t="inlineStr">
        <is>
          <t>C4</t>
        </is>
      </c>
      <c r="J231" s="2" t="inlineStr">
        <is>
          <t>NO ESTIMABLE</t>
        </is>
      </c>
      <c r="K231" s="2" t="inlineStr">
        <is>
          <t>rango</t>
        </is>
      </c>
      <c r="L231" s="6">
        <f>IF(AND(ISNUMBER(D231),ISNUMBER(E231)),E231-D231,"")</f>
        <v/>
      </c>
      <c r="M231" s="6">
        <f>IF(AND(ISNUMBER(D231),ISNUMBER(E231)),IF(AND(D231&lt;=0,E231&gt;=0),"sí","no"),"")</f>
        <v/>
      </c>
    </row>
    <row r="232">
      <c r="A232" s="2" t="inlineStr">
        <is>
          <t>V18-C5I-2020T1-2022T2-10-E9-P</t>
        </is>
      </c>
      <c r="B232" s="2" t="inlineStr">
        <is>
          <t>Ilustración: compradores no residentes, precio real, 2020T1-2022T2, Comunitat Valenciana (factor)</t>
        </is>
      </c>
      <c r="C232" s="2" t="n">
        <v>0.1732</v>
      </c>
      <c r="D232" s="2" t="n">
        <v>0.1422</v>
      </c>
      <c r="E232" s="2" t="n">
        <v>0.2049</v>
      </c>
      <c r="F232" s="2" t="inlineStr">
        <is>
          <t>pp (100·Δln)</t>
        </is>
      </c>
      <c r="G232" s="2" t="inlineStr">
        <is>
          <t>2020T1-2022T2</t>
        </is>
      </c>
      <c r="H232" s="2" t="inlineStr">
        <is>
          <t>España (Comunitat Valenciana; cuota media de cuatro trimestres: 2019T4 a 2022T2)</t>
        </is>
      </c>
      <c r="I232" s="2" t="inlineStr">
        <is>
          <t>C4</t>
        </is>
      </c>
      <c r="J232" s="2" t="inlineStr">
        <is>
          <t>NO ESTIMABLE</t>
        </is>
      </c>
      <c r="K232" s="2" t="inlineStr">
        <is>
          <t>rango</t>
        </is>
      </c>
      <c r="L232" s="6">
        <f>IF(AND(ISNUMBER(D232),ISNUMBER(E232)),E232-D232,"")</f>
        <v/>
      </c>
      <c r="M232" s="6">
        <f>IF(AND(ISNUMBER(D232),ISNUMBER(E232)),IF(AND(D232&lt;=0,E232&gt;=0),"sí","no"),"")</f>
        <v/>
      </c>
    </row>
    <row r="233">
      <c r="A233" s="2" t="inlineStr">
        <is>
          <t>V18-C5I-2020T1-2022T2-10-NOEXPL-P</t>
        </is>
      </c>
      <c r="B233" s="2" t="inlineStr">
        <is>
          <t>Ilustración: variación sin explicar, precio real, 2020T1-2022T2, Comunitat Valenciana (no_explicado)</t>
        </is>
      </c>
      <c r="C233" s="2" t="n">
        <v>3.8838</v>
      </c>
      <c r="D233" s="2" t="n">
        <v>2.6702</v>
      </c>
      <c r="E233" s="2" t="n">
        <v>5.1477</v>
      </c>
      <c r="F233" s="2" t="inlineStr">
        <is>
          <t>pp (100·Δln)</t>
        </is>
      </c>
      <c r="G233" s="2" t="inlineStr">
        <is>
          <t>2020T1-2022T2</t>
        </is>
      </c>
      <c r="H233" s="2" t="inlineStr">
        <is>
          <t>España (Comunitat Valenciana)</t>
        </is>
      </c>
      <c r="I233" s="2" t="inlineStr">
        <is>
          <t>C4</t>
        </is>
      </c>
      <c r="J233" s="2" t="inlineStr">
        <is>
          <t>NO ESTIMABLE</t>
        </is>
      </c>
      <c r="K233" s="2" t="inlineStr">
        <is>
          <t>rango</t>
        </is>
      </c>
      <c r="L233" s="6">
        <f>IF(AND(ISNUMBER(D233),ISNUMBER(E233)),E233-D233,"")</f>
        <v/>
      </c>
      <c r="M233" s="6">
        <f>IF(AND(ISNUMBER(D233),ISNUMBER(E233)),IF(AND(D233&lt;=0,E233&gt;=0),"sí","no"),"")</f>
        <v/>
      </c>
    </row>
    <row r="234">
      <c r="A234" s="2" t="inlineStr">
        <is>
          <t>V18-C5I-2020T1-2022T2-10-NOEXPL_alt_E9-P</t>
        </is>
      </c>
      <c r="B234" s="2" t="inlineStr">
        <is>
          <t>Ilustración: variación sin explicar, precio real, 2020T1-2022T2, Comunitat Valenciana (no_explicado_alternativa)</t>
        </is>
      </c>
      <c r="C234" s="2" t="n">
        <v>4.1845</v>
      </c>
      <c r="D234" s="2" t="n">
        <v>4.1187</v>
      </c>
      <c r="E234" s="2" t="n">
        <v>4.2527</v>
      </c>
      <c r="F234" s="2" t="inlineStr">
        <is>
          <t>pp (100·Δln)</t>
        </is>
      </c>
      <c r="G234" s="2" t="inlineStr">
        <is>
          <t>2020T1-2022T2</t>
        </is>
      </c>
      <c r="H234" s="2" t="inlineStr">
        <is>
          <t>España (Comunitat Valenciana)</t>
        </is>
      </c>
      <c r="I234" s="2" t="inlineStr">
        <is>
          <t>C4</t>
        </is>
      </c>
      <c r="J234" s="2" t="inlineStr">
        <is>
          <t>NO ESTIMABLE</t>
        </is>
      </c>
      <c r="K234" s="2" t="inlineStr">
        <is>
          <t>rango</t>
        </is>
      </c>
      <c r="L234" s="6">
        <f>IF(AND(ISNUMBER(D234),ISNUMBER(E234)),E234-D234,"")</f>
        <v/>
      </c>
      <c r="M234" s="6">
        <f>IF(AND(ISNUMBER(D234),ISNUMBER(E234)),IF(AND(D234&lt;=0,E234&gt;=0),"sí","no"),"")</f>
        <v/>
      </c>
    </row>
    <row r="235">
      <c r="A235" s="2" t="inlineStr">
        <is>
          <t>V18-C5I-2020T1-2022T2-11-E3-P</t>
        </is>
      </c>
      <c r="B235" s="2" t="inlineStr">
        <is>
          <t>Ilustración: inmigración, precio real, 2020T1-2022T2, Extremadura (factor)</t>
        </is>
      </c>
      <c r="C235" s="2" t="n">
        <v>-0.3028</v>
      </c>
      <c r="D235" s="2" t="n">
        <v>-1.0699</v>
      </c>
      <c r="E235" s="2" t="n">
        <v>0.5006</v>
      </c>
      <c r="F235" s="2" t="inlineStr">
        <is>
          <t>pp (100·Δln)</t>
        </is>
      </c>
      <c r="G235" s="2" t="inlineStr">
        <is>
          <t>2020T1-2022T2</t>
        </is>
      </c>
      <c r="H235" s="2" t="inlineStr">
        <is>
          <t>Extremadura; stock a 1 de enero de 2020 a 2022</t>
        </is>
      </c>
      <c r="I235" s="2" t="inlineStr">
        <is>
          <t>C4</t>
        </is>
      </c>
      <c r="J235" s="2" t="inlineStr">
        <is>
          <t>NO ESTIMABLE</t>
        </is>
      </c>
      <c r="K235" s="2" t="inlineStr">
        <is>
          <t>rango</t>
        </is>
      </c>
      <c r="L235" s="6">
        <f>IF(AND(ISNUMBER(D235),ISNUMBER(E235)),E235-D235,"")</f>
        <v/>
      </c>
      <c r="M235" s="6">
        <f>IF(AND(ISNUMBER(D235),ISNUMBER(E235)),IF(AND(D235&lt;=0,E235&gt;=0),"sí","no"),"")</f>
        <v/>
      </c>
    </row>
    <row r="236">
      <c r="A236" s="2" t="inlineStr">
        <is>
          <t>V18-C5I-2020T1-2022T2-11-E8-P</t>
        </is>
      </c>
      <c r="B236" s="2" t="inlineStr">
        <is>
          <t>Ilustración: fiscalidad de la compra (ITP), precio real, 2020T1-2022T2, Extremadura (factor)</t>
        </is>
      </c>
      <c r="C236" s="2" t="n">
        <v>-0.8119</v>
      </c>
      <c r="D236" s="2" t="n">
        <v>-0.8688</v>
      </c>
      <c r="E236" s="2" t="n">
        <v>-0.7565</v>
      </c>
      <c r="F236" s="2" t="inlineStr">
        <is>
          <t>pp (100·Δln)</t>
        </is>
      </c>
      <c r="G236" s="2" t="inlineStr">
        <is>
          <t>2020T1-2022T2</t>
        </is>
      </c>
      <c r="H236" s="2" t="inlineStr">
        <is>
          <t>Extremadura; cambios del tipo general entre 2020-01-01 y 2022-06-30 (el calendario empieza en 2010-01-01; fechas sin contraste con el BOE)</t>
        </is>
      </c>
      <c r="I236" s="2" t="inlineStr">
        <is>
          <t>C4</t>
        </is>
      </c>
      <c r="J236" s="2" t="inlineStr">
        <is>
          <t>NO ESTIMABLE</t>
        </is>
      </c>
      <c r="K236" s="2" t="inlineStr">
        <is>
          <t>rango</t>
        </is>
      </c>
      <c r="L236" s="6">
        <f>IF(AND(ISNUMBER(D236),ISNUMBER(E236)),E236-D236,"")</f>
        <v/>
      </c>
      <c r="M236" s="6">
        <f>IF(AND(ISNUMBER(D236),ISNUMBER(E236)),IF(AND(D236&lt;=0,E236&gt;=0),"sí","no"),"")</f>
        <v/>
      </c>
    </row>
    <row r="237">
      <c r="A237" s="2" t="inlineStr">
        <is>
          <t>V18-C5I-2020T1-2022T2-11-E9-P</t>
        </is>
      </c>
      <c r="B237" s="2" t="inlineStr">
        <is>
          <t>Ilustración: compradores no residentes, precio real, 2020T1-2022T2, Extremadura (factor)</t>
        </is>
      </c>
      <c r="C237" s="2" t="n">
        <v>-0.4248</v>
      </c>
      <c r="D237" s="2" t="n">
        <v>-0.5024999999999999</v>
      </c>
      <c r="E237" s="2" t="n">
        <v>-0.3487</v>
      </c>
      <c r="F237" s="2" t="inlineStr">
        <is>
          <t>pp (100·Δln)</t>
        </is>
      </c>
      <c r="G237" s="2" t="inlineStr">
        <is>
          <t>2020T1-2022T2</t>
        </is>
      </c>
      <c r="H237" s="2" t="inlineStr">
        <is>
          <t>Extremadura; cuota media de cuatro trimestres: 2019T4 a 2022T2</t>
        </is>
      </c>
      <c r="I237" s="2" t="inlineStr">
        <is>
          <t>C4</t>
        </is>
      </c>
      <c r="J237" s="2" t="inlineStr">
        <is>
          <t>NO ESTIMABLE</t>
        </is>
      </c>
      <c r="K237" s="2" t="inlineStr">
        <is>
          <t>rango</t>
        </is>
      </c>
      <c r="L237" s="6">
        <f>IF(AND(ISNUMBER(D237),ISNUMBER(E237)),E237-D237,"")</f>
        <v/>
      </c>
      <c r="M237" s="6">
        <f>IF(AND(ISNUMBER(D237),ISNUMBER(E237)),IF(AND(D237&lt;=0,E237&gt;=0),"sí","no"),"")</f>
        <v/>
      </c>
    </row>
    <row r="238">
      <c r="A238" s="2" t="inlineStr">
        <is>
          <t>V18-C5I-2020T1-2022T2-11-NOEXPL-P</t>
        </is>
      </c>
      <c r="B238" s="2" t="inlineStr">
        <is>
          <t>Ilustración: variación sin explicar, precio real, 2020T1-2022T2, Extremadura (no_explicado)</t>
        </is>
      </c>
      <c r="C238" s="2" t="n">
        <v>-0.0849</v>
      </c>
      <c r="D238" s="2" t="n">
        <v>-0.8883</v>
      </c>
      <c r="E238" s="2" t="n">
        <v>0.6821</v>
      </c>
      <c r="F238" s="2" t="inlineStr">
        <is>
          <t>pp (100·Δln)</t>
        </is>
      </c>
      <c r="G238" s="2" t="inlineStr">
        <is>
          <t>2020T1-2022T2</t>
        </is>
      </c>
      <c r="H238" s="2" t="inlineStr">
        <is>
          <t>Extremadura</t>
        </is>
      </c>
      <c r="I238" s="2" t="inlineStr">
        <is>
          <t>C4</t>
        </is>
      </c>
      <c r="J238" s="2" t="inlineStr">
        <is>
          <t>NO ESTIMABLE</t>
        </is>
      </c>
      <c r="K238" s="2" t="inlineStr">
        <is>
          <t>rango</t>
        </is>
      </c>
      <c r="L238" s="6">
        <f>IF(AND(ISNUMBER(D238),ISNUMBER(E238)),E238-D238,"")</f>
        <v/>
      </c>
      <c r="M238" s="6">
        <f>IF(AND(ISNUMBER(D238),ISNUMBER(E238)),IF(AND(D238&lt;=0,E238&gt;=0),"sí","no"),"")</f>
        <v/>
      </c>
    </row>
    <row r="239">
      <c r="A239" s="2" t="inlineStr">
        <is>
          <t>V18-C5I-2020T1-2022T2-11-NOEXPL_alt_E9-P</t>
        </is>
      </c>
      <c r="B239" s="2" t="inlineStr">
        <is>
          <t>Ilustración: variación sin explicar, precio real, 2020T1-2022T2, Extremadura (no_explicado_alternativa)</t>
        </is>
      </c>
      <c r="C239" s="2" t="n">
        <v>0.0365</v>
      </c>
      <c r="D239" s="2" t="n">
        <v>-0.0636</v>
      </c>
      <c r="E239" s="2" t="n">
        <v>0.1389</v>
      </c>
      <c r="F239" s="2" t="inlineStr">
        <is>
          <t>pp (100·Δln)</t>
        </is>
      </c>
      <c r="G239" s="2" t="inlineStr">
        <is>
          <t>2020T1-2022T2</t>
        </is>
      </c>
      <c r="H239" s="2" t="inlineStr">
        <is>
          <t>Extremadura</t>
        </is>
      </c>
      <c r="I239" s="2" t="inlineStr">
        <is>
          <t>C4</t>
        </is>
      </c>
      <c r="J239" s="2" t="inlineStr">
        <is>
          <t>NO ESTIMABLE</t>
        </is>
      </c>
      <c r="K239" s="2" t="inlineStr">
        <is>
          <t>rango</t>
        </is>
      </c>
      <c r="L239" s="6">
        <f>IF(AND(ISNUMBER(D239),ISNUMBER(E239)),E239-D239,"")</f>
        <v/>
      </c>
      <c r="M239" s="6">
        <f>IF(AND(ISNUMBER(D239),ISNUMBER(E239)),IF(AND(D239&lt;=0,E239&gt;=0),"sí","no"),"")</f>
        <v/>
      </c>
    </row>
    <row r="240">
      <c r="A240" s="2" t="inlineStr">
        <is>
          <t>V18-C5I-2020T1-2022T2-12-E3-P</t>
        </is>
      </c>
      <c r="B240" s="2" t="inlineStr">
        <is>
          <t>Ilustración: inmigración, precio real, 2020T1-2022T2, Galicia (factor)</t>
        </is>
      </c>
      <c r="C240" s="2" t="n">
        <v>-0.1009</v>
      </c>
      <c r="D240" s="2" t="n">
        <v>-0.3565</v>
      </c>
      <c r="E240" s="2" t="n">
        <v>0.1668</v>
      </c>
      <c r="F240" s="2" t="inlineStr">
        <is>
          <t>pp (100·Δln)</t>
        </is>
      </c>
      <c r="G240" s="2" t="inlineStr">
        <is>
          <t>2020T1-2022T2</t>
        </is>
      </c>
      <c r="H240" s="2" t="inlineStr">
        <is>
          <t>Galicia; stock a 1 de enero de 2020 a 2022</t>
        </is>
      </c>
      <c r="I240" s="2" t="inlineStr">
        <is>
          <t>C4</t>
        </is>
      </c>
      <c r="J240" s="2" t="inlineStr">
        <is>
          <t>NO ESTIMABLE</t>
        </is>
      </c>
      <c r="K240" s="2" t="inlineStr">
        <is>
          <t>rango</t>
        </is>
      </c>
      <c r="L240" s="6">
        <f>IF(AND(ISNUMBER(D240),ISNUMBER(E240)),E240-D240,"")</f>
        <v/>
      </c>
      <c r="M240" s="6">
        <f>IF(AND(ISNUMBER(D240),ISNUMBER(E240)),IF(AND(D240&lt;=0,E240&gt;=0),"sí","no"),"")</f>
        <v/>
      </c>
    </row>
    <row r="241">
      <c r="A241" s="2" t="inlineStr">
        <is>
          <t>V18-C5I-2020T1-2022T2-12-E8-P</t>
        </is>
      </c>
      <c r="B241" s="2" t="inlineStr">
        <is>
          <t>Ilustración: fiscalidad de la compra (ITP), precio real, 2020T1-2022T2, Galicia (factor)</t>
        </is>
      </c>
      <c r="C241" s="2" t="n">
        <v>2.4357</v>
      </c>
      <c r="D241" s="2" t="n">
        <v>2.2694</v>
      </c>
      <c r="E241" s="2" t="n">
        <v>2.6064</v>
      </c>
      <c r="F241" s="2" t="inlineStr">
        <is>
          <t>pp (100·Δln)</t>
        </is>
      </c>
      <c r="G241" s="2" t="inlineStr">
        <is>
          <t>2020T1-2022T2</t>
        </is>
      </c>
      <c r="H241" s="2" t="inlineStr">
        <is>
          <t>Galicia; cambios del tipo general entre 2020-01-01 y 2022-06-30 (el calendario empieza en 2010-01-01; fechas sin contraste con el BOE)</t>
        </is>
      </c>
      <c r="I241" s="2" t="inlineStr">
        <is>
          <t>C4</t>
        </is>
      </c>
      <c r="J241" s="2" t="inlineStr">
        <is>
          <t>NO ESTIMABLE</t>
        </is>
      </c>
      <c r="K241" s="2" t="inlineStr">
        <is>
          <t>rango</t>
        </is>
      </c>
      <c r="L241" s="6">
        <f>IF(AND(ISNUMBER(D241),ISNUMBER(E241)),E241-D241,"")</f>
        <v/>
      </c>
      <c r="M241" s="6">
        <f>IF(AND(ISNUMBER(D241),ISNUMBER(E241)),IF(AND(D241&lt;=0,E241&gt;=0),"sí","no"),"")</f>
        <v/>
      </c>
    </row>
    <row r="242">
      <c r="A242" s="2" t="inlineStr">
        <is>
          <t>V18-C5I-2020T1-2022T2-12-E9-P</t>
        </is>
      </c>
      <c r="B242" s="2" t="inlineStr">
        <is>
          <t>Ilustración: compradores no residentes, precio real, 2020T1-2022T2, Galicia (factor)</t>
        </is>
      </c>
      <c r="C242" s="2" t="n">
        <v>-0.5566</v>
      </c>
      <c r="D242" s="2" t="n">
        <v>-0.6585</v>
      </c>
      <c r="E242" s="2" t="n">
        <v>-0.4569</v>
      </c>
      <c r="F242" s="2" t="inlineStr">
        <is>
          <t>pp (100·Δln)</t>
        </is>
      </c>
      <c r="G242" s="2" t="inlineStr">
        <is>
          <t>2020T1-2022T2</t>
        </is>
      </c>
      <c r="H242" s="2" t="inlineStr">
        <is>
          <t>Galicia; cuota media de cuatro trimestres: 2019T4 a 2022T2</t>
        </is>
      </c>
      <c r="I242" s="2" t="inlineStr">
        <is>
          <t>C4</t>
        </is>
      </c>
      <c r="J242" s="2" t="inlineStr">
        <is>
          <t>NO ESTIMABLE</t>
        </is>
      </c>
      <c r="K242" s="2" t="inlineStr">
        <is>
          <t>rango</t>
        </is>
      </c>
      <c r="L242" s="6">
        <f>IF(AND(ISNUMBER(D242),ISNUMBER(E242)),E242-D242,"")</f>
        <v/>
      </c>
      <c r="M242" s="6">
        <f>IF(AND(ISNUMBER(D242),ISNUMBER(E242)),IF(AND(D242&lt;=0,E242&gt;=0),"sí","no"),"")</f>
        <v/>
      </c>
    </row>
    <row r="243">
      <c r="A243" s="2" t="inlineStr">
        <is>
          <t>V18-C5I-2020T1-2022T2-12-NOEXPL-P</t>
        </is>
      </c>
      <c r="B243" s="2" t="inlineStr">
        <is>
          <t>Ilustración: variación sin explicar, precio real, 2020T1-2022T2, Galicia (no_explicado)</t>
        </is>
      </c>
      <c r="C243" s="2" t="n">
        <v>-0.6793</v>
      </c>
      <c r="D243" s="2" t="n">
        <v>-1.0108</v>
      </c>
      <c r="E243" s="2" t="n">
        <v>-0.3539</v>
      </c>
      <c r="F243" s="2" t="inlineStr">
        <is>
          <t>pp (100·Δln)</t>
        </is>
      </c>
      <c r="G243" s="2" t="inlineStr">
        <is>
          <t>2020T1-2022T2</t>
        </is>
      </c>
      <c r="H243" s="2" t="inlineStr">
        <is>
          <t>Galicia</t>
        </is>
      </c>
      <c r="I243" s="2" t="inlineStr">
        <is>
          <t>C4</t>
        </is>
      </c>
      <c r="J243" s="2" t="inlineStr">
        <is>
          <t>NO ESTIMABLE</t>
        </is>
      </c>
      <c r="K243" s="2" t="inlineStr">
        <is>
          <t>rango</t>
        </is>
      </c>
      <c r="L243" s="6">
        <f>IF(AND(ISNUMBER(D243),ISNUMBER(E243)),E243-D243,"")</f>
        <v/>
      </c>
      <c r="M243" s="6">
        <f>IF(AND(ISNUMBER(D243),ISNUMBER(E243)),IF(AND(D243&lt;=0,E243&gt;=0),"sí","no"),"")</f>
        <v/>
      </c>
    </row>
    <row r="244">
      <c r="A244" s="2" t="inlineStr">
        <is>
          <t>V18-C5I-2020T1-2022T2-12-NOEXPL_alt_E9-P</t>
        </is>
      </c>
      <c r="B244" s="2" t="inlineStr">
        <is>
          <t>Ilustración: variación sin explicar, precio real, 2020T1-2022T2, Galicia (no_explicado_alternativa)</t>
        </is>
      </c>
      <c r="C244" s="2" t="n">
        <v>-0.219</v>
      </c>
      <c r="D244" s="2" t="n">
        <v>-0.4287</v>
      </c>
      <c r="E244" s="2" t="n">
        <v>-0.0174</v>
      </c>
      <c r="F244" s="2" t="inlineStr">
        <is>
          <t>pp (100·Δln)</t>
        </is>
      </c>
      <c r="G244" s="2" t="inlineStr">
        <is>
          <t>2020T1-2022T2</t>
        </is>
      </c>
      <c r="H244" s="2" t="inlineStr">
        <is>
          <t>Galicia</t>
        </is>
      </c>
      <c r="I244" s="2" t="inlineStr">
        <is>
          <t>C4</t>
        </is>
      </c>
      <c r="J244" s="2" t="inlineStr">
        <is>
          <t>NO ESTIMABLE</t>
        </is>
      </c>
      <c r="K244" s="2" t="inlineStr">
        <is>
          <t>rango</t>
        </is>
      </c>
      <c r="L244" s="6">
        <f>IF(AND(ISNUMBER(D244),ISNUMBER(E244)),E244-D244,"")</f>
        <v/>
      </c>
      <c r="M244" s="6">
        <f>IF(AND(ISNUMBER(D244),ISNUMBER(E244)),IF(AND(D244&lt;=0,E244&gt;=0),"sí","no"),"")</f>
        <v/>
      </c>
    </row>
    <row r="245">
      <c r="A245" s="2" t="inlineStr">
        <is>
          <t>V18-C5I-2020T1-2022T2-16-E3-P</t>
        </is>
      </c>
      <c r="B245" s="2" t="inlineStr">
        <is>
          <t>Ilustración: inmigración, precio real, 2020T1-2022T2, País Vasco (factor)</t>
        </is>
      </c>
      <c r="C245" s="2" t="n">
        <v>-0.061</v>
      </c>
      <c r="D245" s="2" t="n">
        <v>-0.2156</v>
      </c>
      <c r="E245" s="2" t="n">
        <v>0.1009</v>
      </c>
      <c r="F245" s="2" t="inlineStr">
        <is>
          <t>pp (100·Δln)</t>
        </is>
      </c>
      <c r="G245" s="2" t="inlineStr">
        <is>
          <t>2020T1-2022T2</t>
        </is>
      </c>
      <c r="H245" s="2" t="inlineStr">
        <is>
          <t>País Vasco; stock a 1 de enero de 2020 a 2022</t>
        </is>
      </c>
      <c r="I245" s="2" t="inlineStr">
        <is>
          <t>C4</t>
        </is>
      </c>
      <c r="J245" s="2" t="inlineStr">
        <is>
          <t>NO ESTIMABLE</t>
        </is>
      </c>
      <c r="K245" s="2" t="inlineStr">
        <is>
          <t>rango</t>
        </is>
      </c>
      <c r="L245" s="6">
        <f>IF(AND(ISNUMBER(D245),ISNUMBER(E245)),E245-D245,"")</f>
        <v/>
      </c>
      <c r="M245" s="6">
        <f>IF(AND(ISNUMBER(D245),ISNUMBER(E245)),IF(AND(D245&lt;=0,E245&gt;=0),"sí","no"),"")</f>
        <v/>
      </c>
    </row>
    <row r="246">
      <c r="A246" s="2" t="inlineStr">
        <is>
          <t>V18-C5I-2020T1-2022T2-16-E9-P</t>
        </is>
      </c>
      <c r="B246" s="2" t="inlineStr">
        <is>
          <t>Ilustración: compradores no residentes, precio real, 2020T1-2022T2, País Vasco (factor)</t>
        </is>
      </c>
      <c r="C246" s="2" t="n">
        <v>-0.4449</v>
      </c>
      <c r="D246" s="2" t="n">
        <v>-0.5263</v>
      </c>
      <c r="E246" s="2" t="n">
        <v>-0.3652</v>
      </c>
      <c r="F246" s="2" t="inlineStr">
        <is>
          <t>pp (100·Δln)</t>
        </is>
      </c>
      <c r="G246" s="2" t="inlineStr">
        <is>
          <t>2020T1-2022T2</t>
        </is>
      </c>
      <c r="H246" s="2" t="inlineStr">
        <is>
          <t>País Vasco; cuota media de cuatro trimestres: 2019T4 a 2022T2</t>
        </is>
      </c>
      <c r="I246" s="2" t="inlineStr">
        <is>
          <t>C4</t>
        </is>
      </c>
      <c r="J246" s="2" t="inlineStr">
        <is>
          <t>NO ESTIMABLE</t>
        </is>
      </c>
      <c r="K246" s="2" t="inlineStr">
        <is>
          <t>rango</t>
        </is>
      </c>
      <c r="L246" s="6">
        <f>IF(AND(ISNUMBER(D246),ISNUMBER(E246)),E246-D246,"")</f>
        <v/>
      </c>
      <c r="M246" s="6">
        <f>IF(AND(ISNUMBER(D246),ISNUMBER(E246)),IF(AND(D246&lt;=0,E246&gt;=0),"sí","no"),"")</f>
        <v/>
      </c>
    </row>
    <row r="247">
      <c r="A247" s="2" t="inlineStr">
        <is>
          <t>V18-C5I-2020T1-2022T2-16-NOEXPL-P</t>
        </is>
      </c>
      <c r="B247" s="2" t="inlineStr">
        <is>
          <t>Ilustración: variación sin explicar, precio real, 2020T1-2022T2, País Vasco (no_explicado)</t>
        </is>
      </c>
      <c r="C247" s="2" t="n">
        <v>-0.1072</v>
      </c>
      <c r="D247" s="2" t="n">
        <v>-0.269</v>
      </c>
      <c r="E247" s="2" t="n">
        <v>0.0474</v>
      </c>
      <c r="F247" s="2" t="inlineStr">
        <is>
          <t>pp (100·Δln)</t>
        </is>
      </c>
      <c r="G247" s="2" t="inlineStr">
        <is>
          <t>2020T1-2022T2</t>
        </is>
      </c>
      <c r="H247" s="2" t="inlineStr">
        <is>
          <t>País Vasco</t>
        </is>
      </c>
      <c r="I247" s="2" t="inlineStr">
        <is>
          <t>C4</t>
        </is>
      </c>
      <c r="J247" s="2" t="inlineStr">
        <is>
          <t>NO ESTIMABLE</t>
        </is>
      </c>
      <c r="K247" s="2" t="inlineStr">
        <is>
          <t>rango</t>
        </is>
      </c>
      <c r="L247" s="6">
        <f>IF(AND(ISNUMBER(D247),ISNUMBER(E247)),E247-D247,"")</f>
        <v/>
      </c>
      <c r="M247" s="6">
        <f>IF(AND(ISNUMBER(D247),ISNUMBER(E247)),IF(AND(D247&lt;=0,E247&gt;=0),"sí","no"),"")</f>
        <v/>
      </c>
    </row>
    <row r="248">
      <c r="A248" s="2" t="inlineStr">
        <is>
          <t>V18-C5I-2020T1-2022T2-16-NOEXPL_alt_E9-P</t>
        </is>
      </c>
      <c r="B248" s="2" t="inlineStr">
        <is>
          <t>Ilustración: variación sin explicar, precio real, 2020T1-2022T2, País Vasco (no_explicado_alternativa)</t>
        </is>
      </c>
      <c r="C248" s="2" t="n">
        <v>0.2767</v>
      </c>
      <c r="D248" s="2" t="n">
        <v>0.197</v>
      </c>
      <c r="E248" s="2" t="n">
        <v>0.3582</v>
      </c>
      <c r="F248" s="2" t="inlineStr">
        <is>
          <t>pp (100·Δln)</t>
        </is>
      </c>
      <c r="G248" s="2" t="inlineStr">
        <is>
          <t>2020T1-2022T2</t>
        </is>
      </c>
      <c r="H248" s="2" t="inlineStr">
        <is>
          <t>País Vasco</t>
        </is>
      </c>
      <c r="I248" s="2" t="inlineStr">
        <is>
          <t>C4</t>
        </is>
      </c>
      <c r="J248" s="2" t="inlineStr">
        <is>
          <t>NO ESTIMABLE</t>
        </is>
      </c>
      <c r="K248" s="2" t="inlineStr">
        <is>
          <t>rango</t>
        </is>
      </c>
      <c r="L248" s="6">
        <f>IF(AND(ISNUMBER(D248),ISNUMBER(E248)),E248-D248,"")</f>
        <v/>
      </c>
      <c r="M248" s="6">
        <f>IF(AND(ISNUMBER(D248),ISNUMBER(E248)),IF(AND(D248&lt;=0,E248&gt;=0),"sí","no"),"")</f>
        <v/>
      </c>
    </row>
    <row r="249">
      <c r="A249" s="2" t="inlineStr">
        <is>
          <t>V18-C5I-2020T1-2022T2-46250-E3-P</t>
        </is>
      </c>
      <c r="B249" s="2" t="inlineStr">
        <is>
          <t>Ilustración: inmigración, precio real, 2020T1-2022T2, València (factor)</t>
        </is>
      </c>
      <c r="C249" s="2" t="n">
        <v>0.06610000000000001</v>
      </c>
      <c r="D249" s="2" t="n">
        <v>-0.1094</v>
      </c>
      <c r="E249" s="2" t="n">
        <v>0.2337</v>
      </c>
      <c r="F249" s="2" t="inlineStr">
        <is>
          <t>pp (100·Δln)</t>
        </is>
      </c>
      <c r="G249" s="2" t="inlineStr">
        <is>
          <t>2020T1-2022T2</t>
        </is>
      </c>
      <c r="H249" s="2" t="inlineStr">
        <is>
          <t>València; stock a 1 de enero de 2020 a 2022</t>
        </is>
      </c>
      <c r="I249" s="2" t="inlineStr">
        <is>
          <t>C4</t>
        </is>
      </c>
      <c r="J249" s="2" t="inlineStr">
        <is>
          <t>NO ESTIMABLE</t>
        </is>
      </c>
      <c r="K249" s="2" t="inlineStr">
        <is>
          <t>rango</t>
        </is>
      </c>
      <c r="L249" s="6">
        <f>IF(AND(ISNUMBER(D249),ISNUMBER(E249)),E249-D249,"")</f>
        <v/>
      </c>
      <c r="M249" s="6">
        <f>IF(AND(ISNUMBER(D249),ISNUMBER(E249)),IF(AND(D249&lt;=0,E249&gt;=0),"sí","no"),"")</f>
        <v/>
      </c>
    </row>
    <row r="250">
      <c r="A250" s="2" t="inlineStr">
        <is>
          <t>V18-C5I-2020T1-2022T2-46250-NOEXPL-P</t>
        </is>
      </c>
      <c r="B250" s="2" t="inlineStr">
        <is>
          <t>Ilustración: variación sin explicar, precio real, 2020T1-2022T2, València (no_explicado)</t>
        </is>
      </c>
      <c r="C250" s="2" t="n">
        <v>10.1565</v>
      </c>
      <c r="D250" s="2" t="n">
        <v>9.988899999999999</v>
      </c>
      <c r="E250" s="2" t="n">
        <v>10.332</v>
      </c>
      <c r="F250" s="2" t="inlineStr">
        <is>
          <t>pp (100·Δln)</t>
        </is>
      </c>
      <c r="G250" s="2" t="inlineStr">
        <is>
          <t>2020T1-2022T2</t>
        </is>
      </c>
      <c r="H250" s="2" t="inlineStr">
        <is>
          <t>València</t>
        </is>
      </c>
      <c r="I250" s="2" t="inlineStr">
        <is>
          <t>C4</t>
        </is>
      </c>
      <c r="J250" s="2" t="inlineStr">
        <is>
          <t>NO ESTIMABLE</t>
        </is>
      </c>
      <c r="K250" s="2" t="inlineStr">
        <is>
          <t>rango</t>
        </is>
      </c>
      <c r="L250" s="6">
        <f>IF(AND(ISNUMBER(D250),ISNUMBER(E250)),E250-D250,"")</f>
        <v/>
      </c>
      <c r="M250" s="6">
        <f>IF(AND(ISNUMBER(D250),ISNUMBER(E250)),IF(AND(D250&lt;=0,E250&gt;=0),"sí","no"),"")</f>
        <v/>
      </c>
    </row>
    <row r="251">
      <c r="A251" s="2" t="inlineStr">
        <is>
          <t>V18-C5I-2022T3-2026T2-00-E3-P</t>
        </is>
      </c>
      <c r="B251" s="2" t="inlineStr">
        <is>
          <t>Ilustración: inmigración, precio real, 2022T3-2026T2, Nacional (factor)</t>
        </is>
      </c>
      <c r="C251" s="2" t="n">
        <v>1.7587</v>
      </c>
      <c r="D251" s="2" t="n">
        <v>-2.9077</v>
      </c>
      <c r="E251" s="2" t="n">
        <v>6.2148</v>
      </c>
      <c r="F251" s="2" t="inlineStr">
        <is>
          <t>pp (100·Δln)</t>
        </is>
      </c>
      <c r="G251" s="2" t="inlineStr">
        <is>
          <t>2022T3-2026T2</t>
        </is>
      </c>
      <c r="H251" s="2" t="inlineStr">
        <is>
          <t>Nacional; stock a 1 de enero de 2022 a 2024</t>
        </is>
      </c>
      <c r="I251" s="2" t="inlineStr">
        <is>
          <t>C4</t>
        </is>
      </c>
      <c r="J251" s="2" t="inlineStr">
        <is>
          <t>NO ESTIMABLE</t>
        </is>
      </c>
      <c r="K251" s="2" t="inlineStr">
        <is>
          <t>rango</t>
        </is>
      </c>
      <c r="L251" s="6">
        <f>IF(AND(ISNUMBER(D251),ISNUMBER(E251)),E251-D251,"")</f>
        <v/>
      </c>
      <c r="M251" s="6">
        <f>IF(AND(ISNUMBER(D251),ISNUMBER(E251)),IF(AND(D251&lt;=0,E251&gt;=0),"sí","no"),"")</f>
        <v/>
      </c>
    </row>
    <row r="252">
      <c r="A252" s="2" t="inlineStr">
        <is>
          <t>V18-C5I-2022T3-2026T2-00-E7-P</t>
        </is>
      </c>
      <c r="B252" s="2" t="inlineStr">
        <is>
          <t>Ilustración: tipos de interés, precio real, 2022T3-2026T2, Nacional (factor)</t>
        </is>
      </c>
      <c r="C252" s="2" t="n">
        <v>2.8939</v>
      </c>
      <c r="D252" s="2" t="n">
        <v>1.7755</v>
      </c>
      <c r="E252" s="2" t="n">
        <v>4.0016</v>
      </c>
      <c r="F252" s="2" t="inlineStr">
        <is>
          <t>pp (100·Δln)</t>
        </is>
      </c>
      <c r="G252" s="2" t="inlineStr">
        <is>
          <t>2022T3-2026T2</t>
        </is>
      </c>
      <c r="H252" s="2" t="inlineStr">
        <is>
          <t>Nacional; 2024T2 a 2026T2 (horizonte de 8 trimestres)</t>
        </is>
      </c>
      <c r="I252" s="2" t="inlineStr">
        <is>
          <t>C4</t>
        </is>
      </c>
      <c r="J252" s="2" t="inlineStr">
        <is>
          <t>NO ESTIMABLE</t>
        </is>
      </c>
      <c r="K252" s="2" t="inlineStr">
        <is>
          <t>rango</t>
        </is>
      </c>
      <c r="L252" s="6">
        <f>IF(AND(ISNUMBER(D252),ISNUMBER(E252)),E252-D252,"")</f>
        <v/>
      </c>
      <c r="M252" s="6">
        <f>IF(AND(ISNUMBER(D252),ISNUMBER(E252)),IF(AND(D252&lt;=0,E252&gt;=0),"sí","no"),"")</f>
        <v/>
      </c>
    </row>
    <row r="253">
      <c r="A253" s="2" t="inlineStr">
        <is>
          <t>V18-C5I-2022T3-2026T2-00-E9-P</t>
        </is>
      </c>
      <c r="B253" s="2" t="inlineStr">
        <is>
          <t>Ilustración: compradores no residentes, precio real, 2022T3-2026T2, Nacional (factor)</t>
        </is>
      </c>
      <c r="C253" s="2" t="n">
        <v>-3.3242</v>
      </c>
      <c r="D253" s="2" t="n">
        <v>-3.933</v>
      </c>
      <c r="E253" s="2" t="n">
        <v>-2.729</v>
      </c>
      <c r="F253" s="2" t="inlineStr">
        <is>
          <t>pp (100·Δln)</t>
        </is>
      </c>
      <c r="G253" s="2" t="inlineStr">
        <is>
          <t>2022T3-2026T2</t>
        </is>
      </c>
      <c r="H253" s="2" t="inlineStr">
        <is>
          <t>Nacional; cuota media de cuatro trimestres: 2022T2 a 2026T2</t>
        </is>
      </c>
      <c r="I253" s="2" t="inlineStr">
        <is>
          <t>C4</t>
        </is>
      </c>
      <c r="J253" s="2" t="inlineStr">
        <is>
          <t>NO ESTIMABLE</t>
        </is>
      </c>
      <c r="K253" s="2" t="inlineStr">
        <is>
          <t>rango</t>
        </is>
      </c>
      <c r="L253" s="6">
        <f>IF(AND(ISNUMBER(D253),ISNUMBER(E253)),E253-D253,"")</f>
        <v/>
      </c>
      <c r="M253" s="6">
        <f>IF(AND(ISNUMBER(D253),ISNUMBER(E253)),IF(AND(D253&lt;=0,E253&gt;=0),"sí","no"),"")</f>
        <v/>
      </c>
    </row>
    <row r="254">
      <c r="A254" s="2" t="inlineStr">
        <is>
          <t>V18-C5I-2022T3-2026T2-00-NOEXPL-P</t>
        </is>
      </c>
      <c r="B254" s="2" t="inlineStr">
        <is>
          <t>Ilustración: variación sin explicar, precio real, 2022T3-2026T2, Nacional (no_explicado)</t>
        </is>
      </c>
      <c r="C254" s="2" t="n">
        <v>10.2117</v>
      </c>
      <c r="D254" s="2" t="n">
        <v>5.5656</v>
      </c>
      <c r="E254" s="2" t="n">
        <v>15.0334</v>
      </c>
      <c r="F254" s="2" t="inlineStr">
        <is>
          <t>pp (100·Δln)</t>
        </is>
      </c>
      <c r="G254" s="2" t="inlineStr">
        <is>
          <t>2022T3-2026T2</t>
        </is>
      </c>
      <c r="H254" s="2" t="inlineStr">
        <is>
          <t>Nacional</t>
        </is>
      </c>
      <c r="I254" s="2" t="inlineStr">
        <is>
          <t>C4</t>
        </is>
      </c>
      <c r="J254" s="2" t="inlineStr">
        <is>
          <t>NO ESTIMABLE</t>
        </is>
      </c>
      <c r="K254" s="2" t="inlineStr">
        <is>
          <t>rango</t>
        </is>
      </c>
      <c r="L254" s="6">
        <f>IF(AND(ISNUMBER(D254),ISNUMBER(E254)),E254-D254,"")</f>
        <v/>
      </c>
      <c r="M254" s="6">
        <f>IF(AND(ISNUMBER(D254),ISNUMBER(E254)),IF(AND(D254&lt;=0,E254&gt;=0),"sí","no"),"")</f>
        <v/>
      </c>
    </row>
    <row r="255">
      <c r="A255" s="2" t="inlineStr">
        <is>
          <t>V18-C5I-2022T3-2026T2-00-NOEXPL_alt_E9-P</t>
        </is>
      </c>
      <c r="B255" s="2" t="inlineStr">
        <is>
          <t>Ilustración: variación sin explicar, precio real, 2022T3-2026T2, Nacional (no_explicado_alternativa)</t>
        </is>
      </c>
      <c r="C255" s="2" t="n">
        <v>15.3129</v>
      </c>
      <c r="D255" s="2" t="n">
        <v>13.9831</v>
      </c>
      <c r="E255" s="2" t="n">
        <v>16.6575</v>
      </c>
      <c r="F255" s="2" t="inlineStr">
        <is>
          <t>pp (100·Δln)</t>
        </is>
      </c>
      <c r="G255" s="2" t="inlineStr">
        <is>
          <t>2022T3-2026T2</t>
        </is>
      </c>
      <c r="H255" s="2" t="inlineStr">
        <is>
          <t>Nacional</t>
        </is>
      </c>
      <c r="I255" s="2" t="inlineStr">
        <is>
          <t>C4</t>
        </is>
      </c>
      <c r="J255" s="2" t="inlineStr">
        <is>
          <t>NO ESTIMABLE</t>
        </is>
      </c>
      <c r="K255" s="2" t="inlineStr">
        <is>
          <t>rango</t>
        </is>
      </c>
      <c r="L255" s="6">
        <f>IF(AND(ISNUMBER(D255),ISNUMBER(E255)),E255-D255,"")</f>
        <v/>
      </c>
      <c r="M255" s="6">
        <f>IF(AND(ISNUMBER(D255),ISNUMBER(E255)),IF(AND(D255&lt;=0,E255&gt;=0),"sí","no"),"")</f>
        <v/>
      </c>
    </row>
    <row r="256">
      <c r="A256" s="2" t="inlineStr">
        <is>
          <t>V18-C5I-2022T3-2026T2-01-E3-P</t>
        </is>
      </c>
      <c r="B256" s="2" t="inlineStr">
        <is>
          <t>Ilustración: inmigración, precio real, 2022T3-2026T2, Andalucía (factor)</t>
        </is>
      </c>
      <c r="C256" s="2" t="n">
        <v>-0.3804</v>
      </c>
      <c r="D256" s="2" t="n">
        <v>-1.3443</v>
      </c>
      <c r="E256" s="2" t="n">
        <v>0.629</v>
      </c>
      <c r="F256" s="2" t="inlineStr">
        <is>
          <t>pp (100·Δln)</t>
        </is>
      </c>
      <c r="G256" s="2" t="inlineStr">
        <is>
          <t>2022T3-2026T2</t>
        </is>
      </c>
      <c r="H256" s="2" t="inlineStr">
        <is>
          <t>Andalucía; stock a 1 de enero de 2022 a 2024</t>
        </is>
      </c>
      <c r="I256" s="2" t="inlineStr">
        <is>
          <t>C4</t>
        </is>
      </c>
      <c r="J256" s="2" t="inlineStr">
        <is>
          <t>NO ESTIMABLE</t>
        </is>
      </c>
      <c r="K256" s="2" t="inlineStr">
        <is>
          <t>rango</t>
        </is>
      </c>
      <c r="L256" s="6">
        <f>IF(AND(ISNUMBER(D256),ISNUMBER(E256)),E256-D256,"")</f>
        <v/>
      </c>
      <c r="M256" s="6">
        <f>IF(AND(ISNUMBER(D256),ISNUMBER(E256)),IF(AND(D256&lt;=0,E256&gt;=0),"sí","no"),"")</f>
        <v/>
      </c>
    </row>
    <row r="257">
      <c r="A257" s="2" t="inlineStr">
        <is>
          <t>V18-C5I-2022T3-2026T2-01-E8-P</t>
        </is>
      </c>
      <c r="B257" s="2" t="inlineStr">
        <is>
          <t>Ilustración: fiscalidad de la compra (ITP), precio real, 2022T3-2026T2, Andalucía (factor)</t>
        </is>
      </c>
      <c r="C257" s="2" t="n">
        <v>-1.2178</v>
      </c>
      <c r="D257" s="2" t="n">
        <v>-1.3032</v>
      </c>
      <c r="E257" s="2" t="n">
        <v>-1.1347</v>
      </c>
      <c r="F257" s="2" t="inlineStr">
        <is>
          <t>pp (100·Δln)</t>
        </is>
      </c>
      <c r="G257" s="2" t="inlineStr">
        <is>
          <t>2022T3-2026T2</t>
        </is>
      </c>
      <c r="H257" s="2" t="inlineStr">
        <is>
          <t>Andalucía; cambios del tipo general entre 2022-07-01 y 2026-06-30 (el calendario empieza en 2010-01-01; fechas sin contraste con el BOE)</t>
        </is>
      </c>
      <c r="I257" s="2" t="inlineStr">
        <is>
          <t>C4</t>
        </is>
      </c>
      <c r="J257" s="2" t="inlineStr">
        <is>
          <t>NO ESTIMABLE</t>
        </is>
      </c>
      <c r="K257" s="2" t="inlineStr">
        <is>
          <t>rango</t>
        </is>
      </c>
      <c r="L257" s="6">
        <f>IF(AND(ISNUMBER(D257),ISNUMBER(E257)),E257-D257,"")</f>
        <v/>
      </c>
      <c r="M257" s="6">
        <f>IF(AND(ISNUMBER(D257),ISNUMBER(E257)),IF(AND(D257&lt;=0,E257&gt;=0),"sí","no"),"")</f>
        <v/>
      </c>
    </row>
    <row r="258">
      <c r="A258" s="2" t="inlineStr">
        <is>
          <t>V18-C5I-2022T3-2026T2-01-NOEXPL-P</t>
        </is>
      </c>
      <c r="B258" s="2" t="inlineStr">
        <is>
          <t>Ilustración: variación sin explicar, precio real, 2022T3-2026T2, Andalucía (no_explicado)</t>
        </is>
      </c>
      <c r="C258" s="2" t="n">
        <v>6.7847</v>
      </c>
      <c r="D258" s="2" t="n">
        <v>5.7784</v>
      </c>
      <c r="E258" s="2" t="n">
        <v>7.7529</v>
      </c>
      <c r="F258" s="2" t="inlineStr">
        <is>
          <t>pp (100·Δln)</t>
        </is>
      </c>
      <c r="G258" s="2" t="inlineStr">
        <is>
          <t>2022T3-2026T2</t>
        </is>
      </c>
      <c r="H258" s="2" t="inlineStr">
        <is>
          <t>Andalucía</t>
        </is>
      </c>
      <c r="I258" s="2" t="inlineStr">
        <is>
          <t>C4</t>
        </is>
      </c>
      <c r="J258" s="2" t="inlineStr">
        <is>
          <t>NO ESTIMABLE</t>
        </is>
      </c>
      <c r="K258" s="2" t="inlineStr">
        <is>
          <t>rango</t>
        </is>
      </c>
      <c r="L258" s="6">
        <f>IF(AND(ISNUMBER(D258),ISNUMBER(E258)),E258-D258,"")</f>
        <v/>
      </c>
      <c r="M258" s="6">
        <f>IF(AND(ISNUMBER(D258),ISNUMBER(E258)),IF(AND(D258&lt;=0,E258&gt;=0),"sí","no"),"")</f>
        <v/>
      </c>
    </row>
    <row r="259">
      <c r="A259" s="2" t="inlineStr">
        <is>
          <t>V18-C5I-2022T3-2026T2-01-NOEXPL_alt_E9-P</t>
        </is>
      </c>
      <c r="B259" s="2" t="inlineStr">
        <is>
          <t>Ilustración: variación sin explicar, precio real, 2022T3-2026T2, Andalucía (no_explicado_alternativa)</t>
        </is>
      </c>
      <c r="C259" s="2" t="n">
        <v>6.4051</v>
      </c>
      <c r="D259" s="2" t="n">
        <v>6.322</v>
      </c>
      <c r="E259" s="2" t="n">
        <v>6.4904</v>
      </c>
      <c r="F259" s="2" t="inlineStr">
        <is>
          <t>pp (100·Δln)</t>
        </is>
      </c>
      <c r="G259" s="2" t="inlineStr">
        <is>
          <t>2022T3-2026T2</t>
        </is>
      </c>
      <c r="H259" s="2" t="inlineStr">
        <is>
          <t>Andalucía</t>
        </is>
      </c>
      <c r="I259" s="2" t="inlineStr">
        <is>
          <t>C4</t>
        </is>
      </c>
      <c r="J259" s="2" t="inlineStr">
        <is>
          <t>NO ESTIMABLE</t>
        </is>
      </c>
      <c r="K259" s="2" t="inlineStr">
        <is>
          <t>rango</t>
        </is>
      </c>
      <c r="L259" s="6">
        <f>IF(AND(ISNUMBER(D259),ISNUMBER(E259)),E259-D259,"")</f>
        <v/>
      </c>
      <c r="M259" s="6">
        <f>IF(AND(ISNUMBER(D259),ISNUMBER(E259)),IF(AND(D259&lt;=0,E259&gt;=0),"sí","no"),"")</f>
        <v/>
      </c>
    </row>
    <row r="260">
      <c r="A260" s="2" t="inlineStr">
        <is>
          <t>V18-C5I-2022T3-2026T2-07-E3-P</t>
        </is>
      </c>
      <c r="B260" s="2" t="inlineStr">
        <is>
          <t>Ilustración: inmigración, precio real, 2022T3-2026T2, Castilla y León (factor)</t>
        </is>
      </c>
      <c r="C260" s="2" t="n">
        <v>-0.1732</v>
      </c>
      <c r="D260" s="2" t="n">
        <v>-0.612</v>
      </c>
      <c r="E260" s="2" t="n">
        <v>0.2863</v>
      </c>
      <c r="F260" s="2" t="inlineStr">
        <is>
          <t>pp (100·Δln)</t>
        </is>
      </c>
      <c r="G260" s="2" t="inlineStr">
        <is>
          <t>2022T3-2026T2</t>
        </is>
      </c>
      <c r="H260" s="2" t="inlineStr">
        <is>
          <t>Castilla y León; stock a 1 de enero de 2022 a 2024</t>
        </is>
      </c>
      <c r="I260" s="2" t="inlineStr">
        <is>
          <t>C4</t>
        </is>
      </c>
      <c r="J260" s="2" t="inlineStr">
        <is>
          <t>NO ESTIMABLE</t>
        </is>
      </c>
      <c r="K260" s="2" t="inlineStr">
        <is>
          <t>rango</t>
        </is>
      </c>
      <c r="L260" s="6">
        <f>IF(AND(ISNUMBER(D260),ISNUMBER(E260)),E260-D260,"")</f>
        <v/>
      </c>
      <c r="M260" s="6">
        <f>IF(AND(ISNUMBER(D260),ISNUMBER(E260)),IF(AND(D260&lt;=0,E260&gt;=0),"sí","no"),"")</f>
        <v/>
      </c>
    </row>
    <row r="261">
      <c r="A261" s="2" t="inlineStr">
        <is>
          <t>V18-C5I-2022T3-2026T2-07-E8-P</t>
        </is>
      </c>
      <c r="B261" s="2" t="inlineStr">
        <is>
          <t>Ilustración: fiscalidad de la compra (ITP), precio real, 2022T3-2026T2, Castilla y León (factor)</t>
        </is>
      </c>
      <c r="C261" s="2" t="n">
        <v>-1.2178</v>
      </c>
      <c r="D261" s="2" t="n">
        <v>-1.3032</v>
      </c>
      <c r="E261" s="2" t="n">
        <v>-1.1347</v>
      </c>
      <c r="F261" s="2" t="inlineStr">
        <is>
          <t>pp (100·Δln)</t>
        </is>
      </c>
      <c r="G261" s="2" t="inlineStr">
        <is>
          <t>2022T3-2026T2</t>
        </is>
      </c>
      <c r="H261" s="2" t="inlineStr">
        <is>
          <t>Castilla y León; cambios del tipo general entre 2022-07-01 y 2026-06-30 (el calendario empieza en 2010-01-01; fechas sin contraste con el BOE)</t>
        </is>
      </c>
      <c r="I261" s="2" t="inlineStr">
        <is>
          <t>C4</t>
        </is>
      </c>
      <c r="J261" s="2" t="inlineStr">
        <is>
          <t>NO ESTIMABLE</t>
        </is>
      </c>
      <c r="K261" s="2" t="inlineStr">
        <is>
          <t>rango</t>
        </is>
      </c>
      <c r="L261" s="6">
        <f>IF(AND(ISNUMBER(D261),ISNUMBER(E261)),E261-D261,"")</f>
        <v/>
      </c>
      <c r="M261" s="6">
        <f>IF(AND(ISNUMBER(D261),ISNUMBER(E261)),IF(AND(D261&lt;=0,E261&gt;=0),"sí","no"),"")</f>
        <v/>
      </c>
    </row>
    <row r="262">
      <c r="A262" s="2" t="inlineStr">
        <is>
          <t>V18-C5I-2022T3-2026T2-07-E9-P</t>
        </is>
      </c>
      <c r="B262" s="2" t="inlineStr">
        <is>
          <t>Ilustración: compradores no residentes, precio real, 2022T3-2026T2, Castilla y León (factor)</t>
        </is>
      </c>
      <c r="C262" s="2" t="n">
        <v>1.1518</v>
      </c>
      <c r="D262" s="2" t="n">
        <v>0.9456</v>
      </c>
      <c r="E262" s="2" t="n">
        <v>1.3627</v>
      </c>
      <c r="F262" s="2" t="inlineStr">
        <is>
          <t>pp (100·Δln)</t>
        </is>
      </c>
      <c r="G262" s="2" t="inlineStr">
        <is>
          <t>2022T3-2026T2</t>
        </is>
      </c>
      <c r="H262" s="2" t="inlineStr">
        <is>
          <t>Castilla y León; cuota media de cuatro trimestres: 2022T2 a 2026T2</t>
        </is>
      </c>
      <c r="I262" s="2" t="inlineStr">
        <is>
          <t>C4</t>
        </is>
      </c>
      <c r="J262" s="2" t="inlineStr">
        <is>
          <t>NO ESTIMABLE</t>
        </is>
      </c>
      <c r="K262" s="2" t="inlineStr">
        <is>
          <t>rango</t>
        </is>
      </c>
      <c r="L262" s="6">
        <f>IF(AND(ISNUMBER(D262),ISNUMBER(E262)),E262-D262,"")</f>
        <v/>
      </c>
      <c r="M262" s="6">
        <f>IF(AND(ISNUMBER(D262),ISNUMBER(E262)),IF(AND(D262&lt;=0,E262&gt;=0),"sí","no"),"")</f>
        <v/>
      </c>
    </row>
    <row r="263">
      <c r="A263" s="2" t="inlineStr">
        <is>
          <t>V18-C5I-2022T3-2026T2-07-NOEXPL-P</t>
        </is>
      </c>
      <c r="B263" s="2" t="inlineStr">
        <is>
          <t>Ilustración: variación sin explicar, precio real, 2022T3-2026T2, Castilla y León (no_explicado)</t>
        </is>
      </c>
      <c r="C263" s="2" t="n">
        <v>0.405</v>
      </c>
      <c r="D263" s="2" t="n">
        <v>-0.0604</v>
      </c>
      <c r="E263" s="2" t="n">
        <v>0.8532999999999999</v>
      </c>
      <c r="F263" s="2" t="inlineStr">
        <is>
          <t>pp (100·Δln)</t>
        </is>
      </c>
      <c r="G263" s="2" t="inlineStr">
        <is>
          <t>2022T3-2026T2</t>
        </is>
      </c>
      <c r="H263" s="2" t="inlineStr">
        <is>
          <t>Castilla y León</t>
        </is>
      </c>
      <c r="I263" s="2" t="inlineStr">
        <is>
          <t>C4</t>
        </is>
      </c>
      <c r="J263" s="2" t="inlineStr">
        <is>
          <t>NO ESTIMABLE</t>
        </is>
      </c>
      <c r="K263" s="2" t="inlineStr">
        <is>
          <t>rango</t>
        </is>
      </c>
      <c r="L263" s="6">
        <f>IF(AND(ISNUMBER(D263),ISNUMBER(E263)),E263-D263,"")</f>
        <v/>
      </c>
      <c r="M263" s="6">
        <f>IF(AND(ISNUMBER(D263),ISNUMBER(E263)),IF(AND(D263&lt;=0,E263&gt;=0),"sí","no"),"")</f>
        <v/>
      </c>
    </row>
    <row r="264">
      <c r="A264" s="2" t="inlineStr">
        <is>
          <t>V18-C5I-2022T3-2026T2-07-NOEXPL_alt_E9-P</t>
        </is>
      </c>
      <c r="B264" s="2" t="inlineStr">
        <is>
          <t>Ilustración: variación sin explicar, precio real, 2022T3-2026T2, Castilla y León (no_explicado_alternativa)</t>
        </is>
      </c>
      <c r="C264" s="2" t="n">
        <v>-0.9187</v>
      </c>
      <c r="D264" s="2" t="n">
        <v>-1.1501</v>
      </c>
      <c r="E264" s="2" t="n">
        <v>-0.6892</v>
      </c>
      <c r="F264" s="2" t="inlineStr">
        <is>
          <t>pp (100·Δln)</t>
        </is>
      </c>
      <c r="G264" s="2" t="inlineStr">
        <is>
          <t>2022T3-2026T2</t>
        </is>
      </c>
      <c r="H264" s="2" t="inlineStr">
        <is>
          <t>Castilla y León</t>
        </is>
      </c>
      <c r="I264" s="2" t="inlineStr">
        <is>
          <t>C4</t>
        </is>
      </c>
      <c r="J264" s="2" t="inlineStr">
        <is>
          <t>NO ESTIMABLE</t>
        </is>
      </c>
      <c r="K264" s="2" t="inlineStr">
        <is>
          <t>rango</t>
        </is>
      </c>
      <c r="L264" s="6">
        <f>IF(AND(ISNUMBER(D264),ISNUMBER(E264)),E264-D264,"")</f>
        <v/>
      </c>
      <c r="M264" s="6">
        <f>IF(AND(ISNUMBER(D264),ISNUMBER(E264)),IF(AND(D264&lt;=0,E264&gt;=0),"sí","no"),"")</f>
        <v/>
      </c>
    </row>
    <row r="265">
      <c r="A265" s="2" t="inlineStr">
        <is>
          <t>V18-C5I-2022T3-2026T2-08-E3-P</t>
        </is>
      </c>
      <c r="B265" s="2" t="inlineStr">
        <is>
          <t>Ilustración: inmigración, precio real, 2022T3-2026T2, Castilla-La Mancha (factor)</t>
        </is>
      </c>
      <c r="C265" s="2" t="n">
        <v>0.2488</v>
      </c>
      <c r="D265" s="2" t="n">
        <v>-0.4114</v>
      </c>
      <c r="E265" s="2" t="n">
        <v>0.8792</v>
      </c>
      <c r="F265" s="2" t="inlineStr">
        <is>
          <t>pp (100·Δln)</t>
        </is>
      </c>
      <c r="G265" s="2" t="inlineStr">
        <is>
          <t>2022T3-2026T2</t>
        </is>
      </c>
      <c r="H265" s="2" t="inlineStr">
        <is>
          <t>Castilla-La Mancha; stock a 1 de enero de 2022 a 2024</t>
        </is>
      </c>
      <c r="I265" s="2" t="inlineStr">
        <is>
          <t>C4</t>
        </is>
      </c>
      <c r="J265" s="2" t="inlineStr">
        <is>
          <t>NO ESTIMABLE</t>
        </is>
      </c>
      <c r="K265" s="2" t="inlineStr">
        <is>
          <t>rango</t>
        </is>
      </c>
      <c r="L265" s="6">
        <f>IF(AND(ISNUMBER(D265),ISNUMBER(E265)),E265-D265,"")</f>
        <v/>
      </c>
      <c r="M265" s="6">
        <f>IF(AND(ISNUMBER(D265),ISNUMBER(E265)),IF(AND(D265&lt;=0,E265&gt;=0),"sí","no"),"")</f>
        <v/>
      </c>
    </row>
    <row r="266">
      <c r="A266" s="2" t="inlineStr">
        <is>
          <t>V18-C5I-2022T3-2026T2-08-E8-P</t>
        </is>
      </c>
      <c r="B266" s="2" t="inlineStr">
        <is>
          <t>Ilustración: fiscalidad de la compra (ITP), precio real, 2022T3-2026T2, Castilla-La Mancha (factor)</t>
        </is>
      </c>
      <c r="C266" s="2" t="n">
        <v>-1.2178</v>
      </c>
      <c r="D266" s="2" t="n">
        <v>-1.3032</v>
      </c>
      <c r="E266" s="2" t="n">
        <v>-1.1347</v>
      </c>
      <c r="F266" s="2" t="inlineStr">
        <is>
          <t>pp (100·Δln)</t>
        </is>
      </c>
      <c r="G266" s="2" t="inlineStr">
        <is>
          <t>2022T3-2026T2</t>
        </is>
      </c>
      <c r="H266" s="2" t="inlineStr">
        <is>
          <t>Castilla-La Mancha; cambios del tipo general entre 2022-07-01 y 2026-06-30 (el calendario empieza en 2010-01-01; fechas sin contraste con el BOE)</t>
        </is>
      </c>
      <c r="I266" s="2" t="inlineStr">
        <is>
          <t>C4</t>
        </is>
      </c>
      <c r="J266" s="2" t="inlineStr">
        <is>
          <t>NO ESTIMABLE</t>
        </is>
      </c>
      <c r="K266" s="2" t="inlineStr">
        <is>
          <t>rango</t>
        </is>
      </c>
      <c r="L266" s="6">
        <f>IF(AND(ISNUMBER(D266),ISNUMBER(E266)),E266-D266,"")</f>
        <v/>
      </c>
      <c r="M266" s="6">
        <f>IF(AND(ISNUMBER(D266),ISNUMBER(E266)),IF(AND(D266&lt;=0,E266&gt;=0),"sí","no"),"")</f>
        <v/>
      </c>
    </row>
    <row r="267">
      <c r="A267" s="2" t="inlineStr">
        <is>
          <t>V18-C5I-2022T3-2026T2-08-E9-P</t>
        </is>
      </c>
      <c r="B267" s="2" t="inlineStr">
        <is>
          <t>Ilustración: compradores no residentes, precio real, 2022T3-2026T2, Castilla-La Mancha (factor)</t>
        </is>
      </c>
      <c r="C267" s="2" t="n">
        <v>0.2647</v>
      </c>
      <c r="D267" s="2" t="n">
        <v>0.2173</v>
      </c>
      <c r="E267" s="2" t="n">
        <v>0.3131</v>
      </c>
      <c r="F267" s="2" t="inlineStr">
        <is>
          <t>pp (100·Δln)</t>
        </is>
      </c>
      <c r="G267" s="2" t="inlineStr">
        <is>
          <t>2022T3-2026T2</t>
        </is>
      </c>
      <c r="H267" s="2" t="inlineStr">
        <is>
          <t>Castilla-La Mancha; cuota media de cuatro trimestres: 2022T2 a 2026T2</t>
        </is>
      </c>
      <c r="I267" s="2" t="inlineStr">
        <is>
          <t>C4</t>
        </is>
      </c>
      <c r="J267" s="2" t="inlineStr">
        <is>
          <t>NO ESTIMABLE</t>
        </is>
      </c>
      <c r="K267" s="2" t="inlineStr">
        <is>
          <t>rango</t>
        </is>
      </c>
      <c r="L267" s="6">
        <f>IF(AND(ISNUMBER(D267),ISNUMBER(E267)),E267-D267,"")</f>
        <v/>
      </c>
      <c r="M267" s="6">
        <f>IF(AND(ISNUMBER(D267),ISNUMBER(E267)),IF(AND(D267&lt;=0,E267&gt;=0),"sí","no"),"")</f>
        <v/>
      </c>
    </row>
    <row r="268">
      <c r="A268" s="2" t="inlineStr">
        <is>
          <t>V18-C5I-2022T3-2026T2-08-NOEXPL-P</t>
        </is>
      </c>
      <c r="B268" s="2" t="inlineStr">
        <is>
          <t>Ilustración: variación sin explicar, precio real, 2022T3-2026T2, Castilla-La Mancha (no_explicado)</t>
        </is>
      </c>
      <c r="C268" s="2" t="n">
        <v>2.9933</v>
      </c>
      <c r="D268" s="2" t="n">
        <v>2.3631</v>
      </c>
      <c r="E268" s="2" t="n">
        <v>3.6519</v>
      </c>
      <c r="F268" s="2" t="inlineStr">
        <is>
          <t>pp (100·Δln)</t>
        </is>
      </c>
      <c r="G268" s="2" t="inlineStr">
        <is>
          <t>2022T3-2026T2</t>
        </is>
      </c>
      <c r="H268" s="2" t="inlineStr">
        <is>
          <t>Castilla-La Mancha</t>
        </is>
      </c>
      <c r="I268" s="2" t="inlineStr">
        <is>
          <t>C4</t>
        </is>
      </c>
      <c r="J268" s="2" t="inlineStr">
        <is>
          <t>NO ESTIMABLE</t>
        </is>
      </c>
      <c r="K268" s="2" t="inlineStr">
        <is>
          <t>rango</t>
        </is>
      </c>
      <c r="L268" s="6">
        <f>IF(AND(ISNUMBER(D268),ISNUMBER(E268)),E268-D268,"")</f>
        <v/>
      </c>
      <c r="M268" s="6">
        <f>IF(AND(ISNUMBER(D268),ISNUMBER(E268)),IF(AND(D268&lt;=0,E268&gt;=0),"sí","no"),"")</f>
        <v/>
      </c>
    </row>
    <row r="269">
      <c r="A269" s="2" t="inlineStr">
        <is>
          <t>V18-C5I-2022T3-2026T2-08-NOEXPL_alt_E9-P</t>
        </is>
      </c>
      <c r="B269" s="2" t="inlineStr">
        <is>
          <t>Ilustración: variación sin explicar, precio real, 2022T3-2026T2, Castilla-La Mancha (no_explicado_alternativa)</t>
        </is>
      </c>
      <c r="C269" s="2" t="n">
        <v>2.976</v>
      </c>
      <c r="D269" s="2" t="n">
        <v>2.8767</v>
      </c>
      <c r="E269" s="2" t="n">
        <v>3.079</v>
      </c>
      <c r="F269" s="2" t="inlineStr">
        <is>
          <t>pp (100·Δln)</t>
        </is>
      </c>
      <c r="G269" s="2" t="inlineStr">
        <is>
          <t>2022T3-2026T2</t>
        </is>
      </c>
      <c r="H269" s="2" t="inlineStr">
        <is>
          <t>Castilla-La Mancha</t>
        </is>
      </c>
      <c r="I269" s="2" t="inlineStr">
        <is>
          <t>C4</t>
        </is>
      </c>
      <c r="J269" s="2" t="inlineStr">
        <is>
          <t>NO ESTIMABLE</t>
        </is>
      </c>
      <c r="K269" s="2" t="inlineStr">
        <is>
          <t>rango</t>
        </is>
      </c>
      <c r="L269" s="6">
        <f>IF(AND(ISNUMBER(D269),ISNUMBER(E269)),E269-D269,"")</f>
        <v/>
      </c>
      <c r="M269" s="6">
        <f>IF(AND(ISNUMBER(D269),ISNUMBER(E269)),IF(AND(D269&lt;=0,E269&gt;=0),"sí","no"),"")</f>
        <v/>
      </c>
    </row>
    <row r="270">
      <c r="A270" s="2" t="inlineStr">
        <is>
          <t>V18-C5I-2022T3-2026T2-08019-E1-N</t>
        </is>
      </c>
      <c r="B270" s="2" t="inlineStr">
        <is>
          <t>Ilustración: vivienda turística, alquiler_contratos_nuevos real, 2022T3-2026T2, Barcelona (factor)</t>
        </is>
      </c>
      <c r="C270" s="2" t="n">
        <v>0.4979</v>
      </c>
      <c r="D270" s="2" t="n">
        <v>0.2388</v>
      </c>
      <c r="E270" s="2" t="n">
        <v>0.7544</v>
      </c>
      <c r="F270" s="2" t="inlineStr">
        <is>
          <t>pp (100·Δln)</t>
        </is>
      </c>
      <c r="G270" s="2" t="inlineStr">
        <is>
          <t>2022T3-2026T2</t>
        </is>
      </c>
      <c r="H270" s="2" t="inlineStr">
        <is>
          <t>Barcelona; cortes del registro HUT 2021T4 a 2024T4; 769 de 1068 secciones (las selladas de V15/V16 no se leen)</t>
        </is>
      </c>
      <c r="I270" s="2" t="inlineStr">
        <is>
          <t>C4</t>
        </is>
      </c>
      <c r="J270" s="2" t="inlineStr">
        <is>
          <t>NO ESTIMABLE</t>
        </is>
      </c>
      <c r="K270" s="2" t="inlineStr">
        <is>
          <t>rango</t>
        </is>
      </c>
      <c r="L270" s="6">
        <f>IF(AND(ISNUMBER(D270),ISNUMBER(E270)),E270-D270,"")</f>
        <v/>
      </c>
      <c r="M270" s="6">
        <f>IF(AND(ISNUMBER(D270),ISNUMBER(E270)),IF(AND(D270&lt;=0,E270&gt;=0),"sí","no"),"")</f>
        <v/>
      </c>
    </row>
    <row r="271">
      <c r="A271" s="2" t="inlineStr">
        <is>
          <t>V18-C5I-2022T3-2026T2-08019-NOEXPL-N</t>
        </is>
      </c>
      <c r="B271" s="2" t="inlineStr">
        <is>
          <t>Ilustración: variación sin explicar, alquiler_contratos_nuevos real, 2022T3-2026T2, Barcelona (no_explicado)</t>
        </is>
      </c>
      <c r="C271" s="2" t="n">
        <v>-2.5835</v>
      </c>
      <c r="D271" s="2" t="n">
        <v>-2.8401</v>
      </c>
      <c r="E271" s="2" t="n">
        <v>-2.3244</v>
      </c>
      <c r="F271" s="2" t="inlineStr">
        <is>
          <t>pp (100·Δln)</t>
        </is>
      </c>
      <c r="G271" s="2" t="inlineStr">
        <is>
          <t>2022T3-2026T2</t>
        </is>
      </c>
      <c r="H271" s="2" t="inlineStr">
        <is>
          <t>Barcelona; 2022T2 a 2026T1</t>
        </is>
      </c>
      <c r="I271" s="2" t="inlineStr">
        <is>
          <t>C4</t>
        </is>
      </c>
      <c r="J271" s="2" t="inlineStr">
        <is>
          <t>NO ESTIMABLE</t>
        </is>
      </c>
      <c r="K271" s="2" t="inlineStr">
        <is>
          <t>rango</t>
        </is>
      </c>
      <c r="L271" s="6">
        <f>IF(AND(ISNUMBER(D271),ISNUMBER(E271)),E271-D271,"")</f>
        <v/>
      </c>
      <c r="M271" s="6">
        <f>IF(AND(ISNUMBER(D271),ISNUMBER(E271)),IF(AND(D271&lt;=0,E271&gt;=0),"sí","no"),"")</f>
        <v/>
      </c>
    </row>
    <row r="272">
      <c r="A272" s="2" t="inlineStr">
        <is>
          <t>V18-C5I-2022T3-2026T2-09-E3-P</t>
        </is>
      </c>
      <c r="B272" s="2" t="inlineStr">
        <is>
          <t>Ilustración: inmigración, precio real, 2022T3-2026T2, Cataluña (factor)</t>
        </is>
      </c>
      <c r="C272" s="2" t="n">
        <v>0.7713</v>
      </c>
      <c r="D272" s="2" t="n">
        <v>-1.2753</v>
      </c>
      <c r="E272" s="2" t="n">
        <v>2.7258</v>
      </c>
      <c r="F272" s="2" t="inlineStr">
        <is>
          <t>pp (100·Δln)</t>
        </is>
      </c>
      <c r="G272" s="2" t="inlineStr">
        <is>
          <t>2022T3-2026T2</t>
        </is>
      </c>
      <c r="H272" s="2" t="inlineStr">
        <is>
          <t>Cataluña; stock a 1 de enero de 2022 a 2024</t>
        </is>
      </c>
      <c r="I272" s="2" t="inlineStr">
        <is>
          <t>C4</t>
        </is>
      </c>
      <c r="J272" s="2" t="inlineStr">
        <is>
          <t>NO ESTIMABLE</t>
        </is>
      </c>
      <c r="K272" s="2" t="inlineStr">
        <is>
          <t>rango</t>
        </is>
      </c>
      <c r="L272" s="6">
        <f>IF(AND(ISNUMBER(D272),ISNUMBER(E272)),E272-D272,"")</f>
        <v/>
      </c>
      <c r="M272" s="6">
        <f>IF(AND(ISNUMBER(D272),ISNUMBER(E272)),IF(AND(D272&lt;=0,E272&gt;=0),"sí","no"),"")</f>
        <v/>
      </c>
    </row>
    <row r="273">
      <c r="A273" s="2" t="inlineStr">
        <is>
          <t>V18-C5I-2022T3-2026T2-09-E8-P</t>
        </is>
      </c>
      <c r="B273" s="2" t="inlineStr">
        <is>
          <t>Ilustración: fiscalidad de la compra (ITP), precio real, 2022T3-2026T2, Cataluña (factor)</t>
        </is>
      </c>
      <c r="C273" s="2" t="n">
        <v>-1.2178</v>
      </c>
      <c r="D273" s="2" t="n">
        <v>-1.3032</v>
      </c>
      <c r="E273" s="2" t="n">
        <v>-1.1347</v>
      </c>
      <c r="F273" s="2" t="inlineStr">
        <is>
          <t>pp (100·Δln)</t>
        </is>
      </c>
      <c r="G273" s="2" t="inlineStr">
        <is>
          <t>2022T3-2026T2</t>
        </is>
      </c>
      <c r="H273" s="2" t="inlineStr">
        <is>
          <t>Cataluña; cambios del tipo general entre 2022-07-01 y 2026-06-30 (el calendario empieza en 2010-01-01; fechas sin contraste con el BOE)</t>
        </is>
      </c>
      <c r="I273" s="2" t="inlineStr">
        <is>
          <t>C4</t>
        </is>
      </c>
      <c r="J273" s="2" t="inlineStr">
        <is>
          <t>NO ESTIMABLE</t>
        </is>
      </c>
      <c r="K273" s="2" t="inlineStr">
        <is>
          <t>rango</t>
        </is>
      </c>
      <c r="L273" s="6">
        <f>IF(AND(ISNUMBER(D273),ISNUMBER(E273)),E273-D273,"")</f>
        <v/>
      </c>
      <c r="M273" s="6">
        <f>IF(AND(ISNUMBER(D273),ISNUMBER(E273)),IF(AND(D273&lt;=0,E273&gt;=0),"sí","no"),"")</f>
        <v/>
      </c>
    </row>
    <row r="274">
      <c r="A274" s="2" t="inlineStr">
        <is>
          <t>V18-C5I-2022T3-2026T2-09-E9-P</t>
        </is>
      </c>
      <c r="B274" s="2" t="inlineStr">
        <is>
          <t>Ilustración: compradores no residentes, precio real, 2022T3-2026T2, Cataluña (factor)</t>
        </is>
      </c>
      <c r="C274" s="2" t="n">
        <v>-1.8288</v>
      </c>
      <c r="D274" s="2" t="n">
        <v>-2.1637</v>
      </c>
      <c r="E274" s="2" t="n">
        <v>-1.5014</v>
      </c>
      <c r="F274" s="2" t="inlineStr">
        <is>
          <t>pp (100·Δln)</t>
        </is>
      </c>
      <c r="G274" s="2" t="inlineStr">
        <is>
          <t>2022T3-2026T2</t>
        </is>
      </c>
      <c r="H274" s="2" t="inlineStr">
        <is>
          <t>Cataluña; cuota media de cuatro trimestres: 2022T2 a 2026T2</t>
        </is>
      </c>
      <c r="I274" s="2" t="inlineStr">
        <is>
          <t>C4</t>
        </is>
      </c>
      <c r="J274" s="2" t="inlineStr">
        <is>
          <t>NO ESTIMABLE</t>
        </is>
      </c>
      <c r="K274" s="2" t="inlineStr">
        <is>
          <t>rango</t>
        </is>
      </c>
      <c r="L274" s="6">
        <f>IF(AND(ISNUMBER(D274),ISNUMBER(E274)),E274-D274,"")</f>
        <v/>
      </c>
      <c r="M274" s="6">
        <f>IF(AND(ISNUMBER(D274),ISNUMBER(E274)),IF(AND(D274&lt;=0,E274&gt;=0),"sí","no"),"")</f>
        <v/>
      </c>
    </row>
    <row r="275">
      <c r="A275" s="2" t="inlineStr">
        <is>
          <t>V18-C5I-2022T3-2026T2-09-NOEXPL-P</t>
        </is>
      </c>
      <c r="B275" s="2" t="inlineStr">
        <is>
          <t>Ilustración: variación sin explicar, precio real, 2022T3-2026T2, Cataluña (no_explicado)</t>
        </is>
      </c>
      <c r="C275" s="2" t="n">
        <v>-1.1215</v>
      </c>
      <c r="D275" s="2" t="n">
        <v>-3.082</v>
      </c>
      <c r="E275" s="2" t="n">
        <v>0.9233</v>
      </c>
      <c r="F275" s="2" t="inlineStr">
        <is>
          <t>pp (100·Δln)</t>
        </is>
      </c>
      <c r="G275" s="2" t="inlineStr">
        <is>
          <t>2022T3-2026T2</t>
        </is>
      </c>
      <c r="H275" s="2" t="inlineStr">
        <is>
          <t>Cataluña</t>
        </is>
      </c>
      <c r="I275" s="2" t="inlineStr">
        <is>
          <t>C4</t>
        </is>
      </c>
      <c r="J275" s="2" t="inlineStr">
        <is>
          <t>NO ESTIMABLE</t>
        </is>
      </c>
      <c r="K275" s="2" t="inlineStr">
        <is>
          <t>rango</t>
        </is>
      </c>
      <c r="L275" s="6">
        <f>IF(AND(ISNUMBER(D275),ISNUMBER(E275)),E275-D275,"")</f>
        <v/>
      </c>
      <c r="M275" s="6">
        <f>IF(AND(ISNUMBER(D275),ISNUMBER(E275)),IF(AND(D275&lt;=0,E275&gt;=0),"sí","no"),"")</f>
        <v/>
      </c>
    </row>
    <row r="276">
      <c r="A276" s="2" t="inlineStr">
        <is>
          <t>V18-C5I-2022T3-2026T2-09-NOEXPL_alt_E9-P</t>
        </is>
      </c>
      <c r="B276" s="2" t="inlineStr">
        <is>
          <t>Ilustración: variación sin explicar, precio real, 2022T3-2026T2, Cataluña (no_explicado_alternativa)</t>
        </is>
      </c>
      <c r="C276" s="2" t="n">
        <v>1.4736</v>
      </c>
      <c r="D276" s="2" t="n">
        <v>1.1364</v>
      </c>
      <c r="E276" s="2" t="n">
        <v>1.8227</v>
      </c>
      <c r="F276" s="2" t="inlineStr">
        <is>
          <t>pp (100·Δln)</t>
        </is>
      </c>
      <c r="G276" s="2" t="inlineStr">
        <is>
          <t>2022T3-2026T2</t>
        </is>
      </c>
      <c r="H276" s="2" t="inlineStr">
        <is>
          <t>Cataluña</t>
        </is>
      </c>
      <c r="I276" s="2" t="inlineStr">
        <is>
          <t>C4</t>
        </is>
      </c>
      <c r="J276" s="2" t="inlineStr">
        <is>
          <t>NO ESTIMABLE</t>
        </is>
      </c>
      <c r="K276" s="2" t="inlineStr">
        <is>
          <t>rango</t>
        </is>
      </c>
      <c r="L276" s="6">
        <f>IF(AND(ISNUMBER(D276),ISNUMBER(E276)),E276-D276,"")</f>
        <v/>
      </c>
      <c r="M276" s="6">
        <f>IF(AND(ISNUMBER(D276),ISNUMBER(E276)),IF(AND(D276&lt;=0,E276&gt;=0),"sí","no"),"")</f>
        <v/>
      </c>
    </row>
    <row r="277">
      <c r="A277" s="2" t="inlineStr">
        <is>
          <t>V18-C5I-2022T3-2026T2-10-E8-P</t>
        </is>
      </c>
      <c r="B277" s="2" t="inlineStr">
        <is>
          <t>Ilustración: fiscalidad de la compra (ITP), precio real, 2022T3-2026T2, Comunitat Valenciana (factor)</t>
        </is>
      </c>
      <c r="C277" s="2" t="n">
        <v>2.0297</v>
      </c>
      <c r="D277" s="2" t="n">
        <v>1.8912</v>
      </c>
      <c r="E277" s="2" t="n">
        <v>2.172</v>
      </c>
      <c r="F277" s="2" t="inlineStr">
        <is>
          <t>pp (100·Δln)</t>
        </is>
      </c>
      <c r="G277" s="2" t="inlineStr">
        <is>
          <t>2022T3-2026T2</t>
        </is>
      </c>
      <c r="H277" s="2" t="inlineStr">
        <is>
          <t>España (Comunitat Valenciana; cambios del tipo general entre 2022-07-01 y 2026-06-30 (el calendario empieza en 2010-01-01; fechas sin contraste con el BOE))</t>
        </is>
      </c>
      <c r="I277" s="2" t="inlineStr">
        <is>
          <t>C4</t>
        </is>
      </c>
      <c r="J277" s="2" t="inlineStr">
        <is>
          <t>NO ESTIMABLE</t>
        </is>
      </c>
      <c r="K277" s="2" t="inlineStr">
        <is>
          <t>rango</t>
        </is>
      </c>
      <c r="L277" s="6">
        <f>IF(AND(ISNUMBER(D277),ISNUMBER(E277)),E277-D277,"")</f>
        <v/>
      </c>
      <c r="M277" s="6">
        <f>IF(AND(ISNUMBER(D277),ISNUMBER(E277)),IF(AND(D277&lt;=0,E277&gt;=0),"sí","no"),"")</f>
        <v/>
      </c>
    </row>
    <row r="278">
      <c r="A278" s="2" t="inlineStr">
        <is>
          <t>V18-C5I-2022T3-2026T2-10-E9-P</t>
        </is>
      </c>
      <c r="B278" s="2" t="inlineStr">
        <is>
          <t>Ilustración: compradores no residentes, precio real, 2022T3-2026T2, Comunitat Valenciana (factor)</t>
        </is>
      </c>
      <c r="C278" s="2" t="n">
        <v>-2.7925</v>
      </c>
      <c r="D278" s="2" t="n">
        <v>-3.3038</v>
      </c>
      <c r="E278" s="2" t="n">
        <v>-2.2925</v>
      </c>
      <c r="F278" s="2" t="inlineStr">
        <is>
          <t>pp (100·Δln)</t>
        </is>
      </c>
      <c r="G278" s="2" t="inlineStr">
        <is>
          <t>2022T3-2026T2</t>
        </is>
      </c>
      <c r="H278" s="2" t="inlineStr">
        <is>
          <t>España (Comunitat Valenciana; cuota media de cuatro trimestres: 2022T2 a 2026T2)</t>
        </is>
      </c>
      <c r="I278" s="2" t="inlineStr">
        <is>
          <t>C4</t>
        </is>
      </c>
      <c r="J278" s="2" t="inlineStr">
        <is>
          <t>NO ESTIMABLE</t>
        </is>
      </c>
      <c r="K278" s="2" t="inlineStr">
        <is>
          <t>rango</t>
        </is>
      </c>
      <c r="L278" s="6">
        <f>IF(AND(ISNUMBER(D278),ISNUMBER(E278)),E278-D278,"")</f>
        <v/>
      </c>
      <c r="M278" s="6">
        <f>IF(AND(ISNUMBER(D278),ISNUMBER(E278)),IF(AND(D278&lt;=0,E278&gt;=0),"sí","no"),"")</f>
        <v/>
      </c>
    </row>
    <row r="279">
      <c r="A279" s="2" t="inlineStr">
        <is>
          <t>V18-C5I-2022T3-2026T2-10-NOEXPL-P</t>
        </is>
      </c>
      <c r="B279" s="2" t="inlineStr">
        <is>
          <t>Ilustración: variación sin explicar, precio real, 2022T3-2026T2, Comunitat Valenciana (no_explicado)</t>
        </is>
      </c>
      <c r="C279" s="2" t="n">
        <v>10.5651</v>
      </c>
      <c r="D279" s="2" t="n">
        <v>10.4228</v>
      </c>
      <c r="E279" s="2" t="n">
        <v>10.7036</v>
      </c>
      <c r="F279" s="2" t="inlineStr">
        <is>
          <t>pp (100·Δln)</t>
        </is>
      </c>
      <c r="G279" s="2" t="inlineStr">
        <is>
          <t>2022T3-2026T2</t>
        </is>
      </c>
      <c r="H279" s="2" t="inlineStr">
        <is>
          <t>España (Comunitat Valenciana)</t>
        </is>
      </c>
      <c r="I279" s="2" t="inlineStr">
        <is>
          <t>C4</t>
        </is>
      </c>
      <c r="J279" s="2" t="inlineStr">
        <is>
          <t>NO ESTIMABLE</t>
        </is>
      </c>
      <c r="K279" s="2" t="inlineStr">
        <is>
          <t>rango</t>
        </is>
      </c>
      <c r="L279" s="6">
        <f>IF(AND(ISNUMBER(D279),ISNUMBER(E279)),E279-D279,"")</f>
        <v/>
      </c>
      <c r="M279" s="6">
        <f>IF(AND(ISNUMBER(D279),ISNUMBER(E279)),IF(AND(D279&lt;=0,E279&gt;=0),"sí","no"),"")</f>
        <v/>
      </c>
    </row>
    <row r="280">
      <c r="A280" s="2" t="inlineStr">
        <is>
          <t>V18-C5I-2022T3-2026T2-10-NOEXPL_alt_E9-P</t>
        </is>
      </c>
      <c r="B280" s="2" t="inlineStr">
        <is>
          <t>Ilustración: variación sin explicar, precio real, 2022T3-2026T2, Comunitat Valenciana (no_explicado_alternativa)</t>
        </is>
      </c>
      <c r="C280" s="2" t="n">
        <v>13.355</v>
      </c>
      <c r="D280" s="2" t="n">
        <v>12.8314</v>
      </c>
      <c r="E280" s="2" t="n">
        <v>13.8859</v>
      </c>
      <c r="F280" s="2" t="inlineStr">
        <is>
          <t>pp (100·Δln)</t>
        </is>
      </c>
      <c r="G280" s="2" t="inlineStr">
        <is>
          <t>2022T3-2026T2</t>
        </is>
      </c>
      <c r="H280" s="2" t="inlineStr">
        <is>
          <t>España (Comunitat Valenciana)</t>
        </is>
      </c>
      <c r="I280" s="2" t="inlineStr">
        <is>
          <t>C4</t>
        </is>
      </c>
      <c r="J280" s="2" t="inlineStr">
        <is>
          <t>NO ESTIMABLE</t>
        </is>
      </c>
      <c r="K280" s="2" t="inlineStr">
        <is>
          <t>rango</t>
        </is>
      </c>
      <c r="L280" s="6">
        <f>IF(AND(ISNUMBER(D280),ISNUMBER(E280)),E280-D280,"")</f>
        <v/>
      </c>
      <c r="M280" s="6">
        <f>IF(AND(ISNUMBER(D280),ISNUMBER(E280)),IF(AND(D280&lt;=0,E280&gt;=0),"sí","no"),"")</f>
        <v/>
      </c>
    </row>
    <row r="281">
      <c r="A281" s="2" t="inlineStr">
        <is>
          <t>V18-C5I-2022T3-2026T2-11-E8-P</t>
        </is>
      </c>
      <c r="B281" s="2" t="inlineStr">
        <is>
          <t>Ilustración: fiscalidad de la compra (ITP), precio real, 2022T3-2026T2, Extremadura (factor)</t>
        </is>
      </c>
      <c r="C281" s="2" t="n">
        <v>-1.2178</v>
      </c>
      <c r="D281" s="2" t="n">
        <v>-1.3032</v>
      </c>
      <c r="E281" s="2" t="n">
        <v>-1.1347</v>
      </c>
      <c r="F281" s="2" t="inlineStr">
        <is>
          <t>pp (100·Δln)</t>
        </is>
      </c>
      <c r="G281" s="2" t="inlineStr">
        <is>
          <t>2022T3-2026T2</t>
        </is>
      </c>
      <c r="H281" s="2" t="inlineStr">
        <is>
          <t>Extremadura; cambios del tipo general entre 2022-07-01 y 2026-06-30 (el calendario empieza en 2010-01-01; fechas sin contraste con el BOE)</t>
        </is>
      </c>
      <c r="I281" s="2" t="inlineStr">
        <is>
          <t>C4</t>
        </is>
      </c>
      <c r="J281" s="2" t="inlineStr">
        <is>
          <t>NO ESTIMABLE</t>
        </is>
      </c>
      <c r="K281" s="2" t="inlineStr">
        <is>
          <t>rango</t>
        </is>
      </c>
      <c r="L281" s="6">
        <f>IF(AND(ISNUMBER(D281),ISNUMBER(E281)),E281-D281,"")</f>
        <v/>
      </c>
      <c r="M281" s="6">
        <f>IF(AND(ISNUMBER(D281),ISNUMBER(E281)),IF(AND(D281&lt;=0,E281&gt;=0),"sí","no"),"")</f>
        <v/>
      </c>
    </row>
    <row r="282">
      <c r="A282" s="2" t="inlineStr">
        <is>
          <t>V18-C5I-2022T3-2026T2-11-E9-P</t>
        </is>
      </c>
      <c r="B282" s="2" t="inlineStr">
        <is>
          <t>Ilustración: compradores no residentes, precio real, 2022T3-2026T2, Extremadura (factor)</t>
        </is>
      </c>
      <c r="C282" s="2" t="n">
        <v>1.2885</v>
      </c>
      <c r="D282" s="2" t="n">
        <v>1.0578</v>
      </c>
      <c r="E282" s="2" t="n">
        <v>1.5245</v>
      </c>
      <c r="F282" s="2" t="inlineStr">
        <is>
          <t>pp (100·Δln)</t>
        </is>
      </c>
      <c r="G282" s="2" t="inlineStr">
        <is>
          <t>2022T3-2026T2</t>
        </is>
      </c>
      <c r="H282" s="2" t="inlineStr">
        <is>
          <t>Extremadura; cuota media de cuatro trimestres: 2022T2 a 2026T2</t>
        </is>
      </c>
      <c r="I282" s="2" t="inlineStr">
        <is>
          <t>C4</t>
        </is>
      </c>
      <c r="J282" s="2" t="inlineStr">
        <is>
          <t>NO ESTIMABLE</t>
        </is>
      </c>
      <c r="K282" s="2" t="inlineStr">
        <is>
          <t>rango</t>
        </is>
      </c>
      <c r="L282" s="6">
        <f>IF(AND(ISNUMBER(D282),ISNUMBER(E282)),E282-D282,"")</f>
        <v/>
      </c>
      <c r="M282" s="6">
        <f>IF(AND(ISNUMBER(D282),ISNUMBER(E282)),IF(AND(D282&lt;=0,E282&gt;=0),"sí","no"),"")</f>
        <v/>
      </c>
    </row>
    <row r="283">
      <c r="A283" s="2" t="inlineStr">
        <is>
          <t>V18-C5I-2022T3-2026T2-11-NOEXPL-P</t>
        </is>
      </c>
      <c r="B283" s="2" t="inlineStr">
        <is>
          <t>Ilustración: variación sin explicar, precio real, 2022T3-2026T2, Extremadura (no_explicado)</t>
        </is>
      </c>
      <c r="C283" s="2" t="n">
        <v>-11.9179</v>
      </c>
      <c r="D283" s="2" t="n">
        <v>-12.001</v>
      </c>
      <c r="E283" s="2" t="n">
        <v>-11.8325</v>
      </c>
      <c r="F283" s="2" t="inlineStr">
        <is>
          <t>pp (100·Δln)</t>
        </is>
      </c>
      <c r="G283" s="2" t="inlineStr">
        <is>
          <t>2022T3-2026T2</t>
        </is>
      </c>
      <c r="H283" s="2" t="inlineStr">
        <is>
          <t>Extremadura</t>
        </is>
      </c>
      <c r="I283" s="2" t="inlineStr">
        <is>
          <t>C4</t>
        </is>
      </c>
      <c r="J283" s="2" t="inlineStr">
        <is>
          <t>NO ESTIMABLE</t>
        </is>
      </c>
      <c r="K283" s="2" t="inlineStr">
        <is>
          <t>rango</t>
        </is>
      </c>
      <c r="L283" s="6">
        <f>IF(AND(ISNUMBER(D283),ISNUMBER(E283)),E283-D283,"")</f>
        <v/>
      </c>
      <c r="M283" s="6">
        <f>IF(AND(ISNUMBER(D283),ISNUMBER(E283)),IF(AND(D283&lt;=0,E283&gt;=0),"sí","no"),"")</f>
        <v/>
      </c>
    </row>
    <row r="284">
      <c r="A284" s="2" t="inlineStr">
        <is>
          <t>V18-C5I-2022T3-2026T2-11-NOEXPL_alt_E9-P</t>
        </is>
      </c>
      <c r="B284" s="2" t="inlineStr">
        <is>
          <t>Ilustración: variación sin explicar, precio real, 2022T3-2026T2, Extremadura (no_explicado_alternativa)</t>
        </is>
      </c>
      <c r="C284" s="2" t="n">
        <v>-13.2048</v>
      </c>
      <c r="D284" s="2" t="n">
        <v>-13.4572</v>
      </c>
      <c r="E284" s="2" t="n">
        <v>-12.9541</v>
      </c>
      <c r="F284" s="2" t="inlineStr">
        <is>
          <t>pp (100·Δln)</t>
        </is>
      </c>
      <c r="G284" s="2" t="inlineStr">
        <is>
          <t>2022T3-2026T2</t>
        </is>
      </c>
      <c r="H284" s="2" t="inlineStr">
        <is>
          <t>Extremadura</t>
        </is>
      </c>
      <c r="I284" s="2" t="inlineStr">
        <is>
          <t>C4</t>
        </is>
      </c>
      <c r="J284" s="2" t="inlineStr">
        <is>
          <t>NO ESTIMABLE</t>
        </is>
      </c>
      <c r="K284" s="2" t="inlineStr">
        <is>
          <t>rango</t>
        </is>
      </c>
      <c r="L284" s="6">
        <f>IF(AND(ISNUMBER(D284),ISNUMBER(E284)),E284-D284,"")</f>
        <v/>
      </c>
      <c r="M284" s="6">
        <f>IF(AND(ISNUMBER(D284),ISNUMBER(E284)),IF(AND(D284&lt;=0,E284&gt;=0),"sí","no"),"")</f>
        <v/>
      </c>
    </row>
    <row r="285">
      <c r="A285" s="2" t="inlineStr">
        <is>
          <t>V18-C5I-2022T3-2026T2-12-E3-P</t>
        </is>
      </c>
      <c r="B285" s="2" t="inlineStr">
        <is>
          <t>Ilustración: inmigración, precio real, 2022T3-2026T2, Galicia (factor)</t>
        </is>
      </c>
      <c r="C285" s="2" t="n">
        <v>-0.3602</v>
      </c>
      <c r="D285" s="2" t="n">
        <v>-1.2728</v>
      </c>
      <c r="E285" s="2" t="n">
        <v>0.5955</v>
      </c>
      <c r="F285" s="2" t="inlineStr">
        <is>
          <t>pp (100·Δln)</t>
        </is>
      </c>
      <c r="G285" s="2" t="inlineStr">
        <is>
          <t>2022T3-2026T2</t>
        </is>
      </c>
      <c r="H285" s="2" t="inlineStr">
        <is>
          <t>Galicia; stock a 1 de enero de 2022 a 2024</t>
        </is>
      </c>
      <c r="I285" s="2" t="inlineStr">
        <is>
          <t>C4</t>
        </is>
      </c>
      <c r="J285" s="2" t="inlineStr">
        <is>
          <t>NO ESTIMABLE</t>
        </is>
      </c>
      <c r="K285" s="2" t="inlineStr">
        <is>
          <t>rango</t>
        </is>
      </c>
      <c r="L285" s="6">
        <f>IF(AND(ISNUMBER(D285),ISNUMBER(E285)),E285-D285,"")</f>
        <v/>
      </c>
      <c r="M285" s="6">
        <f>IF(AND(ISNUMBER(D285),ISNUMBER(E285)),IF(AND(D285&lt;=0,E285&gt;=0),"sí","no"),"")</f>
        <v/>
      </c>
    </row>
    <row r="286">
      <c r="A286" s="2" t="inlineStr">
        <is>
          <t>V18-C5I-2022T3-2026T2-12-E8-P</t>
        </is>
      </c>
      <c r="B286" s="2" t="inlineStr">
        <is>
          <t>Ilustración: fiscalidad de la compra (ITP), precio real, 2022T3-2026T2, Galicia (factor)</t>
        </is>
      </c>
      <c r="C286" s="2" t="n">
        <v>2.0297</v>
      </c>
      <c r="D286" s="2" t="n">
        <v>1.8912</v>
      </c>
      <c r="E286" s="2" t="n">
        <v>2.172</v>
      </c>
      <c r="F286" s="2" t="inlineStr">
        <is>
          <t>pp (100·Δln)</t>
        </is>
      </c>
      <c r="G286" s="2" t="inlineStr">
        <is>
          <t>2022T3-2026T2</t>
        </is>
      </c>
      <c r="H286" s="2" t="inlineStr">
        <is>
          <t>Galicia; cambios del tipo general entre 2022-07-01 y 2026-06-30 (el calendario empieza en 2010-01-01; fechas sin contraste con el BOE)</t>
        </is>
      </c>
      <c r="I286" s="2" t="inlineStr">
        <is>
          <t>C4</t>
        </is>
      </c>
      <c r="J286" s="2" t="inlineStr">
        <is>
          <t>NO ESTIMABLE</t>
        </is>
      </c>
      <c r="K286" s="2" t="inlineStr">
        <is>
          <t>rango</t>
        </is>
      </c>
      <c r="L286" s="6">
        <f>IF(AND(ISNUMBER(D286),ISNUMBER(E286)),E286-D286,"")</f>
        <v/>
      </c>
      <c r="M286" s="6">
        <f>IF(AND(ISNUMBER(D286),ISNUMBER(E286)),IF(AND(D286&lt;=0,E286&gt;=0),"sí","no"),"")</f>
        <v/>
      </c>
    </row>
    <row r="287">
      <c r="A287" s="2" t="inlineStr">
        <is>
          <t>V18-C5I-2022T3-2026T2-12-E9-P</t>
        </is>
      </c>
      <c r="B287" s="2" t="inlineStr">
        <is>
          <t>Ilustración: compradores no residentes, precio real, 2022T3-2026T2, Galicia (factor)</t>
        </is>
      </c>
      <c r="C287" s="2" t="n">
        <v>0.8866000000000001</v>
      </c>
      <c r="D287" s="2" t="n">
        <v>0.7279</v>
      </c>
      <c r="E287" s="2" t="n">
        <v>1.049</v>
      </c>
      <c r="F287" s="2" t="inlineStr">
        <is>
          <t>pp (100·Δln)</t>
        </is>
      </c>
      <c r="G287" s="2" t="inlineStr">
        <is>
          <t>2022T3-2026T2</t>
        </is>
      </c>
      <c r="H287" s="2" t="inlineStr">
        <is>
          <t>Galicia; cuota media de cuatro trimestres: 2022T2 a 2026T2</t>
        </is>
      </c>
      <c r="I287" s="2" t="inlineStr">
        <is>
          <t>C4</t>
        </is>
      </c>
      <c r="J287" s="2" t="inlineStr">
        <is>
          <t>NO ESTIMABLE</t>
        </is>
      </c>
      <c r="K287" s="2" t="inlineStr">
        <is>
          <t>rango</t>
        </is>
      </c>
      <c r="L287" s="6">
        <f>IF(AND(ISNUMBER(D287),ISNUMBER(E287)),E287-D287,"")</f>
        <v/>
      </c>
      <c r="M287" s="6">
        <f>IF(AND(ISNUMBER(D287),ISNUMBER(E287)),IF(AND(D287&lt;=0,E287&gt;=0),"sí","no"),"")</f>
        <v/>
      </c>
    </row>
    <row r="288">
      <c r="A288" s="2" t="inlineStr">
        <is>
          <t>V18-C5I-2022T3-2026T2-12-NOEXPL-P</t>
        </is>
      </c>
      <c r="B288" s="2" t="inlineStr">
        <is>
          <t>Ilustración: variación sin explicar, precio real, 2022T3-2026T2, Galicia (no_explicado)</t>
        </is>
      </c>
      <c r="C288" s="2" t="n">
        <v>-0.5802</v>
      </c>
      <c r="D288" s="2" t="n">
        <v>-1.5341</v>
      </c>
      <c r="E288" s="2" t="n">
        <v>0.3376</v>
      </c>
      <c r="F288" s="2" t="inlineStr">
        <is>
          <t>pp (100·Δln)</t>
        </is>
      </c>
      <c r="G288" s="2" t="inlineStr">
        <is>
          <t>2022T3-2026T2</t>
        </is>
      </c>
      <c r="H288" s="2" t="inlineStr">
        <is>
          <t>Galicia</t>
        </is>
      </c>
      <c r="I288" s="2" t="inlineStr">
        <is>
          <t>C4</t>
        </is>
      </c>
      <c r="J288" s="2" t="inlineStr">
        <is>
          <t>NO ESTIMABLE</t>
        </is>
      </c>
      <c r="K288" s="2" t="inlineStr">
        <is>
          <t>rango</t>
        </is>
      </c>
      <c r="L288" s="6">
        <f>IF(AND(ISNUMBER(D288),ISNUMBER(E288)),E288-D288,"")</f>
        <v/>
      </c>
      <c r="M288" s="6">
        <f>IF(AND(ISNUMBER(D288),ISNUMBER(E288)),IF(AND(D288&lt;=0,E288&gt;=0),"sí","no"),"")</f>
        <v/>
      </c>
    </row>
    <row r="289">
      <c r="A289" s="2" t="inlineStr">
        <is>
          <t>V18-C5I-2022T3-2026T2-12-NOEXPL_alt_E9-P</t>
        </is>
      </c>
      <c r="B289" s="2" t="inlineStr">
        <is>
          <t>Ilustración: variación sin explicar, precio real, 2022T3-2026T2, Galicia (no_explicado_alternativa)</t>
        </is>
      </c>
      <c r="C289" s="2" t="n">
        <v>-1.8257</v>
      </c>
      <c r="D289" s="2" t="n">
        <v>-2.056</v>
      </c>
      <c r="E289" s="2" t="n">
        <v>-1.5988</v>
      </c>
      <c r="F289" s="2" t="inlineStr">
        <is>
          <t>pp (100·Δln)</t>
        </is>
      </c>
      <c r="G289" s="2" t="inlineStr">
        <is>
          <t>2022T3-2026T2</t>
        </is>
      </c>
      <c r="H289" s="2" t="inlineStr">
        <is>
          <t>Galicia</t>
        </is>
      </c>
      <c r="I289" s="2" t="inlineStr">
        <is>
          <t>C4</t>
        </is>
      </c>
      <c r="J289" s="2" t="inlineStr">
        <is>
          <t>NO ESTIMABLE</t>
        </is>
      </c>
      <c r="K289" s="2" t="inlineStr">
        <is>
          <t>rango</t>
        </is>
      </c>
      <c r="L289" s="6">
        <f>IF(AND(ISNUMBER(D289),ISNUMBER(E289)),E289-D289,"")</f>
        <v/>
      </c>
      <c r="M289" s="6">
        <f>IF(AND(ISNUMBER(D289),ISNUMBER(E289)),IF(AND(D289&lt;=0,E289&gt;=0),"sí","no"),"")</f>
        <v/>
      </c>
    </row>
    <row r="290">
      <c r="A290" s="2" t="inlineStr">
        <is>
          <t>V18-C5I-2022T3-2026T2-16-E3-P</t>
        </is>
      </c>
      <c r="B290" s="2" t="inlineStr">
        <is>
          <t>Ilustración: inmigración, precio real, 2022T3-2026T2, País Vasco (factor)</t>
        </is>
      </c>
      <c r="C290" s="2" t="n">
        <v>-0.2242</v>
      </c>
      <c r="D290" s="2" t="n">
        <v>-0.7921</v>
      </c>
      <c r="E290" s="2" t="n">
        <v>0.3706</v>
      </c>
      <c r="F290" s="2" t="inlineStr">
        <is>
          <t>pp (100·Δln)</t>
        </is>
      </c>
      <c r="G290" s="2" t="inlineStr">
        <is>
          <t>2022T3-2026T2</t>
        </is>
      </c>
      <c r="H290" s="2" t="inlineStr">
        <is>
          <t>País Vasco; stock a 1 de enero de 2022 a 2024</t>
        </is>
      </c>
      <c r="I290" s="2" t="inlineStr">
        <is>
          <t>C4</t>
        </is>
      </c>
      <c r="J290" s="2" t="inlineStr">
        <is>
          <t>NO ESTIMABLE</t>
        </is>
      </c>
      <c r="K290" s="2" t="inlineStr">
        <is>
          <t>rango</t>
        </is>
      </c>
      <c r="L290" s="6">
        <f>IF(AND(ISNUMBER(D290),ISNUMBER(E290)),E290-D290,"")</f>
        <v/>
      </c>
      <c r="M290" s="6">
        <f>IF(AND(ISNUMBER(D290),ISNUMBER(E290)),IF(AND(D290&lt;=0,E290&gt;=0),"sí","no"),"")</f>
        <v/>
      </c>
    </row>
    <row r="291">
      <c r="A291" s="2" t="inlineStr">
        <is>
          <t>V18-C5I-2022T3-2026T2-16-E9-P</t>
        </is>
      </c>
      <c r="B291" s="2" t="inlineStr">
        <is>
          <t>Ilustración: compradores no residentes, precio real, 2022T3-2026T2, País Vasco (factor)</t>
        </is>
      </c>
      <c r="C291" s="2" t="n">
        <v>0.9675</v>
      </c>
      <c r="D291" s="2" t="n">
        <v>0.7943</v>
      </c>
      <c r="E291" s="2" t="n">
        <v>1.1446</v>
      </c>
      <c r="F291" s="2" t="inlineStr">
        <is>
          <t>pp (100·Δln)</t>
        </is>
      </c>
      <c r="G291" s="2" t="inlineStr">
        <is>
          <t>2022T3-2026T2</t>
        </is>
      </c>
      <c r="H291" s="2" t="inlineStr">
        <is>
          <t>País Vasco; cuota media de cuatro trimestres: 2022T2 a 2026T2</t>
        </is>
      </c>
      <c r="I291" s="2" t="inlineStr">
        <is>
          <t>C4</t>
        </is>
      </c>
      <c r="J291" s="2" t="inlineStr">
        <is>
          <t>NO ESTIMABLE</t>
        </is>
      </c>
      <c r="K291" s="2" t="inlineStr">
        <is>
          <t>rango</t>
        </is>
      </c>
      <c r="L291" s="6">
        <f>IF(AND(ISNUMBER(D291),ISNUMBER(E291)),E291-D291,"")</f>
        <v/>
      </c>
      <c r="M291" s="6">
        <f>IF(AND(ISNUMBER(D291),ISNUMBER(E291)),IF(AND(D291&lt;=0,E291&gt;=0),"sí","no"),"")</f>
        <v/>
      </c>
    </row>
    <row r="292">
      <c r="A292" s="2" t="inlineStr">
        <is>
          <t>V18-C5I-2022T3-2026T2-16-NOEXPL-P</t>
        </is>
      </c>
      <c r="B292" s="2" t="inlineStr">
        <is>
          <t>Ilustración: variación sin explicar, precio real, 2022T3-2026T2, País Vasco (no_explicado)</t>
        </is>
      </c>
      <c r="C292" s="2" t="n">
        <v>-4.1923</v>
      </c>
      <c r="D292" s="2" t="n">
        <v>-4.7871</v>
      </c>
      <c r="E292" s="2" t="n">
        <v>-3.6243</v>
      </c>
      <c r="F292" s="2" t="inlineStr">
        <is>
          <t>pp (100·Δln)</t>
        </is>
      </c>
      <c r="G292" s="2" t="inlineStr">
        <is>
          <t>2022T3-2026T2</t>
        </is>
      </c>
      <c r="H292" s="2" t="inlineStr">
        <is>
          <t>País Vasco</t>
        </is>
      </c>
      <c r="I292" s="2" t="inlineStr">
        <is>
          <t>C4</t>
        </is>
      </c>
      <c r="J292" s="2" t="inlineStr">
        <is>
          <t>NO ESTIMABLE</t>
        </is>
      </c>
      <c r="K292" s="2" t="inlineStr">
        <is>
          <t>rango</t>
        </is>
      </c>
      <c r="L292" s="6">
        <f>IF(AND(ISNUMBER(D292),ISNUMBER(E292)),E292-D292,"")</f>
        <v/>
      </c>
      <c r="M292" s="6">
        <f>IF(AND(ISNUMBER(D292),ISNUMBER(E292)),IF(AND(D292&lt;=0,E292&gt;=0),"sí","no"),"")</f>
        <v/>
      </c>
    </row>
    <row r="293">
      <c r="A293" s="2" t="inlineStr">
        <is>
          <t>V18-C5I-2022T3-2026T2-16-NOEXPL_alt_E9-P</t>
        </is>
      </c>
      <c r="B293" s="2" t="inlineStr">
        <is>
          <t>Ilustración: variación sin explicar, precio real, 2022T3-2026T2, País Vasco (no_explicado_alternativa)</t>
        </is>
      </c>
      <c r="C293" s="2" t="n">
        <v>-5.3839</v>
      </c>
      <c r="D293" s="2" t="n">
        <v>-5.5611</v>
      </c>
      <c r="E293" s="2" t="n">
        <v>-5.2107</v>
      </c>
      <c r="F293" s="2" t="inlineStr">
        <is>
          <t>pp (100·Δln)</t>
        </is>
      </c>
      <c r="G293" s="2" t="inlineStr">
        <is>
          <t>2022T3-2026T2</t>
        </is>
      </c>
      <c r="H293" s="2" t="inlineStr">
        <is>
          <t>País Vasco</t>
        </is>
      </c>
      <c r="I293" s="2" t="inlineStr">
        <is>
          <t>C4</t>
        </is>
      </c>
      <c r="J293" s="2" t="inlineStr">
        <is>
          <t>NO ESTIMABLE</t>
        </is>
      </c>
      <c r="K293" s="2" t="inlineStr">
        <is>
          <t>rango</t>
        </is>
      </c>
      <c r="L293" s="6">
        <f>IF(AND(ISNUMBER(D293),ISNUMBER(E293)),E293-D293,"")</f>
        <v/>
      </c>
      <c r="M293" s="6">
        <f>IF(AND(ISNUMBER(D293),ISNUMBER(E293)),IF(AND(D293&lt;=0,E293&gt;=0),"sí","no"),"")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vivienda-espana-evidencia V18 (src/v18/f6_documento.py)</dc:creator>
  <dc:title xmlns:dc="http://purl.org/dc/elements/1.1/">Tablas V18</dc:title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</cp:coreProperties>
</file>