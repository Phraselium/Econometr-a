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01_Andalucia" sheetId="2" state="visible" r:id="rId2"/>
    <sheet xmlns:r="http://schemas.openxmlformats.org/officeDocument/2006/relationships" name="02_Aragon" sheetId="3" state="visible" r:id="rId3"/>
    <sheet xmlns:r="http://schemas.openxmlformats.org/officeDocument/2006/relationships" name="03_Asturias" sheetId="4" state="visible" r:id="rId4"/>
    <sheet xmlns:r="http://schemas.openxmlformats.org/officeDocument/2006/relationships" name="04_Illes_Balears" sheetId="5" state="visible" r:id="rId5"/>
    <sheet xmlns:r="http://schemas.openxmlformats.org/officeDocument/2006/relationships" name="05_Canarias" sheetId="6" state="visible" r:id="rId6"/>
    <sheet xmlns:r="http://schemas.openxmlformats.org/officeDocument/2006/relationships" name="06_Cantabria" sheetId="7" state="visible" r:id="rId7"/>
    <sheet xmlns:r="http://schemas.openxmlformats.org/officeDocument/2006/relationships" name="07_Castilla_y_Leon" sheetId="8" state="visible" r:id="rId8"/>
    <sheet xmlns:r="http://schemas.openxmlformats.org/officeDocument/2006/relationships" name="08_Castilla_La_Mancha" sheetId="9" state="visible" r:id="rId9"/>
    <sheet xmlns:r="http://schemas.openxmlformats.org/officeDocument/2006/relationships" name="09_Cataluna" sheetId="10" state="visible" r:id="rId10"/>
    <sheet xmlns:r="http://schemas.openxmlformats.org/officeDocument/2006/relationships" name="10_Comunitat_Valenciana" sheetId="11" state="visible" r:id="rId11"/>
    <sheet xmlns:r="http://schemas.openxmlformats.org/officeDocument/2006/relationships" name="11_Extremadura" sheetId="12" state="visible" r:id="rId12"/>
    <sheet xmlns:r="http://schemas.openxmlformats.org/officeDocument/2006/relationships" name="12_Galicia" sheetId="13" state="visible" r:id="rId13"/>
    <sheet xmlns:r="http://schemas.openxmlformats.org/officeDocument/2006/relationships" name="13_Comunidad_de_Madrid" sheetId="14" state="visible" r:id="rId14"/>
    <sheet xmlns:r="http://schemas.openxmlformats.org/officeDocument/2006/relationships" name="14_Region_de_Murcia" sheetId="15" state="visible" r:id="rId15"/>
    <sheet xmlns:r="http://schemas.openxmlformats.org/officeDocument/2006/relationships" name="15_Comunidad_Foral_de_Navarra" sheetId="16" state="visible" r:id="rId16"/>
    <sheet xmlns:r="http://schemas.openxmlformats.org/officeDocument/2006/relationships" name="16_Pais_Vasco" sheetId="17" state="visible" r:id="rId17"/>
    <sheet xmlns:r="http://schemas.openxmlformats.org/officeDocument/2006/relationships" name="17_La_Rioja" sheetId="18" state="visible" r:id="rId18"/>
    <sheet xmlns:r="http://schemas.openxmlformats.org/officeDocument/2006/relationships" name="DC_datos" sheetId="19" state="visible" r:id="rId19"/>
    <sheet xmlns:r="http://schemas.openxmlformats.org/officeDocument/2006/relationships" name="DC_calculos" sheetId="20" state="visible" r:id="rId20"/>
    <sheet xmlns:r="http://schemas.openxmlformats.org/officeDocument/2006/relationships" name="DC_resume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color rgb="000000FF"/>
    </font>
    <font>
      <color rgb="00000000"/>
    </font>
    <font>
      <color rgb="00008000"/>
    </font>
    <font>
      <color rgb="FF0000FF"/>
    </font>
    <font>
      <color rgb="FF008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164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8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9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0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1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2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3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4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5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6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7.xml><?xml version="1.0" encoding="utf-8"?>
<comments xmlns="http://schemas.openxmlformats.org/spreadsheetml/2006/main">
  <authors>
    <author>R7</author>
  </authors>
  <commentList>
    <comment ref="D4" authorId="0" shapeId="0">
      <text>
        <t>Fuente: data/processed/v7/panel_ccaa_q_v7.csv (INE)</t>
      </text>
    </comment>
    <comment ref="D5" authorId="0" shapeId="0">
      <text>
        <t>Fuente: data/processed/v7/panel_ccaa_q_v7.csv (INE)</t>
      </text>
    </comment>
    <comment ref="D6" authorId="0" shapeId="0">
      <text>
        <t>Fuente: data/processed/v7/panel_ccaa_q_v7.csv (INE)</t>
      </text>
    </comment>
    <comment ref="D7" authorId="0" shapeId="0">
      <text>
        <t>Fuente: data/processed/v7/panel_ccaa_q_v7.csv (INE)</t>
      </text>
    </comment>
    <comment ref="D8" authorId="0" shapeId="0">
      <text>
        <t>Fuente: data/processed/v7/panel_ccaa_q_v7.csv (INE)</t>
      </text>
    </comment>
    <comment ref="D9" authorId="0" shapeId="0">
      <text>
        <t>Fuente: data/processed/v7/panel_ccaa_q_v7.csv (INE)</t>
      </text>
    </comment>
  </commentList>
</comments>
</file>

<file path=xl/comments/comment18.xml><?xml version="1.0" encoding="utf-8"?>
<comments xmlns="http://schemas.openxmlformats.org/spreadsheetml/2006/main">
  <authors>
    <author>V7.1</author>
  </authors>
  <commentList>
    <comment ref="B2" authorId="0" shapeId="0">
      <text>
        <t>Fuente: output/v7_1/S1/dosis_coste.csv (reproducción de output/v7/R6; Monte Carlo 4.000 extracciones; C4)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CCAA</t>
        </is>
      </c>
      <c r="B1" t="inlineStr">
        <is>
          <t>Variación IPV 2022T3-último</t>
        </is>
      </c>
      <c r="C1" t="inlineStr">
        <is>
          <t>Variación IPC alquiler 2022T3-último</t>
        </is>
      </c>
      <c r="D1" t="inlineStr">
        <is>
          <t>Mejor modelo compra (RMSE×100)</t>
        </is>
      </c>
      <c r="E1" t="inlineStr">
        <is>
          <t>Mejor modelo alquiler (RMSE×100)</t>
        </is>
      </c>
    </row>
    <row r="2">
      <c r="A2" t="inlineStr">
        <is>
          <t>Andalucía</t>
        </is>
      </c>
      <c r="B2" s="1">
        <f>'01_Andalucia'!G6</f>
        <v/>
      </c>
      <c r="C2" s="1">
        <f>'01_Andalucia'!G9</f>
        <v/>
      </c>
      <c r="D2" s="2">
        <f>'01_Andalucia'!B13</f>
        <v/>
      </c>
      <c r="E2" s="2">
        <f>'01_Andalucia'!B12</f>
        <v/>
      </c>
    </row>
    <row r="3">
      <c r="A3" t="inlineStr">
        <is>
          <t>Aragón</t>
        </is>
      </c>
      <c r="B3" s="1">
        <f>'02_Aragon'!G6</f>
        <v/>
      </c>
      <c r="C3" s="1">
        <f>'02_Aragon'!G9</f>
        <v/>
      </c>
      <c r="D3" s="2">
        <f>'02_Aragon'!B13</f>
        <v/>
      </c>
      <c r="E3" s="2">
        <f>'02_Aragon'!B12</f>
        <v/>
      </c>
    </row>
    <row r="4">
      <c r="A4" t="inlineStr">
        <is>
          <t>Asturias</t>
        </is>
      </c>
      <c r="B4" s="1">
        <f>'03_Asturias'!G6</f>
        <v/>
      </c>
      <c r="C4" s="1">
        <f>'03_Asturias'!G9</f>
        <v/>
      </c>
      <c r="D4" s="2">
        <f>'03_Asturias'!B13</f>
        <v/>
      </c>
      <c r="E4" s="2">
        <f>'03_Asturias'!B12</f>
        <v/>
      </c>
    </row>
    <row r="5">
      <c r="A5" t="inlineStr">
        <is>
          <t>Illes Balears</t>
        </is>
      </c>
      <c r="B5" s="1">
        <f>'04_Illes_Balears'!G6</f>
        <v/>
      </c>
      <c r="C5" s="1">
        <f>'04_Illes_Balears'!G9</f>
        <v/>
      </c>
      <c r="D5" s="2">
        <f>'04_Illes_Balears'!B13</f>
        <v/>
      </c>
      <c r="E5" s="2">
        <f>'04_Illes_Balears'!B12</f>
        <v/>
      </c>
    </row>
    <row r="6">
      <c r="A6" t="inlineStr">
        <is>
          <t>Canarias</t>
        </is>
      </c>
      <c r="B6" s="1">
        <f>'05_Canarias'!G6</f>
        <v/>
      </c>
      <c r="C6" s="1">
        <f>'05_Canarias'!G9</f>
        <v/>
      </c>
      <c r="D6" s="2">
        <f>'05_Canarias'!B13</f>
        <v/>
      </c>
      <c r="E6" s="2">
        <f>'05_Canarias'!B12</f>
        <v/>
      </c>
    </row>
    <row r="7">
      <c r="A7" t="inlineStr">
        <is>
          <t>Cantabria</t>
        </is>
      </c>
      <c r="B7" s="1">
        <f>'06_Cantabria'!G6</f>
        <v/>
      </c>
      <c r="C7" s="1">
        <f>'06_Cantabria'!G9</f>
        <v/>
      </c>
      <c r="D7" s="2">
        <f>'06_Cantabria'!B13</f>
        <v/>
      </c>
      <c r="E7" s="2">
        <f>'06_Cantabria'!B12</f>
        <v/>
      </c>
    </row>
    <row r="8">
      <c r="A8" t="inlineStr">
        <is>
          <t>Castilla y León</t>
        </is>
      </c>
      <c r="B8" s="1">
        <f>'07_Castilla_y_Leon'!G6</f>
        <v/>
      </c>
      <c r="C8" s="1">
        <f>'07_Castilla_y_Leon'!G9</f>
        <v/>
      </c>
      <c r="D8" s="2">
        <f>'07_Castilla_y_Leon'!B13</f>
        <v/>
      </c>
      <c r="E8" s="2">
        <f>'07_Castilla_y_Leon'!B12</f>
        <v/>
      </c>
    </row>
    <row r="9">
      <c r="A9" t="inlineStr">
        <is>
          <t>Castilla-La Mancha</t>
        </is>
      </c>
      <c r="B9" s="1">
        <f>'08_Castilla_La_Mancha'!G6</f>
        <v/>
      </c>
      <c r="C9" s="1">
        <f>'08_Castilla_La_Mancha'!G9</f>
        <v/>
      </c>
      <c r="D9" s="2">
        <f>'08_Castilla_La_Mancha'!B13</f>
        <v/>
      </c>
      <c r="E9" s="2">
        <f>'08_Castilla_La_Mancha'!B12</f>
        <v/>
      </c>
    </row>
    <row r="10">
      <c r="A10" t="inlineStr">
        <is>
          <t>Cataluña</t>
        </is>
      </c>
      <c r="B10" s="1">
        <f>'09_Cataluna'!G6</f>
        <v/>
      </c>
      <c r="C10" s="1">
        <f>'09_Cataluna'!G9</f>
        <v/>
      </c>
      <c r="D10" s="2">
        <f>'09_Cataluna'!B13</f>
        <v/>
      </c>
      <c r="E10" s="2">
        <f>'09_Cataluna'!B12</f>
        <v/>
      </c>
    </row>
    <row r="11">
      <c r="A11" t="inlineStr">
        <is>
          <t>Comunitat Valenciana</t>
        </is>
      </c>
      <c r="B11" s="1">
        <f>'10_Comunitat_Valenciana'!G6</f>
        <v/>
      </c>
      <c r="C11" s="1">
        <f>'10_Comunitat_Valenciana'!G9</f>
        <v/>
      </c>
      <c r="D11" s="2">
        <f>'10_Comunitat_Valenciana'!B13</f>
        <v/>
      </c>
      <c r="E11" s="2">
        <f>'10_Comunitat_Valenciana'!B12</f>
        <v/>
      </c>
    </row>
    <row r="12">
      <c r="A12" t="inlineStr">
        <is>
          <t>Extremadura</t>
        </is>
      </c>
      <c r="B12" s="1">
        <f>'11_Extremadura'!G6</f>
        <v/>
      </c>
      <c r="C12" s="1">
        <f>'11_Extremadura'!G9</f>
        <v/>
      </c>
      <c r="D12" s="2">
        <f>'11_Extremadura'!B13</f>
        <v/>
      </c>
      <c r="E12" s="2">
        <f>'11_Extremadura'!B12</f>
        <v/>
      </c>
    </row>
    <row r="13">
      <c r="A13" t="inlineStr">
        <is>
          <t>Galicia</t>
        </is>
      </c>
      <c r="B13" s="1">
        <f>'12_Galicia'!G6</f>
        <v/>
      </c>
      <c r="C13" s="1">
        <f>'12_Galicia'!G9</f>
        <v/>
      </c>
      <c r="D13" s="2">
        <f>'12_Galicia'!B13</f>
        <v/>
      </c>
      <c r="E13" s="2">
        <f>'12_Galicia'!B12</f>
        <v/>
      </c>
    </row>
    <row r="14">
      <c r="A14" t="inlineStr">
        <is>
          <t>Comunidad de Madrid</t>
        </is>
      </c>
      <c r="B14" s="1">
        <f>'13_Comunidad_de_Madrid'!G6</f>
        <v/>
      </c>
      <c r="C14" s="1">
        <f>'13_Comunidad_de_Madrid'!G9</f>
        <v/>
      </c>
      <c r="D14" s="2">
        <f>'13_Comunidad_de_Madrid'!B13</f>
        <v/>
      </c>
      <c r="E14" s="2">
        <f>'13_Comunidad_de_Madrid'!B12</f>
        <v/>
      </c>
    </row>
    <row r="15">
      <c r="A15" t="inlineStr">
        <is>
          <t>Región de Murcia</t>
        </is>
      </c>
      <c r="B15" s="1">
        <f>'14_Region_de_Murcia'!G6</f>
        <v/>
      </c>
      <c r="C15" s="1">
        <f>'14_Region_de_Murcia'!G9</f>
        <v/>
      </c>
      <c r="D15" s="2">
        <f>'14_Region_de_Murcia'!B13</f>
        <v/>
      </c>
      <c r="E15" s="2">
        <f>'14_Region_de_Murcia'!B12</f>
        <v/>
      </c>
    </row>
    <row r="16">
      <c r="A16" t="inlineStr">
        <is>
          <t>Comunidad Foral de Navarra</t>
        </is>
      </c>
      <c r="B16" s="1">
        <f>'15_Comunidad_Foral_de_Navarra'!G6</f>
        <v/>
      </c>
      <c r="C16" s="1">
        <f>'15_Comunidad_Foral_de_Navarra'!G9</f>
        <v/>
      </c>
      <c r="D16" s="2">
        <f>'15_Comunidad_Foral_de_Navarra'!B13</f>
        <v/>
      </c>
      <c r="E16" s="2">
        <f>'15_Comunidad_Foral_de_Navarra'!B12</f>
        <v/>
      </c>
    </row>
    <row r="17">
      <c r="A17" t="inlineStr">
        <is>
          <t>País Vasco</t>
        </is>
      </c>
      <c r="B17" s="1">
        <f>'16_Pais_Vasco'!G6</f>
        <v/>
      </c>
      <c r="C17" s="1">
        <f>'16_Pais_Vasco'!G9</f>
        <v/>
      </c>
      <c r="D17" s="2">
        <f>'16_Pais_Vasco'!B13</f>
        <v/>
      </c>
      <c r="E17" s="2">
        <f>'16_Pais_Vasco'!B12</f>
        <v/>
      </c>
    </row>
    <row r="18">
      <c r="A18" t="inlineStr">
        <is>
          <t>La Rioja</t>
        </is>
      </c>
      <c r="B18" s="1">
        <f>'17_La_Rioja'!G6</f>
        <v/>
      </c>
      <c r="C18" s="1">
        <f>'17_La_Rioja'!G9</f>
        <v/>
      </c>
      <c r="D18" s="2">
        <f>'17_La_Rioja'!B13</f>
        <v/>
      </c>
      <c r="E18" s="2">
        <f>'17_La_Rioja'!B12</f>
        <v/>
      </c>
    </row>
    <row r="19">
      <c r="A19" t="inlineStr">
        <is>
          <t>Media simple de las 17 CCAA</t>
        </is>
      </c>
      <c r="B19" s="3">
        <f>AVERAGE(B2:B18)</f>
        <v/>
      </c>
      <c r="C19" s="3">
        <f>AVERAGE(C2:C18)</f>
        <v/>
      </c>
    </row>
    <row r="21">
      <c r="A21" t="inlineStr">
        <is>
          <t>Enlaces en verde a cada hoja; la media es un cálculo de esta hoja. Fuente de las series: panel_ccaa_q_v7.csv (INE). informativo, muestra ya vista en 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Andalucía (01):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53.316</v>
      </c>
      <c r="E4" s="4" t="inlineStr">
        <is>
          <t>2019Q4</t>
        </is>
      </c>
      <c r="F4" s="4" t="n">
        <v>66.17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66.66500000000001</v>
      </c>
      <c r="E5" s="4" t="inlineStr">
        <is>
          <t>2022Q2</t>
        </is>
      </c>
      <c r="F5" s="4" t="n">
        <v>76.202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77.432</v>
      </c>
      <c r="E6" s="4" t="inlineStr">
        <is>
          <t>2026Q2</t>
        </is>
      </c>
      <c r="F6" s="4" t="n">
        <v>110.903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88.395</v>
      </c>
      <c r="E7" s="4" t="inlineStr">
        <is>
          <t>2019Q4</t>
        </is>
      </c>
      <c r="F7" s="4" t="n">
        <v>90.44199999999999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90.66033333333333</v>
      </c>
      <c r="E8" s="4" t="inlineStr">
        <is>
          <t>2022Q2</t>
        </is>
      </c>
      <c r="F8" s="4" t="n">
        <v>92.44766666666668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92.86066666666666</v>
      </c>
      <c r="E9" s="4" t="inlineStr">
        <is>
          <t>2026Q2</t>
        </is>
      </c>
      <c r="F9" s="4" t="n">
        <v>102.2843333333333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0.4049361561848932</v>
      </c>
      <c r="D12" s="4" t="n">
        <v>0.4002916942114357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2.86332091782596</v>
      </c>
      <c r="D13" s="4" t="n">
        <v>2.701766246589297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0.0170871658705488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-0.0338160709907153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-0.0083091967811709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-0.0527443942250125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Aragón (02):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57.002</v>
      </c>
      <c r="E4" s="4" t="inlineStr">
        <is>
          <t>2019Q4</t>
        </is>
      </c>
      <c r="F4" s="4" t="n">
        <v>68.59399999999999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68.85599999999999</v>
      </c>
      <c r="E5" s="4" t="inlineStr">
        <is>
          <t>2022Q2</t>
        </is>
      </c>
      <c r="F5" s="4" t="n">
        <v>76.634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77.47</v>
      </c>
      <c r="E6" s="4" t="inlineStr">
        <is>
          <t>2026Q2</t>
        </is>
      </c>
      <c r="F6" s="4" t="n">
        <v>113.472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88.85366666666668</v>
      </c>
      <c r="E7" s="4" t="inlineStr">
        <is>
          <t>2019Q4</t>
        </is>
      </c>
      <c r="F7" s="4" t="n">
        <v>90.84733333333334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91.211</v>
      </c>
      <c r="E8" s="4" t="inlineStr">
        <is>
          <t>2022Q2</t>
        </is>
      </c>
      <c r="F8" s="4" t="n">
        <v>93.29966666666668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93.64866666666668</v>
      </c>
      <c r="E9" s="4" t="inlineStr">
        <is>
          <t>2026Q2</t>
        </is>
      </c>
      <c r="F9" s="4" t="n">
        <v>102.4396666666667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0.3902827984793033</v>
      </c>
      <c r="D12" s="4" t="n">
        <v>0.3579185548365771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2.79533311968818</v>
      </c>
      <c r="D13" s="4" t="n">
        <v>2.563374728919602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-0.1042631779068696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-0.1342883477996762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-0.210795446327912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-0.070111098405348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Asturias (03):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60.686</v>
      </c>
      <c r="E4" s="4" t="inlineStr">
        <is>
          <t>2019Q4</t>
        </is>
      </c>
      <c r="F4" s="4" t="n">
        <v>70.069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70.43000000000001</v>
      </c>
      <c r="E5" s="4" t="inlineStr">
        <is>
          <t>2022Q2</t>
        </is>
      </c>
      <c r="F5" s="4" t="n">
        <v>79.104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79.578</v>
      </c>
      <c r="E6" s="4" t="inlineStr">
        <is>
          <t>2026Q2</t>
        </is>
      </c>
      <c r="F6" s="4" t="n">
        <v>114.014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91.28766666666668</v>
      </c>
      <c r="E7" s="4" t="inlineStr">
        <is>
          <t>2019Q4</t>
        </is>
      </c>
      <c r="F7" s="4" t="n">
        <v>93.312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93.36199999999999</v>
      </c>
      <c r="E8" s="4" t="inlineStr">
        <is>
          <t>2022Q2</t>
        </is>
      </c>
      <c r="F8" s="4" t="n">
        <v>94.873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95.29666666666668</v>
      </c>
      <c r="E9" s="4" t="inlineStr">
        <is>
          <t>2026Q2</t>
        </is>
      </c>
      <c r="F9" s="4" t="n">
        <v>102.7386666666667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0.3682288189551858</v>
      </c>
      <c r="D12" s="4" t="n">
        <v>0.3408157284482995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2.594365309605113</v>
      </c>
      <c r="D13" s="4" t="n">
        <v>2.319448393533563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0.0222979028079452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-0.0133875667228832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-0.2348128953120576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-0.0794689239011694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Illes Balears (04):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47.581</v>
      </c>
      <c r="E4" s="4" t="inlineStr">
        <is>
          <t>2019Q4</t>
        </is>
      </c>
      <c r="F4" s="4" t="n">
        <v>68.23399999999999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69.048</v>
      </c>
      <c r="E5" s="4" t="inlineStr">
        <is>
          <t>2022Q2</t>
        </is>
      </c>
      <c r="F5" s="4" t="n">
        <v>80.51300000000001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82.05800000000001</v>
      </c>
      <c r="E6" s="4" t="inlineStr">
        <is>
          <t>2026Q2</t>
        </is>
      </c>
      <c r="F6" s="4" t="n">
        <v>112.048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84.62033333333333</v>
      </c>
      <c r="E7" s="4" t="inlineStr">
        <is>
          <t>2019Q4</t>
        </is>
      </c>
      <c r="F7" s="4" t="n">
        <v>90.03033333333333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90.331</v>
      </c>
      <c r="E8" s="4" t="inlineStr">
        <is>
          <t>2022Q2</t>
        </is>
      </c>
      <c r="F8" s="4" t="n">
        <v>92.05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92.34766666666668</v>
      </c>
      <c r="E9" s="4" t="inlineStr">
        <is>
          <t>2026Q2</t>
        </is>
      </c>
      <c r="F9" s="4" t="n">
        <v>103.0446666666667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0.6841423562881249</v>
      </c>
      <c r="D12" s="4" t="n">
        <v>0.6791027367751094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3.047260507200208</v>
      </c>
      <c r="D13" s="4" t="n">
        <v>3.057984117320038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-0.0869638309267816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0.0112188262776662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-0.0117780418538956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-0.0167242458449985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Canarias (05):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54.539</v>
      </c>
      <c r="E4" s="4" t="inlineStr">
        <is>
          <t>2019Q4</t>
        </is>
      </c>
      <c r="F4" s="4" t="n">
        <v>67.81100000000001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68.19199999999999</v>
      </c>
      <c r="E5" s="4" t="inlineStr">
        <is>
          <t>2022Q2</t>
        </is>
      </c>
      <c r="F5" s="4" t="n">
        <v>78.53400000000001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79.32299999999999</v>
      </c>
      <c r="E6" s="4" t="inlineStr">
        <is>
          <t>2026Q2</t>
        </is>
      </c>
      <c r="F6" s="4" t="n">
        <v>110.44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88.58600000000001</v>
      </c>
      <c r="E7" s="4" t="inlineStr">
        <is>
          <t>2019Q4</t>
        </is>
      </c>
      <c r="F7" s="4" t="n">
        <v>91.05666666666669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91.512</v>
      </c>
      <c r="E8" s="4" t="inlineStr">
        <is>
          <t>2022Q2</t>
        </is>
      </c>
      <c r="F8" s="4" t="n">
        <v>93.12366666666668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93.62866666666666</v>
      </c>
      <c r="E9" s="4" t="inlineStr">
        <is>
          <t>2026Q2</t>
        </is>
      </c>
      <c r="F9" s="4" t="n">
        <v>101.8673333333333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0.410925439613891</v>
      </c>
      <c r="D12" s="4" t="n">
        <v>0.418131639210462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2.645718321865529</v>
      </c>
      <c r="D13" s="4" t="n">
        <v>2.561271599062224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-0.1402128819418662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-0.1052045252616858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-0.3175240548992504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-0.1016999089387779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Cantabria (06):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55.077</v>
      </c>
      <c r="E4" s="4" t="inlineStr">
        <is>
          <t>2019Q4</t>
        </is>
      </c>
      <c r="F4" s="4" t="n">
        <v>66.941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67.06</v>
      </c>
      <c r="E5" s="4" t="inlineStr">
        <is>
          <t>2022Q2</t>
        </is>
      </c>
      <c r="F5" s="4" t="n">
        <v>77.797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79.005</v>
      </c>
      <c r="E6" s="4" t="inlineStr">
        <is>
          <t>2026Q2</t>
        </is>
      </c>
      <c r="F6" s="4" t="n">
        <v>111.313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90.617</v>
      </c>
      <c r="E7" s="4" t="inlineStr">
        <is>
          <t>2019Q4</t>
        </is>
      </c>
      <c r="F7" s="4" t="n">
        <v>92.122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92.32633333333337</v>
      </c>
      <c r="E8" s="4" t="inlineStr">
        <is>
          <t>2022Q2</t>
        </is>
      </c>
      <c r="F8" s="4" t="n">
        <v>93.68266666666666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93.98366666666668</v>
      </c>
      <c r="E9" s="4" t="inlineStr">
        <is>
          <t>2026Q2</t>
        </is>
      </c>
      <c r="F9" s="4" t="n">
        <v>102.542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0.4513450006847412</v>
      </c>
      <c r="D12" s="4" t="n">
        <v>0.4278965229353983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2.877828475315988</v>
      </c>
      <c r="D13" s="4" t="n">
        <v>2.640344555993042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-0.09910721582887259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-0.1243163527791631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-0.0895501959108834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-0.1491074650219419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 y León (07):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61.37</v>
      </c>
      <c r="E4" s="4" t="inlineStr">
        <is>
          <t>2019Q4</t>
        </is>
      </c>
      <c r="F4" s="4" t="n">
        <v>71.386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70.949</v>
      </c>
      <c r="E5" s="4" t="inlineStr">
        <is>
          <t>2022Q2</t>
        </is>
      </c>
      <c r="F5" s="4" t="n">
        <v>79.20999999999999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80.393</v>
      </c>
      <c r="E6" s="4" t="inlineStr">
        <is>
          <t>2026Q2</t>
        </is>
      </c>
      <c r="F6" s="4" t="n">
        <v>113.551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90.98066666666666</v>
      </c>
      <c r="E7" s="4" t="inlineStr">
        <is>
          <t>2019Q4</t>
        </is>
      </c>
      <c r="F7" s="4" t="n">
        <v>92.10366666666668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92.251</v>
      </c>
      <c r="E8" s="4" t="inlineStr">
        <is>
          <t>2022Q2</t>
        </is>
      </c>
      <c r="F8" s="4" t="n">
        <v>94.10899999999999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94.52133333333336</v>
      </c>
      <c r="E9" s="4" t="inlineStr">
        <is>
          <t>2026Q2</t>
        </is>
      </c>
      <c r="F9" s="4" t="n">
        <v>102.1786666666667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0.3366540470131644</v>
      </c>
      <c r="D12" s="4" t="n">
        <v>0.346047111164072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2.65398471683829</v>
      </c>
      <c r="D13" s="4" t="n">
        <v>2.321073676562028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-0.006731332149437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-0.0288796977444589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-0.3681645615773617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-0.1740821576159813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Castilla-La Mancha (08):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67.831</v>
      </c>
      <c r="E4" s="4" t="inlineStr">
        <is>
          <t>2019Q4</t>
        </is>
      </c>
      <c r="F4" s="4" t="n">
        <v>75.798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75.411</v>
      </c>
      <c r="E5" s="4" t="inlineStr">
        <is>
          <t>2022Q2</t>
        </is>
      </c>
      <c r="F5" s="4" t="n">
        <v>83.044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84.289</v>
      </c>
      <c r="E6" s="4" t="inlineStr">
        <is>
          <t>2026Q2</t>
        </is>
      </c>
      <c r="F6" s="4" t="n">
        <v>110.864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90.96666666666664</v>
      </c>
      <c r="E7" s="4" t="inlineStr">
        <is>
          <t>2019Q4</t>
        </is>
      </c>
      <c r="F7" s="4" t="n">
        <v>91.35433333333332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91.47766666666666</v>
      </c>
      <c r="E8" s="4" t="inlineStr">
        <is>
          <t>2022Q2</t>
        </is>
      </c>
      <c r="F8" s="4" t="n">
        <v>93.03566666666666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93.56166666666668</v>
      </c>
      <c r="E9" s="4" t="inlineStr">
        <is>
          <t>2026Q2</t>
        </is>
      </c>
      <c r="F9" s="4" t="n">
        <v>102.4056666666667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0.4097204768598452</v>
      </c>
      <c r="D12" s="4" t="n">
        <v>0.3507272266538239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2.214657627219555</v>
      </c>
      <c r="D13" s="4" t="n">
        <v>2.34149974644895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-0.1319593126560672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-0.0206971104627421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-0.0447166086748977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0.0059901407608145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Cataluña (09):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49.99</v>
      </c>
      <c r="E4" s="4" t="inlineStr">
        <is>
          <t>2019Q4</t>
        </is>
      </c>
      <c r="F4" s="4" t="n">
        <v>71.98099999999999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72.464</v>
      </c>
      <c r="E5" s="4" t="inlineStr">
        <is>
          <t>2022Q2</t>
        </is>
      </c>
      <c r="F5" s="4" t="n">
        <v>80.61199999999999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82.337</v>
      </c>
      <c r="E6" s="4" t="inlineStr">
        <is>
          <t>2026Q2</t>
        </is>
      </c>
      <c r="F6" s="4" t="n">
        <v>109.046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88.66699999999999</v>
      </c>
      <c r="E7" s="4" t="inlineStr">
        <is>
          <t>2019Q4</t>
        </is>
      </c>
      <c r="F7" s="4" t="n">
        <v>92.48666666666666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92.77500000000001</v>
      </c>
      <c r="E8" s="4" t="inlineStr">
        <is>
          <t>2022Q2</t>
        </is>
      </c>
      <c r="F8" s="4" t="n">
        <v>95.087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95.44166666666666</v>
      </c>
      <c r="E9" s="4" t="inlineStr">
        <is>
          <t>2026Q2</t>
        </is>
      </c>
      <c r="F9" s="4" t="n">
        <v>101.7026666666667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pmg</t>
        </is>
      </c>
      <c r="C12" s="4" t="n">
        <v>0.2917160969938244</v>
      </c>
      <c r="D12" s="4" t="n">
        <v>0.2763973225963654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2.542117327407625</v>
      </c>
      <c r="D13" s="4" t="n">
        <v>2.840682844198493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0.0088063471525702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0.0117540092018135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-0.1108375152162731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-0.06060043712686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Comunitat Valenciana (10):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57.024</v>
      </c>
      <c r="E4" s="4" t="inlineStr">
        <is>
          <t>2019Q4</t>
        </is>
      </c>
      <c r="F4" s="4" t="n">
        <v>69.038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69.334</v>
      </c>
      <c r="E5" s="4" t="inlineStr">
        <is>
          <t>2022Q2</t>
        </is>
      </c>
      <c r="F5" s="4" t="n">
        <v>78.108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78.892</v>
      </c>
      <c r="E6" s="4" t="inlineStr">
        <is>
          <t>2026Q2</t>
        </is>
      </c>
      <c r="F6" s="4" t="n">
        <v>111.696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85.949</v>
      </c>
      <c r="E7" s="4" t="inlineStr">
        <is>
          <t>2019Q4</t>
        </is>
      </c>
      <c r="F7" s="4" t="n">
        <v>88.129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88.68400000000001</v>
      </c>
      <c r="E8" s="4" t="inlineStr">
        <is>
          <t>2022Q2</t>
        </is>
      </c>
      <c r="F8" s="4" t="n">
        <v>91.081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91.479</v>
      </c>
      <c r="E9" s="4" t="inlineStr">
        <is>
          <t>2026Q2</t>
        </is>
      </c>
      <c r="F9" s="4" t="n">
        <v>103.282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0.5652621109704927</v>
      </c>
      <c r="D12" s="4" t="n">
        <v>0.6584305841250925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2.196658719174869</v>
      </c>
      <c r="D13" s="4" t="n">
        <v>2.369914436022933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-0.1470290395605776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0.0191370065728188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-0.188179653637761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-0.1725986001982252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Extremadura (11):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70.205</v>
      </c>
      <c r="E4" s="4" t="inlineStr">
        <is>
          <t>2019Q4</t>
        </is>
      </c>
      <c r="F4" s="4" t="n">
        <v>75.627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75.048</v>
      </c>
      <c r="E5" s="4" t="inlineStr">
        <is>
          <t>2022Q2</t>
        </is>
      </c>
      <c r="F5" s="4" t="n">
        <v>81.92100000000001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83.021</v>
      </c>
      <c r="E6" s="4" t="inlineStr">
        <is>
          <t>2026Q2</t>
        </is>
      </c>
      <c r="F6" s="4" t="n">
        <v>111.963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92.33466666666668</v>
      </c>
      <c r="E7" s="4" t="inlineStr">
        <is>
          <t>2019Q4</t>
        </is>
      </c>
      <c r="F7" s="4" t="n">
        <v>92.05366666666669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92.27433333333332</v>
      </c>
      <c r="E8" s="4" t="inlineStr">
        <is>
          <t>2022Q2</t>
        </is>
      </c>
      <c r="F8" s="4" t="n">
        <v>93.95666666666666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94.262</v>
      </c>
      <c r="E9" s="4" t="inlineStr">
        <is>
          <t>2026Q2</t>
        </is>
      </c>
      <c r="F9" s="4" t="n">
        <v>101.6646666666667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ecm_v1</t>
        </is>
      </c>
      <c r="C12" s="4" t="n">
        <v>0.4971994928455645</v>
      </c>
      <c r="D12" s="4" t="n">
        <v>0.4959062936642814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2.69152495231944</v>
      </c>
      <c r="D13" s="4" t="n">
        <v>2.65205688953769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-0.0441344151377077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-0.0044112886587659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-0.1562893671440091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-0.0013138872242984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Galicia (12):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60.862</v>
      </c>
      <c r="E4" s="4" t="inlineStr">
        <is>
          <t>2019Q4</t>
        </is>
      </c>
      <c r="F4" s="4" t="n">
        <v>70.736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70.67400000000001</v>
      </c>
      <c r="E5" s="4" t="inlineStr">
        <is>
          <t>2022Q2</t>
        </is>
      </c>
      <c r="F5" s="4" t="n">
        <v>79.813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80.336</v>
      </c>
      <c r="E6" s="4" t="inlineStr">
        <is>
          <t>2026Q2</t>
        </is>
      </c>
      <c r="F6" s="4" t="n">
        <v>111.825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88.70066666666666</v>
      </c>
      <c r="E7" s="4" t="inlineStr">
        <is>
          <t>2019Q4</t>
        </is>
      </c>
      <c r="F7" s="4" t="n">
        <v>91.50466666666668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91.73333333333332</v>
      </c>
      <c r="E8" s="4" t="inlineStr">
        <is>
          <t>2022Q2</t>
        </is>
      </c>
      <c r="F8" s="4" t="n">
        <v>93.88233333333334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94.372</v>
      </c>
      <c r="E9" s="4" t="inlineStr">
        <is>
          <t>2026Q2</t>
        </is>
      </c>
      <c r="F9" s="4" t="n">
        <v>102.4783333333333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0.4344600425079787</v>
      </c>
      <c r="D12" s="4" t="n">
        <v>0.4211144789012432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2.489929317082952</v>
      </c>
      <c r="D13" s="4" t="n">
        <v>2.272132106622191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0.013768774634992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0.030546116881294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-0.2192275872109574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-0.1725386864300619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de Madrid (13):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46.897</v>
      </c>
      <c r="E4" s="4" t="inlineStr">
        <is>
          <t>2019Q4</t>
        </is>
      </c>
      <c r="F4" s="4" t="n">
        <v>70.425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72.18000000000001</v>
      </c>
      <c r="E5" s="4" t="inlineStr">
        <is>
          <t>2022Q2</t>
        </is>
      </c>
      <c r="F5" s="4" t="n">
        <v>78.44199999999999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80.22799999999999</v>
      </c>
      <c r="E6" s="4" t="inlineStr">
        <is>
          <t>2026Q2</t>
        </is>
      </c>
      <c r="F6" s="4" t="n">
        <v>111.85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88.16466666666668</v>
      </c>
      <c r="E7" s="4" t="inlineStr">
        <is>
          <t>2019Q4</t>
        </is>
      </c>
      <c r="F7" s="4" t="n">
        <v>90.65000000000001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91.02</v>
      </c>
      <c r="E8" s="4" t="inlineStr">
        <is>
          <t>2022Q2</t>
        </is>
      </c>
      <c r="F8" s="4" t="n">
        <v>92.37533333333332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92.74433333333332</v>
      </c>
      <c r="E9" s="4" t="inlineStr">
        <is>
          <t>2026Q2</t>
        </is>
      </c>
      <c r="F9" s="4" t="n">
        <v>102.546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0.5363393554669238</v>
      </c>
      <c r="D12" s="4" t="n">
        <v>0.6121497788329902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3.059809176520801</v>
      </c>
      <c r="D13" s="4" t="n">
        <v>3.281037376816712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0.0527147144149626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-0.0159224546699638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-0.0804293874450589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-0.0876023345393112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Región de Murcia (14):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58.678</v>
      </c>
      <c r="E4" s="4" t="inlineStr">
        <is>
          <t>2019Q4</t>
        </is>
      </c>
      <c r="F4" s="4" t="n">
        <v>68.452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68.351</v>
      </c>
      <c r="E5" s="4" t="inlineStr">
        <is>
          <t>2022Q2</t>
        </is>
      </c>
      <c r="F5" s="4" t="n">
        <v>79.256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79.708</v>
      </c>
      <c r="E6" s="4" t="inlineStr">
        <is>
          <t>2026Q2</t>
        </is>
      </c>
      <c r="F6" s="4" t="n">
        <v>113.192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93.47433333333332</v>
      </c>
      <c r="E7" s="4" t="inlineStr">
        <is>
          <t>2019Q4</t>
        </is>
      </c>
      <c r="F7" s="4" t="n">
        <v>93.74666666666668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94.17133333333334</v>
      </c>
      <c r="E8" s="4" t="inlineStr">
        <is>
          <t>2022Q2</t>
        </is>
      </c>
      <c r="F8" s="4" t="n">
        <v>95.82333333333332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96.04166666666669</v>
      </c>
      <c r="E9" s="4" t="inlineStr">
        <is>
          <t>2026Q2</t>
        </is>
      </c>
      <c r="F9" s="4" t="n">
        <v>103.0136666666667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0.446450671628332</v>
      </c>
      <c r="D12" s="4" t="n">
        <v>0.4325641913165504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pmg</t>
        </is>
      </c>
      <c r="C13" s="4" t="n">
        <v>2.916799206035904</v>
      </c>
      <c r="D13" s="4" t="n">
        <v>2.632510713977876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-0.041296369614765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-0.005676325160492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-0.06754085138224809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-0.071786330572409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Comunidad Foral de Navarra (15):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60.946</v>
      </c>
      <c r="E4" s="4" t="inlineStr">
        <is>
          <t>2019Q4</t>
        </is>
      </c>
      <c r="F4" s="4" t="n">
        <v>68.59999999999999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69.84</v>
      </c>
      <c r="E5" s="4" t="inlineStr">
        <is>
          <t>2022Q2</t>
        </is>
      </c>
      <c r="F5" s="4" t="n">
        <v>76.371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77.29900000000001</v>
      </c>
      <c r="E6" s="4" t="inlineStr">
        <is>
          <t>2026Q2</t>
        </is>
      </c>
      <c r="F6" s="4" t="n">
        <v>109.174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89.32566666666666</v>
      </c>
      <c r="E7" s="4" t="inlineStr">
        <is>
          <t>2019Q4</t>
        </is>
      </c>
      <c r="F7" s="4" t="n">
        <v>91.494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92.111</v>
      </c>
      <c r="E8" s="4" t="inlineStr">
        <is>
          <t>2022Q2</t>
        </is>
      </c>
      <c r="F8" s="4" t="n">
        <v>94.43000000000001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94.898</v>
      </c>
      <c r="E9" s="4" t="inlineStr">
        <is>
          <t>2026Q2</t>
        </is>
      </c>
      <c r="F9" s="4" t="n">
        <v>101.4776666666667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0.3677280096671786</v>
      </c>
      <c r="D12" s="4" t="n">
        <v>0.4207876299117717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2.638736497825011</v>
      </c>
      <c r="D13" s="4" t="n">
        <v>2.547686586552095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-0.032431382278141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-0.0390251502543165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-0.2714329846621804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-0.065336602761006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 Vasco (16):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59.814</v>
      </c>
      <c r="E4" s="4" t="inlineStr">
        <is>
          <t>2019Q4</t>
        </is>
      </c>
      <c r="F4" s="4" t="n">
        <v>71.28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73.235</v>
      </c>
      <c r="E5" s="4" t="inlineStr">
        <is>
          <t>2022Q2</t>
        </is>
      </c>
      <c r="F5" s="4" t="n">
        <v>79.161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80.889</v>
      </c>
      <c r="E6" s="4" t="inlineStr">
        <is>
          <t>2026Q2</t>
        </is>
      </c>
      <c r="F6" s="4" t="n">
        <v>109.329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91.983</v>
      </c>
      <c r="E7" s="4" t="inlineStr">
        <is>
          <t>2019Q4</t>
        </is>
      </c>
      <c r="F7" s="4" t="n">
        <v>92.65000000000001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92.82866666666666</v>
      </c>
      <c r="E8" s="4" t="inlineStr">
        <is>
          <t>2022Q2</t>
        </is>
      </c>
      <c r="F8" s="4" t="n">
        <v>95.169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95.49833333333332</v>
      </c>
      <c r="E9" s="4" t="inlineStr">
        <is>
          <t>2026Q2</t>
        </is>
      </c>
      <c r="F9" s="4" t="n">
        <v>101.2666666666667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mixto</t>
        </is>
      </c>
      <c r="C12" s="4" t="n">
        <v>0.3702769215675522</v>
      </c>
      <c r="D12" s="4" t="n">
        <v>0.3879984637661001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gbm</t>
        </is>
      </c>
      <c r="C13" s="4" t="n">
        <v>3.017784597606014</v>
      </c>
      <c r="D13" s="4" t="n">
        <v>2.53412222127585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0.0045177937410962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-0.0275427042307058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-0.272214375714163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-0.1340314001434812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 Rioja (17): informativo, muestra ya vista en v1; C4; asociación</t>
        </is>
      </c>
    </row>
    <row r="3">
      <c r="A3" t="inlineStr">
        <is>
          <t>Serie</t>
        </is>
      </c>
      <c r="B3" t="inlineStr">
        <is>
          <t>Periodo</t>
        </is>
      </c>
      <c r="C3" t="inlineStr">
        <is>
          <t>Inicio</t>
        </is>
      </c>
      <c r="D3" t="inlineStr">
        <is>
          <t>Valor inicio</t>
        </is>
      </c>
      <c r="E3" t="inlineStr">
        <is>
          <t>Fin</t>
        </is>
      </c>
      <c r="F3" t="inlineStr">
        <is>
          <t>Valor fin</t>
        </is>
      </c>
      <c r="G3" t="inlineStr">
        <is>
          <t>Variación</t>
        </is>
      </c>
      <c r="H3" t="inlineStr">
        <is>
          <t>Fuente</t>
        </is>
      </c>
    </row>
    <row r="4">
      <c r="A4" t="inlineStr">
        <is>
          <t>IPV (INE)</t>
        </is>
      </c>
      <c r="B4" t="inlineStr">
        <is>
          <t>2014T1-2019T4</t>
        </is>
      </c>
      <c r="C4" s="4" t="inlineStr">
        <is>
          <t>2014Q1</t>
        </is>
      </c>
      <c r="D4" s="4" t="n">
        <v>59.449</v>
      </c>
      <c r="E4" s="4" t="inlineStr">
        <is>
          <t>2019Q4</t>
        </is>
      </c>
      <c r="F4" s="4" t="n">
        <v>69.86</v>
      </c>
      <c r="G4" s="3">
        <f>F4/D4-1</f>
        <v/>
      </c>
      <c r="H4" t="inlineStr">
        <is>
          <t>panel_ccaa_q_v7.csv, INE, hasta 2026Q2</t>
        </is>
      </c>
    </row>
    <row r="5">
      <c r="A5" t="inlineStr">
        <is>
          <t>IPV (INE)</t>
        </is>
      </c>
      <c r="B5" t="inlineStr">
        <is>
          <t>2020T1-2022T2</t>
        </is>
      </c>
      <c r="C5" s="4" t="inlineStr">
        <is>
          <t>2020Q1</t>
        </is>
      </c>
      <c r="D5" s="4" t="n">
        <v>70.211</v>
      </c>
      <c r="E5" s="4" t="inlineStr">
        <is>
          <t>2022Q2</t>
        </is>
      </c>
      <c r="F5" s="4" t="n">
        <v>78.13200000000001</v>
      </c>
      <c r="G5" s="3">
        <f>F5/D5-1</f>
        <v/>
      </c>
      <c r="H5" t="inlineStr">
        <is>
          <t>panel_ccaa_q_v7.csv, INE, hasta 2026Q2</t>
        </is>
      </c>
    </row>
    <row r="6">
      <c r="A6" t="inlineStr">
        <is>
          <t>IPV (INE)</t>
        </is>
      </c>
      <c r="B6" t="inlineStr">
        <is>
          <t>2022T3-último</t>
        </is>
      </c>
      <c r="C6" s="4" t="inlineStr">
        <is>
          <t>2022Q3</t>
        </is>
      </c>
      <c r="D6" s="4" t="n">
        <v>79.85599999999999</v>
      </c>
      <c r="E6" s="4" t="inlineStr">
        <is>
          <t>2026Q2</t>
        </is>
      </c>
      <c r="F6" s="4" t="n">
        <v>113.309</v>
      </c>
      <c r="G6" s="3">
        <f>F6/D6-1</f>
        <v/>
      </c>
      <c r="H6" t="inlineStr">
        <is>
          <t>panel_ccaa_q_v7.csv, INE, hasta 2026Q2</t>
        </is>
      </c>
    </row>
    <row r="7">
      <c r="A7" t="inlineStr">
        <is>
          <t>IPC alquiler (INE)</t>
        </is>
      </c>
      <c r="B7" t="inlineStr">
        <is>
          <t>2014T1-2019T4</t>
        </is>
      </c>
      <c r="C7" s="4" t="inlineStr">
        <is>
          <t>2014Q1</t>
        </is>
      </c>
      <c r="D7" s="4" t="n">
        <v>93.74166666666667</v>
      </c>
      <c r="E7" s="4" t="inlineStr">
        <is>
          <t>2019Q4</t>
        </is>
      </c>
      <c r="F7" s="4" t="n">
        <v>91.68866666666668</v>
      </c>
      <c r="G7" s="3">
        <f>F7/D7-1</f>
        <v/>
      </c>
      <c r="H7" t="inlineStr">
        <is>
          <t>panel_ccaa_q_v7.csv, INE, hasta 2026Q2</t>
        </is>
      </c>
    </row>
    <row r="8">
      <c r="A8" t="inlineStr">
        <is>
          <t>IPC alquiler (INE)</t>
        </is>
      </c>
      <c r="B8" t="inlineStr">
        <is>
          <t>2020T1-2022T2</t>
        </is>
      </c>
      <c r="C8" s="4" t="inlineStr">
        <is>
          <t>2020Q1</t>
        </is>
      </c>
      <c r="D8" s="4" t="n">
        <v>92.148</v>
      </c>
      <c r="E8" s="4" t="inlineStr">
        <is>
          <t>2022Q2</t>
        </is>
      </c>
      <c r="F8" s="4" t="n">
        <v>94.56699999999999</v>
      </c>
      <c r="G8" s="3">
        <f>F8/D8-1</f>
        <v/>
      </c>
      <c r="H8" t="inlineStr">
        <is>
          <t>panel_ccaa_q_v7.csv, INE, hasta 2026Q2</t>
        </is>
      </c>
    </row>
    <row r="9">
      <c r="A9" t="inlineStr">
        <is>
          <t>IPC alquiler (INE)</t>
        </is>
      </c>
      <c r="B9" t="inlineStr">
        <is>
          <t>2022T3-último</t>
        </is>
      </c>
      <c r="C9" s="4" t="inlineStr">
        <is>
          <t>2022Q3</t>
        </is>
      </c>
      <c r="D9" s="4" t="n">
        <v>95.15000000000001</v>
      </c>
      <c r="E9" s="4" t="inlineStr">
        <is>
          <t>2026Q2</t>
        </is>
      </c>
      <c r="F9" s="4" t="n">
        <v>102.759</v>
      </c>
      <c r="G9" s="3">
        <f>F9/D9-1</f>
        <v/>
      </c>
      <c r="H9" t="inlineStr">
        <is>
          <t>panel_ccaa_q_v7.csv, INE, hasta 2026Q2</t>
        </is>
      </c>
    </row>
    <row r="11">
      <c r="A11" t="inlineStr">
        <is>
          <t>Mercado</t>
        </is>
      </c>
      <c r="B11" t="inlineStr">
        <is>
          <t>Mejor modelo</t>
        </is>
      </c>
      <c r="C11" t="inlineStr">
        <is>
          <t>RMSE mejor ×100</t>
        </is>
      </c>
      <c r="D11" t="inlineStr">
        <is>
          <t>RMSE base exigente ×100</t>
        </is>
      </c>
      <c r="E11" t="inlineStr">
        <is>
          <t>Diferencia</t>
        </is>
      </c>
      <c r="F11" t="inlineStr">
        <is>
          <t>¿Bate?</t>
        </is>
      </c>
      <c r="G11" t="inlineStr">
        <is>
          <t>Fuente</t>
        </is>
      </c>
    </row>
    <row r="12">
      <c r="A12" t="inlineStr">
        <is>
          <t>alquiler</t>
        </is>
      </c>
      <c r="B12" s="4" t="inlineStr">
        <is>
          <t>gbm</t>
        </is>
      </c>
      <c r="C12" s="4" t="n">
        <v>0.4165425939519376</v>
      </c>
      <c r="D12" s="4" t="n">
        <v>0.3991333708070327</v>
      </c>
      <c r="E12">
        <f>D12-C12</f>
        <v/>
      </c>
      <c r="F12">
        <f>IF(E12&gt;0,"sí","no")</f>
        <v/>
      </c>
      <c r="G12" t="inlineStr">
        <is>
          <t>output/v7/R5/mejor_por_region.csv; informativo, muestra ya vista en v1</t>
        </is>
      </c>
    </row>
    <row r="13">
      <c r="A13" t="inlineStr">
        <is>
          <t>compra</t>
        </is>
      </c>
      <c r="B13" s="4" t="inlineStr">
        <is>
          <t>ar4</t>
        </is>
      </c>
      <c r="C13" s="4" t="n">
        <v>3.200099844154713</v>
      </c>
      <c r="D13" s="4" t="n">
        <v>2.488880492933792</v>
      </c>
      <c r="E13">
        <f>D13-C13</f>
        <v/>
      </c>
      <c r="F13">
        <f>IF(E13&gt;0,"sí","no")</f>
        <v/>
      </c>
      <c r="G13" t="inlineStr">
        <is>
          <t>output/v7/R5/mejor_por_region.csv; informativo, muestra ya vista en v1</t>
        </is>
      </c>
    </row>
    <row r="15">
      <c r="A15" t="inlineStr">
        <is>
          <t>Mercado</t>
        </is>
      </c>
      <c r="B15" t="inlineStr">
        <is>
          <t>Spec</t>
        </is>
      </c>
      <c r="C15" t="inlineStr">
        <is>
          <t>φ (sin inferencia válida)</t>
        </is>
      </c>
      <c r="D15" t="inlineStr">
        <is>
          <t>Semivida (trim.)</t>
        </is>
      </c>
      <c r="E15" t="inlineStr">
        <is>
          <t>Fuente</t>
        </is>
      </c>
    </row>
    <row r="16">
      <c r="A16" t="inlineStr">
        <is>
          <t>alquiler</t>
        </is>
      </c>
      <c r="B16" t="inlineStr">
        <is>
          <t>A</t>
        </is>
      </c>
      <c r="C16" s="4" t="n">
        <v>-0.09922392408277871</v>
      </c>
      <c r="D16">
        <f>IF(AND(C16&lt;0,C16&gt;-1),LN(0.5)/LN(1+C16),"NA")</f>
        <v/>
      </c>
      <c r="E16" t="inlineStr">
        <is>
          <t>output/v7/R4/alquiler/velocidad_ajuste_region.csv</t>
        </is>
      </c>
    </row>
    <row r="17">
      <c r="A17" t="inlineStr">
        <is>
          <t>alquiler</t>
        </is>
      </c>
      <c r="B17" t="inlineStr">
        <is>
          <t>B</t>
        </is>
      </c>
      <c r="C17" s="4" t="n">
        <v>-0.0136774938292982</v>
      </c>
      <c r="D17">
        <f>IF(AND(C17&lt;0,C17&gt;-1),LN(0.5)/LN(1+C17),"NA")</f>
        <v/>
      </c>
      <c r="E17" t="inlineStr">
        <is>
          <t>output/v7/R4/alquiler/velocidad_ajuste_region.csv</t>
        </is>
      </c>
    </row>
    <row r="18">
      <c r="A18" t="inlineStr">
        <is>
          <t>compra</t>
        </is>
      </c>
      <c r="B18" t="inlineStr">
        <is>
          <t>A</t>
        </is>
      </c>
      <c r="C18" s="4" t="n">
        <v>-0.1785111402105758</v>
      </c>
      <c r="D18">
        <f>IF(AND(C18&lt;0,C18&gt;-1),LN(0.5)/LN(1+C18),"NA")</f>
        <v/>
      </c>
      <c r="E18" t="inlineStr">
        <is>
          <t>output/v7/R4/compra/velocidad_ajuste_region.csv</t>
        </is>
      </c>
    </row>
    <row r="19">
      <c r="A19" t="inlineStr">
        <is>
          <t>compra</t>
        </is>
      </c>
      <c r="B19" t="inlineStr">
        <is>
          <t>B</t>
        </is>
      </c>
      <c r="C19" s="4" t="n">
        <v>-0.06643462997897651</v>
      </c>
      <c r="D19">
        <f>IF(AND(C19&lt;0,C19&gt;-1),LN(0.5)/LN(1+C19),"NA")</f>
        <v/>
      </c>
      <c r="E19" t="inlineStr">
        <is>
          <t>output/v7/R4/compra/velocidad_ajuste_region.csv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Dosis y coste a 10 años por CCAA (v7.1, C4). Datos de entrada en azul; fuente en la nota de B2 y en la fila final.</t>
        </is>
      </c>
    </row>
    <row r="2">
      <c r="A2" t="inlineStr">
        <is>
          <t>CCAA (código INE)</t>
        </is>
      </c>
      <c r="B2" t="inlineStr">
        <is>
          <t>CCAA</t>
        </is>
      </c>
      <c r="C2" t="inlineStr">
        <is>
          <t>Instrumento</t>
        </is>
      </c>
      <c r="D2" t="inlineStr">
        <is>
          <t>Mercado</t>
        </is>
      </c>
      <c r="E2" t="inlineStr">
        <is>
          <t>Dosis (viviendas)</t>
        </is>
      </c>
      <c r="F2" t="inlineStr">
        <is>
          <t>Δ precio de mercado (%)</t>
        </is>
      </c>
      <c r="G2" t="inlineStr">
        <is>
          <t>Δ precio neto (%)</t>
        </is>
      </c>
      <c r="H2" t="inlineStr">
        <is>
          <t>Coste anual (M€) mediana</t>
        </is>
      </c>
      <c r="I2" t="inlineStr">
        <is>
          <t>p5</t>
        </is>
      </c>
      <c r="J2" t="inlineStr">
        <is>
          <t>p95</t>
        </is>
      </c>
      <c r="K2" t="inlineStr">
        <is>
          <t>Efecto por 10.000 viv. (pp)</t>
        </is>
      </c>
      <c r="L2" t="inlineStr">
        <is>
          <t>Efecto por 100 M€/año (pp)</t>
        </is>
      </c>
      <c r="M2" t="inlineStr">
        <is>
          <t>Coste por punto (M€/año)</t>
        </is>
      </c>
      <c r="N2" t="inlineStr">
        <is>
          <t>Estado del coste</t>
        </is>
      </c>
    </row>
    <row r="3">
      <c r="A3" s="5" t="inlineStr">
        <is>
          <t>01</t>
        </is>
      </c>
      <c r="B3" s="5" t="inlineStr">
        <is>
          <t>Andalucía</t>
        </is>
      </c>
      <c r="C3" s="5" t="inlineStr">
        <is>
          <t>construcción adicional</t>
        </is>
      </c>
      <c r="D3" s="5" t="inlineStr">
        <is>
          <t>alquiler</t>
        </is>
      </c>
      <c r="E3" s="5" t="n">
        <v>0</v>
      </c>
      <c r="F3" s="5" t="n">
        <v>0</v>
      </c>
      <c r="G3" s="5" t="n">
        <v>0</v>
      </c>
      <c r="H3" s="5" t="n"/>
      <c r="I3" s="5" t="n"/>
      <c r="J3" s="5" t="n"/>
      <c r="K3" s="5" t="n"/>
      <c r="L3" s="5" t="n"/>
      <c r="M3" s="5" t="n"/>
      <c r="N3" s="5" t="inlineStr">
        <is>
          <t>coste no estimable: no hay coste unitario por vivienda (suelo, obra, financiación pública) verificado ni versionado; el escenario no fija quién paga</t>
        </is>
      </c>
    </row>
    <row r="4">
      <c r="A4" s="5" t="inlineStr">
        <is>
          <t>01</t>
        </is>
      </c>
      <c r="B4" s="5" t="inlineStr">
        <is>
          <t>Andalucía</t>
        </is>
      </c>
      <c r="C4" s="5" t="inlineStr">
        <is>
          <t>construcción adicional</t>
        </is>
      </c>
      <c r="D4" s="5" t="inlineStr">
        <is>
          <t>compra</t>
        </is>
      </c>
      <c r="E4" s="5" t="n">
        <v>0</v>
      </c>
      <c r="F4" s="5" t="n">
        <v>0</v>
      </c>
      <c r="G4" s="5" t="n">
        <v>0</v>
      </c>
      <c r="H4" s="5" t="n"/>
      <c r="I4" s="5" t="n"/>
      <c r="J4" s="5" t="n"/>
      <c r="K4" s="5" t="n"/>
      <c r="L4" s="5" t="n"/>
      <c r="M4" s="5" t="n"/>
      <c r="N4" s="5" t="inlineStr">
        <is>
          <t>coste no estimable: no hay coste unitario por vivienda (suelo, obra, financiación pública) verificado ni versionado; el escenario no fija quién paga</t>
        </is>
      </c>
    </row>
    <row r="5">
      <c r="A5" s="5" t="inlineStr">
        <is>
          <t>01</t>
        </is>
      </c>
      <c r="B5" s="5" t="inlineStr">
        <is>
          <t>Andalucía</t>
        </is>
      </c>
      <c r="C5" s="5" t="inlineStr">
        <is>
          <t>movilización de vacías</t>
        </is>
      </c>
      <c r="D5" s="5" t="inlineStr">
        <is>
          <t>alquiler</t>
        </is>
      </c>
      <c r="E5" s="5" t="n">
        <v>104104.6459</v>
      </c>
      <c r="F5" s="5" t="n">
        <v>-3.1603</v>
      </c>
      <c r="G5" s="5" t="n">
        <v>-3.1603</v>
      </c>
      <c r="H5" s="5" t="n"/>
      <c r="I5" s="5" t="n"/>
      <c r="J5" s="5" t="n"/>
      <c r="K5" s="5" t="n">
        <v>-0.3059</v>
      </c>
      <c r="L5" s="5" t="n"/>
      <c r="M5" s="5" t="n"/>
      <c r="N5" s="5" t="inlineStr">
        <is>
          <t>coste no estimable: no hay coste unitario verificado de movilización (incentivo, rehabilitación, recargo del IBI) ni reparto entre recaudación y gasto</t>
        </is>
      </c>
    </row>
    <row r="6">
      <c r="A6" s="5" t="inlineStr">
        <is>
          <t>01</t>
        </is>
      </c>
      <c r="B6" s="5" t="inlineStr">
        <is>
          <t>Andalucía</t>
        </is>
      </c>
      <c r="C6" s="5" t="inlineStr">
        <is>
          <t>movilización de vacías</t>
        </is>
      </c>
      <c r="D6" s="5" t="inlineStr">
        <is>
          <t>compra</t>
        </is>
      </c>
      <c r="E6" s="5" t="n">
        <v>104104.6459</v>
      </c>
      <c r="F6" s="5" t="n">
        <v>-1.1241</v>
      </c>
      <c r="G6" s="5" t="n">
        <v>-1.1241</v>
      </c>
      <c r="H6" s="5" t="n"/>
      <c r="I6" s="5" t="n"/>
      <c r="J6" s="5" t="n"/>
      <c r="K6" s="5" t="n">
        <v>-0.108</v>
      </c>
      <c r="L6" s="5" t="n"/>
      <c r="M6" s="5" t="n"/>
      <c r="N6" s="5" t="inlineStr">
        <is>
          <t>coste no estimable: no hay coste unitario verificado de movilización (incentivo, rehabilitación, recargo del IBI) ni reparto entre recaudación y gasto</t>
        </is>
      </c>
    </row>
    <row r="7">
      <c r="A7" s="5" t="inlineStr">
        <is>
          <t>01</t>
        </is>
      </c>
      <c r="B7" s="5" t="inlineStr">
        <is>
          <t>Andalucía</t>
        </is>
      </c>
      <c r="C7" s="5" t="inlineStr">
        <is>
          <t>vivienda pública o asequible</t>
        </is>
      </c>
      <c r="D7" s="5" t="inlineStr">
        <is>
          <t>alquiler</t>
        </is>
      </c>
      <c r="E7" s="5" t="n">
        <v>52944.317</v>
      </c>
      <c r="F7" s="5" t="n">
        <v>-2.9615</v>
      </c>
      <c r="G7" s="5" t="n">
        <v>-2.9615</v>
      </c>
      <c r="H7" s="5" t="n"/>
      <c r="I7" s="5" t="n"/>
      <c r="J7" s="5" t="n"/>
      <c r="K7" s="5" t="n">
        <v>-0.5598</v>
      </c>
      <c r="L7" s="5" t="n"/>
      <c r="M7" s="5" t="n"/>
      <c r="N7" s="5" t="inlineStr">
        <is>
          <t>coste no estimable: no hay coste unitario verificado por vivienda pública (v5 D1: «coste unitario sin dato verificado»)</t>
        </is>
      </c>
    </row>
    <row r="8">
      <c r="A8" s="5" t="inlineStr">
        <is>
          <t>01</t>
        </is>
      </c>
      <c r="B8" s="5" t="inlineStr">
        <is>
          <t>Andalucía</t>
        </is>
      </c>
      <c r="C8" s="5" t="inlineStr">
        <is>
          <t>vivienda pública o asequible</t>
        </is>
      </c>
      <c r="D8" s="5" t="inlineStr">
        <is>
          <t>compra</t>
        </is>
      </c>
      <c r="E8" s="5" t="n">
        <v>52944.317</v>
      </c>
      <c r="F8" s="5" t="n">
        <v>-0.574</v>
      </c>
      <c r="G8" s="5" t="n">
        <v>-0.574</v>
      </c>
      <c r="H8" s="5" t="n"/>
      <c r="I8" s="5" t="n"/>
      <c r="J8" s="5" t="n"/>
      <c r="K8" s="5" t="n">
        <v>-0.108</v>
      </c>
      <c r="L8" s="5" t="n"/>
      <c r="M8" s="5" t="n"/>
      <c r="N8" s="5" t="inlineStr">
        <is>
          <t>coste no estimable: no hay coste unitario verificado por vivienda pública (v5 D1: «coste unitario sin dato verificado»)</t>
        </is>
      </c>
    </row>
    <row r="9">
      <c r="A9" s="5" t="inlineStr">
        <is>
          <t>01</t>
        </is>
      </c>
      <c r="B9" s="5" t="inlineStr">
        <is>
          <t>Andalucía</t>
        </is>
      </c>
      <c r="C9" s="5" t="inlineStr">
        <is>
          <t>regulación local de turísticos</t>
        </is>
      </c>
      <c r="D9" s="5" t="inlineStr">
        <is>
          <t>alquiler</t>
        </is>
      </c>
      <c r="E9" s="5" t="n">
        <v>15773.2937</v>
      </c>
      <c r="F9" s="5" t="n">
        <v>-0.9661</v>
      </c>
      <c r="G9" s="5" t="n">
        <v>-0.9661</v>
      </c>
      <c r="H9" s="5" t="n"/>
      <c r="I9" s="5" t="n"/>
      <c r="J9" s="5" t="n"/>
      <c r="K9" s="5" t="n">
        <v>-0.6201</v>
      </c>
      <c r="L9" s="5" t="n"/>
      <c r="M9" s="5" t="n"/>
      <c r="N9" s="5" t="inlineStr">
        <is>
          <t>coste no estimable: regulación sin coste fiscal directo verificable (inspección y compensaciones sin base)</t>
        </is>
      </c>
    </row>
    <row r="10">
      <c r="A10" s="5" t="inlineStr">
        <is>
          <t>01</t>
        </is>
      </c>
      <c r="B10" s="5" t="inlineStr">
        <is>
          <t>Andalucía</t>
        </is>
      </c>
      <c r="C10" s="5" t="inlineStr">
        <is>
          <t>regulación local de turísticos</t>
        </is>
      </c>
      <c r="D10" s="5" t="inlineStr">
        <is>
          <t>compra</t>
        </is>
      </c>
      <c r="E10" s="5" t="n">
        <v>15773.2937</v>
      </c>
      <c r="F10" s="5" t="n">
        <v>-0.1715</v>
      </c>
      <c r="G10" s="5" t="n">
        <v>-0.1715</v>
      </c>
      <c r="H10" s="5" t="n"/>
      <c r="I10" s="5" t="n"/>
      <c r="J10" s="5" t="n"/>
      <c r="K10" s="5" t="n">
        <v>-0.108</v>
      </c>
      <c r="L10" s="5" t="n"/>
      <c r="M10" s="5" t="n"/>
      <c r="N10" s="5" t="inlineStr">
        <is>
          <t>coste no estimable: regulación sin coste fiscal directo verificable (inspección y compensaciones sin base)</t>
        </is>
      </c>
    </row>
    <row r="11">
      <c r="A11" s="5" t="inlineStr">
        <is>
          <t>01</t>
        </is>
      </c>
      <c r="B11" s="5" t="inlineStr">
        <is>
          <t>Andalucía</t>
        </is>
      </c>
      <c r="C11" s="5" t="inlineStr">
        <is>
          <t>ayudas a la demanda</t>
        </is>
      </c>
      <c r="D11" s="5" t="inlineStr">
        <is>
          <t>alquiler</t>
        </is>
      </c>
      <c r="E11" s="5" t="n">
        <v>142848</v>
      </c>
      <c r="F11" s="5" t="n">
        <v>4.3654</v>
      </c>
      <c r="G11" s="5" t="n">
        <v>-5.3683</v>
      </c>
      <c r="H11" s="5" t="n"/>
      <c r="I11" s="5" t="n"/>
      <c r="J11" s="5" t="n"/>
      <c r="K11" s="5" t="n"/>
      <c r="L11" s="5" t="n"/>
      <c r="M11" s="5" t="n"/>
      <c r="N11" s="5" t="inlineStr">
        <is>
          <t>coste no estimable: el panel v7 no tiene renta media del alquiler en euros por CCAA ni número de hogares beneficiarios</t>
        </is>
      </c>
    </row>
    <row r="12">
      <c r="A12" s="5" t="inlineStr">
        <is>
          <t>01</t>
        </is>
      </c>
      <c r="B12" s="5" t="inlineStr">
        <is>
          <t>Andalucía</t>
        </is>
      </c>
      <c r="C12" s="5" t="inlineStr">
        <is>
          <t>ayudas a la demanda</t>
        </is>
      </c>
      <c r="D12" s="5" t="inlineStr">
        <is>
          <t>compra</t>
        </is>
      </c>
      <c r="E12" s="5" t="n">
        <v>142848</v>
      </c>
      <c r="F12" s="5" t="n">
        <v>4.3654</v>
      </c>
      <c r="G12" s="5" t="n">
        <v>-5.3683</v>
      </c>
      <c r="H12" s="5" t="n">
        <v>2405.2777</v>
      </c>
      <c r="I12" s="5" t="n">
        <v>1317.508</v>
      </c>
      <c r="J12" s="5" t="n">
        <v>3440.7783</v>
      </c>
      <c r="K12" s="5" t="n"/>
      <c r="L12" s="5" t="n">
        <v>0.1919</v>
      </c>
      <c r="M12" s="5" t="n">
        <v>431.3037</v>
      </c>
      <c r="N12" s="5" t="inlineStr">
        <is>
          <t>estimado (C4)</t>
        </is>
      </c>
    </row>
    <row r="13">
      <c r="A13" s="5" t="inlineStr">
        <is>
          <t>01</t>
        </is>
      </c>
      <c r="B13" s="5" t="inlineStr">
        <is>
          <t>Andalucía</t>
        </is>
      </c>
      <c r="C13" s="5" t="inlineStr">
        <is>
          <t>rebaja de ITP/IVA (vivienda nueva)</t>
        </is>
      </c>
      <c r="D13" s="5" t="inlineStr">
        <is>
          <t>compra</t>
        </is>
      </c>
      <c r="E13" s="5" t="n">
        <v>142848</v>
      </c>
      <c r="F13" s="5" t="n">
        <v>1.057</v>
      </c>
      <c r="G13" s="5" t="n">
        <v>-1.2082</v>
      </c>
      <c r="H13" s="5" t="n">
        <v>595.9775</v>
      </c>
      <c r="I13" s="5" t="n">
        <v>271.7094</v>
      </c>
      <c r="J13" s="5" t="n">
        <v>917.3905</v>
      </c>
      <c r="K13" s="5" t="n"/>
      <c r="L13" s="5" t="n">
        <v>0.1919</v>
      </c>
      <c r="M13" s="5" t="n">
        <v>459.7137</v>
      </c>
      <c r="N13" s="5" t="inlineStr">
        <is>
          <t>estimado (C4)</t>
        </is>
      </c>
    </row>
    <row r="14">
      <c r="A14" s="5" t="inlineStr">
        <is>
          <t>01</t>
        </is>
      </c>
      <c r="B14" s="5" t="inlineStr">
        <is>
          <t>Andalucía</t>
        </is>
      </c>
      <c r="C14" s="5" t="inlineStr">
        <is>
          <t>rebaja de impuestos y costes de construcción</t>
        </is>
      </c>
      <c r="D14" s="5" t="inlineStr">
        <is>
          <t>alquiler</t>
        </is>
      </c>
      <c r="E14" s="5" t="n">
        <v>27454</v>
      </c>
      <c r="F14" s="5" t="n">
        <v>-1.0317</v>
      </c>
      <c r="G14" s="5" t="n">
        <v>-1.0317</v>
      </c>
      <c r="H14" s="5" t="n"/>
      <c r="I14" s="5" t="n"/>
      <c r="J14" s="5" t="n"/>
      <c r="K14" s="5" t="n"/>
      <c r="L14" s="5" t="n"/>
      <c r="M14" s="5" t="n"/>
      <c r="N14" s="5" t="inlineStr">
        <is>
          <t>coste anual igual al de compra (la rebaja es una sola); el efecto en alquiler es indirecto</t>
        </is>
      </c>
    </row>
    <row r="15">
      <c r="A15" s="5" t="inlineStr">
        <is>
          <t>01</t>
        </is>
      </c>
      <c r="B15" s="5" t="inlineStr">
        <is>
          <t>Andalucía</t>
        </is>
      </c>
      <c r="C15" s="5" t="inlineStr">
        <is>
          <t>rebaja de impuestos y costes de construcción</t>
        </is>
      </c>
      <c r="D15" s="5" t="inlineStr">
        <is>
          <t>compra</t>
        </is>
      </c>
      <c r="E15" s="5" t="n">
        <v>27454</v>
      </c>
      <c r="F15" s="5" t="n">
        <v>-1.0317</v>
      </c>
      <c r="G15" s="5" t="n">
        <v>-1.0317</v>
      </c>
      <c r="H15" s="5" t="n">
        <v>97.7047</v>
      </c>
      <c r="I15" s="5" t="n">
        <v>51.7154</v>
      </c>
      <c r="J15" s="5" t="n">
        <v>160.8072</v>
      </c>
      <c r="K15" s="5" t="n"/>
      <c r="L15" s="5" t="n">
        <v>-1.1071</v>
      </c>
      <c r="M15" s="5" t="n">
        <v>90.32299999999999</v>
      </c>
      <c r="N15" s="5" t="inlineStr">
        <is>
          <t>estimado (C4)</t>
        </is>
      </c>
    </row>
    <row r="16">
      <c r="A16" s="5" t="inlineStr">
        <is>
          <t>02</t>
        </is>
      </c>
      <c r="B16" s="5" t="inlineStr">
        <is>
          <t>Aragón</t>
        </is>
      </c>
      <c r="C16" s="5" t="inlineStr">
        <is>
          <t>construcción adicional</t>
        </is>
      </c>
      <c r="D16" s="5" t="inlineStr">
        <is>
          <t>alquiler</t>
        </is>
      </c>
      <c r="E16" s="5" t="n">
        <v>0</v>
      </c>
      <c r="F16" s="5" t="n">
        <v>0</v>
      </c>
      <c r="G16" s="5" t="n">
        <v>0</v>
      </c>
      <c r="H16" s="5" t="n"/>
      <c r="I16" s="5" t="n"/>
      <c r="J16" s="5" t="n"/>
      <c r="K16" s="5" t="n"/>
      <c r="L16" s="5" t="n"/>
      <c r="M16" s="5" t="n"/>
      <c r="N16" s="5" t="inlineStr">
        <is>
          <t>coste no estimable: no hay coste unitario por vivienda (suelo, obra, financiación pública) verificado ni versionado; el escenario no fija quién paga</t>
        </is>
      </c>
    </row>
    <row r="17">
      <c r="A17" s="5" t="inlineStr">
        <is>
          <t>02</t>
        </is>
      </c>
      <c r="B17" s="5" t="inlineStr">
        <is>
          <t>Aragón</t>
        </is>
      </c>
      <c r="C17" s="5" t="inlineStr">
        <is>
          <t>construcción adicional</t>
        </is>
      </c>
      <c r="D17" s="5" t="inlineStr">
        <is>
          <t>compra</t>
        </is>
      </c>
      <c r="E17" s="5" t="n">
        <v>0</v>
      </c>
      <c r="F17" s="5" t="n">
        <v>0</v>
      </c>
      <c r="G17" s="5" t="n">
        <v>0</v>
      </c>
      <c r="H17" s="5" t="n"/>
      <c r="I17" s="5" t="n"/>
      <c r="J17" s="5" t="n"/>
      <c r="K17" s="5" t="n"/>
      <c r="L17" s="5" t="n"/>
      <c r="M17" s="5" t="n"/>
      <c r="N17" s="5" t="inlineStr">
        <is>
          <t>coste no estimable: no hay coste unitario por vivienda (suelo, obra, financiación pública) verificado ni versionado; el escenario no fija quién paga</t>
        </is>
      </c>
    </row>
    <row r="18">
      <c r="A18" s="5" t="inlineStr">
        <is>
          <t>02</t>
        </is>
      </c>
      <c r="B18" s="5" t="inlineStr">
        <is>
          <t>Aragón</t>
        </is>
      </c>
      <c r="C18" s="5" t="inlineStr">
        <is>
          <t>movilización de vacías</t>
        </is>
      </c>
      <c r="D18" s="5" t="inlineStr">
        <is>
          <t>alquiler</t>
        </is>
      </c>
      <c r="E18" s="5" t="n">
        <v>23336.3772</v>
      </c>
      <c r="F18" s="5" t="n">
        <v>-4.0332</v>
      </c>
      <c r="G18" s="5" t="n">
        <v>-4.0332</v>
      </c>
      <c r="H18" s="5" t="n"/>
      <c r="I18" s="5" t="n"/>
      <c r="J18" s="5" t="n"/>
      <c r="K18" s="5" t="n">
        <v>-1.7636</v>
      </c>
      <c r="L18" s="5" t="n"/>
      <c r="M18" s="5" t="n"/>
      <c r="N18" s="5" t="inlineStr">
        <is>
          <t>coste no estimable: no hay coste unitario verificado de movilización (incentivo, rehabilitación, recargo del IBI) ni reparto entre recaudación y gasto</t>
        </is>
      </c>
    </row>
    <row r="19">
      <c r="A19" s="5" t="inlineStr">
        <is>
          <t>02</t>
        </is>
      </c>
      <c r="B19" s="5" t="inlineStr">
        <is>
          <t>Aragón</t>
        </is>
      </c>
      <c r="C19" s="5" t="inlineStr">
        <is>
          <t>movilización de vacías</t>
        </is>
      </c>
      <c r="D19" s="5" t="inlineStr">
        <is>
          <t>compra</t>
        </is>
      </c>
      <c r="E19" s="5" t="n">
        <v>23336.3772</v>
      </c>
      <c r="F19" s="5" t="n">
        <v>-1.4377</v>
      </c>
      <c r="G19" s="5" t="n">
        <v>-1.4377</v>
      </c>
      <c r="H19" s="5" t="n"/>
      <c r="I19" s="5" t="n"/>
      <c r="J19" s="5" t="n"/>
      <c r="K19" s="5" t="n">
        <v>-0.6143999999999999</v>
      </c>
      <c r="L19" s="5" t="n"/>
      <c r="M19" s="5" t="n"/>
      <c r="N19" s="5" t="inlineStr">
        <is>
          <t>coste no estimable: no hay coste unitario verificado de movilización (incentivo, rehabilitación, recargo del IBI) ni reparto entre recaudación y gasto</t>
        </is>
      </c>
    </row>
    <row r="20">
      <c r="A20" s="5" t="inlineStr">
        <is>
          <t>02</t>
        </is>
      </c>
      <c r="B20" s="5" t="inlineStr">
        <is>
          <t>Aragón</t>
        </is>
      </c>
      <c r="C20" s="5" t="inlineStr">
        <is>
          <t>vivienda pública o asequible</t>
        </is>
      </c>
      <c r="D20" s="5" t="inlineStr">
        <is>
          <t>alquiler</t>
        </is>
      </c>
      <c r="E20" s="5" t="n">
        <v>7085.0853</v>
      </c>
      <c r="F20" s="5" t="n">
        <v>-2.2711</v>
      </c>
      <c r="G20" s="5" t="n">
        <v>-2.2711</v>
      </c>
      <c r="H20" s="5" t="n"/>
      <c r="I20" s="5" t="n"/>
      <c r="J20" s="5" t="n"/>
      <c r="K20" s="5" t="n">
        <v>-3.1688</v>
      </c>
      <c r="L20" s="5" t="n"/>
      <c r="M20" s="5" t="n"/>
      <c r="N20" s="5" t="inlineStr">
        <is>
          <t>coste no estimable: no hay coste unitario verificado por vivienda pública (v5 D1: «coste unitario sin dato verificado»)</t>
        </is>
      </c>
    </row>
    <row r="21">
      <c r="A21" s="5" t="inlineStr">
        <is>
          <t>02</t>
        </is>
      </c>
      <c r="B21" s="5" t="inlineStr">
        <is>
          <t>Aragón</t>
        </is>
      </c>
      <c r="C21" s="5" t="inlineStr">
        <is>
          <t>vivienda pública o asequible</t>
        </is>
      </c>
      <c r="D21" s="5" t="inlineStr">
        <is>
          <t>compra</t>
        </is>
      </c>
      <c r="E21" s="5" t="n">
        <v>7085.0853</v>
      </c>
      <c r="F21" s="5" t="n">
        <v>-0.4428</v>
      </c>
      <c r="G21" s="5" t="n">
        <v>-0.4428</v>
      </c>
      <c r="H21" s="5" t="n"/>
      <c r="I21" s="5" t="n"/>
      <c r="J21" s="5" t="n"/>
      <c r="K21" s="5" t="n">
        <v>-0.6143999999999999</v>
      </c>
      <c r="L21" s="5" t="n"/>
      <c r="M21" s="5" t="n"/>
      <c r="N21" s="5" t="inlineStr">
        <is>
          <t>coste no estimable: no hay coste unitario verificado por vivienda pública (v5 D1: «coste unitario sin dato verificado»)</t>
        </is>
      </c>
    </row>
    <row r="22">
      <c r="A22" s="5" t="inlineStr">
        <is>
          <t>02</t>
        </is>
      </c>
      <c r="B22" s="5" t="inlineStr">
        <is>
          <t>Aragón</t>
        </is>
      </c>
      <c r="C22" s="5" t="inlineStr">
        <is>
          <t>regulación local de turísticos</t>
        </is>
      </c>
      <c r="D22" s="5" t="inlineStr">
        <is>
          <t>alquiler</t>
        </is>
      </c>
      <c r="E22" s="5" t="n">
        <v>649.8093</v>
      </c>
      <c r="F22" s="5" t="n">
        <v>-0.2263</v>
      </c>
      <c r="G22" s="5" t="n">
        <v>-0.2263</v>
      </c>
      <c r="H22" s="5" t="n"/>
      <c r="I22" s="5" t="n"/>
      <c r="J22" s="5" t="n"/>
      <c r="K22" s="5" t="n">
        <v>-3.5385</v>
      </c>
      <c r="L22" s="5" t="n"/>
      <c r="M22" s="5" t="n"/>
      <c r="N22" s="5" t="inlineStr">
        <is>
          <t>coste no estimable: regulación sin coste fiscal directo verificable (inspección y compensaciones sin base)</t>
        </is>
      </c>
    </row>
    <row r="23">
      <c r="A23" s="5" t="inlineStr">
        <is>
          <t>02</t>
        </is>
      </c>
      <c r="B23" s="5" t="inlineStr">
        <is>
          <t>Aragón</t>
        </is>
      </c>
      <c r="C23" s="5" t="inlineStr">
        <is>
          <t>regulación local de turísticos</t>
        </is>
      </c>
      <c r="D23" s="5" t="inlineStr">
        <is>
          <t>compra</t>
        </is>
      </c>
      <c r="E23" s="5" t="n">
        <v>649.8093</v>
      </c>
      <c r="F23" s="5" t="n">
        <v>-0.0396</v>
      </c>
      <c r="G23" s="5" t="n">
        <v>-0.0396</v>
      </c>
      <c r="H23" s="5" t="n"/>
      <c r="I23" s="5" t="n"/>
      <c r="J23" s="5" t="n"/>
      <c r="K23" s="5" t="n">
        <v>-0.6143999999999999</v>
      </c>
      <c r="L23" s="5" t="n"/>
      <c r="M23" s="5" t="n"/>
      <c r="N23" s="5" t="inlineStr">
        <is>
          <t>coste no estimable: regulación sin coste fiscal directo verificable (inspección y compensaciones sin base)</t>
        </is>
      </c>
    </row>
    <row r="24">
      <c r="A24" s="5" t="inlineStr">
        <is>
          <t>02</t>
        </is>
      </c>
      <c r="B24" s="5" t="inlineStr">
        <is>
          <t>Aragón</t>
        </is>
      </c>
      <c r="C24" s="5" t="inlineStr">
        <is>
          <t>ayudas a la demanda</t>
        </is>
      </c>
      <c r="D24" s="5" t="inlineStr">
        <is>
          <t>alquiler</t>
        </is>
      </c>
      <c r="E24" s="5" t="n">
        <v>18973</v>
      </c>
      <c r="F24" s="5" t="n">
        <v>4.3692</v>
      </c>
      <c r="G24" s="5" t="n">
        <v>-5.2532</v>
      </c>
      <c r="H24" s="5" t="n"/>
      <c r="I24" s="5" t="n"/>
      <c r="J24" s="5" t="n"/>
      <c r="K24" s="5" t="n"/>
      <c r="L24" s="5" t="n"/>
      <c r="M24" s="5" t="n"/>
      <c r="N24" s="5" t="inlineStr">
        <is>
          <t>coste no estimable: el panel v7 no tiene renta media del alquiler en euros por CCAA ni número de hogares beneficiarios</t>
        </is>
      </c>
    </row>
    <row r="25">
      <c r="A25" s="5" t="inlineStr">
        <is>
          <t>02</t>
        </is>
      </c>
      <c r="B25" s="5" t="inlineStr">
        <is>
          <t>Aragón</t>
        </is>
      </c>
      <c r="C25" s="5" t="inlineStr">
        <is>
          <t>ayudas a la demanda</t>
        </is>
      </c>
      <c r="D25" s="5" t="inlineStr">
        <is>
          <t>compra</t>
        </is>
      </c>
      <c r="E25" s="5" t="n">
        <v>18973</v>
      </c>
      <c r="F25" s="5" t="n">
        <v>4.3692</v>
      </c>
      <c r="G25" s="5" t="n">
        <v>-5.2532</v>
      </c>
      <c r="H25" s="5" t="n">
        <v>280.7918</v>
      </c>
      <c r="I25" s="5" t="n">
        <v>155.1709</v>
      </c>
      <c r="J25" s="5" t="n">
        <v>406.868</v>
      </c>
      <c r="K25" s="5" t="n"/>
      <c r="L25" s="5" t="n">
        <v>1.6499</v>
      </c>
      <c r="M25" s="5" t="n">
        <v>51.3424</v>
      </c>
      <c r="N25" s="5" t="inlineStr">
        <is>
          <t>estimado (C4)</t>
        </is>
      </c>
    </row>
    <row r="26">
      <c r="A26" s="5" t="inlineStr">
        <is>
          <t>02</t>
        </is>
      </c>
      <c r="B26" s="5" t="inlineStr">
        <is>
          <t>Aragón</t>
        </is>
      </c>
      <c r="C26" s="5" t="inlineStr">
        <is>
          <t>rebaja de ITP/IVA (vivienda nueva)</t>
        </is>
      </c>
      <c r="D26" s="5" t="inlineStr">
        <is>
          <t>compra</t>
        </is>
      </c>
      <c r="E26" s="5" t="n">
        <v>18973</v>
      </c>
      <c r="F26" s="5" t="n">
        <v>1.0723</v>
      </c>
      <c r="G26" s="5" t="n">
        <v>-1.2119</v>
      </c>
      <c r="H26" s="5" t="n">
        <v>70.1221</v>
      </c>
      <c r="I26" s="5" t="n">
        <v>32.3265</v>
      </c>
      <c r="J26" s="5" t="n">
        <v>108.3033</v>
      </c>
      <c r="K26" s="5" t="n"/>
      <c r="L26" s="5" t="n">
        <v>1.6499</v>
      </c>
      <c r="M26" s="5" t="n">
        <v>54.7333</v>
      </c>
      <c r="N26" s="5" t="inlineStr">
        <is>
          <t>estimado (C4)</t>
        </is>
      </c>
    </row>
    <row r="27">
      <c r="A27" s="5" t="inlineStr">
        <is>
          <t>02</t>
        </is>
      </c>
      <c r="B27" s="5" t="inlineStr">
        <is>
          <t>Aragón</t>
        </is>
      </c>
      <c r="C27" s="5" t="inlineStr">
        <is>
          <t>rebaja de impuestos y costes de construcción</t>
        </is>
      </c>
      <c r="D27" s="5" t="inlineStr">
        <is>
          <t>alquiler</t>
        </is>
      </c>
      <c r="E27" s="5" t="n">
        <v>4031</v>
      </c>
      <c r="F27" s="5" t="n">
        <v>-1.0456</v>
      </c>
      <c r="G27" s="5" t="n">
        <v>-1.0456</v>
      </c>
      <c r="H27" s="5" t="n"/>
      <c r="I27" s="5" t="n"/>
      <c r="J27" s="5" t="n"/>
      <c r="K27" s="5" t="n"/>
      <c r="L27" s="5" t="n"/>
      <c r="M27" s="5" t="n"/>
      <c r="N27" s="5" t="inlineStr">
        <is>
          <t>coste anual igual al de compra (la rebaja es una sola); el efecto en alquiler es indirecto</t>
        </is>
      </c>
    </row>
    <row r="28">
      <c r="A28" s="5" t="inlineStr">
        <is>
          <t>02</t>
        </is>
      </c>
      <c r="B28" s="5" t="inlineStr">
        <is>
          <t>Aragón</t>
        </is>
      </c>
      <c r="C28" s="5" t="inlineStr">
        <is>
          <t>rebaja de impuestos y costes de construcción</t>
        </is>
      </c>
      <c r="D28" s="5" t="inlineStr">
        <is>
          <t>compra</t>
        </is>
      </c>
      <c r="E28" s="5" t="n">
        <v>4031</v>
      </c>
      <c r="F28" s="5" t="n">
        <v>-1.0456</v>
      </c>
      <c r="G28" s="5" t="n">
        <v>-1.0456</v>
      </c>
      <c r="H28" s="5" t="n">
        <v>12.9301</v>
      </c>
      <c r="I28" s="5" t="n">
        <v>6.8055</v>
      </c>
      <c r="J28" s="5" t="n">
        <v>21.0536</v>
      </c>
      <c r="K28" s="5" t="n"/>
      <c r="L28" s="5" t="n">
        <v>-8.406599999999999</v>
      </c>
      <c r="M28" s="5" t="n">
        <v>11.8955</v>
      </c>
      <c r="N28" s="5" t="inlineStr">
        <is>
          <t>estimado (C4)</t>
        </is>
      </c>
    </row>
    <row r="29">
      <c r="A29" s="5" t="inlineStr">
        <is>
          <t>03</t>
        </is>
      </c>
      <c r="B29" s="5" t="inlineStr">
        <is>
          <t>Asturias</t>
        </is>
      </c>
      <c r="C29" s="5" t="inlineStr">
        <is>
          <t>construcción adicional</t>
        </is>
      </c>
      <c r="D29" s="5" t="inlineStr">
        <is>
          <t>alquiler</t>
        </is>
      </c>
      <c r="E29" s="5" t="n">
        <v>0</v>
      </c>
      <c r="F29" s="5" t="n">
        <v>0</v>
      </c>
      <c r="G29" s="5" t="n">
        <v>0</v>
      </c>
      <c r="H29" s="5" t="n"/>
      <c r="I29" s="5" t="n"/>
      <c r="J29" s="5" t="n"/>
      <c r="K29" s="5" t="n"/>
      <c r="L29" s="5" t="n"/>
      <c r="M29" s="5" t="n"/>
      <c r="N29" s="5" t="inlineStr">
        <is>
          <t>coste no estimable: no hay coste unitario por vivienda (suelo, obra, financiación pública) verificado ni versionado; el escenario no fija quién paga</t>
        </is>
      </c>
    </row>
    <row r="30">
      <c r="A30" s="5" t="inlineStr">
        <is>
          <t>03</t>
        </is>
      </c>
      <c r="B30" s="5" t="inlineStr">
        <is>
          <t>Asturias</t>
        </is>
      </c>
      <c r="C30" s="5" t="inlineStr">
        <is>
          <t>construcción adicional</t>
        </is>
      </c>
      <c r="D30" s="5" t="inlineStr">
        <is>
          <t>compra</t>
        </is>
      </c>
      <c r="E30" s="5" t="n">
        <v>0</v>
      </c>
      <c r="F30" s="5" t="n">
        <v>0</v>
      </c>
      <c r="G30" s="5" t="n">
        <v>0</v>
      </c>
      <c r="H30" s="5" t="n"/>
      <c r="I30" s="5" t="n"/>
      <c r="J30" s="5" t="n"/>
      <c r="K30" s="5" t="n"/>
      <c r="L30" s="5" t="n"/>
      <c r="M30" s="5" t="n"/>
      <c r="N30" s="5" t="inlineStr">
        <is>
          <t>coste no estimable: no hay coste unitario por vivienda (suelo, obra, financiación pública) verificado ni versionado; el escenario no fija quién paga</t>
        </is>
      </c>
    </row>
    <row r="31">
      <c r="A31" s="5" t="inlineStr">
        <is>
          <t>03</t>
        </is>
      </c>
      <c r="B31" s="5" t="inlineStr">
        <is>
          <t>Asturias</t>
        </is>
      </c>
      <c r="C31" s="5" t="inlineStr">
        <is>
          <t>movilización de vacías</t>
        </is>
      </c>
      <c r="D31" s="5" t="inlineStr">
        <is>
          <t>alquiler</t>
        </is>
      </c>
      <c r="E31" s="5" t="n">
        <v>18269.3241</v>
      </c>
      <c r="F31" s="5" t="n">
        <v>-3.7759</v>
      </c>
      <c r="G31" s="5" t="n">
        <v>-3.7759</v>
      </c>
      <c r="H31" s="5" t="n"/>
      <c r="I31" s="5" t="n"/>
      <c r="J31" s="5" t="n"/>
      <c r="K31" s="5" t="n">
        <v>-2.1087</v>
      </c>
      <c r="L31" s="5" t="n"/>
      <c r="M31" s="5" t="n"/>
      <c r="N31" s="5" t="inlineStr">
        <is>
          <t>coste no estimable: no hay coste unitario verificado de movilización (incentivo, rehabilitación, recargo del IBI) ni reparto entre recaudación y gasto</t>
        </is>
      </c>
    </row>
    <row r="32">
      <c r="A32" s="5" t="inlineStr">
        <is>
          <t>03</t>
        </is>
      </c>
      <c r="B32" s="5" t="inlineStr">
        <is>
          <t>Asturias</t>
        </is>
      </c>
      <c r="C32" s="5" t="inlineStr">
        <is>
          <t>movilización de vacías</t>
        </is>
      </c>
      <c r="D32" s="5" t="inlineStr">
        <is>
          <t>compra</t>
        </is>
      </c>
      <c r="E32" s="5" t="n">
        <v>18269.3241</v>
      </c>
      <c r="F32" s="5" t="n">
        <v>-1.3406</v>
      </c>
      <c r="G32" s="5" t="n">
        <v>-1.3406</v>
      </c>
      <c r="H32" s="5" t="n"/>
      <c r="I32" s="5" t="n"/>
      <c r="J32" s="5" t="n"/>
      <c r="K32" s="5" t="n">
        <v>-0.7372</v>
      </c>
      <c r="L32" s="5" t="n"/>
      <c r="M32" s="5" t="n"/>
      <c r="N32" s="5" t="inlineStr">
        <is>
          <t>coste no estimable: no hay coste unitario verificado de movilización (incentivo, rehabilitación, recargo del IBI) ni reparto entre recaudación y gasto</t>
        </is>
      </c>
    </row>
    <row r="33">
      <c r="A33" s="5" t="inlineStr">
        <is>
          <t>03</t>
        </is>
      </c>
      <c r="B33" s="5" t="inlineStr">
        <is>
          <t>Asturias</t>
        </is>
      </c>
      <c r="C33" s="5" t="inlineStr">
        <is>
          <t>vivienda pública o asequible</t>
        </is>
      </c>
      <c r="D33" s="5" t="inlineStr">
        <is>
          <t>alquiler</t>
        </is>
      </c>
      <c r="E33" s="5" t="n">
        <v>2090.4314</v>
      </c>
      <c r="F33" s="5" t="n">
        <v>-0.8090000000000001</v>
      </c>
      <c r="G33" s="5" t="n">
        <v>-0.8090000000000001</v>
      </c>
      <c r="H33" s="5" t="n"/>
      <c r="I33" s="5" t="n"/>
      <c r="J33" s="5" t="n"/>
      <c r="K33" s="5" t="n">
        <v>-3.8136</v>
      </c>
      <c r="L33" s="5" t="n"/>
      <c r="M33" s="5" t="n"/>
      <c r="N33" s="5" t="inlineStr">
        <is>
          <t>coste no estimable: no hay coste unitario verificado por vivienda pública (v5 D1: «coste unitario sin dato verificado»)</t>
        </is>
      </c>
    </row>
    <row r="34">
      <c r="A34" s="5" t="inlineStr">
        <is>
          <t>03</t>
        </is>
      </c>
      <c r="B34" s="5" t="inlineStr">
        <is>
          <t>Asturias</t>
        </is>
      </c>
      <c r="C34" s="5" t="inlineStr">
        <is>
          <t>vivienda pública o asequible</t>
        </is>
      </c>
      <c r="D34" s="5" t="inlineStr">
        <is>
          <t>compra</t>
        </is>
      </c>
      <c r="E34" s="5" t="n">
        <v>2090.4314</v>
      </c>
      <c r="F34" s="5" t="n">
        <v>-0.1573</v>
      </c>
      <c r="G34" s="5" t="n">
        <v>-0.1573</v>
      </c>
      <c r="H34" s="5" t="n"/>
      <c r="I34" s="5" t="n"/>
      <c r="J34" s="5" t="n"/>
      <c r="K34" s="5" t="n">
        <v>-0.7372</v>
      </c>
      <c r="L34" s="5" t="n"/>
      <c r="M34" s="5" t="n"/>
      <c r="N34" s="5" t="inlineStr">
        <is>
          <t>coste no estimable: no hay coste unitario verificado por vivienda pública (v5 D1: «coste unitario sin dato verificado»)</t>
        </is>
      </c>
    </row>
    <row r="35">
      <c r="A35" s="5" t="inlineStr">
        <is>
          <t>03</t>
        </is>
      </c>
      <c r="B35" s="5" t="inlineStr">
        <is>
          <t>Asturias</t>
        </is>
      </c>
      <c r="C35" s="5" t="inlineStr">
        <is>
          <t>regulación local de turísticos</t>
        </is>
      </c>
      <c r="D35" s="5" t="inlineStr">
        <is>
          <t>alquiler</t>
        </is>
      </c>
      <c r="E35" s="5" t="n">
        <v>2125.348</v>
      </c>
      <c r="F35" s="5" t="n">
        <v>-0.8935999999999999</v>
      </c>
      <c r="G35" s="5" t="n">
        <v>-0.8935999999999999</v>
      </c>
      <c r="H35" s="5" t="n"/>
      <c r="I35" s="5" t="n"/>
      <c r="J35" s="5" t="n"/>
      <c r="K35" s="5" t="n">
        <v>-4.2476</v>
      </c>
      <c r="L35" s="5" t="n"/>
      <c r="M35" s="5" t="n"/>
      <c r="N35" s="5" t="inlineStr">
        <is>
          <t>coste no estimable: regulación sin coste fiscal directo verificable (inspección y compensaciones sin base)</t>
        </is>
      </c>
    </row>
    <row r="36">
      <c r="A36" s="5" t="inlineStr">
        <is>
          <t>03</t>
        </is>
      </c>
      <c r="B36" s="5" t="inlineStr">
        <is>
          <t>Asturias</t>
        </is>
      </c>
      <c r="C36" s="5" t="inlineStr">
        <is>
          <t>regulación local de turísticos</t>
        </is>
      </c>
      <c r="D36" s="5" t="inlineStr">
        <is>
          <t>compra</t>
        </is>
      </c>
      <c r="E36" s="5" t="n">
        <v>2125.348</v>
      </c>
      <c r="F36" s="5" t="n">
        <v>-0.1574</v>
      </c>
      <c r="G36" s="5" t="n">
        <v>-0.1574</v>
      </c>
      <c r="H36" s="5" t="n"/>
      <c r="I36" s="5" t="n"/>
      <c r="J36" s="5" t="n"/>
      <c r="K36" s="5" t="n">
        <v>-0.7372</v>
      </c>
      <c r="L36" s="5" t="n"/>
      <c r="M36" s="5" t="n"/>
      <c r="N36" s="5" t="inlineStr">
        <is>
          <t>coste no estimable: regulación sin coste fiscal directo verificable (inspección y compensaciones sin base)</t>
        </is>
      </c>
    </row>
    <row r="37">
      <c r="A37" s="5" t="inlineStr">
        <is>
          <t>03</t>
        </is>
      </c>
      <c r="B37" s="5" t="inlineStr">
        <is>
          <t>Asturias</t>
        </is>
      </c>
      <c r="C37" s="5" t="inlineStr">
        <is>
          <t>ayudas a la demanda</t>
        </is>
      </c>
      <c r="D37" s="5" t="inlineStr">
        <is>
          <t>alquiler</t>
        </is>
      </c>
      <c r="E37" s="5" t="n">
        <v>15638</v>
      </c>
      <c r="F37" s="5" t="n">
        <v>4.1407</v>
      </c>
      <c r="G37" s="5" t="n">
        <v>-5.3871</v>
      </c>
      <c r="H37" s="5" t="n"/>
      <c r="I37" s="5" t="n"/>
      <c r="J37" s="5" t="n"/>
      <c r="K37" s="5" t="n"/>
      <c r="L37" s="5" t="n"/>
      <c r="M37" s="5" t="n"/>
      <c r="N37" s="5" t="inlineStr">
        <is>
          <t>coste no estimable: el panel v7 no tiene renta media del alquiler en euros por CCAA ni número de hogares beneficiarios</t>
        </is>
      </c>
    </row>
    <row r="38">
      <c r="A38" s="5" t="inlineStr">
        <is>
          <t>03</t>
        </is>
      </c>
      <c r="B38" s="5" t="inlineStr">
        <is>
          <t>Asturias</t>
        </is>
      </c>
      <c r="C38" s="5" t="inlineStr">
        <is>
          <t>ayudas a la demanda</t>
        </is>
      </c>
      <c r="D38" s="5" t="inlineStr">
        <is>
          <t>compra</t>
        </is>
      </c>
      <c r="E38" s="5" t="n">
        <v>15638</v>
      </c>
      <c r="F38" s="5" t="n">
        <v>4.1407</v>
      </c>
      <c r="G38" s="5" t="n">
        <v>-5.3871</v>
      </c>
      <c r="H38" s="5" t="n">
        <v>232.6676</v>
      </c>
      <c r="I38" s="5" t="n">
        <v>128.851</v>
      </c>
      <c r="J38" s="5" t="n">
        <v>341.0733</v>
      </c>
      <c r="K38" s="5" t="n"/>
      <c r="L38" s="5" t="n">
        <v>1.8896</v>
      </c>
      <c r="M38" s="5" t="n">
        <v>41.422</v>
      </c>
      <c r="N38" s="5" t="inlineStr">
        <is>
          <t>estimado (C4)</t>
        </is>
      </c>
    </row>
    <row r="39">
      <c r="A39" s="5" t="inlineStr">
        <is>
          <t>03</t>
        </is>
      </c>
      <c r="B39" s="5" t="inlineStr">
        <is>
          <t>Asturias</t>
        </is>
      </c>
      <c r="C39" s="5" t="inlineStr">
        <is>
          <t>rebaja de ITP/IVA (vivienda nueva)</t>
        </is>
      </c>
      <c r="D39" s="5" t="inlineStr">
        <is>
          <t>compra</t>
        </is>
      </c>
      <c r="E39" s="5" t="n">
        <v>15638</v>
      </c>
      <c r="F39" s="5" t="n">
        <v>1.0107</v>
      </c>
      <c r="G39" s="5" t="n">
        <v>-1.2468</v>
      </c>
      <c r="H39" s="5" t="n">
        <v>58.1955</v>
      </c>
      <c r="I39" s="5" t="n">
        <v>27.4788</v>
      </c>
      <c r="J39" s="5" t="n">
        <v>90.2953</v>
      </c>
      <c r="K39" s="5" t="n"/>
      <c r="L39" s="5" t="n">
        <v>1.8896</v>
      </c>
      <c r="M39" s="5" t="n">
        <v>43.9904</v>
      </c>
      <c r="N39" s="5" t="inlineStr">
        <is>
          <t>estimado (C4)</t>
        </is>
      </c>
    </row>
    <row r="40">
      <c r="A40" s="5" t="inlineStr">
        <is>
          <t>03</t>
        </is>
      </c>
      <c r="B40" s="5" t="inlineStr">
        <is>
          <t>Asturias</t>
        </is>
      </c>
      <c r="C40" s="5" t="inlineStr">
        <is>
          <t>rebaja de impuestos y costes de construcción</t>
        </is>
      </c>
      <c r="D40" s="5" t="inlineStr">
        <is>
          <t>alquiler</t>
        </is>
      </c>
      <c r="E40" s="5" t="n">
        <v>3096</v>
      </c>
      <c r="F40" s="5" t="n">
        <v>-1.076</v>
      </c>
      <c r="G40" s="5" t="n">
        <v>-1.076</v>
      </c>
      <c r="H40" s="5" t="n"/>
      <c r="I40" s="5" t="n"/>
      <c r="J40" s="5" t="n"/>
      <c r="K40" s="5" t="n"/>
      <c r="L40" s="5" t="n"/>
      <c r="M40" s="5" t="n"/>
      <c r="N40" s="5" t="inlineStr">
        <is>
          <t>coste anual igual al de compra (la rebaja es una sola); el efecto en alquiler es indirecto</t>
        </is>
      </c>
    </row>
    <row r="41">
      <c r="A41" s="5" t="inlineStr">
        <is>
          <t>03</t>
        </is>
      </c>
      <c r="B41" s="5" t="inlineStr">
        <is>
          <t>Asturias</t>
        </is>
      </c>
      <c r="C41" s="5" t="inlineStr">
        <is>
          <t>rebaja de impuestos y costes de construcción</t>
        </is>
      </c>
      <c r="D41" s="5" t="inlineStr">
        <is>
          <t>compra</t>
        </is>
      </c>
      <c r="E41" s="5" t="n">
        <v>3096</v>
      </c>
      <c r="F41" s="5" t="n">
        <v>-1.076</v>
      </c>
      <c r="G41" s="5" t="n">
        <v>-1.076</v>
      </c>
      <c r="H41" s="5" t="n">
        <v>9.994400000000001</v>
      </c>
      <c r="I41" s="5" t="n">
        <v>5.2488</v>
      </c>
      <c r="J41" s="5" t="n">
        <v>16.2465</v>
      </c>
      <c r="K41" s="5" t="n"/>
      <c r="L41" s="5" t="n">
        <v>-11.2466</v>
      </c>
      <c r="M41" s="5" t="n">
        <v>8.8916</v>
      </c>
      <c r="N41" s="5" t="inlineStr">
        <is>
          <t>estimado (C4)</t>
        </is>
      </c>
    </row>
    <row r="42">
      <c r="A42" s="5" t="inlineStr">
        <is>
          <t>04</t>
        </is>
      </c>
      <c r="B42" s="5" t="inlineStr">
        <is>
          <t>Illes Balears</t>
        </is>
      </c>
      <c r="C42" s="5" t="inlineStr">
        <is>
          <t>construcción adicional</t>
        </is>
      </c>
      <c r="D42" s="5" t="inlineStr">
        <is>
          <t>alquiler</t>
        </is>
      </c>
      <c r="E42" s="5" t="n">
        <v>0</v>
      </c>
      <c r="F42" s="5" t="n">
        <v>0</v>
      </c>
      <c r="G42" s="5" t="n">
        <v>0</v>
      </c>
      <c r="H42" s="5" t="n"/>
      <c r="I42" s="5" t="n"/>
      <c r="J42" s="5" t="n"/>
      <c r="K42" s="5" t="n"/>
      <c r="L42" s="5" t="n"/>
      <c r="M42" s="5" t="n"/>
      <c r="N42" s="5" t="inlineStr">
        <is>
          <t>coste no estimable: no hay coste unitario por vivienda (suelo, obra, financiación pública) verificado ni versionado; el escenario no fija quién paga</t>
        </is>
      </c>
    </row>
    <row r="43">
      <c r="A43" s="5" t="inlineStr">
        <is>
          <t>04</t>
        </is>
      </c>
      <c r="B43" s="5" t="inlineStr">
        <is>
          <t>Illes Balears</t>
        </is>
      </c>
      <c r="C43" s="5" t="inlineStr">
        <is>
          <t>construcción adicional</t>
        </is>
      </c>
      <c r="D43" s="5" t="inlineStr">
        <is>
          <t>compra</t>
        </is>
      </c>
      <c r="E43" s="5" t="n">
        <v>0</v>
      </c>
      <c r="F43" s="5" t="n">
        <v>0</v>
      </c>
      <c r="G43" s="5" t="n">
        <v>0</v>
      </c>
      <c r="H43" s="5" t="n"/>
      <c r="I43" s="5" t="n"/>
      <c r="J43" s="5" t="n"/>
      <c r="K43" s="5" t="n"/>
      <c r="L43" s="5" t="n"/>
      <c r="M43" s="5" t="n"/>
      <c r="N43" s="5" t="inlineStr">
        <is>
          <t>coste no estimable: no hay coste unitario por vivienda (suelo, obra, financiación pública) verificado ni versionado; el escenario no fija quién paga</t>
        </is>
      </c>
    </row>
    <row r="44">
      <c r="A44" s="5" t="inlineStr">
        <is>
          <t>04</t>
        </is>
      </c>
      <c r="B44" s="5" t="inlineStr">
        <is>
          <t>Illes Balears</t>
        </is>
      </c>
      <c r="C44" s="5" t="inlineStr">
        <is>
          <t>movilización de vacías</t>
        </is>
      </c>
      <c r="D44" s="5" t="inlineStr">
        <is>
          <t>alquiler</t>
        </is>
      </c>
      <c r="E44" s="5" t="n">
        <v>19037.0311</v>
      </c>
      <c r="F44" s="5" t="n">
        <v>-4.1274</v>
      </c>
      <c r="G44" s="5" t="n">
        <v>-4.1274</v>
      </c>
      <c r="H44" s="5" t="n"/>
      <c r="I44" s="5" t="n"/>
      <c r="J44" s="5" t="n"/>
      <c r="K44" s="5" t="n">
        <v>-2.1814</v>
      </c>
      <c r="L44" s="5" t="n"/>
      <c r="M44" s="5" t="n"/>
      <c r="N44" s="5" t="inlineStr">
        <is>
          <t>coste no estimable: no hay coste unitario verificado de movilización (incentivo, rehabilitación, recargo del IBI) ni reparto entre recaudación y gasto</t>
        </is>
      </c>
    </row>
    <row r="45">
      <c r="A45" s="5" t="inlineStr">
        <is>
          <t>04</t>
        </is>
      </c>
      <c r="B45" s="5" t="inlineStr">
        <is>
          <t>Illes Balears</t>
        </is>
      </c>
      <c r="C45" s="5" t="inlineStr">
        <is>
          <t>movilización de vacías</t>
        </is>
      </c>
      <c r="D45" s="5" t="inlineStr">
        <is>
          <t>compra</t>
        </is>
      </c>
      <c r="E45" s="5" t="n">
        <v>19037.0311</v>
      </c>
      <c r="F45" s="5" t="n">
        <v>-1.4468</v>
      </c>
      <c r="G45" s="5" t="n">
        <v>-1.4468</v>
      </c>
      <c r="H45" s="5" t="n"/>
      <c r="I45" s="5" t="n"/>
      <c r="J45" s="5" t="n"/>
      <c r="K45" s="5" t="n">
        <v>-0.7582</v>
      </c>
      <c r="L45" s="5" t="n"/>
      <c r="M45" s="5" t="n"/>
      <c r="N45" s="5" t="inlineStr">
        <is>
          <t>coste no estimable: no hay coste unitario verificado de movilización (incentivo, rehabilitación, recargo del IBI) ni reparto entre recaudación y gasto</t>
        </is>
      </c>
    </row>
    <row r="46">
      <c r="A46" s="5" t="inlineStr">
        <is>
          <t>04</t>
        </is>
      </c>
      <c r="B46" s="5" t="inlineStr">
        <is>
          <t>Illes Balears</t>
        </is>
      </c>
      <c r="C46" s="5" t="inlineStr">
        <is>
          <t>vivienda pública o asequible</t>
        </is>
      </c>
      <c r="D46" s="5" t="inlineStr">
        <is>
          <t>alquiler</t>
        </is>
      </c>
      <c r="E46" s="5" t="n">
        <v>9629.3784</v>
      </c>
      <c r="F46" s="5" t="n">
        <v>-3.8348</v>
      </c>
      <c r="G46" s="5" t="n">
        <v>-3.8348</v>
      </c>
      <c r="H46" s="5" t="n"/>
      <c r="I46" s="5" t="n"/>
      <c r="J46" s="5" t="n"/>
      <c r="K46" s="5" t="n">
        <v>-3.9513</v>
      </c>
      <c r="L46" s="5" t="n"/>
      <c r="M46" s="5" t="n"/>
      <c r="N46" s="5" t="inlineStr">
        <is>
          <t>coste no estimable: no hay coste unitario verificado por vivienda pública (v5 D1: «coste unitario sin dato verificado»)</t>
        </is>
      </c>
    </row>
    <row r="47">
      <c r="A47" s="5" t="inlineStr">
        <is>
          <t>04</t>
        </is>
      </c>
      <c r="B47" s="5" t="inlineStr">
        <is>
          <t>Illes Balears</t>
        </is>
      </c>
      <c r="C47" s="5" t="inlineStr">
        <is>
          <t>vivienda pública o asequible</t>
        </is>
      </c>
      <c r="D47" s="5" t="inlineStr">
        <is>
          <t>compra</t>
        </is>
      </c>
      <c r="E47" s="5" t="n">
        <v>9629.3784</v>
      </c>
      <c r="F47" s="5" t="n">
        <v>-0.7479</v>
      </c>
      <c r="G47" s="5" t="n">
        <v>-0.7479</v>
      </c>
      <c r="H47" s="5" t="n"/>
      <c r="I47" s="5" t="n"/>
      <c r="J47" s="5" t="n"/>
      <c r="K47" s="5" t="n">
        <v>-0.7582</v>
      </c>
      <c r="L47" s="5" t="n"/>
      <c r="M47" s="5" t="n"/>
      <c r="N47" s="5" t="inlineStr">
        <is>
          <t>coste no estimable: no hay coste unitario verificado por vivienda pública (v5 D1: «coste unitario sin dato verificado»)</t>
        </is>
      </c>
    </row>
    <row r="48">
      <c r="A48" s="5" t="inlineStr">
        <is>
          <t>04</t>
        </is>
      </c>
      <c r="B48" s="5" t="inlineStr">
        <is>
          <t>Illes Balears</t>
        </is>
      </c>
      <c r="C48" s="5" t="inlineStr">
        <is>
          <t>regulación local de turísticos</t>
        </is>
      </c>
      <c r="D48" s="5" t="inlineStr">
        <is>
          <t>alquiler</t>
        </is>
      </c>
      <c r="E48" s="5" t="n">
        <v>6794.2867</v>
      </c>
      <c r="F48" s="5" t="n">
        <v>-2.9439</v>
      </c>
      <c r="G48" s="5" t="n">
        <v>-2.9439</v>
      </c>
      <c r="H48" s="5" t="n"/>
      <c r="I48" s="5" t="n"/>
      <c r="J48" s="5" t="n"/>
      <c r="K48" s="5" t="n">
        <v>-4.3684</v>
      </c>
      <c r="L48" s="5" t="n"/>
      <c r="M48" s="5" t="n"/>
      <c r="N48" s="5" t="inlineStr">
        <is>
          <t>coste no estimable: regulación sin coste fiscal directo verificable (inspección y compensaciones sin base)</t>
        </is>
      </c>
    </row>
    <row r="49">
      <c r="A49" s="5" t="inlineStr">
        <is>
          <t>04</t>
        </is>
      </c>
      <c r="B49" s="5" t="inlineStr">
        <is>
          <t>Illes Balears</t>
        </is>
      </c>
      <c r="C49" s="5" t="inlineStr">
        <is>
          <t>regulación local de turísticos</t>
        </is>
      </c>
      <c r="D49" s="5" t="inlineStr">
        <is>
          <t>compra</t>
        </is>
      </c>
      <c r="E49" s="5" t="n">
        <v>6794.2867</v>
      </c>
      <c r="F49" s="5" t="n">
        <v>-0.5139</v>
      </c>
      <c r="G49" s="5" t="n">
        <v>-0.5139</v>
      </c>
      <c r="H49" s="5" t="n"/>
      <c r="I49" s="5" t="n"/>
      <c r="J49" s="5" t="n"/>
      <c r="K49" s="5" t="n">
        <v>-0.7582</v>
      </c>
      <c r="L49" s="5" t="n"/>
      <c r="M49" s="5" t="n"/>
      <c r="N49" s="5" t="inlineStr">
        <is>
          <t>coste no estimable: regulación sin coste fiscal directo verificable (inspección y compensaciones sin base)</t>
        </is>
      </c>
    </row>
    <row r="50">
      <c r="A50" s="5" t="inlineStr">
        <is>
          <t>04</t>
        </is>
      </c>
      <c r="B50" s="5" t="inlineStr">
        <is>
          <t>Illes Balears</t>
        </is>
      </c>
      <c r="C50" s="5" t="inlineStr">
        <is>
          <t>ayudas a la demanda</t>
        </is>
      </c>
      <c r="D50" s="5" t="inlineStr">
        <is>
          <t>alquiler</t>
        </is>
      </c>
      <c r="E50" s="5" t="n">
        <v>14667</v>
      </c>
      <c r="F50" s="5" t="n">
        <v>4.2483</v>
      </c>
      <c r="G50" s="5" t="n">
        <v>-5.4618</v>
      </c>
      <c r="H50" s="5" t="n"/>
      <c r="I50" s="5" t="n"/>
      <c r="J50" s="5" t="n"/>
      <c r="K50" s="5" t="n"/>
      <c r="L50" s="5" t="n"/>
      <c r="M50" s="5" t="n"/>
      <c r="N50" s="5" t="inlineStr">
        <is>
          <t>coste no estimable: el panel v7 no tiene renta media del alquiler en euros por CCAA ni número de hogares beneficiarios</t>
        </is>
      </c>
    </row>
    <row r="51">
      <c r="A51" s="5" t="inlineStr">
        <is>
          <t>04</t>
        </is>
      </c>
      <c r="B51" s="5" t="inlineStr">
        <is>
          <t>Illes Balears</t>
        </is>
      </c>
      <c r="C51" s="5" t="inlineStr">
        <is>
          <t>ayudas a la demanda</t>
        </is>
      </c>
      <c r="D51" s="5" t="inlineStr">
        <is>
          <t>compra</t>
        </is>
      </c>
      <c r="E51" s="5" t="n">
        <v>14667</v>
      </c>
      <c r="F51" s="5" t="n">
        <v>4.2483</v>
      </c>
      <c r="G51" s="5" t="n">
        <v>-5.4618</v>
      </c>
      <c r="H51" s="5" t="n">
        <v>510.5428</v>
      </c>
      <c r="I51" s="5" t="n">
        <v>277.7348</v>
      </c>
      <c r="J51" s="5" t="n">
        <v>729.1289</v>
      </c>
      <c r="K51" s="5" t="n"/>
      <c r="L51" s="5" t="n">
        <v>0.8884</v>
      </c>
      <c r="M51" s="5" t="n">
        <v>89.0553</v>
      </c>
      <c r="N51" s="5" t="inlineStr">
        <is>
          <t>estimado (C4)</t>
        </is>
      </c>
    </row>
    <row r="52">
      <c r="A52" s="5" t="inlineStr">
        <is>
          <t>04</t>
        </is>
      </c>
      <c r="B52" s="5" t="inlineStr">
        <is>
          <t>Illes Balears</t>
        </is>
      </c>
      <c r="C52" s="5" t="inlineStr">
        <is>
          <t>rebaja de ITP/IVA (vivienda nueva)</t>
        </is>
      </c>
      <c r="D52" s="5" t="inlineStr">
        <is>
          <t>compra</t>
        </is>
      </c>
      <c r="E52" s="5" t="n">
        <v>14667</v>
      </c>
      <c r="F52" s="5" t="n">
        <v>1.0479</v>
      </c>
      <c r="G52" s="5" t="n">
        <v>-1.2551</v>
      </c>
      <c r="H52" s="5" t="n">
        <v>126.8601</v>
      </c>
      <c r="I52" s="5" t="n">
        <v>58.2479</v>
      </c>
      <c r="J52" s="5" t="n">
        <v>194.4131</v>
      </c>
      <c r="K52" s="5" t="n"/>
      <c r="L52" s="5" t="n">
        <v>0.8884</v>
      </c>
      <c r="M52" s="5" t="n">
        <v>94.61579999999999</v>
      </c>
      <c r="N52" s="5" t="inlineStr">
        <is>
          <t>estimado (C4)</t>
        </is>
      </c>
    </row>
    <row r="53">
      <c r="A53" s="5" t="inlineStr">
        <is>
          <t>04</t>
        </is>
      </c>
      <c r="B53" s="5" t="inlineStr">
        <is>
          <t>Illes Balears</t>
        </is>
      </c>
      <c r="C53" s="5" t="inlineStr">
        <is>
          <t>rebaja de impuestos y costes de construcción</t>
        </is>
      </c>
      <c r="D53" s="5" t="inlineStr">
        <is>
          <t>alquiler</t>
        </is>
      </c>
      <c r="E53" s="5" t="n">
        <v>4215</v>
      </c>
      <c r="F53" s="5" t="n">
        <v>-1.0512</v>
      </c>
      <c r="G53" s="5" t="n">
        <v>-1.0512</v>
      </c>
      <c r="H53" s="5" t="n"/>
      <c r="I53" s="5" t="n"/>
      <c r="J53" s="5" t="n"/>
      <c r="K53" s="5" t="n"/>
      <c r="L53" s="5" t="n"/>
      <c r="M53" s="5" t="n"/>
      <c r="N53" s="5" t="inlineStr">
        <is>
          <t>coste anual igual al de compra (la rebaja es una sola); el efecto en alquiler es indirecto</t>
        </is>
      </c>
    </row>
    <row r="54">
      <c r="A54" s="5" t="inlineStr">
        <is>
          <t>04</t>
        </is>
      </c>
      <c r="B54" s="5" t="inlineStr">
        <is>
          <t>Illes Balears</t>
        </is>
      </c>
      <c r="C54" s="5" t="inlineStr">
        <is>
          <t>rebaja de impuestos y costes de construcción</t>
        </is>
      </c>
      <c r="D54" s="5" t="inlineStr">
        <is>
          <t>compra</t>
        </is>
      </c>
      <c r="E54" s="5" t="n">
        <v>4215</v>
      </c>
      <c r="F54" s="5" t="n">
        <v>-1.0512</v>
      </c>
      <c r="G54" s="5" t="n">
        <v>-1.0512</v>
      </c>
      <c r="H54" s="5" t="n">
        <v>30.6909</v>
      </c>
      <c r="I54" s="5" t="n">
        <v>16.1494</v>
      </c>
      <c r="J54" s="5" t="n">
        <v>50.2746</v>
      </c>
      <c r="K54" s="5" t="n"/>
      <c r="L54" s="5" t="n">
        <v>-3.598</v>
      </c>
      <c r="M54" s="5" t="n">
        <v>27.7931</v>
      </c>
      <c r="N54" s="5" t="inlineStr">
        <is>
          <t>estimado (C4)</t>
        </is>
      </c>
    </row>
    <row r="55">
      <c r="A55" s="5" t="inlineStr">
        <is>
          <t>05</t>
        </is>
      </c>
      <c r="B55" s="5" t="inlineStr">
        <is>
          <t>Canarias</t>
        </is>
      </c>
      <c r="C55" s="5" t="inlineStr">
        <is>
          <t>construcción adicional</t>
        </is>
      </c>
      <c r="D55" s="5" t="inlineStr">
        <is>
          <t>alquiler</t>
        </is>
      </c>
      <c r="E55" s="5" t="n">
        <v>0</v>
      </c>
      <c r="F55" s="5" t="n">
        <v>0</v>
      </c>
      <c r="G55" s="5" t="n">
        <v>0</v>
      </c>
      <c r="H55" s="5" t="n"/>
      <c r="I55" s="5" t="n"/>
      <c r="J55" s="5" t="n"/>
      <c r="K55" s="5" t="n"/>
      <c r="L55" s="5" t="n"/>
      <c r="M55" s="5" t="n"/>
      <c r="N55" s="5" t="inlineStr">
        <is>
          <t>coste no estimable: no hay coste unitario por vivienda (suelo, obra, financiación pública) verificado ni versionado; el escenario no fija quién paga</t>
        </is>
      </c>
    </row>
    <row r="56">
      <c r="A56" s="5" t="inlineStr">
        <is>
          <t>05</t>
        </is>
      </c>
      <c r="B56" s="5" t="inlineStr">
        <is>
          <t>Canarias</t>
        </is>
      </c>
      <c r="C56" s="5" t="inlineStr">
        <is>
          <t>construcción adicional</t>
        </is>
      </c>
      <c r="D56" s="5" t="inlineStr">
        <is>
          <t>compra</t>
        </is>
      </c>
      <c r="E56" s="5" t="n">
        <v>0</v>
      </c>
      <c r="F56" s="5" t="n">
        <v>0</v>
      </c>
      <c r="G56" s="5" t="n">
        <v>0</v>
      </c>
      <c r="H56" s="5" t="n"/>
      <c r="I56" s="5" t="n"/>
      <c r="J56" s="5" t="n"/>
      <c r="K56" s="5" t="n"/>
      <c r="L56" s="5" t="n"/>
      <c r="M56" s="5" t="n"/>
      <c r="N56" s="5" t="inlineStr">
        <is>
          <t>coste no estimable: no hay coste unitario por vivienda (suelo, obra, financiación pública) verificado ni versionado; el escenario no fija quién paga</t>
        </is>
      </c>
    </row>
    <row r="57">
      <c r="A57" s="5" t="inlineStr">
        <is>
          <t>05</t>
        </is>
      </c>
      <c r="B57" s="5" t="inlineStr">
        <is>
          <t>Canarias</t>
        </is>
      </c>
      <c r="C57" s="5" t="inlineStr">
        <is>
          <t>movilización de vacías</t>
        </is>
      </c>
      <c r="D57" s="5" t="inlineStr">
        <is>
          <t>alquiler</t>
        </is>
      </c>
      <c r="E57" s="5" t="n">
        <v>38060.3669</v>
      </c>
      <c r="F57" s="5" t="n">
        <v>-6.6573</v>
      </c>
      <c r="G57" s="5" t="n">
        <v>-6.6573</v>
      </c>
      <c r="H57" s="5" t="n"/>
      <c r="I57" s="5" t="n"/>
      <c r="J57" s="5" t="n"/>
      <c r="K57" s="5" t="n">
        <v>-1.7485</v>
      </c>
      <c r="L57" s="5" t="n"/>
      <c r="M57" s="5" t="n"/>
      <c r="N57" s="5" t="inlineStr">
        <is>
          <t>coste no estimable: no hay coste unitario verificado de movilización (incentivo, rehabilitación, recargo del IBI) ni reparto entre recaudación y gasto</t>
        </is>
      </c>
    </row>
    <row r="58">
      <c r="A58" s="5" t="inlineStr">
        <is>
          <t>05</t>
        </is>
      </c>
      <c r="B58" s="5" t="inlineStr">
        <is>
          <t>Canarias</t>
        </is>
      </c>
      <c r="C58" s="5" t="inlineStr">
        <is>
          <t>movilización de vacías</t>
        </is>
      </c>
      <c r="D58" s="5" t="inlineStr">
        <is>
          <t>compra</t>
        </is>
      </c>
      <c r="E58" s="5" t="n">
        <v>38060.3669</v>
      </c>
      <c r="F58" s="5" t="n">
        <v>-2.3432</v>
      </c>
      <c r="G58" s="5" t="n">
        <v>-2.3432</v>
      </c>
      <c r="H58" s="5" t="n"/>
      <c r="I58" s="5" t="n"/>
      <c r="J58" s="5" t="n"/>
      <c r="K58" s="5" t="n">
        <v>-0.609</v>
      </c>
      <c r="L58" s="5" t="n"/>
      <c r="M58" s="5" t="n"/>
      <c r="N58" s="5" t="inlineStr">
        <is>
          <t>coste no estimable: no hay coste unitario verificado de movilización (incentivo, rehabilitación, recargo del IBI) ni reparto entre recaudación y gasto</t>
        </is>
      </c>
    </row>
    <row r="59">
      <c r="A59" s="5" t="inlineStr">
        <is>
          <t>05</t>
        </is>
      </c>
      <c r="B59" s="5" t="inlineStr">
        <is>
          <t>Canarias</t>
        </is>
      </c>
      <c r="C59" s="5" t="inlineStr">
        <is>
          <t>vivienda pública o asequible</t>
        </is>
      </c>
      <c r="D59" s="5" t="inlineStr">
        <is>
          <t>alquiler</t>
        </is>
      </c>
      <c r="E59" s="5" t="n">
        <v>14036.9244</v>
      </c>
      <c r="F59" s="5" t="n">
        <v>-4.5377</v>
      </c>
      <c r="G59" s="5" t="n">
        <v>-4.5377</v>
      </c>
      <c r="H59" s="5" t="n"/>
      <c r="I59" s="5" t="n"/>
      <c r="J59" s="5" t="n"/>
      <c r="K59" s="5" t="n">
        <v>-3.1726</v>
      </c>
      <c r="L59" s="5" t="n"/>
      <c r="M59" s="5" t="n"/>
      <c r="N59" s="5" t="inlineStr">
        <is>
          <t>coste no estimable: no hay coste unitario verificado por vivienda pública (v5 D1: «coste unitario sin dato verificado»)</t>
        </is>
      </c>
    </row>
    <row r="60">
      <c r="A60" s="5" t="inlineStr">
        <is>
          <t>05</t>
        </is>
      </c>
      <c r="B60" s="5" t="inlineStr">
        <is>
          <t>Canarias</t>
        </is>
      </c>
      <c r="C60" s="5" t="inlineStr">
        <is>
          <t>vivienda pública o asequible</t>
        </is>
      </c>
      <c r="D60" s="5" t="inlineStr">
        <is>
          <t>compra</t>
        </is>
      </c>
      <c r="E60" s="5" t="n">
        <v>14036.9244</v>
      </c>
      <c r="F60" s="5" t="n">
        <v>-0.8784999999999999</v>
      </c>
      <c r="G60" s="5" t="n">
        <v>-0.8784999999999999</v>
      </c>
      <c r="H60" s="5" t="n"/>
      <c r="I60" s="5" t="n"/>
      <c r="J60" s="5" t="n"/>
      <c r="K60" s="5" t="n">
        <v>-0.609</v>
      </c>
      <c r="L60" s="5" t="n"/>
      <c r="M60" s="5" t="n"/>
      <c r="N60" s="5" t="inlineStr">
        <is>
          <t>coste no estimable: no hay coste unitario verificado por vivienda pública (v5 D1: «coste unitario sin dato verificado»)</t>
        </is>
      </c>
    </row>
    <row r="61">
      <c r="A61" s="5" t="inlineStr">
        <is>
          <t>05</t>
        </is>
      </c>
      <c r="B61" s="5" t="inlineStr">
        <is>
          <t>Canarias</t>
        </is>
      </c>
      <c r="C61" s="5" t="inlineStr">
        <is>
          <t>regulación local de turísticos</t>
        </is>
      </c>
      <c r="D61" s="5" t="inlineStr">
        <is>
          <t>alquiler</t>
        </is>
      </c>
      <c r="E61" s="5" t="n">
        <v>8695.2971</v>
      </c>
      <c r="F61" s="5" t="n">
        <v>-3.0487</v>
      </c>
      <c r="G61" s="5" t="n">
        <v>-3.0487</v>
      </c>
      <c r="H61" s="5" t="n"/>
      <c r="I61" s="5" t="n"/>
      <c r="J61" s="5" t="n"/>
      <c r="K61" s="5" t="n">
        <v>-3.5237</v>
      </c>
      <c r="L61" s="5" t="n"/>
      <c r="M61" s="5" t="n"/>
      <c r="N61" s="5" t="inlineStr">
        <is>
          <t>coste no estimable: regulación sin coste fiscal directo verificable (inspección y compensaciones sin base)</t>
        </is>
      </c>
    </row>
    <row r="62">
      <c r="A62" s="5" t="inlineStr">
        <is>
          <t>05</t>
        </is>
      </c>
      <c r="B62" s="5" t="inlineStr">
        <is>
          <t>Canarias</t>
        </is>
      </c>
      <c r="C62" s="5" t="inlineStr">
        <is>
          <t>regulación local de turísticos</t>
        </is>
      </c>
      <c r="D62" s="5" t="inlineStr">
        <is>
          <t>compra</t>
        </is>
      </c>
      <c r="E62" s="5" t="n">
        <v>8695.2971</v>
      </c>
      <c r="F62" s="5" t="n">
        <v>-0.5313</v>
      </c>
      <c r="G62" s="5" t="n">
        <v>-0.5313</v>
      </c>
      <c r="H62" s="5" t="n"/>
      <c r="I62" s="5" t="n"/>
      <c r="J62" s="5" t="n"/>
      <c r="K62" s="5" t="n">
        <v>-0.609</v>
      </c>
      <c r="L62" s="5" t="n"/>
      <c r="M62" s="5" t="n"/>
      <c r="N62" s="5" t="inlineStr">
        <is>
          <t>coste no estimable: regulación sin coste fiscal directo verificable (inspección y compensaciones sin base)</t>
        </is>
      </c>
    </row>
    <row r="63">
      <c r="A63" s="5" t="inlineStr">
        <is>
          <t>05</t>
        </is>
      </c>
      <c r="B63" s="5" t="inlineStr">
        <is>
          <t>Canarias</t>
        </is>
      </c>
      <c r="C63" s="5" t="inlineStr">
        <is>
          <t>ayudas a la demanda</t>
        </is>
      </c>
      <c r="D63" s="5" t="inlineStr">
        <is>
          <t>alquiler</t>
        </is>
      </c>
      <c r="E63" s="5" t="n">
        <v>25368</v>
      </c>
      <c r="F63" s="5" t="n">
        <v>5.6515</v>
      </c>
      <c r="G63" s="5" t="n">
        <v>-4.2162</v>
      </c>
      <c r="H63" s="5" t="n"/>
      <c r="I63" s="5" t="n"/>
      <c r="J63" s="5" t="n"/>
      <c r="K63" s="5" t="n"/>
      <c r="L63" s="5" t="n"/>
      <c r="M63" s="5" t="n"/>
      <c r="N63" s="5" t="inlineStr">
        <is>
          <t>coste no estimable: el panel v7 no tiene renta media del alquiler en euros por CCAA ni número de hogares beneficiarios</t>
        </is>
      </c>
    </row>
    <row r="64">
      <c r="A64" s="5" t="inlineStr">
        <is>
          <t>05</t>
        </is>
      </c>
      <c r="B64" s="5" t="inlineStr">
        <is>
          <t>Canarias</t>
        </is>
      </c>
      <c r="C64" s="5" t="inlineStr">
        <is>
          <t>ayudas a la demanda</t>
        </is>
      </c>
      <c r="D64" s="5" t="inlineStr">
        <is>
          <t>compra</t>
        </is>
      </c>
      <c r="E64" s="5" t="n">
        <v>25368</v>
      </c>
      <c r="F64" s="5" t="n">
        <v>5.6515</v>
      </c>
      <c r="G64" s="5" t="n">
        <v>-4.2162</v>
      </c>
      <c r="H64" s="5" t="n">
        <v>497.9177</v>
      </c>
      <c r="I64" s="5" t="n">
        <v>268.8655</v>
      </c>
      <c r="J64" s="5" t="n">
        <v>712.5009</v>
      </c>
      <c r="K64" s="5" t="n"/>
      <c r="L64" s="5" t="n">
        <v>1.2193</v>
      </c>
      <c r="M64" s="5" t="n">
        <v>114.7061</v>
      </c>
      <c r="N64" s="5" t="inlineStr">
        <is>
          <t>estimado (C4)</t>
        </is>
      </c>
    </row>
    <row r="65">
      <c r="A65" s="5" t="inlineStr">
        <is>
          <t>05</t>
        </is>
      </c>
      <c r="B65" s="5" t="inlineStr">
        <is>
          <t>Canarias</t>
        </is>
      </c>
      <c r="C65" s="5" t="inlineStr">
        <is>
          <t>rebaja de ITP/IVA (vivienda nueva)</t>
        </is>
      </c>
      <c r="D65" s="5" t="inlineStr">
        <is>
          <t>compra</t>
        </is>
      </c>
      <c r="E65" s="5" t="n">
        <v>25368</v>
      </c>
      <c r="F65" s="5" t="n">
        <v>1.393</v>
      </c>
      <c r="G65" s="5" t="n">
        <v>-0.906</v>
      </c>
      <c r="H65" s="5" t="n">
        <v>123.5799</v>
      </c>
      <c r="I65" s="5" t="n">
        <v>55.7387</v>
      </c>
      <c r="J65" s="5" t="n">
        <v>188.7967</v>
      </c>
      <c r="K65" s="5" t="n"/>
      <c r="L65" s="5" t="n">
        <v>1.2193</v>
      </c>
      <c r="M65" s="5" t="n">
        <v>127.6887</v>
      </c>
      <c r="N65" s="5" t="inlineStr">
        <is>
          <t>estimado (C4)</t>
        </is>
      </c>
    </row>
    <row r="66">
      <c r="A66" s="5" t="inlineStr">
        <is>
          <t>05</t>
        </is>
      </c>
      <c r="B66" s="5" t="inlineStr">
        <is>
          <t>Canarias</t>
        </is>
      </c>
      <c r="C66" s="5" t="inlineStr">
        <is>
          <t>rebaja de impuestos y costes de construcción</t>
        </is>
      </c>
      <c r="D66" s="5" t="inlineStr">
        <is>
          <t>alquiler</t>
        </is>
      </c>
      <c r="E66" s="5" t="n">
        <v>4666</v>
      </c>
      <c r="F66" s="5" t="n">
        <v>-0.7531</v>
      </c>
      <c r="G66" s="5" t="n">
        <v>-0.7531</v>
      </c>
      <c r="H66" s="5" t="n"/>
      <c r="I66" s="5" t="n"/>
      <c r="J66" s="5" t="n"/>
      <c r="K66" s="5" t="n"/>
      <c r="L66" s="5" t="n"/>
      <c r="M66" s="5" t="n"/>
      <c r="N66" s="5" t="inlineStr">
        <is>
          <t>coste anual igual al de compra (la rebaja es una sola); el efecto en alquiler es indirecto</t>
        </is>
      </c>
    </row>
    <row r="67">
      <c r="A67" s="5" t="inlineStr">
        <is>
          <t>05</t>
        </is>
      </c>
      <c r="B67" s="5" t="inlineStr">
        <is>
          <t>Canarias</t>
        </is>
      </c>
      <c r="C67" s="5" t="inlineStr">
        <is>
          <t>rebaja de impuestos y costes de construcción</t>
        </is>
      </c>
      <c r="D67" s="5" t="inlineStr">
        <is>
          <t>compra</t>
        </is>
      </c>
      <c r="E67" s="5" t="n">
        <v>4666</v>
      </c>
      <c r="F67" s="5" t="n">
        <v>-0.7531</v>
      </c>
      <c r="G67" s="5" t="n">
        <v>-0.7531</v>
      </c>
      <c r="H67" s="5" t="n">
        <v>19.3522</v>
      </c>
      <c r="I67" s="5" t="n">
        <v>10.1526</v>
      </c>
      <c r="J67" s="5" t="n">
        <v>31.8194</v>
      </c>
      <c r="K67" s="5" t="n"/>
      <c r="L67" s="5" t="n">
        <v>-4.1058</v>
      </c>
      <c r="M67" s="5" t="n">
        <v>24.3556</v>
      </c>
      <c r="N67" s="5" t="inlineStr">
        <is>
          <t>estimado (C4)</t>
        </is>
      </c>
    </row>
    <row r="68">
      <c r="A68" s="5" t="inlineStr">
        <is>
          <t>06</t>
        </is>
      </c>
      <c r="B68" s="5" t="inlineStr">
        <is>
          <t>Cantabria</t>
        </is>
      </c>
      <c r="C68" s="5" t="inlineStr">
        <is>
          <t>construcción adicional</t>
        </is>
      </c>
      <c r="D68" s="5" t="inlineStr">
        <is>
          <t>alquiler</t>
        </is>
      </c>
      <c r="E68" s="5" t="n">
        <v>430.4746</v>
      </c>
      <c r="F68" s="5" t="n">
        <v>-0.0625</v>
      </c>
      <c r="G68" s="5" t="n">
        <v>-0.0625</v>
      </c>
      <c r="H68" s="5" t="n"/>
      <c r="I68" s="5" t="n"/>
      <c r="J68" s="5" t="n"/>
      <c r="K68" s="5" t="n">
        <v>-1.4828</v>
      </c>
      <c r="L68" s="5" t="n"/>
      <c r="M68" s="5" t="n"/>
      <c r="N68" s="5" t="inlineStr">
        <is>
          <t>coste no estimable: no hay coste unitario por vivienda (suelo, obra, financiación pública) verificado ni versionado; el escenario no fija quién paga</t>
        </is>
      </c>
    </row>
    <row r="69">
      <c r="A69" s="5" t="inlineStr">
        <is>
          <t>06</t>
        </is>
      </c>
      <c r="B69" s="5" t="inlineStr">
        <is>
          <t>Cantabria</t>
        </is>
      </c>
      <c r="C69" s="5" t="inlineStr">
        <is>
          <t>construcción adicional</t>
        </is>
      </c>
      <c r="D69" s="5" t="inlineStr">
        <is>
          <t>compra</t>
        </is>
      </c>
      <c r="E69" s="5" t="n">
        <v>430.4746</v>
      </c>
      <c r="F69" s="5" t="n">
        <v>-0.0559</v>
      </c>
      <c r="G69" s="5" t="n">
        <v>-0.0559</v>
      </c>
      <c r="H69" s="5" t="n"/>
      <c r="I69" s="5" t="n"/>
      <c r="J69" s="5" t="n"/>
      <c r="K69" s="5" t="n">
        <v>-1.299</v>
      </c>
      <c r="L69" s="5" t="n"/>
      <c r="M69" s="5" t="n"/>
      <c r="N69" s="5" t="inlineStr">
        <is>
          <t>coste no estimable: no hay coste unitario por vivienda (suelo, obra, financiación pública) verificado ni versionado; el escenario no fija quién paga</t>
        </is>
      </c>
    </row>
    <row r="70">
      <c r="A70" s="5" t="inlineStr">
        <is>
          <t>06</t>
        </is>
      </c>
      <c r="B70" s="5" t="inlineStr">
        <is>
          <t>Cantabria</t>
        </is>
      </c>
      <c r="C70" s="5" t="inlineStr">
        <is>
          <t>movilización de vacías</t>
        </is>
      </c>
      <c r="D70" s="5" t="inlineStr">
        <is>
          <t>alquiler</t>
        </is>
      </c>
      <c r="E70" s="5" t="n">
        <v>8876.913200000001</v>
      </c>
      <c r="F70" s="5" t="n">
        <v>-3.2296</v>
      </c>
      <c r="G70" s="5" t="n">
        <v>-3.2296</v>
      </c>
      <c r="H70" s="5" t="n"/>
      <c r="I70" s="5" t="n"/>
      <c r="J70" s="5" t="n"/>
      <c r="K70" s="5" t="n">
        <v>-3.7295</v>
      </c>
      <c r="L70" s="5" t="n"/>
      <c r="M70" s="5" t="n"/>
      <c r="N70" s="5" t="inlineStr">
        <is>
          <t>coste no estimable: no hay coste unitario verificado de movilización (incentivo, rehabilitación, recargo del IBI) ni reparto entre recaudación y gasto</t>
        </is>
      </c>
    </row>
    <row r="71">
      <c r="A71" s="5" t="inlineStr">
        <is>
          <t>06</t>
        </is>
      </c>
      <c r="B71" s="5" t="inlineStr">
        <is>
          <t>Cantabria</t>
        </is>
      </c>
      <c r="C71" s="5" t="inlineStr">
        <is>
          <t>movilización de vacías</t>
        </is>
      </c>
      <c r="D71" s="5" t="inlineStr">
        <is>
          <t>compra</t>
        </is>
      </c>
      <c r="E71" s="5" t="n">
        <v>8876.913200000001</v>
      </c>
      <c r="F71" s="5" t="n">
        <v>-1.1494</v>
      </c>
      <c r="G71" s="5" t="n">
        <v>-1.1494</v>
      </c>
      <c r="H71" s="5" t="n"/>
      <c r="I71" s="5" t="n"/>
      <c r="J71" s="5" t="n"/>
      <c r="K71" s="5" t="n">
        <v>-1.299</v>
      </c>
      <c r="L71" s="5" t="n"/>
      <c r="M71" s="5" t="n"/>
      <c r="N71" s="5" t="inlineStr">
        <is>
          <t>coste no estimable: no hay coste unitario verificado de movilización (incentivo, rehabilitación, recargo del IBI) ni reparto entre recaudación y gasto</t>
        </is>
      </c>
    </row>
    <row r="72">
      <c r="A72" s="5" t="inlineStr">
        <is>
          <t>06</t>
        </is>
      </c>
      <c r="B72" s="5" t="inlineStr">
        <is>
          <t>Cantabria</t>
        </is>
      </c>
      <c r="C72" s="5" t="inlineStr">
        <is>
          <t>vivienda pública o asequible</t>
        </is>
      </c>
      <c r="D72" s="5" t="inlineStr">
        <is>
          <t>alquiler</t>
        </is>
      </c>
      <c r="E72" s="5" t="n">
        <v>2642.1877</v>
      </c>
      <c r="F72" s="5" t="n">
        <v>-1.7825</v>
      </c>
      <c r="G72" s="5" t="n">
        <v>-1.7825</v>
      </c>
      <c r="H72" s="5" t="n"/>
      <c r="I72" s="5" t="n"/>
      <c r="J72" s="5" t="n"/>
      <c r="K72" s="5" t="n">
        <v>-6.7148</v>
      </c>
      <c r="L72" s="5" t="n"/>
      <c r="M72" s="5" t="n"/>
      <c r="N72" s="5" t="inlineStr">
        <is>
          <t>coste no estimable: no hay coste unitario verificado por vivienda pública (v5 D1: «coste unitario sin dato verificado»)</t>
        </is>
      </c>
    </row>
    <row r="73">
      <c r="A73" s="5" t="inlineStr">
        <is>
          <t>06</t>
        </is>
      </c>
      <c r="B73" s="5" t="inlineStr">
        <is>
          <t>Cantabria</t>
        </is>
      </c>
      <c r="C73" s="5" t="inlineStr">
        <is>
          <t>vivienda pública o asequible</t>
        </is>
      </c>
      <c r="D73" s="5" t="inlineStr">
        <is>
          <t>compra</t>
        </is>
      </c>
      <c r="E73" s="5" t="n">
        <v>2642.1877</v>
      </c>
      <c r="F73" s="5" t="n">
        <v>-0.3481</v>
      </c>
      <c r="G73" s="5" t="n">
        <v>-0.3481</v>
      </c>
      <c r="H73" s="5" t="n"/>
      <c r="I73" s="5" t="n"/>
      <c r="J73" s="5" t="n"/>
      <c r="K73" s="5" t="n">
        <v>-1.299</v>
      </c>
      <c r="L73" s="5" t="n"/>
      <c r="M73" s="5" t="n"/>
      <c r="N73" s="5" t="inlineStr">
        <is>
          <t>coste no estimable: no hay coste unitario verificado por vivienda pública (v5 D1: «coste unitario sin dato verificado»)</t>
        </is>
      </c>
    </row>
    <row r="74">
      <c r="A74" s="5" t="inlineStr">
        <is>
          <t>06</t>
        </is>
      </c>
      <c r="B74" s="5" t="inlineStr">
        <is>
          <t>Cantabria</t>
        </is>
      </c>
      <c r="C74" s="5" t="inlineStr">
        <is>
          <t>regulación local de turísticos</t>
        </is>
      </c>
      <c r="D74" s="5" t="inlineStr">
        <is>
          <t>alquiler</t>
        </is>
      </c>
      <c r="E74" s="5" t="n">
        <v>2144.1384</v>
      </c>
      <c r="F74" s="5" t="n">
        <v>-1.5792</v>
      </c>
      <c r="G74" s="5" t="n">
        <v>-1.5792</v>
      </c>
      <c r="H74" s="5" t="n"/>
      <c r="I74" s="5" t="n"/>
      <c r="J74" s="5" t="n"/>
      <c r="K74" s="5" t="n">
        <v>-7.4703</v>
      </c>
      <c r="L74" s="5" t="n"/>
      <c r="M74" s="5" t="n"/>
      <c r="N74" s="5" t="inlineStr">
        <is>
          <t>coste no estimable: regulación sin coste fiscal directo verificable (inspección y compensaciones sin base)</t>
        </is>
      </c>
    </row>
    <row r="75">
      <c r="A75" s="5" t="inlineStr">
        <is>
          <t>06</t>
        </is>
      </c>
      <c r="B75" s="5" t="inlineStr">
        <is>
          <t>Cantabria</t>
        </is>
      </c>
      <c r="C75" s="5" t="inlineStr">
        <is>
          <t>regulación local de turísticos</t>
        </is>
      </c>
      <c r="D75" s="5" t="inlineStr">
        <is>
          <t>compra</t>
        </is>
      </c>
      <c r="E75" s="5" t="n">
        <v>2144.1384</v>
      </c>
      <c r="F75" s="5" t="n">
        <v>-0.2778</v>
      </c>
      <c r="G75" s="5" t="n">
        <v>-0.2778</v>
      </c>
      <c r="H75" s="5" t="n"/>
      <c r="I75" s="5" t="n"/>
      <c r="J75" s="5" t="n"/>
      <c r="K75" s="5" t="n">
        <v>-1.299</v>
      </c>
      <c r="L75" s="5" t="n"/>
      <c r="M75" s="5" t="n"/>
      <c r="N75" s="5" t="inlineStr">
        <is>
          <t>coste no estimable: regulación sin coste fiscal directo verificable (inspección y compensaciones sin base)</t>
        </is>
      </c>
    </row>
    <row r="76">
      <c r="A76" s="5" t="inlineStr">
        <is>
          <t>06</t>
        </is>
      </c>
      <c r="B76" s="5" t="inlineStr">
        <is>
          <t>Cantabria</t>
        </is>
      </c>
      <c r="C76" s="5" t="inlineStr">
        <is>
          <t>ayudas a la demanda</t>
        </is>
      </c>
      <c r="D76" s="5" t="inlineStr">
        <is>
          <t>alquiler</t>
        </is>
      </c>
      <c r="E76" s="5" t="n">
        <v>10415</v>
      </c>
      <c r="F76" s="5" t="n">
        <v>4.2719</v>
      </c>
      <c r="G76" s="5" t="n">
        <v>-5.3587</v>
      </c>
      <c r="H76" s="5" t="n"/>
      <c r="I76" s="5" t="n"/>
      <c r="J76" s="5" t="n"/>
      <c r="K76" s="5" t="n"/>
      <c r="L76" s="5" t="n"/>
      <c r="M76" s="5" t="n"/>
      <c r="N76" s="5" t="inlineStr">
        <is>
          <t>coste no estimable: el panel v7 no tiene renta media del alquiler en euros por CCAA ni número de hogares beneficiarios</t>
        </is>
      </c>
    </row>
    <row r="77">
      <c r="A77" s="5" t="inlineStr">
        <is>
          <t>06</t>
        </is>
      </c>
      <c r="B77" s="5" t="inlineStr">
        <is>
          <t>Cantabria</t>
        </is>
      </c>
      <c r="C77" s="5" t="inlineStr">
        <is>
          <t>ayudas a la demanda</t>
        </is>
      </c>
      <c r="D77" s="5" t="inlineStr">
        <is>
          <t>compra</t>
        </is>
      </c>
      <c r="E77" s="5" t="n">
        <v>10415</v>
      </c>
      <c r="F77" s="5" t="n">
        <v>4.2719</v>
      </c>
      <c r="G77" s="5" t="n">
        <v>-5.3587</v>
      </c>
      <c r="H77" s="5" t="n">
        <v>185.8288</v>
      </c>
      <c r="I77" s="5" t="n">
        <v>101.4647</v>
      </c>
      <c r="J77" s="5" t="n">
        <v>268.8673</v>
      </c>
      <c r="K77" s="5" t="n"/>
      <c r="L77" s="5" t="n">
        <v>2.4265</v>
      </c>
      <c r="M77" s="5" t="n">
        <v>33.3664</v>
      </c>
      <c r="N77" s="5" t="inlineStr">
        <is>
          <t>estimado (C4)</t>
        </is>
      </c>
    </row>
    <row r="78">
      <c r="A78" s="5" t="inlineStr">
        <is>
          <t>06</t>
        </is>
      </c>
      <c r="B78" s="5" t="inlineStr">
        <is>
          <t>Cantabria</t>
        </is>
      </c>
      <c r="C78" s="5" t="inlineStr">
        <is>
          <t>rebaja de ITP/IVA (vivienda nueva)</t>
        </is>
      </c>
      <c r="D78" s="5" t="inlineStr">
        <is>
          <t>compra</t>
        </is>
      </c>
      <c r="E78" s="5" t="n">
        <v>10415</v>
      </c>
      <c r="F78" s="5" t="n">
        <v>1.0672</v>
      </c>
      <c r="G78" s="5" t="n">
        <v>-1.247</v>
      </c>
      <c r="H78" s="5" t="n">
        <v>47.3107</v>
      </c>
      <c r="I78" s="5" t="n">
        <v>21.2436</v>
      </c>
      <c r="J78" s="5" t="n">
        <v>71.56959999999999</v>
      </c>
      <c r="K78" s="5" t="n"/>
      <c r="L78" s="5" t="n">
        <v>2.4265</v>
      </c>
      <c r="M78" s="5" t="n">
        <v>35.5119</v>
      </c>
      <c r="N78" s="5" t="inlineStr">
        <is>
          <t>estimado (C4)</t>
        </is>
      </c>
    </row>
    <row r="79">
      <c r="A79" s="5" t="inlineStr">
        <is>
          <t>06</t>
        </is>
      </c>
      <c r="B79" s="5" t="inlineStr">
        <is>
          <t>Cantabria</t>
        </is>
      </c>
      <c r="C79" s="5" t="inlineStr">
        <is>
          <t>rebaja de impuestos y costes de construcción</t>
        </is>
      </c>
      <c r="D79" s="5" t="inlineStr">
        <is>
          <t>alquiler</t>
        </is>
      </c>
      <c r="E79" s="5" t="n">
        <v>1505</v>
      </c>
      <c r="F79" s="5" t="n">
        <v>-1.0416</v>
      </c>
      <c r="G79" s="5" t="n">
        <v>-1.0416</v>
      </c>
      <c r="H79" s="5" t="n"/>
      <c r="I79" s="5" t="n"/>
      <c r="J79" s="5" t="n"/>
      <c r="K79" s="5" t="n"/>
      <c r="L79" s="5" t="n"/>
      <c r="M79" s="5" t="n"/>
      <c r="N79" s="5" t="inlineStr">
        <is>
          <t>coste anual igual al de compra (la rebaja es una sola); el efecto en alquiler es indirecto</t>
        </is>
      </c>
    </row>
    <row r="80">
      <c r="A80" s="5" t="inlineStr">
        <is>
          <t>06</t>
        </is>
      </c>
      <c r="B80" s="5" t="inlineStr">
        <is>
          <t>Cantabria</t>
        </is>
      </c>
      <c r="C80" s="5" t="inlineStr">
        <is>
          <t>rebaja de impuestos y costes de construcción</t>
        </is>
      </c>
      <c r="D80" s="5" t="inlineStr">
        <is>
          <t>compra</t>
        </is>
      </c>
      <c r="E80" s="5" t="n">
        <v>1505</v>
      </c>
      <c r="F80" s="5" t="n">
        <v>-1.0416</v>
      </c>
      <c r="G80" s="5" t="n">
        <v>-1.0416</v>
      </c>
      <c r="H80" s="5" t="n">
        <v>5.7767</v>
      </c>
      <c r="I80" s="5" t="n">
        <v>3.0239</v>
      </c>
      <c r="J80" s="5" t="n">
        <v>9.5215</v>
      </c>
      <c r="K80" s="5" t="n"/>
      <c r="L80" s="5" t="n">
        <v>-19.0516</v>
      </c>
      <c r="M80" s="5" t="n">
        <v>5.2489</v>
      </c>
      <c r="N80" s="5" t="inlineStr">
        <is>
          <t>estimado (C4)</t>
        </is>
      </c>
    </row>
    <row r="81">
      <c r="A81" s="5" t="inlineStr">
        <is>
          <t>07</t>
        </is>
      </c>
      <c r="B81" s="5" t="inlineStr">
        <is>
          <t>Castilla y León</t>
        </is>
      </c>
      <c r="C81" s="5" t="inlineStr">
        <is>
          <t>construcción adicional</t>
        </is>
      </c>
      <c r="D81" s="5" t="inlineStr">
        <is>
          <t>alquiler</t>
        </is>
      </c>
      <c r="E81" s="5" t="n">
        <v>0</v>
      </c>
      <c r="F81" s="5" t="n">
        <v>0</v>
      </c>
      <c r="G81" s="5" t="n">
        <v>0</v>
      </c>
      <c r="H81" s="5" t="n"/>
      <c r="I81" s="5" t="n"/>
      <c r="J81" s="5" t="n"/>
      <c r="K81" s="5" t="n"/>
      <c r="L81" s="5" t="n"/>
      <c r="M81" s="5" t="n"/>
      <c r="N81" s="5" t="inlineStr">
        <is>
          <t>coste no estimable: no hay coste unitario por vivienda (suelo, obra, financiación pública) verificado ni versionado; el escenario no fija quién paga</t>
        </is>
      </c>
    </row>
    <row r="82">
      <c r="A82" s="5" t="inlineStr">
        <is>
          <t>07</t>
        </is>
      </c>
      <c r="B82" s="5" t="inlineStr">
        <is>
          <t>Castilla y León</t>
        </is>
      </c>
      <c r="C82" s="5" t="inlineStr">
        <is>
          <t>construcción adicional</t>
        </is>
      </c>
      <c r="D82" s="5" t="inlineStr">
        <is>
          <t>compra</t>
        </is>
      </c>
      <c r="E82" s="5" t="n">
        <v>0</v>
      </c>
      <c r="F82" s="5" t="n">
        <v>0</v>
      </c>
      <c r="G82" s="5" t="n">
        <v>0</v>
      </c>
      <c r="H82" s="5" t="n"/>
      <c r="I82" s="5" t="n"/>
      <c r="J82" s="5" t="n"/>
      <c r="K82" s="5" t="n"/>
      <c r="L82" s="5" t="n"/>
      <c r="M82" s="5" t="n"/>
      <c r="N82" s="5" t="inlineStr">
        <is>
          <t>coste no estimable: no hay coste unitario por vivienda (suelo, obra, financiación pública) verificado ni versionado; el escenario no fija quién paga</t>
        </is>
      </c>
    </row>
    <row r="83">
      <c r="A83" s="5" t="inlineStr">
        <is>
          <t>07</t>
        </is>
      </c>
      <c r="B83" s="5" t="inlineStr">
        <is>
          <t>Castilla y León</t>
        </is>
      </c>
      <c r="C83" s="5" t="inlineStr">
        <is>
          <t>movilización de vacías</t>
        </is>
      </c>
      <c r="D83" s="5" t="inlineStr">
        <is>
          <t>alquiler</t>
        </is>
      </c>
      <c r="E83" s="5" t="n">
        <v>63900.8818</v>
      </c>
      <c r="F83" s="5" t="n">
        <v>-5.5706</v>
      </c>
      <c r="G83" s="5" t="n">
        <v>-5.5706</v>
      </c>
      <c r="H83" s="5" t="n"/>
      <c r="I83" s="5" t="n"/>
      <c r="J83" s="5" t="n"/>
      <c r="K83" s="5" t="n">
        <v>-0.8836000000000001</v>
      </c>
      <c r="L83" s="5" t="n"/>
      <c r="M83" s="5" t="n"/>
      <c r="N83" s="5" t="inlineStr">
        <is>
          <t>coste no estimable: no hay coste unitario verificado de movilización (incentivo, rehabilitación, recargo del IBI) ni reparto entre recaudación y gasto</t>
        </is>
      </c>
    </row>
    <row r="84">
      <c r="A84" s="5" t="inlineStr">
        <is>
          <t>07</t>
        </is>
      </c>
      <c r="B84" s="5" t="inlineStr">
        <is>
          <t>Castilla y León</t>
        </is>
      </c>
      <c r="C84" s="5" t="inlineStr">
        <is>
          <t>movilización de vacías</t>
        </is>
      </c>
      <c r="D84" s="5" t="inlineStr">
        <is>
          <t>compra</t>
        </is>
      </c>
      <c r="E84" s="5" t="n">
        <v>63900.8818</v>
      </c>
      <c r="F84" s="5" t="n">
        <v>-1.9604</v>
      </c>
      <c r="G84" s="5" t="n">
        <v>-1.9604</v>
      </c>
      <c r="H84" s="5" t="n"/>
      <c r="I84" s="5" t="n"/>
      <c r="J84" s="5" t="n"/>
      <c r="K84" s="5" t="n">
        <v>-0.3077</v>
      </c>
      <c r="L84" s="5" t="n"/>
      <c r="M84" s="5" t="n"/>
      <c r="N84" s="5" t="inlineStr">
        <is>
          <t>coste no estimable: no hay coste unitario verificado de movilización (incentivo, rehabilitación, recargo del IBI) ni reparto entre recaudación y gasto</t>
        </is>
      </c>
    </row>
    <row r="85">
      <c r="A85" s="5" t="inlineStr">
        <is>
          <t>07</t>
        </is>
      </c>
      <c r="B85" s="5" t="inlineStr">
        <is>
          <t>Castilla y León</t>
        </is>
      </c>
      <c r="C85" s="5" t="inlineStr">
        <is>
          <t>vivienda pública o asequible</t>
        </is>
      </c>
      <c r="D85" s="5" t="inlineStr">
        <is>
          <t>alquiler</t>
        </is>
      </c>
      <c r="E85" s="5" t="n">
        <v>3986.7788</v>
      </c>
      <c r="F85" s="5" t="n">
        <v>-0.6449</v>
      </c>
      <c r="G85" s="5" t="n">
        <v>-0.6449</v>
      </c>
      <c r="H85" s="5" t="n"/>
      <c r="I85" s="5" t="n"/>
      <c r="J85" s="5" t="n"/>
      <c r="K85" s="5" t="n">
        <v>-1.5938</v>
      </c>
      <c r="L85" s="5" t="n"/>
      <c r="M85" s="5" t="n"/>
      <c r="N85" s="5" t="inlineStr">
        <is>
          <t>coste no estimable: no hay coste unitario verificado por vivienda pública (v5 D1: «coste unitario sin dato verificado»)</t>
        </is>
      </c>
    </row>
    <row r="86">
      <c r="A86" s="5" t="inlineStr">
        <is>
          <t>07</t>
        </is>
      </c>
      <c r="B86" s="5" t="inlineStr">
        <is>
          <t>Castilla y León</t>
        </is>
      </c>
      <c r="C86" s="5" t="inlineStr">
        <is>
          <t>vivienda pública o asequible</t>
        </is>
      </c>
      <c r="D86" s="5" t="inlineStr">
        <is>
          <t>compra</t>
        </is>
      </c>
      <c r="E86" s="5" t="n">
        <v>3986.7788</v>
      </c>
      <c r="F86" s="5" t="n">
        <v>-0.1257</v>
      </c>
      <c r="G86" s="5" t="n">
        <v>-0.1257</v>
      </c>
      <c r="H86" s="5" t="n"/>
      <c r="I86" s="5" t="n"/>
      <c r="J86" s="5" t="n"/>
      <c r="K86" s="5" t="n">
        <v>-0.3077</v>
      </c>
      <c r="L86" s="5" t="n"/>
      <c r="M86" s="5" t="n"/>
      <c r="N86" s="5" t="inlineStr">
        <is>
          <t>coste no estimable: no hay coste unitario verificado por vivienda pública (v5 D1: «coste unitario sin dato verificado»)</t>
        </is>
      </c>
    </row>
    <row r="87">
      <c r="A87" s="5" t="inlineStr">
        <is>
          <t>07</t>
        </is>
      </c>
      <c r="B87" s="5" t="inlineStr">
        <is>
          <t>Castilla y León</t>
        </is>
      </c>
      <c r="C87" s="5" t="inlineStr">
        <is>
          <t>regulación local de turísticos</t>
        </is>
      </c>
      <c r="D87" s="5" t="inlineStr">
        <is>
          <t>alquiler</t>
        </is>
      </c>
      <c r="E87" s="5" t="n">
        <v>1205.5131</v>
      </c>
      <c r="F87" s="5" t="n">
        <v>-0.2142</v>
      </c>
      <c r="G87" s="5" t="n">
        <v>-0.2142</v>
      </c>
      <c r="H87" s="5" t="n"/>
      <c r="I87" s="5" t="n"/>
      <c r="J87" s="5" t="n"/>
      <c r="K87" s="5" t="n">
        <v>-1.7808</v>
      </c>
      <c r="L87" s="5" t="n"/>
      <c r="M87" s="5" t="n"/>
      <c r="N87" s="5" t="inlineStr">
        <is>
          <t>coste no estimable: regulación sin coste fiscal directo verificable (inspección y compensaciones sin base)</t>
        </is>
      </c>
    </row>
    <row r="88">
      <c r="A88" s="5" t="inlineStr">
        <is>
          <t>07</t>
        </is>
      </c>
      <c r="B88" s="5" t="inlineStr">
        <is>
          <t>Castilla y León</t>
        </is>
      </c>
      <c r="C88" s="5" t="inlineStr">
        <is>
          <t>regulación local de turísticos</t>
        </is>
      </c>
      <c r="D88" s="5" t="inlineStr">
        <is>
          <t>compra</t>
        </is>
      </c>
      <c r="E88" s="5" t="n">
        <v>1205.5131</v>
      </c>
      <c r="F88" s="5" t="n">
        <v>-0.0374</v>
      </c>
      <c r="G88" s="5" t="n">
        <v>-0.0374</v>
      </c>
      <c r="H88" s="5" t="n"/>
      <c r="I88" s="5" t="n"/>
      <c r="J88" s="5" t="n"/>
      <c r="K88" s="5" t="n">
        <v>-0.3077</v>
      </c>
      <c r="L88" s="5" t="n"/>
      <c r="M88" s="5" t="n"/>
      <c r="N88" s="5" t="inlineStr">
        <is>
          <t>coste no estimable: regulación sin coste fiscal directo verificable (inspección y compensaciones sin base)</t>
        </is>
      </c>
    </row>
    <row r="89">
      <c r="A89" s="5" t="inlineStr">
        <is>
          <t>07</t>
        </is>
      </c>
      <c r="B89" s="5" t="inlineStr">
        <is>
          <t>Castilla y León</t>
        </is>
      </c>
      <c r="C89" s="5" t="inlineStr">
        <is>
          <t>ayudas a la demanda</t>
        </is>
      </c>
      <c r="D89" s="5" t="inlineStr">
        <is>
          <t>alquiler</t>
        </is>
      </c>
      <c r="E89" s="5" t="n">
        <v>36432</v>
      </c>
      <c r="F89" s="5" t="n">
        <v>4.6475</v>
      </c>
      <c r="G89" s="5" t="n">
        <v>-4.8542</v>
      </c>
      <c r="H89" s="5" t="n"/>
      <c r="I89" s="5" t="n"/>
      <c r="J89" s="5" t="n"/>
      <c r="K89" s="5" t="n"/>
      <c r="L89" s="5" t="n"/>
      <c r="M89" s="5" t="n"/>
      <c r="N89" s="5" t="inlineStr">
        <is>
          <t>coste no estimable: el panel v7 no tiene renta media del alquiler en euros por CCAA ni número de hogares beneficiarios</t>
        </is>
      </c>
    </row>
    <row r="90">
      <c r="A90" s="5" t="inlineStr">
        <is>
          <t>07</t>
        </is>
      </c>
      <c r="B90" s="5" t="inlineStr">
        <is>
          <t>Castilla y León</t>
        </is>
      </c>
      <c r="C90" s="5" t="inlineStr">
        <is>
          <t>ayudas a la demanda</t>
        </is>
      </c>
      <c r="D90" s="5" t="inlineStr">
        <is>
          <t>compra</t>
        </is>
      </c>
      <c r="E90" s="5" t="n">
        <v>36432</v>
      </c>
      <c r="F90" s="5" t="n">
        <v>4.6475</v>
      </c>
      <c r="G90" s="5" t="n">
        <v>-4.8542</v>
      </c>
      <c r="H90" s="5" t="n">
        <v>402.188</v>
      </c>
      <c r="I90" s="5" t="n">
        <v>221.0677</v>
      </c>
      <c r="J90" s="5" t="n">
        <v>584.324</v>
      </c>
      <c r="K90" s="5" t="n"/>
      <c r="L90" s="5" t="n">
        <v>1.2408</v>
      </c>
      <c r="M90" s="5" t="n">
        <v>78.8557</v>
      </c>
      <c r="N90" s="5" t="inlineStr">
        <is>
          <t>estimado (C4)</t>
        </is>
      </c>
    </row>
    <row r="91">
      <c r="A91" s="5" t="inlineStr">
        <is>
          <t>07</t>
        </is>
      </c>
      <c r="B91" s="5" t="inlineStr">
        <is>
          <t>Castilla y León</t>
        </is>
      </c>
      <c r="C91" s="5" t="inlineStr">
        <is>
          <t>rebaja de ITP/IVA (vivienda nueva)</t>
        </is>
      </c>
      <c r="D91" s="5" t="inlineStr">
        <is>
          <t>compra</t>
        </is>
      </c>
      <c r="E91" s="5" t="n">
        <v>36432</v>
      </c>
      <c r="F91" s="5" t="n">
        <v>1.1606</v>
      </c>
      <c r="G91" s="5" t="n">
        <v>-1.1031</v>
      </c>
      <c r="H91" s="5" t="n">
        <v>101.0587</v>
      </c>
      <c r="I91" s="5" t="n">
        <v>45.9521</v>
      </c>
      <c r="J91" s="5" t="n">
        <v>156.2993</v>
      </c>
      <c r="K91" s="5" t="n"/>
      <c r="L91" s="5" t="n">
        <v>1.2408</v>
      </c>
      <c r="M91" s="5" t="n">
        <v>85.1626</v>
      </c>
      <c r="N91" s="5" t="inlineStr">
        <is>
          <t>estimado (C4)</t>
        </is>
      </c>
    </row>
    <row r="92">
      <c r="A92" s="5" t="inlineStr">
        <is>
          <t>07</t>
        </is>
      </c>
      <c r="B92" s="5" t="inlineStr">
        <is>
          <t>Castilla y León</t>
        </is>
      </c>
      <c r="C92" s="5" t="inlineStr">
        <is>
          <t>rebaja de impuestos y costes de construcción</t>
        </is>
      </c>
      <c r="D92" s="5" t="inlineStr">
        <is>
          <t>alquiler</t>
        </is>
      </c>
      <c r="E92" s="5" t="n">
        <v>6567</v>
      </c>
      <c r="F92" s="5" t="n">
        <v>-0.9508</v>
      </c>
      <c r="G92" s="5" t="n">
        <v>-0.9508</v>
      </c>
      <c r="H92" s="5" t="n"/>
      <c r="I92" s="5" t="n"/>
      <c r="J92" s="5" t="n"/>
      <c r="K92" s="5" t="n"/>
      <c r="L92" s="5" t="n"/>
      <c r="M92" s="5" t="n"/>
      <c r="N92" s="5" t="inlineStr">
        <is>
          <t>coste anual igual al de compra (la rebaja es una sola); el efecto en alquiler es indirecto</t>
        </is>
      </c>
    </row>
    <row r="93">
      <c r="A93" s="5" t="inlineStr">
        <is>
          <t>07</t>
        </is>
      </c>
      <c r="B93" s="5" t="inlineStr">
        <is>
          <t>Castilla y León</t>
        </is>
      </c>
      <c r="C93" s="5" t="inlineStr">
        <is>
          <t>rebaja de impuestos y costes de construcción</t>
        </is>
      </c>
      <c r="D93" s="5" t="inlineStr">
        <is>
          <t>compra</t>
        </is>
      </c>
      <c r="E93" s="5" t="n">
        <v>6567</v>
      </c>
      <c r="F93" s="5" t="n">
        <v>-0.9508</v>
      </c>
      <c r="G93" s="5" t="n">
        <v>-0.9508</v>
      </c>
      <c r="H93" s="5" t="n">
        <v>15.5253</v>
      </c>
      <c r="I93" s="5" t="n">
        <v>8.364599999999999</v>
      </c>
      <c r="J93" s="5" t="n">
        <v>25.5322</v>
      </c>
      <c r="K93" s="5" t="n"/>
      <c r="L93" s="5" t="n">
        <v>-6.3506</v>
      </c>
      <c r="M93" s="5" t="n">
        <v>15.7465</v>
      </c>
      <c r="N93" s="5" t="inlineStr">
        <is>
          <t>estimado (C4)</t>
        </is>
      </c>
    </row>
    <row r="94">
      <c r="A94" s="5" t="inlineStr">
        <is>
          <t>08</t>
        </is>
      </c>
      <c r="B94" s="5" t="inlineStr">
        <is>
          <t>Castilla-La Mancha</t>
        </is>
      </c>
      <c r="C94" s="5" t="inlineStr">
        <is>
          <t>construcción adicional</t>
        </is>
      </c>
      <c r="D94" s="5" t="inlineStr">
        <is>
          <t>alquiler</t>
        </is>
      </c>
      <c r="E94" s="5" t="n">
        <v>0</v>
      </c>
      <c r="F94" s="5" t="n">
        <v>0</v>
      </c>
      <c r="G94" s="5" t="n">
        <v>0</v>
      </c>
      <c r="H94" s="5" t="n"/>
      <c r="I94" s="5" t="n"/>
      <c r="J94" s="5" t="n"/>
      <c r="K94" s="5" t="n"/>
      <c r="L94" s="5" t="n"/>
      <c r="M94" s="5" t="n"/>
      <c r="N94" s="5" t="inlineStr">
        <is>
          <t>coste no estimable: no hay coste unitario por vivienda (suelo, obra, financiación pública) verificado ni versionado; el escenario no fija quién paga</t>
        </is>
      </c>
    </row>
    <row r="95">
      <c r="A95" s="5" t="inlineStr">
        <is>
          <t>08</t>
        </is>
      </c>
      <c r="B95" s="5" t="inlineStr">
        <is>
          <t>Castilla-La Mancha</t>
        </is>
      </c>
      <c r="C95" s="5" t="inlineStr">
        <is>
          <t>construcción adicional</t>
        </is>
      </c>
      <c r="D95" s="5" t="inlineStr">
        <is>
          <t>compra</t>
        </is>
      </c>
      <c r="E95" s="5" t="n">
        <v>0</v>
      </c>
      <c r="F95" s="5" t="n">
        <v>0</v>
      </c>
      <c r="G95" s="5" t="n">
        <v>0</v>
      </c>
      <c r="H95" s="5" t="n"/>
      <c r="I95" s="5" t="n"/>
      <c r="J95" s="5" t="n"/>
      <c r="K95" s="5" t="n"/>
      <c r="L95" s="5" t="n"/>
      <c r="M95" s="5" t="n"/>
      <c r="N95" s="5" t="inlineStr">
        <is>
          <t>coste no estimable: no hay coste unitario por vivienda (suelo, obra, financiación pública) verificado ni versionado; el escenario no fija quién paga</t>
        </is>
      </c>
    </row>
    <row r="96">
      <c r="A96" s="5" t="inlineStr">
        <is>
          <t>08</t>
        </is>
      </c>
      <c r="B96" s="5" t="inlineStr">
        <is>
          <t>Castilla-La Mancha</t>
        </is>
      </c>
      <c r="C96" s="5" t="inlineStr">
        <is>
          <t>movilización de vacías</t>
        </is>
      </c>
      <c r="D96" s="5" t="inlineStr">
        <is>
          <t>alquiler</t>
        </is>
      </c>
      <c r="E96" s="5" t="n">
        <v>38290.2505</v>
      </c>
      <c r="F96" s="5" t="n">
        <v>-4.2612</v>
      </c>
      <c r="G96" s="5" t="n">
        <v>-4.2612</v>
      </c>
      <c r="H96" s="5" t="n"/>
      <c r="I96" s="5" t="n"/>
      <c r="J96" s="5" t="n"/>
      <c r="K96" s="5" t="n">
        <v>-1.1286</v>
      </c>
      <c r="L96" s="5" t="n"/>
      <c r="M96" s="5" t="n"/>
      <c r="N96" s="5" t="inlineStr">
        <is>
          <t>coste no estimable: no hay coste unitario verificado de movilización (incentivo, rehabilitación, recargo del IBI) ni reparto entre recaudación y gasto</t>
        </is>
      </c>
    </row>
    <row r="97">
      <c r="A97" s="5" t="inlineStr">
        <is>
          <t>08</t>
        </is>
      </c>
      <c r="B97" s="5" t="inlineStr">
        <is>
          <t>Castilla-La Mancha</t>
        </is>
      </c>
      <c r="C97" s="5" t="inlineStr">
        <is>
          <t>movilización de vacías</t>
        </is>
      </c>
      <c r="D97" s="5" t="inlineStr">
        <is>
          <t>compra</t>
        </is>
      </c>
      <c r="E97" s="5" t="n">
        <v>38290.2505</v>
      </c>
      <c r="F97" s="5" t="n">
        <v>-1.5043</v>
      </c>
      <c r="G97" s="5" t="n">
        <v>-1.5043</v>
      </c>
      <c r="H97" s="5" t="n"/>
      <c r="I97" s="5" t="n"/>
      <c r="J97" s="5" t="n"/>
      <c r="K97" s="5" t="n">
        <v>-0.3927</v>
      </c>
      <c r="L97" s="5" t="n"/>
      <c r="M97" s="5" t="n"/>
      <c r="N97" s="5" t="inlineStr">
        <is>
          <t>coste no estimable: no hay coste unitario verificado de movilización (incentivo, rehabilitación, recargo del IBI) ni reparto entre recaudación y gasto</t>
        </is>
      </c>
    </row>
    <row r="98">
      <c r="A98" s="5" t="inlineStr">
        <is>
          <t>08</t>
        </is>
      </c>
      <c r="B98" s="5" t="inlineStr">
        <is>
          <t>Castilla-La Mancha</t>
        </is>
      </c>
      <c r="C98" s="5" t="inlineStr">
        <is>
          <t>vivienda pública o asequible</t>
        </is>
      </c>
      <c r="D98" s="5" t="inlineStr">
        <is>
          <t>alquiler</t>
        </is>
      </c>
      <c r="E98" s="5" t="n">
        <v>13522.5217</v>
      </c>
      <c r="F98" s="5" t="n">
        <v>-2.784</v>
      </c>
      <c r="G98" s="5" t="n">
        <v>-2.784</v>
      </c>
      <c r="H98" s="5" t="n"/>
      <c r="I98" s="5" t="n"/>
      <c r="J98" s="5" t="n"/>
      <c r="K98" s="5" t="n">
        <v>-2.0245</v>
      </c>
      <c r="L98" s="5" t="n"/>
      <c r="M98" s="5" t="n"/>
      <c r="N98" s="5" t="inlineStr">
        <is>
          <t>coste no estimable: no hay coste unitario verificado por vivienda pública (v5 D1: «coste unitario sin dato verificado»)</t>
        </is>
      </c>
    </row>
    <row r="99">
      <c r="A99" s="5" t="inlineStr">
        <is>
          <t>08</t>
        </is>
      </c>
      <c r="B99" s="5" t="inlineStr">
        <is>
          <t>Castilla-La Mancha</t>
        </is>
      </c>
      <c r="C99" s="5" t="inlineStr">
        <is>
          <t>vivienda pública o asequible</t>
        </is>
      </c>
      <c r="D99" s="5" t="inlineStr">
        <is>
          <t>compra</t>
        </is>
      </c>
      <c r="E99" s="5" t="n">
        <v>13522.5217</v>
      </c>
      <c r="F99" s="5" t="n">
        <v>-0.5421</v>
      </c>
      <c r="G99" s="5" t="n">
        <v>-0.5421</v>
      </c>
      <c r="H99" s="5" t="n"/>
      <c r="I99" s="5" t="n"/>
      <c r="J99" s="5" t="n"/>
      <c r="K99" s="5" t="n">
        <v>-0.3927</v>
      </c>
      <c r="L99" s="5" t="n"/>
      <c r="M99" s="5" t="n"/>
      <c r="N99" s="5" t="inlineStr">
        <is>
          <t>coste no estimable: no hay coste unitario verificado por vivienda pública (v5 D1: «coste unitario sin dato verificado»)</t>
        </is>
      </c>
    </row>
    <row r="100">
      <c r="A100" s="5" t="inlineStr">
        <is>
          <t>08</t>
        </is>
      </c>
      <c r="B100" s="5" t="inlineStr">
        <is>
          <t>Castilla-La Mancha</t>
        </is>
      </c>
      <c r="C100" s="5" t="inlineStr">
        <is>
          <t>regulación local de turísticos</t>
        </is>
      </c>
      <c r="D100" s="5" t="inlineStr">
        <is>
          <t>alquiler</t>
        </is>
      </c>
      <c r="E100" s="5" t="n">
        <v>794.9705</v>
      </c>
      <c r="F100" s="5" t="n">
        <v>-0.1779</v>
      </c>
      <c r="G100" s="5" t="n">
        <v>-0.1779</v>
      </c>
      <c r="H100" s="5" t="n"/>
      <c r="I100" s="5" t="n"/>
      <c r="J100" s="5" t="n"/>
      <c r="K100" s="5" t="n">
        <v>-2.2644</v>
      </c>
      <c r="L100" s="5" t="n"/>
      <c r="M100" s="5" t="n"/>
      <c r="N100" s="5" t="inlineStr">
        <is>
          <t>coste no estimable: regulación sin coste fiscal directo verificable (inspección y compensaciones sin base)</t>
        </is>
      </c>
    </row>
    <row r="101">
      <c r="A101" s="5" t="inlineStr">
        <is>
          <t>08</t>
        </is>
      </c>
      <c r="B101" s="5" t="inlineStr">
        <is>
          <t>Castilla-La Mancha</t>
        </is>
      </c>
      <c r="C101" s="5" t="inlineStr">
        <is>
          <t>regulación local de turísticos</t>
        </is>
      </c>
      <c r="D101" s="5" t="inlineStr">
        <is>
          <t>compra</t>
        </is>
      </c>
      <c r="E101" s="5" t="n">
        <v>794.9705</v>
      </c>
      <c r="F101" s="5" t="n">
        <v>-0.0313</v>
      </c>
      <c r="G101" s="5" t="n">
        <v>-0.0313</v>
      </c>
      <c r="H101" s="5" t="n"/>
      <c r="I101" s="5" t="n"/>
      <c r="J101" s="5" t="n"/>
      <c r="K101" s="5" t="n">
        <v>-0.3927</v>
      </c>
      <c r="L101" s="5" t="n"/>
      <c r="M101" s="5" t="n"/>
      <c r="N101" s="5" t="inlineStr">
        <is>
          <t>coste no estimable: regulación sin coste fiscal directo verificable (inspección y compensaciones sin base)</t>
        </is>
      </c>
    </row>
    <row r="102">
      <c r="A102" s="5" t="inlineStr">
        <is>
          <t>08</t>
        </is>
      </c>
      <c r="B102" s="5" t="inlineStr">
        <is>
          <t>Castilla-La Mancha</t>
        </is>
      </c>
      <c r="C102" s="5" t="inlineStr">
        <is>
          <t>ayudas a la demanda</t>
        </is>
      </c>
      <c r="D102" s="5" t="inlineStr">
        <is>
          <t>alquiler</t>
        </is>
      </c>
      <c r="E102" s="5" t="n">
        <v>34495</v>
      </c>
      <c r="F102" s="5" t="n">
        <v>4.5121</v>
      </c>
      <c r="G102" s="5" t="n">
        <v>-5.1809</v>
      </c>
      <c r="H102" s="5" t="n"/>
      <c r="I102" s="5" t="n"/>
      <c r="J102" s="5" t="n"/>
      <c r="K102" s="5" t="n"/>
      <c r="L102" s="5" t="n"/>
      <c r="M102" s="5" t="n"/>
      <c r="N102" s="5" t="inlineStr">
        <is>
          <t>coste no estimable: el panel v7 no tiene renta media del alquiler en euros por CCAA ni número de hogares beneficiarios</t>
        </is>
      </c>
    </row>
    <row r="103">
      <c r="A103" s="5" t="inlineStr">
        <is>
          <t>08</t>
        </is>
      </c>
      <c r="B103" s="5" t="inlineStr">
        <is>
          <t>Castilla-La Mancha</t>
        </is>
      </c>
      <c r="C103" s="5" t="inlineStr">
        <is>
          <t>ayudas a la demanda</t>
        </is>
      </c>
      <c r="D103" s="5" t="inlineStr">
        <is>
          <t>compra</t>
        </is>
      </c>
      <c r="E103" s="5" t="n">
        <v>34495</v>
      </c>
      <c r="F103" s="5" t="n">
        <v>4.5121</v>
      </c>
      <c r="G103" s="5" t="n">
        <v>-5.1809</v>
      </c>
      <c r="H103" s="5" t="n">
        <v>349.5031</v>
      </c>
      <c r="I103" s="5" t="n">
        <v>192.4717</v>
      </c>
      <c r="J103" s="5" t="n">
        <v>505.46</v>
      </c>
      <c r="K103" s="5" t="n"/>
      <c r="L103" s="5" t="n">
        <v>1.372</v>
      </c>
      <c r="M103" s="5" t="n">
        <v>64.9439</v>
      </c>
      <c r="N103" s="5" t="inlineStr">
        <is>
          <t>estimado (C4)</t>
        </is>
      </c>
    </row>
    <row r="104">
      <c r="A104" s="5" t="inlineStr">
        <is>
          <t>08</t>
        </is>
      </c>
      <c r="B104" s="5" t="inlineStr">
        <is>
          <t>Castilla-La Mancha</t>
        </is>
      </c>
      <c r="C104" s="5" t="inlineStr">
        <is>
          <t>rebaja de ITP/IVA (vivienda nueva)</t>
        </is>
      </c>
      <c r="D104" s="5" t="inlineStr">
        <is>
          <t>compra</t>
        </is>
      </c>
      <c r="E104" s="5" t="n">
        <v>34495</v>
      </c>
      <c r="F104" s="5" t="n">
        <v>1.0971</v>
      </c>
      <c r="G104" s="5" t="n">
        <v>-1.1675</v>
      </c>
      <c r="H104" s="5" t="n">
        <v>85.1183</v>
      </c>
      <c r="I104" s="5" t="n">
        <v>39.2548</v>
      </c>
      <c r="J104" s="5" t="n">
        <v>133.9899</v>
      </c>
      <c r="K104" s="5" t="n"/>
      <c r="L104" s="5" t="n">
        <v>1.372</v>
      </c>
      <c r="M104" s="5" t="n">
        <v>69.3741</v>
      </c>
      <c r="N104" s="5" t="inlineStr">
        <is>
          <t>estimado (C4)</t>
        </is>
      </c>
    </row>
    <row r="105">
      <c r="A105" s="5" t="inlineStr">
        <is>
          <t>08</t>
        </is>
      </c>
      <c r="B105" s="5" t="inlineStr">
        <is>
          <t>Castilla-La Mancha</t>
        </is>
      </c>
      <c r="C105" s="5" t="inlineStr">
        <is>
          <t>rebaja de impuestos y costes de construcción</t>
        </is>
      </c>
      <c r="D105" s="5" t="inlineStr">
        <is>
          <t>alquiler</t>
        </is>
      </c>
      <c r="E105" s="5" t="n">
        <v>6473</v>
      </c>
      <c r="F105" s="5" t="n">
        <v>-1.0045</v>
      </c>
      <c r="G105" s="5" t="n">
        <v>-1.0045</v>
      </c>
      <c r="H105" s="5" t="n"/>
      <c r="I105" s="5" t="n"/>
      <c r="J105" s="5" t="n"/>
      <c r="K105" s="5" t="n"/>
      <c r="L105" s="5" t="n"/>
      <c r="M105" s="5" t="n"/>
      <c r="N105" s="5" t="inlineStr">
        <is>
          <t>coste anual igual al de compra (la rebaja es una sola); el efecto en alquiler es indirecto</t>
        </is>
      </c>
    </row>
    <row r="106">
      <c r="A106" s="5" t="inlineStr">
        <is>
          <t>08</t>
        </is>
      </c>
      <c r="B106" s="5" t="inlineStr">
        <is>
          <t>Castilla-La Mancha</t>
        </is>
      </c>
      <c r="C106" s="5" t="inlineStr">
        <is>
          <t>rebaja de impuestos y costes de construcción</t>
        </is>
      </c>
      <c r="D106" s="5" t="inlineStr">
        <is>
          <t>compra</t>
        </is>
      </c>
      <c r="E106" s="5" t="n">
        <v>6473</v>
      </c>
      <c r="F106" s="5" t="n">
        <v>-1.0045</v>
      </c>
      <c r="G106" s="5" t="n">
        <v>-1.0045</v>
      </c>
      <c r="H106" s="5" t="n">
        <v>13.9174</v>
      </c>
      <c r="I106" s="5" t="n">
        <v>7.3809</v>
      </c>
      <c r="J106" s="5" t="n">
        <v>22.793</v>
      </c>
      <c r="K106" s="5" t="n"/>
      <c r="L106" s="5" t="n">
        <v>-7.5089</v>
      </c>
      <c r="M106" s="5" t="n">
        <v>13.3176</v>
      </c>
      <c r="N106" s="5" t="inlineStr">
        <is>
          <t>estimado (C4)</t>
        </is>
      </c>
    </row>
    <row r="107">
      <c r="A107" s="5" t="inlineStr">
        <is>
          <t>09</t>
        </is>
      </c>
      <c r="B107" s="5" t="inlineStr">
        <is>
          <t>Cataluña</t>
        </is>
      </c>
      <c r="C107" s="5" t="inlineStr">
        <is>
          <t>construcción adicional</t>
        </is>
      </c>
      <c r="D107" s="5" t="inlineStr">
        <is>
          <t>alquiler</t>
        </is>
      </c>
      <c r="E107" s="5" t="n">
        <v>9200.879999999999</v>
      </c>
      <c r="F107" s="5" t="n">
        <v>-0.1314</v>
      </c>
      <c r="G107" s="5" t="n">
        <v>-0.1314</v>
      </c>
      <c r="H107" s="5" t="n"/>
      <c r="I107" s="5" t="n"/>
      <c r="J107" s="5" t="n"/>
      <c r="K107" s="5" t="n">
        <v>-0.1457</v>
      </c>
      <c r="L107" s="5" t="n"/>
      <c r="M107" s="5" t="n"/>
      <c r="N107" s="5" t="inlineStr">
        <is>
          <t>coste no estimable: no hay coste unitario por vivienda (suelo, obra, financiación pública) verificado ni versionado; el escenario no fija quién paga</t>
        </is>
      </c>
    </row>
    <row r="108">
      <c r="A108" s="5" t="inlineStr">
        <is>
          <t>09</t>
        </is>
      </c>
      <c r="B108" s="5" t="inlineStr">
        <is>
          <t>Cataluña</t>
        </is>
      </c>
      <c r="C108" s="5" t="inlineStr">
        <is>
          <t>construcción adicional</t>
        </is>
      </c>
      <c r="D108" s="5" t="inlineStr">
        <is>
          <t>compra</t>
        </is>
      </c>
      <c r="E108" s="5" t="n">
        <v>9200.879999999999</v>
      </c>
      <c r="F108" s="5" t="n">
        <v>-0.1175</v>
      </c>
      <c r="G108" s="5" t="n">
        <v>-0.1175</v>
      </c>
      <c r="H108" s="5" t="n"/>
      <c r="I108" s="5" t="n"/>
      <c r="J108" s="5" t="n"/>
      <c r="K108" s="5" t="n">
        <v>-0.1272</v>
      </c>
      <c r="L108" s="5" t="n"/>
      <c r="M108" s="5" t="n"/>
      <c r="N108" s="5" t="inlineStr">
        <is>
          <t>coste no estimable: no hay coste unitario por vivienda (suelo, obra, financiación pública) verificado ni versionado; el escenario no fija quién paga</t>
        </is>
      </c>
    </row>
    <row r="109">
      <c r="A109" s="5" t="inlineStr">
        <is>
          <t>09</t>
        </is>
      </c>
      <c r="B109" s="5" t="inlineStr">
        <is>
          <t>Cataluña</t>
        </is>
      </c>
      <c r="C109" s="5" t="inlineStr">
        <is>
          <t>movilización de vacías</t>
        </is>
      </c>
      <c r="D109" s="5" t="inlineStr">
        <is>
          <t>alquiler</t>
        </is>
      </c>
      <c r="E109" s="5" t="n">
        <v>75393.0304</v>
      </c>
      <c r="F109" s="5" t="n">
        <v>-2.7058</v>
      </c>
      <c r="G109" s="5" t="n">
        <v>-2.7058</v>
      </c>
      <c r="H109" s="5" t="n"/>
      <c r="I109" s="5" t="n"/>
      <c r="J109" s="5" t="n"/>
      <c r="K109" s="5" t="n">
        <v>-0.3666</v>
      </c>
      <c r="L109" s="5" t="n"/>
      <c r="M109" s="5" t="n"/>
      <c r="N109" s="5" t="inlineStr">
        <is>
          <t>coste no estimable: no hay coste unitario verificado de movilización (incentivo, rehabilitación, recargo del IBI) ni reparto entre recaudación y gasto</t>
        </is>
      </c>
    </row>
    <row r="110">
      <c r="A110" s="5" t="inlineStr">
        <is>
          <t>09</t>
        </is>
      </c>
      <c r="B110" s="5" t="inlineStr">
        <is>
          <t>Cataluña</t>
        </is>
      </c>
      <c r="C110" s="5" t="inlineStr">
        <is>
          <t>movilización de vacías</t>
        </is>
      </c>
      <c r="D110" s="5" t="inlineStr">
        <is>
          <t>compra</t>
        </is>
      </c>
      <c r="E110" s="5" t="n">
        <v>75393.0304</v>
      </c>
      <c r="F110" s="5" t="n">
        <v>-0.9593</v>
      </c>
      <c r="G110" s="5" t="n">
        <v>-0.9593</v>
      </c>
      <c r="H110" s="5" t="n"/>
      <c r="I110" s="5" t="n"/>
      <c r="J110" s="5" t="n"/>
      <c r="K110" s="5" t="n">
        <v>-0.1272</v>
      </c>
      <c r="L110" s="5" t="n"/>
      <c r="M110" s="5" t="n"/>
      <c r="N110" s="5" t="inlineStr">
        <is>
          <t>coste no estimable: no hay coste unitario verificado de movilización (incentivo, rehabilitación, recargo del IBI) ni reparto entre recaudación y gasto</t>
        </is>
      </c>
    </row>
    <row r="111">
      <c r="A111" s="5" t="inlineStr">
        <is>
          <t>09</t>
        </is>
      </c>
      <c r="B111" s="5" t="inlineStr">
        <is>
          <t>Cataluña</t>
        </is>
      </c>
      <c r="C111" s="5" t="inlineStr">
        <is>
          <t>vivienda pública o asequible</t>
        </is>
      </c>
      <c r="D111" s="5" t="inlineStr">
        <is>
          <t>alquiler</t>
        </is>
      </c>
      <c r="E111" s="5" t="n">
        <v>61443.3225</v>
      </c>
      <c r="F111" s="5" t="n">
        <v>-4.0954</v>
      </c>
      <c r="G111" s="5" t="n">
        <v>-4.0954</v>
      </c>
      <c r="H111" s="5" t="n"/>
      <c r="I111" s="5" t="n"/>
      <c r="J111" s="5" t="n"/>
      <c r="K111" s="5" t="n">
        <v>-0.6556999999999999</v>
      </c>
      <c r="L111" s="5" t="n"/>
      <c r="M111" s="5" t="n"/>
      <c r="N111" s="5" t="inlineStr">
        <is>
          <t>coste no estimable: no hay coste unitario verificado por vivienda pública (v5 D1: «coste unitario sin dato verificado»)</t>
        </is>
      </c>
    </row>
    <row r="112">
      <c r="A112" s="5" t="inlineStr">
        <is>
          <t>09</t>
        </is>
      </c>
      <c r="B112" s="5" t="inlineStr">
        <is>
          <t>Cataluña</t>
        </is>
      </c>
      <c r="C112" s="5" t="inlineStr">
        <is>
          <t>vivienda pública o asequible</t>
        </is>
      </c>
      <c r="D112" s="5" t="inlineStr">
        <is>
          <t>compra</t>
        </is>
      </c>
      <c r="E112" s="5" t="n">
        <v>61443.3225</v>
      </c>
      <c r="F112" s="5" t="n">
        <v>-0.7932</v>
      </c>
      <c r="G112" s="5" t="n">
        <v>-0.7932</v>
      </c>
      <c r="H112" s="5" t="n"/>
      <c r="I112" s="5" t="n"/>
      <c r="J112" s="5" t="n"/>
      <c r="K112" s="5" t="n">
        <v>-0.1272</v>
      </c>
      <c r="L112" s="5" t="n"/>
      <c r="M112" s="5" t="n"/>
      <c r="N112" s="5" t="inlineStr">
        <is>
          <t>coste no estimable: no hay coste unitario verificado por vivienda pública (v5 D1: «coste unitario sin dato verificado»)</t>
        </is>
      </c>
    </row>
    <row r="113">
      <c r="A113" s="5" t="inlineStr">
        <is>
          <t>09</t>
        </is>
      </c>
      <c r="B113" s="5" t="inlineStr">
        <is>
          <t>Cataluña</t>
        </is>
      </c>
      <c r="C113" s="5" t="inlineStr">
        <is>
          <t>regulación local de turísticos</t>
        </is>
      </c>
      <c r="D113" s="5" t="inlineStr">
        <is>
          <t>alquiler</t>
        </is>
      </c>
      <c r="E113" s="5" t="n">
        <v>8069.7486</v>
      </c>
      <c r="F113" s="5" t="n">
        <v>-0.5918</v>
      </c>
      <c r="G113" s="5" t="n">
        <v>-0.5918</v>
      </c>
      <c r="H113" s="5" t="n"/>
      <c r="I113" s="5" t="n"/>
      <c r="J113" s="5" t="n"/>
      <c r="K113" s="5" t="n">
        <v>-0.7322</v>
      </c>
      <c r="L113" s="5" t="n"/>
      <c r="M113" s="5" t="n"/>
      <c r="N113" s="5" t="inlineStr">
        <is>
          <t>coste no estimable: regulación sin coste fiscal directo verificable (inspección y compensaciones sin base)</t>
        </is>
      </c>
    </row>
    <row r="114">
      <c r="A114" s="5" t="inlineStr">
        <is>
          <t>09</t>
        </is>
      </c>
      <c r="B114" s="5" t="inlineStr">
        <is>
          <t>Cataluña</t>
        </is>
      </c>
      <c r="C114" s="5" t="inlineStr">
        <is>
          <t>regulación local de turísticos</t>
        </is>
      </c>
      <c r="D114" s="5" t="inlineStr">
        <is>
          <t>compra</t>
        </is>
      </c>
      <c r="E114" s="5" t="n">
        <v>8069.7486</v>
      </c>
      <c r="F114" s="5" t="n">
        <v>-0.1042</v>
      </c>
      <c r="G114" s="5" t="n">
        <v>-0.1042</v>
      </c>
      <c r="H114" s="5" t="n"/>
      <c r="I114" s="5" t="n"/>
      <c r="J114" s="5" t="n"/>
      <c r="K114" s="5" t="n">
        <v>-0.1272</v>
      </c>
      <c r="L114" s="5" t="n"/>
      <c r="M114" s="5" t="n"/>
      <c r="N114" s="5" t="inlineStr">
        <is>
          <t>coste no estimable: regulación sin coste fiscal directo verificable (inspección y compensaciones sin base)</t>
        </is>
      </c>
    </row>
    <row r="115">
      <c r="A115" s="5" t="inlineStr">
        <is>
          <t>09</t>
        </is>
      </c>
      <c r="B115" s="5" t="inlineStr">
        <is>
          <t>Cataluña</t>
        </is>
      </c>
      <c r="C115" s="5" t="inlineStr">
        <is>
          <t>ayudas a la demanda</t>
        </is>
      </c>
      <c r="D115" s="5" t="inlineStr">
        <is>
          <t>alquiler</t>
        </is>
      </c>
      <c r="E115" s="5" t="n">
        <v>112690</v>
      </c>
      <c r="F115" s="5" t="n">
        <v>4.2355</v>
      </c>
      <c r="G115" s="5" t="n">
        <v>-5.3349</v>
      </c>
      <c r="H115" s="5" t="n"/>
      <c r="I115" s="5" t="n"/>
      <c r="J115" s="5" t="n"/>
      <c r="K115" s="5" t="n"/>
      <c r="L115" s="5" t="n"/>
      <c r="M115" s="5" t="n"/>
      <c r="N115" s="5" t="inlineStr">
        <is>
          <t>coste no estimable: el panel v7 no tiene renta media del alquiler en euros por CCAA ni número de hogares beneficiarios</t>
        </is>
      </c>
    </row>
    <row r="116">
      <c r="A116" s="5" t="inlineStr">
        <is>
          <t>09</t>
        </is>
      </c>
      <c r="B116" s="5" t="inlineStr">
        <is>
          <t>Cataluña</t>
        </is>
      </c>
      <c r="C116" s="5" t="inlineStr">
        <is>
          <t>ayudas a la demanda</t>
        </is>
      </c>
      <c r="D116" s="5" t="inlineStr">
        <is>
          <t>compra</t>
        </is>
      </c>
      <c r="E116" s="5" t="n">
        <v>112690</v>
      </c>
      <c r="F116" s="5" t="n">
        <v>4.2355</v>
      </c>
      <c r="G116" s="5" t="n">
        <v>-5.3349</v>
      </c>
      <c r="H116" s="5" t="n">
        <v>2673.9882</v>
      </c>
      <c r="I116" s="5" t="n">
        <v>1466.3011</v>
      </c>
      <c r="J116" s="5" t="n">
        <v>3895.6801</v>
      </c>
      <c r="K116" s="5" t="n"/>
      <c r="L116" s="5" t="n">
        <v>0.1675</v>
      </c>
      <c r="M116" s="5" t="n">
        <v>477.73</v>
      </c>
      <c r="N116" s="5" t="inlineStr">
        <is>
          <t>estimado (C4)</t>
        </is>
      </c>
    </row>
    <row r="117">
      <c r="A117" s="5" t="inlineStr">
        <is>
          <t>09</t>
        </is>
      </c>
      <c r="B117" s="5" t="inlineStr">
        <is>
          <t>Cataluña</t>
        </is>
      </c>
      <c r="C117" s="5" t="inlineStr">
        <is>
          <t>rebaja de ITP/IVA (vivienda nueva)</t>
        </is>
      </c>
      <c r="D117" s="5" t="inlineStr">
        <is>
          <t>compra</t>
        </is>
      </c>
      <c r="E117" s="5" t="n">
        <v>112690</v>
      </c>
      <c r="F117" s="5" t="n">
        <v>1.0553</v>
      </c>
      <c r="G117" s="5" t="n">
        <v>-1.2326</v>
      </c>
      <c r="H117" s="5" t="n">
        <v>671.0481</v>
      </c>
      <c r="I117" s="5" t="n">
        <v>304.8339</v>
      </c>
      <c r="J117" s="5" t="n">
        <v>1032.2152</v>
      </c>
      <c r="K117" s="5" t="n"/>
      <c r="L117" s="5" t="n">
        <v>0.1675</v>
      </c>
      <c r="M117" s="5" t="n">
        <v>507.1933</v>
      </c>
      <c r="N117" s="5" t="inlineStr">
        <is>
          <t>estimado (C4)</t>
        </is>
      </c>
    </row>
    <row r="118">
      <c r="A118" s="5" t="inlineStr">
        <is>
          <t>09</t>
        </is>
      </c>
      <c r="B118" s="5" t="inlineStr">
        <is>
          <t>Cataluña</t>
        </is>
      </c>
      <c r="C118" s="5" t="inlineStr">
        <is>
          <t>rebaja de impuestos y costes de construcción</t>
        </is>
      </c>
      <c r="D118" s="5" t="inlineStr">
        <is>
          <t>alquiler</t>
        </is>
      </c>
      <c r="E118" s="5" t="n">
        <v>13882</v>
      </c>
      <c r="F118" s="5" t="n">
        <v>-1.0531</v>
      </c>
      <c r="G118" s="5" t="n">
        <v>-1.0531</v>
      </c>
      <c r="H118" s="5" t="n"/>
      <c r="I118" s="5" t="n"/>
      <c r="J118" s="5" t="n"/>
      <c r="K118" s="5" t="n"/>
      <c r="L118" s="5" t="n"/>
      <c r="M118" s="5" t="n"/>
      <c r="N118" s="5" t="inlineStr">
        <is>
          <t>coste anual igual al de compra (la rebaja es una sola); el efecto en alquiler es indirecto</t>
        </is>
      </c>
    </row>
    <row r="119">
      <c r="A119" s="5" t="inlineStr">
        <is>
          <t>09</t>
        </is>
      </c>
      <c r="B119" s="5" t="inlineStr">
        <is>
          <t>Cataluña</t>
        </is>
      </c>
      <c r="C119" s="5" t="inlineStr">
        <is>
          <t>rebaja de impuestos y costes de construcción</t>
        </is>
      </c>
      <c r="D119" s="5" t="inlineStr">
        <is>
          <t>compra</t>
        </is>
      </c>
      <c r="E119" s="5" t="n">
        <v>13882</v>
      </c>
      <c r="F119" s="5" t="n">
        <v>-1.0531</v>
      </c>
      <c r="G119" s="5" t="n">
        <v>-1.0531</v>
      </c>
      <c r="H119" s="5" t="n">
        <v>70.85169999999999</v>
      </c>
      <c r="I119" s="5" t="n">
        <v>37.1839</v>
      </c>
      <c r="J119" s="5" t="n">
        <v>116.2747</v>
      </c>
      <c r="K119" s="5" t="n"/>
      <c r="L119" s="5" t="n">
        <v>-1.5705</v>
      </c>
      <c r="M119" s="5" t="n">
        <v>63.673</v>
      </c>
      <c r="N119" s="5" t="inlineStr">
        <is>
          <t>estimado (C4)</t>
        </is>
      </c>
    </row>
    <row r="120">
      <c r="A120" s="5" t="inlineStr">
        <is>
          <t>10</t>
        </is>
      </c>
      <c r="B120" s="5" t="inlineStr">
        <is>
          <t>Comunitat Valenciana</t>
        </is>
      </c>
      <c r="C120" s="5" t="inlineStr">
        <is>
          <t>construcción adicional</t>
        </is>
      </c>
      <c r="D120" s="5" t="inlineStr">
        <is>
          <t>alquiler</t>
        </is>
      </c>
      <c r="E120" s="5" t="n">
        <v>0</v>
      </c>
      <c r="F120" s="5" t="n">
        <v>0</v>
      </c>
      <c r="G120" s="5" t="n">
        <v>0</v>
      </c>
      <c r="H120" s="5" t="n"/>
      <c r="I120" s="5" t="n"/>
      <c r="J120" s="5" t="n"/>
      <c r="K120" s="5" t="n"/>
      <c r="L120" s="5" t="n"/>
      <c r="M120" s="5" t="n"/>
      <c r="N120" s="5" t="inlineStr">
        <is>
          <t>coste no estimable: no hay coste unitario por vivienda (suelo, obra, financiación pública) verificado ni versionado; el escenario no fija quién paga</t>
        </is>
      </c>
    </row>
    <row r="121">
      <c r="A121" s="5" t="inlineStr">
        <is>
          <t>10</t>
        </is>
      </c>
      <c r="B121" s="5" t="inlineStr">
        <is>
          <t>Comunitat Valenciana</t>
        </is>
      </c>
      <c r="C121" s="5" t="inlineStr">
        <is>
          <t>construcción adicional</t>
        </is>
      </c>
      <c r="D121" s="5" t="inlineStr">
        <is>
          <t>compra</t>
        </is>
      </c>
      <c r="E121" s="5" t="n">
        <v>0</v>
      </c>
      <c r="F121" s="5" t="n">
        <v>0</v>
      </c>
      <c r="G121" s="5" t="n">
        <v>0</v>
      </c>
      <c r="H121" s="5" t="n"/>
      <c r="I121" s="5" t="n"/>
      <c r="J121" s="5" t="n"/>
      <c r="K121" s="5" t="n"/>
      <c r="L121" s="5" t="n"/>
      <c r="M121" s="5" t="n"/>
      <c r="N121" s="5" t="inlineStr">
        <is>
          <t>coste no estimable: no hay coste unitario por vivienda (suelo, obra, financiación pública) verificado ni versionado; el escenario no fija quién paga</t>
        </is>
      </c>
    </row>
    <row r="122">
      <c r="A122" s="5" t="inlineStr">
        <is>
          <t>10</t>
        </is>
      </c>
      <c r="B122" s="5" t="inlineStr">
        <is>
          <t>Comunitat Valenciana</t>
        </is>
      </c>
      <c r="C122" s="5" t="inlineStr">
        <is>
          <t>movilización de vacías</t>
        </is>
      </c>
      <c r="D122" s="5" t="inlineStr">
        <is>
          <t>alquiler</t>
        </is>
      </c>
      <c r="E122" s="5" t="n">
        <v>82219.2068</v>
      </c>
      <c r="F122" s="5" t="n">
        <v>-4.4199</v>
      </c>
      <c r="G122" s="5" t="n">
        <v>-4.4199</v>
      </c>
      <c r="H122" s="5" t="n"/>
      <c r="I122" s="5" t="n"/>
      <c r="J122" s="5" t="n"/>
      <c r="K122" s="5" t="n">
        <v>-0.5469000000000001</v>
      </c>
      <c r="L122" s="5" t="n"/>
      <c r="M122" s="5" t="n"/>
      <c r="N122" s="5" t="inlineStr">
        <is>
          <t>coste no estimable: no hay coste unitario verificado de movilización (incentivo, rehabilitación, recargo del IBI) ni reparto entre recaudación y gasto</t>
        </is>
      </c>
    </row>
    <row r="123">
      <c r="A123" s="5" t="inlineStr">
        <is>
          <t>10</t>
        </is>
      </c>
      <c r="B123" s="5" t="inlineStr">
        <is>
          <t>Comunitat Valenciana</t>
        </is>
      </c>
      <c r="C123" s="5" t="inlineStr">
        <is>
          <t>movilización de vacías</t>
        </is>
      </c>
      <c r="D123" s="5" t="inlineStr">
        <is>
          <t>compra</t>
        </is>
      </c>
      <c r="E123" s="5" t="n">
        <v>82219.2068</v>
      </c>
      <c r="F123" s="5" t="n">
        <v>-1.5684</v>
      </c>
      <c r="G123" s="5" t="n">
        <v>-1.5684</v>
      </c>
      <c r="H123" s="5" t="n"/>
      <c r="I123" s="5" t="n"/>
      <c r="J123" s="5" t="n"/>
      <c r="K123" s="5" t="n">
        <v>-0.1907</v>
      </c>
      <c r="L123" s="5" t="n"/>
      <c r="M123" s="5" t="n"/>
      <c r="N123" s="5" t="inlineStr">
        <is>
          <t>coste no estimable: no hay coste unitario verificado de movilización (incentivo, rehabilitación, recargo del IBI) ni reparto entre recaudación y gasto</t>
        </is>
      </c>
    </row>
    <row r="124">
      <c r="A124" s="5" t="inlineStr">
        <is>
          <t>10</t>
        </is>
      </c>
      <c r="B124" s="5" t="inlineStr">
        <is>
          <t>Comunitat Valenciana</t>
        </is>
      </c>
      <c r="C124" s="5" t="inlineStr">
        <is>
          <t>vivienda pública o asequible</t>
        </is>
      </c>
      <c r="D124" s="5" t="inlineStr">
        <is>
          <t>alquiler</t>
        </is>
      </c>
      <c r="E124" s="5" t="n">
        <v>51217.9722</v>
      </c>
      <c r="F124" s="5" t="n">
        <v>-5.1683</v>
      </c>
      <c r="G124" s="5" t="n">
        <v>-5.1683</v>
      </c>
      <c r="H124" s="5" t="n"/>
      <c r="I124" s="5" t="n"/>
      <c r="J124" s="5" t="n"/>
      <c r="K124" s="5" t="n">
        <v>-0.9828</v>
      </c>
      <c r="L124" s="5" t="n"/>
      <c r="M124" s="5" t="n"/>
      <c r="N124" s="5" t="inlineStr">
        <is>
          <t>coste no estimable: no hay coste unitario verificado por vivienda pública (v5 D1: «coste unitario sin dato verificado»)</t>
        </is>
      </c>
    </row>
    <row r="125">
      <c r="A125" s="5" t="inlineStr">
        <is>
          <t>10</t>
        </is>
      </c>
      <c r="B125" s="5" t="inlineStr">
        <is>
          <t>Comunitat Valenciana</t>
        </is>
      </c>
      <c r="C125" s="5" t="inlineStr">
        <is>
          <t>vivienda pública o asequible</t>
        </is>
      </c>
      <c r="D125" s="5" t="inlineStr">
        <is>
          <t>compra</t>
        </is>
      </c>
      <c r="E125" s="5" t="n">
        <v>51217.9722</v>
      </c>
      <c r="F125" s="5" t="n">
        <v>-1.0051</v>
      </c>
      <c r="G125" s="5" t="n">
        <v>-1.0051</v>
      </c>
      <c r="H125" s="5" t="n"/>
      <c r="I125" s="5" t="n"/>
      <c r="J125" s="5" t="n"/>
      <c r="K125" s="5" t="n">
        <v>-0.1907</v>
      </c>
      <c r="L125" s="5" t="n"/>
      <c r="M125" s="5" t="n"/>
      <c r="N125" s="5" t="inlineStr">
        <is>
          <t>coste no estimable: no hay coste unitario verificado por vivienda pública (v5 D1: «coste unitario sin dato verificado»)</t>
        </is>
      </c>
    </row>
    <row r="126">
      <c r="A126" s="5" t="inlineStr">
        <is>
          <t>10</t>
        </is>
      </c>
      <c r="B126" s="5" t="inlineStr">
        <is>
          <t>Comunitat Valenciana</t>
        </is>
      </c>
      <c r="C126" s="5" t="inlineStr">
        <is>
          <t>regulación local de turísticos</t>
        </is>
      </c>
      <c r="D126" s="5" t="inlineStr">
        <is>
          <t>alquiler</t>
        </is>
      </c>
      <c r="E126" s="5" t="n">
        <v>8347.8253</v>
      </c>
      <c r="F126" s="5" t="n">
        <v>-0.9142</v>
      </c>
      <c r="G126" s="5" t="n">
        <v>-0.9142</v>
      </c>
      <c r="H126" s="5" t="n"/>
      <c r="I126" s="5" t="n"/>
      <c r="J126" s="5" t="n"/>
      <c r="K126" s="5" t="n">
        <v>-1.0911</v>
      </c>
      <c r="L126" s="5" t="n"/>
      <c r="M126" s="5" t="n"/>
      <c r="N126" s="5" t="inlineStr">
        <is>
          <t>coste no estimable: regulación sin coste fiscal directo verificable (inspección y compensaciones sin base)</t>
        </is>
      </c>
    </row>
    <row r="127">
      <c r="A127" s="5" t="inlineStr">
        <is>
          <t>10</t>
        </is>
      </c>
      <c r="B127" s="5" t="inlineStr">
        <is>
          <t>Comunitat Valenciana</t>
        </is>
      </c>
      <c r="C127" s="5" t="inlineStr">
        <is>
          <t>regulación local de turísticos</t>
        </is>
      </c>
      <c r="D127" s="5" t="inlineStr">
        <is>
          <t>compra</t>
        </is>
      </c>
      <c r="E127" s="5" t="n">
        <v>8347.8253</v>
      </c>
      <c r="F127" s="5" t="n">
        <v>-0.1602</v>
      </c>
      <c r="G127" s="5" t="n">
        <v>-0.1602</v>
      </c>
      <c r="H127" s="5" t="n"/>
      <c r="I127" s="5" t="n"/>
      <c r="J127" s="5" t="n"/>
      <c r="K127" s="5" t="n">
        <v>-0.1907</v>
      </c>
      <c r="L127" s="5" t="n"/>
      <c r="M127" s="5" t="n"/>
      <c r="N127" s="5" t="inlineStr">
        <is>
          <t>coste no estimable: regulación sin coste fiscal directo verificable (inspección y compensaciones sin base)</t>
        </is>
      </c>
    </row>
    <row r="128">
      <c r="A128" s="5" t="inlineStr">
        <is>
          <t>10</t>
        </is>
      </c>
      <c r="B128" s="5" t="inlineStr">
        <is>
          <t>Comunitat Valenciana</t>
        </is>
      </c>
      <c r="C128" s="5" t="inlineStr">
        <is>
          <t>ayudas a la demanda</t>
        </is>
      </c>
      <c r="D128" s="5" t="inlineStr">
        <is>
          <t>alquiler</t>
        </is>
      </c>
      <c r="E128" s="5" t="n">
        <v>109301</v>
      </c>
      <c r="F128" s="5" t="n">
        <v>5.3653</v>
      </c>
      <c r="G128" s="5" t="n">
        <v>-4.3957</v>
      </c>
      <c r="H128" s="5" t="n"/>
      <c r="I128" s="5" t="n"/>
      <c r="J128" s="5" t="n"/>
      <c r="K128" s="5" t="n"/>
      <c r="L128" s="5" t="n"/>
      <c r="M128" s="5" t="n"/>
      <c r="N128" s="5" t="inlineStr">
        <is>
          <t>coste no estimable: el panel v7 no tiene renta media del alquiler en euros por CCAA ni número de hogares beneficiarios</t>
        </is>
      </c>
    </row>
    <row r="129">
      <c r="A129" s="5" t="inlineStr">
        <is>
          <t>10</t>
        </is>
      </c>
      <c r="B129" s="5" t="inlineStr">
        <is>
          <t>Comunitat Valenciana</t>
        </is>
      </c>
      <c r="C129" s="5" t="inlineStr">
        <is>
          <t>ayudas a la demanda</t>
        </is>
      </c>
      <c r="D129" s="5" t="inlineStr">
        <is>
          <t>compra</t>
        </is>
      </c>
      <c r="E129" s="5" t="n">
        <v>109301</v>
      </c>
      <c r="F129" s="5" t="n">
        <v>5.3653</v>
      </c>
      <c r="G129" s="5" t="n">
        <v>-4.3957</v>
      </c>
      <c r="H129" s="5" t="n">
        <v>1777.2285</v>
      </c>
      <c r="I129" s="5" t="n">
        <v>983.6978</v>
      </c>
      <c r="J129" s="5" t="n">
        <v>2571.9657</v>
      </c>
      <c r="K129" s="5" t="n"/>
      <c r="L129" s="5" t="n">
        <v>0.3203</v>
      </c>
      <c r="M129" s="5" t="n">
        <v>391.6229</v>
      </c>
      <c r="N129" s="5" t="inlineStr">
        <is>
          <t>estimado (C4)</t>
        </is>
      </c>
    </row>
    <row r="130">
      <c r="A130" s="5" t="inlineStr">
        <is>
          <t>10</t>
        </is>
      </c>
      <c r="B130" s="5" t="inlineStr">
        <is>
          <t>Comunitat Valenciana</t>
        </is>
      </c>
      <c r="C130" s="5" t="inlineStr">
        <is>
          <t>rebaja de ITP/IVA (vivienda nueva)</t>
        </is>
      </c>
      <c r="D130" s="5" t="inlineStr">
        <is>
          <t>compra</t>
        </is>
      </c>
      <c r="E130" s="5" t="n">
        <v>109301</v>
      </c>
      <c r="F130" s="5" t="n">
        <v>1.3262</v>
      </c>
      <c r="G130" s="5" t="n">
        <v>-0.9772</v>
      </c>
      <c r="H130" s="5" t="n">
        <v>435.4452</v>
      </c>
      <c r="I130" s="5" t="n">
        <v>204.7326</v>
      </c>
      <c r="J130" s="5" t="n">
        <v>684.0571</v>
      </c>
      <c r="K130" s="5" t="n"/>
      <c r="L130" s="5" t="n">
        <v>0.3203</v>
      </c>
      <c r="M130" s="5" t="n">
        <v>430.91</v>
      </c>
      <c r="N130" s="5" t="inlineStr">
        <is>
          <t>estimado (C4)</t>
        </is>
      </c>
    </row>
    <row r="131">
      <c r="A131" s="5" t="inlineStr">
        <is>
          <t>10</t>
        </is>
      </c>
      <c r="B131" s="5" t="inlineStr">
        <is>
          <t>Comunitat Valenciana</t>
        </is>
      </c>
      <c r="C131" s="5" t="inlineStr">
        <is>
          <t>rebaja de impuestos y costes de construcción</t>
        </is>
      </c>
      <c r="D131" s="5" t="inlineStr">
        <is>
          <t>alquiler</t>
        </is>
      </c>
      <c r="E131" s="5" t="n">
        <v>14256</v>
      </c>
      <c r="F131" s="5" t="n">
        <v>-0.8166</v>
      </c>
      <c r="G131" s="5" t="n">
        <v>-0.8166</v>
      </c>
      <c r="H131" s="5" t="n"/>
      <c r="I131" s="5" t="n"/>
      <c r="J131" s="5" t="n"/>
      <c r="K131" s="5" t="n"/>
      <c r="L131" s="5" t="n"/>
      <c r="M131" s="5" t="n"/>
      <c r="N131" s="5" t="inlineStr">
        <is>
          <t>coste anual igual al de compra (la rebaja es una sola); el efecto en alquiler es indirecto</t>
        </is>
      </c>
    </row>
    <row r="132">
      <c r="A132" s="5" t="inlineStr">
        <is>
          <t>10</t>
        </is>
      </c>
      <c r="B132" s="5" t="inlineStr">
        <is>
          <t>Comunitat Valenciana</t>
        </is>
      </c>
      <c r="C132" s="5" t="inlineStr">
        <is>
          <t>rebaja de impuestos y costes de construcción</t>
        </is>
      </c>
      <c r="D132" s="5" t="inlineStr">
        <is>
          <t>compra</t>
        </is>
      </c>
      <c r="E132" s="5" t="n">
        <v>14256</v>
      </c>
      <c r="F132" s="5" t="n">
        <v>-0.8166</v>
      </c>
      <c r="G132" s="5" t="n">
        <v>-0.8166</v>
      </c>
      <c r="H132" s="5" t="n">
        <v>49.689</v>
      </c>
      <c r="I132" s="5" t="n">
        <v>26.1127</v>
      </c>
      <c r="J132" s="5" t="n">
        <v>81.1345</v>
      </c>
      <c r="K132" s="5" t="n"/>
      <c r="L132" s="5" t="n">
        <v>-1.7181</v>
      </c>
      <c r="M132" s="5" t="n">
        <v>58.2052</v>
      </c>
      <c r="N132" s="5" t="inlineStr">
        <is>
          <t>estimado (C4)</t>
        </is>
      </c>
    </row>
    <row r="133">
      <c r="A133" s="5" t="inlineStr">
        <is>
          <t>11</t>
        </is>
      </c>
      <c r="B133" s="5" t="inlineStr">
        <is>
          <t>Extremadura</t>
        </is>
      </c>
      <c r="C133" s="5" t="inlineStr">
        <is>
          <t>construcción adicional</t>
        </is>
      </c>
      <c r="D133" s="5" t="inlineStr">
        <is>
          <t>alquiler</t>
        </is>
      </c>
      <c r="E133" s="5" t="n">
        <v>0</v>
      </c>
      <c r="F133" s="5" t="n">
        <v>0</v>
      </c>
      <c r="G133" s="5" t="n">
        <v>0</v>
      </c>
      <c r="H133" s="5" t="n"/>
      <c r="I133" s="5" t="n"/>
      <c r="J133" s="5" t="n"/>
      <c r="K133" s="5" t="n"/>
      <c r="L133" s="5" t="n"/>
      <c r="M133" s="5" t="n"/>
      <c r="N133" s="5" t="inlineStr">
        <is>
          <t>coste no estimable: no hay coste unitario por vivienda (suelo, obra, financiación pública) verificado ni versionado; el escenario no fija quién paga</t>
        </is>
      </c>
    </row>
    <row r="134">
      <c r="A134" s="5" t="inlineStr">
        <is>
          <t>11</t>
        </is>
      </c>
      <c r="B134" s="5" t="inlineStr">
        <is>
          <t>Extremadura</t>
        </is>
      </c>
      <c r="C134" s="5" t="inlineStr">
        <is>
          <t>construcción adicional</t>
        </is>
      </c>
      <c r="D134" s="5" t="inlineStr">
        <is>
          <t>compra</t>
        </is>
      </c>
      <c r="E134" s="5" t="n">
        <v>0</v>
      </c>
      <c r="F134" s="5" t="n">
        <v>0</v>
      </c>
      <c r="G134" s="5" t="n">
        <v>0</v>
      </c>
      <c r="H134" s="5" t="n"/>
      <c r="I134" s="5" t="n"/>
      <c r="J134" s="5" t="n"/>
      <c r="K134" s="5" t="n"/>
      <c r="L134" s="5" t="n"/>
      <c r="M134" s="5" t="n"/>
      <c r="N134" s="5" t="inlineStr">
        <is>
          <t>coste no estimable: no hay coste unitario por vivienda (suelo, obra, financiación pública) verificado ni versionado; el escenario no fija quién paga</t>
        </is>
      </c>
    </row>
    <row r="135">
      <c r="A135" s="5" t="inlineStr">
        <is>
          <t>11</t>
        </is>
      </c>
      <c r="B135" s="5" t="inlineStr">
        <is>
          <t>Extremadura</t>
        </is>
      </c>
      <c r="C135" s="5" t="inlineStr">
        <is>
          <t>movilización de vacías</t>
        </is>
      </c>
      <c r="D135" s="5" t="inlineStr">
        <is>
          <t>alquiler</t>
        </is>
      </c>
      <c r="E135" s="5" t="n">
        <v>22113.5566</v>
      </c>
      <c r="F135" s="5" t="n">
        <v>-8.2841</v>
      </c>
      <c r="G135" s="5" t="n">
        <v>-8.2841</v>
      </c>
      <c r="H135" s="5" t="n"/>
      <c r="I135" s="5" t="n"/>
      <c r="J135" s="5" t="n"/>
      <c r="K135" s="5" t="n">
        <v>-3.8247</v>
      </c>
      <c r="L135" s="5" t="n"/>
      <c r="M135" s="5" t="n"/>
      <c r="N135" s="5" t="inlineStr">
        <is>
          <t>coste no estimable: no hay coste unitario verificado de movilización (incentivo, rehabilitación, recargo del IBI) ni reparto entre recaudación y gasto</t>
        </is>
      </c>
    </row>
    <row r="136">
      <c r="A136" s="5" t="inlineStr">
        <is>
          <t>11</t>
        </is>
      </c>
      <c r="B136" s="5" t="inlineStr">
        <is>
          <t>Extremadura</t>
        </is>
      </c>
      <c r="C136" s="5" t="inlineStr">
        <is>
          <t>movilización de vacías</t>
        </is>
      </c>
      <c r="D136" s="5" t="inlineStr">
        <is>
          <t>compra</t>
        </is>
      </c>
      <c r="E136" s="5" t="n">
        <v>22113.5566</v>
      </c>
      <c r="F136" s="5" t="n">
        <v>-2.9099</v>
      </c>
      <c r="G136" s="5" t="n">
        <v>-2.9099</v>
      </c>
      <c r="H136" s="5" t="n"/>
      <c r="I136" s="5" t="n"/>
      <c r="J136" s="5" t="n"/>
      <c r="K136" s="5" t="n">
        <v>-1.3246</v>
      </c>
      <c r="L136" s="5" t="n"/>
      <c r="M136" s="5" t="n"/>
      <c r="N136" s="5" t="inlineStr">
        <is>
          <t>coste no estimable: no hay coste unitario verificado de movilización (incentivo, rehabilitación, recargo del IBI) ni reparto entre recaudación y gasto</t>
        </is>
      </c>
    </row>
    <row r="137">
      <c r="A137" s="5" t="inlineStr">
        <is>
          <t>11</t>
        </is>
      </c>
      <c r="B137" s="5" t="inlineStr">
        <is>
          <t>Extremadura</t>
        </is>
      </c>
      <c r="C137" s="5" t="inlineStr">
        <is>
          <t>vivienda pública o asequible</t>
        </is>
      </c>
      <c r="D137" s="5" t="inlineStr">
        <is>
          <t>alquiler</t>
        </is>
      </c>
      <c r="E137" s="5" t="n">
        <v>1566.3759</v>
      </c>
      <c r="F137" s="5" t="n">
        <v>-1.0966</v>
      </c>
      <c r="G137" s="5" t="n">
        <v>-1.0966</v>
      </c>
      <c r="H137" s="5" t="n"/>
      <c r="I137" s="5" t="n"/>
      <c r="J137" s="5" t="n"/>
      <c r="K137" s="5" t="n">
        <v>-6.8269</v>
      </c>
      <c r="L137" s="5" t="n"/>
      <c r="M137" s="5" t="n"/>
      <c r="N137" s="5" t="inlineStr">
        <is>
          <t>coste no estimable: no hay coste unitario verificado por vivienda pública (v5 D1: «coste unitario sin dato verificado»)</t>
        </is>
      </c>
    </row>
    <row r="138">
      <c r="A138" s="5" t="inlineStr">
        <is>
          <t>11</t>
        </is>
      </c>
      <c r="B138" s="5" t="inlineStr">
        <is>
          <t>Extremadura</t>
        </is>
      </c>
      <c r="C138" s="5" t="inlineStr">
        <is>
          <t>vivienda pública o asequible</t>
        </is>
      </c>
      <c r="D138" s="5" t="inlineStr">
        <is>
          <t>compra</t>
        </is>
      </c>
      <c r="E138" s="5" t="n">
        <v>1566.3759</v>
      </c>
      <c r="F138" s="5" t="n">
        <v>-0.2119</v>
      </c>
      <c r="G138" s="5" t="n">
        <v>-0.2119</v>
      </c>
      <c r="H138" s="5" t="n"/>
      <c r="I138" s="5" t="n"/>
      <c r="J138" s="5" t="n"/>
      <c r="K138" s="5" t="n">
        <v>-1.3246</v>
      </c>
      <c r="L138" s="5" t="n"/>
      <c r="M138" s="5" t="n"/>
      <c r="N138" s="5" t="inlineStr">
        <is>
          <t>coste no estimable: no hay coste unitario verificado por vivienda pública (v5 D1: «coste unitario sin dato verificado»)</t>
        </is>
      </c>
    </row>
    <row r="139">
      <c r="A139" s="5" t="inlineStr">
        <is>
          <t>11</t>
        </is>
      </c>
      <c r="B139" s="5" t="inlineStr">
        <is>
          <t>Extremadura</t>
        </is>
      </c>
      <c r="C139" s="5" t="inlineStr">
        <is>
          <t>regulación local de turísticos</t>
        </is>
      </c>
      <c r="D139" s="5" t="inlineStr">
        <is>
          <t>alquiler</t>
        </is>
      </c>
      <c r="E139" s="5" t="n">
        <v>370.6388</v>
      </c>
      <c r="F139" s="5" t="n">
        <v>-0.2818</v>
      </c>
      <c r="G139" s="5" t="n">
        <v>-0.2818</v>
      </c>
      <c r="H139" s="5" t="n"/>
      <c r="I139" s="5" t="n"/>
      <c r="J139" s="5" t="n"/>
      <c r="K139" s="5" t="n">
        <v>-7.5741</v>
      </c>
      <c r="L139" s="5" t="n"/>
      <c r="M139" s="5" t="n"/>
      <c r="N139" s="5" t="inlineStr">
        <is>
          <t>coste no estimable: regulación sin coste fiscal directo verificable (inspección y compensaciones sin base)</t>
        </is>
      </c>
    </row>
    <row r="140">
      <c r="A140" s="5" t="inlineStr">
        <is>
          <t>11</t>
        </is>
      </c>
      <c r="B140" s="5" t="inlineStr">
        <is>
          <t>Extremadura</t>
        </is>
      </c>
      <c r="C140" s="5" t="inlineStr">
        <is>
          <t>regulación local de turísticos</t>
        </is>
      </c>
      <c r="D140" s="5" t="inlineStr">
        <is>
          <t>compra</t>
        </is>
      </c>
      <c r="E140" s="5" t="n">
        <v>370.6388</v>
      </c>
      <c r="F140" s="5" t="n">
        <v>-0.049</v>
      </c>
      <c r="G140" s="5" t="n">
        <v>-0.049</v>
      </c>
      <c r="H140" s="5" t="n"/>
      <c r="I140" s="5" t="n"/>
      <c r="J140" s="5" t="n"/>
      <c r="K140" s="5" t="n">
        <v>-1.3246</v>
      </c>
      <c r="L140" s="5" t="n"/>
      <c r="M140" s="5" t="n"/>
      <c r="N140" s="5" t="inlineStr">
        <is>
          <t>coste no estimable: regulación sin coste fiscal directo verificable (inspección y compensaciones sin base)</t>
        </is>
      </c>
    </row>
    <row r="141">
      <c r="A141" s="5" t="inlineStr">
        <is>
          <t>11</t>
        </is>
      </c>
      <c r="B141" s="5" t="inlineStr">
        <is>
          <t>Extremadura</t>
        </is>
      </c>
      <c r="C141" s="5" t="inlineStr">
        <is>
          <t>ayudas a la demanda</t>
        </is>
      </c>
      <c r="D141" s="5" t="inlineStr">
        <is>
          <t>alquiler</t>
        </is>
      </c>
      <c r="E141" s="5" t="n">
        <v>12968</v>
      </c>
      <c r="F141" s="5" t="n">
        <v>8.0876</v>
      </c>
      <c r="G141" s="5" t="n">
        <v>-2.24</v>
      </c>
      <c r="H141" s="5" t="n"/>
      <c r="I141" s="5" t="n"/>
      <c r="J141" s="5" t="n"/>
      <c r="K141" s="5" t="n"/>
      <c r="L141" s="5" t="n"/>
      <c r="M141" s="5" t="n"/>
      <c r="N141" s="5" t="inlineStr">
        <is>
          <t>coste no estimable: el panel v7 no tiene renta media del alquiler en euros por CCAA ni número de hogares beneficiarios</t>
        </is>
      </c>
    </row>
    <row r="142">
      <c r="A142" s="5" t="inlineStr">
        <is>
          <t>11</t>
        </is>
      </c>
      <c r="B142" s="5" t="inlineStr">
        <is>
          <t>Extremadura</t>
        </is>
      </c>
      <c r="C142" s="5" t="inlineStr">
        <is>
          <t>ayudas a la demanda</t>
        </is>
      </c>
      <c r="D142" s="5" t="inlineStr">
        <is>
          <t>compra</t>
        </is>
      </c>
      <c r="E142" s="5" t="n">
        <v>12968</v>
      </c>
      <c r="F142" s="5" t="n">
        <v>8.0876</v>
      </c>
      <c r="G142" s="5" t="n">
        <v>-2.24</v>
      </c>
      <c r="H142" s="5" t="n">
        <v>109.6837</v>
      </c>
      <c r="I142" s="5" t="n">
        <v>60.2775</v>
      </c>
      <c r="J142" s="5" t="n">
        <v>157.6913</v>
      </c>
      <c r="K142" s="5" t="n"/>
      <c r="L142" s="5" t="n">
        <v>7.6031</v>
      </c>
      <c r="M142" s="5" t="n">
        <v>49.068</v>
      </c>
      <c r="N142" s="5" t="inlineStr">
        <is>
          <t>estimado (C4)</t>
        </is>
      </c>
    </row>
    <row r="143">
      <c r="A143" s="5" t="inlineStr">
        <is>
          <t>11</t>
        </is>
      </c>
      <c r="B143" s="5" t="inlineStr">
        <is>
          <t>Extremadura</t>
        </is>
      </c>
      <c r="C143" s="5" t="inlineStr">
        <is>
          <t>rebaja de ITP/IVA (vivienda nueva)</t>
        </is>
      </c>
      <c r="D143" s="5" t="inlineStr">
        <is>
          <t>compra</t>
        </is>
      </c>
      <c r="E143" s="5" t="n">
        <v>12968</v>
      </c>
      <c r="F143" s="5" t="n">
        <v>1.9903</v>
      </c>
      <c r="G143" s="5" t="n">
        <v>-0.3826</v>
      </c>
      <c r="H143" s="5" t="n">
        <v>27.1483</v>
      </c>
      <c r="I143" s="5" t="n">
        <v>12.513</v>
      </c>
      <c r="J143" s="5" t="n">
        <v>41.8332</v>
      </c>
      <c r="K143" s="5" t="n"/>
      <c r="L143" s="5" t="n">
        <v>7.6031</v>
      </c>
      <c r="M143" s="5" t="n">
        <v>68.41030000000001</v>
      </c>
      <c r="N143" s="5" t="inlineStr">
        <is>
          <t>estimado (C4)</t>
        </is>
      </c>
    </row>
    <row r="144">
      <c r="A144" s="5" t="inlineStr">
        <is>
          <t>11</t>
        </is>
      </c>
      <c r="B144" s="5" t="inlineStr">
        <is>
          <t>Extremadura</t>
        </is>
      </c>
      <c r="C144" s="5" t="inlineStr">
        <is>
          <t>rebaja de impuestos y costes de construcción</t>
        </is>
      </c>
      <c r="D144" s="5" t="inlineStr">
        <is>
          <t>alquiler</t>
        </is>
      </c>
      <c r="E144" s="5" t="n">
        <v>2362</v>
      </c>
      <c r="F144" s="5" t="n">
        <v>-0.2851</v>
      </c>
      <c r="G144" s="5" t="n">
        <v>-0.2851</v>
      </c>
      <c r="H144" s="5" t="n"/>
      <c r="I144" s="5" t="n"/>
      <c r="J144" s="5" t="n"/>
      <c r="K144" s="5" t="n"/>
      <c r="L144" s="5" t="n"/>
      <c r="M144" s="5" t="n"/>
      <c r="N144" s="5" t="inlineStr">
        <is>
          <t>coste anual igual al de compra (la rebaja es una sola); el efecto en alquiler es indirecto</t>
        </is>
      </c>
    </row>
    <row r="145">
      <c r="A145" s="5" t="inlineStr">
        <is>
          <t>11</t>
        </is>
      </c>
      <c r="B145" s="5" t="inlineStr">
        <is>
          <t>Extremadura</t>
        </is>
      </c>
      <c r="C145" s="5" t="inlineStr">
        <is>
          <t>rebaja de impuestos y costes de construcción</t>
        </is>
      </c>
      <c r="D145" s="5" t="inlineStr">
        <is>
          <t>compra</t>
        </is>
      </c>
      <c r="E145" s="5" t="n">
        <v>2362</v>
      </c>
      <c r="F145" s="5" t="n">
        <v>-0.2851</v>
      </c>
      <c r="G145" s="5" t="n">
        <v>-0.2851</v>
      </c>
      <c r="H145" s="5" t="n">
        <v>4.2355</v>
      </c>
      <c r="I145" s="5" t="n">
        <v>2.2452</v>
      </c>
      <c r="J145" s="5" t="n">
        <v>7.0156</v>
      </c>
      <c r="K145" s="5" t="n"/>
      <c r="L145" s="5" t="n">
        <v>-7.0198</v>
      </c>
      <c r="M145" s="5" t="n">
        <v>14.2454</v>
      </c>
      <c r="N145" s="5" t="inlineStr">
        <is>
          <t>estimado (C4)</t>
        </is>
      </c>
    </row>
    <row r="146">
      <c r="A146" s="5" t="inlineStr">
        <is>
          <t>12</t>
        </is>
      </c>
      <c r="B146" s="5" t="inlineStr">
        <is>
          <t>Galicia</t>
        </is>
      </c>
      <c r="C146" s="5" t="inlineStr">
        <is>
          <t>construcción adicional</t>
        </is>
      </c>
      <c r="D146" s="5" t="inlineStr">
        <is>
          <t>alquiler</t>
        </is>
      </c>
      <c r="E146" s="5" t="n">
        <v>0</v>
      </c>
      <c r="F146" s="5" t="n">
        <v>0</v>
      </c>
      <c r="G146" s="5" t="n">
        <v>0</v>
      </c>
      <c r="H146" s="5" t="n"/>
      <c r="I146" s="5" t="n"/>
      <c r="J146" s="5" t="n"/>
      <c r="K146" s="5" t="n"/>
      <c r="L146" s="5" t="n"/>
      <c r="M146" s="5" t="n"/>
      <c r="N146" s="5" t="inlineStr">
        <is>
          <t>coste no estimable: no hay coste unitario por vivienda (suelo, obra, financiación pública) verificado ni versionado; el escenario no fija quién paga</t>
        </is>
      </c>
    </row>
    <row r="147">
      <c r="A147" s="5" t="inlineStr">
        <is>
          <t>12</t>
        </is>
      </c>
      <c r="B147" s="5" t="inlineStr">
        <is>
          <t>Galicia</t>
        </is>
      </c>
      <c r="C147" s="5" t="inlineStr">
        <is>
          <t>construcción adicional</t>
        </is>
      </c>
      <c r="D147" s="5" t="inlineStr">
        <is>
          <t>compra</t>
        </is>
      </c>
      <c r="E147" s="5" t="n">
        <v>0</v>
      </c>
      <c r="F147" s="5" t="n">
        <v>0</v>
      </c>
      <c r="G147" s="5" t="n">
        <v>0</v>
      </c>
      <c r="H147" s="5" t="n"/>
      <c r="I147" s="5" t="n"/>
      <c r="J147" s="5" t="n"/>
      <c r="K147" s="5" t="n"/>
      <c r="L147" s="5" t="n"/>
      <c r="M147" s="5" t="n"/>
      <c r="N147" s="5" t="inlineStr">
        <is>
          <t>coste no estimable: no hay coste unitario por vivienda (suelo, obra, financiación pública) verificado ni versionado; el escenario no fija quién paga</t>
        </is>
      </c>
    </row>
    <row r="148">
      <c r="A148" s="5" t="inlineStr">
        <is>
          <t>12</t>
        </is>
      </c>
      <c r="B148" s="5" t="inlineStr">
        <is>
          <t>Galicia</t>
        </is>
      </c>
      <c r="C148" s="5" t="inlineStr">
        <is>
          <t>movilización de vacías</t>
        </is>
      </c>
      <c r="D148" s="5" t="inlineStr">
        <is>
          <t>alquiler</t>
        </is>
      </c>
      <c r="E148" s="5" t="n">
        <v>91001.9084</v>
      </c>
      <c r="F148" s="5" t="n">
        <v>-8.3666</v>
      </c>
      <c r="G148" s="5" t="n">
        <v>-8.3666</v>
      </c>
      <c r="H148" s="5" t="n"/>
      <c r="I148" s="5" t="n"/>
      <c r="J148" s="5" t="n"/>
      <c r="K148" s="5" t="n">
        <v>-0.9373</v>
      </c>
      <c r="L148" s="5" t="n"/>
      <c r="M148" s="5" t="n"/>
      <c r="N148" s="5" t="inlineStr">
        <is>
          <t>coste no estimable: no hay coste unitario verificado de movilización (incentivo, rehabilitación, recargo del IBI) ni reparto entre recaudación y gasto</t>
        </is>
      </c>
    </row>
    <row r="149">
      <c r="A149" s="5" t="inlineStr">
        <is>
          <t>12</t>
        </is>
      </c>
      <c r="B149" s="5" t="inlineStr">
        <is>
          <t>Galicia</t>
        </is>
      </c>
      <c r="C149" s="5" t="inlineStr">
        <is>
          <t>movilización de vacías</t>
        </is>
      </c>
      <c r="D149" s="5" t="inlineStr">
        <is>
          <t>compra</t>
        </is>
      </c>
      <c r="E149" s="5" t="n">
        <v>91001.9084</v>
      </c>
      <c r="F149" s="5" t="n">
        <v>-2.9776</v>
      </c>
      <c r="G149" s="5" t="n">
        <v>-2.9776</v>
      </c>
      <c r="H149" s="5" t="n"/>
      <c r="I149" s="5" t="n"/>
      <c r="J149" s="5" t="n"/>
      <c r="K149" s="5" t="n">
        <v>-0.3284</v>
      </c>
      <c r="L149" s="5" t="n"/>
      <c r="M149" s="5" t="n"/>
      <c r="N149" s="5" t="inlineStr">
        <is>
          <t>coste no estimable: no hay coste unitario verificado de movilización (incentivo, rehabilitación, recargo del IBI) ni reparto entre recaudación y gasto</t>
        </is>
      </c>
    </row>
    <row r="150">
      <c r="A150" s="5" t="inlineStr">
        <is>
          <t>12</t>
        </is>
      </c>
      <c r="B150" s="5" t="inlineStr">
        <is>
          <t>Galicia</t>
        </is>
      </c>
      <c r="C150" s="5" t="inlineStr">
        <is>
          <t>vivienda pública o asequible</t>
        </is>
      </c>
      <c r="D150" s="5" t="inlineStr">
        <is>
          <t>alquiler</t>
        </is>
      </c>
      <c r="E150" s="5" t="n">
        <v>4723.9576</v>
      </c>
      <c r="F150" s="5" t="n">
        <v>-0.8063</v>
      </c>
      <c r="G150" s="5" t="n">
        <v>-0.8063</v>
      </c>
      <c r="H150" s="5" t="n"/>
      <c r="I150" s="5" t="n"/>
      <c r="J150" s="5" t="n"/>
      <c r="K150" s="5" t="n">
        <v>-1.7007</v>
      </c>
      <c r="L150" s="5" t="n"/>
      <c r="M150" s="5" t="n"/>
      <c r="N150" s="5" t="inlineStr">
        <is>
          <t>coste no estimable: no hay coste unitario verificado por vivienda pública (v5 D1: «coste unitario sin dato verificado»)</t>
        </is>
      </c>
    </row>
    <row r="151">
      <c r="A151" s="5" t="inlineStr">
        <is>
          <t>12</t>
        </is>
      </c>
      <c r="B151" s="5" t="inlineStr">
        <is>
          <t>Galicia</t>
        </is>
      </c>
      <c r="C151" s="5" t="inlineStr">
        <is>
          <t>vivienda pública o asequible</t>
        </is>
      </c>
      <c r="D151" s="5" t="inlineStr">
        <is>
          <t>compra</t>
        </is>
      </c>
      <c r="E151" s="5" t="n">
        <v>4723.9576</v>
      </c>
      <c r="F151" s="5" t="n">
        <v>-0.1565</v>
      </c>
      <c r="G151" s="5" t="n">
        <v>-0.1565</v>
      </c>
      <c r="H151" s="5" t="n"/>
      <c r="I151" s="5" t="n"/>
      <c r="J151" s="5" t="n"/>
      <c r="K151" s="5" t="n">
        <v>-0.3284</v>
      </c>
      <c r="L151" s="5" t="n"/>
      <c r="M151" s="5" t="n"/>
      <c r="N151" s="5" t="inlineStr">
        <is>
          <t>coste no estimable: no hay coste unitario verificado por vivienda pública (v5 D1: «coste unitario sin dato verificado»)</t>
        </is>
      </c>
    </row>
    <row r="152">
      <c r="A152" s="5" t="inlineStr">
        <is>
          <t>12</t>
        </is>
      </c>
      <c r="B152" s="5" t="inlineStr">
        <is>
          <t>Galicia</t>
        </is>
      </c>
      <c r="C152" s="5" t="inlineStr">
        <is>
          <t>regulación local de turísticos</t>
        </is>
      </c>
      <c r="D152" s="5" t="inlineStr">
        <is>
          <t>alquiler</t>
        </is>
      </c>
      <c r="E152" s="5" t="n">
        <v>2658.0237</v>
      </c>
      <c r="F152" s="5" t="n">
        <v>-0.4982</v>
      </c>
      <c r="G152" s="5" t="n">
        <v>-0.4982</v>
      </c>
      <c r="H152" s="5" t="n"/>
      <c r="I152" s="5" t="n"/>
      <c r="J152" s="5" t="n"/>
      <c r="K152" s="5" t="n">
        <v>-1.8891</v>
      </c>
      <c r="L152" s="5" t="n"/>
      <c r="M152" s="5" t="n"/>
      <c r="N152" s="5" t="inlineStr">
        <is>
          <t>coste no estimable: regulación sin coste fiscal directo verificable (inspección y compensaciones sin base)</t>
        </is>
      </c>
    </row>
    <row r="153">
      <c r="A153" s="5" t="inlineStr">
        <is>
          <t>12</t>
        </is>
      </c>
      <c r="B153" s="5" t="inlineStr">
        <is>
          <t>Galicia</t>
        </is>
      </c>
      <c r="C153" s="5" t="inlineStr">
        <is>
          <t>regulación local de turísticos</t>
        </is>
      </c>
      <c r="D153" s="5" t="inlineStr">
        <is>
          <t>compra</t>
        </is>
      </c>
      <c r="E153" s="5" t="n">
        <v>2658.0237</v>
      </c>
      <c r="F153" s="5" t="n">
        <v>-0.0872</v>
      </c>
      <c r="G153" s="5" t="n">
        <v>-0.0872</v>
      </c>
      <c r="H153" s="5" t="n"/>
      <c r="I153" s="5" t="n"/>
      <c r="J153" s="5" t="n"/>
      <c r="K153" s="5" t="n">
        <v>-0.3284</v>
      </c>
      <c r="L153" s="5" t="n"/>
      <c r="M153" s="5" t="n"/>
      <c r="N153" s="5" t="inlineStr">
        <is>
          <t>coste no estimable: regulación sin coste fiscal directo verificable (inspección y compensaciones sin base)</t>
        </is>
      </c>
    </row>
    <row r="154">
      <c r="A154" s="5" t="inlineStr">
        <is>
          <t>12</t>
        </is>
      </c>
      <c r="B154" s="5" t="inlineStr">
        <is>
          <t>Galicia</t>
        </is>
      </c>
      <c r="C154" s="5" t="inlineStr">
        <is>
          <t>ayudas a la demanda</t>
        </is>
      </c>
      <c r="D154" s="5" t="inlineStr">
        <is>
          <t>alquiler</t>
        </is>
      </c>
      <c r="E154" s="5" t="n">
        <v>27080</v>
      </c>
      <c r="F154" s="5" t="n">
        <v>4.8973</v>
      </c>
      <c r="G154" s="5" t="n">
        <v>-4.7609</v>
      </c>
      <c r="H154" s="5" t="n"/>
      <c r="I154" s="5" t="n"/>
      <c r="J154" s="5" t="n"/>
      <c r="K154" s="5" t="n"/>
      <c r="L154" s="5" t="n"/>
      <c r="M154" s="5" t="n"/>
      <c r="N154" s="5" t="inlineStr">
        <is>
          <t>coste no estimable: el panel v7 no tiene renta media del alquiler en euros por CCAA ni número de hogares beneficiarios</t>
        </is>
      </c>
    </row>
    <row r="155">
      <c r="A155" s="5" t="inlineStr">
        <is>
          <t>12</t>
        </is>
      </c>
      <c r="B155" s="5" t="inlineStr">
        <is>
          <t>Galicia</t>
        </is>
      </c>
      <c r="C155" s="5" t="inlineStr">
        <is>
          <t>ayudas a la demanda</t>
        </is>
      </c>
      <c r="D155" s="5" t="inlineStr">
        <is>
          <t>compra</t>
        </is>
      </c>
      <c r="E155" s="5" t="n">
        <v>27080</v>
      </c>
      <c r="F155" s="5" t="n">
        <v>4.8973</v>
      </c>
      <c r="G155" s="5" t="n">
        <v>-4.7609</v>
      </c>
      <c r="H155" s="5" t="n">
        <v>378.1929</v>
      </c>
      <c r="I155" s="5" t="n">
        <v>209.0526</v>
      </c>
      <c r="J155" s="5" t="n">
        <v>549.6291</v>
      </c>
      <c r="K155" s="5" t="n"/>
      <c r="L155" s="5" t="n">
        <v>1.3643</v>
      </c>
      <c r="M155" s="5" t="n">
        <v>76.3539</v>
      </c>
      <c r="N155" s="5" t="inlineStr">
        <is>
          <t>estimado (C4)</t>
        </is>
      </c>
    </row>
    <row r="156">
      <c r="A156" s="5" t="inlineStr">
        <is>
          <t>12</t>
        </is>
      </c>
      <c r="B156" s="5" t="inlineStr">
        <is>
          <t>Galicia</t>
        </is>
      </c>
      <c r="C156" s="5" t="inlineStr">
        <is>
          <t>rebaja de ITP/IVA (vivienda nueva)</t>
        </is>
      </c>
      <c r="D156" s="5" t="inlineStr">
        <is>
          <t>compra</t>
        </is>
      </c>
      <c r="E156" s="5" t="n">
        <v>27080</v>
      </c>
      <c r="F156" s="5" t="n">
        <v>1.1968</v>
      </c>
      <c r="G156" s="5" t="n">
        <v>-1.0692</v>
      </c>
      <c r="H156" s="5" t="n">
        <v>93.3438</v>
      </c>
      <c r="I156" s="5" t="n">
        <v>43.8726</v>
      </c>
      <c r="J156" s="5" t="n">
        <v>146.2527</v>
      </c>
      <c r="K156" s="5" t="n"/>
      <c r="L156" s="5" t="n">
        <v>1.3643</v>
      </c>
      <c r="M156" s="5" t="n">
        <v>82.4267</v>
      </c>
      <c r="N156" s="5" t="inlineStr">
        <is>
          <t>estimado (C4)</t>
        </is>
      </c>
    </row>
    <row r="157">
      <c r="A157" s="5" t="inlineStr">
        <is>
          <t>12</t>
        </is>
      </c>
      <c r="B157" s="5" t="inlineStr">
        <is>
          <t>Galicia</t>
        </is>
      </c>
      <c r="C157" s="5" t="inlineStr">
        <is>
          <t>rebaja de impuestos y costes de construcción</t>
        </is>
      </c>
      <c r="D157" s="5" t="inlineStr">
        <is>
          <t>alquiler</t>
        </is>
      </c>
      <c r="E157" s="5" t="n">
        <v>4894</v>
      </c>
      <c r="F157" s="5" t="n">
        <v>-0.9196</v>
      </c>
      <c r="G157" s="5" t="n">
        <v>-0.9196</v>
      </c>
      <c r="H157" s="5" t="n"/>
      <c r="I157" s="5" t="n"/>
      <c r="J157" s="5" t="n"/>
      <c r="K157" s="5" t="n"/>
      <c r="L157" s="5" t="n"/>
      <c r="M157" s="5" t="n"/>
      <c r="N157" s="5" t="inlineStr">
        <is>
          <t>coste anual igual al de compra (la rebaja es una sola); el efecto en alquiler es indirecto</t>
        </is>
      </c>
    </row>
    <row r="158">
      <c r="A158" s="5" t="inlineStr">
        <is>
          <t>12</t>
        </is>
      </c>
      <c r="B158" s="5" t="inlineStr">
        <is>
          <t>Galicia</t>
        </is>
      </c>
      <c r="C158" s="5" t="inlineStr">
        <is>
          <t>rebaja de impuestos y costes de construcción</t>
        </is>
      </c>
      <c r="D158" s="5" t="inlineStr">
        <is>
          <t>compra</t>
        </is>
      </c>
      <c r="E158" s="5" t="n">
        <v>4894</v>
      </c>
      <c r="F158" s="5" t="n">
        <v>-0.9196</v>
      </c>
      <c r="G158" s="5" t="n">
        <v>-0.9196</v>
      </c>
      <c r="H158" s="5" t="n">
        <v>14.5622</v>
      </c>
      <c r="I158" s="5" t="n">
        <v>7.6485</v>
      </c>
      <c r="J158" s="5" t="n">
        <v>24.0082</v>
      </c>
      <c r="K158" s="5" t="n"/>
      <c r="L158" s="5" t="n">
        <v>-6.5417</v>
      </c>
      <c r="M158" s="5" t="n">
        <v>15.2865</v>
      </c>
      <c r="N158" s="5" t="inlineStr">
        <is>
          <t>estimado (C4)</t>
        </is>
      </c>
    </row>
    <row r="159">
      <c r="A159" s="5" t="inlineStr">
        <is>
          <t>13</t>
        </is>
      </c>
      <c r="B159" s="5" t="inlineStr">
        <is>
          <t>Comunidad de Madrid</t>
        </is>
      </c>
      <c r="C159" s="5" t="inlineStr">
        <is>
          <t>construcción adicional</t>
        </is>
      </c>
      <c r="D159" s="5" t="inlineStr">
        <is>
          <t>alquiler</t>
        </is>
      </c>
      <c r="E159" s="5" t="n">
        <v>19426.6928</v>
      </c>
      <c r="F159" s="5" t="n">
        <v>-0.3707</v>
      </c>
      <c r="G159" s="5" t="n">
        <v>-0.3707</v>
      </c>
      <c r="H159" s="5" t="n"/>
      <c r="I159" s="5" t="n"/>
      <c r="J159" s="5" t="n"/>
      <c r="K159" s="5" t="n">
        <v>-0.1931</v>
      </c>
      <c r="L159" s="5" t="n"/>
      <c r="M159" s="5" t="n"/>
      <c r="N159" s="5" t="inlineStr">
        <is>
          <t>coste no estimable: no hay coste unitario por vivienda (suelo, obra, financiación pública) verificado ni versionado; el escenario no fija quién paga</t>
        </is>
      </c>
    </row>
    <row r="160">
      <c r="A160" s="5" t="inlineStr">
        <is>
          <t>13</t>
        </is>
      </c>
      <c r="B160" s="5" t="inlineStr">
        <is>
          <t>Comunidad de Madrid</t>
        </is>
      </c>
      <c r="C160" s="5" t="inlineStr">
        <is>
          <t>construcción adicional</t>
        </is>
      </c>
      <c r="D160" s="5" t="inlineStr">
        <is>
          <t>compra</t>
        </is>
      </c>
      <c r="E160" s="5" t="n">
        <v>19426.6928</v>
      </c>
      <c r="F160" s="5" t="n">
        <v>-0.3309</v>
      </c>
      <c r="G160" s="5" t="n">
        <v>-0.3309</v>
      </c>
      <c r="H160" s="5" t="n"/>
      <c r="I160" s="5" t="n"/>
      <c r="J160" s="5" t="n"/>
      <c r="K160" s="5" t="n">
        <v>-0.1698</v>
      </c>
      <c r="L160" s="5" t="n"/>
      <c r="M160" s="5" t="n"/>
      <c r="N160" s="5" t="inlineStr">
        <is>
          <t>coste no estimable: no hay coste unitario por vivienda (suelo, obra, financiación pública) verificado ni versionado; el escenario no fija quién paga</t>
        </is>
      </c>
    </row>
    <row r="161">
      <c r="A161" s="5" t="inlineStr">
        <is>
          <t>13</t>
        </is>
      </c>
      <c r="B161" s="5" t="inlineStr">
        <is>
          <t>Comunidad de Madrid</t>
        </is>
      </c>
      <c r="C161" s="5" t="inlineStr">
        <is>
          <t>movilización de vacías</t>
        </is>
      </c>
      <c r="D161" s="5" t="inlineStr">
        <is>
          <t>alquiler</t>
        </is>
      </c>
      <c r="E161" s="5" t="n">
        <v>33822.5838</v>
      </c>
      <c r="F161" s="5" t="n">
        <v>-1.629</v>
      </c>
      <c r="G161" s="5" t="n">
        <v>-1.629</v>
      </c>
      <c r="H161" s="5" t="n"/>
      <c r="I161" s="5" t="n"/>
      <c r="J161" s="5" t="n"/>
      <c r="K161" s="5" t="n">
        <v>-0.489</v>
      </c>
      <c r="L161" s="5" t="n"/>
      <c r="M161" s="5" t="n"/>
      <c r="N161" s="5" t="inlineStr">
        <is>
          <t>coste no estimable: no hay coste unitario verificado de movilización (incentivo, rehabilitación, recargo del IBI) ni reparto entre recaudación y gasto</t>
        </is>
      </c>
    </row>
    <row r="162">
      <c r="A162" s="5" t="inlineStr">
        <is>
          <t>13</t>
        </is>
      </c>
      <c r="B162" s="5" t="inlineStr">
        <is>
          <t>Comunidad de Madrid</t>
        </is>
      </c>
      <c r="C162" s="5" t="inlineStr">
        <is>
          <t>movilización de vacías</t>
        </is>
      </c>
      <c r="D162" s="5" t="inlineStr">
        <is>
          <t>compra</t>
        </is>
      </c>
      <c r="E162" s="5" t="n">
        <v>33822.5838</v>
      </c>
      <c r="F162" s="5" t="n">
        <v>-0.5732</v>
      </c>
      <c r="G162" s="5" t="n">
        <v>-0.5732</v>
      </c>
      <c r="H162" s="5" t="n"/>
      <c r="I162" s="5" t="n"/>
      <c r="J162" s="5" t="n"/>
      <c r="K162" s="5" t="n">
        <v>-0.1698</v>
      </c>
      <c r="L162" s="5" t="n"/>
      <c r="M162" s="5" t="n"/>
      <c r="N162" s="5" t="inlineStr">
        <is>
          <t>coste no estimable: no hay coste unitario verificado de movilización (incentivo, rehabilitación, recargo del IBI) ni reparto entre recaudación y gasto</t>
        </is>
      </c>
    </row>
    <row r="163">
      <c r="A163" s="5" t="inlineStr">
        <is>
          <t>13</t>
        </is>
      </c>
      <c r="B163" s="5" t="inlineStr">
        <is>
          <t>Comunidad de Madrid</t>
        </is>
      </c>
      <c r="C163" s="5" t="inlineStr">
        <is>
          <t>vivienda pública o asequible</t>
        </is>
      </c>
      <c r="D163" s="5" t="inlineStr">
        <is>
          <t>alquiler</t>
        </is>
      </c>
      <c r="E163" s="5" t="n">
        <v>59433.4516</v>
      </c>
      <c r="F163" s="5" t="n">
        <v>-5.2813</v>
      </c>
      <c r="G163" s="5" t="n">
        <v>-5.2813</v>
      </c>
      <c r="H163" s="5" t="n"/>
      <c r="I163" s="5" t="n"/>
      <c r="J163" s="5" t="n"/>
      <c r="K163" s="5" t="n">
        <v>-0.8814</v>
      </c>
      <c r="L163" s="5" t="n"/>
      <c r="M163" s="5" t="n"/>
      <c r="N163" s="5" t="inlineStr">
        <is>
          <t>coste no estimable: no hay coste unitario verificado por vivienda pública (v5 D1: «coste unitario sin dato verificado»)</t>
        </is>
      </c>
    </row>
    <row r="164">
      <c r="A164" s="5" t="inlineStr">
        <is>
          <t>13</t>
        </is>
      </c>
      <c r="B164" s="5" t="inlineStr">
        <is>
          <t>Comunidad de Madrid</t>
        </is>
      </c>
      <c r="C164" s="5" t="inlineStr">
        <is>
          <t>vivienda pública o asequible</t>
        </is>
      </c>
      <c r="D164" s="5" t="inlineStr">
        <is>
          <t>compra</t>
        </is>
      </c>
      <c r="E164" s="5" t="n">
        <v>59433.4516</v>
      </c>
      <c r="F164" s="5" t="n">
        <v>-1.0137</v>
      </c>
      <c r="G164" s="5" t="n">
        <v>-1.0137</v>
      </c>
      <c r="H164" s="5" t="n"/>
      <c r="I164" s="5" t="n"/>
      <c r="J164" s="5" t="n"/>
      <c r="K164" s="5" t="n">
        <v>-0.1698</v>
      </c>
      <c r="L164" s="5" t="n"/>
      <c r="M164" s="5" t="n"/>
      <c r="N164" s="5" t="inlineStr">
        <is>
          <t>coste no estimable: no hay coste unitario verificado por vivienda pública (v5 D1: «coste unitario sin dato verificado»)</t>
        </is>
      </c>
    </row>
    <row r="165">
      <c r="A165" s="5" t="inlineStr">
        <is>
          <t>13</t>
        </is>
      </c>
      <c r="B165" s="5" t="inlineStr">
        <is>
          <t>Comunidad de Madrid</t>
        </is>
      </c>
      <c r="C165" s="5" t="inlineStr">
        <is>
          <t>regulación local de turísticos</t>
        </is>
      </c>
      <c r="D165" s="5" t="inlineStr">
        <is>
          <t>alquiler</t>
        </is>
      </c>
      <c r="E165" s="5" t="n">
        <v>2706.5698</v>
      </c>
      <c r="F165" s="5" t="n">
        <v>-0.2579</v>
      </c>
      <c r="G165" s="5" t="n">
        <v>-0.2579</v>
      </c>
      <c r="H165" s="5" t="n"/>
      <c r="I165" s="5" t="n"/>
      <c r="J165" s="5" t="n"/>
      <c r="K165" s="5" t="n">
        <v>-0.9778</v>
      </c>
      <c r="L165" s="5" t="n"/>
      <c r="M165" s="5" t="n"/>
      <c r="N165" s="5" t="inlineStr">
        <is>
          <t>coste no estimable: regulación sin coste fiscal directo verificable (inspección y compensaciones sin base)</t>
        </is>
      </c>
    </row>
    <row r="166">
      <c r="A166" s="5" t="inlineStr">
        <is>
          <t>13</t>
        </is>
      </c>
      <c r="B166" s="5" t="inlineStr">
        <is>
          <t>Comunidad de Madrid</t>
        </is>
      </c>
      <c r="C166" s="5" t="inlineStr">
        <is>
          <t>regulación local de turísticos</t>
        </is>
      </c>
      <c r="D166" s="5" t="inlineStr">
        <is>
          <t>compra</t>
        </is>
      </c>
      <c r="E166" s="5" t="n">
        <v>2706.5698</v>
      </c>
      <c r="F166" s="5" t="n">
        <v>-0.0452</v>
      </c>
      <c r="G166" s="5" t="n">
        <v>-0.0452</v>
      </c>
      <c r="H166" s="5" t="n"/>
      <c r="I166" s="5" t="n"/>
      <c r="J166" s="5" t="n"/>
      <c r="K166" s="5" t="n">
        <v>-0.1698</v>
      </c>
      <c r="L166" s="5" t="n"/>
      <c r="M166" s="5" t="n"/>
      <c r="N166" s="5" t="inlineStr">
        <is>
          <t>coste no estimable: regulación sin coste fiscal directo verificable (inspección y compensaciones sin base)</t>
        </is>
      </c>
    </row>
    <row r="167">
      <c r="A167" s="5" t="inlineStr">
        <is>
          <t>13</t>
        </is>
      </c>
      <c r="B167" s="5" t="inlineStr">
        <is>
          <t>Comunidad de Madrid</t>
        </is>
      </c>
      <c r="C167" s="5" t="inlineStr">
        <is>
          <t>ayudas a la demanda</t>
        </is>
      </c>
      <c r="D167" s="5" t="inlineStr">
        <is>
          <t>alquiler</t>
        </is>
      </c>
      <c r="E167" s="5" t="n">
        <v>81822</v>
      </c>
      <c r="F167" s="5" t="n">
        <v>4.3511</v>
      </c>
      <c r="G167" s="5" t="n">
        <v>-5.3908</v>
      </c>
      <c r="H167" s="5" t="n"/>
      <c r="I167" s="5" t="n"/>
      <c r="J167" s="5" t="n"/>
      <c r="K167" s="5" t="n"/>
      <c r="L167" s="5" t="n"/>
      <c r="M167" s="5" t="n"/>
      <c r="N167" s="5" t="inlineStr">
        <is>
          <t>coste no estimable: el panel v7 no tiene renta media del alquiler en euros por CCAA ni número de hogares beneficiarios</t>
        </is>
      </c>
    </row>
    <row r="168">
      <c r="A168" s="5" t="inlineStr">
        <is>
          <t>13</t>
        </is>
      </c>
      <c r="B168" s="5" t="inlineStr">
        <is>
          <t>Comunidad de Madrid</t>
        </is>
      </c>
      <c r="C168" s="5" t="inlineStr">
        <is>
          <t>ayudas a la demanda</t>
        </is>
      </c>
      <c r="D168" s="5" t="inlineStr">
        <is>
          <t>compra</t>
        </is>
      </c>
      <c r="E168" s="5" t="n">
        <v>81822</v>
      </c>
      <c r="F168" s="5" t="n">
        <v>4.3511</v>
      </c>
      <c r="G168" s="5" t="n">
        <v>-5.3908</v>
      </c>
      <c r="H168" s="5" t="n">
        <v>2915.2544</v>
      </c>
      <c r="I168" s="5" t="n">
        <v>1599.5541</v>
      </c>
      <c r="J168" s="5" t="n">
        <v>4159.1494</v>
      </c>
      <c r="K168" s="5" t="n"/>
      <c r="L168" s="5" t="n">
        <v>0.1576</v>
      </c>
      <c r="M168" s="5" t="n">
        <v>515.9002</v>
      </c>
      <c r="N168" s="5" t="inlineStr">
        <is>
          <t>estimado (C4)</t>
        </is>
      </c>
    </row>
    <row r="169">
      <c r="A169" s="5" t="inlineStr">
        <is>
          <t>13</t>
        </is>
      </c>
      <c r="B169" s="5" t="inlineStr">
        <is>
          <t>Comunidad de Madrid</t>
        </is>
      </c>
      <c r="C169" s="5" t="inlineStr">
        <is>
          <t>rebaja de ITP/IVA (vivienda nueva)</t>
        </is>
      </c>
      <c r="D169" s="5" t="inlineStr">
        <is>
          <t>compra</t>
        </is>
      </c>
      <c r="E169" s="5" t="n">
        <v>81822</v>
      </c>
      <c r="F169" s="5" t="n">
        <v>1.0536</v>
      </c>
      <c r="G169" s="5" t="n">
        <v>-1.2139</v>
      </c>
      <c r="H169" s="5" t="n">
        <v>717.7003</v>
      </c>
      <c r="I169" s="5" t="n">
        <v>327.811</v>
      </c>
      <c r="J169" s="5" t="n">
        <v>1108.9376</v>
      </c>
      <c r="K169" s="5" t="n"/>
      <c r="L169" s="5" t="n">
        <v>0.1576</v>
      </c>
      <c r="M169" s="5" t="n">
        <v>549.5327</v>
      </c>
      <c r="N169" s="5" t="inlineStr">
        <is>
          <t>estimado (C4)</t>
        </is>
      </c>
    </row>
    <row r="170">
      <c r="A170" s="5" t="inlineStr">
        <is>
          <t>13</t>
        </is>
      </c>
      <c r="B170" s="5" t="inlineStr">
        <is>
          <t>Comunidad de Madrid</t>
        </is>
      </c>
      <c r="C170" s="5" t="inlineStr">
        <is>
          <t>rebaja de impuestos y costes de construcción</t>
        </is>
      </c>
      <c r="D170" s="5" t="inlineStr">
        <is>
          <t>alquiler</t>
        </is>
      </c>
      <c r="E170" s="5" t="n">
        <v>17718</v>
      </c>
      <c r="F170" s="5" t="n">
        <v>-1.0509</v>
      </c>
      <c r="G170" s="5" t="n">
        <v>-1.0509</v>
      </c>
      <c r="H170" s="5" t="n"/>
      <c r="I170" s="5" t="n"/>
      <c r="J170" s="5" t="n"/>
      <c r="K170" s="5" t="n"/>
      <c r="L170" s="5" t="n"/>
      <c r="M170" s="5" t="n"/>
      <c r="N170" s="5" t="inlineStr">
        <is>
          <t>coste anual igual al de compra (la rebaja es una sola); el efecto en alquiler es indirecto</t>
        </is>
      </c>
    </row>
    <row r="171">
      <c r="A171" s="5" t="inlineStr">
        <is>
          <t>13</t>
        </is>
      </c>
      <c r="B171" s="5" t="inlineStr">
        <is>
          <t>Comunidad de Madrid</t>
        </is>
      </c>
      <c r="C171" s="5" t="inlineStr">
        <is>
          <t>rebaja de impuestos y costes de construcción</t>
        </is>
      </c>
      <c r="D171" s="5" t="inlineStr">
        <is>
          <t>compra</t>
        </is>
      </c>
      <c r="E171" s="5" t="n">
        <v>17718</v>
      </c>
      <c r="F171" s="5" t="n">
        <v>-1.0509</v>
      </c>
      <c r="G171" s="5" t="n">
        <v>-1.0509</v>
      </c>
      <c r="H171" s="5" t="n">
        <v>135.0293</v>
      </c>
      <c r="I171" s="5" t="n">
        <v>69.4396</v>
      </c>
      <c r="J171" s="5" t="n">
        <v>221.36</v>
      </c>
      <c r="K171" s="5" t="n"/>
      <c r="L171" s="5" t="n">
        <v>-0.8233</v>
      </c>
      <c r="M171" s="5" t="n">
        <v>121.4633</v>
      </c>
      <c r="N171" s="5" t="inlineStr">
        <is>
          <t>estimado (C4)</t>
        </is>
      </c>
    </row>
    <row r="172">
      <c r="A172" s="5" t="inlineStr">
        <is>
          <t>14</t>
        </is>
      </c>
      <c r="B172" s="5" t="inlineStr">
        <is>
          <t>Región de Murcia</t>
        </is>
      </c>
      <c r="C172" s="5" t="inlineStr">
        <is>
          <t>construcción adicional</t>
        </is>
      </c>
      <c r="D172" s="5" t="inlineStr">
        <is>
          <t>alquiler</t>
        </is>
      </c>
      <c r="E172" s="5" t="n">
        <v>0</v>
      </c>
      <c r="F172" s="5" t="n">
        <v>0</v>
      </c>
      <c r="G172" s="5" t="n">
        <v>0</v>
      </c>
      <c r="H172" s="5" t="n"/>
      <c r="I172" s="5" t="n"/>
      <c r="J172" s="5" t="n"/>
      <c r="K172" s="5" t="n"/>
      <c r="L172" s="5" t="n"/>
      <c r="M172" s="5" t="n"/>
      <c r="N172" s="5" t="inlineStr">
        <is>
          <t>coste no estimable: no hay coste unitario por vivienda (suelo, obra, financiación pública) verificado ni versionado; el escenario no fija quién paga</t>
        </is>
      </c>
    </row>
    <row r="173">
      <c r="A173" s="5" t="inlineStr">
        <is>
          <t>14</t>
        </is>
      </c>
      <c r="B173" s="5" t="inlineStr">
        <is>
          <t>Región de Murcia</t>
        </is>
      </c>
      <c r="C173" s="5" t="inlineStr">
        <is>
          <t>construcción adicional</t>
        </is>
      </c>
      <c r="D173" s="5" t="inlineStr">
        <is>
          <t>compra</t>
        </is>
      </c>
      <c r="E173" s="5" t="n">
        <v>0</v>
      </c>
      <c r="F173" s="5" t="n">
        <v>0</v>
      </c>
      <c r="G173" s="5" t="n">
        <v>0</v>
      </c>
      <c r="H173" s="5" t="n"/>
      <c r="I173" s="5" t="n"/>
      <c r="J173" s="5" t="n"/>
      <c r="K173" s="5" t="n"/>
      <c r="L173" s="5" t="n"/>
      <c r="M173" s="5" t="n"/>
      <c r="N173" s="5" t="inlineStr">
        <is>
          <t>coste no estimable: no hay coste unitario por vivienda (suelo, obra, financiación pública) verificado ni versionado; el escenario no fija quién paga</t>
        </is>
      </c>
    </row>
    <row r="174">
      <c r="A174" s="5" t="inlineStr">
        <is>
          <t>14</t>
        </is>
      </c>
      <c r="B174" s="5" t="inlineStr">
        <is>
          <t>Región de Murcia</t>
        </is>
      </c>
      <c r="C174" s="5" t="inlineStr">
        <is>
          <t>movilización de vacías</t>
        </is>
      </c>
      <c r="D174" s="5" t="inlineStr">
        <is>
          <t>alquiler</t>
        </is>
      </c>
      <c r="E174" s="5" t="n">
        <v>18507.1935</v>
      </c>
      <c r="F174" s="5" t="n">
        <v>-3.1343</v>
      </c>
      <c r="G174" s="5" t="n">
        <v>-3.1343</v>
      </c>
      <c r="H174" s="5" t="n"/>
      <c r="I174" s="5" t="n"/>
      <c r="J174" s="5" t="n"/>
      <c r="K174" s="5" t="n">
        <v>-1.7007</v>
      </c>
      <c r="L174" s="5" t="n"/>
      <c r="M174" s="5" t="n"/>
      <c r="N174" s="5" t="inlineStr">
        <is>
          <t>coste no estimable: no hay coste unitario verificado de movilización (incentivo, rehabilitación, recargo del IBI) ni reparto entre recaudación y gasto</t>
        </is>
      </c>
    </row>
    <row r="175">
      <c r="A175" s="5" t="inlineStr">
        <is>
          <t>14</t>
        </is>
      </c>
      <c r="B175" s="5" t="inlineStr">
        <is>
          <t>Región de Murcia</t>
        </is>
      </c>
      <c r="C175" s="5" t="inlineStr">
        <is>
          <t>movilización de vacías</t>
        </is>
      </c>
      <c r="D175" s="5" t="inlineStr">
        <is>
          <t>compra</t>
        </is>
      </c>
      <c r="E175" s="5" t="n">
        <v>18507.1935</v>
      </c>
      <c r="F175" s="5" t="n">
        <v>-1.1038</v>
      </c>
      <c r="G175" s="5" t="n">
        <v>-1.1038</v>
      </c>
      <c r="H175" s="5" t="n"/>
      <c r="I175" s="5" t="n"/>
      <c r="J175" s="5" t="n"/>
      <c r="K175" s="5" t="n">
        <v>-0.5924</v>
      </c>
      <c r="L175" s="5" t="n"/>
      <c r="M175" s="5" t="n"/>
      <c r="N175" s="5" t="inlineStr">
        <is>
          <t>coste no estimable: no hay coste unitario verificado de movilización (incentivo, rehabilitación, recargo del IBI) ni reparto entre recaudación y gasto</t>
        </is>
      </c>
    </row>
    <row r="176">
      <c r="A176" s="5" t="inlineStr">
        <is>
          <t>14</t>
        </is>
      </c>
      <c r="B176" s="5" t="inlineStr">
        <is>
          <t>Región de Murcia</t>
        </is>
      </c>
      <c r="C176" s="5" t="inlineStr">
        <is>
          <t>vivienda pública o asequible</t>
        </is>
      </c>
      <c r="D176" s="5" t="inlineStr">
        <is>
          <t>alquiler</t>
        </is>
      </c>
      <c r="E176" s="5" t="n">
        <v>16405.4644</v>
      </c>
      <c r="F176" s="5" t="n">
        <v>-5.0875</v>
      </c>
      <c r="G176" s="5" t="n">
        <v>-5.0875</v>
      </c>
      <c r="H176" s="5" t="n"/>
      <c r="I176" s="5" t="n"/>
      <c r="J176" s="5" t="n"/>
      <c r="K176" s="5" t="n">
        <v>-3.0759</v>
      </c>
      <c r="L176" s="5" t="n"/>
      <c r="M176" s="5" t="n"/>
      <c r="N176" s="5" t="inlineStr">
        <is>
          <t>coste no estimable: no hay coste unitario verificado por vivienda pública (v5 D1: «coste unitario sin dato verificado»)</t>
        </is>
      </c>
    </row>
    <row r="177">
      <c r="A177" s="5" t="inlineStr">
        <is>
          <t>14</t>
        </is>
      </c>
      <c r="B177" s="5" t="inlineStr">
        <is>
          <t>Región de Murcia</t>
        </is>
      </c>
      <c r="C177" s="5" t="inlineStr">
        <is>
          <t>vivienda pública o asequible</t>
        </is>
      </c>
      <c r="D177" s="5" t="inlineStr">
        <is>
          <t>compra</t>
        </is>
      </c>
      <c r="E177" s="5" t="n">
        <v>16405.4644</v>
      </c>
      <c r="F177" s="5" t="n">
        <v>-0.9813</v>
      </c>
      <c r="G177" s="5" t="n">
        <v>-0.9813</v>
      </c>
      <c r="H177" s="5" t="n"/>
      <c r="I177" s="5" t="n"/>
      <c r="J177" s="5" t="n"/>
      <c r="K177" s="5" t="n">
        <v>-0.5924</v>
      </c>
      <c r="L177" s="5" t="n"/>
      <c r="M177" s="5" t="n"/>
      <c r="N177" s="5" t="inlineStr">
        <is>
          <t>coste no estimable: no hay coste unitario verificado por vivienda pública (v5 D1: «coste unitario sin dato verificado»)</t>
        </is>
      </c>
    </row>
    <row r="178">
      <c r="A178" s="5" t="inlineStr">
        <is>
          <t>14</t>
        </is>
      </c>
      <c r="B178" s="5" t="inlineStr">
        <is>
          <t>Región de Murcia</t>
        </is>
      </c>
      <c r="C178" s="5" t="inlineStr">
        <is>
          <t>regulación local de turísticos</t>
        </is>
      </c>
      <c r="D178" s="5" t="inlineStr">
        <is>
          <t>alquiler</t>
        </is>
      </c>
      <c r="E178" s="5" t="n">
        <v>975.7758</v>
      </c>
      <c r="F178" s="5" t="n">
        <v>-0.3301</v>
      </c>
      <c r="G178" s="5" t="n">
        <v>-0.3301</v>
      </c>
      <c r="H178" s="5" t="n"/>
      <c r="I178" s="5" t="n"/>
      <c r="J178" s="5" t="n"/>
      <c r="K178" s="5" t="n">
        <v>-3.4226</v>
      </c>
      <c r="L178" s="5" t="n"/>
      <c r="M178" s="5" t="n"/>
      <c r="N178" s="5" t="inlineStr">
        <is>
          <t>coste no estimable: regulación sin coste fiscal directo verificable (inspección y compensaciones sin base)</t>
        </is>
      </c>
    </row>
    <row r="179">
      <c r="A179" s="5" t="inlineStr">
        <is>
          <t>14</t>
        </is>
      </c>
      <c r="B179" s="5" t="inlineStr">
        <is>
          <t>Región de Murcia</t>
        </is>
      </c>
      <c r="C179" s="5" t="inlineStr">
        <is>
          <t>regulación local de turísticos</t>
        </is>
      </c>
      <c r="D179" s="5" t="inlineStr">
        <is>
          <t>compra</t>
        </is>
      </c>
      <c r="E179" s="5" t="n">
        <v>975.7758</v>
      </c>
      <c r="F179" s="5" t="n">
        <v>-0.0579</v>
      </c>
      <c r="G179" s="5" t="n">
        <v>-0.0579</v>
      </c>
      <c r="H179" s="5" t="n"/>
      <c r="I179" s="5" t="n"/>
      <c r="J179" s="5" t="n"/>
      <c r="K179" s="5" t="n">
        <v>-0.5924</v>
      </c>
      <c r="L179" s="5" t="n"/>
      <c r="M179" s="5" t="n"/>
      <c r="N179" s="5" t="inlineStr">
        <is>
          <t>coste no estimable: regulación sin coste fiscal directo verificable (inspección y compensaciones sin base)</t>
        </is>
      </c>
    </row>
    <row r="180">
      <c r="A180" s="5" t="inlineStr">
        <is>
          <t>14</t>
        </is>
      </c>
      <c r="B180" s="5" t="inlineStr">
        <is>
          <t>Región de Murcia</t>
        </is>
      </c>
      <c r="C180" s="5" t="inlineStr">
        <is>
          <t>ayudas a la demanda</t>
        </is>
      </c>
      <c r="D180" s="5" t="inlineStr">
        <is>
          <t>alquiler</t>
        </is>
      </c>
      <c r="E180" s="5" t="n">
        <v>27814</v>
      </c>
      <c r="F180" s="5" t="n">
        <v>4.2299</v>
      </c>
      <c r="G180" s="5" t="n">
        <v>-5.3691</v>
      </c>
      <c r="H180" s="5" t="n"/>
      <c r="I180" s="5" t="n"/>
      <c r="J180" s="5" t="n"/>
      <c r="K180" s="5" t="n"/>
      <c r="L180" s="5" t="n"/>
      <c r="M180" s="5" t="n"/>
      <c r="N180" s="5" t="inlineStr">
        <is>
          <t>coste no estimable: el panel v7 no tiene renta media del alquiler en euros por CCAA ni número de hogares beneficiarios</t>
        </is>
      </c>
    </row>
    <row r="181">
      <c r="A181" s="5" t="inlineStr">
        <is>
          <t>14</t>
        </is>
      </c>
      <c r="B181" s="5" t="inlineStr">
        <is>
          <t>Región de Murcia</t>
        </is>
      </c>
      <c r="C181" s="5" t="inlineStr">
        <is>
          <t>ayudas a la demanda</t>
        </is>
      </c>
      <c r="D181" s="5" t="inlineStr">
        <is>
          <t>compra</t>
        </is>
      </c>
      <c r="E181" s="5" t="n">
        <v>27814</v>
      </c>
      <c r="F181" s="5" t="n">
        <v>4.2299</v>
      </c>
      <c r="G181" s="5" t="n">
        <v>-5.3691</v>
      </c>
      <c r="H181" s="5" t="n">
        <v>319.686</v>
      </c>
      <c r="I181" s="5" t="n">
        <v>173.8365</v>
      </c>
      <c r="J181" s="5" t="n">
        <v>458.6175</v>
      </c>
      <c r="K181" s="5" t="n"/>
      <c r="L181" s="5" t="n">
        <v>1.4231</v>
      </c>
      <c r="M181" s="5" t="n">
        <v>56.6998</v>
      </c>
      <c r="N181" s="5" t="inlineStr">
        <is>
          <t>estimado (C4)</t>
        </is>
      </c>
    </row>
    <row r="182">
      <c r="A182" s="5" t="inlineStr">
        <is>
          <t>14</t>
        </is>
      </c>
      <c r="B182" s="5" t="inlineStr">
        <is>
          <t>Región de Murcia</t>
        </is>
      </c>
      <c r="C182" s="5" t="inlineStr">
        <is>
          <t>rebaja de ITP/IVA (vivienda nueva)</t>
        </is>
      </c>
      <c r="D182" s="5" t="inlineStr">
        <is>
          <t>compra</t>
        </is>
      </c>
      <c r="E182" s="5" t="n">
        <v>27814</v>
      </c>
      <c r="F182" s="5" t="n">
        <v>1.0663</v>
      </c>
      <c r="G182" s="5" t="n">
        <v>-1.2587</v>
      </c>
      <c r="H182" s="5" t="n">
        <v>81.2188</v>
      </c>
      <c r="I182" s="5" t="n">
        <v>36.8637</v>
      </c>
      <c r="J182" s="5" t="n">
        <v>122.4095</v>
      </c>
      <c r="K182" s="5" t="n"/>
      <c r="L182" s="5" t="n">
        <v>1.4231</v>
      </c>
      <c r="M182" s="5" t="n">
        <v>60.0352</v>
      </c>
      <c r="N182" s="5" t="inlineStr">
        <is>
          <t>estimado (C4)</t>
        </is>
      </c>
    </row>
    <row r="183">
      <c r="A183" s="5" t="inlineStr">
        <is>
          <t>14</t>
        </is>
      </c>
      <c r="B183" s="5" t="inlineStr">
        <is>
          <t>Región de Murcia</t>
        </is>
      </c>
      <c r="C183" s="5" t="inlineStr">
        <is>
          <t>rebaja de impuestos y costes de construcción</t>
        </is>
      </c>
      <c r="D183" s="5" t="inlineStr">
        <is>
          <t>alquiler</t>
        </is>
      </c>
      <c r="E183" s="5" t="n">
        <v>4308</v>
      </c>
      <c r="F183" s="5" t="n">
        <v>-1.0468</v>
      </c>
      <c r="G183" s="5" t="n">
        <v>-1.0468</v>
      </c>
      <c r="H183" s="5" t="n"/>
      <c r="I183" s="5" t="n"/>
      <c r="J183" s="5" t="n"/>
      <c r="K183" s="5" t="n"/>
      <c r="L183" s="5" t="n"/>
      <c r="M183" s="5" t="n"/>
      <c r="N183" s="5" t="inlineStr">
        <is>
          <t>coste anual igual al de compra (la rebaja es una sola); el efecto en alquiler es indirecto</t>
        </is>
      </c>
    </row>
    <row r="184">
      <c r="A184" s="5" t="inlineStr">
        <is>
          <t>14</t>
        </is>
      </c>
      <c r="B184" s="5" t="inlineStr">
        <is>
          <t>Región de Murcia</t>
        </is>
      </c>
      <c r="C184" s="5" t="inlineStr">
        <is>
          <t>rebaja de impuestos y costes de construcción</t>
        </is>
      </c>
      <c r="D184" s="5" t="inlineStr">
        <is>
          <t>compra</t>
        </is>
      </c>
      <c r="E184" s="5" t="n">
        <v>4308</v>
      </c>
      <c r="F184" s="5" t="n">
        <v>-1.0468</v>
      </c>
      <c r="G184" s="5" t="n">
        <v>-1.0468</v>
      </c>
      <c r="H184" s="5" t="n">
        <v>10.4708</v>
      </c>
      <c r="I184" s="5" t="n">
        <v>5.5257</v>
      </c>
      <c r="J184" s="5" t="n">
        <v>17.2529</v>
      </c>
      <c r="K184" s="5" t="n"/>
      <c r="L184" s="5" t="n">
        <v>-10.5415</v>
      </c>
      <c r="M184" s="5" t="n">
        <v>9.4864</v>
      </c>
      <c r="N184" s="5" t="inlineStr">
        <is>
          <t>estimado (C4)</t>
        </is>
      </c>
    </row>
    <row r="185">
      <c r="A185" s="5" t="inlineStr">
        <is>
          <t>15</t>
        </is>
      </c>
      <c r="B185" s="5" t="inlineStr">
        <is>
          <t>Comunidad Foral de Navarra</t>
        </is>
      </c>
      <c r="C185" s="5" t="inlineStr">
        <is>
          <t>construcción adicional</t>
        </is>
      </c>
      <c r="D185" s="5" t="inlineStr">
        <is>
          <t>alquiler</t>
        </is>
      </c>
      <c r="E185" s="5" t="n">
        <v>9092.5062</v>
      </c>
      <c r="F185" s="5" t="n">
        <v>-1.517</v>
      </c>
      <c r="G185" s="5" t="n">
        <v>-1.517</v>
      </c>
      <c r="H185" s="5" t="n"/>
      <c r="I185" s="5" t="n"/>
      <c r="J185" s="5" t="n"/>
      <c r="K185" s="5" t="n">
        <v>-1.7038</v>
      </c>
      <c r="L185" s="5" t="n"/>
      <c r="M185" s="5" t="n"/>
      <c r="N185" s="5" t="inlineStr">
        <is>
          <t>coste no estimable: no hay coste unitario por vivienda (suelo, obra, financiación pública) verificado ni versionado; el escenario no fija quién paga</t>
        </is>
      </c>
    </row>
    <row r="186">
      <c r="A186" s="5" t="inlineStr">
        <is>
          <t>15</t>
        </is>
      </c>
      <c r="B186" s="5" t="inlineStr">
        <is>
          <t>Comunidad Foral de Navarra</t>
        </is>
      </c>
      <c r="C186" s="5" t="inlineStr">
        <is>
          <t>construcción adicional</t>
        </is>
      </c>
      <c r="D186" s="5" t="inlineStr">
        <is>
          <t>compra</t>
        </is>
      </c>
      <c r="E186" s="5" t="n">
        <v>9092.5062</v>
      </c>
      <c r="F186" s="5" t="n">
        <v>-1.3764</v>
      </c>
      <c r="G186" s="5" t="n">
        <v>-1.3764</v>
      </c>
      <c r="H186" s="5" t="n"/>
      <c r="I186" s="5" t="n"/>
      <c r="J186" s="5" t="n"/>
      <c r="K186" s="5" t="n">
        <v>-1.5071</v>
      </c>
      <c r="L186" s="5" t="n"/>
      <c r="M186" s="5" t="n"/>
      <c r="N186" s="5" t="inlineStr">
        <is>
          <t>coste no estimable: no hay coste unitario por vivienda (suelo, obra, financiación pública) verificado ni versionado; el escenario no fija quién paga</t>
        </is>
      </c>
    </row>
    <row r="187">
      <c r="A187" s="5" t="inlineStr">
        <is>
          <t>15</t>
        </is>
      </c>
      <c r="B187" s="5" t="inlineStr">
        <is>
          <t>Comunidad Foral de Navarra</t>
        </is>
      </c>
      <c r="C187" s="5" t="inlineStr">
        <is>
          <t>movilización de vacías</t>
        </is>
      </c>
      <c r="D187" s="5" t="inlineStr">
        <is>
          <t>alquiler</t>
        </is>
      </c>
      <c r="E187" s="5" t="n">
        <v>5921.8329</v>
      </c>
      <c r="F187" s="5" t="n">
        <v>-2.4851</v>
      </c>
      <c r="G187" s="5" t="n">
        <v>-2.4851</v>
      </c>
      <c r="H187" s="5" t="n"/>
      <c r="I187" s="5" t="n"/>
      <c r="J187" s="5" t="n"/>
      <c r="K187" s="5" t="n">
        <v>-4.2939</v>
      </c>
      <c r="L187" s="5" t="n"/>
      <c r="M187" s="5" t="n"/>
      <c r="N187" s="5" t="inlineStr">
        <is>
          <t>coste no estimable: no hay coste unitario verificado de movilización (incentivo, rehabilitación, recargo del IBI) ni reparto entre recaudación y gasto</t>
        </is>
      </c>
    </row>
    <row r="188">
      <c r="A188" s="5" t="inlineStr">
        <is>
          <t>15</t>
        </is>
      </c>
      <c r="B188" s="5" t="inlineStr">
        <is>
          <t>Comunidad Foral de Navarra</t>
        </is>
      </c>
      <c r="C188" s="5" t="inlineStr">
        <is>
          <t>movilización de vacías</t>
        </is>
      </c>
      <c r="D188" s="5" t="inlineStr">
        <is>
          <t>compra</t>
        </is>
      </c>
      <c r="E188" s="5" t="n">
        <v>5921.8329</v>
      </c>
      <c r="F188" s="5" t="n">
        <v>-0.8894</v>
      </c>
      <c r="G188" s="5" t="n">
        <v>-0.8894</v>
      </c>
      <c r="H188" s="5" t="n"/>
      <c r="I188" s="5" t="n"/>
      <c r="J188" s="5" t="n"/>
      <c r="K188" s="5" t="n">
        <v>-1.5071</v>
      </c>
      <c r="L188" s="5" t="n"/>
      <c r="M188" s="5" t="n"/>
      <c r="N188" s="5" t="inlineStr">
        <is>
          <t>coste no estimable: no hay coste unitario verificado de movilización (incentivo, rehabilitación, recargo del IBI) ni reparto entre recaudación y gasto</t>
        </is>
      </c>
    </row>
    <row r="189">
      <c r="A189" s="5" t="inlineStr">
        <is>
          <t>15</t>
        </is>
      </c>
      <c r="B189" s="5" t="inlineStr">
        <is>
          <t>Comunidad Foral de Navarra</t>
        </is>
      </c>
      <c r="C189" s="5" t="inlineStr">
        <is>
          <t>vivienda pública o asequible</t>
        </is>
      </c>
      <c r="D189" s="5" t="inlineStr">
        <is>
          <t>alquiler</t>
        </is>
      </c>
      <c r="E189" s="5" t="n">
        <v>4585.3036</v>
      </c>
      <c r="F189" s="5" t="n">
        <v>-3.6229</v>
      </c>
      <c r="G189" s="5" t="n">
        <v>-3.6229</v>
      </c>
      <c r="H189" s="5" t="n"/>
      <c r="I189" s="5" t="n"/>
      <c r="J189" s="5" t="n"/>
      <c r="K189" s="5" t="n">
        <v>-7.7761</v>
      </c>
      <c r="L189" s="5" t="n"/>
      <c r="M189" s="5" t="n"/>
      <c r="N189" s="5" t="inlineStr">
        <is>
          <t>coste no estimable: no hay coste unitario verificado por vivienda pública (v5 D1: «coste unitario sin dato verificado»)</t>
        </is>
      </c>
    </row>
    <row r="190">
      <c r="A190" s="5" t="inlineStr">
        <is>
          <t>15</t>
        </is>
      </c>
      <c r="B190" s="5" t="inlineStr">
        <is>
          <t>Comunidad Foral de Navarra</t>
        </is>
      </c>
      <c r="C190" s="5" t="inlineStr">
        <is>
          <t>vivienda pública o asequible</t>
        </is>
      </c>
      <c r="D190" s="5" t="inlineStr">
        <is>
          <t>compra</t>
        </is>
      </c>
      <c r="E190" s="5" t="n">
        <v>4585.3036</v>
      </c>
      <c r="F190" s="5" t="n">
        <v>-0.7010999999999999</v>
      </c>
      <c r="G190" s="5" t="n">
        <v>-0.7010999999999999</v>
      </c>
      <c r="H190" s="5" t="n"/>
      <c r="I190" s="5" t="n"/>
      <c r="J190" s="5" t="n"/>
      <c r="K190" s="5" t="n">
        <v>-1.5071</v>
      </c>
      <c r="L190" s="5" t="n"/>
      <c r="M190" s="5" t="n"/>
      <c r="N190" s="5" t="inlineStr">
        <is>
          <t>coste no estimable: no hay coste unitario verificado por vivienda pública (v5 D1: «coste unitario sin dato verificado»)</t>
        </is>
      </c>
    </row>
    <row r="191">
      <c r="A191" s="5" t="inlineStr">
        <is>
          <t>15</t>
        </is>
      </c>
      <c r="B191" s="5" t="inlineStr">
        <is>
          <t>Comunidad Foral de Navarra</t>
        </is>
      </c>
      <c r="C191" s="5" t="inlineStr">
        <is>
          <t>regulación local de turísticos</t>
        </is>
      </c>
      <c r="D191" s="5" t="inlineStr">
        <is>
          <t>alquiler</t>
        </is>
      </c>
      <c r="E191" s="5" t="n">
        <v>259.4865</v>
      </c>
      <c r="F191" s="5" t="n">
        <v>-0.2221</v>
      </c>
      <c r="G191" s="5" t="n">
        <v>-0.2221</v>
      </c>
      <c r="H191" s="5" t="n"/>
      <c r="I191" s="5" t="n"/>
      <c r="J191" s="5" t="n"/>
      <c r="K191" s="5" t="n">
        <v>-8.6363</v>
      </c>
      <c r="L191" s="5" t="n"/>
      <c r="M191" s="5" t="n"/>
      <c r="N191" s="5" t="inlineStr">
        <is>
          <t>coste no estimable: regulación sin coste fiscal directo verificable (inspección y compensaciones sin base)</t>
        </is>
      </c>
    </row>
    <row r="192">
      <c r="A192" s="5" t="inlineStr">
        <is>
          <t>15</t>
        </is>
      </c>
      <c r="B192" s="5" t="inlineStr">
        <is>
          <t>Comunidad Foral de Navarra</t>
        </is>
      </c>
      <c r="C192" s="5" t="inlineStr">
        <is>
          <t>regulación local de turísticos</t>
        </is>
      </c>
      <c r="D192" s="5" t="inlineStr">
        <is>
          <t>compra</t>
        </is>
      </c>
      <c r="E192" s="5" t="n">
        <v>259.4865</v>
      </c>
      <c r="F192" s="5" t="n">
        <v>-0.0387</v>
      </c>
      <c r="G192" s="5" t="n">
        <v>-0.0387</v>
      </c>
      <c r="H192" s="5" t="n"/>
      <c r="I192" s="5" t="n"/>
      <c r="J192" s="5" t="n"/>
      <c r="K192" s="5" t="n">
        <v>-1.5071</v>
      </c>
      <c r="L192" s="5" t="n"/>
      <c r="M192" s="5" t="n"/>
      <c r="N192" s="5" t="inlineStr">
        <is>
          <t>coste no estimable: regulación sin coste fiscal directo verificable (inspección y compensaciones sin base)</t>
        </is>
      </c>
    </row>
    <row r="193">
      <c r="A193" s="5" t="inlineStr">
        <is>
          <t>15</t>
        </is>
      </c>
      <c r="B193" s="5" t="inlineStr">
        <is>
          <t>Comunidad Foral de Navarra</t>
        </is>
      </c>
      <c r="C193" s="5" t="inlineStr">
        <is>
          <t>ayudas a la demanda</t>
        </is>
      </c>
      <c r="D193" s="5" t="inlineStr">
        <is>
          <t>alquiler</t>
        </is>
      </c>
      <c r="E193" s="5" t="n">
        <v>7480</v>
      </c>
      <c r="F193" s="5" t="n">
        <v>4.2345</v>
      </c>
      <c r="G193" s="5" t="n">
        <v>-5.3855</v>
      </c>
      <c r="H193" s="5" t="n"/>
      <c r="I193" s="5" t="n"/>
      <c r="J193" s="5" t="n"/>
      <c r="K193" s="5" t="n"/>
      <c r="L193" s="5" t="n"/>
      <c r="M193" s="5" t="n"/>
      <c r="N193" s="5" t="inlineStr">
        <is>
          <t>coste no estimable: el panel v7 no tiene renta media del alquiler en euros por CCAA ni número de hogares beneficiarios</t>
        </is>
      </c>
    </row>
    <row r="194">
      <c r="A194" s="5" t="inlineStr">
        <is>
          <t>15</t>
        </is>
      </c>
      <c r="B194" s="5" t="inlineStr">
        <is>
          <t>Comunidad Foral de Navarra</t>
        </is>
      </c>
      <c r="C194" s="5" t="inlineStr">
        <is>
          <t>ayudas a la demanda</t>
        </is>
      </c>
      <c r="D194" s="5" t="inlineStr">
        <is>
          <t>compra</t>
        </is>
      </c>
      <c r="E194" s="5" t="n">
        <v>7480</v>
      </c>
      <c r="F194" s="5" t="n">
        <v>4.2345</v>
      </c>
      <c r="G194" s="5" t="n">
        <v>-5.3855</v>
      </c>
      <c r="H194" s="5" t="n">
        <v>124.9948</v>
      </c>
      <c r="I194" s="5" t="n">
        <v>68.7307</v>
      </c>
      <c r="J194" s="5" t="n">
        <v>180.748</v>
      </c>
      <c r="K194" s="5" t="n"/>
      <c r="L194" s="5" t="n">
        <v>3.6205</v>
      </c>
      <c r="M194" s="5" t="n">
        <v>22.3138</v>
      </c>
      <c r="N194" s="5" t="inlineStr">
        <is>
          <t>estimado (C4)</t>
        </is>
      </c>
    </row>
    <row r="195">
      <c r="A195" s="5" t="inlineStr">
        <is>
          <t>15</t>
        </is>
      </c>
      <c r="B195" s="5" t="inlineStr">
        <is>
          <t>Comunidad Foral de Navarra</t>
        </is>
      </c>
      <c r="C195" s="5" t="inlineStr">
        <is>
          <t>rebaja de ITP/IVA (vivienda nueva)</t>
        </is>
      </c>
      <c r="D195" s="5" t="inlineStr">
        <is>
          <t>compra</t>
        </is>
      </c>
      <c r="E195" s="5" t="n">
        <v>7480</v>
      </c>
      <c r="F195" s="5" t="n">
        <v>1.0647</v>
      </c>
      <c r="G195" s="5" t="n">
        <v>-1.234</v>
      </c>
      <c r="H195" s="5" t="n">
        <v>31.3692</v>
      </c>
      <c r="I195" s="5" t="n">
        <v>14.4612</v>
      </c>
      <c r="J195" s="5" t="n">
        <v>47.9501</v>
      </c>
      <c r="K195" s="5" t="n"/>
      <c r="L195" s="5" t="n">
        <v>3.6205</v>
      </c>
      <c r="M195" s="5" t="n">
        <v>23.6769</v>
      </c>
      <c r="N195" s="5" t="inlineStr">
        <is>
          <t>estimado (C4)</t>
        </is>
      </c>
    </row>
    <row r="196">
      <c r="A196" s="5" t="inlineStr">
        <is>
          <t>15</t>
        </is>
      </c>
      <c r="B196" s="5" t="inlineStr">
        <is>
          <t>Comunidad Foral de Navarra</t>
        </is>
      </c>
      <c r="C196" s="5" t="inlineStr">
        <is>
          <t>rebaja de impuestos y costes de construcción</t>
        </is>
      </c>
      <c r="D196" s="5" t="inlineStr">
        <is>
          <t>alquiler</t>
        </is>
      </c>
      <c r="E196" s="5" t="n">
        <v>1765</v>
      </c>
      <c r="F196" s="5" t="n">
        <v>-1.0463</v>
      </c>
      <c r="G196" s="5" t="n">
        <v>-1.0463</v>
      </c>
      <c r="H196" s="5" t="n"/>
      <c r="I196" s="5" t="n"/>
      <c r="J196" s="5" t="n"/>
      <c r="K196" s="5" t="n"/>
      <c r="L196" s="5" t="n"/>
      <c r="M196" s="5" t="n"/>
      <c r="N196" s="5" t="inlineStr">
        <is>
          <t>coste anual igual al de compra (la rebaja es una sola); el efecto en alquiler es indirecto</t>
        </is>
      </c>
    </row>
    <row r="197">
      <c r="A197" s="5" t="inlineStr">
        <is>
          <t>15</t>
        </is>
      </c>
      <c r="B197" s="5" t="inlineStr">
        <is>
          <t>Comunidad Foral de Navarra</t>
        </is>
      </c>
      <c r="C197" s="5" t="inlineStr">
        <is>
          <t>rebaja de impuestos y costes de construcción</t>
        </is>
      </c>
      <c r="D197" s="5" t="inlineStr">
        <is>
          <t>compra</t>
        </is>
      </c>
      <c r="E197" s="5" t="n">
        <v>1765</v>
      </c>
      <c r="F197" s="5" t="n">
        <v>-1.0463</v>
      </c>
      <c r="G197" s="5" t="n">
        <v>-1.0463</v>
      </c>
      <c r="H197" s="5" t="n">
        <v>6.2943</v>
      </c>
      <c r="I197" s="5" t="n">
        <v>3.2623</v>
      </c>
      <c r="J197" s="5" t="n">
        <v>10.3364</v>
      </c>
      <c r="K197" s="5" t="n"/>
      <c r="L197" s="5" t="n">
        <v>-17.532</v>
      </c>
      <c r="M197" s="5" t="n">
        <v>5.7039</v>
      </c>
      <c r="N197" s="5" t="inlineStr">
        <is>
          <t>estimado (C4)</t>
        </is>
      </c>
    </row>
    <row r="198">
      <c r="A198" s="5" t="inlineStr">
        <is>
          <t>16</t>
        </is>
      </c>
      <c r="B198" s="5" t="inlineStr">
        <is>
          <t>País Vasco</t>
        </is>
      </c>
      <c r="C198" s="5" t="inlineStr">
        <is>
          <t>construcción adicional</t>
        </is>
      </c>
      <c r="D198" s="5" t="inlineStr">
        <is>
          <t>alquiler</t>
        </is>
      </c>
      <c r="E198" s="5" t="n">
        <v>10427.3345</v>
      </c>
      <c r="F198" s="5" t="n">
        <v>-0.9282</v>
      </c>
      <c r="G198" s="5" t="n">
        <v>-0.9282</v>
      </c>
      <c r="H198" s="5" t="n"/>
      <c r="I198" s="5" t="n"/>
      <c r="J198" s="5" t="n"/>
      <c r="K198" s="5" t="n">
        <v>-0.9067</v>
      </c>
      <c r="L198" s="5" t="n"/>
      <c r="M198" s="5" t="n"/>
      <c r="N198" s="5" t="inlineStr">
        <is>
          <t>coste no estimable: no hay coste unitario por vivienda (suelo, obra, financiación pública) verificado ni versionado; el escenario no fija quién paga</t>
        </is>
      </c>
    </row>
    <row r="199">
      <c r="A199" s="5" t="inlineStr">
        <is>
          <t>16</t>
        </is>
      </c>
      <c r="B199" s="5" t="inlineStr">
        <is>
          <t>País Vasco</t>
        </is>
      </c>
      <c r="C199" s="5" t="inlineStr">
        <is>
          <t>construcción adicional</t>
        </is>
      </c>
      <c r="D199" s="5" t="inlineStr">
        <is>
          <t>compra</t>
        </is>
      </c>
      <c r="E199" s="5" t="n">
        <v>10427.3345</v>
      </c>
      <c r="F199" s="5" t="n">
        <v>-0.8232</v>
      </c>
      <c r="G199" s="5" t="n">
        <v>-0.8232</v>
      </c>
      <c r="H199" s="5" t="n"/>
      <c r="I199" s="5" t="n"/>
      <c r="J199" s="5" t="n"/>
      <c r="K199" s="5" t="n">
        <v>-0.7848000000000001</v>
      </c>
      <c r="L199" s="5" t="n"/>
      <c r="M199" s="5" t="n"/>
      <c r="N199" s="5" t="inlineStr">
        <is>
          <t>coste no estimable: no hay coste unitario por vivienda (suelo, obra, financiación pública) verificado ni versionado; el escenario no fija quién paga</t>
        </is>
      </c>
    </row>
    <row r="200">
      <c r="A200" s="5" t="inlineStr">
        <is>
          <t>16</t>
        </is>
      </c>
      <c r="B200" s="5" t="inlineStr">
        <is>
          <t>País Vasco</t>
        </is>
      </c>
      <c r="C200" s="5" t="inlineStr">
        <is>
          <t>movilización de vacías</t>
        </is>
      </c>
      <c r="D200" s="5" t="inlineStr">
        <is>
          <t>alquiler</t>
        </is>
      </c>
      <c r="E200" s="5" t="n">
        <v>12563.5694</v>
      </c>
      <c r="F200" s="5" t="n">
        <v>-2.8357</v>
      </c>
      <c r="G200" s="5" t="n">
        <v>-2.8357</v>
      </c>
      <c r="H200" s="5" t="n"/>
      <c r="I200" s="5" t="n"/>
      <c r="J200" s="5" t="n"/>
      <c r="K200" s="5" t="n">
        <v>-2.2914</v>
      </c>
      <c r="L200" s="5" t="n"/>
      <c r="M200" s="5" t="n"/>
      <c r="N200" s="5" t="inlineStr">
        <is>
          <t>coste no estimable: no hay coste unitario verificado de movilización (incentivo, rehabilitación, recargo del IBI) ni reparto entre recaudación y gasto</t>
        </is>
      </c>
    </row>
    <row r="201">
      <c r="A201" s="5" t="inlineStr">
        <is>
          <t>16</t>
        </is>
      </c>
      <c r="B201" s="5" t="inlineStr">
        <is>
          <t>País Vasco</t>
        </is>
      </c>
      <c r="C201" s="5" t="inlineStr">
        <is>
          <t>movilización de vacías</t>
        </is>
      </c>
      <c r="D201" s="5" t="inlineStr">
        <is>
          <t>compra</t>
        </is>
      </c>
      <c r="E201" s="5" t="n">
        <v>12563.5694</v>
      </c>
      <c r="F201" s="5" t="n">
        <v>-0.993</v>
      </c>
      <c r="G201" s="5" t="n">
        <v>-0.993</v>
      </c>
      <c r="H201" s="5" t="n"/>
      <c r="I201" s="5" t="n"/>
      <c r="J201" s="5" t="n"/>
      <c r="K201" s="5" t="n">
        <v>-0.7848000000000001</v>
      </c>
      <c r="L201" s="5" t="n"/>
      <c r="M201" s="5" t="n"/>
      <c r="N201" s="5" t="inlineStr">
        <is>
          <t>coste no estimable: no hay coste unitario verificado de movilización (incentivo, rehabilitación, recargo del IBI) ni reparto entre recaudación y gasto</t>
        </is>
      </c>
    </row>
    <row r="202">
      <c r="A202" s="5" t="inlineStr">
        <is>
          <t>16</t>
        </is>
      </c>
      <c r="B202" s="5" t="inlineStr">
        <is>
          <t>País Vasco</t>
        </is>
      </c>
      <c r="C202" s="5" t="inlineStr">
        <is>
          <t>vivienda pública o asequible</t>
        </is>
      </c>
      <c r="D202" s="5" t="inlineStr">
        <is>
          <t>alquiler</t>
        </is>
      </c>
      <c r="E202" s="5" t="n">
        <v>10674.6541</v>
      </c>
      <c r="F202" s="5" t="n">
        <v>-4.4441</v>
      </c>
      <c r="G202" s="5" t="n">
        <v>-4.4441</v>
      </c>
      <c r="H202" s="5" t="n"/>
      <c r="I202" s="5" t="n"/>
      <c r="J202" s="5" t="n"/>
      <c r="K202" s="5" t="n">
        <v>-4.1116</v>
      </c>
      <c r="L202" s="5" t="n"/>
      <c r="M202" s="5" t="n"/>
      <c r="N202" s="5" t="inlineStr">
        <is>
          <t>coste no estimable: no hay coste unitario verificado por vivienda pública (v5 D1: «coste unitario sin dato verificado»)</t>
        </is>
      </c>
    </row>
    <row r="203">
      <c r="A203" s="5" t="inlineStr">
        <is>
          <t>16</t>
        </is>
      </c>
      <c r="B203" s="5" t="inlineStr">
        <is>
          <t>País Vasco</t>
        </is>
      </c>
      <c r="C203" s="5" t="inlineStr">
        <is>
          <t>vivienda pública o asequible</t>
        </is>
      </c>
      <c r="D203" s="5" t="inlineStr">
        <is>
          <t>compra</t>
        </is>
      </c>
      <c r="E203" s="5" t="n">
        <v>10674.6541</v>
      </c>
      <c r="F203" s="5" t="n">
        <v>-0.8565</v>
      </c>
      <c r="G203" s="5" t="n">
        <v>-0.8565</v>
      </c>
      <c r="H203" s="5" t="n"/>
      <c r="I203" s="5" t="n"/>
      <c r="J203" s="5" t="n"/>
      <c r="K203" s="5" t="n">
        <v>-0.7848000000000001</v>
      </c>
      <c r="L203" s="5" t="n"/>
      <c r="M203" s="5" t="n"/>
      <c r="N203" s="5" t="inlineStr">
        <is>
          <t>coste no estimable: no hay coste unitario verificado por vivienda pública (v5 D1: «coste unitario sin dato verificado»)</t>
        </is>
      </c>
    </row>
    <row r="204">
      <c r="A204" s="5" t="inlineStr">
        <is>
          <t>16</t>
        </is>
      </c>
      <c r="B204" s="5" t="inlineStr">
        <is>
          <t>País Vasco</t>
        </is>
      </c>
      <c r="C204" s="5" t="inlineStr">
        <is>
          <t>regulación local de turísticos</t>
        </is>
      </c>
      <c r="D204" s="5" t="inlineStr">
        <is>
          <t>alquiler</t>
        </is>
      </c>
      <c r="E204" s="5" t="n">
        <v>826.9836</v>
      </c>
      <c r="F204" s="5" t="n">
        <v>-0.376</v>
      </c>
      <c r="G204" s="5" t="n">
        <v>-0.376</v>
      </c>
      <c r="H204" s="5" t="n"/>
      <c r="I204" s="5" t="n"/>
      <c r="J204" s="5" t="n"/>
      <c r="K204" s="5" t="n">
        <v>-4.545</v>
      </c>
      <c r="L204" s="5" t="n"/>
      <c r="M204" s="5" t="n"/>
      <c r="N204" s="5" t="inlineStr">
        <is>
          <t>coste no estimable: regulación sin coste fiscal directo verificable (inspección y compensaciones sin base)</t>
        </is>
      </c>
    </row>
    <row r="205">
      <c r="A205" s="5" t="inlineStr">
        <is>
          <t>16</t>
        </is>
      </c>
      <c r="B205" s="5" t="inlineStr">
        <is>
          <t>País Vasco</t>
        </is>
      </c>
      <c r="C205" s="5" t="inlineStr">
        <is>
          <t>regulación local de turísticos</t>
        </is>
      </c>
      <c r="D205" s="5" t="inlineStr">
        <is>
          <t>compra</t>
        </is>
      </c>
      <c r="E205" s="5" t="n">
        <v>826.9836</v>
      </c>
      <c r="F205" s="5" t="n">
        <v>-0.06560000000000001</v>
      </c>
      <c r="G205" s="5" t="n">
        <v>-0.06560000000000001</v>
      </c>
      <c r="H205" s="5" t="n"/>
      <c r="I205" s="5" t="n"/>
      <c r="J205" s="5" t="n"/>
      <c r="K205" s="5" t="n">
        <v>-0.7848000000000001</v>
      </c>
      <c r="L205" s="5" t="n"/>
      <c r="M205" s="5" t="n"/>
      <c r="N205" s="5" t="inlineStr">
        <is>
          <t>coste no estimable: regulación sin coste fiscal directo verificable (inspección y compensaciones sin base)</t>
        </is>
      </c>
    </row>
    <row r="206">
      <c r="A206" s="5" t="inlineStr">
        <is>
          <t>16</t>
        </is>
      </c>
      <c r="B206" s="5" t="inlineStr">
        <is>
          <t>País Vasco</t>
        </is>
      </c>
      <c r="C206" s="5" t="inlineStr">
        <is>
          <t>ayudas a la demanda</t>
        </is>
      </c>
      <c r="D206" s="5" t="inlineStr">
        <is>
          <t>alquiler</t>
        </is>
      </c>
      <c r="E206" s="5" t="n">
        <v>26678</v>
      </c>
      <c r="F206" s="5" t="n">
        <v>7.2576</v>
      </c>
      <c r="G206" s="5" t="n">
        <v>-2.7252</v>
      </c>
      <c r="H206" s="5" t="n"/>
      <c r="I206" s="5" t="n"/>
      <c r="J206" s="5" t="n"/>
      <c r="K206" s="5" t="n"/>
      <c r="L206" s="5" t="n"/>
      <c r="M206" s="5" t="n"/>
      <c r="N206" s="5" t="inlineStr">
        <is>
          <t>coste no estimable: el panel v7 no tiene renta media del alquiler en euros por CCAA ni número de hogares beneficiarios</t>
        </is>
      </c>
    </row>
    <row r="207">
      <c r="A207" s="5" t="inlineStr">
        <is>
          <t>16</t>
        </is>
      </c>
      <c r="B207" s="5" t="inlineStr">
        <is>
          <t>País Vasco</t>
        </is>
      </c>
      <c r="C207" s="5" t="inlineStr">
        <is>
          <t>ayudas a la demanda</t>
        </is>
      </c>
      <c r="D207" s="5" t="inlineStr">
        <is>
          <t>compra</t>
        </is>
      </c>
      <c r="E207" s="5" t="n">
        <v>26678</v>
      </c>
      <c r="F207" s="5" t="n">
        <v>7.2576</v>
      </c>
      <c r="G207" s="5" t="n">
        <v>-2.7252</v>
      </c>
      <c r="H207" s="5" t="n">
        <v>710.8141000000001</v>
      </c>
      <c r="I207" s="5" t="n">
        <v>389.8783</v>
      </c>
      <c r="J207" s="5" t="n">
        <v>1029.9826</v>
      </c>
      <c r="K207" s="5" t="n"/>
      <c r="L207" s="5" t="n">
        <v>1.0746</v>
      </c>
      <c r="M207" s="5" t="n">
        <v>258.2448</v>
      </c>
      <c r="N207" s="5" t="inlineStr">
        <is>
          <t>estimado (C4)</t>
        </is>
      </c>
    </row>
    <row r="208">
      <c r="A208" s="5" t="inlineStr">
        <is>
          <t>16</t>
        </is>
      </c>
      <c r="B208" s="5" t="inlineStr">
        <is>
          <t>País Vasco</t>
        </is>
      </c>
      <c r="C208" s="5" t="inlineStr">
        <is>
          <t>rebaja de ITP/IVA (vivienda nueva)</t>
        </is>
      </c>
      <c r="D208" s="5" t="inlineStr">
        <is>
          <t>compra</t>
        </is>
      </c>
      <c r="E208" s="5" t="n">
        <v>26678</v>
      </c>
      <c r="F208" s="5" t="n">
        <v>1.8389</v>
      </c>
      <c r="G208" s="5" t="n">
        <v>-0.5175999999999999</v>
      </c>
      <c r="H208" s="5" t="n">
        <v>178.8091</v>
      </c>
      <c r="I208" s="5" t="n">
        <v>81.887</v>
      </c>
      <c r="J208" s="5" t="n">
        <v>273.8758</v>
      </c>
      <c r="K208" s="5" t="n"/>
      <c r="L208" s="5" t="n">
        <v>1.0746</v>
      </c>
      <c r="M208" s="5" t="n">
        <v>324.8753</v>
      </c>
      <c r="N208" s="5" t="inlineStr">
        <is>
          <t>estimado (C4)</t>
        </is>
      </c>
    </row>
    <row r="209">
      <c r="A209" s="5" t="inlineStr">
        <is>
          <t>16</t>
        </is>
      </c>
      <c r="B209" s="5" t="inlineStr">
        <is>
          <t>País Vasco</t>
        </is>
      </c>
      <c r="C209" s="5" t="inlineStr">
        <is>
          <t>rebaja de impuestos y costes de construcción</t>
        </is>
      </c>
      <c r="D209" s="5" t="inlineStr">
        <is>
          <t>alquiler</t>
        </is>
      </c>
      <c r="E209" s="5" t="n">
        <v>3073</v>
      </c>
      <c r="F209" s="5" t="n">
        <v>-0.4148</v>
      </c>
      <c r="G209" s="5" t="n">
        <v>-0.4148</v>
      </c>
      <c r="H209" s="5" t="n"/>
      <c r="I209" s="5" t="n"/>
      <c r="J209" s="5" t="n"/>
      <c r="K209" s="5" t="n"/>
      <c r="L209" s="5" t="n"/>
      <c r="M209" s="5" t="n"/>
      <c r="N209" s="5" t="inlineStr">
        <is>
          <t>coste anual igual al de compra (la rebaja es una sola); el efecto en alquiler es indirecto</t>
        </is>
      </c>
    </row>
    <row r="210">
      <c r="A210" s="5" t="inlineStr">
        <is>
          <t>16</t>
        </is>
      </c>
      <c r="B210" s="5" t="inlineStr">
        <is>
          <t>País Vasco</t>
        </is>
      </c>
      <c r="C210" s="5" t="inlineStr">
        <is>
          <t>rebaja de impuestos y costes de construcción</t>
        </is>
      </c>
      <c r="D210" s="5" t="inlineStr">
        <is>
          <t>compra</t>
        </is>
      </c>
      <c r="E210" s="5" t="n">
        <v>3073</v>
      </c>
      <c r="F210" s="5" t="n">
        <v>-0.4148</v>
      </c>
      <c r="G210" s="5" t="n">
        <v>-0.4148</v>
      </c>
      <c r="H210" s="5" t="n">
        <v>17.6526</v>
      </c>
      <c r="I210" s="5" t="n">
        <v>9.3124</v>
      </c>
      <c r="J210" s="5" t="n">
        <v>28.7556</v>
      </c>
      <c r="K210" s="5" t="n"/>
      <c r="L210" s="5" t="n">
        <v>-2.45</v>
      </c>
      <c r="M210" s="5" t="n">
        <v>40.8165</v>
      </c>
      <c r="N210" s="5" t="inlineStr">
        <is>
          <t>estimado (C4)</t>
        </is>
      </c>
    </row>
    <row r="211">
      <c r="A211" s="5" t="inlineStr">
        <is>
          <t>17</t>
        </is>
      </c>
      <c r="B211" s="5" t="inlineStr">
        <is>
          <t>La Rioja</t>
        </is>
      </c>
      <c r="C211" s="5" t="inlineStr">
        <is>
          <t>construcción adicional</t>
        </is>
      </c>
      <c r="D211" s="5" t="inlineStr">
        <is>
          <t>alquiler</t>
        </is>
      </c>
      <c r="E211" s="5" t="n">
        <v>0</v>
      </c>
      <c r="F211" s="5" t="n">
        <v>0</v>
      </c>
      <c r="G211" s="5" t="n">
        <v>0</v>
      </c>
      <c r="H211" s="5" t="n"/>
      <c r="I211" s="5" t="n"/>
      <c r="J211" s="5" t="n"/>
      <c r="K211" s="5" t="n"/>
      <c r="L211" s="5" t="n"/>
      <c r="M211" s="5" t="n"/>
      <c r="N211" s="5" t="inlineStr">
        <is>
          <t>coste no estimable: no hay coste unitario por vivienda (suelo, obra, financiación pública) verificado ni versionado; el escenario no fija quién paga</t>
        </is>
      </c>
    </row>
    <row r="212">
      <c r="A212" s="5" t="inlineStr">
        <is>
          <t>17</t>
        </is>
      </c>
      <c r="B212" s="5" t="inlineStr">
        <is>
          <t>La Rioja</t>
        </is>
      </c>
      <c r="C212" s="5" t="inlineStr">
        <is>
          <t>construcción adicional</t>
        </is>
      </c>
      <c r="D212" s="5" t="inlineStr">
        <is>
          <t>compra</t>
        </is>
      </c>
      <c r="E212" s="5" t="n">
        <v>0</v>
      </c>
      <c r="F212" s="5" t="n">
        <v>0</v>
      </c>
      <c r="G212" s="5" t="n">
        <v>0</v>
      </c>
      <c r="H212" s="5" t="n"/>
      <c r="I212" s="5" t="n"/>
      <c r="J212" s="5" t="n"/>
      <c r="K212" s="5" t="n"/>
      <c r="L212" s="5" t="n"/>
      <c r="M212" s="5" t="n"/>
      <c r="N212" s="5" t="inlineStr">
        <is>
          <t>coste no estimable: no hay coste unitario por vivienda (suelo, obra, financiación pública) verificado ni versionado; el escenario no fija quién paga</t>
        </is>
      </c>
    </row>
    <row r="213">
      <c r="A213" s="5" t="inlineStr">
        <is>
          <t>17</t>
        </is>
      </c>
      <c r="B213" s="5" t="inlineStr">
        <is>
          <t>La Rioja</t>
        </is>
      </c>
      <c r="C213" s="5" t="inlineStr">
        <is>
          <t>movilización de vacías</t>
        </is>
      </c>
      <c r="D213" s="5" t="inlineStr">
        <is>
          <t>alquiler</t>
        </is>
      </c>
      <c r="E213" s="5" t="n">
        <v>4537.9637</v>
      </c>
      <c r="F213" s="5" t="n">
        <v>-3.0268</v>
      </c>
      <c r="G213" s="5" t="n">
        <v>-3.0268</v>
      </c>
      <c r="H213" s="5" t="n"/>
      <c r="I213" s="5" t="n"/>
      <c r="J213" s="5" t="n"/>
      <c r="K213" s="5" t="n">
        <v>-6.804</v>
      </c>
      <c r="L213" s="5" t="n"/>
      <c r="M213" s="5" t="n"/>
      <c r="N213" s="5" t="inlineStr">
        <is>
          <t>coste no estimable: no hay coste unitario verificado de movilización (incentivo, rehabilitación, recargo del IBI) ni reparto entre recaudación y gasto</t>
        </is>
      </c>
    </row>
    <row r="214">
      <c r="A214" s="5" t="inlineStr">
        <is>
          <t>17</t>
        </is>
      </c>
      <c r="B214" s="5" t="inlineStr">
        <is>
          <t>La Rioja</t>
        </is>
      </c>
      <c r="C214" s="5" t="inlineStr">
        <is>
          <t>movilización de vacías</t>
        </is>
      </c>
      <c r="D214" s="5" t="inlineStr">
        <is>
          <t>compra</t>
        </is>
      </c>
      <c r="E214" s="5" t="n">
        <v>4537.9637</v>
      </c>
      <c r="F214" s="5" t="n">
        <v>-1.0648</v>
      </c>
      <c r="G214" s="5" t="n">
        <v>-1.0648</v>
      </c>
      <c r="H214" s="5" t="n"/>
      <c r="I214" s="5" t="n"/>
      <c r="J214" s="5" t="n"/>
      <c r="K214" s="5" t="n">
        <v>-2.3526</v>
      </c>
      <c r="L214" s="5" t="n"/>
      <c r="M214" s="5" t="n"/>
      <c r="N214" s="5" t="inlineStr">
        <is>
          <t>coste no estimable: no hay coste unitario verificado de movilización (incentivo, rehabilitación, recargo del IBI) ni reparto entre recaudación y gasto</t>
        </is>
      </c>
    </row>
    <row r="215">
      <c r="A215" s="5" t="inlineStr">
        <is>
          <t>17</t>
        </is>
      </c>
      <c r="B215" s="5" t="inlineStr">
        <is>
          <t>La Rioja</t>
        </is>
      </c>
      <c r="C215" s="5" t="inlineStr">
        <is>
          <t>vivienda pública o asequible</t>
        </is>
      </c>
      <c r="D215" s="5" t="inlineStr">
        <is>
          <t>alquiler</t>
        </is>
      </c>
      <c r="E215" s="5" t="n">
        <v>2105.7563</v>
      </c>
      <c r="F215" s="5" t="n">
        <v>-2.6072</v>
      </c>
      <c r="G215" s="5" t="n">
        <v>-2.6072</v>
      </c>
      <c r="H215" s="5" t="n"/>
      <c r="I215" s="5" t="n"/>
      <c r="J215" s="5" t="n"/>
      <c r="K215" s="5" t="n">
        <v>-12.2182</v>
      </c>
      <c r="L215" s="5" t="n"/>
      <c r="M215" s="5" t="n"/>
      <c r="N215" s="5" t="inlineStr">
        <is>
          <t>coste no estimable: no hay coste unitario verificado por vivienda pública (v5 D1: «coste unitario sin dato verificado»)</t>
        </is>
      </c>
    </row>
    <row r="216">
      <c r="A216" s="5" t="inlineStr">
        <is>
          <t>17</t>
        </is>
      </c>
      <c r="B216" s="5" t="inlineStr">
        <is>
          <t>La Rioja</t>
        </is>
      </c>
      <c r="C216" s="5" t="inlineStr">
        <is>
          <t>vivienda pública o asequible</t>
        </is>
      </c>
      <c r="D216" s="5" t="inlineStr">
        <is>
          <t>compra</t>
        </is>
      </c>
      <c r="E216" s="5" t="n">
        <v>2105.7563</v>
      </c>
      <c r="F216" s="5" t="n">
        <v>-0.5043</v>
      </c>
      <c r="G216" s="5" t="n">
        <v>-0.5043</v>
      </c>
      <c r="H216" s="5" t="n"/>
      <c r="I216" s="5" t="n"/>
      <c r="J216" s="5" t="n"/>
      <c r="K216" s="5" t="n">
        <v>-2.3526</v>
      </c>
      <c r="L216" s="5" t="n"/>
      <c r="M216" s="5" t="n"/>
      <c r="N216" s="5" t="inlineStr">
        <is>
          <t>coste no estimable: no hay coste unitario verificado por vivienda pública (v5 D1: «coste unitario sin dato verificado»)</t>
        </is>
      </c>
    </row>
    <row r="217">
      <c r="A217" s="5" t="inlineStr">
        <is>
          <t>17</t>
        </is>
      </c>
      <c r="B217" s="5" t="inlineStr">
        <is>
          <t>La Rioja</t>
        </is>
      </c>
      <c r="C217" s="5" t="inlineStr">
        <is>
          <t>regulación local de turísticos</t>
        </is>
      </c>
      <c r="D217" s="5" t="inlineStr">
        <is>
          <t>alquiler</t>
        </is>
      </c>
      <c r="E217" s="5" t="n">
        <v>458.5083</v>
      </c>
      <c r="F217" s="5" t="n">
        <v>-0.6241</v>
      </c>
      <c r="G217" s="5" t="n">
        <v>-0.6241</v>
      </c>
      <c r="H217" s="5" t="n"/>
      <c r="I217" s="5" t="n"/>
      <c r="J217" s="5" t="n"/>
      <c r="K217" s="5" t="n">
        <v>-13.579</v>
      </c>
      <c r="L217" s="5" t="n"/>
      <c r="M217" s="5" t="n"/>
      <c r="N217" s="5" t="inlineStr">
        <is>
          <t>coste no estimable: regulación sin coste fiscal directo verificable (inspección y compensaciones sin base)</t>
        </is>
      </c>
    </row>
    <row r="218">
      <c r="A218" s="5" t="inlineStr">
        <is>
          <t>17</t>
        </is>
      </c>
      <c r="B218" s="5" t="inlineStr">
        <is>
          <t>La Rioja</t>
        </is>
      </c>
      <c r="C218" s="5" t="inlineStr">
        <is>
          <t>regulación local de turísticos</t>
        </is>
      </c>
      <c r="D218" s="5" t="inlineStr">
        <is>
          <t>compra</t>
        </is>
      </c>
      <c r="E218" s="5" t="n">
        <v>458.5083</v>
      </c>
      <c r="F218" s="5" t="n">
        <v>-0.109</v>
      </c>
      <c r="G218" s="5" t="n">
        <v>-0.109</v>
      </c>
      <c r="H218" s="5" t="n"/>
      <c r="I218" s="5" t="n"/>
      <c r="J218" s="5" t="n"/>
      <c r="K218" s="5" t="n">
        <v>-2.3526</v>
      </c>
      <c r="L218" s="5" t="n"/>
      <c r="M218" s="5" t="n"/>
      <c r="N218" s="5" t="inlineStr">
        <is>
          <t>coste no estimable: regulación sin coste fiscal directo verificable (inspección y compensaciones sin base)</t>
        </is>
      </c>
    </row>
    <row r="219">
      <c r="A219" s="5" t="inlineStr">
        <is>
          <t>17</t>
        </is>
      </c>
      <c r="B219" s="5" t="inlineStr">
        <is>
          <t>La Rioja</t>
        </is>
      </c>
      <c r="C219" s="5" t="inlineStr">
        <is>
          <t>ayudas a la demanda</t>
        </is>
      </c>
      <c r="D219" s="5" t="inlineStr">
        <is>
          <t>alquiler</t>
        </is>
      </c>
      <c r="E219" s="5" t="n">
        <v>5527</v>
      </c>
      <c r="F219" s="5" t="n">
        <v>4.228</v>
      </c>
      <c r="G219" s="5" t="n">
        <v>-5.3758</v>
      </c>
      <c r="H219" s="5" t="n"/>
      <c r="I219" s="5" t="n"/>
      <c r="J219" s="5" t="n"/>
      <c r="K219" s="5" t="n"/>
      <c r="L219" s="5" t="n"/>
      <c r="M219" s="5" t="n"/>
      <c r="N219" s="5" t="inlineStr">
        <is>
          <t>coste no estimable: el panel v7 no tiene renta media del alquiler en euros por CCAA ni número de hogares beneficiarios</t>
        </is>
      </c>
    </row>
    <row r="220">
      <c r="A220" s="5" t="inlineStr">
        <is>
          <t>17</t>
        </is>
      </c>
      <c r="B220" s="5" t="inlineStr">
        <is>
          <t>La Rioja</t>
        </is>
      </c>
      <c r="C220" s="5" t="inlineStr">
        <is>
          <t>ayudas a la demanda</t>
        </is>
      </c>
      <c r="D220" s="5" t="inlineStr">
        <is>
          <t>compra</t>
        </is>
      </c>
      <c r="E220" s="5" t="n">
        <v>5527</v>
      </c>
      <c r="F220" s="5" t="n">
        <v>4.228</v>
      </c>
      <c r="G220" s="5" t="n">
        <v>-5.3758</v>
      </c>
      <c r="H220" s="5" t="n">
        <v>67.97920000000001</v>
      </c>
      <c r="I220" s="5" t="n">
        <v>37.7305</v>
      </c>
      <c r="J220" s="5" t="n">
        <v>98.6057</v>
      </c>
      <c r="K220" s="5" t="n"/>
      <c r="L220" s="5" t="n">
        <v>6.619</v>
      </c>
      <c r="M220" s="5" t="n">
        <v>12.1507</v>
      </c>
      <c r="N220" s="5" t="inlineStr">
        <is>
          <t>estimado (C4)</t>
        </is>
      </c>
    </row>
    <row r="221">
      <c r="A221" s="5" t="inlineStr">
        <is>
          <t>17</t>
        </is>
      </c>
      <c r="B221" s="5" t="inlineStr">
        <is>
          <t>La Rioja</t>
        </is>
      </c>
      <c r="C221" s="5" t="inlineStr">
        <is>
          <t>rebaja de ITP/IVA (vivienda nueva)</t>
        </is>
      </c>
      <c r="D221" s="5" t="inlineStr">
        <is>
          <t>compra</t>
        </is>
      </c>
      <c r="E221" s="5" t="n">
        <v>5527</v>
      </c>
      <c r="F221" s="5" t="n">
        <v>1.0601</v>
      </c>
      <c r="G221" s="5" t="n">
        <v>-1.2475</v>
      </c>
      <c r="H221" s="5" t="n">
        <v>17.2316</v>
      </c>
      <c r="I221" s="5" t="n">
        <v>7.8056</v>
      </c>
      <c r="J221" s="5" t="n">
        <v>26.0641</v>
      </c>
      <c r="K221" s="5" t="n"/>
      <c r="L221" s="5" t="n">
        <v>6.619</v>
      </c>
      <c r="M221" s="5" t="n">
        <v>12.9119</v>
      </c>
      <c r="N221" s="5" t="inlineStr">
        <is>
          <t>estimado (C4)</t>
        </is>
      </c>
    </row>
    <row r="222">
      <c r="A222" s="5" t="inlineStr">
        <is>
          <t>17</t>
        </is>
      </c>
      <c r="B222" s="5" t="inlineStr">
        <is>
          <t>La Rioja</t>
        </is>
      </c>
      <c r="C222" s="5" t="inlineStr">
        <is>
          <t>rebaja de impuestos y costes de construcción</t>
        </is>
      </c>
      <c r="D222" s="5" t="inlineStr">
        <is>
          <t>alquiler</t>
        </is>
      </c>
      <c r="E222" s="5" t="n">
        <v>1405</v>
      </c>
      <c r="F222" s="5" t="n">
        <v>-1.0522</v>
      </c>
      <c r="G222" s="5" t="n">
        <v>-1.0522</v>
      </c>
      <c r="H222" s="5" t="n"/>
      <c r="I222" s="5" t="n"/>
      <c r="J222" s="5" t="n"/>
      <c r="K222" s="5" t="n"/>
      <c r="L222" s="5" t="n"/>
      <c r="M222" s="5" t="n"/>
      <c r="N222" s="5" t="inlineStr">
        <is>
          <t>coste anual igual al de compra (la rebaja es una sola); el efecto en alquiler es indirecto</t>
        </is>
      </c>
    </row>
    <row r="223">
      <c r="A223" s="5" t="inlineStr">
        <is>
          <t>17</t>
        </is>
      </c>
      <c r="B223" s="5" t="inlineStr">
        <is>
          <t>La Rioja</t>
        </is>
      </c>
      <c r="C223" s="5" t="inlineStr">
        <is>
          <t>rebaja de impuestos y costes de construcción</t>
        </is>
      </c>
      <c r="D223" s="5" t="inlineStr">
        <is>
          <t>compra</t>
        </is>
      </c>
      <c r="E223" s="5" t="n">
        <v>1405</v>
      </c>
      <c r="F223" s="5" t="n">
        <v>-1.0522</v>
      </c>
      <c r="G223" s="5" t="n">
        <v>-1.0522</v>
      </c>
      <c r="H223" s="5" t="n">
        <v>3.7001</v>
      </c>
      <c r="I223" s="5" t="n">
        <v>1.9972</v>
      </c>
      <c r="J223" s="5" t="n">
        <v>6.0727</v>
      </c>
      <c r="K223" s="5" t="n"/>
      <c r="L223" s="5" t="n">
        <v>-29.8594</v>
      </c>
      <c r="M223" s="5" t="n">
        <v>3.349</v>
      </c>
      <c r="N223" s="5" t="inlineStr">
        <is>
          <t>estimado (C4)</t>
        </is>
      </c>
    </row>
    <row r="225">
      <c r="A225" t="inlineStr">
        <is>
          <t>Fuente: output/v7_1/S1/dosis_coste.csv (reproducción de output/v7/R6; Monte Carlo 4.000 extracciones; C4)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Cálculos de esta hoja (negro) a partir de DC_datos (enlaces en verde).</t>
        </is>
      </c>
    </row>
    <row r="2">
      <c r="A2" t="inlineStr">
        <is>
          <t>CCAA</t>
        </is>
      </c>
      <c r="B2" t="inlineStr">
        <is>
          <t>Instrumento</t>
        </is>
      </c>
      <c r="C2" t="inlineStr">
        <is>
          <t>Mercado</t>
        </is>
      </c>
      <c r="D2" t="inlineStr">
        <is>
          <t>Coste anual (M€)</t>
        </is>
      </c>
      <c r="E2" t="inlineStr">
        <is>
          <t>Coste a 10 años (M€)</t>
        </is>
      </c>
      <c r="F2" t="inlineStr">
        <is>
          <t>Δ precio de mercado (%)</t>
        </is>
      </c>
      <c r="G2" t="inlineStr">
        <is>
          <t>Cociente de medianas: pp por 100 M€ anuales</t>
        </is>
      </c>
      <c r="H2" t="inlineStr">
        <is>
          <t>Nota</t>
        </is>
      </c>
    </row>
    <row r="3">
      <c r="A3" s="6">
        <f>DC_datos!B3</f>
        <v/>
      </c>
      <c r="B3" s="6">
        <f>DC_datos!C3</f>
        <v/>
      </c>
      <c r="C3" s="6">
        <f>DC_datos!D3</f>
        <v/>
      </c>
      <c r="D3" s="6">
        <f>DC_datos!H3</f>
        <v/>
      </c>
      <c r="E3" s="7">
        <f>IF(ISNUMBER(D3),10*D3,"no estimable")</f>
        <v/>
      </c>
      <c r="F3" s="6">
        <f>DC_datos!F3</f>
        <v/>
      </c>
      <c r="G3" s="7">
        <f>IF(ISNUMBER(D3),F3*100/D3,"—")</f>
        <v/>
      </c>
      <c r="H3" t="inlineStr">
        <is>
          <t>cociente de medianas (difiere algo de la mediana del cociente de DC_datos)</t>
        </is>
      </c>
    </row>
    <row r="4">
      <c r="A4" s="6">
        <f>DC_datos!B4</f>
        <v/>
      </c>
      <c r="B4" s="6">
        <f>DC_datos!C4</f>
        <v/>
      </c>
      <c r="C4" s="6">
        <f>DC_datos!D4</f>
        <v/>
      </c>
      <c r="D4" s="6">
        <f>DC_datos!H4</f>
        <v/>
      </c>
      <c r="E4" s="7">
        <f>IF(ISNUMBER(D4),10*D4,"no estimable")</f>
        <v/>
      </c>
      <c r="F4" s="6">
        <f>DC_datos!F4</f>
        <v/>
      </c>
      <c r="G4" s="7">
        <f>IF(ISNUMBER(D4),F4*100/D4,"—")</f>
        <v/>
      </c>
      <c r="H4" t="inlineStr">
        <is>
          <t>cociente de medianas (difiere algo de la mediana del cociente de DC_datos)</t>
        </is>
      </c>
    </row>
    <row r="5">
      <c r="A5" s="6">
        <f>DC_datos!B5</f>
        <v/>
      </c>
      <c r="B5" s="6">
        <f>DC_datos!C5</f>
        <v/>
      </c>
      <c r="C5" s="6">
        <f>DC_datos!D5</f>
        <v/>
      </c>
      <c r="D5" s="6">
        <f>DC_datos!H5</f>
        <v/>
      </c>
      <c r="E5" s="7">
        <f>IF(ISNUMBER(D5),10*D5,"no estimable")</f>
        <v/>
      </c>
      <c r="F5" s="6">
        <f>DC_datos!F5</f>
        <v/>
      </c>
      <c r="G5" s="7">
        <f>IF(ISNUMBER(D5),F5*100/D5,"—")</f>
        <v/>
      </c>
      <c r="H5" t="inlineStr">
        <is>
          <t>cociente de medianas (difiere algo de la mediana del cociente de DC_datos)</t>
        </is>
      </c>
    </row>
    <row r="6">
      <c r="A6" s="6">
        <f>DC_datos!B6</f>
        <v/>
      </c>
      <c r="B6" s="6">
        <f>DC_datos!C6</f>
        <v/>
      </c>
      <c r="C6" s="6">
        <f>DC_datos!D6</f>
        <v/>
      </c>
      <c r="D6" s="6">
        <f>DC_datos!H6</f>
        <v/>
      </c>
      <c r="E6" s="7">
        <f>IF(ISNUMBER(D6),10*D6,"no estimable")</f>
        <v/>
      </c>
      <c r="F6" s="6">
        <f>DC_datos!F6</f>
        <v/>
      </c>
      <c r="G6" s="7">
        <f>IF(ISNUMBER(D6),F6*100/D6,"—")</f>
        <v/>
      </c>
      <c r="H6" t="inlineStr">
        <is>
          <t>cociente de medianas (difiere algo de la mediana del cociente de DC_datos)</t>
        </is>
      </c>
    </row>
    <row r="7">
      <c r="A7" s="6">
        <f>DC_datos!B7</f>
        <v/>
      </c>
      <c r="B7" s="6">
        <f>DC_datos!C7</f>
        <v/>
      </c>
      <c r="C7" s="6">
        <f>DC_datos!D7</f>
        <v/>
      </c>
      <c r="D7" s="6">
        <f>DC_datos!H7</f>
        <v/>
      </c>
      <c r="E7" s="7">
        <f>IF(ISNUMBER(D7),10*D7,"no estimable")</f>
        <v/>
      </c>
      <c r="F7" s="6">
        <f>DC_datos!F7</f>
        <v/>
      </c>
      <c r="G7" s="7">
        <f>IF(ISNUMBER(D7),F7*100/D7,"—")</f>
        <v/>
      </c>
      <c r="H7" t="inlineStr">
        <is>
          <t>cociente de medianas (difiere algo de la mediana del cociente de DC_datos)</t>
        </is>
      </c>
    </row>
    <row r="8">
      <c r="A8" s="6">
        <f>DC_datos!B8</f>
        <v/>
      </c>
      <c r="B8" s="6">
        <f>DC_datos!C8</f>
        <v/>
      </c>
      <c r="C8" s="6">
        <f>DC_datos!D8</f>
        <v/>
      </c>
      <c r="D8" s="6">
        <f>DC_datos!H8</f>
        <v/>
      </c>
      <c r="E8" s="7">
        <f>IF(ISNUMBER(D8),10*D8,"no estimable")</f>
        <v/>
      </c>
      <c r="F8" s="6">
        <f>DC_datos!F8</f>
        <v/>
      </c>
      <c r="G8" s="7">
        <f>IF(ISNUMBER(D8),F8*100/D8,"—")</f>
        <v/>
      </c>
      <c r="H8" t="inlineStr">
        <is>
          <t>cociente de medianas (difiere algo de la mediana del cociente de DC_datos)</t>
        </is>
      </c>
    </row>
    <row r="9">
      <c r="A9" s="6">
        <f>DC_datos!B9</f>
        <v/>
      </c>
      <c r="B9" s="6">
        <f>DC_datos!C9</f>
        <v/>
      </c>
      <c r="C9" s="6">
        <f>DC_datos!D9</f>
        <v/>
      </c>
      <c r="D9" s="6">
        <f>DC_datos!H9</f>
        <v/>
      </c>
      <c r="E9" s="7">
        <f>IF(ISNUMBER(D9),10*D9,"no estimable")</f>
        <v/>
      </c>
      <c r="F9" s="6">
        <f>DC_datos!F9</f>
        <v/>
      </c>
      <c r="G9" s="7">
        <f>IF(ISNUMBER(D9),F9*100/D9,"—")</f>
        <v/>
      </c>
      <c r="H9" t="inlineStr">
        <is>
          <t>cociente de medianas (difiere algo de la mediana del cociente de DC_datos)</t>
        </is>
      </c>
    </row>
    <row r="10">
      <c r="A10" s="6">
        <f>DC_datos!B10</f>
        <v/>
      </c>
      <c r="B10" s="6">
        <f>DC_datos!C10</f>
        <v/>
      </c>
      <c r="C10" s="6">
        <f>DC_datos!D10</f>
        <v/>
      </c>
      <c r="D10" s="6">
        <f>DC_datos!H10</f>
        <v/>
      </c>
      <c r="E10" s="7">
        <f>IF(ISNUMBER(D10),10*D10,"no estimable")</f>
        <v/>
      </c>
      <c r="F10" s="6">
        <f>DC_datos!F10</f>
        <v/>
      </c>
      <c r="G10" s="7">
        <f>IF(ISNUMBER(D10),F10*100/D10,"—")</f>
        <v/>
      </c>
      <c r="H10" t="inlineStr">
        <is>
          <t>cociente de medianas (difiere algo de la mediana del cociente de DC_datos)</t>
        </is>
      </c>
    </row>
    <row r="11">
      <c r="A11" s="6">
        <f>DC_datos!B11</f>
        <v/>
      </c>
      <c r="B11" s="6">
        <f>DC_datos!C11</f>
        <v/>
      </c>
      <c r="C11" s="6">
        <f>DC_datos!D11</f>
        <v/>
      </c>
      <c r="D11" s="6">
        <f>DC_datos!H11</f>
        <v/>
      </c>
      <c r="E11" s="7">
        <f>IF(ISNUMBER(D11),10*D11,"no estimable")</f>
        <v/>
      </c>
      <c r="F11" s="6">
        <f>DC_datos!F11</f>
        <v/>
      </c>
      <c r="G11" s="7">
        <f>IF(ISNUMBER(D11),F11*100/D11,"—")</f>
        <v/>
      </c>
      <c r="H11" t="inlineStr">
        <is>
          <t>cociente de medianas (difiere algo de la mediana del cociente de DC_datos)</t>
        </is>
      </c>
    </row>
    <row r="12">
      <c r="A12" s="6">
        <f>DC_datos!B12</f>
        <v/>
      </c>
      <c r="B12" s="6">
        <f>DC_datos!C12</f>
        <v/>
      </c>
      <c r="C12" s="6">
        <f>DC_datos!D12</f>
        <v/>
      </c>
      <c r="D12" s="6">
        <f>DC_datos!H12</f>
        <v/>
      </c>
      <c r="E12" s="7">
        <f>IF(ISNUMBER(D12),10*D12,"no estimable")</f>
        <v/>
      </c>
      <c r="F12" s="6">
        <f>DC_datos!F12</f>
        <v/>
      </c>
      <c r="G12" s="7">
        <f>IF(ISNUMBER(D12),F12*100/D12,"—")</f>
        <v/>
      </c>
      <c r="H12" t="inlineStr">
        <is>
          <t>cociente de medianas (difiere algo de la mediana del cociente de DC_datos)</t>
        </is>
      </c>
    </row>
    <row r="13">
      <c r="A13" s="6">
        <f>DC_datos!B13</f>
        <v/>
      </c>
      <c r="B13" s="6">
        <f>DC_datos!C13</f>
        <v/>
      </c>
      <c r="C13" s="6">
        <f>DC_datos!D13</f>
        <v/>
      </c>
      <c r="D13" s="6">
        <f>DC_datos!H13</f>
        <v/>
      </c>
      <c r="E13" s="7">
        <f>IF(ISNUMBER(D13),10*D13,"no estimable")</f>
        <v/>
      </c>
      <c r="F13" s="6">
        <f>DC_datos!F13</f>
        <v/>
      </c>
      <c r="G13" s="7">
        <f>IF(ISNUMBER(D13),F13*100/D13,"—")</f>
        <v/>
      </c>
      <c r="H13" t="inlineStr">
        <is>
          <t>cociente de medianas (difiere algo de la mediana del cociente de DC_datos)</t>
        </is>
      </c>
    </row>
    <row r="14">
      <c r="A14" s="6">
        <f>DC_datos!B14</f>
        <v/>
      </c>
      <c r="B14" s="6">
        <f>DC_datos!C14</f>
        <v/>
      </c>
      <c r="C14" s="6">
        <f>DC_datos!D14</f>
        <v/>
      </c>
      <c r="D14" s="6">
        <f>DC_datos!H14</f>
        <v/>
      </c>
      <c r="E14" s="7">
        <f>IF(ISNUMBER(D14),10*D14,"no estimable")</f>
        <v/>
      </c>
      <c r="F14" s="6">
        <f>DC_datos!F14</f>
        <v/>
      </c>
      <c r="G14" s="7">
        <f>IF(ISNUMBER(D14),F14*100/D14,"—")</f>
        <v/>
      </c>
      <c r="H14" t="inlineStr">
        <is>
          <t>cociente de medianas (difiere algo de la mediana del cociente de DC_datos)</t>
        </is>
      </c>
    </row>
    <row r="15">
      <c r="A15" s="6">
        <f>DC_datos!B15</f>
        <v/>
      </c>
      <c r="B15" s="6">
        <f>DC_datos!C15</f>
        <v/>
      </c>
      <c r="C15" s="6">
        <f>DC_datos!D15</f>
        <v/>
      </c>
      <c r="D15" s="6">
        <f>DC_datos!H15</f>
        <v/>
      </c>
      <c r="E15" s="7">
        <f>IF(ISNUMBER(D15),10*D15,"no estimable")</f>
        <v/>
      </c>
      <c r="F15" s="6">
        <f>DC_datos!F15</f>
        <v/>
      </c>
      <c r="G15" s="7">
        <f>IF(ISNUMBER(D15),F15*100/D15,"—")</f>
        <v/>
      </c>
      <c r="H15" t="inlineStr">
        <is>
          <t>cociente de medianas (difiere algo de la mediana del cociente de DC_datos)</t>
        </is>
      </c>
    </row>
    <row r="16">
      <c r="A16" s="6">
        <f>DC_datos!B16</f>
        <v/>
      </c>
      <c r="B16" s="6">
        <f>DC_datos!C16</f>
        <v/>
      </c>
      <c r="C16" s="6">
        <f>DC_datos!D16</f>
        <v/>
      </c>
      <c r="D16" s="6">
        <f>DC_datos!H16</f>
        <v/>
      </c>
      <c r="E16" s="7">
        <f>IF(ISNUMBER(D16),10*D16,"no estimable")</f>
        <v/>
      </c>
      <c r="F16" s="6">
        <f>DC_datos!F16</f>
        <v/>
      </c>
      <c r="G16" s="7">
        <f>IF(ISNUMBER(D16),F16*100/D16,"—")</f>
        <v/>
      </c>
      <c r="H16" t="inlineStr">
        <is>
          <t>cociente de medianas (difiere algo de la mediana del cociente de DC_datos)</t>
        </is>
      </c>
    </row>
    <row r="17">
      <c r="A17" s="6">
        <f>DC_datos!B17</f>
        <v/>
      </c>
      <c r="B17" s="6">
        <f>DC_datos!C17</f>
        <v/>
      </c>
      <c r="C17" s="6">
        <f>DC_datos!D17</f>
        <v/>
      </c>
      <c r="D17" s="6">
        <f>DC_datos!H17</f>
        <v/>
      </c>
      <c r="E17" s="7">
        <f>IF(ISNUMBER(D17),10*D17,"no estimable")</f>
        <v/>
      </c>
      <c r="F17" s="6">
        <f>DC_datos!F17</f>
        <v/>
      </c>
      <c r="G17" s="7">
        <f>IF(ISNUMBER(D17),F17*100/D17,"—")</f>
        <v/>
      </c>
      <c r="H17" t="inlineStr">
        <is>
          <t>cociente de medianas (difiere algo de la mediana del cociente de DC_datos)</t>
        </is>
      </c>
    </row>
    <row r="18">
      <c r="A18" s="6">
        <f>DC_datos!B18</f>
        <v/>
      </c>
      <c r="B18" s="6">
        <f>DC_datos!C18</f>
        <v/>
      </c>
      <c r="C18" s="6">
        <f>DC_datos!D18</f>
        <v/>
      </c>
      <c r="D18" s="6">
        <f>DC_datos!H18</f>
        <v/>
      </c>
      <c r="E18" s="7">
        <f>IF(ISNUMBER(D18),10*D18,"no estimable")</f>
        <v/>
      </c>
      <c r="F18" s="6">
        <f>DC_datos!F18</f>
        <v/>
      </c>
      <c r="G18" s="7">
        <f>IF(ISNUMBER(D18),F18*100/D18,"—")</f>
        <v/>
      </c>
      <c r="H18" t="inlineStr">
        <is>
          <t>cociente de medianas (difiere algo de la mediana del cociente de DC_datos)</t>
        </is>
      </c>
    </row>
    <row r="19">
      <c r="A19" s="6">
        <f>DC_datos!B19</f>
        <v/>
      </c>
      <c r="B19" s="6">
        <f>DC_datos!C19</f>
        <v/>
      </c>
      <c r="C19" s="6">
        <f>DC_datos!D19</f>
        <v/>
      </c>
      <c r="D19" s="6">
        <f>DC_datos!H19</f>
        <v/>
      </c>
      <c r="E19" s="7">
        <f>IF(ISNUMBER(D19),10*D19,"no estimable")</f>
        <v/>
      </c>
      <c r="F19" s="6">
        <f>DC_datos!F19</f>
        <v/>
      </c>
      <c r="G19" s="7">
        <f>IF(ISNUMBER(D19),F19*100/D19,"—")</f>
        <v/>
      </c>
      <c r="H19" t="inlineStr">
        <is>
          <t>cociente de medianas (difiere algo de la mediana del cociente de DC_datos)</t>
        </is>
      </c>
    </row>
    <row r="20">
      <c r="A20" s="6">
        <f>DC_datos!B20</f>
        <v/>
      </c>
      <c r="B20" s="6">
        <f>DC_datos!C20</f>
        <v/>
      </c>
      <c r="C20" s="6">
        <f>DC_datos!D20</f>
        <v/>
      </c>
      <c r="D20" s="6">
        <f>DC_datos!H20</f>
        <v/>
      </c>
      <c r="E20" s="7">
        <f>IF(ISNUMBER(D20),10*D20,"no estimable")</f>
        <v/>
      </c>
      <c r="F20" s="6">
        <f>DC_datos!F20</f>
        <v/>
      </c>
      <c r="G20" s="7">
        <f>IF(ISNUMBER(D20),F20*100/D20,"—")</f>
        <v/>
      </c>
      <c r="H20" t="inlineStr">
        <is>
          <t>cociente de medianas (difiere algo de la mediana del cociente de DC_datos)</t>
        </is>
      </c>
    </row>
    <row r="21">
      <c r="A21" s="6">
        <f>DC_datos!B21</f>
        <v/>
      </c>
      <c r="B21" s="6">
        <f>DC_datos!C21</f>
        <v/>
      </c>
      <c r="C21" s="6">
        <f>DC_datos!D21</f>
        <v/>
      </c>
      <c r="D21" s="6">
        <f>DC_datos!H21</f>
        <v/>
      </c>
      <c r="E21" s="7">
        <f>IF(ISNUMBER(D21),10*D21,"no estimable")</f>
        <v/>
      </c>
      <c r="F21" s="6">
        <f>DC_datos!F21</f>
        <v/>
      </c>
      <c r="G21" s="7">
        <f>IF(ISNUMBER(D21),F21*100/D21,"—")</f>
        <v/>
      </c>
      <c r="H21" t="inlineStr">
        <is>
          <t>cociente de medianas (difiere algo de la mediana del cociente de DC_datos)</t>
        </is>
      </c>
    </row>
    <row r="22">
      <c r="A22" s="6">
        <f>DC_datos!B22</f>
        <v/>
      </c>
      <c r="B22" s="6">
        <f>DC_datos!C22</f>
        <v/>
      </c>
      <c r="C22" s="6">
        <f>DC_datos!D22</f>
        <v/>
      </c>
      <c r="D22" s="6">
        <f>DC_datos!H22</f>
        <v/>
      </c>
      <c r="E22" s="7">
        <f>IF(ISNUMBER(D22),10*D22,"no estimable")</f>
        <v/>
      </c>
      <c r="F22" s="6">
        <f>DC_datos!F22</f>
        <v/>
      </c>
      <c r="G22" s="7">
        <f>IF(ISNUMBER(D22),F22*100/D22,"—")</f>
        <v/>
      </c>
      <c r="H22" t="inlineStr">
        <is>
          <t>cociente de medianas (difiere algo de la mediana del cociente de DC_datos)</t>
        </is>
      </c>
    </row>
    <row r="23">
      <c r="A23" s="6">
        <f>DC_datos!B23</f>
        <v/>
      </c>
      <c r="B23" s="6">
        <f>DC_datos!C23</f>
        <v/>
      </c>
      <c r="C23" s="6">
        <f>DC_datos!D23</f>
        <v/>
      </c>
      <c r="D23" s="6">
        <f>DC_datos!H23</f>
        <v/>
      </c>
      <c r="E23" s="7">
        <f>IF(ISNUMBER(D23),10*D23,"no estimable")</f>
        <v/>
      </c>
      <c r="F23" s="6">
        <f>DC_datos!F23</f>
        <v/>
      </c>
      <c r="G23" s="7">
        <f>IF(ISNUMBER(D23),F23*100/D23,"—")</f>
        <v/>
      </c>
      <c r="H23" t="inlineStr">
        <is>
          <t>cociente de medianas (difiere algo de la mediana del cociente de DC_datos)</t>
        </is>
      </c>
    </row>
    <row r="24">
      <c r="A24" s="6">
        <f>DC_datos!B24</f>
        <v/>
      </c>
      <c r="B24" s="6">
        <f>DC_datos!C24</f>
        <v/>
      </c>
      <c r="C24" s="6">
        <f>DC_datos!D24</f>
        <v/>
      </c>
      <c r="D24" s="6">
        <f>DC_datos!H24</f>
        <v/>
      </c>
      <c r="E24" s="7">
        <f>IF(ISNUMBER(D24),10*D24,"no estimable")</f>
        <v/>
      </c>
      <c r="F24" s="6">
        <f>DC_datos!F24</f>
        <v/>
      </c>
      <c r="G24" s="7">
        <f>IF(ISNUMBER(D24),F24*100/D24,"—")</f>
        <v/>
      </c>
      <c r="H24" t="inlineStr">
        <is>
          <t>cociente de medianas (difiere algo de la mediana del cociente de DC_datos)</t>
        </is>
      </c>
    </row>
    <row r="25">
      <c r="A25" s="6">
        <f>DC_datos!B25</f>
        <v/>
      </c>
      <c r="B25" s="6">
        <f>DC_datos!C25</f>
        <v/>
      </c>
      <c r="C25" s="6">
        <f>DC_datos!D25</f>
        <v/>
      </c>
      <c r="D25" s="6">
        <f>DC_datos!H25</f>
        <v/>
      </c>
      <c r="E25" s="7">
        <f>IF(ISNUMBER(D25),10*D25,"no estimable")</f>
        <v/>
      </c>
      <c r="F25" s="6">
        <f>DC_datos!F25</f>
        <v/>
      </c>
      <c r="G25" s="7">
        <f>IF(ISNUMBER(D25),F25*100/D25,"—")</f>
        <v/>
      </c>
      <c r="H25" t="inlineStr">
        <is>
          <t>cociente de medianas (difiere algo de la mediana del cociente de DC_datos)</t>
        </is>
      </c>
    </row>
    <row r="26">
      <c r="A26" s="6">
        <f>DC_datos!B26</f>
        <v/>
      </c>
      <c r="B26" s="6">
        <f>DC_datos!C26</f>
        <v/>
      </c>
      <c r="C26" s="6">
        <f>DC_datos!D26</f>
        <v/>
      </c>
      <c r="D26" s="6">
        <f>DC_datos!H26</f>
        <v/>
      </c>
      <c r="E26" s="7">
        <f>IF(ISNUMBER(D26),10*D26,"no estimable")</f>
        <v/>
      </c>
      <c r="F26" s="6">
        <f>DC_datos!F26</f>
        <v/>
      </c>
      <c r="G26" s="7">
        <f>IF(ISNUMBER(D26),F26*100/D26,"—")</f>
        <v/>
      </c>
      <c r="H26" t="inlineStr">
        <is>
          <t>cociente de medianas (difiere algo de la mediana del cociente de DC_datos)</t>
        </is>
      </c>
    </row>
    <row r="27">
      <c r="A27" s="6">
        <f>DC_datos!B27</f>
        <v/>
      </c>
      <c r="B27" s="6">
        <f>DC_datos!C27</f>
        <v/>
      </c>
      <c r="C27" s="6">
        <f>DC_datos!D27</f>
        <v/>
      </c>
      <c r="D27" s="6">
        <f>DC_datos!H27</f>
        <v/>
      </c>
      <c r="E27" s="7">
        <f>IF(ISNUMBER(D27),10*D27,"no estimable")</f>
        <v/>
      </c>
      <c r="F27" s="6">
        <f>DC_datos!F27</f>
        <v/>
      </c>
      <c r="G27" s="7">
        <f>IF(ISNUMBER(D27),F27*100/D27,"—")</f>
        <v/>
      </c>
      <c r="H27" t="inlineStr">
        <is>
          <t>cociente de medianas (difiere algo de la mediana del cociente de DC_datos)</t>
        </is>
      </c>
    </row>
    <row r="28">
      <c r="A28" s="6">
        <f>DC_datos!B28</f>
        <v/>
      </c>
      <c r="B28" s="6">
        <f>DC_datos!C28</f>
        <v/>
      </c>
      <c r="C28" s="6">
        <f>DC_datos!D28</f>
        <v/>
      </c>
      <c r="D28" s="6">
        <f>DC_datos!H28</f>
        <v/>
      </c>
      <c r="E28" s="7">
        <f>IF(ISNUMBER(D28),10*D28,"no estimable")</f>
        <v/>
      </c>
      <c r="F28" s="6">
        <f>DC_datos!F28</f>
        <v/>
      </c>
      <c r="G28" s="7">
        <f>IF(ISNUMBER(D28),F28*100/D28,"—")</f>
        <v/>
      </c>
      <c r="H28" t="inlineStr">
        <is>
          <t>cociente de medianas (difiere algo de la mediana del cociente de DC_datos)</t>
        </is>
      </c>
    </row>
    <row r="29">
      <c r="A29" s="6">
        <f>DC_datos!B29</f>
        <v/>
      </c>
      <c r="B29" s="6">
        <f>DC_datos!C29</f>
        <v/>
      </c>
      <c r="C29" s="6">
        <f>DC_datos!D29</f>
        <v/>
      </c>
      <c r="D29" s="6">
        <f>DC_datos!H29</f>
        <v/>
      </c>
      <c r="E29" s="7">
        <f>IF(ISNUMBER(D29),10*D29,"no estimable")</f>
        <v/>
      </c>
      <c r="F29" s="6">
        <f>DC_datos!F29</f>
        <v/>
      </c>
      <c r="G29" s="7">
        <f>IF(ISNUMBER(D29),F29*100/D29,"—")</f>
        <v/>
      </c>
      <c r="H29" t="inlineStr">
        <is>
          <t>cociente de medianas (difiere algo de la mediana del cociente de DC_datos)</t>
        </is>
      </c>
    </row>
    <row r="30">
      <c r="A30" s="6">
        <f>DC_datos!B30</f>
        <v/>
      </c>
      <c r="B30" s="6">
        <f>DC_datos!C30</f>
        <v/>
      </c>
      <c r="C30" s="6">
        <f>DC_datos!D30</f>
        <v/>
      </c>
      <c r="D30" s="6">
        <f>DC_datos!H30</f>
        <v/>
      </c>
      <c r="E30" s="7">
        <f>IF(ISNUMBER(D30),10*D30,"no estimable")</f>
        <v/>
      </c>
      <c r="F30" s="6">
        <f>DC_datos!F30</f>
        <v/>
      </c>
      <c r="G30" s="7">
        <f>IF(ISNUMBER(D30),F30*100/D30,"—")</f>
        <v/>
      </c>
      <c r="H30" t="inlineStr">
        <is>
          <t>cociente de medianas (difiere algo de la mediana del cociente de DC_datos)</t>
        </is>
      </c>
    </row>
    <row r="31">
      <c r="A31" s="6">
        <f>DC_datos!B31</f>
        <v/>
      </c>
      <c r="B31" s="6">
        <f>DC_datos!C31</f>
        <v/>
      </c>
      <c r="C31" s="6">
        <f>DC_datos!D31</f>
        <v/>
      </c>
      <c r="D31" s="6">
        <f>DC_datos!H31</f>
        <v/>
      </c>
      <c r="E31" s="7">
        <f>IF(ISNUMBER(D31),10*D31,"no estimable")</f>
        <v/>
      </c>
      <c r="F31" s="6">
        <f>DC_datos!F31</f>
        <v/>
      </c>
      <c r="G31" s="7">
        <f>IF(ISNUMBER(D31),F31*100/D31,"—")</f>
        <v/>
      </c>
      <c r="H31" t="inlineStr">
        <is>
          <t>cociente de medianas (difiere algo de la mediana del cociente de DC_datos)</t>
        </is>
      </c>
    </row>
    <row r="32">
      <c r="A32" s="6">
        <f>DC_datos!B32</f>
        <v/>
      </c>
      <c r="B32" s="6">
        <f>DC_datos!C32</f>
        <v/>
      </c>
      <c r="C32" s="6">
        <f>DC_datos!D32</f>
        <v/>
      </c>
      <c r="D32" s="6">
        <f>DC_datos!H32</f>
        <v/>
      </c>
      <c r="E32" s="7">
        <f>IF(ISNUMBER(D32),10*D32,"no estimable")</f>
        <v/>
      </c>
      <c r="F32" s="6">
        <f>DC_datos!F32</f>
        <v/>
      </c>
      <c r="G32" s="7">
        <f>IF(ISNUMBER(D32),F32*100/D32,"—")</f>
        <v/>
      </c>
      <c r="H32" t="inlineStr">
        <is>
          <t>cociente de medianas (difiere algo de la mediana del cociente de DC_datos)</t>
        </is>
      </c>
    </row>
    <row r="33">
      <c r="A33" s="6">
        <f>DC_datos!B33</f>
        <v/>
      </c>
      <c r="B33" s="6">
        <f>DC_datos!C33</f>
        <v/>
      </c>
      <c r="C33" s="6">
        <f>DC_datos!D33</f>
        <v/>
      </c>
      <c r="D33" s="6">
        <f>DC_datos!H33</f>
        <v/>
      </c>
      <c r="E33" s="7">
        <f>IF(ISNUMBER(D33),10*D33,"no estimable")</f>
        <v/>
      </c>
      <c r="F33" s="6">
        <f>DC_datos!F33</f>
        <v/>
      </c>
      <c r="G33" s="7">
        <f>IF(ISNUMBER(D33),F33*100/D33,"—")</f>
        <v/>
      </c>
      <c r="H33" t="inlineStr">
        <is>
          <t>cociente de medianas (difiere algo de la mediana del cociente de DC_datos)</t>
        </is>
      </c>
    </row>
    <row r="34">
      <c r="A34" s="6">
        <f>DC_datos!B34</f>
        <v/>
      </c>
      <c r="B34" s="6">
        <f>DC_datos!C34</f>
        <v/>
      </c>
      <c r="C34" s="6">
        <f>DC_datos!D34</f>
        <v/>
      </c>
      <c r="D34" s="6">
        <f>DC_datos!H34</f>
        <v/>
      </c>
      <c r="E34" s="7">
        <f>IF(ISNUMBER(D34),10*D34,"no estimable")</f>
        <v/>
      </c>
      <c r="F34" s="6">
        <f>DC_datos!F34</f>
        <v/>
      </c>
      <c r="G34" s="7">
        <f>IF(ISNUMBER(D34),F34*100/D34,"—")</f>
        <v/>
      </c>
      <c r="H34" t="inlineStr">
        <is>
          <t>cociente de medianas (difiere algo de la mediana del cociente de DC_datos)</t>
        </is>
      </c>
    </row>
    <row r="35">
      <c r="A35" s="6">
        <f>DC_datos!B35</f>
        <v/>
      </c>
      <c r="B35" s="6">
        <f>DC_datos!C35</f>
        <v/>
      </c>
      <c r="C35" s="6">
        <f>DC_datos!D35</f>
        <v/>
      </c>
      <c r="D35" s="6">
        <f>DC_datos!H35</f>
        <v/>
      </c>
      <c r="E35" s="7">
        <f>IF(ISNUMBER(D35),10*D35,"no estimable")</f>
        <v/>
      </c>
      <c r="F35" s="6">
        <f>DC_datos!F35</f>
        <v/>
      </c>
      <c r="G35" s="7">
        <f>IF(ISNUMBER(D35),F35*100/D35,"—")</f>
        <v/>
      </c>
      <c r="H35" t="inlineStr">
        <is>
          <t>cociente de medianas (difiere algo de la mediana del cociente de DC_datos)</t>
        </is>
      </c>
    </row>
    <row r="36">
      <c r="A36" s="6">
        <f>DC_datos!B36</f>
        <v/>
      </c>
      <c r="B36" s="6">
        <f>DC_datos!C36</f>
        <v/>
      </c>
      <c r="C36" s="6">
        <f>DC_datos!D36</f>
        <v/>
      </c>
      <c r="D36" s="6">
        <f>DC_datos!H36</f>
        <v/>
      </c>
      <c r="E36" s="7">
        <f>IF(ISNUMBER(D36),10*D36,"no estimable")</f>
        <v/>
      </c>
      <c r="F36" s="6">
        <f>DC_datos!F36</f>
        <v/>
      </c>
      <c r="G36" s="7">
        <f>IF(ISNUMBER(D36),F36*100/D36,"—")</f>
        <v/>
      </c>
      <c r="H36" t="inlineStr">
        <is>
          <t>cociente de medianas (difiere algo de la mediana del cociente de DC_datos)</t>
        </is>
      </c>
    </row>
    <row r="37">
      <c r="A37" s="6">
        <f>DC_datos!B37</f>
        <v/>
      </c>
      <c r="B37" s="6">
        <f>DC_datos!C37</f>
        <v/>
      </c>
      <c r="C37" s="6">
        <f>DC_datos!D37</f>
        <v/>
      </c>
      <c r="D37" s="6">
        <f>DC_datos!H37</f>
        <v/>
      </c>
      <c r="E37" s="7">
        <f>IF(ISNUMBER(D37),10*D37,"no estimable")</f>
        <v/>
      </c>
      <c r="F37" s="6">
        <f>DC_datos!F37</f>
        <v/>
      </c>
      <c r="G37" s="7">
        <f>IF(ISNUMBER(D37),F37*100/D37,"—")</f>
        <v/>
      </c>
      <c r="H37" t="inlineStr">
        <is>
          <t>cociente de medianas (difiere algo de la mediana del cociente de DC_datos)</t>
        </is>
      </c>
    </row>
    <row r="38">
      <c r="A38" s="6">
        <f>DC_datos!B38</f>
        <v/>
      </c>
      <c r="B38" s="6">
        <f>DC_datos!C38</f>
        <v/>
      </c>
      <c r="C38" s="6">
        <f>DC_datos!D38</f>
        <v/>
      </c>
      <c r="D38" s="6">
        <f>DC_datos!H38</f>
        <v/>
      </c>
      <c r="E38" s="7">
        <f>IF(ISNUMBER(D38),10*D38,"no estimable")</f>
        <v/>
      </c>
      <c r="F38" s="6">
        <f>DC_datos!F38</f>
        <v/>
      </c>
      <c r="G38" s="7">
        <f>IF(ISNUMBER(D38),F38*100/D38,"—")</f>
        <v/>
      </c>
      <c r="H38" t="inlineStr">
        <is>
          <t>cociente de medianas (difiere algo de la mediana del cociente de DC_datos)</t>
        </is>
      </c>
    </row>
    <row r="39">
      <c r="A39" s="6">
        <f>DC_datos!B39</f>
        <v/>
      </c>
      <c r="B39" s="6">
        <f>DC_datos!C39</f>
        <v/>
      </c>
      <c r="C39" s="6">
        <f>DC_datos!D39</f>
        <v/>
      </c>
      <c r="D39" s="6">
        <f>DC_datos!H39</f>
        <v/>
      </c>
      <c r="E39" s="7">
        <f>IF(ISNUMBER(D39),10*D39,"no estimable")</f>
        <v/>
      </c>
      <c r="F39" s="6">
        <f>DC_datos!F39</f>
        <v/>
      </c>
      <c r="G39" s="7">
        <f>IF(ISNUMBER(D39),F39*100/D39,"—")</f>
        <v/>
      </c>
      <c r="H39" t="inlineStr">
        <is>
          <t>cociente de medianas (difiere algo de la mediana del cociente de DC_datos)</t>
        </is>
      </c>
    </row>
    <row r="40">
      <c r="A40" s="6">
        <f>DC_datos!B40</f>
        <v/>
      </c>
      <c r="B40" s="6">
        <f>DC_datos!C40</f>
        <v/>
      </c>
      <c r="C40" s="6">
        <f>DC_datos!D40</f>
        <v/>
      </c>
      <c r="D40" s="6">
        <f>DC_datos!H40</f>
        <v/>
      </c>
      <c r="E40" s="7">
        <f>IF(ISNUMBER(D40),10*D40,"no estimable")</f>
        <v/>
      </c>
      <c r="F40" s="6">
        <f>DC_datos!F40</f>
        <v/>
      </c>
      <c r="G40" s="7">
        <f>IF(ISNUMBER(D40),F40*100/D40,"—")</f>
        <v/>
      </c>
      <c r="H40" t="inlineStr">
        <is>
          <t>cociente de medianas (difiere algo de la mediana del cociente de DC_datos)</t>
        </is>
      </c>
    </row>
    <row r="41">
      <c r="A41" s="6">
        <f>DC_datos!B41</f>
        <v/>
      </c>
      <c r="B41" s="6">
        <f>DC_datos!C41</f>
        <v/>
      </c>
      <c r="C41" s="6">
        <f>DC_datos!D41</f>
        <v/>
      </c>
      <c r="D41" s="6">
        <f>DC_datos!H41</f>
        <v/>
      </c>
      <c r="E41" s="7">
        <f>IF(ISNUMBER(D41),10*D41,"no estimable")</f>
        <v/>
      </c>
      <c r="F41" s="6">
        <f>DC_datos!F41</f>
        <v/>
      </c>
      <c r="G41" s="7">
        <f>IF(ISNUMBER(D41),F41*100/D41,"—")</f>
        <v/>
      </c>
      <c r="H41" t="inlineStr">
        <is>
          <t>cociente de medianas (difiere algo de la mediana del cociente de DC_datos)</t>
        </is>
      </c>
    </row>
    <row r="42">
      <c r="A42" s="6">
        <f>DC_datos!B42</f>
        <v/>
      </c>
      <c r="B42" s="6">
        <f>DC_datos!C42</f>
        <v/>
      </c>
      <c r="C42" s="6">
        <f>DC_datos!D42</f>
        <v/>
      </c>
      <c r="D42" s="6">
        <f>DC_datos!H42</f>
        <v/>
      </c>
      <c r="E42" s="7">
        <f>IF(ISNUMBER(D42),10*D42,"no estimable")</f>
        <v/>
      </c>
      <c r="F42" s="6">
        <f>DC_datos!F42</f>
        <v/>
      </c>
      <c r="G42" s="7">
        <f>IF(ISNUMBER(D42),F42*100/D42,"—")</f>
        <v/>
      </c>
      <c r="H42" t="inlineStr">
        <is>
          <t>cociente de medianas (difiere algo de la mediana del cociente de DC_datos)</t>
        </is>
      </c>
    </row>
    <row r="43">
      <c r="A43" s="6">
        <f>DC_datos!B43</f>
        <v/>
      </c>
      <c r="B43" s="6">
        <f>DC_datos!C43</f>
        <v/>
      </c>
      <c r="C43" s="6">
        <f>DC_datos!D43</f>
        <v/>
      </c>
      <c r="D43" s="6">
        <f>DC_datos!H43</f>
        <v/>
      </c>
      <c r="E43" s="7">
        <f>IF(ISNUMBER(D43),10*D43,"no estimable")</f>
        <v/>
      </c>
      <c r="F43" s="6">
        <f>DC_datos!F43</f>
        <v/>
      </c>
      <c r="G43" s="7">
        <f>IF(ISNUMBER(D43),F43*100/D43,"—")</f>
        <v/>
      </c>
      <c r="H43" t="inlineStr">
        <is>
          <t>cociente de medianas (difiere algo de la mediana del cociente de DC_datos)</t>
        </is>
      </c>
    </row>
    <row r="44">
      <c r="A44" s="6">
        <f>DC_datos!B44</f>
        <v/>
      </c>
      <c r="B44" s="6">
        <f>DC_datos!C44</f>
        <v/>
      </c>
      <c r="C44" s="6">
        <f>DC_datos!D44</f>
        <v/>
      </c>
      <c r="D44" s="6">
        <f>DC_datos!H44</f>
        <v/>
      </c>
      <c r="E44" s="7">
        <f>IF(ISNUMBER(D44),10*D44,"no estimable")</f>
        <v/>
      </c>
      <c r="F44" s="6">
        <f>DC_datos!F44</f>
        <v/>
      </c>
      <c r="G44" s="7">
        <f>IF(ISNUMBER(D44),F44*100/D44,"—")</f>
        <v/>
      </c>
      <c r="H44" t="inlineStr">
        <is>
          <t>cociente de medianas (difiere algo de la mediana del cociente de DC_datos)</t>
        </is>
      </c>
    </row>
    <row r="45">
      <c r="A45" s="6">
        <f>DC_datos!B45</f>
        <v/>
      </c>
      <c r="B45" s="6">
        <f>DC_datos!C45</f>
        <v/>
      </c>
      <c r="C45" s="6">
        <f>DC_datos!D45</f>
        <v/>
      </c>
      <c r="D45" s="6">
        <f>DC_datos!H45</f>
        <v/>
      </c>
      <c r="E45" s="7">
        <f>IF(ISNUMBER(D45),10*D45,"no estimable")</f>
        <v/>
      </c>
      <c r="F45" s="6">
        <f>DC_datos!F45</f>
        <v/>
      </c>
      <c r="G45" s="7">
        <f>IF(ISNUMBER(D45),F45*100/D45,"—")</f>
        <v/>
      </c>
      <c r="H45" t="inlineStr">
        <is>
          <t>cociente de medianas (difiere algo de la mediana del cociente de DC_datos)</t>
        </is>
      </c>
    </row>
    <row r="46">
      <c r="A46" s="6">
        <f>DC_datos!B46</f>
        <v/>
      </c>
      <c r="B46" s="6">
        <f>DC_datos!C46</f>
        <v/>
      </c>
      <c r="C46" s="6">
        <f>DC_datos!D46</f>
        <v/>
      </c>
      <c r="D46" s="6">
        <f>DC_datos!H46</f>
        <v/>
      </c>
      <c r="E46" s="7">
        <f>IF(ISNUMBER(D46),10*D46,"no estimable")</f>
        <v/>
      </c>
      <c r="F46" s="6">
        <f>DC_datos!F46</f>
        <v/>
      </c>
      <c r="G46" s="7">
        <f>IF(ISNUMBER(D46),F46*100/D46,"—")</f>
        <v/>
      </c>
      <c r="H46" t="inlineStr">
        <is>
          <t>cociente de medianas (difiere algo de la mediana del cociente de DC_datos)</t>
        </is>
      </c>
    </row>
    <row r="47">
      <c r="A47" s="6">
        <f>DC_datos!B47</f>
        <v/>
      </c>
      <c r="B47" s="6">
        <f>DC_datos!C47</f>
        <v/>
      </c>
      <c r="C47" s="6">
        <f>DC_datos!D47</f>
        <v/>
      </c>
      <c r="D47" s="6">
        <f>DC_datos!H47</f>
        <v/>
      </c>
      <c r="E47" s="7">
        <f>IF(ISNUMBER(D47),10*D47,"no estimable")</f>
        <v/>
      </c>
      <c r="F47" s="6">
        <f>DC_datos!F47</f>
        <v/>
      </c>
      <c r="G47" s="7">
        <f>IF(ISNUMBER(D47),F47*100/D47,"—")</f>
        <v/>
      </c>
      <c r="H47" t="inlineStr">
        <is>
          <t>cociente de medianas (difiere algo de la mediana del cociente de DC_datos)</t>
        </is>
      </c>
    </row>
    <row r="48">
      <c r="A48" s="6">
        <f>DC_datos!B48</f>
        <v/>
      </c>
      <c r="B48" s="6">
        <f>DC_datos!C48</f>
        <v/>
      </c>
      <c r="C48" s="6">
        <f>DC_datos!D48</f>
        <v/>
      </c>
      <c r="D48" s="6">
        <f>DC_datos!H48</f>
        <v/>
      </c>
      <c r="E48" s="7">
        <f>IF(ISNUMBER(D48),10*D48,"no estimable")</f>
        <v/>
      </c>
      <c r="F48" s="6">
        <f>DC_datos!F48</f>
        <v/>
      </c>
      <c r="G48" s="7">
        <f>IF(ISNUMBER(D48),F48*100/D48,"—")</f>
        <v/>
      </c>
      <c r="H48" t="inlineStr">
        <is>
          <t>cociente de medianas (difiere algo de la mediana del cociente de DC_datos)</t>
        </is>
      </c>
    </row>
    <row r="49">
      <c r="A49" s="6">
        <f>DC_datos!B49</f>
        <v/>
      </c>
      <c r="B49" s="6">
        <f>DC_datos!C49</f>
        <v/>
      </c>
      <c r="C49" s="6">
        <f>DC_datos!D49</f>
        <v/>
      </c>
      <c r="D49" s="6">
        <f>DC_datos!H49</f>
        <v/>
      </c>
      <c r="E49" s="7">
        <f>IF(ISNUMBER(D49),10*D49,"no estimable")</f>
        <v/>
      </c>
      <c r="F49" s="6">
        <f>DC_datos!F49</f>
        <v/>
      </c>
      <c r="G49" s="7">
        <f>IF(ISNUMBER(D49),F49*100/D49,"—")</f>
        <v/>
      </c>
      <c r="H49" t="inlineStr">
        <is>
          <t>cociente de medianas (difiere algo de la mediana del cociente de DC_datos)</t>
        </is>
      </c>
    </row>
    <row r="50">
      <c r="A50" s="6">
        <f>DC_datos!B50</f>
        <v/>
      </c>
      <c r="B50" s="6">
        <f>DC_datos!C50</f>
        <v/>
      </c>
      <c r="C50" s="6">
        <f>DC_datos!D50</f>
        <v/>
      </c>
      <c r="D50" s="6">
        <f>DC_datos!H50</f>
        <v/>
      </c>
      <c r="E50" s="7">
        <f>IF(ISNUMBER(D50),10*D50,"no estimable")</f>
        <v/>
      </c>
      <c r="F50" s="6">
        <f>DC_datos!F50</f>
        <v/>
      </c>
      <c r="G50" s="7">
        <f>IF(ISNUMBER(D50),F50*100/D50,"—")</f>
        <v/>
      </c>
      <c r="H50" t="inlineStr">
        <is>
          <t>cociente de medianas (difiere algo de la mediana del cociente de DC_datos)</t>
        </is>
      </c>
    </row>
    <row r="51">
      <c r="A51" s="6">
        <f>DC_datos!B51</f>
        <v/>
      </c>
      <c r="B51" s="6">
        <f>DC_datos!C51</f>
        <v/>
      </c>
      <c r="C51" s="6">
        <f>DC_datos!D51</f>
        <v/>
      </c>
      <c r="D51" s="6">
        <f>DC_datos!H51</f>
        <v/>
      </c>
      <c r="E51" s="7">
        <f>IF(ISNUMBER(D51),10*D51,"no estimable")</f>
        <v/>
      </c>
      <c r="F51" s="6">
        <f>DC_datos!F51</f>
        <v/>
      </c>
      <c r="G51" s="7">
        <f>IF(ISNUMBER(D51),F51*100/D51,"—")</f>
        <v/>
      </c>
      <c r="H51" t="inlineStr">
        <is>
          <t>cociente de medianas (difiere algo de la mediana del cociente de DC_datos)</t>
        </is>
      </c>
    </row>
    <row r="52">
      <c r="A52" s="6">
        <f>DC_datos!B52</f>
        <v/>
      </c>
      <c r="B52" s="6">
        <f>DC_datos!C52</f>
        <v/>
      </c>
      <c r="C52" s="6">
        <f>DC_datos!D52</f>
        <v/>
      </c>
      <c r="D52" s="6">
        <f>DC_datos!H52</f>
        <v/>
      </c>
      <c r="E52" s="7">
        <f>IF(ISNUMBER(D52),10*D52,"no estimable")</f>
        <v/>
      </c>
      <c r="F52" s="6">
        <f>DC_datos!F52</f>
        <v/>
      </c>
      <c r="G52" s="7">
        <f>IF(ISNUMBER(D52),F52*100/D52,"—")</f>
        <v/>
      </c>
      <c r="H52" t="inlineStr">
        <is>
          <t>cociente de medianas (difiere algo de la mediana del cociente de DC_datos)</t>
        </is>
      </c>
    </row>
    <row r="53">
      <c r="A53" s="6">
        <f>DC_datos!B53</f>
        <v/>
      </c>
      <c r="B53" s="6">
        <f>DC_datos!C53</f>
        <v/>
      </c>
      <c r="C53" s="6">
        <f>DC_datos!D53</f>
        <v/>
      </c>
      <c r="D53" s="6">
        <f>DC_datos!H53</f>
        <v/>
      </c>
      <c r="E53" s="7">
        <f>IF(ISNUMBER(D53),10*D53,"no estimable")</f>
        <v/>
      </c>
      <c r="F53" s="6">
        <f>DC_datos!F53</f>
        <v/>
      </c>
      <c r="G53" s="7">
        <f>IF(ISNUMBER(D53),F53*100/D53,"—")</f>
        <v/>
      </c>
      <c r="H53" t="inlineStr">
        <is>
          <t>cociente de medianas (difiere algo de la mediana del cociente de DC_datos)</t>
        </is>
      </c>
    </row>
    <row r="54">
      <c r="A54" s="6">
        <f>DC_datos!B54</f>
        <v/>
      </c>
      <c r="B54" s="6">
        <f>DC_datos!C54</f>
        <v/>
      </c>
      <c r="C54" s="6">
        <f>DC_datos!D54</f>
        <v/>
      </c>
      <c r="D54" s="6">
        <f>DC_datos!H54</f>
        <v/>
      </c>
      <c r="E54" s="7">
        <f>IF(ISNUMBER(D54),10*D54,"no estimable")</f>
        <v/>
      </c>
      <c r="F54" s="6">
        <f>DC_datos!F54</f>
        <v/>
      </c>
      <c r="G54" s="7">
        <f>IF(ISNUMBER(D54),F54*100/D54,"—")</f>
        <v/>
      </c>
      <c r="H54" t="inlineStr">
        <is>
          <t>cociente de medianas (difiere algo de la mediana del cociente de DC_datos)</t>
        </is>
      </c>
    </row>
    <row r="55">
      <c r="A55" s="6">
        <f>DC_datos!B55</f>
        <v/>
      </c>
      <c r="B55" s="6">
        <f>DC_datos!C55</f>
        <v/>
      </c>
      <c r="C55" s="6">
        <f>DC_datos!D55</f>
        <v/>
      </c>
      <c r="D55" s="6">
        <f>DC_datos!H55</f>
        <v/>
      </c>
      <c r="E55" s="7">
        <f>IF(ISNUMBER(D55),10*D55,"no estimable")</f>
        <v/>
      </c>
      <c r="F55" s="6">
        <f>DC_datos!F55</f>
        <v/>
      </c>
      <c r="G55" s="7">
        <f>IF(ISNUMBER(D55),F55*100/D55,"—")</f>
        <v/>
      </c>
      <c r="H55" t="inlineStr">
        <is>
          <t>cociente de medianas (difiere algo de la mediana del cociente de DC_datos)</t>
        </is>
      </c>
    </row>
    <row r="56">
      <c r="A56" s="6">
        <f>DC_datos!B56</f>
        <v/>
      </c>
      <c r="B56" s="6">
        <f>DC_datos!C56</f>
        <v/>
      </c>
      <c r="C56" s="6">
        <f>DC_datos!D56</f>
        <v/>
      </c>
      <c r="D56" s="6">
        <f>DC_datos!H56</f>
        <v/>
      </c>
      <c r="E56" s="7">
        <f>IF(ISNUMBER(D56),10*D56,"no estimable")</f>
        <v/>
      </c>
      <c r="F56" s="6">
        <f>DC_datos!F56</f>
        <v/>
      </c>
      <c r="G56" s="7">
        <f>IF(ISNUMBER(D56),F56*100/D56,"—")</f>
        <v/>
      </c>
      <c r="H56" t="inlineStr">
        <is>
          <t>cociente de medianas (difiere algo de la mediana del cociente de DC_datos)</t>
        </is>
      </c>
    </row>
    <row r="57">
      <c r="A57" s="6">
        <f>DC_datos!B57</f>
        <v/>
      </c>
      <c r="B57" s="6">
        <f>DC_datos!C57</f>
        <v/>
      </c>
      <c r="C57" s="6">
        <f>DC_datos!D57</f>
        <v/>
      </c>
      <c r="D57" s="6">
        <f>DC_datos!H57</f>
        <v/>
      </c>
      <c r="E57" s="7">
        <f>IF(ISNUMBER(D57),10*D57,"no estimable")</f>
        <v/>
      </c>
      <c r="F57" s="6">
        <f>DC_datos!F57</f>
        <v/>
      </c>
      <c r="G57" s="7">
        <f>IF(ISNUMBER(D57),F57*100/D57,"—")</f>
        <v/>
      </c>
      <c r="H57" t="inlineStr">
        <is>
          <t>cociente de medianas (difiere algo de la mediana del cociente de DC_datos)</t>
        </is>
      </c>
    </row>
    <row r="58">
      <c r="A58" s="6">
        <f>DC_datos!B58</f>
        <v/>
      </c>
      <c r="B58" s="6">
        <f>DC_datos!C58</f>
        <v/>
      </c>
      <c r="C58" s="6">
        <f>DC_datos!D58</f>
        <v/>
      </c>
      <c r="D58" s="6">
        <f>DC_datos!H58</f>
        <v/>
      </c>
      <c r="E58" s="7">
        <f>IF(ISNUMBER(D58),10*D58,"no estimable")</f>
        <v/>
      </c>
      <c r="F58" s="6">
        <f>DC_datos!F58</f>
        <v/>
      </c>
      <c r="G58" s="7">
        <f>IF(ISNUMBER(D58),F58*100/D58,"—")</f>
        <v/>
      </c>
      <c r="H58" t="inlineStr">
        <is>
          <t>cociente de medianas (difiere algo de la mediana del cociente de DC_datos)</t>
        </is>
      </c>
    </row>
    <row r="59">
      <c r="A59" s="6">
        <f>DC_datos!B59</f>
        <v/>
      </c>
      <c r="B59" s="6">
        <f>DC_datos!C59</f>
        <v/>
      </c>
      <c r="C59" s="6">
        <f>DC_datos!D59</f>
        <v/>
      </c>
      <c r="D59" s="6">
        <f>DC_datos!H59</f>
        <v/>
      </c>
      <c r="E59" s="7">
        <f>IF(ISNUMBER(D59),10*D59,"no estimable")</f>
        <v/>
      </c>
      <c r="F59" s="6">
        <f>DC_datos!F59</f>
        <v/>
      </c>
      <c r="G59" s="7">
        <f>IF(ISNUMBER(D59),F59*100/D59,"—")</f>
        <v/>
      </c>
      <c r="H59" t="inlineStr">
        <is>
          <t>cociente de medianas (difiere algo de la mediana del cociente de DC_datos)</t>
        </is>
      </c>
    </row>
    <row r="60">
      <c r="A60" s="6">
        <f>DC_datos!B60</f>
        <v/>
      </c>
      <c r="B60" s="6">
        <f>DC_datos!C60</f>
        <v/>
      </c>
      <c r="C60" s="6">
        <f>DC_datos!D60</f>
        <v/>
      </c>
      <c r="D60" s="6">
        <f>DC_datos!H60</f>
        <v/>
      </c>
      <c r="E60" s="7">
        <f>IF(ISNUMBER(D60),10*D60,"no estimable")</f>
        <v/>
      </c>
      <c r="F60" s="6">
        <f>DC_datos!F60</f>
        <v/>
      </c>
      <c r="G60" s="7">
        <f>IF(ISNUMBER(D60),F60*100/D60,"—")</f>
        <v/>
      </c>
      <c r="H60" t="inlineStr">
        <is>
          <t>cociente de medianas (difiere algo de la mediana del cociente de DC_datos)</t>
        </is>
      </c>
    </row>
    <row r="61">
      <c r="A61" s="6">
        <f>DC_datos!B61</f>
        <v/>
      </c>
      <c r="B61" s="6">
        <f>DC_datos!C61</f>
        <v/>
      </c>
      <c r="C61" s="6">
        <f>DC_datos!D61</f>
        <v/>
      </c>
      <c r="D61" s="6">
        <f>DC_datos!H61</f>
        <v/>
      </c>
      <c r="E61" s="7">
        <f>IF(ISNUMBER(D61),10*D61,"no estimable")</f>
        <v/>
      </c>
      <c r="F61" s="6">
        <f>DC_datos!F61</f>
        <v/>
      </c>
      <c r="G61" s="7">
        <f>IF(ISNUMBER(D61),F61*100/D61,"—")</f>
        <v/>
      </c>
      <c r="H61" t="inlineStr">
        <is>
          <t>cociente de medianas (difiere algo de la mediana del cociente de DC_datos)</t>
        </is>
      </c>
    </row>
    <row r="62">
      <c r="A62" s="6">
        <f>DC_datos!B62</f>
        <v/>
      </c>
      <c r="B62" s="6">
        <f>DC_datos!C62</f>
        <v/>
      </c>
      <c r="C62" s="6">
        <f>DC_datos!D62</f>
        <v/>
      </c>
      <c r="D62" s="6">
        <f>DC_datos!H62</f>
        <v/>
      </c>
      <c r="E62" s="7">
        <f>IF(ISNUMBER(D62),10*D62,"no estimable")</f>
        <v/>
      </c>
      <c r="F62" s="6">
        <f>DC_datos!F62</f>
        <v/>
      </c>
      <c r="G62" s="7">
        <f>IF(ISNUMBER(D62),F62*100/D62,"—")</f>
        <v/>
      </c>
      <c r="H62" t="inlineStr">
        <is>
          <t>cociente de medianas (difiere algo de la mediana del cociente de DC_datos)</t>
        </is>
      </c>
    </row>
    <row r="63">
      <c r="A63" s="6">
        <f>DC_datos!B63</f>
        <v/>
      </c>
      <c r="B63" s="6">
        <f>DC_datos!C63</f>
        <v/>
      </c>
      <c r="C63" s="6">
        <f>DC_datos!D63</f>
        <v/>
      </c>
      <c r="D63" s="6">
        <f>DC_datos!H63</f>
        <v/>
      </c>
      <c r="E63" s="7">
        <f>IF(ISNUMBER(D63),10*D63,"no estimable")</f>
        <v/>
      </c>
      <c r="F63" s="6">
        <f>DC_datos!F63</f>
        <v/>
      </c>
      <c r="G63" s="7">
        <f>IF(ISNUMBER(D63),F63*100/D63,"—")</f>
        <v/>
      </c>
      <c r="H63" t="inlineStr">
        <is>
          <t>cociente de medianas (difiere algo de la mediana del cociente de DC_datos)</t>
        </is>
      </c>
    </row>
    <row r="64">
      <c r="A64" s="6">
        <f>DC_datos!B64</f>
        <v/>
      </c>
      <c r="B64" s="6">
        <f>DC_datos!C64</f>
        <v/>
      </c>
      <c r="C64" s="6">
        <f>DC_datos!D64</f>
        <v/>
      </c>
      <c r="D64" s="6">
        <f>DC_datos!H64</f>
        <v/>
      </c>
      <c r="E64" s="7">
        <f>IF(ISNUMBER(D64),10*D64,"no estimable")</f>
        <v/>
      </c>
      <c r="F64" s="6">
        <f>DC_datos!F64</f>
        <v/>
      </c>
      <c r="G64" s="7">
        <f>IF(ISNUMBER(D64),F64*100/D64,"—")</f>
        <v/>
      </c>
      <c r="H64" t="inlineStr">
        <is>
          <t>cociente de medianas (difiere algo de la mediana del cociente de DC_datos)</t>
        </is>
      </c>
    </row>
    <row r="65">
      <c r="A65" s="6">
        <f>DC_datos!B65</f>
        <v/>
      </c>
      <c r="B65" s="6">
        <f>DC_datos!C65</f>
        <v/>
      </c>
      <c r="C65" s="6">
        <f>DC_datos!D65</f>
        <v/>
      </c>
      <c r="D65" s="6">
        <f>DC_datos!H65</f>
        <v/>
      </c>
      <c r="E65" s="7">
        <f>IF(ISNUMBER(D65),10*D65,"no estimable")</f>
        <v/>
      </c>
      <c r="F65" s="6">
        <f>DC_datos!F65</f>
        <v/>
      </c>
      <c r="G65" s="7">
        <f>IF(ISNUMBER(D65),F65*100/D65,"—")</f>
        <v/>
      </c>
      <c r="H65" t="inlineStr">
        <is>
          <t>cociente de medianas (difiere algo de la mediana del cociente de DC_datos)</t>
        </is>
      </c>
    </row>
    <row r="66">
      <c r="A66" s="6">
        <f>DC_datos!B66</f>
        <v/>
      </c>
      <c r="B66" s="6">
        <f>DC_datos!C66</f>
        <v/>
      </c>
      <c r="C66" s="6">
        <f>DC_datos!D66</f>
        <v/>
      </c>
      <c r="D66" s="6">
        <f>DC_datos!H66</f>
        <v/>
      </c>
      <c r="E66" s="7">
        <f>IF(ISNUMBER(D66),10*D66,"no estimable")</f>
        <v/>
      </c>
      <c r="F66" s="6">
        <f>DC_datos!F66</f>
        <v/>
      </c>
      <c r="G66" s="7">
        <f>IF(ISNUMBER(D66),F66*100/D66,"—")</f>
        <v/>
      </c>
      <c r="H66" t="inlineStr">
        <is>
          <t>cociente de medianas (difiere algo de la mediana del cociente de DC_datos)</t>
        </is>
      </c>
    </row>
    <row r="67">
      <c r="A67" s="6">
        <f>DC_datos!B67</f>
        <v/>
      </c>
      <c r="B67" s="6">
        <f>DC_datos!C67</f>
        <v/>
      </c>
      <c r="C67" s="6">
        <f>DC_datos!D67</f>
        <v/>
      </c>
      <c r="D67" s="6">
        <f>DC_datos!H67</f>
        <v/>
      </c>
      <c r="E67" s="7">
        <f>IF(ISNUMBER(D67),10*D67,"no estimable")</f>
        <v/>
      </c>
      <c r="F67" s="6">
        <f>DC_datos!F67</f>
        <v/>
      </c>
      <c r="G67" s="7">
        <f>IF(ISNUMBER(D67),F67*100/D67,"—")</f>
        <v/>
      </c>
      <c r="H67" t="inlineStr">
        <is>
          <t>cociente de medianas (difiere algo de la mediana del cociente de DC_datos)</t>
        </is>
      </c>
    </row>
    <row r="68">
      <c r="A68" s="6">
        <f>DC_datos!B68</f>
        <v/>
      </c>
      <c r="B68" s="6">
        <f>DC_datos!C68</f>
        <v/>
      </c>
      <c r="C68" s="6">
        <f>DC_datos!D68</f>
        <v/>
      </c>
      <c r="D68" s="6">
        <f>DC_datos!H68</f>
        <v/>
      </c>
      <c r="E68" s="7">
        <f>IF(ISNUMBER(D68),10*D68,"no estimable")</f>
        <v/>
      </c>
      <c r="F68" s="6">
        <f>DC_datos!F68</f>
        <v/>
      </c>
      <c r="G68" s="7">
        <f>IF(ISNUMBER(D68),F68*100/D68,"—")</f>
        <v/>
      </c>
      <c r="H68" t="inlineStr">
        <is>
          <t>cociente de medianas (difiere algo de la mediana del cociente de DC_datos)</t>
        </is>
      </c>
    </row>
    <row r="69">
      <c r="A69" s="6">
        <f>DC_datos!B69</f>
        <v/>
      </c>
      <c r="B69" s="6">
        <f>DC_datos!C69</f>
        <v/>
      </c>
      <c r="C69" s="6">
        <f>DC_datos!D69</f>
        <v/>
      </c>
      <c r="D69" s="6">
        <f>DC_datos!H69</f>
        <v/>
      </c>
      <c r="E69" s="7">
        <f>IF(ISNUMBER(D69),10*D69,"no estimable")</f>
        <v/>
      </c>
      <c r="F69" s="6">
        <f>DC_datos!F69</f>
        <v/>
      </c>
      <c r="G69" s="7">
        <f>IF(ISNUMBER(D69),F69*100/D69,"—")</f>
        <v/>
      </c>
      <c r="H69" t="inlineStr">
        <is>
          <t>cociente de medianas (difiere algo de la mediana del cociente de DC_datos)</t>
        </is>
      </c>
    </row>
    <row r="70">
      <c r="A70" s="6">
        <f>DC_datos!B70</f>
        <v/>
      </c>
      <c r="B70" s="6">
        <f>DC_datos!C70</f>
        <v/>
      </c>
      <c r="C70" s="6">
        <f>DC_datos!D70</f>
        <v/>
      </c>
      <c r="D70" s="6">
        <f>DC_datos!H70</f>
        <v/>
      </c>
      <c r="E70" s="7">
        <f>IF(ISNUMBER(D70),10*D70,"no estimable")</f>
        <v/>
      </c>
      <c r="F70" s="6">
        <f>DC_datos!F70</f>
        <v/>
      </c>
      <c r="G70" s="7">
        <f>IF(ISNUMBER(D70),F70*100/D70,"—")</f>
        <v/>
      </c>
      <c r="H70" t="inlineStr">
        <is>
          <t>cociente de medianas (difiere algo de la mediana del cociente de DC_datos)</t>
        </is>
      </c>
    </row>
    <row r="71">
      <c r="A71" s="6">
        <f>DC_datos!B71</f>
        <v/>
      </c>
      <c r="B71" s="6">
        <f>DC_datos!C71</f>
        <v/>
      </c>
      <c r="C71" s="6">
        <f>DC_datos!D71</f>
        <v/>
      </c>
      <c r="D71" s="6">
        <f>DC_datos!H71</f>
        <v/>
      </c>
      <c r="E71" s="7">
        <f>IF(ISNUMBER(D71),10*D71,"no estimable")</f>
        <v/>
      </c>
      <c r="F71" s="6">
        <f>DC_datos!F71</f>
        <v/>
      </c>
      <c r="G71" s="7">
        <f>IF(ISNUMBER(D71),F71*100/D71,"—")</f>
        <v/>
      </c>
      <c r="H71" t="inlineStr">
        <is>
          <t>cociente de medianas (difiere algo de la mediana del cociente de DC_datos)</t>
        </is>
      </c>
    </row>
    <row r="72">
      <c r="A72" s="6">
        <f>DC_datos!B72</f>
        <v/>
      </c>
      <c r="B72" s="6">
        <f>DC_datos!C72</f>
        <v/>
      </c>
      <c r="C72" s="6">
        <f>DC_datos!D72</f>
        <v/>
      </c>
      <c r="D72" s="6">
        <f>DC_datos!H72</f>
        <v/>
      </c>
      <c r="E72" s="7">
        <f>IF(ISNUMBER(D72),10*D72,"no estimable")</f>
        <v/>
      </c>
      <c r="F72" s="6">
        <f>DC_datos!F72</f>
        <v/>
      </c>
      <c r="G72" s="7">
        <f>IF(ISNUMBER(D72),F72*100/D72,"—")</f>
        <v/>
      </c>
      <c r="H72" t="inlineStr">
        <is>
          <t>cociente de medianas (difiere algo de la mediana del cociente de DC_datos)</t>
        </is>
      </c>
    </row>
    <row r="73">
      <c r="A73" s="6">
        <f>DC_datos!B73</f>
        <v/>
      </c>
      <c r="B73" s="6">
        <f>DC_datos!C73</f>
        <v/>
      </c>
      <c r="C73" s="6">
        <f>DC_datos!D73</f>
        <v/>
      </c>
      <c r="D73" s="6">
        <f>DC_datos!H73</f>
        <v/>
      </c>
      <c r="E73" s="7">
        <f>IF(ISNUMBER(D73),10*D73,"no estimable")</f>
        <v/>
      </c>
      <c r="F73" s="6">
        <f>DC_datos!F73</f>
        <v/>
      </c>
      <c r="G73" s="7">
        <f>IF(ISNUMBER(D73),F73*100/D73,"—")</f>
        <v/>
      </c>
      <c r="H73" t="inlineStr">
        <is>
          <t>cociente de medianas (difiere algo de la mediana del cociente de DC_datos)</t>
        </is>
      </c>
    </row>
    <row r="74">
      <c r="A74" s="6">
        <f>DC_datos!B74</f>
        <v/>
      </c>
      <c r="B74" s="6">
        <f>DC_datos!C74</f>
        <v/>
      </c>
      <c r="C74" s="6">
        <f>DC_datos!D74</f>
        <v/>
      </c>
      <c r="D74" s="6">
        <f>DC_datos!H74</f>
        <v/>
      </c>
      <c r="E74" s="7">
        <f>IF(ISNUMBER(D74),10*D74,"no estimable")</f>
        <v/>
      </c>
      <c r="F74" s="6">
        <f>DC_datos!F74</f>
        <v/>
      </c>
      <c r="G74" s="7">
        <f>IF(ISNUMBER(D74),F74*100/D74,"—")</f>
        <v/>
      </c>
      <c r="H74" t="inlineStr">
        <is>
          <t>cociente de medianas (difiere algo de la mediana del cociente de DC_datos)</t>
        </is>
      </c>
    </row>
    <row r="75">
      <c r="A75" s="6">
        <f>DC_datos!B75</f>
        <v/>
      </c>
      <c r="B75" s="6">
        <f>DC_datos!C75</f>
        <v/>
      </c>
      <c r="C75" s="6">
        <f>DC_datos!D75</f>
        <v/>
      </c>
      <c r="D75" s="6">
        <f>DC_datos!H75</f>
        <v/>
      </c>
      <c r="E75" s="7">
        <f>IF(ISNUMBER(D75),10*D75,"no estimable")</f>
        <v/>
      </c>
      <c r="F75" s="6">
        <f>DC_datos!F75</f>
        <v/>
      </c>
      <c r="G75" s="7">
        <f>IF(ISNUMBER(D75),F75*100/D75,"—")</f>
        <v/>
      </c>
      <c r="H75" t="inlineStr">
        <is>
          <t>cociente de medianas (difiere algo de la mediana del cociente de DC_datos)</t>
        </is>
      </c>
    </row>
    <row r="76">
      <c r="A76" s="6">
        <f>DC_datos!B76</f>
        <v/>
      </c>
      <c r="B76" s="6">
        <f>DC_datos!C76</f>
        <v/>
      </c>
      <c r="C76" s="6">
        <f>DC_datos!D76</f>
        <v/>
      </c>
      <c r="D76" s="6">
        <f>DC_datos!H76</f>
        <v/>
      </c>
      <c r="E76" s="7">
        <f>IF(ISNUMBER(D76),10*D76,"no estimable")</f>
        <v/>
      </c>
      <c r="F76" s="6">
        <f>DC_datos!F76</f>
        <v/>
      </c>
      <c r="G76" s="7">
        <f>IF(ISNUMBER(D76),F76*100/D76,"—")</f>
        <v/>
      </c>
      <c r="H76" t="inlineStr">
        <is>
          <t>cociente de medianas (difiere algo de la mediana del cociente de DC_datos)</t>
        </is>
      </c>
    </row>
    <row r="77">
      <c r="A77" s="6">
        <f>DC_datos!B77</f>
        <v/>
      </c>
      <c r="B77" s="6">
        <f>DC_datos!C77</f>
        <v/>
      </c>
      <c r="C77" s="6">
        <f>DC_datos!D77</f>
        <v/>
      </c>
      <c r="D77" s="6">
        <f>DC_datos!H77</f>
        <v/>
      </c>
      <c r="E77" s="7">
        <f>IF(ISNUMBER(D77),10*D77,"no estimable")</f>
        <v/>
      </c>
      <c r="F77" s="6">
        <f>DC_datos!F77</f>
        <v/>
      </c>
      <c r="G77" s="7">
        <f>IF(ISNUMBER(D77),F77*100/D77,"—")</f>
        <v/>
      </c>
      <c r="H77" t="inlineStr">
        <is>
          <t>cociente de medianas (difiere algo de la mediana del cociente de DC_datos)</t>
        </is>
      </c>
    </row>
    <row r="78">
      <c r="A78" s="6">
        <f>DC_datos!B78</f>
        <v/>
      </c>
      <c r="B78" s="6">
        <f>DC_datos!C78</f>
        <v/>
      </c>
      <c r="C78" s="6">
        <f>DC_datos!D78</f>
        <v/>
      </c>
      <c r="D78" s="6">
        <f>DC_datos!H78</f>
        <v/>
      </c>
      <c r="E78" s="7">
        <f>IF(ISNUMBER(D78),10*D78,"no estimable")</f>
        <v/>
      </c>
      <c r="F78" s="6">
        <f>DC_datos!F78</f>
        <v/>
      </c>
      <c r="G78" s="7">
        <f>IF(ISNUMBER(D78),F78*100/D78,"—")</f>
        <v/>
      </c>
      <c r="H78" t="inlineStr">
        <is>
          <t>cociente de medianas (difiere algo de la mediana del cociente de DC_datos)</t>
        </is>
      </c>
    </row>
    <row r="79">
      <c r="A79" s="6">
        <f>DC_datos!B79</f>
        <v/>
      </c>
      <c r="B79" s="6">
        <f>DC_datos!C79</f>
        <v/>
      </c>
      <c r="C79" s="6">
        <f>DC_datos!D79</f>
        <v/>
      </c>
      <c r="D79" s="6">
        <f>DC_datos!H79</f>
        <v/>
      </c>
      <c r="E79" s="7">
        <f>IF(ISNUMBER(D79),10*D79,"no estimable")</f>
        <v/>
      </c>
      <c r="F79" s="6">
        <f>DC_datos!F79</f>
        <v/>
      </c>
      <c r="G79" s="7">
        <f>IF(ISNUMBER(D79),F79*100/D79,"—")</f>
        <v/>
      </c>
      <c r="H79" t="inlineStr">
        <is>
          <t>cociente de medianas (difiere algo de la mediana del cociente de DC_datos)</t>
        </is>
      </c>
    </row>
    <row r="80">
      <c r="A80" s="6">
        <f>DC_datos!B80</f>
        <v/>
      </c>
      <c r="B80" s="6">
        <f>DC_datos!C80</f>
        <v/>
      </c>
      <c r="C80" s="6">
        <f>DC_datos!D80</f>
        <v/>
      </c>
      <c r="D80" s="6">
        <f>DC_datos!H80</f>
        <v/>
      </c>
      <c r="E80" s="7">
        <f>IF(ISNUMBER(D80),10*D80,"no estimable")</f>
        <v/>
      </c>
      <c r="F80" s="6">
        <f>DC_datos!F80</f>
        <v/>
      </c>
      <c r="G80" s="7">
        <f>IF(ISNUMBER(D80),F80*100/D80,"—")</f>
        <v/>
      </c>
      <c r="H80" t="inlineStr">
        <is>
          <t>cociente de medianas (difiere algo de la mediana del cociente de DC_datos)</t>
        </is>
      </c>
    </row>
    <row r="81">
      <c r="A81" s="6">
        <f>DC_datos!B81</f>
        <v/>
      </c>
      <c r="B81" s="6">
        <f>DC_datos!C81</f>
        <v/>
      </c>
      <c r="C81" s="6">
        <f>DC_datos!D81</f>
        <v/>
      </c>
      <c r="D81" s="6">
        <f>DC_datos!H81</f>
        <v/>
      </c>
      <c r="E81" s="7">
        <f>IF(ISNUMBER(D81),10*D81,"no estimable")</f>
        <v/>
      </c>
      <c r="F81" s="6">
        <f>DC_datos!F81</f>
        <v/>
      </c>
      <c r="G81" s="7">
        <f>IF(ISNUMBER(D81),F81*100/D81,"—")</f>
        <v/>
      </c>
      <c r="H81" t="inlineStr">
        <is>
          <t>cociente de medianas (difiere algo de la mediana del cociente de DC_datos)</t>
        </is>
      </c>
    </row>
    <row r="82">
      <c r="A82" s="6">
        <f>DC_datos!B82</f>
        <v/>
      </c>
      <c r="B82" s="6">
        <f>DC_datos!C82</f>
        <v/>
      </c>
      <c r="C82" s="6">
        <f>DC_datos!D82</f>
        <v/>
      </c>
      <c r="D82" s="6">
        <f>DC_datos!H82</f>
        <v/>
      </c>
      <c r="E82" s="7">
        <f>IF(ISNUMBER(D82),10*D82,"no estimable")</f>
        <v/>
      </c>
      <c r="F82" s="6">
        <f>DC_datos!F82</f>
        <v/>
      </c>
      <c r="G82" s="7">
        <f>IF(ISNUMBER(D82),F82*100/D82,"—")</f>
        <v/>
      </c>
      <c r="H82" t="inlineStr">
        <is>
          <t>cociente de medianas (difiere algo de la mediana del cociente de DC_datos)</t>
        </is>
      </c>
    </row>
    <row r="83">
      <c r="A83" s="6">
        <f>DC_datos!B83</f>
        <v/>
      </c>
      <c r="B83" s="6">
        <f>DC_datos!C83</f>
        <v/>
      </c>
      <c r="C83" s="6">
        <f>DC_datos!D83</f>
        <v/>
      </c>
      <c r="D83" s="6">
        <f>DC_datos!H83</f>
        <v/>
      </c>
      <c r="E83" s="7">
        <f>IF(ISNUMBER(D83),10*D83,"no estimable")</f>
        <v/>
      </c>
      <c r="F83" s="6">
        <f>DC_datos!F83</f>
        <v/>
      </c>
      <c r="G83" s="7">
        <f>IF(ISNUMBER(D83),F83*100/D83,"—")</f>
        <v/>
      </c>
      <c r="H83" t="inlineStr">
        <is>
          <t>cociente de medianas (difiere algo de la mediana del cociente de DC_datos)</t>
        </is>
      </c>
    </row>
    <row r="84">
      <c r="A84" s="6">
        <f>DC_datos!B84</f>
        <v/>
      </c>
      <c r="B84" s="6">
        <f>DC_datos!C84</f>
        <v/>
      </c>
      <c r="C84" s="6">
        <f>DC_datos!D84</f>
        <v/>
      </c>
      <c r="D84" s="6">
        <f>DC_datos!H84</f>
        <v/>
      </c>
      <c r="E84" s="7">
        <f>IF(ISNUMBER(D84),10*D84,"no estimable")</f>
        <v/>
      </c>
      <c r="F84" s="6">
        <f>DC_datos!F84</f>
        <v/>
      </c>
      <c r="G84" s="7">
        <f>IF(ISNUMBER(D84),F84*100/D84,"—")</f>
        <v/>
      </c>
      <c r="H84" t="inlineStr">
        <is>
          <t>cociente de medianas (difiere algo de la mediana del cociente de DC_datos)</t>
        </is>
      </c>
    </row>
    <row r="85">
      <c r="A85" s="6">
        <f>DC_datos!B85</f>
        <v/>
      </c>
      <c r="B85" s="6">
        <f>DC_datos!C85</f>
        <v/>
      </c>
      <c r="C85" s="6">
        <f>DC_datos!D85</f>
        <v/>
      </c>
      <c r="D85" s="6">
        <f>DC_datos!H85</f>
        <v/>
      </c>
      <c r="E85" s="7">
        <f>IF(ISNUMBER(D85),10*D85,"no estimable")</f>
        <v/>
      </c>
      <c r="F85" s="6">
        <f>DC_datos!F85</f>
        <v/>
      </c>
      <c r="G85" s="7">
        <f>IF(ISNUMBER(D85),F85*100/D85,"—")</f>
        <v/>
      </c>
      <c r="H85" t="inlineStr">
        <is>
          <t>cociente de medianas (difiere algo de la mediana del cociente de DC_datos)</t>
        </is>
      </c>
    </row>
    <row r="86">
      <c r="A86" s="6">
        <f>DC_datos!B86</f>
        <v/>
      </c>
      <c r="B86" s="6">
        <f>DC_datos!C86</f>
        <v/>
      </c>
      <c r="C86" s="6">
        <f>DC_datos!D86</f>
        <v/>
      </c>
      <c r="D86" s="6">
        <f>DC_datos!H86</f>
        <v/>
      </c>
      <c r="E86" s="7">
        <f>IF(ISNUMBER(D86),10*D86,"no estimable")</f>
        <v/>
      </c>
      <c r="F86" s="6">
        <f>DC_datos!F86</f>
        <v/>
      </c>
      <c r="G86" s="7">
        <f>IF(ISNUMBER(D86),F86*100/D86,"—")</f>
        <v/>
      </c>
      <c r="H86" t="inlineStr">
        <is>
          <t>cociente de medianas (difiere algo de la mediana del cociente de DC_datos)</t>
        </is>
      </c>
    </row>
    <row r="87">
      <c r="A87" s="6">
        <f>DC_datos!B87</f>
        <v/>
      </c>
      <c r="B87" s="6">
        <f>DC_datos!C87</f>
        <v/>
      </c>
      <c r="C87" s="6">
        <f>DC_datos!D87</f>
        <v/>
      </c>
      <c r="D87" s="6">
        <f>DC_datos!H87</f>
        <v/>
      </c>
      <c r="E87" s="7">
        <f>IF(ISNUMBER(D87),10*D87,"no estimable")</f>
        <v/>
      </c>
      <c r="F87" s="6">
        <f>DC_datos!F87</f>
        <v/>
      </c>
      <c r="G87" s="7">
        <f>IF(ISNUMBER(D87),F87*100/D87,"—")</f>
        <v/>
      </c>
      <c r="H87" t="inlineStr">
        <is>
          <t>cociente de medianas (difiere algo de la mediana del cociente de DC_datos)</t>
        </is>
      </c>
    </row>
    <row r="88">
      <c r="A88" s="6">
        <f>DC_datos!B88</f>
        <v/>
      </c>
      <c r="B88" s="6">
        <f>DC_datos!C88</f>
        <v/>
      </c>
      <c r="C88" s="6">
        <f>DC_datos!D88</f>
        <v/>
      </c>
      <c r="D88" s="6">
        <f>DC_datos!H88</f>
        <v/>
      </c>
      <c r="E88" s="7">
        <f>IF(ISNUMBER(D88),10*D88,"no estimable")</f>
        <v/>
      </c>
      <c r="F88" s="6">
        <f>DC_datos!F88</f>
        <v/>
      </c>
      <c r="G88" s="7">
        <f>IF(ISNUMBER(D88),F88*100/D88,"—")</f>
        <v/>
      </c>
      <c r="H88" t="inlineStr">
        <is>
          <t>cociente de medianas (difiere algo de la mediana del cociente de DC_datos)</t>
        </is>
      </c>
    </row>
    <row r="89">
      <c r="A89" s="6">
        <f>DC_datos!B89</f>
        <v/>
      </c>
      <c r="B89" s="6">
        <f>DC_datos!C89</f>
        <v/>
      </c>
      <c r="C89" s="6">
        <f>DC_datos!D89</f>
        <v/>
      </c>
      <c r="D89" s="6">
        <f>DC_datos!H89</f>
        <v/>
      </c>
      <c r="E89" s="7">
        <f>IF(ISNUMBER(D89),10*D89,"no estimable")</f>
        <v/>
      </c>
      <c r="F89" s="6">
        <f>DC_datos!F89</f>
        <v/>
      </c>
      <c r="G89" s="7">
        <f>IF(ISNUMBER(D89),F89*100/D89,"—")</f>
        <v/>
      </c>
      <c r="H89" t="inlineStr">
        <is>
          <t>cociente de medianas (difiere algo de la mediana del cociente de DC_datos)</t>
        </is>
      </c>
    </row>
    <row r="90">
      <c r="A90" s="6">
        <f>DC_datos!B90</f>
        <v/>
      </c>
      <c r="B90" s="6">
        <f>DC_datos!C90</f>
        <v/>
      </c>
      <c r="C90" s="6">
        <f>DC_datos!D90</f>
        <v/>
      </c>
      <c r="D90" s="6">
        <f>DC_datos!H90</f>
        <v/>
      </c>
      <c r="E90" s="7">
        <f>IF(ISNUMBER(D90),10*D90,"no estimable")</f>
        <v/>
      </c>
      <c r="F90" s="6">
        <f>DC_datos!F90</f>
        <v/>
      </c>
      <c r="G90" s="7">
        <f>IF(ISNUMBER(D90),F90*100/D90,"—")</f>
        <v/>
      </c>
      <c r="H90" t="inlineStr">
        <is>
          <t>cociente de medianas (difiere algo de la mediana del cociente de DC_datos)</t>
        </is>
      </c>
    </row>
    <row r="91">
      <c r="A91" s="6">
        <f>DC_datos!B91</f>
        <v/>
      </c>
      <c r="B91" s="6">
        <f>DC_datos!C91</f>
        <v/>
      </c>
      <c r="C91" s="6">
        <f>DC_datos!D91</f>
        <v/>
      </c>
      <c r="D91" s="6">
        <f>DC_datos!H91</f>
        <v/>
      </c>
      <c r="E91" s="7">
        <f>IF(ISNUMBER(D91),10*D91,"no estimable")</f>
        <v/>
      </c>
      <c r="F91" s="6">
        <f>DC_datos!F91</f>
        <v/>
      </c>
      <c r="G91" s="7">
        <f>IF(ISNUMBER(D91),F91*100/D91,"—")</f>
        <v/>
      </c>
      <c r="H91" t="inlineStr">
        <is>
          <t>cociente de medianas (difiere algo de la mediana del cociente de DC_datos)</t>
        </is>
      </c>
    </row>
    <row r="92">
      <c r="A92" s="6">
        <f>DC_datos!B92</f>
        <v/>
      </c>
      <c r="B92" s="6">
        <f>DC_datos!C92</f>
        <v/>
      </c>
      <c r="C92" s="6">
        <f>DC_datos!D92</f>
        <v/>
      </c>
      <c r="D92" s="6">
        <f>DC_datos!H92</f>
        <v/>
      </c>
      <c r="E92" s="7">
        <f>IF(ISNUMBER(D92),10*D92,"no estimable")</f>
        <v/>
      </c>
      <c r="F92" s="6">
        <f>DC_datos!F92</f>
        <v/>
      </c>
      <c r="G92" s="7">
        <f>IF(ISNUMBER(D92),F92*100/D92,"—")</f>
        <v/>
      </c>
      <c r="H92" t="inlineStr">
        <is>
          <t>cociente de medianas (difiere algo de la mediana del cociente de DC_datos)</t>
        </is>
      </c>
    </row>
    <row r="93">
      <c r="A93" s="6">
        <f>DC_datos!B93</f>
        <v/>
      </c>
      <c r="B93" s="6">
        <f>DC_datos!C93</f>
        <v/>
      </c>
      <c r="C93" s="6">
        <f>DC_datos!D93</f>
        <v/>
      </c>
      <c r="D93" s="6">
        <f>DC_datos!H93</f>
        <v/>
      </c>
      <c r="E93" s="7">
        <f>IF(ISNUMBER(D93),10*D93,"no estimable")</f>
        <v/>
      </c>
      <c r="F93" s="6">
        <f>DC_datos!F93</f>
        <v/>
      </c>
      <c r="G93" s="7">
        <f>IF(ISNUMBER(D93),F93*100/D93,"—")</f>
        <v/>
      </c>
      <c r="H93" t="inlineStr">
        <is>
          <t>cociente de medianas (difiere algo de la mediana del cociente de DC_datos)</t>
        </is>
      </c>
    </row>
    <row r="94">
      <c r="A94" s="6">
        <f>DC_datos!B94</f>
        <v/>
      </c>
      <c r="B94" s="6">
        <f>DC_datos!C94</f>
        <v/>
      </c>
      <c r="C94" s="6">
        <f>DC_datos!D94</f>
        <v/>
      </c>
      <c r="D94" s="6">
        <f>DC_datos!H94</f>
        <v/>
      </c>
      <c r="E94" s="7">
        <f>IF(ISNUMBER(D94),10*D94,"no estimable")</f>
        <v/>
      </c>
      <c r="F94" s="6">
        <f>DC_datos!F94</f>
        <v/>
      </c>
      <c r="G94" s="7">
        <f>IF(ISNUMBER(D94),F94*100/D94,"—")</f>
        <v/>
      </c>
      <c r="H94" t="inlineStr">
        <is>
          <t>cociente de medianas (difiere algo de la mediana del cociente de DC_datos)</t>
        </is>
      </c>
    </row>
    <row r="95">
      <c r="A95" s="6">
        <f>DC_datos!B95</f>
        <v/>
      </c>
      <c r="B95" s="6">
        <f>DC_datos!C95</f>
        <v/>
      </c>
      <c r="C95" s="6">
        <f>DC_datos!D95</f>
        <v/>
      </c>
      <c r="D95" s="6">
        <f>DC_datos!H95</f>
        <v/>
      </c>
      <c r="E95" s="7">
        <f>IF(ISNUMBER(D95),10*D95,"no estimable")</f>
        <v/>
      </c>
      <c r="F95" s="6">
        <f>DC_datos!F95</f>
        <v/>
      </c>
      <c r="G95" s="7">
        <f>IF(ISNUMBER(D95),F95*100/D95,"—")</f>
        <v/>
      </c>
      <c r="H95" t="inlineStr">
        <is>
          <t>cociente de medianas (difiere algo de la mediana del cociente de DC_datos)</t>
        </is>
      </c>
    </row>
    <row r="96">
      <c r="A96" s="6">
        <f>DC_datos!B96</f>
        <v/>
      </c>
      <c r="B96" s="6">
        <f>DC_datos!C96</f>
        <v/>
      </c>
      <c r="C96" s="6">
        <f>DC_datos!D96</f>
        <v/>
      </c>
      <c r="D96" s="6">
        <f>DC_datos!H96</f>
        <v/>
      </c>
      <c r="E96" s="7">
        <f>IF(ISNUMBER(D96),10*D96,"no estimable")</f>
        <v/>
      </c>
      <c r="F96" s="6">
        <f>DC_datos!F96</f>
        <v/>
      </c>
      <c r="G96" s="7">
        <f>IF(ISNUMBER(D96),F96*100/D96,"—")</f>
        <v/>
      </c>
      <c r="H96" t="inlineStr">
        <is>
          <t>cociente de medianas (difiere algo de la mediana del cociente de DC_datos)</t>
        </is>
      </c>
    </row>
    <row r="97">
      <c r="A97" s="6">
        <f>DC_datos!B97</f>
        <v/>
      </c>
      <c r="B97" s="6">
        <f>DC_datos!C97</f>
        <v/>
      </c>
      <c r="C97" s="6">
        <f>DC_datos!D97</f>
        <v/>
      </c>
      <c r="D97" s="6">
        <f>DC_datos!H97</f>
        <v/>
      </c>
      <c r="E97" s="7">
        <f>IF(ISNUMBER(D97),10*D97,"no estimable")</f>
        <v/>
      </c>
      <c r="F97" s="6">
        <f>DC_datos!F97</f>
        <v/>
      </c>
      <c r="G97" s="7">
        <f>IF(ISNUMBER(D97),F97*100/D97,"—")</f>
        <v/>
      </c>
      <c r="H97" t="inlineStr">
        <is>
          <t>cociente de medianas (difiere algo de la mediana del cociente de DC_datos)</t>
        </is>
      </c>
    </row>
    <row r="98">
      <c r="A98" s="6">
        <f>DC_datos!B98</f>
        <v/>
      </c>
      <c r="B98" s="6">
        <f>DC_datos!C98</f>
        <v/>
      </c>
      <c r="C98" s="6">
        <f>DC_datos!D98</f>
        <v/>
      </c>
      <c r="D98" s="6">
        <f>DC_datos!H98</f>
        <v/>
      </c>
      <c r="E98" s="7">
        <f>IF(ISNUMBER(D98),10*D98,"no estimable")</f>
        <v/>
      </c>
      <c r="F98" s="6">
        <f>DC_datos!F98</f>
        <v/>
      </c>
      <c r="G98" s="7">
        <f>IF(ISNUMBER(D98),F98*100/D98,"—")</f>
        <v/>
      </c>
      <c r="H98" t="inlineStr">
        <is>
          <t>cociente de medianas (difiere algo de la mediana del cociente de DC_datos)</t>
        </is>
      </c>
    </row>
    <row r="99">
      <c r="A99" s="6">
        <f>DC_datos!B99</f>
        <v/>
      </c>
      <c r="B99" s="6">
        <f>DC_datos!C99</f>
        <v/>
      </c>
      <c r="C99" s="6">
        <f>DC_datos!D99</f>
        <v/>
      </c>
      <c r="D99" s="6">
        <f>DC_datos!H99</f>
        <v/>
      </c>
      <c r="E99" s="7">
        <f>IF(ISNUMBER(D99),10*D99,"no estimable")</f>
        <v/>
      </c>
      <c r="F99" s="6">
        <f>DC_datos!F99</f>
        <v/>
      </c>
      <c r="G99" s="7">
        <f>IF(ISNUMBER(D99),F99*100/D99,"—")</f>
        <v/>
      </c>
      <c r="H99" t="inlineStr">
        <is>
          <t>cociente de medianas (difiere algo de la mediana del cociente de DC_datos)</t>
        </is>
      </c>
    </row>
    <row r="100">
      <c r="A100" s="6">
        <f>DC_datos!B100</f>
        <v/>
      </c>
      <c r="B100" s="6">
        <f>DC_datos!C100</f>
        <v/>
      </c>
      <c r="C100" s="6">
        <f>DC_datos!D100</f>
        <v/>
      </c>
      <c r="D100" s="6">
        <f>DC_datos!H100</f>
        <v/>
      </c>
      <c r="E100" s="7">
        <f>IF(ISNUMBER(D100),10*D100,"no estimable")</f>
        <v/>
      </c>
      <c r="F100" s="6">
        <f>DC_datos!F100</f>
        <v/>
      </c>
      <c r="G100" s="7">
        <f>IF(ISNUMBER(D100),F100*100/D100,"—")</f>
        <v/>
      </c>
      <c r="H100" t="inlineStr">
        <is>
          <t>cociente de medianas (difiere algo de la mediana del cociente de DC_datos)</t>
        </is>
      </c>
    </row>
    <row r="101">
      <c r="A101" s="6">
        <f>DC_datos!B101</f>
        <v/>
      </c>
      <c r="B101" s="6">
        <f>DC_datos!C101</f>
        <v/>
      </c>
      <c r="C101" s="6">
        <f>DC_datos!D101</f>
        <v/>
      </c>
      <c r="D101" s="6">
        <f>DC_datos!H101</f>
        <v/>
      </c>
      <c r="E101" s="7">
        <f>IF(ISNUMBER(D101),10*D101,"no estimable")</f>
        <v/>
      </c>
      <c r="F101" s="6">
        <f>DC_datos!F101</f>
        <v/>
      </c>
      <c r="G101" s="7">
        <f>IF(ISNUMBER(D101),F101*100/D101,"—")</f>
        <v/>
      </c>
      <c r="H101" t="inlineStr">
        <is>
          <t>cociente de medianas (difiere algo de la mediana del cociente de DC_datos)</t>
        </is>
      </c>
    </row>
    <row r="102">
      <c r="A102" s="6">
        <f>DC_datos!B102</f>
        <v/>
      </c>
      <c r="B102" s="6">
        <f>DC_datos!C102</f>
        <v/>
      </c>
      <c r="C102" s="6">
        <f>DC_datos!D102</f>
        <v/>
      </c>
      <c r="D102" s="6">
        <f>DC_datos!H102</f>
        <v/>
      </c>
      <c r="E102" s="7">
        <f>IF(ISNUMBER(D102),10*D102,"no estimable")</f>
        <v/>
      </c>
      <c r="F102" s="6">
        <f>DC_datos!F102</f>
        <v/>
      </c>
      <c r="G102" s="7">
        <f>IF(ISNUMBER(D102),F102*100/D102,"—")</f>
        <v/>
      </c>
      <c r="H102" t="inlineStr">
        <is>
          <t>cociente de medianas (difiere algo de la mediana del cociente de DC_datos)</t>
        </is>
      </c>
    </row>
    <row r="103">
      <c r="A103" s="6">
        <f>DC_datos!B103</f>
        <v/>
      </c>
      <c r="B103" s="6">
        <f>DC_datos!C103</f>
        <v/>
      </c>
      <c r="C103" s="6">
        <f>DC_datos!D103</f>
        <v/>
      </c>
      <c r="D103" s="6">
        <f>DC_datos!H103</f>
        <v/>
      </c>
      <c r="E103" s="7">
        <f>IF(ISNUMBER(D103),10*D103,"no estimable")</f>
        <v/>
      </c>
      <c r="F103" s="6">
        <f>DC_datos!F103</f>
        <v/>
      </c>
      <c r="G103" s="7">
        <f>IF(ISNUMBER(D103),F103*100/D103,"—")</f>
        <v/>
      </c>
      <c r="H103" t="inlineStr">
        <is>
          <t>cociente de medianas (difiere algo de la mediana del cociente de DC_datos)</t>
        </is>
      </c>
    </row>
    <row r="104">
      <c r="A104" s="6">
        <f>DC_datos!B104</f>
        <v/>
      </c>
      <c r="B104" s="6">
        <f>DC_datos!C104</f>
        <v/>
      </c>
      <c r="C104" s="6">
        <f>DC_datos!D104</f>
        <v/>
      </c>
      <c r="D104" s="6">
        <f>DC_datos!H104</f>
        <v/>
      </c>
      <c r="E104" s="7">
        <f>IF(ISNUMBER(D104),10*D104,"no estimable")</f>
        <v/>
      </c>
      <c r="F104" s="6">
        <f>DC_datos!F104</f>
        <v/>
      </c>
      <c r="G104" s="7">
        <f>IF(ISNUMBER(D104),F104*100/D104,"—")</f>
        <v/>
      </c>
      <c r="H104" t="inlineStr">
        <is>
          <t>cociente de medianas (difiere algo de la mediana del cociente de DC_datos)</t>
        </is>
      </c>
    </row>
    <row r="105">
      <c r="A105" s="6">
        <f>DC_datos!B105</f>
        <v/>
      </c>
      <c r="B105" s="6">
        <f>DC_datos!C105</f>
        <v/>
      </c>
      <c r="C105" s="6">
        <f>DC_datos!D105</f>
        <v/>
      </c>
      <c r="D105" s="6">
        <f>DC_datos!H105</f>
        <v/>
      </c>
      <c r="E105" s="7">
        <f>IF(ISNUMBER(D105),10*D105,"no estimable")</f>
        <v/>
      </c>
      <c r="F105" s="6">
        <f>DC_datos!F105</f>
        <v/>
      </c>
      <c r="G105" s="7">
        <f>IF(ISNUMBER(D105),F105*100/D105,"—")</f>
        <v/>
      </c>
      <c r="H105" t="inlineStr">
        <is>
          <t>cociente de medianas (difiere algo de la mediana del cociente de DC_datos)</t>
        </is>
      </c>
    </row>
    <row r="106">
      <c r="A106" s="6">
        <f>DC_datos!B106</f>
        <v/>
      </c>
      <c r="B106" s="6">
        <f>DC_datos!C106</f>
        <v/>
      </c>
      <c r="C106" s="6">
        <f>DC_datos!D106</f>
        <v/>
      </c>
      <c r="D106" s="6">
        <f>DC_datos!H106</f>
        <v/>
      </c>
      <c r="E106" s="7">
        <f>IF(ISNUMBER(D106),10*D106,"no estimable")</f>
        <v/>
      </c>
      <c r="F106" s="6">
        <f>DC_datos!F106</f>
        <v/>
      </c>
      <c r="G106" s="7">
        <f>IF(ISNUMBER(D106),F106*100/D106,"—")</f>
        <v/>
      </c>
      <c r="H106" t="inlineStr">
        <is>
          <t>cociente de medianas (difiere algo de la mediana del cociente de DC_datos)</t>
        </is>
      </c>
    </row>
    <row r="107">
      <c r="A107" s="6">
        <f>DC_datos!B107</f>
        <v/>
      </c>
      <c r="B107" s="6">
        <f>DC_datos!C107</f>
        <v/>
      </c>
      <c r="C107" s="6">
        <f>DC_datos!D107</f>
        <v/>
      </c>
      <c r="D107" s="6">
        <f>DC_datos!H107</f>
        <v/>
      </c>
      <c r="E107" s="7">
        <f>IF(ISNUMBER(D107),10*D107,"no estimable")</f>
        <v/>
      </c>
      <c r="F107" s="6">
        <f>DC_datos!F107</f>
        <v/>
      </c>
      <c r="G107" s="7">
        <f>IF(ISNUMBER(D107),F107*100/D107,"—")</f>
        <v/>
      </c>
      <c r="H107" t="inlineStr">
        <is>
          <t>cociente de medianas (difiere algo de la mediana del cociente de DC_datos)</t>
        </is>
      </c>
    </row>
    <row r="108">
      <c r="A108" s="6">
        <f>DC_datos!B108</f>
        <v/>
      </c>
      <c r="B108" s="6">
        <f>DC_datos!C108</f>
        <v/>
      </c>
      <c r="C108" s="6">
        <f>DC_datos!D108</f>
        <v/>
      </c>
      <c r="D108" s="6">
        <f>DC_datos!H108</f>
        <v/>
      </c>
      <c r="E108" s="7">
        <f>IF(ISNUMBER(D108),10*D108,"no estimable")</f>
        <v/>
      </c>
      <c r="F108" s="6">
        <f>DC_datos!F108</f>
        <v/>
      </c>
      <c r="G108" s="7">
        <f>IF(ISNUMBER(D108),F108*100/D108,"—")</f>
        <v/>
      </c>
      <c r="H108" t="inlineStr">
        <is>
          <t>cociente de medianas (difiere algo de la mediana del cociente de DC_datos)</t>
        </is>
      </c>
    </row>
    <row r="109">
      <c r="A109" s="6">
        <f>DC_datos!B109</f>
        <v/>
      </c>
      <c r="B109" s="6">
        <f>DC_datos!C109</f>
        <v/>
      </c>
      <c r="C109" s="6">
        <f>DC_datos!D109</f>
        <v/>
      </c>
      <c r="D109" s="6">
        <f>DC_datos!H109</f>
        <v/>
      </c>
      <c r="E109" s="7">
        <f>IF(ISNUMBER(D109),10*D109,"no estimable")</f>
        <v/>
      </c>
      <c r="F109" s="6">
        <f>DC_datos!F109</f>
        <v/>
      </c>
      <c r="G109" s="7">
        <f>IF(ISNUMBER(D109),F109*100/D109,"—")</f>
        <v/>
      </c>
      <c r="H109" t="inlineStr">
        <is>
          <t>cociente de medianas (difiere algo de la mediana del cociente de DC_datos)</t>
        </is>
      </c>
    </row>
    <row r="110">
      <c r="A110" s="6">
        <f>DC_datos!B110</f>
        <v/>
      </c>
      <c r="B110" s="6">
        <f>DC_datos!C110</f>
        <v/>
      </c>
      <c r="C110" s="6">
        <f>DC_datos!D110</f>
        <v/>
      </c>
      <c r="D110" s="6">
        <f>DC_datos!H110</f>
        <v/>
      </c>
      <c r="E110" s="7">
        <f>IF(ISNUMBER(D110),10*D110,"no estimable")</f>
        <v/>
      </c>
      <c r="F110" s="6">
        <f>DC_datos!F110</f>
        <v/>
      </c>
      <c r="G110" s="7">
        <f>IF(ISNUMBER(D110),F110*100/D110,"—")</f>
        <v/>
      </c>
      <c r="H110" t="inlineStr">
        <is>
          <t>cociente de medianas (difiere algo de la mediana del cociente de DC_datos)</t>
        </is>
      </c>
    </row>
    <row r="111">
      <c r="A111" s="6">
        <f>DC_datos!B111</f>
        <v/>
      </c>
      <c r="B111" s="6">
        <f>DC_datos!C111</f>
        <v/>
      </c>
      <c r="C111" s="6">
        <f>DC_datos!D111</f>
        <v/>
      </c>
      <c r="D111" s="6">
        <f>DC_datos!H111</f>
        <v/>
      </c>
      <c r="E111" s="7">
        <f>IF(ISNUMBER(D111),10*D111,"no estimable")</f>
        <v/>
      </c>
      <c r="F111" s="6">
        <f>DC_datos!F111</f>
        <v/>
      </c>
      <c r="G111" s="7">
        <f>IF(ISNUMBER(D111),F111*100/D111,"—")</f>
        <v/>
      </c>
      <c r="H111" t="inlineStr">
        <is>
          <t>cociente de medianas (difiere algo de la mediana del cociente de DC_datos)</t>
        </is>
      </c>
    </row>
    <row r="112">
      <c r="A112" s="6">
        <f>DC_datos!B112</f>
        <v/>
      </c>
      <c r="B112" s="6">
        <f>DC_datos!C112</f>
        <v/>
      </c>
      <c r="C112" s="6">
        <f>DC_datos!D112</f>
        <v/>
      </c>
      <c r="D112" s="6">
        <f>DC_datos!H112</f>
        <v/>
      </c>
      <c r="E112" s="7">
        <f>IF(ISNUMBER(D112),10*D112,"no estimable")</f>
        <v/>
      </c>
      <c r="F112" s="6">
        <f>DC_datos!F112</f>
        <v/>
      </c>
      <c r="G112" s="7">
        <f>IF(ISNUMBER(D112),F112*100/D112,"—")</f>
        <v/>
      </c>
      <c r="H112" t="inlineStr">
        <is>
          <t>cociente de medianas (difiere algo de la mediana del cociente de DC_datos)</t>
        </is>
      </c>
    </row>
    <row r="113">
      <c r="A113" s="6">
        <f>DC_datos!B113</f>
        <v/>
      </c>
      <c r="B113" s="6">
        <f>DC_datos!C113</f>
        <v/>
      </c>
      <c r="C113" s="6">
        <f>DC_datos!D113</f>
        <v/>
      </c>
      <c r="D113" s="6">
        <f>DC_datos!H113</f>
        <v/>
      </c>
      <c r="E113" s="7">
        <f>IF(ISNUMBER(D113),10*D113,"no estimable")</f>
        <v/>
      </c>
      <c r="F113" s="6">
        <f>DC_datos!F113</f>
        <v/>
      </c>
      <c r="G113" s="7">
        <f>IF(ISNUMBER(D113),F113*100/D113,"—")</f>
        <v/>
      </c>
      <c r="H113" t="inlineStr">
        <is>
          <t>cociente de medianas (difiere algo de la mediana del cociente de DC_datos)</t>
        </is>
      </c>
    </row>
    <row r="114">
      <c r="A114" s="6">
        <f>DC_datos!B114</f>
        <v/>
      </c>
      <c r="B114" s="6">
        <f>DC_datos!C114</f>
        <v/>
      </c>
      <c r="C114" s="6">
        <f>DC_datos!D114</f>
        <v/>
      </c>
      <c r="D114" s="6">
        <f>DC_datos!H114</f>
        <v/>
      </c>
      <c r="E114" s="7">
        <f>IF(ISNUMBER(D114),10*D114,"no estimable")</f>
        <v/>
      </c>
      <c r="F114" s="6">
        <f>DC_datos!F114</f>
        <v/>
      </c>
      <c r="G114" s="7">
        <f>IF(ISNUMBER(D114),F114*100/D114,"—")</f>
        <v/>
      </c>
      <c r="H114" t="inlineStr">
        <is>
          <t>cociente de medianas (difiere algo de la mediana del cociente de DC_datos)</t>
        </is>
      </c>
    </row>
    <row r="115">
      <c r="A115" s="6">
        <f>DC_datos!B115</f>
        <v/>
      </c>
      <c r="B115" s="6">
        <f>DC_datos!C115</f>
        <v/>
      </c>
      <c r="C115" s="6">
        <f>DC_datos!D115</f>
        <v/>
      </c>
      <c r="D115" s="6">
        <f>DC_datos!H115</f>
        <v/>
      </c>
      <c r="E115" s="7">
        <f>IF(ISNUMBER(D115),10*D115,"no estimable")</f>
        <v/>
      </c>
      <c r="F115" s="6">
        <f>DC_datos!F115</f>
        <v/>
      </c>
      <c r="G115" s="7">
        <f>IF(ISNUMBER(D115),F115*100/D115,"—")</f>
        <v/>
      </c>
      <c r="H115" t="inlineStr">
        <is>
          <t>cociente de medianas (difiere algo de la mediana del cociente de DC_datos)</t>
        </is>
      </c>
    </row>
    <row r="116">
      <c r="A116" s="6">
        <f>DC_datos!B116</f>
        <v/>
      </c>
      <c r="B116" s="6">
        <f>DC_datos!C116</f>
        <v/>
      </c>
      <c r="C116" s="6">
        <f>DC_datos!D116</f>
        <v/>
      </c>
      <c r="D116" s="6">
        <f>DC_datos!H116</f>
        <v/>
      </c>
      <c r="E116" s="7">
        <f>IF(ISNUMBER(D116),10*D116,"no estimable")</f>
        <v/>
      </c>
      <c r="F116" s="6">
        <f>DC_datos!F116</f>
        <v/>
      </c>
      <c r="G116" s="7">
        <f>IF(ISNUMBER(D116),F116*100/D116,"—")</f>
        <v/>
      </c>
      <c r="H116" t="inlineStr">
        <is>
          <t>cociente de medianas (difiere algo de la mediana del cociente de DC_datos)</t>
        </is>
      </c>
    </row>
    <row r="117">
      <c r="A117" s="6">
        <f>DC_datos!B117</f>
        <v/>
      </c>
      <c r="B117" s="6">
        <f>DC_datos!C117</f>
        <v/>
      </c>
      <c r="C117" s="6">
        <f>DC_datos!D117</f>
        <v/>
      </c>
      <c r="D117" s="6">
        <f>DC_datos!H117</f>
        <v/>
      </c>
      <c r="E117" s="7">
        <f>IF(ISNUMBER(D117),10*D117,"no estimable")</f>
        <v/>
      </c>
      <c r="F117" s="6">
        <f>DC_datos!F117</f>
        <v/>
      </c>
      <c r="G117" s="7">
        <f>IF(ISNUMBER(D117),F117*100/D117,"—")</f>
        <v/>
      </c>
      <c r="H117" t="inlineStr">
        <is>
          <t>cociente de medianas (difiere algo de la mediana del cociente de DC_datos)</t>
        </is>
      </c>
    </row>
    <row r="118">
      <c r="A118" s="6">
        <f>DC_datos!B118</f>
        <v/>
      </c>
      <c r="B118" s="6">
        <f>DC_datos!C118</f>
        <v/>
      </c>
      <c r="C118" s="6">
        <f>DC_datos!D118</f>
        <v/>
      </c>
      <c r="D118" s="6">
        <f>DC_datos!H118</f>
        <v/>
      </c>
      <c r="E118" s="7">
        <f>IF(ISNUMBER(D118),10*D118,"no estimable")</f>
        <v/>
      </c>
      <c r="F118" s="6">
        <f>DC_datos!F118</f>
        <v/>
      </c>
      <c r="G118" s="7">
        <f>IF(ISNUMBER(D118),F118*100/D118,"—")</f>
        <v/>
      </c>
      <c r="H118" t="inlineStr">
        <is>
          <t>cociente de medianas (difiere algo de la mediana del cociente de DC_datos)</t>
        </is>
      </c>
    </row>
    <row r="119">
      <c r="A119" s="6">
        <f>DC_datos!B119</f>
        <v/>
      </c>
      <c r="B119" s="6">
        <f>DC_datos!C119</f>
        <v/>
      </c>
      <c r="C119" s="6">
        <f>DC_datos!D119</f>
        <v/>
      </c>
      <c r="D119" s="6">
        <f>DC_datos!H119</f>
        <v/>
      </c>
      <c r="E119" s="7">
        <f>IF(ISNUMBER(D119),10*D119,"no estimable")</f>
        <v/>
      </c>
      <c r="F119" s="6">
        <f>DC_datos!F119</f>
        <v/>
      </c>
      <c r="G119" s="7">
        <f>IF(ISNUMBER(D119),F119*100/D119,"—")</f>
        <v/>
      </c>
      <c r="H119" t="inlineStr">
        <is>
          <t>cociente de medianas (difiere algo de la mediana del cociente de DC_datos)</t>
        </is>
      </c>
    </row>
    <row r="120">
      <c r="A120" s="6">
        <f>DC_datos!B120</f>
        <v/>
      </c>
      <c r="B120" s="6">
        <f>DC_datos!C120</f>
        <v/>
      </c>
      <c r="C120" s="6">
        <f>DC_datos!D120</f>
        <v/>
      </c>
      <c r="D120" s="6">
        <f>DC_datos!H120</f>
        <v/>
      </c>
      <c r="E120" s="7">
        <f>IF(ISNUMBER(D120),10*D120,"no estimable")</f>
        <v/>
      </c>
      <c r="F120" s="6">
        <f>DC_datos!F120</f>
        <v/>
      </c>
      <c r="G120" s="7">
        <f>IF(ISNUMBER(D120),F120*100/D120,"—")</f>
        <v/>
      </c>
      <c r="H120" t="inlineStr">
        <is>
          <t>cociente de medianas (difiere algo de la mediana del cociente de DC_datos)</t>
        </is>
      </c>
    </row>
    <row r="121">
      <c r="A121" s="6">
        <f>DC_datos!B121</f>
        <v/>
      </c>
      <c r="B121" s="6">
        <f>DC_datos!C121</f>
        <v/>
      </c>
      <c r="C121" s="6">
        <f>DC_datos!D121</f>
        <v/>
      </c>
      <c r="D121" s="6">
        <f>DC_datos!H121</f>
        <v/>
      </c>
      <c r="E121" s="7">
        <f>IF(ISNUMBER(D121),10*D121,"no estimable")</f>
        <v/>
      </c>
      <c r="F121" s="6">
        <f>DC_datos!F121</f>
        <v/>
      </c>
      <c r="G121" s="7">
        <f>IF(ISNUMBER(D121),F121*100/D121,"—")</f>
        <v/>
      </c>
      <c r="H121" t="inlineStr">
        <is>
          <t>cociente de medianas (difiere algo de la mediana del cociente de DC_datos)</t>
        </is>
      </c>
    </row>
    <row r="122">
      <c r="A122" s="6">
        <f>DC_datos!B122</f>
        <v/>
      </c>
      <c r="B122" s="6">
        <f>DC_datos!C122</f>
        <v/>
      </c>
      <c r="C122" s="6">
        <f>DC_datos!D122</f>
        <v/>
      </c>
      <c r="D122" s="6">
        <f>DC_datos!H122</f>
        <v/>
      </c>
      <c r="E122" s="7">
        <f>IF(ISNUMBER(D122),10*D122,"no estimable")</f>
        <v/>
      </c>
      <c r="F122" s="6">
        <f>DC_datos!F122</f>
        <v/>
      </c>
      <c r="G122" s="7">
        <f>IF(ISNUMBER(D122),F122*100/D122,"—")</f>
        <v/>
      </c>
      <c r="H122" t="inlineStr">
        <is>
          <t>cociente de medianas (difiere algo de la mediana del cociente de DC_datos)</t>
        </is>
      </c>
    </row>
    <row r="123">
      <c r="A123" s="6">
        <f>DC_datos!B123</f>
        <v/>
      </c>
      <c r="B123" s="6">
        <f>DC_datos!C123</f>
        <v/>
      </c>
      <c r="C123" s="6">
        <f>DC_datos!D123</f>
        <v/>
      </c>
      <c r="D123" s="6">
        <f>DC_datos!H123</f>
        <v/>
      </c>
      <c r="E123" s="7">
        <f>IF(ISNUMBER(D123),10*D123,"no estimable")</f>
        <v/>
      </c>
      <c r="F123" s="6">
        <f>DC_datos!F123</f>
        <v/>
      </c>
      <c r="G123" s="7">
        <f>IF(ISNUMBER(D123),F123*100/D123,"—")</f>
        <v/>
      </c>
      <c r="H123" t="inlineStr">
        <is>
          <t>cociente de medianas (difiere algo de la mediana del cociente de DC_datos)</t>
        </is>
      </c>
    </row>
    <row r="124">
      <c r="A124" s="6">
        <f>DC_datos!B124</f>
        <v/>
      </c>
      <c r="B124" s="6">
        <f>DC_datos!C124</f>
        <v/>
      </c>
      <c r="C124" s="6">
        <f>DC_datos!D124</f>
        <v/>
      </c>
      <c r="D124" s="6">
        <f>DC_datos!H124</f>
        <v/>
      </c>
      <c r="E124" s="7">
        <f>IF(ISNUMBER(D124),10*D124,"no estimable")</f>
        <v/>
      </c>
      <c r="F124" s="6">
        <f>DC_datos!F124</f>
        <v/>
      </c>
      <c r="G124" s="7">
        <f>IF(ISNUMBER(D124),F124*100/D124,"—")</f>
        <v/>
      </c>
      <c r="H124" t="inlineStr">
        <is>
          <t>cociente de medianas (difiere algo de la mediana del cociente de DC_datos)</t>
        </is>
      </c>
    </row>
    <row r="125">
      <c r="A125" s="6">
        <f>DC_datos!B125</f>
        <v/>
      </c>
      <c r="B125" s="6">
        <f>DC_datos!C125</f>
        <v/>
      </c>
      <c r="C125" s="6">
        <f>DC_datos!D125</f>
        <v/>
      </c>
      <c r="D125" s="6">
        <f>DC_datos!H125</f>
        <v/>
      </c>
      <c r="E125" s="7">
        <f>IF(ISNUMBER(D125),10*D125,"no estimable")</f>
        <v/>
      </c>
      <c r="F125" s="6">
        <f>DC_datos!F125</f>
        <v/>
      </c>
      <c r="G125" s="7">
        <f>IF(ISNUMBER(D125),F125*100/D125,"—")</f>
        <v/>
      </c>
      <c r="H125" t="inlineStr">
        <is>
          <t>cociente de medianas (difiere algo de la mediana del cociente de DC_datos)</t>
        </is>
      </c>
    </row>
    <row r="126">
      <c r="A126" s="6">
        <f>DC_datos!B126</f>
        <v/>
      </c>
      <c r="B126" s="6">
        <f>DC_datos!C126</f>
        <v/>
      </c>
      <c r="C126" s="6">
        <f>DC_datos!D126</f>
        <v/>
      </c>
      <c r="D126" s="6">
        <f>DC_datos!H126</f>
        <v/>
      </c>
      <c r="E126" s="7">
        <f>IF(ISNUMBER(D126),10*D126,"no estimable")</f>
        <v/>
      </c>
      <c r="F126" s="6">
        <f>DC_datos!F126</f>
        <v/>
      </c>
      <c r="G126" s="7">
        <f>IF(ISNUMBER(D126),F126*100/D126,"—")</f>
        <v/>
      </c>
      <c r="H126" t="inlineStr">
        <is>
          <t>cociente de medianas (difiere algo de la mediana del cociente de DC_datos)</t>
        </is>
      </c>
    </row>
    <row r="127">
      <c r="A127" s="6">
        <f>DC_datos!B127</f>
        <v/>
      </c>
      <c r="B127" s="6">
        <f>DC_datos!C127</f>
        <v/>
      </c>
      <c r="C127" s="6">
        <f>DC_datos!D127</f>
        <v/>
      </c>
      <c r="D127" s="6">
        <f>DC_datos!H127</f>
        <v/>
      </c>
      <c r="E127" s="7">
        <f>IF(ISNUMBER(D127),10*D127,"no estimable")</f>
        <v/>
      </c>
      <c r="F127" s="6">
        <f>DC_datos!F127</f>
        <v/>
      </c>
      <c r="G127" s="7">
        <f>IF(ISNUMBER(D127),F127*100/D127,"—")</f>
        <v/>
      </c>
      <c r="H127" t="inlineStr">
        <is>
          <t>cociente de medianas (difiere algo de la mediana del cociente de DC_datos)</t>
        </is>
      </c>
    </row>
    <row r="128">
      <c r="A128" s="6">
        <f>DC_datos!B128</f>
        <v/>
      </c>
      <c r="B128" s="6">
        <f>DC_datos!C128</f>
        <v/>
      </c>
      <c r="C128" s="6">
        <f>DC_datos!D128</f>
        <v/>
      </c>
      <c r="D128" s="6">
        <f>DC_datos!H128</f>
        <v/>
      </c>
      <c r="E128" s="7">
        <f>IF(ISNUMBER(D128),10*D128,"no estimable")</f>
        <v/>
      </c>
      <c r="F128" s="6">
        <f>DC_datos!F128</f>
        <v/>
      </c>
      <c r="G128" s="7">
        <f>IF(ISNUMBER(D128),F128*100/D128,"—")</f>
        <v/>
      </c>
      <c r="H128" t="inlineStr">
        <is>
          <t>cociente de medianas (difiere algo de la mediana del cociente de DC_datos)</t>
        </is>
      </c>
    </row>
    <row r="129">
      <c r="A129" s="6">
        <f>DC_datos!B129</f>
        <v/>
      </c>
      <c r="B129" s="6">
        <f>DC_datos!C129</f>
        <v/>
      </c>
      <c r="C129" s="6">
        <f>DC_datos!D129</f>
        <v/>
      </c>
      <c r="D129" s="6">
        <f>DC_datos!H129</f>
        <v/>
      </c>
      <c r="E129" s="7">
        <f>IF(ISNUMBER(D129),10*D129,"no estimable")</f>
        <v/>
      </c>
      <c r="F129" s="6">
        <f>DC_datos!F129</f>
        <v/>
      </c>
      <c r="G129" s="7">
        <f>IF(ISNUMBER(D129),F129*100/D129,"—")</f>
        <v/>
      </c>
      <c r="H129" t="inlineStr">
        <is>
          <t>cociente de medianas (difiere algo de la mediana del cociente de DC_datos)</t>
        </is>
      </c>
    </row>
    <row r="130">
      <c r="A130" s="6">
        <f>DC_datos!B130</f>
        <v/>
      </c>
      <c r="B130" s="6">
        <f>DC_datos!C130</f>
        <v/>
      </c>
      <c r="C130" s="6">
        <f>DC_datos!D130</f>
        <v/>
      </c>
      <c r="D130" s="6">
        <f>DC_datos!H130</f>
        <v/>
      </c>
      <c r="E130" s="7">
        <f>IF(ISNUMBER(D130),10*D130,"no estimable")</f>
        <v/>
      </c>
      <c r="F130" s="6">
        <f>DC_datos!F130</f>
        <v/>
      </c>
      <c r="G130" s="7">
        <f>IF(ISNUMBER(D130),F130*100/D130,"—")</f>
        <v/>
      </c>
      <c r="H130" t="inlineStr">
        <is>
          <t>cociente de medianas (difiere algo de la mediana del cociente de DC_datos)</t>
        </is>
      </c>
    </row>
    <row r="131">
      <c r="A131" s="6">
        <f>DC_datos!B131</f>
        <v/>
      </c>
      <c r="B131" s="6">
        <f>DC_datos!C131</f>
        <v/>
      </c>
      <c r="C131" s="6">
        <f>DC_datos!D131</f>
        <v/>
      </c>
      <c r="D131" s="6">
        <f>DC_datos!H131</f>
        <v/>
      </c>
      <c r="E131" s="7">
        <f>IF(ISNUMBER(D131),10*D131,"no estimable")</f>
        <v/>
      </c>
      <c r="F131" s="6">
        <f>DC_datos!F131</f>
        <v/>
      </c>
      <c r="G131" s="7">
        <f>IF(ISNUMBER(D131),F131*100/D131,"—")</f>
        <v/>
      </c>
      <c r="H131" t="inlineStr">
        <is>
          <t>cociente de medianas (difiere algo de la mediana del cociente de DC_datos)</t>
        </is>
      </c>
    </row>
    <row r="132">
      <c r="A132" s="6">
        <f>DC_datos!B132</f>
        <v/>
      </c>
      <c r="B132" s="6">
        <f>DC_datos!C132</f>
        <v/>
      </c>
      <c r="C132" s="6">
        <f>DC_datos!D132</f>
        <v/>
      </c>
      <c r="D132" s="6">
        <f>DC_datos!H132</f>
        <v/>
      </c>
      <c r="E132" s="7">
        <f>IF(ISNUMBER(D132),10*D132,"no estimable")</f>
        <v/>
      </c>
      <c r="F132" s="6">
        <f>DC_datos!F132</f>
        <v/>
      </c>
      <c r="G132" s="7">
        <f>IF(ISNUMBER(D132),F132*100/D132,"—")</f>
        <v/>
      </c>
      <c r="H132" t="inlineStr">
        <is>
          <t>cociente de medianas (difiere algo de la mediana del cociente de DC_datos)</t>
        </is>
      </c>
    </row>
    <row r="133">
      <c r="A133" s="6">
        <f>DC_datos!B133</f>
        <v/>
      </c>
      <c r="B133" s="6">
        <f>DC_datos!C133</f>
        <v/>
      </c>
      <c r="C133" s="6">
        <f>DC_datos!D133</f>
        <v/>
      </c>
      <c r="D133" s="6">
        <f>DC_datos!H133</f>
        <v/>
      </c>
      <c r="E133" s="7">
        <f>IF(ISNUMBER(D133),10*D133,"no estimable")</f>
        <v/>
      </c>
      <c r="F133" s="6">
        <f>DC_datos!F133</f>
        <v/>
      </c>
      <c r="G133" s="7">
        <f>IF(ISNUMBER(D133),F133*100/D133,"—")</f>
        <v/>
      </c>
      <c r="H133" t="inlineStr">
        <is>
          <t>cociente de medianas (difiere algo de la mediana del cociente de DC_datos)</t>
        </is>
      </c>
    </row>
    <row r="134">
      <c r="A134" s="6">
        <f>DC_datos!B134</f>
        <v/>
      </c>
      <c r="B134" s="6">
        <f>DC_datos!C134</f>
        <v/>
      </c>
      <c r="C134" s="6">
        <f>DC_datos!D134</f>
        <v/>
      </c>
      <c r="D134" s="6">
        <f>DC_datos!H134</f>
        <v/>
      </c>
      <c r="E134" s="7">
        <f>IF(ISNUMBER(D134),10*D134,"no estimable")</f>
        <v/>
      </c>
      <c r="F134" s="6">
        <f>DC_datos!F134</f>
        <v/>
      </c>
      <c r="G134" s="7">
        <f>IF(ISNUMBER(D134),F134*100/D134,"—")</f>
        <v/>
      </c>
      <c r="H134" t="inlineStr">
        <is>
          <t>cociente de medianas (difiere algo de la mediana del cociente de DC_datos)</t>
        </is>
      </c>
    </row>
    <row r="135">
      <c r="A135" s="6">
        <f>DC_datos!B135</f>
        <v/>
      </c>
      <c r="B135" s="6">
        <f>DC_datos!C135</f>
        <v/>
      </c>
      <c r="C135" s="6">
        <f>DC_datos!D135</f>
        <v/>
      </c>
      <c r="D135" s="6">
        <f>DC_datos!H135</f>
        <v/>
      </c>
      <c r="E135" s="7">
        <f>IF(ISNUMBER(D135),10*D135,"no estimable")</f>
        <v/>
      </c>
      <c r="F135" s="6">
        <f>DC_datos!F135</f>
        <v/>
      </c>
      <c r="G135" s="7">
        <f>IF(ISNUMBER(D135),F135*100/D135,"—")</f>
        <v/>
      </c>
      <c r="H135" t="inlineStr">
        <is>
          <t>cociente de medianas (difiere algo de la mediana del cociente de DC_datos)</t>
        </is>
      </c>
    </row>
    <row r="136">
      <c r="A136" s="6">
        <f>DC_datos!B136</f>
        <v/>
      </c>
      <c r="B136" s="6">
        <f>DC_datos!C136</f>
        <v/>
      </c>
      <c r="C136" s="6">
        <f>DC_datos!D136</f>
        <v/>
      </c>
      <c r="D136" s="6">
        <f>DC_datos!H136</f>
        <v/>
      </c>
      <c r="E136" s="7">
        <f>IF(ISNUMBER(D136),10*D136,"no estimable")</f>
        <v/>
      </c>
      <c r="F136" s="6">
        <f>DC_datos!F136</f>
        <v/>
      </c>
      <c r="G136" s="7">
        <f>IF(ISNUMBER(D136),F136*100/D136,"—")</f>
        <v/>
      </c>
      <c r="H136" t="inlineStr">
        <is>
          <t>cociente de medianas (difiere algo de la mediana del cociente de DC_datos)</t>
        </is>
      </c>
    </row>
    <row r="137">
      <c r="A137" s="6">
        <f>DC_datos!B137</f>
        <v/>
      </c>
      <c r="B137" s="6">
        <f>DC_datos!C137</f>
        <v/>
      </c>
      <c r="C137" s="6">
        <f>DC_datos!D137</f>
        <v/>
      </c>
      <c r="D137" s="6">
        <f>DC_datos!H137</f>
        <v/>
      </c>
      <c r="E137" s="7">
        <f>IF(ISNUMBER(D137),10*D137,"no estimable")</f>
        <v/>
      </c>
      <c r="F137" s="6">
        <f>DC_datos!F137</f>
        <v/>
      </c>
      <c r="G137" s="7">
        <f>IF(ISNUMBER(D137),F137*100/D137,"—")</f>
        <v/>
      </c>
      <c r="H137" t="inlineStr">
        <is>
          <t>cociente de medianas (difiere algo de la mediana del cociente de DC_datos)</t>
        </is>
      </c>
    </row>
    <row r="138">
      <c r="A138" s="6">
        <f>DC_datos!B138</f>
        <v/>
      </c>
      <c r="B138" s="6">
        <f>DC_datos!C138</f>
        <v/>
      </c>
      <c r="C138" s="6">
        <f>DC_datos!D138</f>
        <v/>
      </c>
      <c r="D138" s="6">
        <f>DC_datos!H138</f>
        <v/>
      </c>
      <c r="E138" s="7">
        <f>IF(ISNUMBER(D138),10*D138,"no estimable")</f>
        <v/>
      </c>
      <c r="F138" s="6">
        <f>DC_datos!F138</f>
        <v/>
      </c>
      <c r="G138" s="7">
        <f>IF(ISNUMBER(D138),F138*100/D138,"—")</f>
        <v/>
      </c>
      <c r="H138" t="inlineStr">
        <is>
          <t>cociente de medianas (difiere algo de la mediana del cociente de DC_datos)</t>
        </is>
      </c>
    </row>
    <row r="139">
      <c r="A139" s="6">
        <f>DC_datos!B139</f>
        <v/>
      </c>
      <c r="B139" s="6">
        <f>DC_datos!C139</f>
        <v/>
      </c>
      <c r="C139" s="6">
        <f>DC_datos!D139</f>
        <v/>
      </c>
      <c r="D139" s="6">
        <f>DC_datos!H139</f>
        <v/>
      </c>
      <c r="E139" s="7">
        <f>IF(ISNUMBER(D139),10*D139,"no estimable")</f>
        <v/>
      </c>
      <c r="F139" s="6">
        <f>DC_datos!F139</f>
        <v/>
      </c>
      <c r="G139" s="7">
        <f>IF(ISNUMBER(D139),F139*100/D139,"—")</f>
        <v/>
      </c>
      <c r="H139" t="inlineStr">
        <is>
          <t>cociente de medianas (difiere algo de la mediana del cociente de DC_datos)</t>
        </is>
      </c>
    </row>
    <row r="140">
      <c r="A140" s="6">
        <f>DC_datos!B140</f>
        <v/>
      </c>
      <c r="B140" s="6">
        <f>DC_datos!C140</f>
        <v/>
      </c>
      <c r="C140" s="6">
        <f>DC_datos!D140</f>
        <v/>
      </c>
      <c r="D140" s="6">
        <f>DC_datos!H140</f>
        <v/>
      </c>
      <c r="E140" s="7">
        <f>IF(ISNUMBER(D140),10*D140,"no estimable")</f>
        <v/>
      </c>
      <c r="F140" s="6">
        <f>DC_datos!F140</f>
        <v/>
      </c>
      <c r="G140" s="7">
        <f>IF(ISNUMBER(D140),F140*100/D140,"—")</f>
        <v/>
      </c>
      <c r="H140" t="inlineStr">
        <is>
          <t>cociente de medianas (difiere algo de la mediana del cociente de DC_datos)</t>
        </is>
      </c>
    </row>
    <row r="141">
      <c r="A141" s="6">
        <f>DC_datos!B141</f>
        <v/>
      </c>
      <c r="B141" s="6">
        <f>DC_datos!C141</f>
        <v/>
      </c>
      <c r="C141" s="6">
        <f>DC_datos!D141</f>
        <v/>
      </c>
      <c r="D141" s="6">
        <f>DC_datos!H141</f>
        <v/>
      </c>
      <c r="E141" s="7">
        <f>IF(ISNUMBER(D141),10*D141,"no estimable")</f>
        <v/>
      </c>
      <c r="F141" s="6">
        <f>DC_datos!F141</f>
        <v/>
      </c>
      <c r="G141" s="7">
        <f>IF(ISNUMBER(D141),F141*100/D141,"—")</f>
        <v/>
      </c>
      <c r="H141" t="inlineStr">
        <is>
          <t>cociente de medianas (difiere algo de la mediana del cociente de DC_datos)</t>
        </is>
      </c>
    </row>
    <row r="142">
      <c r="A142" s="6">
        <f>DC_datos!B142</f>
        <v/>
      </c>
      <c r="B142" s="6">
        <f>DC_datos!C142</f>
        <v/>
      </c>
      <c r="C142" s="6">
        <f>DC_datos!D142</f>
        <v/>
      </c>
      <c r="D142" s="6">
        <f>DC_datos!H142</f>
        <v/>
      </c>
      <c r="E142" s="7">
        <f>IF(ISNUMBER(D142),10*D142,"no estimable")</f>
        <v/>
      </c>
      <c r="F142" s="6">
        <f>DC_datos!F142</f>
        <v/>
      </c>
      <c r="G142" s="7">
        <f>IF(ISNUMBER(D142),F142*100/D142,"—")</f>
        <v/>
      </c>
      <c r="H142" t="inlineStr">
        <is>
          <t>cociente de medianas (difiere algo de la mediana del cociente de DC_datos)</t>
        </is>
      </c>
    </row>
    <row r="143">
      <c r="A143" s="6">
        <f>DC_datos!B143</f>
        <v/>
      </c>
      <c r="B143" s="6">
        <f>DC_datos!C143</f>
        <v/>
      </c>
      <c r="C143" s="6">
        <f>DC_datos!D143</f>
        <v/>
      </c>
      <c r="D143" s="6">
        <f>DC_datos!H143</f>
        <v/>
      </c>
      <c r="E143" s="7">
        <f>IF(ISNUMBER(D143),10*D143,"no estimable")</f>
        <v/>
      </c>
      <c r="F143" s="6">
        <f>DC_datos!F143</f>
        <v/>
      </c>
      <c r="G143" s="7">
        <f>IF(ISNUMBER(D143),F143*100/D143,"—")</f>
        <v/>
      </c>
      <c r="H143" t="inlineStr">
        <is>
          <t>cociente de medianas (difiere algo de la mediana del cociente de DC_datos)</t>
        </is>
      </c>
    </row>
    <row r="144">
      <c r="A144" s="6">
        <f>DC_datos!B144</f>
        <v/>
      </c>
      <c r="B144" s="6">
        <f>DC_datos!C144</f>
        <v/>
      </c>
      <c r="C144" s="6">
        <f>DC_datos!D144</f>
        <v/>
      </c>
      <c r="D144" s="6">
        <f>DC_datos!H144</f>
        <v/>
      </c>
      <c r="E144" s="7">
        <f>IF(ISNUMBER(D144),10*D144,"no estimable")</f>
        <v/>
      </c>
      <c r="F144" s="6">
        <f>DC_datos!F144</f>
        <v/>
      </c>
      <c r="G144" s="7">
        <f>IF(ISNUMBER(D144),F144*100/D144,"—")</f>
        <v/>
      </c>
      <c r="H144" t="inlineStr">
        <is>
          <t>cociente de medianas (difiere algo de la mediana del cociente de DC_datos)</t>
        </is>
      </c>
    </row>
    <row r="145">
      <c r="A145" s="6">
        <f>DC_datos!B145</f>
        <v/>
      </c>
      <c r="B145" s="6">
        <f>DC_datos!C145</f>
        <v/>
      </c>
      <c r="C145" s="6">
        <f>DC_datos!D145</f>
        <v/>
      </c>
      <c r="D145" s="6">
        <f>DC_datos!H145</f>
        <v/>
      </c>
      <c r="E145" s="7">
        <f>IF(ISNUMBER(D145),10*D145,"no estimable")</f>
        <v/>
      </c>
      <c r="F145" s="6">
        <f>DC_datos!F145</f>
        <v/>
      </c>
      <c r="G145" s="7">
        <f>IF(ISNUMBER(D145),F145*100/D145,"—")</f>
        <v/>
      </c>
      <c r="H145" t="inlineStr">
        <is>
          <t>cociente de medianas (difiere algo de la mediana del cociente de DC_datos)</t>
        </is>
      </c>
    </row>
    <row r="146">
      <c r="A146" s="6">
        <f>DC_datos!B146</f>
        <v/>
      </c>
      <c r="B146" s="6">
        <f>DC_datos!C146</f>
        <v/>
      </c>
      <c r="C146" s="6">
        <f>DC_datos!D146</f>
        <v/>
      </c>
      <c r="D146" s="6">
        <f>DC_datos!H146</f>
        <v/>
      </c>
      <c r="E146" s="7">
        <f>IF(ISNUMBER(D146),10*D146,"no estimable")</f>
        <v/>
      </c>
      <c r="F146" s="6">
        <f>DC_datos!F146</f>
        <v/>
      </c>
      <c r="G146" s="7">
        <f>IF(ISNUMBER(D146),F146*100/D146,"—")</f>
        <v/>
      </c>
      <c r="H146" t="inlineStr">
        <is>
          <t>cociente de medianas (difiere algo de la mediana del cociente de DC_datos)</t>
        </is>
      </c>
    </row>
    <row r="147">
      <c r="A147" s="6">
        <f>DC_datos!B147</f>
        <v/>
      </c>
      <c r="B147" s="6">
        <f>DC_datos!C147</f>
        <v/>
      </c>
      <c r="C147" s="6">
        <f>DC_datos!D147</f>
        <v/>
      </c>
      <c r="D147" s="6">
        <f>DC_datos!H147</f>
        <v/>
      </c>
      <c r="E147" s="7">
        <f>IF(ISNUMBER(D147),10*D147,"no estimable")</f>
        <v/>
      </c>
      <c r="F147" s="6">
        <f>DC_datos!F147</f>
        <v/>
      </c>
      <c r="G147" s="7">
        <f>IF(ISNUMBER(D147),F147*100/D147,"—")</f>
        <v/>
      </c>
      <c r="H147" t="inlineStr">
        <is>
          <t>cociente de medianas (difiere algo de la mediana del cociente de DC_datos)</t>
        </is>
      </c>
    </row>
    <row r="148">
      <c r="A148" s="6">
        <f>DC_datos!B148</f>
        <v/>
      </c>
      <c r="B148" s="6">
        <f>DC_datos!C148</f>
        <v/>
      </c>
      <c r="C148" s="6">
        <f>DC_datos!D148</f>
        <v/>
      </c>
      <c r="D148" s="6">
        <f>DC_datos!H148</f>
        <v/>
      </c>
      <c r="E148" s="7">
        <f>IF(ISNUMBER(D148),10*D148,"no estimable")</f>
        <v/>
      </c>
      <c r="F148" s="6">
        <f>DC_datos!F148</f>
        <v/>
      </c>
      <c r="G148" s="7">
        <f>IF(ISNUMBER(D148),F148*100/D148,"—")</f>
        <v/>
      </c>
      <c r="H148" t="inlineStr">
        <is>
          <t>cociente de medianas (difiere algo de la mediana del cociente de DC_datos)</t>
        </is>
      </c>
    </row>
    <row r="149">
      <c r="A149" s="6">
        <f>DC_datos!B149</f>
        <v/>
      </c>
      <c r="B149" s="6">
        <f>DC_datos!C149</f>
        <v/>
      </c>
      <c r="C149" s="6">
        <f>DC_datos!D149</f>
        <v/>
      </c>
      <c r="D149" s="6">
        <f>DC_datos!H149</f>
        <v/>
      </c>
      <c r="E149" s="7">
        <f>IF(ISNUMBER(D149),10*D149,"no estimable")</f>
        <v/>
      </c>
      <c r="F149" s="6">
        <f>DC_datos!F149</f>
        <v/>
      </c>
      <c r="G149" s="7">
        <f>IF(ISNUMBER(D149),F149*100/D149,"—")</f>
        <v/>
      </c>
      <c r="H149" t="inlineStr">
        <is>
          <t>cociente de medianas (difiere algo de la mediana del cociente de DC_datos)</t>
        </is>
      </c>
    </row>
    <row r="150">
      <c r="A150" s="6">
        <f>DC_datos!B150</f>
        <v/>
      </c>
      <c r="B150" s="6">
        <f>DC_datos!C150</f>
        <v/>
      </c>
      <c r="C150" s="6">
        <f>DC_datos!D150</f>
        <v/>
      </c>
      <c r="D150" s="6">
        <f>DC_datos!H150</f>
        <v/>
      </c>
      <c r="E150" s="7">
        <f>IF(ISNUMBER(D150),10*D150,"no estimable")</f>
        <v/>
      </c>
      <c r="F150" s="6">
        <f>DC_datos!F150</f>
        <v/>
      </c>
      <c r="G150" s="7">
        <f>IF(ISNUMBER(D150),F150*100/D150,"—")</f>
        <v/>
      </c>
      <c r="H150" t="inlineStr">
        <is>
          <t>cociente de medianas (difiere algo de la mediana del cociente de DC_datos)</t>
        </is>
      </c>
    </row>
    <row r="151">
      <c r="A151" s="6">
        <f>DC_datos!B151</f>
        <v/>
      </c>
      <c r="B151" s="6">
        <f>DC_datos!C151</f>
        <v/>
      </c>
      <c r="C151" s="6">
        <f>DC_datos!D151</f>
        <v/>
      </c>
      <c r="D151" s="6">
        <f>DC_datos!H151</f>
        <v/>
      </c>
      <c r="E151" s="7">
        <f>IF(ISNUMBER(D151),10*D151,"no estimable")</f>
        <v/>
      </c>
      <c r="F151" s="6">
        <f>DC_datos!F151</f>
        <v/>
      </c>
      <c r="G151" s="7">
        <f>IF(ISNUMBER(D151),F151*100/D151,"—")</f>
        <v/>
      </c>
      <c r="H151" t="inlineStr">
        <is>
          <t>cociente de medianas (difiere algo de la mediana del cociente de DC_datos)</t>
        </is>
      </c>
    </row>
    <row r="152">
      <c r="A152" s="6">
        <f>DC_datos!B152</f>
        <v/>
      </c>
      <c r="B152" s="6">
        <f>DC_datos!C152</f>
        <v/>
      </c>
      <c r="C152" s="6">
        <f>DC_datos!D152</f>
        <v/>
      </c>
      <c r="D152" s="6">
        <f>DC_datos!H152</f>
        <v/>
      </c>
      <c r="E152" s="7">
        <f>IF(ISNUMBER(D152),10*D152,"no estimable")</f>
        <v/>
      </c>
      <c r="F152" s="6">
        <f>DC_datos!F152</f>
        <v/>
      </c>
      <c r="G152" s="7">
        <f>IF(ISNUMBER(D152),F152*100/D152,"—")</f>
        <v/>
      </c>
      <c r="H152" t="inlineStr">
        <is>
          <t>cociente de medianas (difiere algo de la mediana del cociente de DC_datos)</t>
        </is>
      </c>
    </row>
    <row r="153">
      <c r="A153" s="6">
        <f>DC_datos!B153</f>
        <v/>
      </c>
      <c r="B153" s="6">
        <f>DC_datos!C153</f>
        <v/>
      </c>
      <c r="C153" s="6">
        <f>DC_datos!D153</f>
        <v/>
      </c>
      <c r="D153" s="6">
        <f>DC_datos!H153</f>
        <v/>
      </c>
      <c r="E153" s="7">
        <f>IF(ISNUMBER(D153),10*D153,"no estimable")</f>
        <v/>
      </c>
      <c r="F153" s="6">
        <f>DC_datos!F153</f>
        <v/>
      </c>
      <c r="G153" s="7">
        <f>IF(ISNUMBER(D153),F153*100/D153,"—")</f>
        <v/>
      </c>
      <c r="H153" t="inlineStr">
        <is>
          <t>cociente de medianas (difiere algo de la mediana del cociente de DC_datos)</t>
        </is>
      </c>
    </row>
    <row r="154">
      <c r="A154" s="6">
        <f>DC_datos!B154</f>
        <v/>
      </c>
      <c r="B154" s="6">
        <f>DC_datos!C154</f>
        <v/>
      </c>
      <c r="C154" s="6">
        <f>DC_datos!D154</f>
        <v/>
      </c>
      <c r="D154" s="6">
        <f>DC_datos!H154</f>
        <v/>
      </c>
      <c r="E154" s="7">
        <f>IF(ISNUMBER(D154),10*D154,"no estimable")</f>
        <v/>
      </c>
      <c r="F154" s="6">
        <f>DC_datos!F154</f>
        <v/>
      </c>
      <c r="G154" s="7">
        <f>IF(ISNUMBER(D154),F154*100/D154,"—")</f>
        <v/>
      </c>
      <c r="H154" t="inlineStr">
        <is>
          <t>cociente de medianas (difiere algo de la mediana del cociente de DC_datos)</t>
        </is>
      </c>
    </row>
    <row r="155">
      <c r="A155" s="6">
        <f>DC_datos!B155</f>
        <v/>
      </c>
      <c r="B155" s="6">
        <f>DC_datos!C155</f>
        <v/>
      </c>
      <c r="C155" s="6">
        <f>DC_datos!D155</f>
        <v/>
      </c>
      <c r="D155" s="6">
        <f>DC_datos!H155</f>
        <v/>
      </c>
      <c r="E155" s="7">
        <f>IF(ISNUMBER(D155),10*D155,"no estimable")</f>
        <v/>
      </c>
      <c r="F155" s="6">
        <f>DC_datos!F155</f>
        <v/>
      </c>
      <c r="G155" s="7">
        <f>IF(ISNUMBER(D155),F155*100/D155,"—")</f>
        <v/>
      </c>
      <c r="H155" t="inlineStr">
        <is>
          <t>cociente de medianas (difiere algo de la mediana del cociente de DC_datos)</t>
        </is>
      </c>
    </row>
    <row r="156">
      <c r="A156" s="6">
        <f>DC_datos!B156</f>
        <v/>
      </c>
      <c r="B156" s="6">
        <f>DC_datos!C156</f>
        <v/>
      </c>
      <c r="C156" s="6">
        <f>DC_datos!D156</f>
        <v/>
      </c>
      <c r="D156" s="6">
        <f>DC_datos!H156</f>
        <v/>
      </c>
      <c r="E156" s="7">
        <f>IF(ISNUMBER(D156),10*D156,"no estimable")</f>
        <v/>
      </c>
      <c r="F156" s="6">
        <f>DC_datos!F156</f>
        <v/>
      </c>
      <c r="G156" s="7">
        <f>IF(ISNUMBER(D156),F156*100/D156,"—")</f>
        <v/>
      </c>
      <c r="H156" t="inlineStr">
        <is>
          <t>cociente de medianas (difiere algo de la mediana del cociente de DC_datos)</t>
        </is>
      </c>
    </row>
    <row r="157">
      <c r="A157" s="6">
        <f>DC_datos!B157</f>
        <v/>
      </c>
      <c r="B157" s="6">
        <f>DC_datos!C157</f>
        <v/>
      </c>
      <c r="C157" s="6">
        <f>DC_datos!D157</f>
        <v/>
      </c>
      <c r="D157" s="6">
        <f>DC_datos!H157</f>
        <v/>
      </c>
      <c r="E157" s="7">
        <f>IF(ISNUMBER(D157),10*D157,"no estimable")</f>
        <v/>
      </c>
      <c r="F157" s="6">
        <f>DC_datos!F157</f>
        <v/>
      </c>
      <c r="G157" s="7">
        <f>IF(ISNUMBER(D157),F157*100/D157,"—")</f>
        <v/>
      </c>
      <c r="H157" t="inlineStr">
        <is>
          <t>cociente de medianas (difiere algo de la mediana del cociente de DC_datos)</t>
        </is>
      </c>
    </row>
    <row r="158">
      <c r="A158" s="6">
        <f>DC_datos!B158</f>
        <v/>
      </c>
      <c r="B158" s="6">
        <f>DC_datos!C158</f>
        <v/>
      </c>
      <c r="C158" s="6">
        <f>DC_datos!D158</f>
        <v/>
      </c>
      <c r="D158" s="6">
        <f>DC_datos!H158</f>
        <v/>
      </c>
      <c r="E158" s="7">
        <f>IF(ISNUMBER(D158),10*D158,"no estimable")</f>
        <v/>
      </c>
      <c r="F158" s="6">
        <f>DC_datos!F158</f>
        <v/>
      </c>
      <c r="G158" s="7">
        <f>IF(ISNUMBER(D158),F158*100/D158,"—")</f>
        <v/>
      </c>
      <c r="H158" t="inlineStr">
        <is>
          <t>cociente de medianas (difiere algo de la mediana del cociente de DC_datos)</t>
        </is>
      </c>
    </row>
    <row r="159">
      <c r="A159" s="6">
        <f>DC_datos!B159</f>
        <v/>
      </c>
      <c r="B159" s="6">
        <f>DC_datos!C159</f>
        <v/>
      </c>
      <c r="C159" s="6">
        <f>DC_datos!D159</f>
        <v/>
      </c>
      <c r="D159" s="6">
        <f>DC_datos!H159</f>
        <v/>
      </c>
      <c r="E159" s="7">
        <f>IF(ISNUMBER(D159),10*D159,"no estimable")</f>
        <v/>
      </c>
      <c r="F159" s="6">
        <f>DC_datos!F159</f>
        <v/>
      </c>
      <c r="G159" s="7">
        <f>IF(ISNUMBER(D159),F159*100/D159,"—")</f>
        <v/>
      </c>
      <c r="H159" t="inlineStr">
        <is>
          <t>cociente de medianas (difiere algo de la mediana del cociente de DC_datos)</t>
        </is>
      </c>
    </row>
    <row r="160">
      <c r="A160" s="6">
        <f>DC_datos!B160</f>
        <v/>
      </c>
      <c r="B160" s="6">
        <f>DC_datos!C160</f>
        <v/>
      </c>
      <c r="C160" s="6">
        <f>DC_datos!D160</f>
        <v/>
      </c>
      <c r="D160" s="6">
        <f>DC_datos!H160</f>
        <v/>
      </c>
      <c r="E160" s="7">
        <f>IF(ISNUMBER(D160),10*D160,"no estimable")</f>
        <v/>
      </c>
      <c r="F160" s="6">
        <f>DC_datos!F160</f>
        <v/>
      </c>
      <c r="G160" s="7">
        <f>IF(ISNUMBER(D160),F160*100/D160,"—")</f>
        <v/>
      </c>
      <c r="H160" t="inlineStr">
        <is>
          <t>cociente de medianas (difiere algo de la mediana del cociente de DC_datos)</t>
        </is>
      </c>
    </row>
    <row r="161">
      <c r="A161" s="6">
        <f>DC_datos!B161</f>
        <v/>
      </c>
      <c r="B161" s="6">
        <f>DC_datos!C161</f>
        <v/>
      </c>
      <c r="C161" s="6">
        <f>DC_datos!D161</f>
        <v/>
      </c>
      <c r="D161" s="6">
        <f>DC_datos!H161</f>
        <v/>
      </c>
      <c r="E161" s="7">
        <f>IF(ISNUMBER(D161),10*D161,"no estimable")</f>
        <v/>
      </c>
      <c r="F161" s="6">
        <f>DC_datos!F161</f>
        <v/>
      </c>
      <c r="G161" s="7">
        <f>IF(ISNUMBER(D161),F161*100/D161,"—")</f>
        <v/>
      </c>
      <c r="H161" t="inlineStr">
        <is>
          <t>cociente de medianas (difiere algo de la mediana del cociente de DC_datos)</t>
        </is>
      </c>
    </row>
    <row r="162">
      <c r="A162" s="6">
        <f>DC_datos!B162</f>
        <v/>
      </c>
      <c r="B162" s="6">
        <f>DC_datos!C162</f>
        <v/>
      </c>
      <c r="C162" s="6">
        <f>DC_datos!D162</f>
        <v/>
      </c>
      <c r="D162" s="6">
        <f>DC_datos!H162</f>
        <v/>
      </c>
      <c r="E162" s="7">
        <f>IF(ISNUMBER(D162),10*D162,"no estimable")</f>
        <v/>
      </c>
      <c r="F162" s="6">
        <f>DC_datos!F162</f>
        <v/>
      </c>
      <c r="G162" s="7">
        <f>IF(ISNUMBER(D162),F162*100/D162,"—")</f>
        <v/>
      </c>
      <c r="H162" t="inlineStr">
        <is>
          <t>cociente de medianas (difiere algo de la mediana del cociente de DC_datos)</t>
        </is>
      </c>
    </row>
    <row r="163">
      <c r="A163" s="6">
        <f>DC_datos!B163</f>
        <v/>
      </c>
      <c r="B163" s="6">
        <f>DC_datos!C163</f>
        <v/>
      </c>
      <c r="C163" s="6">
        <f>DC_datos!D163</f>
        <v/>
      </c>
      <c r="D163" s="6">
        <f>DC_datos!H163</f>
        <v/>
      </c>
      <c r="E163" s="7">
        <f>IF(ISNUMBER(D163),10*D163,"no estimable")</f>
        <v/>
      </c>
      <c r="F163" s="6">
        <f>DC_datos!F163</f>
        <v/>
      </c>
      <c r="G163" s="7">
        <f>IF(ISNUMBER(D163),F163*100/D163,"—")</f>
        <v/>
      </c>
      <c r="H163" t="inlineStr">
        <is>
          <t>cociente de medianas (difiere algo de la mediana del cociente de DC_datos)</t>
        </is>
      </c>
    </row>
    <row r="164">
      <c r="A164" s="6">
        <f>DC_datos!B164</f>
        <v/>
      </c>
      <c r="B164" s="6">
        <f>DC_datos!C164</f>
        <v/>
      </c>
      <c r="C164" s="6">
        <f>DC_datos!D164</f>
        <v/>
      </c>
      <c r="D164" s="6">
        <f>DC_datos!H164</f>
        <v/>
      </c>
      <c r="E164" s="7">
        <f>IF(ISNUMBER(D164),10*D164,"no estimable")</f>
        <v/>
      </c>
      <c r="F164" s="6">
        <f>DC_datos!F164</f>
        <v/>
      </c>
      <c r="G164" s="7">
        <f>IF(ISNUMBER(D164),F164*100/D164,"—")</f>
        <v/>
      </c>
      <c r="H164" t="inlineStr">
        <is>
          <t>cociente de medianas (difiere algo de la mediana del cociente de DC_datos)</t>
        </is>
      </c>
    </row>
    <row r="165">
      <c r="A165" s="6">
        <f>DC_datos!B165</f>
        <v/>
      </c>
      <c r="B165" s="6">
        <f>DC_datos!C165</f>
        <v/>
      </c>
      <c r="C165" s="6">
        <f>DC_datos!D165</f>
        <v/>
      </c>
      <c r="D165" s="6">
        <f>DC_datos!H165</f>
        <v/>
      </c>
      <c r="E165" s="7">
        <f>IF(ISNUMBER(D165),10*D165,"no estimable")</f>
        <v/>
      </c>
      <c r="F165" s="6">
        <f>DC_datos!F165</f>
        <v/>
      </c>
      <c r="G165" s="7">
        <f>IF(ISNUMBER(D165),F165*100/D165,"—")</f>
        <v/>
      </c>
      <c r="H165" t="inlineStr">
        <is>
          <t>cociente de medianas (difiere algo de la mediana del cociente de DC_datos)</t>
        </is>
      </c>
    </row>
    <row r="166">
      <c r="A166" s="6">
        <f>DC_datos!B166</f>
        <v/>
      </c>
      <c r="B166" s="6">
        <f>DC_datos!C166</f>
        <v/>
      </c>
      <c r="C166" s="6">
        <f>DC_datos!D166</f>
        <v/>
      </c>
      <c r="D166" s="6">
        <f>DC_datos!H166</f>
        <v/>
      </c>
      <c r="E166" s="7">
        <f>IF(ISNUMBER(D166),10*D166,"no estimable")</f>
        <v/>
      </c>
      <c r="F166" s="6">
        <f>DC_datos!F166</f>
        <v/>
      </c>
      <c r="G166" s="7">
        <f>IF(ISNUMBER(D166),F166*100/D166,"—")</f>
        <v/>
      </c>
      <c r="H166" t="inlineStr">
        <is>
          <t>cociente de medianas (difiere algo de la mediana del cociente de DC_datos)</t>
        </is>
      </c>
    </row>
    <row r="167">
      <c r="A167" s="6">
        <f>DC_datos!B167</f>
        <v/>
      </c>
      <c r="B167" s="6">
        <f>DC_datos!C167</f>
        <v/>
      </c>
      <c r="C167" s="6">
        <f>DC_datos!D167</f>
        <v/>
      </c>
      <c r="D167" s="6">
        <f>DC_datos!H167</f>
        <v/>
      </c>
      <c r="E167" s="7">
        <f>IF(ISNUMBER(D167),10*D167,"no estimable")</f>
        <v/>
      </c>
      <c r="F167" s="6">
        <f>DC_datos!F167</f>
        <v/>
      </c>
      <c r="G167" s="7">
        <f>IF(ISNUMBER(D167),F167*100/D167,"—")</f>
        <v/>
      </c>
      <c r="H167" t="inlineStr">
        <is>
          <t>cociente de medianas (difiere algo de la mediana del cociente de DC_datos)</t>
        </is>
      </c>
    </row>
    <row r="168">
      <c r="A168" s="6">
        <f>DC_datos!B168</f>
        <v/>
      </c>
      <c r="B168" s="6">
        <f>DC_datos!C168</f>
        <v/>
      </c>
      <c r="C168" s="6">
        <f>DC_datos!D168</f>
        <v/>
      </c>
      <c r="D168" s="6">
        <f>DC_datos!H168</f>
        <v/>
      </c>
      <c r="E168" s="7">
        <f>IF(ISNUMBER(D168),10*D168,"no estimable")</f>
        <v/>
      </c>
      <c r="F168" s="6">
        <f>DC_datos!F168</f>
        <v/>
      </c>
      <c r="G168" s="7">
        <f>IF(ISNUMBER(D168),F168*100/D168,"—")</f>
        <v/>
      </c>
      <c r="H168" t="inlineStr">
        <is>
          <t>cociente de medianas (difiere algo de la mediana del cociente de DC_datos)</t>
        </is>
      </c>
    </row>
    <row r="169">
      <c r="A169" s="6">
        <f>DC_datos!B169</f>
        <v/>
      </c>
      <c r="B169" s="6">
        <f>DC_datos!C169</f>
        <v/>
      </c>
      <c r="C169" s="6">
        <f>DC_datos!D169</f>
        <v/>
      </c>
      <c r="D169" s="6">
        <f>DC_datos!H169</f>
        <v/>
      </c>
      <c r="E169" s="7">
        <f>IF(ISNUMBER(D169),10*D169,"no estimable")</f>
        <v/>
      </c>
      <c r="F169" s="6">
        <f>DC_datos!F169</f>
        <v/>
      </c>
      <c r="G169" s="7">
        <f>IF(ISNUMBER(D169),F169*100/D169,"—")</f>
        <v/>
      </c>
      <c r="H169" t="inlineStr">
        <is>
          <t>cociente de medianas (difiere algo de la mediana del cociente de DC_datos)</t>
        </is>
      </c>
    </row>
    <row r="170">
      <c r="A170" s="6">
        <f>DC_datos!B170</f>
        <v/>
      </c>
      <c r="B170" s="6">
        <f>DC_datos!C170</f>
        <v/>
      </c>
      <c r="C170" s="6">
        <f>DC_datos!D170</f>
        <v/>
      </c>
      <c r="D170" s="6">
        <f>DC_datos!H170</f>
        <v/>
      </c>
      <c r="E170" s="7">
        <f>IF(ISNUMBER(D170),10*D170,"no estimable")</f>
        <v/>
      </c>
      <c r="F170" s="6">
        <f>DC_datos!F170</f>
        <v/>
      </c>
      <c r="G170" s="7">
        <f>IF(ISNUMBER(D170),F170*100/D170,"—")</f>
        <v/>
      </c>
      <c r="H170" t="inlineStr">
        <is>
          <t>cociente de medianas (difiere algo de la mediana del cociente de DC_datos)</t>
        </is>
      </c>
    </row>
    <row r="171">
      <c r="A171" s="6">
        <f>DC_datos!B171</f>
        <v/>
      </c>
      <c r="B171" s="6">
        <f>DC_datos!C171</f>
        <v/>
      </c>
      <c r="C171" s="6">
        <f>DC_datos!D171</f>
        <v/>
      </c>
      <c r="D171" s="6">
        <f>DC_datos!H171</f>
        <v/>
      </c>
      <c r="E171" s="7">
        <f>IF(ISNUMBER(D171),10*D171,"no estimable")</f>
        <v/>
      </c>
      <c r="F171" s="6">
        <f>DC_datos!F171</f>
        <v/>
      </c>
      <c r="G171" s="7">
        <f>IF(ISNUMBER(D171),F171*100/D171,"—")</f>
        <v/>
      </c>
      <c r="H171" t="inlineStr">
        <is>
          <t>cociente de medianas (difiere algo de la mediana del cociente de DC_datos)</t>
        </is>
      </c>
    </row>
    <row r="172">
      <c r="A172" s="6">
        <f>DC_datos!B172</f>
        <v/>
      </c>
      <c r="B172" s="6">
        <f>DC_datos!C172</f>
        <v/>
      </c>
      <c r="C172" s="6">
        <f>DC_datos!D172</f>
        <v/>
      </c>
      <c r="D172" s="6">
        <f>DC_datos!H172</f>
        <v/>
      </c>
      <c r="E172" s="7">
        <f>IF(ISNUMBER(D172),10*D172,"no estimable")</f>
        <v/>
      </c>
      <c r="F172" s="6">
        <f>DC_datos!F172</f>
        <v/>
      </c>
      <c r="G172" s="7">
        <f>IF(ISNUMBER(D172),F172*100/D172,"—")</f>
        <v/>
      </c>
      <c r="H172" t="inlineStr">
        <is>
          <t>cociente de medianas (difiere algo de la mediana del cociente de DC_datos)</t>
        </is>
      </c>
    </row>
    <row r="173">
      <c r="A173" s="6">
        <f>DC_datos!B173</f>
        <v/>
      </c>
      <c r="B173" s="6">
        <f>DC_datos!C173</f>
        <v/>
      </c>
      <c r="C173" s="6">
        <f>DC_datos!D173</f>
        <v/>
      </c>
      <c r="D173" s="6">
        <f>DC_datos!H173</f>
        <v/>
      </c>
      <c r="E173" s="7">
        <f>IF(ISNUMBER(D173),10*D173,"no estimable")</f>
        <v/>
      </c>
      <c r="F173" s="6">
        <f>DC_datos!F173</f>
        <v/>
      </c>
      <c r="G173" s="7">
        <f>IF(ISNUMBER(D173),F173*100/D173,"—")</f>
        <v/>
      </c>
      <c r="H173" t="inlineStr">
        <is>
          <t>cociente de medianas (difiere algo de la mediana del cociente de DC_datos)</t>
        </is>
      </c>
    </row>
    <row r="174">
      <c r="A174" s="6">
        <f>DC_datos!B174</f>
        <v/>
      </c>
      <c r="B174" s="6">
        <f>DC_datos!C174</f>
        <v/>
      </c>
      <c r="C174" s="6">
        <f>DC_datos!D174</f>
        <v/>
      </c>
      <c r="D174" s="6">
        <f>DC_datos!H174</f>
        <v/>
      </c>
      <c r="E174" s="7">
        <f>IF(ISNUMBER(D174),10*D174,"no estimable")</f>
        <v/>
      </c>
      <c r="F174" s="6">
        <f>DC_datos!F174</f>
        <v/>
      </c>
      <c r="G174" s="7">
        <f>IF(ISNUMBER(D174),F174*100/D174,"—")</f>
        <v/>
      </c>
      <c r="H174" t="inlineStr">
        <is>
          <t>cociente de medianas (difiere algo de la mediana del cociente de DC_datos)</t>
        </is>
      </c>
    </row>
    <row r="175">
      <c r="A175" s="6">
        <f>DC_datos!B175</f>
        <v/>
      </c>
      <c r="B175" s="6">
        <f>DC_datos!C175</f>
        <v/>
      </c>
      <c r="C175" s="6">
        <f>DC_datos!D175</f>
        <v/>
      </c>
      <c r="D175" s="6">
        <f>DC_datos!H175</f>
        <v/>
      </c>
      <c r="E175" s="7">
        <f>IF(ISNUMBER(D175),10*D175,"no estimable")</f>
        <v/>
      </c>
      <c r="F175" s="6">
        <f>DC_datos!F175</f>
        <v/>
      </c>
      <c r="G175" s="7">
        <f>IF(ISNUMBER(D175),F175*100/D175,"—")</f>
        <v/>
      </c>
      <c r="H175" t="inlineStr">
        <is>
          <t>cociente de medianas (difiere algo de la mediana del cociente de DC_datos)</t>
        </is>
      </c>
    </row>
    <row r="176">
      <c r="A176" s="6">
        <f>DC_datos!B176</f>
        <v/>
      </c>
      <c r="B176" s="6">
        <f>DC_datos!C176</f>
        <v/>
      </c>
      <c r="C176" s="6">
        <f>DC_datos!D176</f>
        <v/>
      </c>
      <c r="D176" s="6">
        <f>DC_datos!H176</f>
        <v/>
      </c>
      <c r="E176" s="7">
        <f>IF(ISNUMBER(D176),10*D176,"no estimable")</f>
        <v/>
      </c>
      <c r="F176" s="6">
        <f>DC_datos!F176</f>
        <v/>
      </c>
      <c r="G176" s="7">
        <f>IF(ISNUMBER(D176),F176*100/D176,"—")</f>
        <v/>
      </c>
      <c r="H176" t="inlineStr">
        <is>
          <t>cociente de medianas (difiere algo de la mediana del cociente de DC_datos)</t>
        </is>
      </c>
    </row>
    <row r="177">
      <c r="A177" s="6">
        <f>DC_datos!B177</f>
        <v/>
      </c>
      <c r="B177" s="6">
        <f>DC_datos!C177</f>
        <v/>
      </c>
      <c r="C177" s="6">
        <f>DC_datos!D177</f>
        <v/>
      </c>
      <c r="D177" s="6">
        <f>DC_datos!H177</f>
        <v/>
      </c>
      <c r="E177" s="7">
        <f>IF(ISNUMBER(D177),10*D177,"no estimable")</f>
        <v/>
      </c>
      <c r="F177" s="6">
        <f>DC_datos!F177</f>
        <v/>
      </c>
      <c r="G177" s="7">
        <f>IF(ISNUMBER(D177),F177*100/D177,"—")</f>
        <v/>
      </c>
      <c r="H177" t="inlineStr">
        <is>
          <t>cociente de medianas (difiere algo de la mediana del cociente de DC_datos)</t>
        </is>
      </c>
    </row>
    <row r="178">
      <c r="A178" s="6">
        <f>DC_datos!B178</f>
        <v/>
      </c>
      <c r="B178" s="6">
        <f>DC_datos!C178</f>
        <v/>
      </c>
      <c r="C178" s="6">
        <f>DC_datos!D178</f>
        <v/>
      </c>
      <c r="D178" s="6">
        <f>DC_datos!H178</f>
        <v/>
      </c>
      <c r="E178" s="7">
        <f>IF(ISNUMBER(D178),10*D178,"no estimable")</f>
        <v/>
      </c>
      <c r="F178" s="6">
        <f>DC_datos!F178</f>
        <v/>
      </c>
      <c r="G178" s="7">
        <f>IF(ISNUMBER(D178),F178*100/D178,"—")</f>
        <v/>
      </c>
      <c r="H178" t="inlineStr">
        <is>
          <t>cociente de medianas (difiere algo de la mediana del cociente de DC_datos)</t>
        </is>
      </c>
    </row>
    <row r="179">
      <c r="A179" s="6">
        <f>DC_datos!B179</f>
        <v/>
      </c>
      <c r="B179" s="6">
        <f>DC_datos!C179</f>
        <v/>
      </c>
      <c r="C179" s="6">
        <f>DC_datos!D179</f>
        <v/>
      </c>
      <c r="D179" s="6">
        <f>DC_datos!H179</f>
        <v/>
      </c>
      <c r="E179" s="7">
        <f>IF(ISNUMBER(D179),10*D179,"no estimable")</f>
        <v/>
      </c>
      <c r="F179" s="6">
        <f>DC_datos!F179</f>
        <v/>
      </c>
      <c r="G179" s="7">
        <f>IF(ISNUMBER(D179),F179*100/D179,"—")</f>
        <v/>
      </c>
      <c r="H179" t="inlineStr">
        <is>
          <t>cociente de medianas (difiere algo de la mediana del cociente de DC_datos)</t>
        </is>
      </c>
    </row>
    <row r="180">
      <c r="A180" s="6">
        <f>DC_datos!B180</f>
        <v/>
      </c>
      <c r="B180" s="6">
        <f>DC_datos!C180</f>
        <v/>
      </c>
      <c r="C180" s="6">
        <f>DC_datos!D180</f>
        <v/>
      </c>
      <c r="D180" s="6">
        <f>DC_datos!H180</f>
        <v/>
      </c>
      <c r="E180" s="7">
        <f>IF(ISNUMBER(D180),10*D180,"no estimable")</f>
        <v/>
      </c>
      <c r="F180" s="6">
        <f>DC_datos!F180</f>
        <v/>
      </c>
      <c r="G180" s="7">
        <f>IF(ISNUMBER(D180),F180*100/D180,"—")</f>
        <v/>
      </c>
      <c r="H180" t="inlineStr">
        <is>
          <t>cociente de medianas (difiere algo de la mediana del cociente de DC_datos)</t>
        </is>
      </c>
    </row>
    <row r="181">
      <c r="A181" s="6">
        <f>DC_datos!B181</f>
        <v/>
      </c>
      <c r="B181" s="6">
        <f>DC_datos!C181</f>
        <v/>
      </c>
      <c r="C181" s="6">
        <f>DC_datos!D181</f>
        <v/>
      </c>
      <c r="D181" s="6">
        <f>DC_datos!H181</f>
        <v/>
      </c>
      <c r="E181" s="7">
        <f>IF(ISNUMBER(D181),10*D181,"no estimable")</f>
        <v/>
      </c>
      <c r="F181" s="6">
        <f>DC_datos!F181</f>
        <v/>
      </c>
      <c r="G181" s="7">
        <f>IF(ISNUMBER(D181),F181*100/D181,"—")</f>
        <v/>
      </c>
      <c r="H181" t="inlineStr">
        <is>
          <t>cociente de medianas (difiere algo de la mediana del cociente de DC_datos)</t>
        </is>
      </c>
    </row>
    <row r="182">
      <c r="A182" s="6">
        <f>DC_datos!B182</f>
        <v/>
      </c>
      <c r="B182" s="6">
        <f>DC_datos!C182</f>
        <v/>
      </c>
      <c r="C182" s="6">
        <f>DC_datos!D182</f>
        <v/>
      </c>
      <c r="D182" s="6">
        <f>DC_datos!H182</f>
        <v/>
      </c>
      <c r="E182" s="7">
        <f>IF(ISNUMBER(D182),10*D182,"no estimable")</f>
        <v/>
      </c>
      <c r="F182" s="6">
        <f>DC_datos!F182</f>
        <v/>
      </c>
      <c r="G182" s="7">
        <f>IF(ISNUMBER(D182),F182*100/D182,"—")</f>
        <v/>
      </c>
      <c r="H182" t="inlineStr">
        <is>
          <t>cociente de medianas (difiere algo de la mediana del cociente de DC_datos)</t>
        </is>
      </c>
    </row>
    <row r="183">
      <c r="A183" s="6">
        <f>DC_datos!B183</f>
        <v/>
      </c>
      <c r="B183" s="6">
        <f>DC_datos!C183</f>
        <v/>
      </c>
      <c r="C183" s="6">
        <f>DC_datos!D183</f>
        <v/>
      </c>
      <c r="D183" s="6">
        <f>DC_datos!H183</f>
        <v/>
      </c>
      <c r="E183" s="7">
        <f>IF(ISNUMBER(D183),10*D183,"no estimable")</f>
        <v/>
      </c>
      <c r="F183" s="6">
        <f>DC_datos!F183</f>
        <v/>
      </c>
      <c r="G183" s="7">
        <f>IF(ISNUMBER(D183),F183*100/D183,"—")</f>
        <v/>
      </c>
      <c r="H183" t="inlineStr">
        <is>
          <t>cociente de medianas (difiere algo de la mediana del cociente de DC_datos)</t>
        </is>
      </c>
    </row>
    <row r="184">
      <c r="A184" s="6">
        <f>DC_datos!B184</f>
        <v/>
      </c>
      <c r="B184" s="6">
        <f>DC_datos!C184</f>
        <v/>
      </c>
      <c r="C184" s="6">
        <f>DC_datos!D184</f>
        <v/>
      </c>
      <c r="D184" s="6">
        <f>DC_datos!H184</f>
        <v/>
      </c>
      <c r="E184" s="7">
        <f>IF(ISNUMBER(D184),10*D184,"no estimable")</f>
        <v/>
      </c>
      <c r="F184" s="6">
        <f>DC_datos!F184</f>
        <v/>
      </c>
      <c r="G184" s="7">
        <f>IF(ISNUMBER(D184),F184*100/D184,"—")</f>
        <v/>
      </c>
      <c r="H184" t="inlineStr">
        <is>
          <t>cociente de medianas (difiere algo de la mediana del cociente de DC_datos)</t>
        </is>
      </c>
    </row>
    <row r="185">
      <c r="A185" s="6">
        <f>DC_datos!B185</f>
        <v/>
      </c>
      <c r="B185" s="6">
        <f>DC_datos!C185</f>
        <v/>
      </c>
      <c r="C185" s="6">
        <f>DC_datos!D185</f>
        <v/>
      </c>
      <c r="D185" s="6">
        <f>DC_datos!H185</f>
        <v/>
      </c>
      <c r="E185" s="7">
        <f>IF(ISNUMBER(D185),10*D185,"no estimable")</f>
        <v/>
      </c>
      <c r="F185" s="6">
        <f>DC_datos!F185</f>
        <v/>
      </c>
      <c r="G185" s="7">
        <f>IF(ISNUMBER(D185),F185*100/D185,"—")</f>
        <v/>
      </c>
      <c r="H185" t="inlineStr">
        <is>
          <t>cociente de medianas (difiere algo de la mediana del cociente de DC_datos)</t>
        </is>
      </c>
    </row>
    <row r="186">
      <c r="A186" s="6">
        <f>DC_datos!B186</f>
        <v/>
      </c>
      <c r="B186" s="6">
        <f>DC_datos!C186</f>
        <v/>
      </c>
      <c r="C186" s="6">
        <f>DC_datos!D186</f>
        <v/>
      </c>
      <c r="D186" s="6">
        <f>DC_datos!H186</f>
        <v/>
      </c>
      <c r="E186" s="7">
        <f>IF(ISNUMBER(D186),10*D186,"no estimable")</f>
        <v/>
      </c>
      <c r="F186" s="6">
        <f>DC_datos!F186</f>
        <v/>
      </c>
      <c r="G186" s="7">
        <f>IF(ISNUMBER(D186),F186*100/D186,"—")</f>
        <v/>
      </c>
      <c r="H186" t="inlineStr">
        <is>
          <t>cociente de medianas (difiere algo de la mediana del cociente de DC_datos)</t>
        </is>
      </c>
    </row>
    <row r="187">
      <c r="A187" s="6">
        <f>DC_datos!B187</f>
        <v/>
      </c>
      <c r="B187" s="6">
        <f>DC_datos!C187</f>
        <v/>
      </c>
      <c r="C187" s="6">
        <f>DC_datos!D187</f>
        <v/>
      </c>
      <c r="D187" s="6">
        <f>DC_datos!H187</f>
        <v/>
      </c>
      <c r="E187" s="7">
        <f>IF(ISNUMBER(D187),10*D187,"no estimable")</f>
        <v/>
      </c>
      <c r="F187" s="6">
        <f>DC_datos!F187</f>
        <v/>
      </c>
      <c r="G187" s="7">
        <f>IF(ISNUMBER(D187),F187*100/D187,"—")</f>
        <v/>
      </c>
      <c r="H187" t="inlineStr">
        <is>
          <t>cociente de medianas (difiere algo de la mediana del cociente de DC_datos)</t>
        </is>
      </c>
    </row>
    <row r="188">
      <c r="A188" s="6">
        <f>DC_datos!B188</f>
        <v/>
      </c>
      <c r="B188" s="6">
        <f>DC_datos!C188</f>
        <v/>
      </c>
      <c r="C188" s="6">
        <f>DC_datos!D188</f>
        <v/>
      </c>
      <c r="D188" s="6">
        <f>DC_datos!H188</f>
        <v/>
      </c>
      <c r="E188" s="7">
        <f>IF(ISNUMBER(D188),10*D188,"no estimable")</f>
        <v/>
      </c>
      <c r="F188" s="6">
        <f>DC_datos!F188</f>
        <v/>
      </c>
      <c r="G188" s="7">
        <f>IF(ISNUMBER(D188),F188*100/D188,"—")</f>
        <v/>
      </c>
      <c r="H188" t="inlineStr">
        <is>
          <t>cociente de medianas (difiere algo de la mediana del cociente de DC_datos)</t>
        </is>
      </c>
    </row>
    <row r="189">
      <c r="A189" s="6">
        <f>DC_datos!B189</f>
        <v/>
      </c>
      <c r="B189" s="6">
        <f>DC_datos!C189</f>
        <v/>
      </c>
      <c r="C189" s="6">
        <f>DC_datos!D189</f>
        <v/>
      </c>
      <c r="D189" s="6">
        <f>DC_datos!H189</f>
        <v/>
      </c>
      <c r="E189" s="7">
        <f>IF(ISNUMBER(D189),10*D189,"no estimable")</f>
        <v/>
      </c>
      <c r="F189" s="6">
        <f>DC_datos!F189</f>
        <v/>
      </c>
      <c r="G189" s="7">
        <f>IF(ISNUMBER(D189),F189*100/D189,"—")</f>
        <v/>
      </c>
      <c r="H189" t="inlineStr">
        <is>
          <t>cociente de medianas (difiere algo de la mediana del cociente de DC_datos)</t>
        </is>
      </c>
    </row>
    <row r="190">
      <c r="A190" s="6">
        <f>DC_datos!B190</f>
        <v/>
      </c>
      <c r="B190" s="6">
        <f>DC_datos!C190</f>
        <v/>
      </c>
      <c r="C190" s="6">
        <f>DC_datos!D190</f>
        <v/>
      </c>
      <c r="D190" s="6">
        <f>DC_datos!H190</f>
        <v/>
      </c>
      <c r="E190" s="7">
        <f>IF(ISNUMBER(D190),10*D190,"no estimable")</f>
        <v/>
      </c>
      <c r="F190" s="6">
        <f>DC_datos!F190</f>
        <v/>
      </c>
      <c r="G190" s="7">
        <f>IF(ISNUMBER(D190),F190*100/D190,"—")</f>
        <v/>
      </c>
      <c r="H190" t="inlineStr">
        <is>
          <t>cociente de medianas (difiere algo de la mediana del cociente de DC_datos)</t>
        </is>
      </c>
    </row>
    <row r="191">
      <c r="A191" s="6">
        <f>DC_datos!B191</f>
        <v/>
      </c>
      <c r="B191" s="6">
        <f>DC_datos!C191</f>
        <v/>
      </c>
      <c r="C191" s="6">
        <f>DC_datos!D191</f>
        <v/>
      </c>
      <c r="D191" s="6">
        <f>DC_datos!H191</f>
        <v/>
      </c>
      <c r="E191" s="7">
        <f>IF(ISNUMBER(D191),10*D191,"no estimable")</f>
        <v/>
      </c>
      <c r="F191" s="6">
        <f>DC_datos!F191</f>
        <v/>
      </c>
      <c r="G191" s="7">
        <f>IF(ISNUMBER(D191),F191*100/D191,"—")</f>
        <v/>
      </c>
      <c r="H191" t="inlineStr">
        <is>
          <t>cociente de medianas (difiere algo de la mediana del cociente de DC_datos)</t>
        </is>
      </c>
    </row>
    <row r="192">
      <c r="A192" s="6">
        <f>DC_datos!B192</f>
        <v/>
      </c>
      <c r="B192" s="6">
        <f>DC_datos!C192</f>
        <v/>
      </c>
      <c r="C192" s="6">
        <f>DC_datos!D192</f>
        <v/>
      </c>
      <c r="D192" s="6">
        <f>DC_datos!H192</f>
        <v/>
      </c>
      <c r="E192" s="7">
        <f>IF(ISNUMBER(D192),10*D192,"no estimable")</f>
        <v/>
      </c>
      <c r="F192" s="6">
        <f>DC_datos!F192</f>
        <v/>
      </c>
      <c r="G192" s="7">
        <f>IF(ISNUMBER(D192),F192*100/D192,"—")</f>
        <v/>
      </c>
      <c r="H192" t="inlineStr">
        <is>
          <t>cociente de medianas (difiere algo de la mediana del cociente de DC_datos)</t>
        </is>
      </c>
    </row>
    <row r="193">
      <c r="A193" s="6">
        <f>DC_datos!B193</f>
        <v/>
      </c>
      <c r="B193" s="6">
        <f>DC_datos!C193</f>
        <v/>
      </c>
      <c r="C193" s="6">
        <f>DC_datos!D193</f>
        <v/>
      </c>
      <c r="D193" s="6">
        <f>DC_datos!H193</f>
        <v/>
      </c>
      <c r="E193" s="7">
        <f>IF(ISNUMBER(D193),10*D193,"no estimable")</f>
        <v/>
      </c>
      <c r="F193" s="6">
        <f>DC_datos!F193</f>
        <v/>
      </c>
      <c r="G193" s="7">
        <f>IF(ISNUMBER(D193),F193*100/D193,"—")</f>
        <v/>
      </c>
      <c r="H193" t="inlineStr">
        <is>
          <t>cociente de medianas (difiere algo de la mediana del cociente de DC_datos)</t>
        </is>
      </c>
    </row>
    <row r="194">
      <c r="A194" s="6">
        <f>DC_datos!B194</f>
        <v/>
      </c>
      <c r="B194" s="6">
        <f>DC_datos!C194</f>
        <v/>
      </c>
      <c r="C194" s="6">
        <f>DC_datos!D194</f>
        <v/>
      </c>
      <c r="D194" s="6">
        <f>DC_datos!H194</f>
        <v/>
      </c>
      <c r="E194" s="7">
        <f>IF(ISNUMBER(D194),10*D194,"no estimable")</f>
        <v/>
      </c>
      <c r="F194" s="6">
        <f>DC_datos!F194</f>
        <v/>
      </c>
      <c r="G194" s="7">
        <f>IF(ISNUMBER(D194),F194*100/D194,"—")</f>
        <v/>
      </c>
      <c r="H194" t="inlineStr">
        <is>
          <t>cociente de medianas (difiere algo de la mediana del cociente de DC_datos)</t>
        </is>
      </c>
    </row>
    <row r="195">
      <c r="A195" s="6">
        <f>DC_datos!B195</f>
        <v/>
      </c>
      <c r="B195" s="6">
        <f>DC_datos!C195</f>
        <v/>
      </c>
      <c r="C195" s="6">
        <f>DC_datos!D195</f>
        <v/>
      </c>
      <c r="D195" s="6">
        <f>DC_datos!H195</f>
        <v/>
      </c>
      <c r="E195" s="7">
        <f>IF(ISNUMBER(D195),10*D195,"no estimable")</f>
        <v/>
      </c>
      <c r="F195" s="6">
        <f>DC_datos!F195</f>
        <v/>
      </c>
      <c r="G195" s="7">
        <f>IF(ISNUMBER(D195),F195*100/D195,"—")</f>
        <v/>
      </c>
      <c r="H195" t="inlineStr">
        <is>
          <t>cociente de medianas (difiere algo de la mediana del cociente de DC_datos)</t>
        </is>
      </c>
    </row>
    <row r="196">
      <c r="A196" s="6">
        <f>DC_datos!B196</f>
        <v/>
      </c>
      <c r="B196" s="6">
        <f>DC_datos!C196</f>
        <v/>
      </c>
      <c r="C196" s="6">
        <f>DC_datos!D196</f>
        <v/>
      </c>
      <c r="D196" s="6">
        <f>DC_datos!H196</f>
        <v/>
      </c>
      <c r="E196" s="7">
        <f>IF(ISNUMBER(D196),10*D196,"no estimable")</f>
        <v/>
      </c>
      <c r="F196" s="6">
        <f>DC_datos!F196</f>
        <v/>
      </c>
      <c r="G196" s="7">
        <f>IF(ISNUMBER(D196),F196*100/D196,"—")</f>
        <v/>
      </c>
      <c r="H196" t="inlineStr">
        <is>
          <t>cociente de medianas (difiere algo de la mediana del cociente de DC_datos)</t>
        </is>
      </c>
    </row>
    <row r="197">
      <c r="A197" s="6">
        <f>DC_datos!B197</f>
        <v/>
      </c>
      <c r="B197" s="6">
        <f>DC_datos!C197</f>
        <v/>
      </c>
      <c r="C197" s="6">
        <f>DC_datos!D197</f>
        <v/>
      </c>
      <c r="D197" s="6">
        <f>DC_datos!H197</f>
        <v/>
      </c>
      <c r="E197" s="7">
        <f>IF(ISNUMBER(D197),10*D197,"no estimable")</f>
        <v/>
      </c>
      <c r="F197" s="6">
        <f>DC_datos!F197</f>
        <v/>
      </c>
      <c r="G197" s="7">
        <f>IF(ISNUMBER(D197),F197*100/D197,"—")</f>
        <v/>
      </c>
      <c r="H197" t="inlineStr">
        <is>
          <t>cociente de medianas (difiere algo de la mediana del cociente de DC_datos)</t>
        </is>
      </c>
    </row>
    <row r="198">
      <c r="A198" s="6">
        <f>DC_datos!B198</f>
        <v/>
      </c>
      <c r="B198" s="6">
        <f>DC_datos!C198</f>
        <v/>
      </c>
      <c r="C198" s="6">
        <f>DC_datos!D198</f>
        <v/>
      </c>
      <c r="D198" s="6">
        <f>DC_datos!H198</f>
        <v/>
      </c>
      <c r="E198" s="7">
        <f>IF(ISNUMBER(D198),10*D198,"no estimable")</f>
        <v/>
      </c>
      <c r="F198" s="6">
        <f>DC_datos!F198</f>
        <v/>
      </c>
      <c r="G198" s="7">
        <f>IF(ISNUMBER(D198),F198*100/D198,"—")</f>
        <v/>
      </c>
      <c r="H198" t="inlineStr">
        <is>
          <t>cociente de medianas (difiere algo de la mediana del cociente de DC_datos)</t>
        </is>
      </c>
    </row>
    <row r="199">
      <c r="A199" s="6">
        <f>DC_datos!B199</f>
        <v/>
      </c>
      <c r="B199" s="6">
        <f>DC_datos!C199</f>
        <v/>
      </c>
      <c r="C199" s="6">
        <f>DC_datos!D199</f>
        <v/>
      </c>
      <c r="D199" s="6">
        <f>DC_datos!H199</f>
        <v/>
      </c>
      <c r="E199" s="7">
        <f>IF(ISNUMBER(D199),10*D199,"no estimable")</f>
        <v/>
      </c>
      <c r="F199" s="6">
        <f>DC_datos!F199</f>
        <v/>
      </c>
      <c r="G199" s="7">
        <f>IF(ISNUMBER(D199),F199*100/D199,"—")</f>
        <v/>
      </c>
      <c r="H199" t="inlineStr">
        <is>
          <t>cociente de medianas (difiere algo de la mediana del cociente de DC_datos)</t>
        </is>
      </c>
    </row>
    <row r="200">
      <c r="A200" s="6">
        <f>DC_datos!B200</f>
        <v/>
      </c>
      <c r="B200" s="6">
        <f>DC_datos!C200</f>
        <v/>
      </c>
      <c r="C200" s="6">
        <f>DC_datos!D200</f>
        <v/>
      </c>
      <c r="D200" s="6">
        <f>DC_datos!H200</f>
        <v/>
      </c>
      <c r="E200" s="7">
        <f>IF(ISNUMBER(D200),10*D200,"no estimable")</f>
        <v/>
      </c>
      <c r="F200" s="6">
        <f>DC_datos!F200</f>
        <v/>
      </c>
      <c r="G200" s="7">
        <f>IF(ISNUMBER(D200),F200*100/D200,"—")</f>
        <v/>
      </c>
      <c r="H200" t="inlineStr">
        <is>
          <t>cociente de medianas (difiere algo de la mediana del cociente de DC_datos)</t>
        </is>
      </c>
    </row>
    <row r="201">
      <c r="A201" s="6">
        <f>DC_datos!B201</f>
        <v/>
      </c>
      <c r="B201" s="6">
        <f>DC_datos!C201</f>
        <v/>
      </c>
      <c r="C201" s="6">
        <f>DC_datos!D201</f>
        <v/>
      </c>
      <c r="D201" s="6">
        <f>DC_datos!H201</f>
        <v/>
      </c>
      <c r="E201" s="7">
        <f>IF(ISNUMBER(D201),10*D201,"no estimable")</f>
        <v/>
      </c>
      <c r="F201" s="6">
        <f>DC_datos!F201</f>
        <v/>
      </c>
      <c r="G201" s="7">
        <f>IF(ISNUMBER(D201),F201*100/D201,"—")</f>
        <v/>
      </c>
      <c r="H201" t="inlineStr">
        <is>
          <t>cociente de medianas (difiere algo de la mediana del cociente de DC_datos)</t>
        </is>
      </c>
    </row>
    <row r="202">
      <c r="A202" s="6">
        <f>DC_datos!B202</f>
        <v/>
      </c>
      <c r="B202" s="6">
        <f>DC_datos!C202</f>
        <v/>
      </c>
      <c r="C202" s="6">
        <f>DC_datos!D202</f>
        <v/>
      </c>
      <c r="D202" s="6">
        <f>DC_datos!H202</f>
        <v/>
      </c>
      <c r="E202" s="7">
        <f>IF(ISNUMBER(D202),10*D202,"no estimable")</f>
        <v/>
      </c>
      <c r="F202" s="6">
        <f>DC_datos!F202</f>
        <v/>
      </c>
      <c r="G202" s="7">
        <f>IF(ISNUMBER(D202),F202*100/D202,"—")</f>
        <v/>
      </c>
      <c r="H202" t="inlineStr">
        <is>
          <t>cociente de medianas (difiere algo de la mediana del cociente de DC_datos)</t>
        </is>
      </c>
    </row>
    <row r="203">
      <c r="A203" s="6">
        <f>DC_datos!B203</f>
        <v/>
      </c>
      <c r="B203" s="6">
        <f>DC_datos!C203</f>
        <v/>
      </c>
      <c r="C203" s="6">
        <f>DC_datos!D203</f>
        <v/>
      </c>
      <c r="D203" s="6">
        <f>DC_datos!H203</f>
        <v/>
      </c>
      <c r="E203" s="7">
        <f>IF(ISNUMBER(D203),10*D203,"no estimable")</f>
        <v/>
      </c>
      <c r="F203" s="6">
        <f>DC_datos!F203</f>
        <v/>
      </c>
      <c r="G203" s="7">
        <f>IF(ISNUMBER(D203),F203*100/D203,"—")</f>
        <v/>
      </c>
      <c r="H203" t="inlineStr">
        <is>
          <t>cociente de medianas (difiere algo de la mediana del cociente de DC_datos)</t>
        </is>
      </c>
    </row>
    <row r="204">
      <c r="A204" s="6">
        <f>DC_datos!B204</f>
        <v/>
      </c>
      <c r="B204" s="6">
        <f>DC_datos!C204</f>
        <v/>
      </c>
      <c r="C204" s="6">
        <f>DC_datos!D204</f>
        <v/>
      </c>
      <c r="D204" s="6">
        <f>DC_datos!H204</f>
        <v/>
      </c>
      <c r="E204" s="7">
        <f>IF(ISNUMBER(D204),10*D204,"no estimable")</f>
        <v/>
      </c>
      <c r="F204" s="6">
        <f>DC_datos!F204</f>
        <v/>
      </c>
      <c r="G204" s="7">
        <f>IF(ISNUMBER(D204),F204*100/D204,"—")</f>
        <v/>
      </c>
      <c r="H204" t="inlineStr">
        <is>
          <t>cociente de medianas (difiere algo de la mediana del cociente de DC_datos)</t>
        </is>
      </c>
    </row>
    <row r="205">
      <c r="A205" s="6">
        <f>DC_datos!B205</f>
        <v/>
      </c>
      <c r="B205" s="6">
        <f>DC_datos!C205</f>
        <v/>
      </c>
      <c r="C205" s="6">
        <f>DC_datos!D205</f>
        <v/>
      </c>
      <c r="D205" s="6">
        <f>DC_datos!H205</f>
        <v/>
      </c>
      <c r="E205" s="7">
        <f>IF(ISNUMBER(D205),10*D205,"no estimable")</f>
        <v/>
      </c>
      <c r="F205" s="6">
        <f>DC_datos!F205</f>
        <v/>
      </c>
      <c r="G205" s="7">
        <f>IF(ISNUMBER(D205),F205*100/D205,"—")</f>
        <v/>
      </c>
      <c r="H205" t="inlineStr">
        <is>
          <t>cociente de medianas (difiere algo de la mediana del cociente de DC_datos)</t>
        </is>
      </c>
    </row>
    <row r="206">
      <c r="A206" s="6">
        <f>DC_datos!B206</f>
        <v/>
      </c>
      <c r="B206" s="6">
        <f>DC_datos!C206</f>
        <v/>
      </c>
      <c r="C206" s="6">
        <f>DC_datos!D206</f>
        <v/>
      </c>
      <c r="D206" s="6">
        <f>DC_datos!H206</f>
        <v/>
      </c>
      <c r="E206" s="7">
        <f>IF(ISNUMBER(D206),10*D206,"no estimable")</f>
        <v/>
      </c>
      <c r="F206" s="6">
        <f>DC_datos!F206</f>
        <v/>
      </c>
      <c r="G206" s="7">
        <f>IF(ISNUMBER(D206),F206*100/D206,"—")</f>
        <v/>
      </c>
      <c r="H206" t="inlineStr">
        <is>
          <t>cociente de medianas (difiere algo de la mediana del cociente de DC_datos)</t>
        </is>
      </c>
    </row>
    <row r="207">
      <c r="A207" s="6">
        <f>DC_datos!B207</f>
        <v/>
      </c>
      <c r="B207" s="6">
        <f>DC_datos!C207</f>
        <v/>
      </c>
      <c r="C207" s="6">
        <f>DC_datos!D207</f>
        <v/>
      </c>
      <c r="D207" s="6">
        <f>DC_datos!H207</f>
        <v/>
      </c>
      <c r="E207" s="7">
        <f>IF(ISNUMBER(D207),10*D207,"no estimable")</f>
        <v/>
      </c>
      <c r="F207" s="6">
        <f>DC_datos!F207</f>
        <v/>
      </c>
      <c r="G207" s="7">
        <f>IF(ISNUMBER(D207),F207*100/D207,"—")</f>
        <v/>
      </c>
      <c r="H207" t="inlineStr">
        <is>
          <t>cociente de medianas (difiere algo de la mediana del cociente de DC_datos)</t>
        </is>
      </c>
    </row>
    <row r="208">
      <c r="A208" s="6">
        <f>DC_datos!B208</f>
        <v/>
      </c>
      <c r="B208" s="6">
        <f>DC_datos!C208</f>
        <v/>
      </c>
      <c r="C208" s="6">
        <f>DC_datos!D208</f>
        <v/>
      </c>
      <c r="D208" s="6">
        <f>DC_datos!H208</f>
        <v/>
      </c>
      <c r="E208" s="7">
        <f>IF(ISNUMBER(D208),10*D208,"no estimable")</f>
        <v/>
      </c>
      <c r="F208" s="6">
        <f>DC_datos!F208</f>
        <v/>
      </c>
      <c r="G208" s="7">
        <f>IF(ISNUMBER(D208),F208*100/D208,"—")</f>
        <v/>
      </c>
      <c r="H208" t="inlineStr">
        <is>
          <t>cociente de medianas (difiere algo de la mediana del cociente de DC_datos)</t>
        </is>
      </c>
    </row>
    <row r="209">
      <c r="A209" s="6">
        <f>DC_datos!B209</f>
        <v/>
      </c>
      <c r="B209" s="6">
        <f>DC_datos!C209</f>
        <v/>
      </c>
      <c r="C209" s="6">
        <f>DC_datos!D209</f>
        <v/>
      </c>
      <c r="D209" s="6">
        <f>DC_datos!H209</f>
        <v/>
      </c>
      <c r="E209" s="7">
        <f>IF(ISNUMBER(D209),10*D209,"no estimable")</f>
        <v/>
      </c>
      <c r="F209" s="6">
        <f>DC_datos!F209</f>
        <v/>
      </c>
      <c r="G209" s="7">
        <f>IF(ISNUMBER(D209),F209*100/D209,"—")</f>
        <v/>
      </c>
      <c r="H209" t="inlineStr">
        <is>
          <t>cociente de medianas (difiere algo de la mediana del cociente de DC_datos)</t>
        </is>
      </c>
    </row>
    <row r="210">
      <c r="A210" s="6">
        <f>DC_datos!B210</f>
        <v/>
      </c>
      <c r="B210" s="6">
        <f>DC_datos!C210</f>
        <v/>
      </c>
      <c r="C210" s="6">
        <f>DC_datos!D210</f>
        <v/>
      </c>
      <c r="D210" s="6">
        <f>DC_datos!H210</f>
        <v/>
      </c>
      <c r="E210" s="7">
        <f>IF(ISNUMBER(D210),10*D210,"no estimable")</f>
        <v/>
      </c>
      <c r="F210" s="6">
        <f>DC_datos!F210</f>
        <v/>
      </c>
      <c r="G210" s="7">
        <f>IF(ISNUMBER(D210),F210*100/D210,"—")</f>
        <v/>
      </c>
      <c r="H210" t="inlineStr">
        <is>
          <t>cociente de medianas (difiere algo de la mediana del cociente de DC_datos)</t>
        </is>
      </c>
    </row>
    <row r="211">
      <c r="A211" s="6">
        <f>DC_datos!B211</f>
        <v/>
      </c>
      <c r="B211" s="6">
        <f>DC_datos!C211</f>
        <v/>
      </c>
      <c r="C211" s="6">
        <f>DC_datos!D211</f>
        <v/>
      </c>
      <c r="D211" s="6">
        <f>DC_datos!H211</f>
        <v/>
      </c>
      <c r="E211" s="7">
        <f>IF(ISNUMBER(D211),10*D211,"no estimable")</f>
        <v/>
      </c>
      <c r="F211" s="6">
        <f>DC_datos!F211</f>
        <v/>
      </c>
      <c r="G211" s="7">
        <f>IF(ISNUMBER(D211),F211*100/D211,"—")</f>
        <v/>
      </c>
      <c r="H211" t="inlineStr">
        <is>
          <t>cociente de medianas (difiere algo de la mediana del cociente de DC_datos)</t>
        </is>
      </c>
    </row>
    <row r="212">
      <c r="A212" s="6">
        <f>DC_datos!B212</f>
        <v/>
      </c>
      <c r="B212" s="6">
        <f>DC_datos!C212</f>
        <v/>
      </c>
      <c r="C212" s="6">
        <f>DC_datos!D212</f>
        <v/>
      </c>
      <c r="D212" s="6">
        <f>DC_datos!H212</f>
        <v/>
      </c>
      <c r="E212" s="7">
        <f>IF(ISNUMBER(D212),10*D212,"no estimable")</f>
        <v/>
      </c>
      <c r="F212" s="6">
        <f>DC_datos!F212</f>
        <v/>
      </c>
      <c r="G212" s="7">
        <f>IF(ISNUMBER(D212),F212*100/D212,"—")</f>
        <v/>
      </c>
      <c r="H212" t="inlineStr">
        <is>
          <t>cociente de medianas (difiere algo de la mediana del cociente de DC_datos)</t>
        </is>
      </c>
    </row>
    <row r="213">
      <c r="A213" s="6">
        <f>DC_datos!B213</f>
        <v/>
      </c>
      <c r="B213" s="6">
        <f>DC_datos!C213</f>
        <v/>
      </c>
      <c r="C213" s="6">
        <f>DC_datos!D213</f>
        <v/>
      </c>
      <c r="D213" s="6">
        <f>DC_datos!H213</f>
        <v/>
      </c>
      <c r="E213" s="7">
        <f>IF(ISNUMBER(D213),10*D213,"no estimable")</f>
        <v/>
      </c>
      <c r="F213" s="6">
        <f>DC_datos!F213</f>
        <v/>
      </c>
      <c r="G213" s="7">
        <f>IF(ISNUMBER(D213),F213*100/D213,"—")</f>
        <v/>
      </c>
      <c r="H213" t="inlineStr">
        <is>
          <t>cociente de medianas (difiere algo de la mediana del cociente de DC_datos)</t>
        </is>
      </c>
    </row>
    <row r="214">
      <c r="A214" s="6">
        <f>DC_datos!B214</f>
        <v/>
      </c>
      <c r="B214" s="6">
        <f>DC_datos!C214</f>
        <v/>
      </c>
      <c r="C214" s="6">
        <f>DC_datos!D214</f>
        <v/>
      </c>
      <c r="D214" s="6">
        <f>DC_datos!H214</f>
        <v/>
      </c>
      <c r="E214" s="7">
        <f>IF(ISNUMBER(D214),10*D214,"no estimable")</f>
        <v/>
      </c>
      <c r="F214" s="6">
        <f>DC_datos!F214</f>
        <v/>
      </c>
      <c r="G214" s="7">
        <f>IF(ISNUMBER(D214),F214*100/D214,"—")</f>
        <v/>
      </c>
      <c r="H214" t="inlineStr">
        <is>
          <t>cociente de medianas (difiere algo de la mediana del cociente de DC_datos)</t>
        </is>
      </c>
    </row>
    <row r="215">
      <c r="A215" s="6">
        <f>DC_datos!B215</f>
        <v/>
      </c>
      <c r="B215" s="6">
        <f>DC_datos!C215</f>
        <v/>
      </c>
      <c r="C215" s="6">
        <f>DC_datos!D215</f>
        <v/>
      </c>
      <c r="D215" s="6">
        <f>DC_datos!H215</f>
        <v/>
      </c>
      <c r="E215" s="7">
        <f>IF(ISNUMBER(D215),10*D215,"no estimable")</f>
        <v/>
      </c>
      <c r="F215" s="6">
        <f>DC_datos!F215</f>
        <v/>
      </c>
      <c r="G215" s="7">
        <f>IF(ISNUMBER(D215),F215*100/D215,"—")</f>
        <v/>
      </c>
      <c r="H215" t="inlineStr">
        <is>
          <t>cociente de medianas (difiere algo de la mediana del cociente de DC_datos)</t>
        </is>
      </c>
    </row>
    <row r="216">
      <c r="A216" s="6">
        <f>DC_datos!B216</f>
        <v/>
      </c>
      <c r="B216" s="6">
        <f>DC_datos!C216</f>
        <v/>
      </c>
      <c r="C216" s="6">
        <f>DC_datos!D216</f>
        <v/>
      </c>
      <c r="D216" s="6">
        <f>DC_datos!H216</f>
        <v/>
      </c>
      <c r="E216" s="7">
        <f>IF(ISNUMBER(D216),10*D216,"no estimable")</f>
        <v/>
      </c>
      <c r="F216" s="6">
        <f>DC_datos!F216</f>
        <v/>
      </c>
      <c r="G216" s="7">
        <f>IF(ISNUMBER(D216),F216*100/D216,"—")</f>
        <v/>
      </c>
      <c r="H216" t="inlineStr">
        <is>
          <t>cociente de medianas (difiere algo de la mediana del cociente de DC_datos)</t>
        </is>
      </c>
    </row>
    <row r="217">
      <c r="A217" s="6">
        <f>DC_datos!B217</f>
        <v/>
      </c>
      <c r="B217" s="6">
        <f>DC_datos!C217</f>
        <v/>
      </c>
      <c r="C217" s="6">
        <f>DC_datos!D217</f>
        <v/>
      </c>
      <c r="D217" s="6">
        <f>DC_datos!H217</f>
        <v/>
      </c>
      <c r="E217" s="7">
        <f>IF(ISNUMBER(D217),10*D217,"no estimable")</f>
        <v/>
      </c>
      <c r="F217" s="6">
        <f>DC_datos!F217</f>
        <v/>
      </c>
      <c r="G217" s="7">
        <f>IF(ISNUMBER(D217),F217*100/D217,"—")</f>
        <v/>
      </c>
      <c r="H217" t="inlineStr">
        <is>
          <t>cociente de medianas (difiere algo de la mediana del cociente de DC_datos)</t>
        </is>
      </c>
    </row>
    <row r="218">
      <c r="A218" s="6">
        <f>DC_datos!B218</f>
        <v/>
      </c>
      <c r="B218" s="6">
        <f>DC_datos!C218</f>
        <v/>
      </c>
      <c r="C218" s="6">
        <f>DC_datos!D218</f>
        <v/>
      </c>
      <c r="D218" s="6">
        <f>DC_datos!H218</f>
        <v/>
      </c>
      <c r="E218" s="7">
        <f>IF(ISNUMBER(D218),10*D218,"no estimable")</f>
        <v/>
      </c>
      <c r="F218" s="6">
        <f>DC_datos!F218</f>
        <v/>
      </c>
      <c r="G218" s="7">
        <f>IF(ISNUMBER(D218),F218*100/D218,"—")</f>
        <v/>
      </c>
      <c r="H218" t="inlineStr">
        <is>
          <t>cociente de medianas (difiere algo de la mediana del cociente de DC_datos)</t>
        </is>
      </c>
    </row>
    <row r="219">
      <c r="A219" s="6">
        <f>DC_datos!B219</f>
        <v/>
      </c>
      <c r="B219" s="6">
        <f>DC_datos!C219</f>
        <v/>
      </c>
      <c r="C219" s="6">
        <f>DC_datos!D219</f>
        <v/>
      </c>
      <c r="D219" s="6">
        <f>DC_datos!H219</f>
        <v/>
      </c>
      <c r="E219" s="7">
        <f>IF(ISNUMBER(D219),10*D219,"no estimable")</f>
        <v/>
      </c>
      <c r="F219" s="6">
        <f>DC_datos!F219</f>
        <v/>
      </c>
      <c r="G219" s="7">
        <f>IF(ISNUMBER(D219),F219*100/D219,"—")</f>
        <v/>
      </c>
      <c r="H219" t="inlineStr">
        <is>
          <t>cociente de medianas (difiere algo de la mediana del cociente de DC_datos)</t>
        </is>
      </c>
    </row>
    <row r="220">
      <c r="A220" s="6">
        <f>DC_datos!B220</f>
        <v/>
      </c>
      <c r="B220" s="6">
        <f>DC_datos!C220</f>
        <v/>
      </c>
      <c r="C220" s="6">
        <f>DC_datos!D220</f>
        <v/>
      </c>
      <c r="D220" s="6">
        <f>DC_datos!H220</f>
        <v/>
      </c>
      <c r="E220" s="7">
        <f>IF(ISNUMBER(D220),10*D220,"no estimable")</f>
        <v/>
      </c>
      <c r="F220" s="6">
        <f>DC_datos!F220</f>
        <v/>
      </c>
      <c r="G220" s="7">
        <f>IF(ISNUMBER(D220),F220*100/D220,"—")</f>
        <v/>
      </c>
      <c r="H220" t="inlineStr">
        <is>
          <t>cociente de medianas (difiere algo de la mediana del cociente de DC_datos)</t>
        </is>
      </c>
    </row>
    <row r="221">
      <c r="A221" s="6">
        <f>DC_datos!B221</f>
        <v/>
      </c>
      <c r="B221" s="6">
        <f>DC_datos!C221</f>
        <v/>
      </c>
      <c r="C221" s="6">
        <f>DC_datos!D221</f>
        <v/>
      </c>
      <c r="D221" s="6">
        <f>DC_datos!H221</f>
        <v/>
      </c>
      <c r="E221" s="7">
        <f>IF(ISNUMBER(D221),10*D221,"no estimable")</f>
        <v/>
      </c>
      <c r="F221" s="6">
        <f>DC_datos!F221</f>
        <v/>
      </c>
      <c r="G221" s="7">
        <f>IF(ISNUMBER(D221),F221*100/D221,"—")</f>
        <v/>
      </c>
      <c r="H221" t="inlineStr">
        <is>
          <t>cociente de medianas (difiere algo de la mediana del cociente de DC_datos)</t>
        </is>
      </c>
    </row>
    <row r="222">
      <c r="A222" s="6">
        <f>DC_datos!B222</f>
        <v/>
      </c>
      <c r="B222" s="6">
        <f>DC_datos!C222</f>
        <v/>
      </c>
      <c r="C222" s="6">
        <f>DC_datos!D222</f>
        <v/>
      </c>
      <c r="D222" s="6">
        <f>DC_datos!H222</f>
        <v/>
      </c>
      <c r="E222" s="7">
        <f>IF(ISNUMBER(D222),10*D222,"no estimable")</f>
        <v/>
      </c>
      <c r="F222" s="6">
        <f>DC_datos!F222</f>
        <v/>
      </c>
      <c r="G222" s="7">
        <f>IF(ISNUMBER(D222),F222*100/D222,"—")</f>
        <v/>
      </c>
      <c r="H222" t="inlineStr">
        <is>
          <t>cociente de medianas (difiere algo de la mediana del cociente de DC_datos)</t>
        </is>
      </c>
    </row>
    <row r="223">
      <c r="A223" s="6">
        <f>DC_datos!B223</f>
        <v/>
      </c>
      <c r="B223" s="6">
        <f>DC_datos!C223</f>
        <v/>
      </c>
      <c r="C223" s="6">
        <f>DC_datos!D223</f>
        <v/>
      </c>
      <c r="D223" s="6">
        <f>DC_datos!H223</f>
        <v/>
      </c>
      <c r="E223" s="7">
        <f>IF(ISNUMBER(D223),10*D223,"no estimable")</f>
        <v/>
      </c>
      <c r="F223" s="6">
        <f>DC_datos!F223</f>
        <v/>
      </c>
      <c r="G223" s="7">
        <f>IF(ISNUMBER(D223),F223*100/D223,"—")</f>
        <v/>
      </c>
      <c r="H223" t="inlineStr">
        <is>
          <t>cociente de medianas (difiere algo de la mediana del cociente de DC_datos)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nacional a 10 años: mediana entre CCAA (cálculo en negro sobre enlaces a DC_datos).</t>
        </is>
      </c>
    </row>
    <row r="2">
      <c r="A2" t="inlineStr">
        <is>
          <t>Instrumento</t>
        </is>
      </c>
      <c r="B2" t="inlineStr">
        <is>
          <t>Mercado</t>
        </is>
      </c>
      <c r="C2" t="inlineStr">
        <is>
          <t>Dosis mediana</t>
        </is>
      </c>
      <c r="D2" t="inlineStr">
        <is>
          <t>Δ precio de mercado mediano (%)</t>
        </is>
      </c>
      <c r="E2" t="inlineStr">
        <is>
          <t>Coste anual mediano (M€)</t>
        </is>
      </c>
      <c r="F2" t="inlineStr">
        <is>
          <t>Efecto por 10.000 viv. (pp)</t>
        </is>
      </c>
      <c r="G2" t="inlineStr">
        <is>
          <t>Efecto por 100 M€/año (pp)</t>
        </is>
      </c>
    </row>
    <row r="3">
      <c r="A3" t="inlineStr">
        <is>
          <t>movilización de vacías</t>
        </is>
      </c>
      <c r="B3" t="inlineStr">
        <is>
          <t>compra</t>
        </is>
      </c>
      <c r="C3" s="7">
        <f t="array" ref="C3">IFERROR(MEDIAN(IF((DC_datos!C3:C223="movilización de vacías")*(DC_datos!D3:D223="compra")*ISNUMBER(DC_datos!E3:E223),DC_datos!E3:E223)),"—")</f>
        <v/>
      </c>
      <c r="D3" s="7">
        <f t="array" ref="D3">IFERROR(MEDIAN(IF((DC_datos!C3:C223="movilización de vacías")*(DC_datos!D3:D223="compra")*ISNUMBER(DC_datos!F3:F223),DC_datos!F3:F223)),"—")</f>
        <v/>
      </c>
      <c r="E3" s="7">
        <f t="array" ref="E3">IFERROR(MEDIAN(IF((DC_datos!C3:C223="movilización de vacías")*(DC_datos!D3:D223="compra")*ISNUMBER(DC_datos!H3:H223),DC_datos!H3:H223)),"—")</f>
        <v/>
      </c>
      <c r="F3" s="7">
        <f t="array" ref="F3">IFERROR(MEDIAN(IF((DC_datos!C3:C223="movilización de vacías")*(DC_datos!D3:D223="compra")*ISNUMBER(DC_datos!K3:K223),DC_datos!K3:K223)),"—")</f>
        <v/>
      </c>
      <c r="G3" s="7">
        <f t="array" ref="G3">IFERROR(MEDIAN(IF((DC_datos!C3:C223="movilización de vacías")*(DC_datos!D3:D223="compra")*ISNUMBER(DC_datos!L3:L223),DC_datos!L3:L223)),"—")</f>
        <v/>
      </c>
    </row>
    <row r="4">
      <c r="A4" t="inlineStr">
        <is>
          <t>movilización de vacías</t>
        </is>
      </c>
      <c r="B4" t="inlineStr">
        <is>
          <t>alquiler</t>
        </is>
      </c>
      <c r="C4" s="7">
        <f t="array" ref="C4">IFERROR(MEDIAN(IF((DC_datos!C3:C223="movilización de vacías")*(DC_datos!D3:D223="alquiler")*ISNUMBER(DC_datos!E3:E223),DC_datos!E3:E223)),"—")</f>
        <v/>
      </c>
      <c r="D4" s="7">
        <f t="array" ref="D4">IFERROR(MEDIAN(IF((DC_datos!C3:C223="movilización de vacías")*(DC_datos!D3:D223="alquiler")*ISNUMBER(DC_datos!F3:F223),DC_datos!F3:F223)),"—")</f>
        <v/>
      </c>
      <c r="E4" s="7">
        <f t="array" ref="E4">IFERROR(MEDIAN(IF((DC_datos!C3:C223="movilización de vacías")*(DC_datos!D3:D223="alquiler")*ISNUMBER(DC_datos!H3:H223),DC_datos!H3:H223)),"—")</f>
        <v/>
      </c>
      <c r="F4" s="7">
        <f t="array" ref="F4">IFERROR(MEDIAN(IF((DC_datos!C3:C223="movilización de vacías")*(DC_datos!D3:D223="alquiler")*ISNUMBER(DC_datos!K3:K223),DC_datos!K3:K223)),"—")</f>
        <v/>
      </c>
      <c r="G4" s="7">
        <f t="array" ref="G4">IFERROR(MEDIAN(IF((DC_datos!C3:C223="movilización de vacías")*(DC_datos!D3:D223="alquiler")*ISNUMBER(DC_datos!L3:L223),DC_datos!L3:L223)),"—")</f>
        <v/>
      </c>
    </row>
    <row r="5">
      <c r="A5" t="inlineStr">
        <is>
          <t>vivienda pública o asequible</t>
        </is>
      </c>
      <c r="B5" t="inlineStr">
        <is>
          <t>compra</t>
        </is>
      </c>
      <c r="C5" s="7">
        <f t="array" ref="C5">IFERROR(MEDIAN(IF((DC_datos!C3:C223="vivienda pública o asequible")*(DC_datos!D3:D223="compra")*ISNUMBER(DC_datos!E3:E223),DC_datos!E3:E223)),"—")</f>
        <v/>
      </c>
      <c r="D5" s="7">
        <f t="array" ref="D5">IFERROR(MEDIAN(IF((DC_datos!C3:C223="vivienda pública o asequible")*(DC_datos!D3:D223="compra")*ISNUMBER(DC_datos!F3:F223),DC_datos!F3:F223)),"—")</f>
        <v/>
      </c>
      <c r="E5" s="7">
        <f t="array" ref="E5">IFERROR(MEDIAN(IF((DC_datos!C3:C223="vivienda pública o asequible")*(DC_datos!D3:D223="compra")*ISNUMBER(DC_datos!H3:H223),DC_datos!H3:H223)),"—")</f>
        <v/>
      </c>
      <c r="F5" s="7">
        <f t="array" ref="F5">IFERROR(MEDIAN(IF((DC_datos!C3:C223="vivienda pública o asequible")*(DC_datos!D3:D223="compra")*ISNUMBER(DC_datos!K3:K223),DC_datos!K3:K223)),"—")</f>
        <v/>
      </c>
      <c r="G5" s="7">
        <f t="array" ref="G5">IFERROR(MEDIAN(IF((DC_datos!C3:C223="vivienda pública o asequible")*(DC_datos!D3:D223="compra")*ISNUMBER(DC_datos!L3:L223),DC_datos!L3:L223)),"—")</f>
        <v/>
      </c>
    </row>
    <row r="6">
      <c r="A6" t="inlineStr">
        <is>
          <t>vivienda pública o asequible</t>
        </is>
      </c>
      <c r="B6" t="inlineStr">
        <is>
          <t>alquiler</t>
        </is>
      </c>
      <c r="C6" s="7">
        <f t="array" ref="C6">IFERROR(MEDIAN(IF((DC_datos!C3:C223="vivienda pública o asequible")*(DC_datos!D3:D223="alquiler")*ISNUMBER(DC_datos!E3:E223),DC_datos!E3:E223)),"—")</f>
        <v/>
      </c>
      <c r="D6" s="7">
        <f t="array" ref="D6">IFERROR(MEDIAN(IF((DC_datos!C3:C223="vivienda pública o asequible")*(DC_datos!D3:D223="alquiler")*ISNUMBER(DC_datos!F3:F223),DC_datos!F3:F223)),"—")</f>
        <v/>
      </c>
      <c r="E6" s="7">
        <f t="array" ref="E6">IFERROR(MEDIAN(IF((DC_datos!C3:C223="vivienda pública o asequible")*(DC_datos!D3:D223="alquiler")*ISNUMBER(DC_datos!H3:H223),DC_datos!H3:H223)),"—")</f>
        <v/>
      </c>
      <c r="F6" s="7">
        <f t="array" ref="F6">IFERROR(MEDIAN(IF((DC_datos!C3:C223="vivienda pública o asequible")*(DC_datos!D3:D223="alquiler")*ISNUMBER(DC_datos!K3:K223),DC_datos!K3:K223)),"—")</f>
        <v/>
      </c>
      <c r="G6" s="7">
        <f t="array" ref="G6">IFERROR(MEDIAN(IF((DC_datos!C3:C223="vivienda pública o asequible")*(DC_datos!D3:D223="alquiler")*ISNUMBER(DC_datos!L3:L223),DC_datos!L3:L223)),"—")</f>
        <v/>
      </c>
    </row>
    <row r="7">
      <c r="A7" t="inlineStr">
        <is>
          <t>regulación local de turísticos</t>
        </is>
      </c>
      <c r="B7" t="inlineStr">
        <is>
          <t>compra</t>
        </is>
      </c>
      <c r="C7" s="7">
        <f t="array" ref="C7">IFERROR(MEDIAN(IF((DC_datos!C3:C223="regulación local de turísticos")*(DC_datos!D3:D223="compra")*ISNUMBER(DC_datos!E3:E223),DC_datos!E3:E223)),"—")</f>
        <v/>
      </c>
      <c r="D7" s="7">
        <f t="array" ref="D7">IFERROR(MEDIAN(IF((DC_datos!C3:C223="regulación local de turísticos")*(DC_datos!D3:D223="compra")*ISNUMBER(DC_datos!F3:F223),DC_datos!F3:F223)),"—")</f>
        <v/>
      </c>
      <c r="E7" s="7">
        <f t="array" ref="E7">IFERROR(MEDIAN(IF((DC_datos!C3:C223="regulación local de turísticos")*(DC_datos!D3:D223="compra")*ISNUMBER(DC_datos!H3:H223),DC_datos!H3:H223)),"—")</f>
        <v/>
      </c>
      <c r="F7" s="7">
        <f t="array" ref="F7">IFERROR(MEDIAN(IF((DC_datos!C3:C223="regulación local de turísticos")*(DC_datos!D3:D223="compra")*ISNUMBER(DC_datos!K3:K223),DC_datos!K3:K223)),"—")</f>
        <v/>
      </c>
      <c r="G7" s="7">
        <f t="array" ref="G7">IFERROR(MEDIAN(IF((DC_datos!C3:C223="regulación local de turísticos")*(DC_datos!D3:D223="compra")*ISNUMBER(DC_datos!L3:L223),DC_datos!L3:L223)),"—")</f>
        <v/>
      </c>
    </row>
    <row r="8">
      <c r="A8" t="inlineStr">
        <is>
          <t>regulación local de turísticos</t>
        </is>
      </c>
      <c r="B8" t="inlineStr">
        <is>
          <t>alquiler</t>
        </is>
      </c>
      <c r="C8" s="7">
        <f t="array" ref="C8">IFERROR(MEDIAN(IF((DC_datos!C3:C223="regulación local de turísticos")*(DC_datos!D3:D223="alquiler")*ISNUMBER(DC_datos!E3:E223),DC_datos!E3:E223)),"—")</f>
        <v/>
      </c>
      <c r="D8" s="7">
        <f t="array" ref="D8">IFERROR(MEDIAN(IF((DC_datos!C3:C223="regulación local de turísticos")*(DC_datos!D3:D223="alquiler")*ISNUMBER(DC_datos!F3:F223),DC_datos!F3:F223)),"—")</f>
        <v/>
      </c>
      <c r="E8" s="7">
        <f t="array" ref="E8">IFERROR(MEDIAN(IF((DC_datos!C3:C223="regulación local de turísticos")*(DC_datos!D3:D223="alquiler")*ISNUMBER(DC_datos!H3:H223),DC_datos!H3:H223)),"—")</f>
        <v/>
      </c>
      <c r="F8" s="7">
        <f t="array" ref="F8">IFERROR(MEDIAN(IF((DC_datos!C3:C223="regulación local de turísticos")*(DC_datos!D3:D223="alquiler")*ISNUMBER(DC_datos!K3:K223),DC_datos!K3:K223)),"—")</f>
        <v/>
      </c>
      <c r="G8" s="7">
        <f t="array" ref="G8">IFERROR(MEDIAN(IF((DC_datos!C3:C223="regulación local de turísticos")*(DC_datos!D3:D223="alquiler")*ISNUMBER(DC_datos!L3:L223),DC_datos!L3:L223)),"—")</f>
        <v/>
      </c>
    </row>
    <row r="9">
      <c r="A9" t="inlineStr">
        <is>
          <t>construcción adicional</t>
        </is>
      </c>
      <c r="B9" t="inlineStr">
        <is>
          <t>compra</t>
        </is>
      </c>
      <c r="C9" s="7">
        <f t="array" ref="C9">IFERROR(MEDIAN(IF((DC_datos!C3:C223="construcción adicional")*(DC_datos!D3:D223="compra")*ISNUMBER(DC_datos!E3:E223),DC_datos!E3:E223)),"—")</f>
        <v/>
      </c>
      <c r="D9" s="7">
        <f t="array" ref="D9">IFERROR(MEDIAN(IF((DC_datos!C3:C223="construcción adicional")*(DC_datos!D3:D223="compra")*ISNUMBER(DC_datos!F3:F223),DC_datos!F3:F223)),"—")</f>
        <v/>
      </c>
      <c r="E9" s="7">
        <f t="array" ref="E9">IFERROR(MEDIAN(IF((DC_datos!C3:C223="construcción adicional")*(DC_datos!D3:D223="compra")*ISNUMBER(DC_datos!H3:H223),DC_datos!H3:H223)),"—")</f>
        <v/>
      </c>
      <c r="F9" s="7">
        <f t="array" ref="F9">IFERROR(MEDIAN(IF((DC_datos!C3:C223="construcción adicional")*(DC_datos!D3:D223="compra")*ISNUMBER(DC_datos!K3:K223),DC_datos!K3:K223)),"—")</f>
        <v/>
      </c>
      <c r="G9" s="7">
        <f t="array" ref="G9">IFERROR(MEDIAN(IF((DC_datos!C3:C223="construcción adicional")*(DC_datos!D3:D223="compra")*ISNUMBER(DC_datos!L3:L223),DC_datos!L3:L223)),"—")</f>
        <v/>
      </c>
    </row>
    <row r="10">
      <c r="A10" t="inlineStr">
        <is>
          <t>construcción adicional</t>
        </is>
      </c>
      <c r="B10" t="inlineStr">
        <is>
          <t>alquiler</t>
        </is>
      </c>
      <c r="C10" s="7">
        <f t="array" ref="C10">IFERROR(MEDIAN(IF((DC_datos!C3:C223="construcción adicional")*(DC_datos!D3:D223="alquiler")*ISNUMBER(DC_datos!E3:E223),DC_datos!E3:E223)),"—")</f>
        <v/>
      </c>
      <c r="D10" s="7">
        <f t="array" ref="D10">IFERROR(MEDIAN(IF((DC_datos!C3:C223="construcción adicional")*(DC_datos!D3:D223="alquiler")*ISNUMBER(DC_datos!F3:F223),DC_datos!F3:F223)),"—")</f>
        <v/>
      </c>
      <c r="E10" s="7">
        <f t="array" ref="E10">IFERROR(MEDIAN(IF((DC_datos!C3:C223="construcción adicional")*(DC_datos!D3:D223="alquiler")*ISNUMBER(DC_datos!H3:H223),DC_datos!H3:H223)),"—")</f>
        <v/>
      </c>
      <c r="F10" s="7">
        <f t="array" ref="F10">IFERROR(MEDIAN(IF((DC_datos!C3:C223="construcción adicional")*(DC_datos!D3:D223="alquiler")*ISNUMBER(DC_datos!K3:K223),DC_datos!K3:K223)),"—")</f>
        <v/>
      </c>
      <c r="G10" s="7">
        <f t="array" ref="G10">IFERROR(MEDIAN(IF((DC_datos!C3:C223="construcción adicional")*(DC_datos!D3:D223="alquiler")*ISNUMBER(DC_datos!L3:L223),DC_datos!L3:L223)),"—")</f>
        <v/>
      </c>
    </row>
    <row r="11">
      <c r="A11" t="inlineStr">
        <is>
          <t>rebaja de impuestos y costes de construcción</t>
        </is>
      </c>
      <c r="B11" t="inlineStr">
        <is>
          <t>compra</t>
        </is>
      </c>
      <c r="C11" s="7">
        <f t="array" ref="C11">IFERROR(MEDIAN(IF((DC_datos!C3:C223="rebaja de impuestos y costes de construcción")*(DC_datos!D3:D223="compra")*ISNUMBER(DC_datos!E3:E223),DC_datos!E3:E223)),"—")</f>
        <v/>
      </c>
      <c r="D11" s="7">
        <f t="array" ref="D11">IFERROR(MEDIAN(IF((DC_datos!C3:C223="rebaja de impuestos y costes de construcción")*(DC_datos!D3:D223="compra")*ISNUMBER(DC_datos!F3:F223),DC_datos!F3:F223)),"—")</f>
        <v/>
      </c>
      <c r="E11" s="7">
        <f t="array" ref="E11">IFERROR(MEDIAN(IF((DC_datos!C3:C223="rebaja de impuestos y costes de construcción")*(DC_datos!D3:D223="compra")*ISNUMBER(DC_datos!H3:H223),DC_datos!H3:H223)),"—")</f>
        <v/>
      </c>
      <c r="F11" s="7">
        <f t="array" ref="F11">IFERROR(MEDIAN(IF((DC_datos!C3:C223="rebaja de impuestos y costes de construcción")*(DC_datos!D3:D223="compra")*ISNUMBER(DC_datos!K3:K223),DC_datos!K3:K223)),"—")</f>
        <v/>
      </c>
      <c r="G11" s="7">
        <f t="array" ref="G11">IFERROR(MEDIAN(IF((DC_datos!C3:C223="rebaja de impuestos y costes de construcción")*(DC_datos!D3:D223="compra")*ISNUMBER(DC_datos!L3:L223),DC_datos!L3:L223)),"—")</f>
        <v/>
      </c>
    </row>
    <row r="12">
      <c r="A12" t="inlineStr">
        <is>
          <t>rebaja de impuestos y costes de construcción</t>
        </is>
      </c>
      <c r="B12" t="inlineStr">
        <is>
          <t>alquiler</t>
        </is>
      </c>
      <c r="C12" s="7">
        <f t="array" ref="C12">IFERROR(MEDIAN(IF((DC_datos!C3:C223="rebaja de impuestos y costes de construcción")*(DC_datos!D3:D223="alquiler")*ISNUMBER(DC_datos!E3:E223),DC_datos!E3:E223)),"—")</f>
        <v/>
      </c>
      <c r="D12" s="7">
        <f t="array" ref="D12">IFERROR(MEDIAN(IF((DC_datos!C3:C223="rebaja de impuestos y costes de construcción")*(DC_datos!D3:D223="alquiler")*ISNUMBER(DC_datos!F3:F223),DC_datos!F3:F223)),"—")</f>
        <v/>
      </c>
      <c r="E12" s="7">
        <f t="array" ref="E12">IFERROR(MEDIAN(IF((DC_datos!C3:C223="rebaja de impuestos y costes de construcción")*(DC_datos!D3:D223="alquiler")*ISNUMBER(DC_datos!H3:H223),DC_datos!H3:H223)),"—")</f>
        <v/>
      </c>
      <c r="F12" s="7">
        <f t="array" ref="F12">IFERROR(MEDIAN(IF((DC_datos!C3:C223="rebaja de impuestos y costes de construcción")*(DC_datos!D3:D223="alquiler")*ISNUMBER(DC_datos!K3:K223),DC_datos!K3:K223)),"—")</f>
        <v/>
      </c>
      <c r="G12" s="7">
        <f t="array" ref="G12">IFERROR(MEDIAN(IF((DC_datos!C3:C223="rebaja de impuestos y costes de construcción")*(DC_datos!D3:D223="alquiler")*ISNUMBER(DC_datos!L3:L223),DC_datos!L3:L223)),"—")</f>
        <v/>
      </c>
    </row>
    <row r="13">
      <c r="A13" t="inlineStr">
        <is>
          <t>ayudas a la demanda</t>
        </is>
      </c>
      <c r="B13" t="inlineStr">
        <is>
          <t>compra</t>
        </is>
      </c>
      <c r="C13" s="7">
        <f t="array" ref="C13">IFERROR(MEDIAN(IF((DC_datos!C3:C223="ayudas a la demanda")*(DC_datos!D3:D223="compra")*ISNUMBER(DC_datos!E3:E223),DC_datos!E3:E223)),"—")</f>
        <v/>
      </c>
      <c r="D13" s="7">
        <f t="array" ref="D13">IFERROR(MEDIAN(IF((DC_datos!C3:C223="ayudas a la demanda")*(DC_datos!D3:D223="compra")*ISNUMBER(DC_datos!F3:F223),DC_datos!F3:F223)),"—")</f>
        <v/>
      </c>
      <c r="E13" s="7">
        <f t="array" ref="E13">IFERROR(MEDIAN(IF((DC_datos!C3:C223="ayudas a la demanda")*(DC_datos!D3:D223="compra")*ISNUMBER(DC_datos!H3:H223),DC_datos!H3:H223)),"—")</f>
        <v/>
      </c>
      <c r="F13" s="7">
        <f t="array" ref="F13">IFERROR(MEDIAN(IF((DC_datos!C3:C223="ayudas a la demanda")*(DC_datos!D3:D223="compra")*ISNUMBER(DC_datos!K3:K223),DC_datos!K3:K223)),"—")</f>
        <v/>
      </c>
      <c r="G13" s="7">
        <f t="array" ref="G13">IFERROR(MEDIAN(IF((DC_datos!C3:C223="ayudas a la demanda")*(DC_datos!D3:D223="compra")*ISNUMBER(DC_datos!L3:L223),DC_datos!L3:L223)),"—")</f>
        <v/>
      </c>
    </row>
    <row r="14">
      <c r="A14" t="inlineStr">
        <is>
          <t>ayudas a la demanda</t>
        </is>
      </c>
      <c r="B14" t="inlineStr">
        <is>
          <t>alquiler</t>
        </is>
      </c>
      <c r="C14" s="7">
        <f t="array" ref="C14">IFERROR(MEDIAN(IF((DC_datos!C3:C223="ayudas a la demanda")*(DC_datos!D3:D223="alquiler")*ISNUMBER(DC_datos!E3:E223),DC_datos!E3:E223)),"—")</f>
        <v/>
      </c>
      <c r="D14" s="7">
        <f t="array" ref="D14">IFERROR(MEDIAN(IF((DC_datos!C3:C223="ayudas a la demanda")*(DC_datos!D3:D223="alquiler")*ISNUMBER(DC_datos!F3:F223),DC_datos!F3:F223)),"—")</f>
        <v/>
      </c>
      <c r="E14" s="7">
        <f t="array" ref="E14">IFERROR(MEDIAN(IF((DC_datos!C3:C223="ayudas a la demanda")*(DC_datos!D3:D223="alquiler")*ISNUMBER(DC_datos!H3:H223),DC_datos!H3:H223)),"—")</f>
        <v/>
      </c>
      <c r="F14" s="7">
        <f t="array" ref="F14">IFERROR(MEDIAN(IF((DC_datos!C3:C223="ayudas a la demanda")*(DC_datos!D3:D223="alquiler")*ISNUMBER(DC_datos!K3:K223),DC_datos!K3:K223)),"—")</f>
        <v/>
      </c>
      <c r="G14" s="7">
        <f t="array" ref="G14">IFERROR(MEDIAN(IF((DC_datos!C3:C223="ayudas a la demanda")*(DC_datos!D3:D223="alquiler")*ISNUMBER(DC_datos!L3:L223),DC_datos!L3:L223)),"—")</f>
        <v/>
      </c>
    </row>
    <row r="15">
      <c r="A15" t="inlineStr">
        <is>
          <t>rebaja de ITP/IVA (vivienda nueva)</t>
        </is>
      </c>
      <c r="B15" t="inlineStr">
        <is>
          <t>compra</t>
        </is>
      </c>
      <c r="C15" s="7">
        <f t="array" ref="C15">IFERROR(MEDIAN(IF((DC_datos!C3:C223="rebaja de ITP/IVA (vivienda nueva)")*(DC_datos!D3:D223="compra")*ISNUMBER(DC_datos!E3:E223),DC_datos!E3:E223)),"—")</f>
        <v/>
      </c>
      <c r="D15" s="7">
        <f t="array" ref="D15">IFERROR(MEDIAN(IF((DC_datos!C3:C223="rebaja de ITP/IVA (vivienda nueva)")*(DC_datos!D3:D223="compra")*ISNUMBER(DC_datos!F3:F223),DC_datos!F3:F223)),"—")</f>
        <v/>
      </c>
      <c r="E15" s="7">
        <f t="array" ref="E15">IFERROR(MEDIAN(IF((DC_datos!C3:C223="rebaja de ITP/IVA (vivienda nueva)")*(DC_datos!D3:D223="compra")*ISNUMBER(DC_datos!H3:H223),DC_datos!H3:H223)),"—")</f>
        <v/>
      </c>
      <c r="F15" s="7">
        <f t="array" ref="F15">IFERROR(MEDIAN(IF((DC_datos!C3:C223="rebaja de ITP/IVA (vivienda nueva)")*(DC_datos!D3:D223="compra")*ISNUMBER(DC_datos!K3:K223),DC_datos!K3:K223)),"—")</f>
        <v/>
      </c>
      <c r="G15" s="7">
        <f t="array" ref="G15">IFERROR(MEDIAN(IF((DC_datos!C3:C223="rebaja de ITP/IVA (vivienda nueva)")*(DC_datos!D3:D223="compra")*ISNUMBER(DC_datos!L3:L223),DC_datos!L3:L223)),"—")</f>
        <v/>
      </c>
    </row>
    <row r="17">
      <c r="A17" t="inlineStr">
        <is>
          <t>Fórmulas matriciales (MEDIAN(IF(...))) sobre DC_datos; los valores publicables están en output/v7_1/S1/hechos.json → cifras_clave.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2026-10-12T00:00:00Z</dcterms:created>
  <dcterms:modified xmlns:dcterms="http://purl.org/dc/terms/" xmlns:xsi="http://www.w3.org/2001/XMLSchema-instance" xsi:type="dcterms:W3CDTF">2026-10-12T00:00:00Z</dcterms:modified>
</cp:coreProperties>
</file>