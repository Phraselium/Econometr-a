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IPVA_nuevo_existente" sheetId="2" state="visible" r:id="rId2"/>
    <sheet xmlns:r="http://schemas.openxmlformats.org/officeDocument/2006/relationships" name="Provincias" sheetId="3" state="visible" r:id="rId3"/>
    <sheet xmlns:r="http://schemas.openxmlformats.org/officeDocument/2006/relationships" name="CV_municipios" sheetId="4" state="visible" r:id="rId4"/>
    <sheet xmlns:r="http://schemas.openxmlformats.org/officeDocument/2006/relationships" name="Valencia_barrios" sheetId="5" state="visible" r:id="rId5"/>
    <sheet xmlns:r="http://schemas.openxmlformats.org/officeDocument/2006/relationships" name="Quien_E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color rgb="001F4E99"/>
    </font>
    <font>
      <b val="1"/>
      <color rgb="001F4E99"/>
    </font>
    <font>
      <color rgb="00000000"/>
    </font>
    <font>
      <color rgb="001E7B34"/>
      <u val="single"/>
    </font>
    <font>
      <color rgb="001E7B3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V10</author>
  </authors>
  <commentList>
    <comment ref="A4" authorId="0" shapeId="0">
      <text>
        <t>Entrada. Fuente: INE, IPVA (59004, 59005). Fecha: 2015-2024.</t>
      </text>
    </comment>
    <comment ref="B4" authorId="0" shapeId="0">
      <text>
        <t>Entrada. Fuente: INE, IPVA (59004, 59005). Fecha: 2015-2024.</t>
      </text>
    </comment>
    <comment ref="C4" authorId="0" shapeId="0">
      <text>
        <t>Entrada. Fuente: INE, IPVA (59004, 59005). Fecha: 2015-2024.</t>
      </text>
    </comment>
    <comment ref="D4" authorId="0" shapeId="0">
      <text>
        <t>Entrada. Fuente: INE, IPVA (59004, 59005). Fecha: 2015-2024.</t>
      </text>
    </comment>
    <comment ref="E4" authorId="0" shapeId="0">
      <text>
        <t>Entrada. Fuente: INE, IPVA (59004, 59005). Fecha: 2015-2024.</t>
      </text>
    </comment>
    <comment ref="F4" authorId="0" shapeId="0">
      <text>
        <t>Entrada. Fuente: INE, IPVA (59004, 59005). Fecha: 2015-2024.</t>
      </text>
    </comment>
    <comment ref="G4" authorId="0" shapeId="0">
      <text>
        <t>Entrada. Fuente: INE, IPVA (59004, 59005). Fecha: 2015-2024.</t>
      </text>
    </comment>
    <comment ref="H4" authorId="0" shapeId="0">
      <text>
        <t>Cálculo de esta hoja (fórmula).</t>
      </text>
    </comment>
  </commentList>
</comments>
</file>

<file path=xl/comments/comment2.xml><?xml version="1.0" encoding="utf-8"?>
<comments xmlns="http://schemas.openxmlformats.org/spreadsheetml/2006/main">
  <authors>
    <author>V10</author>
  </authors>
  <commentList>
    <comment ref="A4" authorId="0" shapeId="0">
      <text>
        <t>Entrada. Fuente: MIVAU (valor tasado, SERPAVI); INE (censo anual, ADRH); V5-A4. Fecha: 2023-2025.</t>
      </text>
    </comment>
    <comment ref="B4" authorId="0" shapeId="0">
      <text>
        <t>Entrada. Fuente: MIVAU (valor tasado, SERPAVI); INE (censo anual, ADRH); V5-A4. Fecha: 2023-2025.</t>
      </text>
    </comment>
    <comment ref="C4" authorId="0" shapeId="0">
      <text>
        <t>Entrada. Fuente: MIVAU (valor tasado, SERPAVI); INE (censo anual, ADRH); V5-A4. Fecha: 2023-2025.</t>
      </text>
    </comment>
    <comment ref="D4" authorId="0" shapeId="0">
      <text>
        <t>Entrada. Fuente: MIVAU (valor tasado, SERPAVI); INE (censo anual, ADRH); V5-A4. Fecha: 2023-2025.</t>
      </text>
    </comment>
    <comment ref="E4" authorId="0" shapeId="0">
      <text>
        <t>Entrada. Fuente: MIVAU (valor tasado, SERPAVI); INE (censo anual, ADRH); V5-A4. Fecha: 2023-2025.</t>
      </text>
    </comment>
    <comment ref="F4" authorId="0" shapeId="0">
      <text>
        <t>Entrada. Fuente: MIVAU (valor tasado, SERPAVI); INE (censo anual, ADRH); V5-A4. Fecha: 2023-2025.</t>
      </text>
    </comment>
    <comment ref="G4" authorId="0" shapeId="0">
      <text>
        <t>Entrada. Fuente: MIVAU (valor tasado, SERPAVI); INE (censo anual, ADRH); V5-A4. Fecha: 2023-2025.</t>
      </text>
    </comment>
    <comment ref="H4" authorId="0" shapeId="0">
      <text>
        <t>Cálculo de esta hoja (fórmula).</t>
      </text>
    </comment>
    <comment ref="I4" authorId="0" shapeId="0">
      <text>
        <t>Cálculo de esta hoja (fórmula).</t>
      </text>
    </comment>
  </commentList>
</comments>
</file>

<file path=xl/comments/comment3.xml><?xml version="1.0" encoding="utf-8"?>
<comments xmlns="http://schemas.openxmlformats.org/spreadsheetml/2006/main">
  <authors>
    <author>V10</author>
  </authors>
  <commentList>
    <comment ref="A4" authorId="0" shapeId="0">
      <text>
        <t>Entrada. Fuente: INE censo anual; MIVAU SERPAVI; INE VUT; Catastro. Fecha: 2019-2026.</t>
      </text>
    </comment>
    <comment ref="B4" authorId="0" shapeId="0">
      <text>
        <t>Entrada. Fuente: INE censo anual; MIVAU SERPAVI; INE VUT; Catastro. Fecha: 2019-2026.</t>
      </text>
    </comment>
    <comment ref="C4" authorId="0" shapeId="0">
      <text>
        <t>Entrada. Fuente: INE censo anual; MIVAU SERPAVI; INE VUT; Catastro. Fecha: 2019-2026.</t>
      </text>
    </comment>
    <comment ref="D4" authorId="0" shapeId="0">
      <text>
        <t>Entrada. Fuente: INE censo anual; MIVAU SERPAVI; INE VUT; Catastro. Fecha: 2019-2026.</t>
      </text>
    </comment>
    <comment ref="E4" authorId="0" shapeId="0">
      <text>
        <t>Entrada. Fuente: INE censo anual; MIVAU SERPAVI; INE VUT; Catastro. Fecha: 2019-2026.</t>
      </text>
    </comment>
    <comment ref="F4" authorId="0" shapeId="0">
      <text>
        <t>Entrada. Fuente: INE censo anual; MIVAU SERPAVI; INE VUT; Catastro. Fecha: 2019-2026.</t>
      </text>
    </comment>
    <comment ref="G4" authorId="0" shapeId="0">
      <text>
        <t>Entrada. Fuente: INE censo anual; MIVAU SERPAVI; INE VUT; Catastro. Fecha: 2019-2026.</t>
      </text>
    </comment>
    <comment ref="H4" authorId="0" shapeId="0">
      <text>
        <t>Entrada. Fuente: INE censo anual; MIVAU SERPAVI; INE VUT; Catastro. Fecha: 2019-2026.</t>
      </text>
    </comment>
    <comment ref="I4" authorId="0" shapeId="0">
      <text>
        <t>Cálculo de esta hoja (fórmula).</t>
      </text>
    </comment>
    <comment ref="J4" authorId="0" shapeId="0">
      <text>
        <t>Cálculo de esta hoja (fórmula).</t>
      </text>
    </comment>
    <comment ref="K4" authorId="0" shapeId="0">
      <text>
        <t>Cálculo de esta hoja (fórmula).</t>
      </text>
    </comment>
  </commentList>
</comments>
</file>

<file path=xl/comments/comment4.xml><?xml version="1.0" encoding="utf-8"?>
<comments xmlns="http://schemas.openxmlformats.org/spreadsheetml/2006/main">
  <authors>
    <author>V10</author>
  </authors>
  <commentList>
    <comment ref="A4" authorId="0" shapeId="0">
      <text>
        <t>Entrada. Fuente: INE (censo anual, ADRH, VUT, Censo 2021); MIVAU SERPAVI; Ajuntament de València. Fecha: 2019-2026.</t>
      </text>
    </comment>
    <comment ref="B4" authorId="0" shapeId="0">
      <text>
        <t>Entrada. Fuente: INE (censo anual, ADRH, VUT, Censo 2021); MIVAU SERPAVI; Ajuntament de València. Fecha: 2019-2026.</t>
      </text>
    </comment>
    <comment ref="C4" authorId="0" shapeId="0">
      <text>
        <t>Entrada. Fuente: INE (censo anual, ADRH, VUT, Censo 2021); MIVAU SERPAVI; Ajuntament de València. Fecha: 2019-2026.</t>
      </text>
    </comment>
    <comment ref="D4" authorId="0" shapeId="0">
      <text>
        <t>Entrada. Fuente: INE (censo anual, ADRH, VUT, Censo 2021); MIVAU SERPAVI; Ajuntament de València. Fecha: 2019-2026.</t>
      </text>
    </comment>
    <comment ref="E4" authorId="0" shapeId="0">
      <text>
        <t>Entrada. Fuente: INE (censo anual, ADRH, VUT, Censo 2021); MIVAU SERPAVI; Ajuntament de València. Fecha: 2019-2026.</t>
      </text>
    </comment>
    <comment ref="F4" authorId="0" shapeId="0">
      <text>
        <t>Entrada. Fuente: INE (censo anual, ADRH, VUT, Censo 2021); MIVAU SERPAVI; Ajuntament de València. Fecha: 2019-2026.</t>
      </text>
    </comment>
    <comment ref="G4" authorId="0" shapeId="0">
      <text>
        <t>Entrada. Fuente: INE (censo anual, ADRH, VUT, Censo 2021); MIVAU SERPAVI; Ajuntament de València. Fecha: 2019-2026.</t>
      </text>
    </comment>
    <comment ref="H4" authorId="0" shapeId="0">
      <text>
        <t>Entrada. Fuente: INE (censo anual, ADRH, VUT, Censo 2021); MIVAU SERPAVI; Ajuntament de València. Fecha: 2019-2026.</t>
      </text>
    </comment>
    <comment ref="I4" authorId="0" shapeId="0">
      <text>
        <t>Entrada. Fuente: INE (censo anual, ADRH, VUT, Censo 2021); MIVAU SERPAVI; Ajuntament de València. Fecha: 2019-2026.</t>
      </text>
    </comment>
    <comment ref="J4" authorId="0" shapeId="0">
      <text>
        <t>Entrada. Fuente: INE (censo anual, ADRH, VUT, Censo 2021); MIVAU SERPAVI; Ajuntament de València. Fecha: 2019-2026.</t>
      </text>
    </comment>
    <comment ref="K4" authorId="0" shapeId="0">
      <text>
        <t>Entrada. Fuente: INE (censo anual, ADRH, VUT, Censo 2021); MIVAU SERPAVI; Ajuntament de València. Fecha: 2019-2026.</t>
      </text>
    </comment>
    <comment ref="L4" authorId="0" shapeId="0">
      <text>
        <t>Entrada. Fuente: INE (censo anual, ADRH, VUT, Censo 2021); MIVAU SERPAVI; Ajuntament de València. Fecha: 2019-2026.</t>
      </text>
    </comment>
    <comment ref="M4" authorId="0" shapeId="0">
      <text>
        <t>Cálculo de esta hoja (fórmula).</t>
      </text>
    </comment>
    <comment ref="N4" authorId="0" shapeId="0">
      <text>
        <t>Cálculo de esta hoja (fórmula).</t>
      </text>
    </comment>
    <comment ref="O4" authorId="0" shapeId="0">
      <text>
        <t>Cálculo de esta hoja (fórmula).</t>
      </text>
    </comment>
  </commentList>
</comments>
</file>

<file path=xl/comments/comment5.xml><?xml version="1.0" encoding="utf-8"?>
<comments xmlns="http://schemas.openxmlformats.org/spreadsheetml/2006/main">
  <authors>
    <author>V10</author>
  </authors>
  <commentList>
    <comment ref="A4" authorId="0" shapeId="0">
      <text>
        <t>Entrada. Fuente: INE ECV (microdatos), cálculo propio. Fecha: ECV 2025.</t>
      </text>
    </comment>
    <comment ref="B4" authorId="0" shapeId="0">
      <text>
        <t>Entrada. Fuente: INE ECV (microdatos), cálculo propio. Fecha: ECV 2025.</t>
      </text>
    </comment>
    <comment ref="C4" authorId="0" shapeId="0">
      <text>
        <t>Entrada. Fuente: INE ECV (microdatos), cálculo propio. Fecha: ECV 2025.</t>
      </text>
    </comment>
    <comment ref="D4" authorId="0" shapeId="0">
      <text>
        <t>Entrada. Fuente: INE ECV (microdatos), cálculo propio. Fecha: ECV 2025.</t>
      </text>
    </comment>
    <comment ref="E4" authorId="0" shapeId="0">
      <text>
        <t>Entrada. Fuente: INE ECV (microdatos), cálculo propio. Fecha: ECV 2025.</t>
      </text>
    </comment>
    <comment ref="F4" authorId="0" shapeId="0">
      <text>
        <t>Entrada. Fuente: INE ECV (microdatos), cálculo propio. Fecha: ECV 2025.</t>
      </text>
    </comment>
    <comment ref="G4" authorId="0" shapeId="0">
      <text>
        <t>Entrada. Fuente: INE ECV (microdatos), cálculo propio. Fecha: ECV 2025.</t>
      </text>
    </comment>
    <comment ref="H4" authorId="0" shapeId="0">
      <text>
        <t>Entrada. Fuente: INE ECV (microdatos), cálculo propio. Fecha: ECV 2025.</t>
      </text>
    </comment>
    <comment ref="I4" authorId="0" shapeId="0">
      <text>
        <t>Entrada. Fuente: INE ECV (microdatos), cálculo propio. Fecha: ECV 2025.</t>
      </text>
    </comment>
    <comment ref="J4" authorId="0" shapeId="0">
      <text>
        <t>Cálculo de esta hoja (fórmula).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IPVA_nuevo_existente'!A1" TargetMode="External" Id="rId1"/><Relationship Type="http://schemas.openxmlformats.org/officeDocument/2006/relationships/hyperlink" Target="#'Provincias'!A1" TargetMode="External" Id="rId2"/><Relationship Type="http://schemas.openxmlformats.org/officeDocument/2006/relationships/hyperlink" Target="#'CV_municipios'!A1" TargetMode="External" Id="rId3"/><Relationship Type="http://schemas.openxmlformats.org/officeDocument/2006/relationships/hyperlink" Target="#'Valencia_barrios'!A1" TargetMode="External" Id="rId4"/><Relationship Type="http://schemas.openxmlformats.org/officeDocument/2006/relationships/hyperlink" Target="#'Quien_ECV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Tablas del atlas descriptivo (V10). Generado por src/v10/tablas_excel.py; no editar a mano.</t>
        </is>
      </c>
    </row>
    <row r="2">
      <c r="A2" t="inlineStr">
        <is>
          <t>Azul: datos de entrada (fuente y fecha en la cabecera). Negro: cálculos de cada hoja. Verde: vínculos a otras pestañas.</t>
        </is>
      </c>
    </row>
    <row r="4">
      <c r="A4" s="1" t="inlineStr">
        <is>
          <t>Hoja</t>
        </is>
      </c>
      <c r="B4" s="1" t="inlineStr">
        <is>
          <t>Contenido</t>
        </is>
      </c>
      <c r="C4" s="1" t="inlineStr">
        <is>
          <t>Filas (vínculo)</t>
        </is>
      </c>
    </row>
    <row r="5">
      <c r="A5" s="2" t="inlineStr">
        <is>
          <t>IPVA_nuevo_existente</t>
        </is>
      </c>
      <c r="B5" t="inlineStr">
        <is>
          <t>INE, IPVA (59004, 59005) · 2015-2024 · capa C4</t>
        </is>
      </c>
      <c r="C5" s="3">
        <f>COUNTA('IPVA_nuevo_existente'!A5:A100000)</f>
        <v/>
      </c>
    </row>
    <row r="6">
      <c r="A6" s="2" t="inlineStr">
        <is>
          <t>Provincias</t>
        </is>
      </c>
      <c r="B6" t="inlineStr">
        <is>
          <t>MIVAU (valor tasado, SERPAVI); INE (censo anual, ADRH); V5-A4 · 2023-2025 · capa C4</t>
        </is>
      </c>
      <c r="C6" s="3">
        <f>COUNTA('Provincias'!A5:A100000)</f>
        <v/>
      </c>
    </row>
    <row r="7">
      <c r="A7" s="2" t="inlineStr">
        <is>
          <t>CV_municipios</t>
        </is>
      </c>
      <c r="B7" t="inlineStr">
        <is>
          <t>INE censo anual; MIVAU SERPAVI; INE VUT; Catastro · 2019-2026 · capa C4</t>
        </is>
      </c>
      <c r="C7" s="3">
        <f>COUNTA('CV_municipios'!A5:A100000)</f>
        <v/>
      </c>
    </row>
    <row r="8">
      <c r="A8" s="2" t="inlineStr">
        <is>
          <t>Valencia_barrios</t>
        </is>
      </c>
      <c r="B8" t="inlineStr">
        <is>
          <t>INE (censo anual, ADRH, VUT, Censo 2021); MIVAU SERPAVI; Ajuntament de València · 2019-2026 · capa C4 (recuentos de población por barrio repartidos por área)</t>
        </is>
      </c>
      <c r="C8" s="3">
        <f>COUNTA('Valencia_barrios'!A5:A100000)</f>
        <v/>
      </c>
    </row>
    <row r="9">
      <c r="A9" s="2" t="inlineStr">
        <is>
          <t>Quien_ECV</t>
        </is>
      </c>
      <c r="B9" t="inlineStr">
        <is>
          <t>INE ECV (microdatos), cálculo propio · ECV 2025 · capa C1 o C4 según fila (columna capa)</t>
        </is>
      </c>
      <c r="C9" s="3">
        <f>COUNTA('Quien_ECV'!A5:A100000)</f>
        <v/>
      </c>
    </row>
    <row r="11">
      <c r="A11" s="1" t="inlineStr">
        <is>
          <t>Brecha IPVA España, último año (vínculo)</t>
        </is>
      </c>
      <c r="C11" s="3">
        <f>SUMIFS('IPVA_nuevo_existente'!H5:H268,'IPVA_nuevo_existente'!A5:A268,"nacional",'IPVA_nuevo_existente'!D5:D268,MAX('IPVA_nuevo_existente'!D5:D268))</f>
        <v/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IPVA_nuevo_existente: datos de entrada en azul; cálculos de esta hoja en negro</t>
        </is>
      </c>
    </row>
    <row r="2">
      <c r="A2" s="4" t="inlineStr">
        <is>
          <t>Fuente: INE, IPVA (59004, 59005). Fecha del dato: 2015-2024. Capa: C4.</t>
        </is>
      </c>
    </row>
    <row r="4">
      <c r="A4" s="5" t="inlineStr">
        <is>
          <t>nivel</t>
        </is>
      </c>
      <c r="B4" s="5" t="inlineStr">
        <is>
          <t>territorio_codigo</t>
        </is>
      </c>
      <c r="C4" s="5" t="inlineStr">
        <is>
          <t>nombre</t>
        </is>
      </c>
      <c r="D4" s="5" t="inlineStr">
        <is>
          <t>periodo</t>
        </is>
      </c>
      <c r="E4" s="5" t="inlineStr">
        <is>
          <t>nuevo</t>
        </is>
      </c>
      <c r="F4" s="5" t="inlineStr">
        <is>
          <t>existente</t>
        </is>
      </c>
      <c r="G4" s="5" t="inlineStr">
        <is>
          <t>total</t>
        </is>
      </c>
      <c r="H4" s="1" t="inlineStr">
        <is>
          <t>brecha_nuevo_menos_existente</t>
        </is>
      </c>
    </row>
    <row r="5">
      <c r="A5" s="4" t="inlineStr">
        <is>
          <t>nacional</t>
        </is>
      </c>
      <c r="B5" s="4" t="inlineStr">
        <is>
          <t>00</t>
        </is>
      </c>
      <c r="C5" s="4" t="inlineStr">
        <is>
          <t>España</t>
        </is>
      </c>
      <c r="D5" s="4" t="n">
        <v>2021</v>
      </c>
      <c r="E5" s="4" t="n">
        <v>114.871</v>
      </c>
      <c r="F5" s="4" t="n">
        <v>112.229</v>
      </c>
      <c r="G5" s="4" t="n">
        <v>112.694</v>
      </c>
      <c r="H5" s="6">
        <f>IF(AND(ISNUMBER(E5),ISNUMBER(F5)),E5-F5,"")</f>
        <v/>
      </c>
    </row>
    <row r="6">
      <c r="A6" s="4" t="inlineStr">
        <is>
          <t>nacional</t>
        </is>
      </c>
      <c r="B6" s="4" t="inlineStr">
        <is>
          <t>00</t>
        </is>
      </c>
      <c r="C6" s="4" t="inlineStr">
        <is>
          <t>España</t>
        </is>
      </c>
      <c r="D6" s="4" t="n">
        <v>2022</v>
      </c>
      <c r="E6" s="4" t="n">
        <v>120.958</v>
      </c>
      <c r="F6" s="4" t="n">
        <v>114.639</v>
      </c>
      <c r="G6" s="4" t="n">
        <v>115.684</v>
      </c>
      <c r="H6" s="6">
        <f>IF(AND(ISNUMBER(E6),ISNUMBER(F6)),E6-F6,"")</f>
        <v/>
      </c>
    </row>
    <row r="7">
      <c r="A7" s="4" t="inlineStr">
        <is>
          <t>nacional</t>
        </is>
      </c>
      <c r="B7" s="4" t="inlineStr">
        <is>
          <t>00</t>
        </is>
      </c>
      <c r="C7" s="4" t="inlineStr">
        <is>
          <t>España</t>
        </is>
      </c>
      <c r="D7" s="4" t="n">
        <v>2023</v>
      </c>
      <c r="E7" s="4" t="n">
        <v>125.959</v>
      </c>
      <c r="F7" s="4" t="n">
        <v>117.361</v>
      </c>
      <c r="G7" s="4" t="n">
        <v>118.727</v>
      </c>
      <c r="H7" s="6">
        <f>IF(AND(ISNUMBER(E7),ISNUMBER(F7)),E7-F7,"")</f>
        <v/>
      </c>
    </row>
    <row r="8">
      <c r="A8" s="4" t="inlineStr">
        <is>
          <t>nacional</t>
        </is>
      </c>
      <c r="B8" s="4" t="inlineStr">
        <is>
          <t>00</t>
        </is>
      </c>
      <c r="C8" s="4" t="inlineStr">
        <is>
          <t>España</t>
        </is>
      </c>
      <c r="D8" s="4" t="n">
        <v>2024</v>
      </c>
      <c r="E8" s="4" t="n">
        <v>137.041</v>
      </c>
      <c r="F8" s="4" t="n">
        <v>120.637</v>
      </c>
      <c r="G8" s="4" t="n">
        <v>122.92</v>
      </c>
      <c r="H8" s="6">
        <f>IF(AND(ISNUMBER(E8),ISNUMBER(F8)),E8-F8,"")</f>
        <v/>
      </c>
    </row>
    <row r="9">
      <c r="A9" s="4" t="inlineStr">
        <is>
          <t>ccaa</t>
        </is>
      </c>
      <c r="B9" s="4" t="inlineStr">
        <is>
          <t>01</t>
        </is>
      </c>
      <c r="C9" s="4" t="inlineStr">
        <is>
          <t>Andalucía</t>
        </is>
      </c>
      <c r="D9" s="4" t="n">
        <v>2021</v>
      </c>
      <c r="E9" s="4" t="n">
        <v>114.939</v>
      </c>
      <c r="F9" s="4" t="n">
        <v>111.729</v>
      </c>
      <c r="G9" s="4" t="n">
        <v>112.471</v>
      </c>
      <c r="H9" s="6">
        <f>IF(AND(ISNUMBER(E9),ISNUMBER(F9)),E9-F9,"")</f>
        <v/>
      </c>
    </row>
    <row r="10">
      <c r="A10" s="4" t="inlineStr">
        <is>
          <t>ccaa</t>
        </is>
      </c>
      <c r="B10" s="4" t="inlineStr">
        <is>
          <t>01</t>
        </is>
      </c>
      <c r="C10" s="4" t="inlineStr">
        <is>
          <t>Andalucía</t>
        </is>
      </c>
      <c r="D10" s="4" t="n">
        <v>2022</v>
      </c>
      <c r="E10" s="4" t="n">
        <v>120.976</v>
      </c>
      <c r="F10" s="4" t="n">
        <v>114.043</v>
      </c>
      <c r="G10" s="4" t="n">
        <v>115.57</v>
      </c>
      <c r="H10" s="6">
        <f>IF(AND(ISNUMBER(E10),ISNUMBER(F10)),E10-F10,"")</f>
        <v/>
      </c>
    </row>
    <row r="11">
      <c r="A11" s="4" t="inlineStr">
        <is>
          <t>ccaa</t>
        </is>
      </c>
      <c r="B11" s="4" t="inlineStr">
        <is>
          <t>01</t>
        </is>
      </c>
      <c r="C11" s="4" t="inlineStr">
        <is>
          <t>Andalucía</t>
        </is>
      </c>
      <c r="D11" s="4" t="n">
        <v>2023</v>
      </c>
      <c r="E11" s="4" t="n">
        <v>125.4</v>
      </c>
      <c r="F11" s="4" t="n">
        <v>116.656</v>
      </c>
      <c r="G11" s="4" t="n">
        <v>118.53</v>
      </c>
      <c r="H11" s="6">
        <f>IF(AND(ISNUMBER(E11),ISNUMBER(F11)),E11-F11,"")</f>
        <v/>
      </c>
    </row>
    <row r="12">
      <c r="A12" s="4" t="inlineStr">
        <is>
          <t>ccaa</t>
        </is>
      </c>
      <c r="B12" s="4" t="inlineStr">
        <is>
          <t>01</t>
        </is>
      </c>
      <c r="C12" s="4" t="inlineStr">
        <is>
          <t>Andalucía</t>
        </is>
      </c>
      <c r="D12" s="4" t="n">
        <v>2024</v>
      </c>
      <c r="E12" s="4" t="n">
        <v>136.009</v>
      </c>
      <c r="F12" s="4" t="n">
        <v>120.001</v>
      </c>
      <c r="G12" s="4" t="n">
        <v>123.029</v>
      </c>
      <c r="H12" s="6">
        <f>IF(AND(ISNUMBER(E12),ISNUMBER(F12)),E12-F12,"")</f>
        <v/>
      </c>
    </row>
    <row r="13">
      <c r="A13" s="4" t="inlineStr">
        <is>
          <t>ccaa</t>
        </is>
      </c>
      <c r="B13" s="4" t="inlineStr">
        <is>
          <t>02</t>
        </is>
      </c>
      <c r="C13" s="4" t="inlineStr">
        <is>
          <t>Aragón</t>
        </is>
      </c>
      <c r="D13" s="4" t="n">
        <v>2021</v>
      </c>
      <c r="E13" s="4" t="n">
        <v>114.284</v>
      </c>
      <c r="F13" s="4" t="n">
        <v>110.127</v>
      </c>
      <c r="G13" s="4" t="n">
        <v>110.742</v>
      </c>
      <c r="H13" s="6">
        <f>IF(AND(ISNUMBER(E13),ISNUMBER(F13)),E13-F13,"")</f>
        <v/>
      </c>
    </row>
    <row r="14">
      <c r="A14" s="4" t="inlineStr">
        <is>
          <t>ccaa</t>
        </is>
      </c>
      <c r="B14" s="4" t="inlineStr">
        <is>
          <t>02</t>
        </is>
      </c>
      <c r="C14" s="4" t="inlineStr">
        <is>
          <t>Aragón</t>
        </is>
      </c>
      <c r="D14" s="4" t="n">
        <v>2022</v>
      </c>
      <c r="E14" s="4" t="n">
        <v>120.309</v>
      </c>
      <c r="F14" s="4" t="n">
        <v>112.432</v>
      </c>
      <c r="G14" s="4" t="n">
        <v>113.566</v>
      </c>
      <c r="H14" s="6">
        <f>IF(AND(ISNUMBER(E14),ISNUMBER(F14)),E14-F14,"")</f>
        <v/>
      </c>
    </row>
    <row r="15">
      <c r="A15" s="4" t="inlineStr">
        <is>
          <t>ccaa</t>
        </is>
      </c>
      <c r="B15" s="4" t="inlineStr">
        <is>
          <t>02</t>
        </is>
      </c>
      <c r="C15" s="4" t="inlineStr">
        <is>
          <t>Aragón</t>
        </is>
      </c>
      <c r="D15" s="4" t="n">
        <v>2023</v>
      </c>
      <c r="E15" s="4" t="n">
        <v>124.339</v>
      </c>
      <c r="F15" s="4" t="n">
        <v>114.863</v>
      </c>
      <c r="G15" s="4" t="n">
        <v>116.212</v>
      </c>
      <c r="H15" s="6">
        <f>IF(AND(ISNUMBER(E15),ISNUMBER(F15)),E15-F15,"")</f>
        <v/>
      </c>
    </row>
    <row r="16">
      <c r="A16" s="4" t="inlineStr">
        <is>
          <t>ccaa</t>
        </is>
      </c>
      <c r="B16" s="4" t="inlineStr">
        <is>
          <t>02</t>
        </is>
      </c>
      <c r="C16" s="4" t="inlineStr">
        <is>
          <t>Aragón</t>
        </is>
      </c>
      <c r="D16" s="4" t="n">
        <v>2024</v>
      </c>
      <c r="E16" s="4" t="n">
        <v>134.141</v>
      </c>
      <c r="F16" s="4" t="n">
        <v>117.745</v>
      </c>
      <c r="G16" s="4" t="n">
        <v>119.907</v>
      </c>
      <c r="H16" s="6">
        <f>IF(AND(ISNUMBER(E16),ISNUMBER(F16)),E16-F16,"")</f>
        <v/>
      </c>
    </row>
    <row r="17">
      <c r="A17" s="4" t="inlineStr">
        <is>
          <t>ccaa</t>
        </is>
      </c>
      <c r="B17" s="4" t="inlineStr">
        <is>
          <t>03</t>
        </is>
      </c>
      <c r="C17" s="4" t="inlineStr">
        <is>
          <t>Asturias, Principado de</t>
        </is>
      </c>
      <c r="D17" s="4" t="n">
        <v>2021</v>
      </c>
      <c r="E17" s="4" t="n">
        <v>110.926</v>
      </c>
      <c r="F17" s="4" t="n">
        <v>107.434</v>
      </c>
      <c r="G17" s="4" t="n">
        <v>107.998</v>
      </c>
      <c r="H17" s="6">
        <f>IF(AND(ISNUMBER(E17),ISNUMBER(F17)),E17-F17,"")</f>
        <v/>
      </c>
    </row>
    <row r="18">
      <c r="A18" s="4" t="inlineStr">
        <is>
          <t>ccaa</t>
        </is>
      </c>
      <c r="B18" s="4" t="inlineStr">
        <is>
          <t>03</t>
        </is>
      </c>
      <c r="C18" s="4" t="inlineStr">
        <is>
          <t>Asturias, Principado de</t>
        </is>
      </c>
      <c r="D18" s="4" t="n">
        <v>2022</v>
      </c>
      <c r="E18" s="4" t="n">
        <v>115.599</v>
      </c>
      <c r="F18" s="4" t="n">
        <v>108.834</v>
      </c>
      <c r="G18" s="4" t="n">
        <v>109.909</v>
      </c>
      <c r="H18" s="6">
        <f>IF(AND(ISNUMBER(E18),ISNUMBER(F18)),E18-F18,"")</f>
        <v/>
      </c>
    </row>
    <row r="19">
      <c r="A19" s="4" t="inlineStr">
        <is>
          <t>ccaa</t>
        </is>
      </c>
      <c r="B19" s="4" t="inlineStr">
        <is>
          <t>03</t>
        </is>
      </c>
      <c r="C19" s="4" t="inlineStr">
        <is>
          <t>Asturias, Principado de</t>
        </is>
      </c>
      <c r="D19" s="4" t="n">
        <v>2023</v>
      </c>
      <c r="E19" s="4" t="n">
        <v>119.069</v>
      </c>
      <c r="F19" s="4" t="n">
        <v>110.59</v>
      </c>
      <c r="G19" s="4" t="n">
        <v>111.921</v>
      </c>
      <c r="H19" s="6">
        <f>IF(AND(ISNUMBER(E19),ISNUMBER(F19)),E19-F19,"")</f>
        <v/>
      </c>
    </row>
    <row r="20">
      <c r="A20" s="4" t="inlineStr">
        <is>
          <t>ccaa</t>
        </is>
      </c>
      <c r="B20" s="4" t="inlineStr">
        <is>
          <t>03</t>
        </is>
      </c>
      <c r="C20" s="4" t="inlineStr">
        <is>
          <t>Asturias, Principado de</t>
        </is>
      </c>
      <c r="D20" s="4" t="n">
        <v>2024</v>
      </c>
      <c r="E20" s="4" t="n">
        <v>128.638</v>
      </c>
      <c r="F20" s="4" t="n">
        <v>112.668</v>
      </c>
      <c r="G20" s="4" t="n">
        <v>114.919</v>
      </c>
      <c r="H20" s="6">
        <f>IF(AND(ISNUMBER(E20),ISNUMBER(F20)),E20-F20,"")</f>
        <v/>
      </c>
    </row>
    <row r="21">
      <c r="A21" s="4" t="inlineStr">
        <is>
          <t>ccaa</t>
        </is>
      </c>
      <c r="B21" s="4" t="inlineStr">
        <is>
          <t>04</t>
        </is>
      </c>
      <c r="C21" s="4" t="inlineStr">
        <is>
          <t>Balears, Illes</t>
        </is>
      </c>
      <c r="D21" s="4" t="n">
        <v>2021</v>
      </c>
      <c r="E21" s="4" t="n">
        <v>118.678</v>
      </c>
      <c r="F21" s="4" t="n">
        <v>115.066</v>
      </c>
      <c r="G21" s="4" t="n">
        <v>115.745</v>
      </c>
      <c r="H21" s="6">
        <f>IF(AND(ISNUMBER(E21),ISNUMBER(F21)),E21-F21,"")</f>
        <v/>
      </c>
    </row>
    <row r="22">
      <c r="A22" s="4" t="inlineStr">
        <is>
          <t>ccaa</t>
        </is>
      </c>
      <c r="B22" s="4" t="inlineStr">
        <is>
          <t>04</t>
        </is>
      </c>
      <c r="C22" s="4" t="inlineStr">
        <is>
          <t>Balears, Illes</t>
        </is>
      </c>
      <c r="D22" s="4" t="n">
        <v>2022</v>
      </c>
      <c r="E22" s="4" t="n">
        <v>127.231</v>
      </c>
      <c r="F22" s="4" t="n">
        <v>118.519</v>
      </c>
      <c r="G22" s="4" t="n">
        <v>120.007</v>
      </c>
      <c r="H22" s="6">
        <f>IF(AND(ISNUMBER(E22),ISNUMBER(F22)),E22-F22,"")</f>
        <v/>
      </c>
    </row>
    <row r="23">
      <c r="A23" s="4" t="inlineStr">
        <is>
          <t>ccaa</t>
        </is>
      </c>
      <c r="B23" s="4" t="inlineStr">
        <is>
          <t>04</t>
        </is>
      </c>
      <c r="C23" s="4" t="inlineStr">
        <is>
          <t>Balears, Illes</t>
        </is>
      </c>
      <c r="D23" s="4" t="n">
        <v>2023</v>
      </c>
      <c r="E23" s="4" t="n">
        <v>134.452</v>
      </c>
      <c r="F23" s="4" t="n">
        <v>121.891</v>
      </c>
      <c r="G23" s="4" t="n">
        <v>123.906</v>
      </c>
      <c r="H23" s="6">
        <f>IF(AND(ISNUMBER(E23),ISNUMBER(F23)),E23-F23,"")</f>
        <v/>
      </c>
    </row>
    <row r="24">
      <c r="A24" s="4" t="inlineStr">
        <is>
          <t>ccaa</t>
        </is>
      </c>
      <c r="B24" s="4" t="inlineStr">
        <is>
          <t>04</t>
        </is>
      </c>
      <c r="C24" s="4" t="inlineStr">
        <is>
          <t>Balears, Illes</t>
        </is>
      </c>
      <c r="D24" s="4" t="n">
        <v>2024</v>
      </c>
      <c r="E24" s="4" t="n">
        <v>147.846</v>
      </c>
      <c r="F24" s="4" t="n">
        <v>125.711</v>
      </c>
      <c r="G24" s="4" t="n">
        <v>128.808</v>
      </c>
      <c r="H24" s="6">
        <f>IF(AND(ISNUMBER(E24),ISNUMBER(F24)),E24-F24,"")</f>
        <v/>
      </c>
    </row>
    <row r="25">
      <c r="A25" s="4" t="inlineStr">
        <is>
          <t>ccaa</t>
        </is>
      </c>
      <c r="B25" s="4" t="inlineStr">
        <is>
          <t>05</t>
        </is>
      </c>
      <c r="C25" s="4" t="inlineStr">
        <is>
          <t>Canarias</t>
        </is>
      </c>
      <c r="D25" s="4" t="n">
        <v>2021</v>
      </c>
      <c r="E25" s="4" t="n">
        <v>115.386</v>
      </c>
      <c r="F25" s="4" t="n">
        <v>112.335</v>
      </c>
      <c r="G25" s="4" t="n">
        <v>112.979</v>
      </c>
      <c r="H25" s="6">
        <f>IF(AND(ISNUMBER(E25),ISNUMBER(F25)),E25-F25,"")</f>
        <v/>
      </c>
    </row>
    <row r="26">
      <c r="A26" s="4" t="inlineStr">
        <is>
          <t>ccaa</t>
        </is>
      </c>
      <c r="B26" s="4" t="inlineStr">
        <is>
          <t>05</t>
        </is>
      </c>
      <c r="C26" s="4" t="inlineStr">
        <is>
          <t>Canarias</t>
        </is>
      </c>
      <c r="D26" s="4" t="n">
        <v>2022</v>
      </c>
      <c r="E26" s="4" t="n">
        <v>121.921</v>
      </c>
      <c r="F26" s="4" t="n">
        <v>114.963</v>
      </c>
      <c r="G26" s="4" t="n">
        <v>116.327</v>
      </c>
      <c r="H26" s="6">
        <f>IF(AND(ISNUMBER(E26),ISNUMBER(F26)),E26-F26,"")</f>
        <v/>
      </c>
    </row>
    <row r="27">
      <c r="A27" s="4" t="inlineStr">
        <is>
          <t>ccaa</t>
        </is>
      </c>
      <c r="B27" s="4" t="inlineStr">
        <is>
          <t>05</t>
        </is>
      </c>
      <c r="C27" s="4" t="inlineStr">
        <is>
          <t>Canarias</t>
        </is>
      </c>
      <c r="D27" s="4" t="n">
        <v>2023</v>
      </c>
      <c r="E27" s="4" t="n">
        <v>127.521</v>
      </c>
      <c r="F27" s="4" t="n">
        <v>117.716</v>
      </c>
      <c r="G27" s="4" t="n">
        <v>119.54</v>
      </c>
      <c r="H27" s="6">
        <f>IF(AND(ISNUMBER(E27),ISNUMBER(F27)),E27-F27,"")</f>
        <v/>
      </c>
    </row>
    <row r="28">
      <c r="A28" s="4" t="inlineStr">
        <is>
          <t>ccaa</t>
        </is>
      </c>
      <c r="B28" s="4" t="inlineStr">
        <is>
          <t>05</t>
        </is>
      </c>
      <c r="C28" s="4" t="inlineStr">
        <is>
          <t>Canarias</t>
        </is>
      </c>
      <c r="D28" s="4" t="n">
        <v>2024</v>
      </c>
      <c r="E28" s="4" t="n">
        <v>138.86</v>
      </c>
      <c r="F28" s="4" t="n">
        <v>121.178</v>
      </c>
      <c r="G28" s="4" t="n">
        <v>124.014</v>
      </c>
      <c r="H28" s="6">
        <f>IF(AND(ISNUMBER(E28),ISNUMBER(F28)),E28-F28,"")</f>
        <v/>
      </c>
    </row>
    <row r="29">
      <c r="A29" s="4" t="inlineStr">
        <is>
          <t>ccaa</t>
        </is>
      </c>
      <c r="B29" s="4" t="inlineStr">
        <is>
          <t>06</t>
        </is>
      </c>
      <c r="C29" s="4" t="inlineStr">
        <is>
          <t>Cantabria</t>
        </is>
      </c>
      <c r="D29" s="4" t="n">
        <v>2021</v>
      </c>
      <c r="E29" s="4" t="n">
        <v>113.357</v>
      </c>
      <c r="F29" s="4" t="n">
        <v>109.076</v>
      </c>
      <c r="G29" s="4" t="n">
        <v>109.83</v>
      </c>
      <c r="H29" s="6">
        <f>IF(AND(ISNUMBER(E29),ISNUMBER(F29)),E29-F29,"")</f>
        <v/>
      </c>
    </row>
    <row r="30">
      <c r="A30" s="4" t="inlineStr">
        <is>
          <t>ccaa</t>
        </is>
      </c>
      <c r="B30" s="4" t="inlineStr">
        <is>
          <t>06</t>
        </is>
      </c>
      <c r="C30" s="4" t="inlineStr">
        <is>
          <t>Cantabria</t>
        </is>
      </c>
      <c r="D30" s="4" t="n">
        <v>2022</v>
      </c>
      <c r="E30" s="4" t="n">
        <v>119.551</v>
      </c>
      <c r="F30" s="4" t="n">
        <v>110.938</v>
      </c>
      <c r="G30" s="4" t="n">
        <v>112.429</v>
      </c>
      <c r="H30" s="6">
        <f>IF(AND(ISNUMBER(E30),ISNUMBER(F30)),E30-F30,"")</f>
        <v/>
      </c>
    </row>
    <row r="31">
      <c r="A31" s="4" t="inlineStr">
        <is>
          <t>ccaa</t>
        </is>
      </c>
      <c r="B31" s="4" t="inlineStr">
        <is>
          <t>06</t>
        </is>
      </c>
      <c r="C31" s="4" t="inlineStr">
        <is>
          <t>Cantabria</t>
        </is>
      </c>
      <c r="D31" s="4" t="n">
        <v>2023</v>
      </c>
      <c r="E31" s="4" t="n">
        <v>124.474</v>
      </c>
      <c r="F31" s="4" t="n">
        <v>113.218</v>
      </c>
      <c r="G31" s="4" t="n">
        <v>115.126</v>
      </c>
      <c r="H31" s="6">
        <f>IF(AND(ISNUMBER(E31),ISNUMBER(F31)),E31-F31,"")</f>
        <v/>
      </c>
    </row>
    <row r="32">
      <c r="A32" s="4" t="inlineStr">
        <is>
          <t>ccaa</t>
        </is>
      </c>
      <c r="B32" s="4" t="inlineStr">
        <is>
          <t>06</t>
        </is>
      </c>
      <c r="C32" s="4" t="inlineStr">
        <is>
          <t>Cantabria</t>
        </is>
      </c>
      <c r="D32" s="4" t="n">
        <v>2024</v>
      </c>
      <c r="E32" s="4" t="n">
        <v>136.185</v>
      </c>
      <c r="F32" s="4" t="n">
        <v>115.938</v>
      </c>
      <c r="G32" s="4" t="n">
        <v>118.981</v>
      </c>
      <c r="H32" s="6">
        <f>IF(AND(ISNUMBER(E32),ISNUMBER(F32)),E32-F32,"")</f>
        <v/>
      </c>
    </row>
    <row r="33">
      <c r="A33" s="4" t="inlineStr">
        <is>
          <t>ccaa</t>
        </is>
      </c>
      <c r="B33" s="4" t="inlineStr">
        <is>
          <t>07</t>
        </is>
      </c>
      <c r="C33" s="4" t="inlineStr">
        <is>
          <t>Castilla y León</t>
        </is>
      </c>
      <c r="D33" s="4" t="n">
        <v>2021</v>
      </c>
      <c r="E33" s="4" t="n">
        <v>111.672</v>
      </c>
      <c r="F33" s="4" t="n">
        <v>108.247</v>
      </c>
      <c r="G33" s="4" t="n">
        <v>108.862</v>
      </c>
      <c r="H33" s="6">
        <f>IF(AND(ISNUMBER(E33),ISNUMBER(F33)),E33-F33,"")</f>
        <v/>
      </c>
    </row>
    <row r="34">
      <c r="A34" s="4" t="inlineStr">
        <is>
          <t>ccaa</t>
        </is>
      </c>
      <c r="B34" s="4" t="inlineStr">
        <is>
          <t>07</t>
        </is>
      </c>
      <c r="C34" s="4" t="inlineStr">
        <is>
          <t>Castilla y León</t>
        </is>
      </c>
      <c r="D34" s="4" t="n">
        <v>2022</v>
      </c>
      <c r="E34" s="4" t="n">
        <v>116.264</v>
      </c>
      <c r="F34" s="4" t="n">
        <v>109.898</v>
      </c>
      <c r="G34" s="4" t="n">
        <v>111.038</v>
      </c>
      <c r="H34" s="6">
        <f>IF(AND(ISNUMBER(E34),ISNUMBER(F34)),E34-F34,"")</f>
        <v/>
      </c>
    </row>
    <row r="35">
      <c r="A35" s="4" t="inlineStr">
        <is>
          <t>ccaa</t>
        </is>
      </c>
      <c r="B35" s="4" t="inlineStr">
        <is>
          <t>07</t>
        </is>
      </c>
      <c r="C35" s="4" t="inlineStr">
        <is>
          <t>Castilla y León</t>
        </is>
      </c>
      <c r="D35" s="4" t="n">
        <v>2023</v>
      </c>
      <c r="E35" s="4" t="n">
        <v>119.615</v>
      </c>
      <c r="F35" s="4" t="n">
        <v>111.853</v>
      </c>
      <c r="G35" s="4" t="n">
        <v>113.231</v>
      </c>
      <c r="H35" s="6">
        <f>IF(AND(ISNUMBER(E35),ISNUMBER(F35)),E35-F35,"")</f>
        <v/>
      </c>
    </row>
    <row r="36">
      <c r="A36" s="4" t="inlineStr">
        <is>
          <t>ccaa</t>
        </is>
      </c>
      <c r="B36" s="4" t="inlineStr">
        <is>
          <t>07</t>
        </is>
      </c>
      <c r="C36" s="4" t="inlineStr">
        <is>
          <t>Castilla y León</t>
        </is>
      </c>
      <c r="D36" s="4" t="n">
        <v>2024</v>
      </c>
      <c r="E36" s="4" t="n">
        <v>128.245</v>
      </c>
      <c r="F36" s="4" t="n">
        <v>114.373</v>
      </c>
      <c r="G36" s="4" t="n">
        <v>116.655</v>
      </c>
      <c r="H36" s="6">
        <f>IF(AND(ISNUMBER(E36),ISNUMBER(F36)),E36-F36,"")</f>
        <v/>
      </c>
    </row>
    <row r="37">
      <c r="A37" s="4" t="inlineStr">
        <is>
          <t>ccaa</t>
        </is>
      </c>
      <c r="B37" s="4" t="inlineStr">
        <is>
          <t>08</t>
        </is>
      </c>
      <c r="C37" s="4" t="inlineStr">
        <is>
          <t>Castilla-La Mancha</t>
        </is>
      </c>
      <c r="D37" s="4" t="n">
        <v>2021</v>
      </c>
      <c r="E37" s="4" t="n">
        <v>115.904</v>
      </c>
      <c r="F37" s="4" t="n">
        <v>111.958</v>
      </c>
      <c r="G37" s="4" t="n">
        <v>112.728</v>
      </c>
      <c r="H37" s="6">
        <f>IF(AND(ISNUMBER(E37),ISNUMBER(F37)),E37-F37,"")</f>
        <v/>
      </c>
    </row>
    <row r="38">
      <c r="A38" s="4" t="inlineStr">
        <is>
          <t>ccaa</t>
        </is>
      </c>
      <c r="B38" s="4" t="inlineStr">
        <is>
          <t>08</t>
        </is>
      </c>
      <c r="C38" s="4" t="inlineStr">
        <is>
          <t>Castilla-La Mancha</t>
        </is>
      </c>
      <c r="D38" s="4" t="n">
        <v>2022</v>
      </c>
      <c r="E38" s="4" t="n">
        <v>122.282</v>
      </c>
      <c r="F38" s="4" t="n">
        <v>114.144</v>
      </c>
      <c r="G38" s="4" t="n">
        <v>115.736</v>
      </c>
      <c r="H38" s="6">
        <f>IF(AND(ISNUMBER(E38),ISNUMBER(F38)),E38-F38,"")</f>
        <v/>
      </c>
    </row>
    <row r="39">
      <c r="A39" s="4" t="inlineStr">
        <is>
          <t>ccaa</t>
        </is>
      </c>
      <c r="B39" s="4" t="inlineStr">
        <is>
          <t>08</t>
        </is>
      </c>
      <c r="C39" s="4" t="inlineStr">
        <is>
          <t>Castilla-La Mancha</t>
        </is>
      </c>
      <c r="D39" s="4" t="n">
        <v>2023</v>
      </c>
      <c r="E39" s="4" t="n">
        <v>126.643</v>
      </c>
      <c r="F39" s="4" t="n">
        <v>116.898</v>
      </c>
      <c r="G39" s="4" t="n">
        <v>118.784</v>
      </c>
      <c r="H39" s="6">
        <f>IF(AND(ISNUMBER(E39),ISNUMBER(F39)),E39-F39,"")</f>
        <v/>
      </c>
    </row>
    <row r="40">
      <c r="A40" s="4" t="inlineStr">
        <is>
          <t>ccaa</t>
        </is>
      </c>
      <c r="B40" s="4" t="inlineStr">
        <is>
          <t>08</t>
        </is>
      </c>
      <c r="C40" s="4" t="inlineStr">
        <is>
          <t>Castilla-La Mancha</t>
        </is>
      </c>
      <c r="D40" s="4" t="n">
        <v>2024</v>
      </c>
      <c r="E40" s="4" t="n">
        <v>137.328</v>
      </c>
      <c r="F40" s="4" t="n">
        <v>120.019</v>
      </c>
      <c r="G40" s="4" t="n">
        <v>123.071</v>
      </c>
      <c r="H40" s="6">
        <f>IF(AND(ISNUMBER(E40),ISNUMBER(F40)),E40-F40,"")</f>
        <v/>
      </c>
    </row>
    <row r="41">
      <c r="A41" s="4" t="inlineStr">
        <is>
          <t>ccaa</t>
        </is>
      </c>
      <c r="B41" s="4" t="inlineStr">
        <is>
          <t>09</t>
        </is>
      </c>
      <c r="C41" s="4" t="inlineStr">
        <is>
          <t>Cataluña</t>
        </is>
      </c>
      <c r="D41" s="4" t="n">
        <v>2021</v>
      </c>
      <c r="E41" s="4" t="n">
        <v>115.325</v>
      </c>
      <c r="F41" s="4" t="n">
        <v>113.642</v>
      </c>
      <c r="G41" s="4" t="n">
        <v>113.876</v>
      </c>
      <c r="H41" s="6">
        <f>IF(AND(ISNUMBER(E41),ISNUMBER(F41)),E41-F41,"")</f>
        <v/>
      </c>
    </row>
    <row r="42">
      <c r="A42" s="4" t="inlineStr">
        <is>
          <t>ccaa</t>
        </is>
      </c>
      <c r="B42" s="4" t="inlineStr">
        <is>
          <t>09</t>
        </is>
      </c>
      <c r="C42" s="4" t="inlineStr">
        <is>
          <t>Cataluña</t>
        </is>
      </c>
      <c r="D42" s="4" t="n">
        <v>2022</v>
      </c>
      <c r="E42" s="4" t="n">
        <v>120.793</v>
      </c>
      <c r="F42" s="4" t="n">
        <v>116.213</v>
      </c>
      <c r="G42" s="4" t="n">
        <v>116.791</v>
      </c>
      <c r="H42" s="6">
        <f>IF(AND(ISNUMBER(E42),ISNUMBER(F42)),E42-F42,"")</f>
        <v/>
      </c>
    </row>
    <row r="43">
      <c r="A43" s="4" t="inlineStr">
        <is>
          <t>ccaa</t>
        </is>
      </c>
      <c r="B43" s="4" t="inlineStr">
        <is>
          <t>09</t>
        </is>
      </c>
      <c r="C43" s="4" t="inlineStr">
        <is>
          <t>Cataluña</t>
        </is>
      </c>
      <c r="D43" s="4" t="n">
        <v>2023</v>
      </c>
      <c r="E43" s="4" t="n">
        <v>125.681</v>
      </c>
      <c r="F43" s="4" t="n">
        <v>119.057</v>
      </c>
      <c r="G43" s="4" t="n">
        <v>119.854</v>
      </c>
      <c r="H43" s="6">
        <f>IF(AND(ISNUMBER(E43),ISNUMBER(F43)),E43-F43,"")</f>
        <v/>
      </c>
    </row>
    <row r="44">
      <c r="A44" s="4" t="inlineStr">
        <is>
          <t>ccaa</t>
        </is>
      </c>
      <c r="B44" s="4" t="inlineStr">
        <is>
          <t>09</t>
        </is>
      </c>
      <c r="C44" s="4" t="inlineStr">
        <is>
          <t>Cataluña</t>
        </is>
      </c>
      <c r="D44" s="4" t="n">
        <v>2024</v>
      </c>
      <c r="E44" s="4" t="n">
        <v>135.142</v>
      </c>
      <c r="F44" s="4" t="n">
        <v>122.2</v>
      </c>
      <c r="G44" s="4" t="n">
        <v>123.561</v>
      </c>
      <c r="H44" s="6">
        <f>IF(AND(ISNUMBER(E44),ISNUMBER(F44)),E44-F44,"")</f>
        <v/>
      </c>
    </row>
    <row r="45">
      <c r="A45" s="4" t="inlineStr">
        <is>
          <t>ccaa</t>
        </is>
      </c>
      <c r="B45" s="4" t="inlineStr">
        <is>
          <t>10</t>
        </is>
      </c>
      <c r="C45" s="4" t="inlineStr">
        <is>
          <t>Comunitat Valenciana</t>
        </is>
      </c>
      <c r="D45" s="4" t="n">
        <v>2021</v>
      </c>
      <c r="E45" s="4" t="n">
        <v>118.305</v>
      </c>
      <c r="F45" s="4" t="n">
        <v>113.783</v>
      </c>
      <c r="G45" s="4" t="n">
        <v>114.679</v>
      </c>
      <c r="H45" s="6">
        <f>IF(AND(ISNUMBER(E45),ISNUMBER(F45)),E45-F45,"")</f>
        <v/>
      </c>
    </row>
    <row r="46">
      <c r="A46" s="4" t="inlineStr">
        <is>
          <t>ccaa</t>
        </is>
      </c>
      <c r="B46" s="4" t="inlineStr">
        <is>
          <t>10</t>
        </is>
      </c>
      <c r="C46" s="4" t="inlineStr">
        <is>
          <t>Comunitat Valenciana</t>
        </is>
      </c>
      <c r="D46" s="4" t="n">
        <v>2022</v>
      </c>
      <c r="E46" s="4" t="n">
        <v>126.576</v>
      </c>
      <c r="F46" s="4" t="n">
        <v>116.878</v>
      </c>
      <c r="G46" s="4" t="n">
        <v>118.716</v>
      </c>
      <c r="H46" s="6">
        <f>IF(AND(ISNUMBER(E46),ISNUMBER(F46)),E46-F46,"")</f>
        <v/>
      </c>
    </row>
    <row r="47">
      <c r="A47" s="4" t="inlineStr">
        <is>
          <t>ccaa</t>
        </is>
      </c>
      <c r="B47" s="4" t="inlineStr">
        <is>
          <t>10</t>
        </is>
      </c>
      <c r="C47" s="4" t="inlineStr">
        <is>
          <t>Comunitat Valenciana</t>
        </is>
      </c>
      <c r="D47" s="4" t="n">
        <v>2023</v>
      </c>
      <c r="E47" s="4" t="n">
        <v>133.631</v>
      </c>
      <c r="F47" s="4" t="n">
        <v>120.634</v>
      </c>
      <c r="G47" s="4" t="n">
        <v>123.021</v>
      </c>
      <c r="H47" s="6">
        <f>IF(AND(ISNUMBER(E47),ISNUMBER(F47)),E47-F47,"")</f>
        <v/>
      </c>
    </row>
    <row r="48">
      <c r="A48" s="4" t="inlineStr">
        <is>
          <t>ccaa</t>
        </is>
      </c>
      <c r="B48" s="4" t="inlineStr">
        <is>
          <t>10</t>
        </is>
      </c>
      <c r="C48" s="4" t="inlineStr">
        <is>
          <t>Comunitat Valenciana</t>
        </is>
      </c>
      <c r="D48" s="4" t="n">
        <v>2024</v>
      </c>
      <c r="E48" s="4" t="n">
        <v>148.938</v>
      </c>
      <c r="F48" s="4" t="n">
        <v>125.295</v>
      </c>
      <c r="G48" s="4" t="n">
        <v>129.196</v>
      </c>
      <c r="H48" s="6">
        <f>IF(AND(ISNUMBER(E48),ISNUMBER(F48)),E48-F48,"")</f>
        <v/>
      </c>
    </row>
    <row r="49">
      <c r="A49" s="4" t="inlineStr">
        <is>
          <t>ccaa</t>
        </is>
      </c>
      <c r="B49" s="4" t="inlineStr">
        <is>
          <t>11</t>
        </is>
      </c>
      <c r="C49" s="4" t="inlineStr">
        <is>
          <t>Extremadura</t>
        </is>
      </c>
      <c r="D49" s="4" t="n">
        <v>2021</v>
      </c>
      <c r="E49" s="4" t="n">
        <v>111.504</v>
      </c>
      <c r="F49" s="4" t="n">
        <v>108.512</v>
      </c>
      <c r="G49" s="4" t="n">
        <v>109.235</v>
      </c>
      <c r="H49" s="6">
        <f>IF(AND(ISNUMBER(E49),ISNUMBER(F49)),E49-F49,"")</f>
        <v/>
      </c>
    </row>
    <row r="50">
      <c r="A50" s="4" t="inlineStr">
        <is>
          <t>ccaa</t>
        </is>
      </c>
      <c r="B50" s="4" t="inlineStr">
        <is>
          <t>11</t>
        </is>
      </c>
      <c r="C50" s="4" t="inlineStr">
        <is>
          <t>Extremadura</t>
        </is>
      </c>
      <c r="D50" s="4" t="n">
        <v>2022</v>
      </c>
      <c r="E50" s="4" t="n">
        <v>116.433</v>
      </c>
      <c r="F50" s="4" t="n">
        <v>110.22</v>
      </c>
      <c r="G50" s="4" t="n">
        <v>111.716</v>
      </c>
      <c r="H50" s="6">
        <f>IF(AND(ISNUMBER(E50),ISNUMBER(F50)),E50-F50,"")</f>
        <v/>
      </c>
    </row>
    <row r="51">
      <c r="A51" s="4" t="inlineStr">
        <is>
          <t>ccaa</t>
        </is>
      </c>
      <c r="B51" s="4" t="inlineStr">
        <is>
          <t>11</t>
        </is>
      </c>
      <c r="C51" s="4" t="inlineStr">
        <is>
          <t>Extremadura</t>
        </is>
      </c>
      <c r="D51" s="4" t="n">
        <v>2023</v>
      </c>
      <c r="E51" s="4" t="n">
        <v>119.833</v>
      </c>
      <c r="F51" s="4" t="n">
        <v>112.295</v>
      </c>
      <c r="G51" s="4" t="n">
        <v>114.087</v>
      </c>
      <c r="H51" s="6">
        <f>IF(AND(ISNUMBER(E51),ISNUMBER(F51)),E51-F51,"")</f>
        <v/>
      </c>
    </row>
    <row r="52">
      <c r="A52" s="4" t="inlineStr">
        <is>
          <t>ccaa</t>
        </is>
      </c>
      <c r="B52" s="4" t="inlineStr">
        <is>
          <t>11</t>
        </is>
      </c>
      <c r="C52" s="4" t="inlineStr">
        <is>
          <t>Extremadura</t>
        </is>
      </c>
      <c r="D52" s="4" t="n">
        <v>2024</v>
      </c>
      <c r="E52" s="4" t="n">
        <v>128.397</v>
      </c>
      <c r="F52" s="4" t="n">
        <v>114.915</v>
      </c>
      <c r="G52" s="4" t="n">
        <v>117.849</v>
      </c>
      <c r="H52" s="6">
        <f>IF(AND(ISNUMBER(E52),ISNUMBER(F52)),E52-F52,"")</f>
        <v/>
      </c>
    </row>
    <row r="53">
      <c r="A53" s="4" t="inlineStr">
        <is>
          <t>ccaa</t>
        </is>
      </c>
      <c r="B53" s="4" t="inlineStr">
        <is>
          <t>12</t>
        </is>
      </c>
      <c r="C53" s="4" t="inlineStr">
        <is>
          <t>Galicia</t>
        </is>
      </c>
      <c r="D53" s="4" t="n">
        <v>2021</v>
      </c>
      <c r="E53" s="4" t="n">
        <v>112.157</v>
      </c>
      <c r="F53" s="4" t="n">
        <v>108.269</v>
      </c>
      <c r="G53" s="4" t="n">
        <v>108.885</v>
      </c>
      <c r="H53" s="6">
        <f>IF(AND(ISNUMBER(E53),ISNUMBER(F53)),E53-F53,"")</f>
        <v/>
      </c>
    </row>
    <row r="54">
      <c r="A54" s="4" t="inlineStr">
        <is>
          <t>ccaa</t>
        </is>
      </c>
      <c r="B54" s="4" t="inlineStr">
        <is>
          <t>12</t>
        </is>
      </c>
      <c r="C54" s="4" t="inlineStr">
        <is>
          <t>Galicia</t>
        </is>
      </c>
      <c r="D54" s="4" t="n">
        <v>2022</v>
      </c>
      <c r="E54" s="4" t="n">
        <v>118.433</v>
      </c>
      <c r="F54" s="4" t="n">
        <v>110.412</v>
      </c>
      <c r="G54" s="4" t="n">
        <v>111.654</v>
      </c>
      <c r="H54" s="6">
        <f>IF(AND(ISNUMBER(E54),ISNUMBER(F54)),E54-F54,"")</f>
        <v/>
      </c>
    </row>
    <row r="55">
      <c r="A55" s="4" t="inlineStr">
        <is>
          <t>ccaa</t>
        </is>
      </c>
      <c r="B55" s="4" t="inlineStr">
        <is>
          <t>12</t>
        </is>
      </c>
      <c r="C55" s="4" t="inlineStr">
        <is>
          <t>Galicia</t>
        </is>
      </c>
      <c r="D55" s="4" t="n">
        <v>2023</v>
      </c>
      <c r="E55" s="4" t="n">
        <v>123.367</v>
      </c>
      <c r="F55" s="4" t="n">
        <v>112.685</v>
      </c>
      <c r="G55" s="4" t="n">
        <v>114.303</v>
      </c>
      <c r="H55" s="6">
        <f>IF(AND(ISNUMBER(E55),ISNUMBER(F55)),E55-F55,"")</f>
        <v/>
      </c>
    </row>
    <row r="56">
      <c r="A56" s="4" t="inlineStr">
        <is>
          <t>ccaa</t>
        </is>
      </c>
      <c r="B56" s="4" t="inlineStr">
        <is>
          <t>12</t>
        </is>
      </c>
      <c r="C56" s="4" t="inlineStr">
        <is>
          <t>Galicia</t>
        </is>
      </c>
      <c r="D56" s="4" t="n">
        <v>2024</v>
      </c>
      <c r="E56" s="4" t="n">
        <v>134.476</v>
      </c>
      <c r="F56" s="4" t="n">
        <v>115.593</v>
      </c>
      <c r="G56" s="4" t="n">
        <v>118.206</v>
      </c>
      <c r="H56" s="6">
        <f>IF(AND(ISNUMBER(E56),ISNUMBER(F56)),E56-F56,"")</f>
        <v/>
      </c>
    </row>
    <row r="57">
      <c r="A57" s="4" t="inlineStr">
        <is>
          <t>ccaa</t>
        </is>
      </c>
      <c r="B57" s="4" t="inlineStr">
        <is>
          <t>13</t>
        </is>
      </c>
      <c r="C57" s="4" t="inlineStr">
        <is>
          <t>Madrid, Comunidad de</t>
        </is>
      </c>
      <c r="D57" s="4" t="n">
        <v>2021</v>
      </c>
      <c r="E57" s="4" t="n">
        <v>113.661</v>
      </c>
      <c r="F57" s="4" t="n">
        <v>112.298</v>
      </c>
      <c r="G57" s="4" t="n">
        <v>112.539</v>
      </c>
      <c r="H57" s="6">
        <f>IF(AND(ISNUMBER(E57),ISNUMBER(F57)),E57-F57,"")</f>
        <v/>
      </c>
    </row>
    <row r="58">
      <c r="A58" s="4" t="inlineStr">
        <is>
          <t>ccaa</t>
        </is>
      </c>
      <c r="B58" s="4" t="inlineStr">
        <is>
          <t>13</t>
        </is>
      </c>
      <c r="C58" s="4" t="inlineStr">
        <is>
          <t>Madrid, Comunidad de</t>
        </is>
      </c>
      <c r="D58" s="4" t="n">
        <v>2022</v>
      </c>
      <c r="E58" s="4" t="n">
        <v>119.327</v>
      </c>
      <c r="F58" s="4" t="n">
        <v>114.531</v>
      </c>
      <c r="G58" s="4" t="n">
        <v>115.294</v>
      </c>
      <c r="H58" s="6">
        <f>IF(AND(ISNUMBER(E58),ISNUMBER(F58)),E58-F58,"")</f>
        <v/>
      </c>
    </row>
    <row r="59">
      <c r="A59" s="4" t="inlineStr">
        <is>
          <t>ccaa</t>
        </is>
      </c>
      <c r="B59" s="4" t="inlineStr">
        <is>
          <t>13</t>
        </is>
      </c>
      <c r="C59" s="4" t="inlineStr">
        <is>
          <t>Madrid, Comunidad de</t>
        </is>
      </c>
      <c r="D59" s="4" t="n">
        <v>2023</v>
      </c>
      <c r="E59" s="4" t="n">
        <v>124.319</v>
      </c>
      <c r="F59" s="4" t="n">
        <v>117.106</v>
      </c>
      <c r="G59" s="4" t="n">
        <v>118.178</v>
      </c>
      <c r="H59" s="6">
        <f>IF(AND(ISNUMBER(E59),ISNUMBER(F59)),E59-F59,"")</f>
        <v/>
      </c>
    </row>
    <row r="60">
      <c r="A60" s="4" t="inlineStr">
        <is>
          <t>ccaa</t>
        </is>
      </c>
      <c r="B60" s="4" t="inlineStr">
        <is>
          <t>13</t>
        </is>
      </c>
      <c r="C60" s="4" t="inlineStr">
        <is>
          <t>Madrid, Comunidad de</t>
        </is>
      </c>
      <c r="D60" s="4" t="n">
        <v>2024</v>
      </c>
      <c r="E60" s="4" t="n">
        <v>135.753</v>
      </c>
      <c r="F60" s="4" t="n">
        <v>120.323</v>
      </c>
      <c r="G60" s="4" t="n">
        <v>122.246</v>
      </c>
      <c r="H60" s="6">
        <f>IF(AND(ISNUMBER(E60),ISNUMBER(F60)),E60-F60,"")</f>
        <v/>
      </c>
    </row>
    <row r="61">
      <c r="A61" s="4" t="inlineStr">
        <is>
          <t>ccaa</t>
        </is>
      </c>
      <c r="B61" s="4" t="inlineStr">
        <is>
          <t>14</t>
        </is>
      </c>
      <c r="C61" s="4" t="inlineStr">
        <is>
          <t>Murcia, Región de</t>
        </is>
      </c>
      <c r="D61" s="4" t="n">
        <v>2021</v>
      </c>
      <c r="E61" s="4" t="n">
        <v>115.351</v>
      </c>
      <c r="F61" s="4" t="n">
        <v>111.091</v>
      </c>
      <c r="G61" s="4" t="n">
        <v>111.978</v>
      </c>
      <c r="H61" s="6">
        <f>IF(AND(ISNUMBER(E61),ISNUMBER(F61)),E61-F61,"")</f>
        <v/>
      </c>
    </row>
    <row r="62">
      <c r="A62" s="4" t="inlineStr">
        <is>
          <t>ccaa</t>
        </is>
      </c>
      <c r="B62" s="4" t="inlineStr">
        <is>
          <t>14</t>
        </is>
      </c>
      <c r="C62" s="4" t="inlineStr">
        <is>
          <t>Murcia, Región de</t>
        </is>
      </c>
      <c r="D62" s="4" t="n">
        <v>2022</v>
      </c>
      <c r="E62" s="4" t="n">
        <v>121.443</v>
      </c>
      <c r="F62" s="4" t="n">
        <v>113.244</v>
      </c>
      <c r="G62" s="4" t="n">
        <v>114.904</v>
      </c>
      <c r="H62" s="6">
        <f>IF(AND(ISNUMBER(E62),ISNUMBER(F62)),E62-F62,"")</f>
        <v/>
      </c>
    </row>
    <row r="63">
      <c r="A63" s="4" t="inlineStr">
        <is>
          <t>ccaa</t>
        </is>
      </c>
      <c r="B63" s="4" t="inlineStr">
        <is>
          <t>14</t>
        </is>
      </c>
      <c r="C63" s="4" t="inlineStr">
        <is>
          <t>Murcia, Región de</t>
        </is>
      </c>
      <c r="D63" s="4" t="n">
        <v>2023</v>
      </c>
      <c r="E63" s="4" t="n">
        <v>125.345</v>
      </c>
      <c r="F63" s="4" t="n">
        <v>115.729</v>
      </c>
      <c r="G63" s="4" t="n">
        <v>117.657</v>
      </c>
      <c r="H63" s="6">
        <f>IF(AND(ISNUMBER(E63),ISNUMBER(F63)),E63-F63,"")</f>
        <v/>
      </c>
    </row>
    <row r="64">
      <c r="A64" s="4" t="inlineStr">
        <is>
          <t>ccaa</t>
        </is>
      </c>
      <c r="B64" s="4" t="inlineStr">
        <is>
          <t>14</t>
        </is>
      </c>
      <c r="C64" s="4" t="inlineStr">
        <is>
          <t>Murcia, Región de</t>
        </is>
      </c>
      <c r="D64" s="4" t="n">
        <v>2024</v>
      </c>
      <c r="E64" s="4" t="n">
        <v>134.979</v>
      </c>
      <c r="F64" s="4" t="n">
        <v>118.64</v>
      </c>
      <c r="G64" s="4" t="n">
        <v>121.613</v>
      </c>
      <c r="H64" s="6">
        <f>IF(AND(ISNUMBER(E64),ISNUMBER(F64)),E64-F64,"")</f>
        <v/>
      </c>
    </row>
    <row r="65">
      <c r="A65" s="4" t="inlineStr">
        <is>
          <t>ccaa</t>
        </is>
      </c>
      <c r="B65" s="4" t="inlineStr">
        <is>
          <t>17</t>
        </is>
      </c>
      <c r="C65" s="4" t="inlineStr">
        <is>
          <t>Rioja, La</t>
        </is>
      </c>
      <c r="D65" s="4" t="n">
        <v>2021</v>
      </c>
      <c r="E65" s="4" t="n">
        <v>113.558</v>
      </c>
      <c r="F65" s="4" t="n">
        <v>110.07</v>
      </c>
      <c r="G65" s="4" t="n">
        <v>110.651</v>
      </c>
      <c r="H65" s="6">
        <f>IF(AND(ISNUMBER(E65),ISNUMBER(F65)),E65-F65,"")</f>
        <v/>
      </c>
    </row>
    <row r="66">
      <c r="A66" s="4" t="inlineStr">
        <is>
          <t>ccaa</t>
        </is>
      </c>
      <c r="B66" s="4" t="inlineStr">
        <is>
          <t>17</t>
        </is>
      </c>
      <c r="C66" s="4" t="inlineStr">
        <is>
          <t>Rioja, La</t>
        </is>
      </c>
      <c r="D66" s="4" t="n">
        <v>2022</v>
      </c>
      <c r="E66" s="4" t="n">
        <v>119.237</v>
      </c>
      <c r="F66" s="4" t="n">
        <v>112.252</v>
      </c>
      <c r="G66" s="4" t="n">
        <v>113.42</v>
      </c>
      <c r="H66" s="6">
        <f>IF(AND(ISNUMBER(E66),ISNUMBER(F66)),E66-F66,"")</f>
        <v/>
      </c>
    </row>
    <row r="67">
      <c r="A67" s="4" t="inlineStr">
        <is>
          <t>ccaa</t>
        </is>
      </c>
      <c r="B67" s="4" t="inlineStr">
        <is>
          <t>17</t>
        </is>
      </c>
      <c r="C67" s="4" t="inlineStr">
        <is>
          <t>Rioja, La</t>
        </is>
      </c>
      <c r="D67" s="4" t="n">
        <v>2023</v>
      </c>
      <c r="E67" s="4" t="n">
        <v>122.808</v>
      </c>
      <c r="F67" s="4" t="n">
        <v>114.646</v>
      </c>
      <c r="G67" s="4" t="n">
        <v>115.998</v>
      </c>
      <c r="H67" s="6">
        <f>IF(AND(ISNUMBER(E67),ISNUMBER(F67)),E67-F67,"")</f>
        <v/>
      </c>
    </row>
    <row r="68">
      <c r="A68" s="4" t="inlineStr">
        <is>
          <t>ccaa</t>
        </is>
      </c>
      <c r="B68" s="4" t="inlineStr">
        <is>
          <t>17</t>
        </is>
      </c>
      <c r="C68" s="4" t="inlineStr">
        <is>
          <t>Rioja, La</t>
        </is>
      </c>
      <c r="D68" s="4" t="n">
        <v>2024</v>
      </c>
      <c r="E68" s="4" t="n">
        <v>132.315</v>
      </c>
      <c r="F68" s="4" t="n">
        <v>117.343</v>
      </c>
      <c r="G68" s="4" t="n">
        <v>119.62</v>
      </c>
      <c r="H68" s="6">
        <f>IF(AND(ISNUMBER(E68),ISNUMBER(F68)),E68-F68,"")</f>
        <v/>
      </c>
    </row>
    <row r="69">
      <c r="A69" s="4" t="inlineStr">
        <is>
          <t>ccaa</t>
        </is>
      </c>
      <c r="B69" s="4" t="inlineStr">
        <is>
          <t>18</t>
        </is>
      </c>
      <c r="C69" s="4" t="inlineStr">
        <is>
          <t>Ceuta</t>
        </is>
      </c>
      <c r="D69" s="4" t="n">
        <v>2021</v>
      </c>
      <c r="E69" s="4" t="n">
        <v>108.986</v>
      </c>
      <c r="F69" s="4" t="n">
        <v>106.205</v>
      </c>
      <c r="G69" s="4" t="n">
        <v>106.884</v>
      </c>
      <c r="H69" s="6">
        <f>IF(AND(ISNUMBER(E69),ISNUMBER(F69)),E69-F69,"")</f>
        <v/>
      </c>
    </row>
    <row r="70">
      <c r="A70" s="4" t="inlineStr">
        <is>
          <t>ccaa</t>
        </is>
      </c>
      <c r="B70" s="4" t="inlineStr">
        <is>
          <t>18</t>
        </is>
      </c>
      <c r="C70" s="4" t="inlineStr">
        <is>
          <t>Ceuta</t>
        </is>
      </c>
      <c r="D70" s="4" t="n">
        <v>2022</v>
      </c>
      <c r="E70" s="4" t="n">
        <v>110.772</v>
      </c>
      <c r="F70" s="4" t="n">
        <v>106.693</v>
      </c>
      <c r="G70" s="4" t="n">
        <v>107.679</v>
      </c>
      <c r="H70" s="6">
        <f>IF(AND(ISNUMBER(E70),ISNUMBER(F70)),E70-F70,"")</f>
        <v/>
      </c>
    </row>
    <row r="71">
      <c r="A71" s="4" t="inlineStr">
        <is>
          <t>ccaa</t>
        </is>
      </c>
      <c r="B71" s="4" t="inlineStr">
        <is>
          <t>18</t>
        </is>
      </c>
      <c r="C71" s="4" t="inlineStr">
        <is>
          <t>Ceuta</t>
        </is>
      </c>
      <c r="D71" s="4" t="n">
        <v>2023</v>
      </c>
      <c r="E71" s="4" t="n">
        <v>112.884</v>
      </c>
      <c r="F71" s="4" t="n">
        <v>107.193</v>
      </c>
      <c r="G71" s="4" t="n">
        <v>108.542</v>
      </c>
      <c r="H71" s="6">
        <f>IF(AND(ISNUMBER(E71),ISNUMBER(F71)),E71-F71,"")</f>
        <v/>
      </c>
    </row>
    <row r="72">
      <c r="A72" s="4" t="inlineStr">
        <is>
          <t>ccaa</t>
        </is>
      </c>
      <c r="B72" s="4" t="inlineStr">
        <is>
          <t>18</t>
        </is>
      </c>
      <c r="C72" s="4" t="inlineStr">
        <is>
          <t>Ceuta</t>
        </is>
      </c>
      <c r="D72" s="4" t="n">
        <v>2024</v>
      </c>
      <c r="E72" s="4" t="n">
        <v>117.083</v>
      </c>
      <c r="F72" s="4" t="n">
        <v>108.349</v>
      </c>
      <c r="G72" s="4" t="n">
        <v>110.191</v>
      </c>
      <c r="H72" s="6">
        <f>IF(AND(ISNUMBER(E72),ISNUMBER(F72)),E72-F72,"")</f>
        <v/>
      </c>
    </row>
    <row r="73">
      <c r="A73" s="4" t="inlineStr">
        <is>
          <t>ccaa</t>
        </is>
      </c>
      <c r="B73" s="4" t="inlineStr">
        <is>
          <t>19</t>
        </is>
      </c>
      <c r="C73" s="4" t="inlineStr">
        <is>
          <t>Melilla</t>
        </is>
      </c>
      <c r="D73" s="4" t="n">
        <v>2021</v>
      </c>
      <c r="E73" s="4" t="n">
        <v>107.97</v>
      </c>
      <c r="F73" s="4" t="n">
        <v>105.355</v>
      </c>
      <c r="G73" s="4" t="n">
        <v>105.804</v>
      </c>
      <c r="H73" s="6">
        <f>IF(AND(ISNUMBER(E73),ISNUMBER(F73)),E73-F73,"")</f>
        <v/>
      </c>
    </row>
    <row r="74">
      <c r="A74" s="4" t="inlineStr">
        <is>
          <t>ccaa</t>
        </is>
      </c>
      <c r="B74" s="4" t="inlineStr">
        <is>
          <t>19</t>
        </is>
      </c>
      <c r="C74" s="4" t="inlineStr">
        <is>
          <t>Melilla</t>
        </is>
      </c>
      <c r="D74" s="4" t="n">
        <v>2022</v>
      </c>
      <c r="E74" s="4" t="n">
        <v>110.751</v>
      </c>
      <c r="F74" s="4" t="n">
        <v>106.193</v>
      </c>
      <c r="G74" s="4" t="n">
        <v>107.011</v>
      </c>
      <c r="H74" s="6">
        <f>IF(AND(ISNUMBER(E74),ISNUMBER(F74)),E74-F74,"")</f>
        <v/>
      </c>
    </row>
    <row r="75">
      <c r="A75" s="4" t="inlineStr">
        <is>
          <t>ccaa</t>
        </is>
      </c>
      <c r="B75" s="4" t="inlineStr">
        <is>
          <t>19</t>
        </is>
      </c>
      <c r="C75" s="4" t="inlineStr">
        <is>
          <t>Melilla</t>
        </is>
      </c>
      <c r="D75" s="4" t="n">
        <v>2023</v>
      </c>
      <c r="E75" s="4" t="n">
        <v>109.862</v>
      </c>
      <c r="F75" s="4" t="n">
        <v>106.879</v>
      </c>
      <c r="G75" s="4" t="n">
        <v>107.428</v>
      </c>
      <c r="H75" s="6">
        <f>IF(AND(ISNUMBER(E75),ISNUMBER(F75)),E75-F75,"")</f>
        <v/>
      </c>
    </row>
    <row r="76">
      <c r="A76" s="4" t="inlineStr">
        <is>
          <t>ccaa</t>
        </is>
      </c>
      <c r="B76" s="4" t="inlineStr">
        <is>
          <t>19</t>
        </is>
      </c>
      <c r="C76" s="4" t="inlineStr">
        <is>
          <t>Melilla</t>
        </is>
      </c>
      <c r="D76" s="4" t="n">
        <v>2024</v>
      </c>
      <c r="E76" s="4" t="n">
        <v>114.402</v>
      </c>
      <c r="F76" s="4" t="n">
        <v>107.633</v>
      </c>
      <c r="G76" s="4" t="n">
        <v>108.771</v>
      </c>
      <c r="H76" s="6">
        <f>IF(AND(ISNUMBER(E76),ISNUMBER(F76)),E76-F76,"")</f>
        <v/>
      </c>
    </row>
    <row r="77">
      <c r="A77" s="4" t="inlineStr">
        <is>
          <t>provincia</t>
        </is>
      </c>
      <c r="B77" s="4" t="inlineStr">
        <is>
          <t>02</t>
        </is>
      </c>
      <c r="C77" s="4" t="inlineStr">
        <is>
          <t>Albacete</t>
        </is>
      </c>
      <c r="D77" s="4" t="n">
        <v>2021</v>
      </c>
      <c r="E77" s="4" t="n">
        <v>113.112</v>
      </c>
      <c r="F77" s="4" t="n">
        <v>109.456</v>
      </c>
      <c r="G77" s="4" t="n">
        <v>110.121</v>
      </c>
      <c r="H77" s="6">
        <f>IF(AND(ISNUMBER(E77),ISNUMBER(F77)),E77-F77,"")</f>
        <v/>
      </c>
    </row>
    <row r="78">
      <c r="A78" s="4" t="inlineStr">
        <is>
          <t>provincia</t>
        </is>
      </c>
      <c r="B78" s="4" t="inlineStr">
        <is>
          <t>02</t>
        </is>
      </c>
      <c r="C78" s="4" t="inlineStr">
        <is>
          <t>Albacete</t>
        </is>
      </c>
      <c r="D78" s="4" t="n">
        <v>2022</v>
      </c>
      <c r="E78" s="4" t="n">
        <v>118.84</v>
      </c>
      <c r="F78" s="4" t="n">
        <v>111.219</v>
      </c>
      <c r="G78" s="4" t="n">
        <v>112.628</v>
      </c>
      <c r="H78" s="6">
        <f>IF(AND(ISNUMBER(E78),ISNUMBER(F78)),E78-F78,"")</f>
        <v/>
      </c>
    </row>
    <row r="79">
      <c r="A79" s="4" t="inlineStr">
        <is>
          <t>provincia</t>
        </is>
      </c>
      <c r="B79" s="4" t="inlineStr">
        <is>
          <t>02</t>
        </is>
      </c>
      <c r="C79" s="4" t="inlineStr">
        <is>
          <t>Albacete</t>
        </is>
      </c>
      <c r="D79" s="4" t="n">
        <v>2023</v>
      </c>
      <c r="E79" s="4" t="n">
        <v>122.486</v>
      </c>
      <c r="F79" s="4" t="n">
        <v>113.487</v>
      </c>
      <c r="G79" s="4" t="n">
        <v>115.13</v>
      </c>
      <c r="H79" s="6">
        <f>IF(AND(ISNUMBER(E79),ISNUMBER(F79)),E79-F79,"")</f>
        <v/>
      </c>
    </row>
    <row r="80">
      <c r="A80" s="4" t="inlineStr">
        <is>
          <t>provincia</t>
        </is>
      </c>
      <c r="B80" s="4" t="inlineStr">
        <is>
          <t>02</t>
        </is>
      </c>
      <c r="C80" s="4" t="inlineStr">
        <is>
          <t>Albacete</t>
        </is>
      </c>
      <c r="D80" s="4" t="n">
        <v>2024</v>
      </c>
      <c r="E80" s="4" t="n">
        <v>130.957</v>
      </c>
      <c r="F80" s="4" t="n">
        <v>116.091</v>
      </c>
      <c r="G80" s="4" t="n">
        <v>118.601</v>
      </c>
      <c r="H80" s="6">
        <f>IF(AND(ISNUMBER(E80),ISNUMBER(F80)),E80-F80,"")</f>
        <v/>
      </c>
    </row>
    <row r="81">
      <c r="A81" s="4" t="inlineStr">
        <is>
          <t>provincia</t>
        </is>
      </c>
      <c r="B81" s="4" t="inlineStr">
        <is>
          <t>03</t>
        </is>
      </c>
      <c r="C81" s="4" t="inlineStr">
        <is>
          <t>Alicante/Alacant</t>
        </is>
      </c>
      <c r="D81" s="4" t="n">
        <v>2021</v>
      </c>
      <c r="E81" s="4" t="n">
        <v>115.148</v>
      </c>
      <c r="F81" s="4" t="n">
        <v>111.339</v>
      </c>
      <c r="G81" s="4" t="n">
        <v>112.182</v>
      </c>
      <c r="H81" s="6">
        <f>IF(AND(ISNUMBER(E81),ISNUMBER(F81)),E81-F81,"")</f>
        <v/>
      </c>
    </row>
    <row r="82">
      <c r="A82" s="4" t="inlineStr">
        <is>
          <t>provincia</t>
        </is>
      </c>
      <c r="B82" s="4" t="inlineStr">
        <is>
          <t>03</t>
        </is>
      </c>
      <c r="C82" s="4" t="inlineStr">
        <is>
          <t>Alicante/Alacant</t>
        </is>
      </c>
      <c r="D82" s="4" t="n">
        <v>2022</v>
      </c>
      <c r="E82" s="4" t="n">
        <v>122.188</v>
      </c>
      <c r="F82" s="4" t="n">
        <v>113.743</v>
      </c>
      <c r="G82" s="4" t="n">
        <v>115.537</v>
      </c>
      <c r="H82" s="6">
        <f>IF(AND(ISNUMBER(E82),ISNUMBER(F82)),E82-F82,"")</f>
        <v/>
      </c>
    </row>
    <row r="83">
      <c r="A83" s="4" t="inlineStr">
        <is>
          <t>provincia</t>
        </is>
      </c>
      <c r="B83" s="4" t="inlineStr">
        <is>
          <t>03</t>
        </is>
      </c>
      <c r="C83" s="4" t="inlineStr">
        <is>
          <t>Alicante/Alacant</t>
        </is>
      </c>
      <c r="D83" s="4" t="n">
        <v>2023</v>
      </c>
      <c r="E83" s="4" t="n">
        <v>127.534</v>
      </c>
      <c r="F83" s="4" t="n">
        <v>116.812</v>
      </c>
      <c r="G83" s="4" t="n">
        <v>119.031</v>
      </c>
      <c r="H83" s="6">
        <f>IF(AND(ISNUMBER(E83),ISNUMBER(F83)),E83-F83,"")</f>
        <v/>
      </c>
    </row>
    <row r="84">
      <c r="A84" s="4" t="inlineStr">
        <is>
          <t>provincia</t>
        </is>
      </c>
      <c r="B84" s="4" t="inlineStr">
        <is>
          <t>03</t>
        </is>
      </c>
      <c r="C84" s="4" t="inlineStr">
        <is>
          <t>Alicante/Alacant</t>
        </is>
      </c>
      <c r="D84" s="4" t="n">
        <v>2024</v>
      </c>
      <c r="E84" s="4" t="n">
        <v>140.69</v>
      </c>
      <c r="F84" s="4" t="n">
        <v>120.788</v>
      </c>
      <c r="G84" s="4" t="n">
        <v>124.481</v>
      </c>
      <c r="H84" s="6">
        <f>IF(AND(ISNUMBER(E84),ISNUMBER(F84)),E84-F84,"")</f>
        <v/>
      </c>
    </row>
    <row r="85">
      <c r="A85" s="4" t="inlineStr">
        <is>
          <t>provincia</t>
        </is>
      </c>
      <c r="B85" s="4" t="inlineStr">
        <is>
          <t>04</t>
        </is>
      </c>
      <c r="C85" s="4" t="inlineStr">
        <is>
          <t>Almería</t>
        </is>
      </c>
      <c r="D85" s="4" t="n">
        <v>2021</v>
      </c>
      <c r="E85" s="4" t="n">
        <v>115.099</v>
      </c>
      <c r="F85" s="4" t="n">
        <v>110.752</v>
      </c>
      <c r="G85" s="4" t="n">
        <v>111.744</v>
      </c>
      <c r="H85" s="6">
        <f>IF(AND(ISNUMBER(E85),ISNUMBER(F85)),E85-F85,"")</f>
        <v/>
      </c>
    </row>
    <row r="86">
      <c r="A86" s="4" t="inlineStr">
        <is>
          <t>provincia</t>
        </is>
      </c>
      <c r="B86" s="4" t="inlineStr">
        <is>
          <t>04</t>
        </is>
      </c>
      <c r="C86" s="4" t="inlineStr">
        <is>
          <t>Almería</t>
        </is>
      </c>
      <c r="D86" s="4" t="n">
        <v>2022</v>
      </c>
      <c r="E86" s="4" t="n">
        <v>121.361</v>
      </c>
      <c r="F86" s="4" t="n">
        <v>112.677</v>
      </c>
      <c r="G86" s="4" t="n">
        <v>114.64</v>
      </c>
      <c r="H86" s="6">
        <f>IF(AND(ISNUMBER(E86),ISNUMBER(F86)),E86-F86,"")</f>
        <v/>
      </c>
    </row>
    <row r="87">
      <c r="A87" s="4" t="inlineStr">
        <is>
          <t>provincia</t>
        </is>
      </c>
      <c r="B87" s="4" t="inlineStr">
        <is>
          <t>04</t>
        </is>
      </c>
      <c r="C87" s="4" t="inlineStr">
        <is>
          <t>Almería</t>
        </is>
      </c>
      <c r="D87" s="4" t="n">
        <v>2023</v>
      </c>
      <c r="E87" s="4" t="n">
        <v>125.624</v>
      </c>
      <c r="F87" s="4" t="n">
        <v>115.129</v>
      </c>
      <c r="G87" s="4" t="n">
        <v>117.471</v>
      </c>
      <c r="H87" s="6">
        <f>IF(AND(ISNUMBER(E87),ISNUMBER(F87)),E87-F87,"")</f>
        <v/>
      </c>
    </row>
    <row r="88">
      <c r="A88" s="4" t="inlineStr">
        <is>
          <t>provincia</t>
        </is>
      </c>
      <c r="B88" s="4" t="inlineStr">
        <is>
          <t>04</t>
        </is>
      </c>
      <c r="C88" s="4" t="inlineStr">
        <is>
          <t>Almería</t>
        </is>
      </c>
      <c r="D88" s="4" t="n">
        <v>2024</v>
      </c>
      <c r="E88" s="4" t="n">
        <v>134.785</v>
      </c>
      <c r="F88" s="4" t="n">
        <v>118.187</v>
      </c>
      <c r="G88" s="4" t="n">
        <v>121.611</v>
      </c>
      <c r="H88" s="6">
        <f>IF(AND(ISNUMBER(E88),ISNUMBER(F88)),E88-F88,"")</f>
        <v/>
      </c>
    </row>
    <row r="89">
      <c r="A89" s="4" t="inlineStr">
        <is>
          <t>provincia</t>
        </is>
      </c>
      <c r="B89" s="4" t="inlineStr">
        <is>
          <t>05</t>
        </is>
      </c>
      <c r="C89" s="4" t="inlineStr">
        <is>
          <t>Ávila</t>
        </is>
      </c>
      <c r="D89" s="4" t="n">
        <v>2021</v>
      </c>
      <c r="E89" s="4" t="n">
        <v>114.197</v>
      </c>
      <c r="F89" s="4" t="n">
        <v>110.591</v>
      </c>
      <c r="G89" s="4" t="n">
        <v>111.371</v>
      </c>
      <c r="H89" s="6">
        <f>IF(AND(ISNUMBER(E89),ISNUMBER(F89)),E89-F89,"")</f>
        <v/>
      </c>
    </row>
    <row r="90">
      <c r="A90" s="4" t="inlineStr">
        <is>
          <t>provincia</t>
        </is>
      </c>
      <c r="B90" s="4" t="inlineStr">
        <is>
          <t>05</t>
        </is>
      </c>
      <c r="C90" s="4" t="inlineStr">
        <is>
          <t>Ávila</t>
        </is>
      </c>
      <c r="D90" s="4" t="n">
        <v>2022</v>
      </c>
      <c r="E90" s="4" t="n">
        <v>121.142</v>
      </c>
      <c r="F90" s="4" t="n">
        <v>112.699</v>
      </c>
      <c r="G90" s="4" t="n">
        <v>114.48</v>
      </c>
      <c r="H90" s="6">
        <f>IF(AND(ISNUMBER(E90),ISNUMBER(F90)),E90-F90,"")</f>
        <v/>
      </c>
    </row>
    <row r="91">
      <c r="A91" s="4" t="inlineStr">
        <is>
          <t>provincia</t>
        </is>
      </c>
      <c r="B91" s="4" t="inlineStr">
        <is>
          <t>05</t>
        </is>
      </c>
      <c r="C91" s="4" t="inlineStr">
        <is>
          <t>Ávila</t>
        </is>
      </c>
      <c r="D91" s="4" t="n">
        <v>2023</v>
      </c>
      <c r="E91" s="4" t="n">
        <v>126.542</v>
      </c>
      <c r="F91" s="4" t="n">
        <v>115.528</v>
      </c>
      <c r="G91" s="4" t="n">
        <v>117.837</v>
      </c>
      <c r="H91" s="6">
        <f>IF(AND(ISNUMBER(E91),ISNUMBER(F91)),E91-F91,"")</f>
        <v/>
      </c>
    </row>
    <row r="92">
      <c r="A92" s="4" t="inlineStr">
        <is>
          <t>provincia</t>
        </is>
      </c>
      <c r="B92" s="4" t="inlineStr">
        <is>
          <t>05</t>
        </is>
      </c>
      <c r="C92" s="4" t="inlineStr">
        <is>
          <t>Ávila</t>
        </is>
      </c>
      <c r="D92" s="4" t="n">
        <v>2024</v>
      </c>
      <c r="E92" s="4" t="n">
        <v>137.588</v>
      </c>
      <c r="F92" s="4" t="n">
        <v>118.999</v>
      </c>
      <c r="G92" s="4" t="n">
        <v>122.619</v>
      </c>
      <c r="H92" s="6">
        <f>IF(AND(ISNUMBER(E92),ISNUMBER(F92)),E92-F92,"")</f>
        <v/>
      </c>
    </row>
    <row r="93">
      <c r="A93" s="4" t="inlineStr">
        <is>
          <t>provincia</t>
        </is>
      </c>
      <c r="B93" s="4" t="inlineStr">
        <is>
          <t>06</t>
        </is>
      </c>
      <c r="C93" s="4" t="inlineStr">
        <is>
          <t>Badajoz</t>
        </is>
      </c>
      <c r="D93" s="4" t="n">
        <v>2021</v>
      </c>
      <c r="E93" s="4" t="n">
        <v>111.795</v>
      </c>
      <c r="F93" s="4" t="n">
        <v>108.62</v>
      </c>
      <c r="G93" s="4" t="n">
        <v>109.386</v>
      </c>
      <c r="H93" s="6">
        <f>IF(AND(ISNUMBER(E93),ISNUMBER(F93)),E93-F93,"")</f>
        <v/>
      </c>
    </row>
    <row r="94">
      <c r="A94" s="4" t="inlineStr">
        <is>
          <t>provincia</t>
        </is>
      </c>
      <c r="B94" s="4" t="inlineStr">
        <is>
          <t>06</t>
        </is>
      </c>
      <c r="C94" s="4" t="inlineStr">
        <is>
          <t>Badajoz</t>
        </is>
      </c>
      <c r="D94" s="4" t="n">
        <v>2022</v>
      </c>
      <c r="E94" s="4" t="n">
        <v>116.909</v>
      </c>
      <c r="F94" s="4" t="n">
        <v>110.446</v>
      </c>
      <c r="G94" s="4" t="n">
        <v>112.018</v>
      </c>
      <c r="H94" s="6">
        <f>IF(AND(ISNUMBER(E94),ISNUMBER(F94)),E94-F94,"")</f>
        <v/>
      </c>
    </row>
    <row r="95">
      <c r="A95" s="4" t="inlineStr">
        <is>
          <t>provincia</t>
        </is>
      </c>
      <c r="B95" s="4" t="inlineStr">
        <is>
          <t>06</t>
        </is>
      </c>
      <c r="C95" s="4" t="inlineStr">
        <is>
          <t>Badajoz</t>
        </is>
      </c>
      <c r="D95" s="4" t="n">
        <v>2023</v>
      </c>
      <c r="E95" s="4" t="n">
        <v>120.619</v>
      </c>
      <c r="F95" s="4" t="n">
        <v>112.499</v>
      </c>
      <c r="G95" s="4" t="n">
        <v>114.436</v>
      </c>
      <c r="H95" s="6">
        <f>IF(AND(ISNUMBER(E95),ISNUMBER(F95)),E95-F95,"")</f>
        <v/>
      </c>
    </row>
    <row r="96">
      <c r="A96" s="4" t="inlineStr">
        <is>
          <t>provincia</t>
        </is>
      </c>
      <c r="B96" s="4" t="inlineStr">
        <is>
          <t>06</t>
        </is>
      </c>
      <c r="C96" s="4" t="inlineStr">
        <is>
          <t>Badajoz</t>
        </is>
      </c>
      <c r="D96" s="4" t="n">
        <v>2024</v>
      </c>
      <c r="E96" s="4" t="n">
        <v>129.005</v>
      </c>
      <c r="F96" s="4" t="n">
        <v>114.957</v>
      </c>
      <c r="G96" s="4" t="n">
        <v>118.024</v>
      </c>
      <c r="H96" s="6">
        <f>IF(AND(ISNUMBER(E96),ISNUMBER(F96)),E96-F96,"")</f>
        <v/>
      </c>
    </row>
    <row r="97">
      <c r="A97" s="4" t="inlineStr">
        <is>
          <t>provincia</t>
        </is>
      </c>
      <c r="B97" s="4" t="inlineStr">
        <is>
          <t>07</t>
        </is>
      </c>
      <c r="C97" s="4" t="inlineStr">
        <is>
          <t>Balears, Illes</t>
        </is>
      </c>
      <c r="D97" s="4" t="n">
        <v>2021</v>
      </c>
      <c r="E97" s="4" t="n">
        <v>118.678</v>
      </c>
      <c r="F97" s="4" t="n">
        <v>115.066</v>
      </c>
      <c r="G97" s="4" t="n">
        <v>115.745</v>
      </c>
      <c r="H97" s="6">
        <f>IF(AND(ISNUMBER(E97),ISNUMBER(F97)),E97-F97,"")</f>
        <v/>
      </c>
    </row>
    <row r="98">
      <c r="A98" s="4" t="inlineStr">
        <is>
          <t>provincia</t>
        </is>
      </c>
      <c r="B98" s="4" t="inlineStr">
        <is>
          <t>07</t>
        </is>
      </c>
      <c r="C98" s="4" t="inlineStr">
        <is>
          <t>Balears, Illes</t>
        </is>
      </c>
      <c r="D98" s="4" t="n">
        <v>2022</v>
      </c>
      <c r="E98" s="4" t="n">
        <v>127.231</v>
      </c>
      <c r="F98" s="4" t="n">
        <v>118.519</v>
      </c>
      <c r="G98" s="4" t="n">
        <v>120.007</v>
      </c>
      <c r="H98" s="6">
        <f>IF(AND(ISNUMBER(E98),ISNUMBER(F98)),E98-F98,"")</f>
        <v/>
      </c>
    </row>
    <row r="99">
      <c r="A99" s="4" t="inlineStr">
        <is>
          <t>provincia</t>
        </is>
      </c>
      <c r="B99" s="4" t="inlineStr">
        <is>
          <t>07</t>
        </is>
      </c>
      <c r="C99" s="4" t="inlineStr">
        <is>
          <t>Balears, Illes</t>
        </is>
      </c>
      <c r="D99" s="4" t="n">
        <v>2023</v>
      </c>
      <c r="E99" s="4" t="n">
        <v>134.452</v>
      </c>
      <c r="F99" s="4" t="n">
        <v>121.891</v>
      </c>
      <c r="G99" s="4" t="n">
        <v>123.906</v>
      </c>
      <c r="H99" s="6">
        <f>IF(AND(ISNUMBER(E99),ISNUMBER(F99)),E99-F99,"")</f>
        <v/>
      </c>
    </row>
    <row r="100">
      <c r="A100" s="4" t="inlineStr">
        <is>
          <t>provincia</t>
        </is>
      </c>
      <c r="B100" s="4" t="inlineStr">
        <is>
          <t>07</t>
        </is>
      </c>
      <c r="C100" s="4" t="inlineStr">
        <is>
          <t>Balears, Illes</t>
        </is>
      </c>
      <c r="D100" s="4" t="n">
        <v>2024</v>
      </c>
      <c r="E100" s="4" t="n">
        <v>147.846</v>
      </c>
      <c r="F100" s="4" t="n">
        <v>125.711</v>
      </c>
      <c r="G100" s="4" t="n">
        <v>128.808</v>
      </c>
      <c r="H100" s="6">
        <f>IF(AND(ISNUMBER(E100),ISNUMBER(F100)),E100-F100,"")</f>
        <v/>
      </c>
    </row>
    <row r="101">
      <c r="A101" s="4" t="inlineStr">
        <is>
          <t>provincia</t>
        </is>
      </c>
      <c r="B101" s="4" t="inlineStr">
        <is>
          <t>08</t>
        </is>
      </c>
      <c r="C101" s="4" t="inlineStr">
        <is>
          <t>Barcelona</t>
        </is>
      </c>
      <c r="D101" s="4" t="n">
        <v>2021</v>
      </c>
      <c r="E101" s="4" t="n">
        <v>115.442</v>
      </c>
      <c r="F101" s="4" t="n">
        <v>114.221</v>
      </c>
      <c r="G101" s="4" t="n">
        <v>114.388</v>
      </c>
      <c r="H101" s="6">
        <f>IF(AND(ISNUMBER(E101),ISNUMBER(F101)),E101-F101,"")</f>
        <v/>
      </c>
    </row>
    <row r="102">
      <c r="A102" s="4" t="inlineStr">
        <is>
          <t>provincia</t>
        </is>
      </c>
      <c r="B102" s="4" t="inlineStr">
        <is>
          <t>08</t>
        </is>
      </c>
      <c r="C102" s="4" t="inlineStr">
        <is>
          <t>Barcelona</t>
        </is>
      </c>
      <c r="D102" s="4" t="n">
        <v>2022</v>
      </c>
      <c r="E102" s="4" t="n">
        <v>120.655</v>
      </c>
      <c r="F102" s="4" t="n">
        <v>116.837</v>
      </c>
      <c r="G102" s="4" t="n">
        <v>117.306</v>
      </c>
      <c r="H102" s="6">
        <f>IF(AND(ISNUMBER(E102),ISNUMBER(F102)),E102-F102,"")</f>
        <v/>
      </c>
    </row>
    <row r="103">
      <c r="A103" s="4" t="inlineStr">
        <is>
          <t>provincia</t>
        </is>
      </c>
      <c r="B103" s="4" t="inlineStr">
        <is>
          <t>08</t>
        </is>
      </c>
      <c r="C103" s="4" t="inlineStr">
        <is>
          <t>Barcelona</t>
        </is>
      </c>
      <c r="D103" s="4" t="n">
        <v>2023</v>
      </c>
      <c r="E103" s="4" t="n">
        <v>125.567</v>
      </c>
      <c r="F103" s="4" t="n">
        <v>119.746</v>
      </c>
      <c r="G103" s="4" t="n">
        <v>120.422</v>
      </c>
      <c r="H103" s="6">
        <f>IF(AND(ISNUMBER(E103),ISNUMBER(F103)),E103-F103,"")</f>
        <v/>
      </c>
    </row>
    <row r="104">
      <c r="A104" s="4" t="inlineStr">
        <is>
          <t>provincia</t>
        </is>
      </c>
      <c r="B104" s="4" t="inlineStr">
        <is>
          <t>08</t>
        </is>
      </c>
      <c r="C104" s="4" t="inlineStr">
        <is>
          <t>Barcelona</t>
        </is>
      </c>
      <c r="D104" s="4" t="n">
        <v>2024</v>
      </c>
      <c r="E104" s="4" t="n">
        <v>134.847</v>
      </c>
      <c r="F104" s="4" t="n">
        <v>122.916</v>
      </c>
      <c r="G104" s="4" t="n">
        <v>124.109</v>
      </c>
      <c r="H104" s="6">
        <f>IF(AND(ISNUMBER(E104),ISNUMBER(F104)),E104-F104,"")</f>
        <v/>
      </c>
    </row>
    <row r="105">
      <c r="A105" s="4" t="inlineStr">
        <is>
          <t>provincia</t>
        </is>
      </c>
      <c r="B105" s="4" t="inlineStr">
        <is>
          <t>09</t>
        </is>
      </c>
      <c r="C105" s="4" t="inlineStr">
        <is>
          <t>Burgos</t>
        </is>
      </c>
      <c r="D105" s="4" t="n">
        <v>2021</v>
      </c>
      <c r="E105" s="4" t="n">
        <v>111.998</v>
      </c>
      <c r="F105" s="4" t="n">
        <v>108.46</v>
      </c>
      <c r="G105" s="4" t="n">
        <v>109.116</v>
      </c>
      <c r="H105" s="6">
        <f>IF(AND(ISNUMBER(E105),ISNUMBER(F105)),E105-F105,"")</f>
        <v/>
      </c>
    </row>
    <row r="106">
      <c r="A106" s="4" t="inlineStr">
        <is>
          <t>provincia</t>
        </is>
      </c>
      <c r="B106" s="4" t="inlineStr">
        <is>
          <t>09</t>
        </is>
      </c>
      <c r="C106" s="4" t="inlineStr">
        <is>
          <t>Burgos</t>
        </is>
      </c>
      <c r="D106" s="4" t="n">
        <v>2022</v>
      </c>
      <c r="E106" s="4" t="n">
        <v>115.726</v>
      </c>
      <c r="F106" s="4" t="n">
        <v>110.128</v>
      </c>
      <c r="G106" s="4" t="n">
        <v>111.155</v>
      </c>
      <c r="H106" s="6">
        <f>IF(AND(ISNUMBER(E106),ISNUMBER(F106)),E106-F106,"")</f>
        <v/>
      </c>
    </row>
    <row r="107">
      <c r="A107" s="4" t="inlineStr">
        <is>
          <t>provincia</t>
        </is>
      </c>
      <c r="B107" s="4" t="inlineStr">
        <is>
          <t>09</t>
        </is>
      </c>
      <c r="C107" s="4" t="inlineStr">
        <is>
          <t>Burgos</t>
        </is>
      </c>
      <c r="D107" s="4" t="n">
        <v>2023</v>
      </c>
      <c r="E107" s="4" t="n">
        <v>119.203</v>
      </c>
      <c r="F107" s="4" t="n">
        <v>112.269</v>
      </c>
      <c r="G107" s="4" t="n">
        <v>113.528</v>
      </c>
      <c r="H107" s="6">
        <f>IF(AND(ISNUMBER(E107),ISNUMBER(F107)),E107-F107,"")</f>
        <v/>
      </c>
    </row>
    <row r="108">
      <c r="A108" s="4" t="inlineStr">
        <is>
          <t>provincia</t>
        </is>
      </c>
      <c r="B108" s="4" t="inlineStr">
        <is>
          <t>09</t>
        </is>
      </c>
      <c r="C108" s="4" t="inlineStr">
        <is>
          <t>Burgos</t>
        </is>
      </c>
      <c r="D108" s="4" t="n">
        <v>2024</v>
      </c>
      <c r="E108" s="4" t="n">
        <v>127.013</v>
      </c>
      <c r="F108" s="4" t="n">
        <v>114.711</v>
      </c>
      <c r="G108" s="4" t="n">
        <v>116.764</v>
      </c>
      <c r="H108" s="6">
        <f>IF(AND(ISNUMBER(E108),ISNUMBER(F108)),E108-F108,"")</f>
        <v/>
      </c>
    </row>
    <row r="109">
      <c r="A109" s="4" t="inlineStr">
        <is>
          <t>provincia</t>
        </is>
      </c>
      <c r="B109" s="4" t="inlineStr">
        <is>
          <t>10</t>
        </is>
      </c>
      <c r="C109" s="4" t="inlineStr">
        <is>
          <t>Cáceres</t>
        </is>
      </c>
      <c r="D109" s="4" t="n">
        <v>2021</v>
      </c>
      <c r="E109" s="4" t="n">
        <v>111.089</v>
      </c>
      <c r="F109" s="4" t="n">
        <v>108.364</v>
      </c>
      <c r="G109" s="4" t="n">
        <v>109.023</v>
      </c>
      <c r="H109" s="6">
        <f>IF(AND(ISNUMBER(E109),ISNUMBER(F109)),E109-F109,"")</f>
        <v/>
      </c>
    </row>
    <row r="110">
      <c r="A110" s="4" t="inlineStr">
        <is>
          <t>provincia</t>
        </is>
      </c>
      <c r="B110" s="4" t="inlineStr">
        <is>
          <t>10</t>
        </is>
      </c>
      <c r="C110" s="4" t="inlineStr">
        <is>
          <t>Cáceres</t>
        </is>
      </c>
      <c r="D110" s="4" t="n">
        <v>2022</v>
      </c>
      <c r="E110" s="4" t="n">
        <v>115.73</v>
      </c>
      <c r="F110" s="4" t="n">
        <v>109.901</v>
      </c>
      <c r="G110" s="4" t="n">
        <v>111.282</v>
      </c>
      <c r="H110" s="6">
        <f>IF(AND(ISNUMBER(E110),ISNUMBER(F110)),E110-F110,"")</f>
        <v/>
      </c>
    </row>
    <row r="111">
      <c r="A111" s="4" t="inlineStr">
        <is>
          <t>provincia</t>
        </is>
      </c>
      <c r="B111" s="4" t="inlineStr">
        <is>
          <t>10</t>
        </is>
      </c>
      <c r="C111" s="4" t="inlineStr">
        <is>
          <t>Cáceres</t>
        </is>
      </c>
      <c r="D111" s="4" t="n">
        <v>2023</v>
      </c>
      <c r="E111" s="4" t="n">
        <v>118.69</v>
      </c>
      <c r="F111" s="4" t="n">
        <v>112.008</v>
      </c>
      <c r="G111" s="4" t="n">
        <v>113.584</v>
      </c>
      <c r="H111" s="6">
        <f>IF(AND(ISNUMBER(E111),ISNUMBER(F111)),E111-F111,"")</f>
        <v/>
      </c>
    </row>
    <row r="112">
      <c r="A112" s="4" t="inlineStr">
        <is>
          <t>provincia</t>
        </is>
      </c>
      <c r="B112" s="4" t="inlineStr">
        <is>
          <t>10</t>
        </is>
      </c>
      <c r="C112" s="4" t="inlineStr">
        <is>
          <t>Cáceres</t>
        </is>
      </c>
      <c r="D112" s="4" t="n">
        <v>2024</v>
      </c>
      <c r="E112" s="4" t="n">
        <v>127.513</v>
      </c>
      <c r="F112" s="4" t="n">
        <v>114.868</v>
      </c>
      <c r="G112" s="4" t="n">
        <v>117.601</v>
      </c>
      <c r="H112" s="6">
        <f>IF(AND(ISNUMBER(E112),ISNUMBER(F112)),E112-F112,"")</f>
        <v/>
      </c>
    </row>
    <row r="113">
      <c r="A113" s="4" t="inlineStr">
        <is>
          <t>provincia</t>
        </is>
      </c>
      <c r="B113" s="4" t="inlineStr">
        <is>
          <t>11</t>
        </is>
      </c>
      <c r="C113" s="4" t="inlineStr">
        <is>
          <t>Cádiz</t>
        </is>
      </c>
      <c r="D113" s="4" t="n">
        <v>2021</v>
      </c>
      <c r="E113" s="4" t="n">
        <v>112.562</v>
      </c>
      <c r="F113" s="4" t="n">
        <v>109.158</v>
      </c>
      <c r="G113" s="4" t="n">
        <v>109.905</v>
      </c>
      <c r="H113" s="6">
        <f>IF(AND(ISNUMBER(E113),ISNUMBER(F113)),E113-F113,"")</f>
        <v/>
      </c>
    </row>
    <row r="114">
      <c r="A114" s="4" t="inlineStr">
        <is>
          <t>provincia</t>
        </is>
      </c>
      <c r="B114" s="4" t="inlineStr">
        <is>
          <t>11</t>
        </is>
      </c>
      <c r="C114" s="4" t="inlineStr">
        <is>
          <t>Cádiz</t>
        </is>
      </c>
      <c r="D114" s="4" t="n">
        <v>2022</v>
      </c>
      <c r="E114" s="4" t="n">
        <v>117.388</v>
      </c>
      <c r="F114" s="4" t="n">
        <v>110.932</v>
      </c>
      <c r="G114" s="4" t="n">
        <v>112.298</v>
      </c>
      <c r="H114" s="6">
        <f>IF(AND(ISNUMBER(E114),ISNUMBER(F114)),E114-F114,"")</f>
        <v/>
      </c>
    </row>
    <row r="115">
      <c r="A115" s="4" t="inlineStr">
        <is>
          <t>provincia</t>
        </is>
      </c>
      <c r="B115" s="4" t="inlineStr">
        <is>
          <t>11</t>
        </is>
      </c>
      <c r="C115" s="4" t="inlineStr">
        <is>
          <t>Cádiz</t>
        </is>
      </c>
      <c r="D115" s="4" t="n">
        <v>2023</v>
      </c>
      <c r="E115" s="4" t="n">
        <v>120.904</v>
      </c>
      <c r="F115" s="4" t="n">
        <v>112.691</v>
      </c>
      <c r="G115" s="4" t="n">
        <v>114.402</v>
      </c>
      <c r="H115" s="6">
        <f>IF(AND(ISNUMBER(E115),ISNUMBER(F115)),E115-F115,"")</f>
        <v/>
      </c>
    </row>
    <row r="116">
      <c r="A116" s="4" t="inlineStr">
        <is>
          <t>provincia</t>
        </is>
      </c>
      <c r="B116" s="4" t="inlineStr">
        <is>
          <t>11</t>
        </is>
      </c>
      <c r="C116" s="4" t="inlineStr">
        <is>
          <t>Cádiz</t>
        </is>
      </c>
      <c r="D116" s="4" t="n">
        <v>2024</v>
      </c>
      <c r="E116" s="4" t="n">
        <v>129.491</v>
      </c>
      <c r="F116" s="4" t="n">
        <v>115.131</v>
      </c>
      <c r="G116" s="4" t="n">
        <v>117.852</v>
      </c>
      <c r="H116" s="6">
        <f>IF(AND(ISNUMBER(E116),ISNUMBER(F116)),E116-F116,"")</f>
        <v/>
      </c>
    </row>
    <row r="117">
      <c r="A117" s="4" t="inlineStr">
        <is>
          <t>provincia</t>
        </is>
      </c>
      <c r="B117" s="4" t="inlineStr">
        <is>
          <t>12</t>
        </is>
      </c>
      <c r="C117" s="4" t="inlineStr">
        <is>
          <t>Castellón/Castelló</t>
        </is>
      </c>
      <c r="D117" s="4" t="n">
        <v>2021</v>
      </c>
      <c r="E117" s="4" t="n">
        <v>115.905</v>
      </c>
      <c r="F117" s="4" t="n">
        <v>111.411</v>
      </c>
      <c r="G117" s="4" t="n">
        <v>112.238</v>
      </c>
      <c r="H117" s="6">
        <f>IF(AND(ISNUMBER(E117),ISNUMBER(F117)),E117-F117,"")</f>
        <v/>
      </c>
    </row>
    <row r="118">
      <c r="A118" s="4" t="inlineStr">
        <is>
          <t>provincia</t>
        </is>
      </c>
      <c r="B118" s="4" t="inlineStr">
        <is>
          <t>12</t>
        </is>
      </c>
      <c r="C118" s="4" t="inlineStr">
        <is>
          <t>Castellón/Castelló</t>
        </is>
      </c>
      <c r="D118" s="4" t="n">
        <v>2022</v>
      </c>
      <c r="E118" s="4" t="n">
        <v>123.384</v>
      </c>
      <c r="F118" s="4" t="n">
        <v>113.832</v>
      </c>
      <c r="G118" s="4" t="n">
        <v>115.577</v>
      </c>
      <c r="H118" s="6">
        <f>IF(AND(ISNUMBER(E118),ISNUMBER(F118)),E118-F118,"")</f>
        <v/>
      </c>
    </row>
    <row r="119">
      <c r="A119" s="4" t="inlineStr">
        <is>
          <t>provincia</t>
        </is>
      </c>
      <c r="B119" s="4" t="inlineStr">
        <is>
          <t>12</t>
        </is>
      </c>
      <c r="C119" s="4" t="inlineStr">
        <is>
          <t>Castellón/Castelló</t>
        </is>
      </c>
      <c r="D119" s="4" t="n">
        <v>2023</v>
      </c>
      <c r="E119" s="4" t="n">
        <v>129.454</v>
      </c>
      <c r="F119" s="4" t="n">
        <v>116.845</v>
      </c>
      <c r="G119" s="4" t="n">
        <v>119.114</v>
      </c>
      <c r="H119" s="6">
        <f>IF(AND(ISNUMBER(E119),ISNUMBER(F119)),E119-F119,"")</f>
        <v/>
      </c>
    </row>
    <row r="120">
      <c r="A120" s="4" t="inlineStr">
        <is>
          <t>provincia</t>
        </is>
      </c>
      <c r="B120" s="4" t="inlineStr">
        <is>
          <t>12</t>
        </is>
      </c>
      <c r="C120" s="4" t="inlineStr">
        <is>
          <t>Castellón/Castelló</t>
        </is>
      </c>
      <c r="D120" s="4" t="n">
        <v>2024</v>
      </c>
      <c r="E120" s="4" t="n">
        <v>142.596</v>
      </c>
      <c r="F120" s="4" t="n">
        <v>120.25</v>
      </c>
      <c r="G120" s="4" t="n">
        <v>123.948</v>
      </c>
      <c r="H120" s="6">
        <f>IF(AND(ISNUMBER(E120),ISNUMBER(F120)),E120-F120,"")</f>
        <v/>
      </c>
    </row>
    <row r="121">
      <c r="A121" s="4" t="inlineStr">
        <is>
          <t>provincia</t>
        </is>
      </c>
      <c r="B121" s="4" t="inlineStr">
        <is>
          <t>13</t>
        </is>
      </c>
      <c r="C121" s="4" t="inlineStr">
        <is>
          <t>Ciudad Real</t>
        </is>
      </c>
      <c r="D121" s="4" t="n">
        <v>2021</v>
      </c>
      <c r="E121" s="4" t="n">
        <v>111.481</v>
      </c>
      <c r="F121" s="4" t="n">
        <v>108.355</v>
      </c>
      <c r="G121" s="4" t="n">
        <v>109.08</v>
      </c>
      <c r="H121" s="6">
        <f>IF(AND(ISNUMBER(E121),ISNUMBER(F121)),E121-F121,"")</f>
        <v/>
      </c>
    </row>
    <row r="122">
      <c r="A122" s="4" t="inlineStr">
        <is>
          <t>provincia</t>
        </is>
      </c>
      <c r="B122" s="4" t="inlineStr">
        <is>
          <t>13</t>
        </is>
      </c>
      <c r="C122" s="4" t="inlineStr">
        <is>
          <t>Ciudad Real</t>
        </is>
      </c>
      <c r="D122" s="4" t="n">
        <v>2022</v>
      </c>
      <c r="E122" s="4" t="n">
        <v>115.719</v>
      </c>
      <c r="F122" s="4" t="n">
        <v>109.942</v>
      </c>
      <c r="G122" s="4" t="n">
        <v>111.307</v>
      </c>
      <c r="H122" s="6">
        <f>IF(AND(ISNUMBER(E122),ISNUMBER(F122)),E122-F122,"")</f>
        <v/>
      </c>
    </row>
    <row r="123">
      <c r="A123" s="4" t="inlineStr">
        <is>
          <t>provincia</t>
        </is>
      </c>
      <c r="B123" s="4" t="inlineStr">
        <is>
          <t>13</t>
        </is>
      </c>
      <c r="C123" s="4" t="inlineStr">
        <is>
          <t>Ciudad Real</t>
        </is>
      </c>
      <c r="D123" s="4" t="n">
        <v>2023</v>
      </c>
      <c r="E123" s="4" t="n">
        <v>118.066</v>
      </c>
      <c r="F123" s="4" t="n">
        <v>111.752</v>
      </c>
      <c r="G123" s="4" t="n">
        <v>113.239</v>
      </c>
      <c r="H123" s="6">
        <f>IF(AND(ISNUMBER(E123),ISNUMBER(F123)),E123-F123,"")</f>
        <v/>
      </c>
    </row>
    <row r="124">
      <c r="A124" s="4" t="inlineStr">
        <is>
          <t>provincia</t>
        </is>
      </c>
      <c r="B124" s="4" t="inlineStr">
        <is>
          <t>13</t>
        </is>
      </c>
      <c r="C124" s="4" t="inlineStr">
        <is>
          <t>Ciudad Real</t>
        </is>
      </c>
      <c r="D124" s="4" t="n">
        <v>2024</v>
      </c>
      <c r="E124" s="4" t="n">
        <v>126.41</v>
      </c>
      <c r="F124" s="4" t="n">
        <v>114.355</v>
      </c>
      <c r="G124" s="4" t="n">
        <v>116.919</v>
      </c>
      <c r="H124" s="6">
        <f>IF(AND(ISNUMBER(E124),ISNUMBER(F124)),E124-F124,"")</f>
        <v/>
      </c>
    </row>
    <row r="125">
      <c r="A125" s="4" t="inlineStr">
        <is>
          <t>provincia</t>
        </is>
      </c>
      <c r="B125" s="4" t="inlineStr">
        <is>
          <t>14</t>
        </is>
      </c>
      <c r="C125" s="4" t="inlineStr">
        <is>
          <t>Córdoba</t>
        </is>
      </c>
      <c r="D125" s="4" t="n">
        <v>2021</v>
      </c>
      <c r="E125" s="4" t="n">
        <v>110.244</v>
      </c>
      <c r="F125" s="4" t="n">
        <v>107.609</v>
      </c>
      <c r="G125" s="4" t="n">
        <v>108.202</v>
      </c>
      <c r="H125" s="6">
        <f>IF(AND(ISNUMBER(E125),ISNUMBER(F125)),E125-F125,"")</f>
        <v/>
      </c>
    </row>
    <row r="126">
      <c r="A126" s="4" t="inlineStr">
        <is>
          <t>provincia</t>
        </is>
      </c>
      <c r="B126" s="4" t="inlineStr">
        <is>
          <t>14</t>
        </is>
      </c>
      <c r="C126" s="4" t="inlineStr">
        <is>
          <t>Córdoba</t>
        </is>
      </c>
      <c r="D126" s="4" t="n">
        <v>2022</v>
      </c>
      <c r="E126" s="4" t="n">
        <v>114.268</v>
      </c>
      <c r="F126" s="4" t="n">
        <v>108.972</v>
      </c>
      <c r="G126" s="4" t="n">
        <v>110.124</v>
      </c>
      <c r="H126" s="6">
        <f>IF(AND(ISNUMBER(E126),ISNUMBER(F126)),E126-F126,"")</f>
        <v/>
      </c>
    </row>
    <row r="127">
      <c r="A127" s="4" t="inlineStr">
        <is>
          <t>provincia</t>
        </is>
      </c>
      <c r="B127" s="4" t="inlineStr">
        <is>
          <t>14</t>
        </is>
      </c>
      <c r="C127" s="4" t="inlineStr">
        <is>
          <t>Córdoba</t>
        </is>
      </c>
      <c r="D127" s="4" t="n">
        <v>2023</v>
      </c>
      <c r="E127" s="4" t="n">
        <v>116.294</v>
      </c>
      <c r="F127" s="4" t="n">
        <v>110.426</v>
      </c>
      <c r="G127" s="4" t="n">
        <v>111.691</v>
      </c>
      <c r="H127" s="6">
        <f>IF(AND(ISNUMBER(E127),ISNUMBER(F127)),E127-F127,"")</f>
        <v/>
      </c>
    </row>
    <row r="128">
      <c r="A128" s="4" t="inlineStr">
        <is>
          <t>provincia</t>
        </is>
      </c>
      <c r="B128" s="4" t="inlineStr">
        <is>
          <t>14</t>
        </is>
      </c>
      <c r="C128" s="4" t="inlineStr">
        <is>
          <t>Córdoba</t>
        </is>
      </c>
      <c r="D128" s="4" t="n">
        <v>2024</v>
      </c>
      <c r="E128" s="4" t="n">
        <v>122.887</v>
      </c>
      <c r="F128" s="4" t="n">
        <v>112.279</v>
      </c>
      <c r="G128" s="4" t="n">
        <v>114.38</v>
      </c>
      <c r="H128" s="6">
        <f>IF(AND(ISNUMBER(E128),ISNUMBER(F128)),E128-F128,"")</f>
        <v/>
      </c>
    </row>
    <row r="129">
      <c r="A129" s="4" t="inlineStr">
        <is>
          <t>provincia</t>
        </is>
      </c>
      <c r="B129" s="4" t="inlineStr">
        <is>
          <t>15</t>
        </is>
      </c>
      <c r="C129" s="4" t="inlineStr">
        <is>
          <t>Coruña, A</t>
        </is>
      </c>
      <c r="D129" s="4" t="n">
        <v>2021</v>
      </c>
      <c r="E129" s="4" t="n">
        <v>111.636</v>
      </c>
      <c r="F129" s="4" t="n">
        <v>108.281</v>
      </c>
      <c r="G129" s="4" t="n">
        <v>108.809</v>
      </c>
      <c r="H129" s="6">
        <f>IF(AND(ISNUMBER(E129),ISNUMBER(F129)),E129-F129,"")</f>
        <v/>
      </c>
    </row>
    <row r="130">
      <c r="A130" s="4" t="inlineStr">
        <is>
          <t>provincia</t>
        </is>
      </c>
      <c r="B130" s="4" t="inlineStr">
        <is>
          <t>15</t>
        </is>
      </c>
      <c r="C130" s="4" t="inlineStr">
        <is>
          <t>Coruña, A</t>
        </is>
      </c>
      <c r="D130" s="4" t="n">
        <v>2022</v>
      </c>
      <c r="E130" s="4" t="n">
        <v>117.971</v>
      </c>
      <c r="F130" s="4" t="n">
        <v>110.435</v>
      </c>
      <c r="G130" s="4" t="n">
        <v>111.594</v>
      </c>
      <c r="H130" s="6">
        <f>IF(AND(ISNUMBER(E130),ISNUMBER(F130)),E130-F130,"")</f>
        <v/>
      </c>
    </row>
    <row r="131">
      <c r="A131" s="4" t="inlineStr">
        <is>
          <t>provincia</t>
        </is>
      </c>
      <c r="B131" s="4" t="inlineStr">
        <is>
          <t>15</t>
        </is>
      </c>
      <c r="C131" s="4" t="inlineStr">
        <is>
          <t>Coruña, A</t>
        </is>
      </c>
      <c r="D131" s="4" t="n">
        <v>2023</v>
      </c>
      <c r="E131" s="4" t="n">
        <v>123.498</v>
      </c>
      <c r="F131" s="4" t="n">
        <v>112.846</v>
      </c>
      <c r="G131" s="4" t="n">
        <v>114.443</v>
      </c>
      <c r="H131" s="6">
        <f>IF(AND(ISNUMBER(E131),ISNUMBER(F131)),E131-F131,"")</f>
        <v/>
      </c>
    </row>
    <row r="132">
      <c r="A132" s="4" t="inlineStr">
        <is>
          <t>provincia</t>
        </is>
      </c>
      <c r="B132" s="4" t="inlineStr">
        <is>
          <t>15</t>
        </is>
      </c>
      <c r="C132" s="4" t="inlineStr">
        <is>
          <t>Coruña, A</t>
        </is>
      </c>
      <c r="D132" s="4" t="n">
        <v>2024</v>
      </c>
      <c r="E132" s="4" t="n">
        <v>135.429</v>
      </c>
      <c r="F132" s="4" t="n">
        <v>116.088</v>
      </c>
      <c r="G132" s="4" t="n">
        <v>118.719</v>
      </c>
      <c r="H132" s="6">
        <f>IF(AND(ISNUMBER(E132),ISNUMBER(F132)),E132-F132,"")</f>
        <v/>
      </c>
    </row>
    <row r="133">
      <c r="A133" s="4" t="inlineStr">
        <is>
          <t>provincia</t>
        </is>
      </c>
      <c r="B133" s="4" t="inlineStr">
        <is>
          <t>16</t>
        </is>
      </c>
      <c r="C133" s="4" t="inlineStr">
        <is>
          <t>Cuenca</t>
        </is>
      </c>
      <c r="D133" s="4" t="n">
        <v>2021</v>
      </c>
      <c r="E133" s="4" t="n">
        <v>113.093</v>
      </c>
      <c r="F133" s="4" t="n">
        <v>110.117</v>
      </c>
      <c r="G133" s="4" t="n">
        <v>110.829</v>
      </c>
      <c r="H133" s="6">
        <f>IF(AND(ISNUMBER(E133),ISNUMBER(F133)),E133-F133,"")</f>
        <v/>
      </c>
    </row>
    <row r="134">
      <c r="A134" s="4" t="inlineStr">
        <is>
          <t>provincia</t>
        </is>
      </c>
      <c r="B134" s="4" t="inlineStr">
        <is>
          <t>16</t>
        </is>
      </c>
      <c r="C134" s="4" t="inlineStr">
        <is>
          <t>Cuenca</t>
        </is>
      </c>
      <c r="D134" s="4" t="n">
        <v>2022</v>
      </c>
      <c r="E134" s="4" t="n">
        <v>119.836</v>
      </c>
      <c r="F134" s="4" t="n">
        <v>112.6</v>
      </c>
      <c r="G134" s="4" t="n">
        <v>114.335</v>
      </c>
      <c r="H134" s="6">
        <f>IF(AND(ISNUMBER(E134),ISNUMBER(F134)),E134-F134,"")</f>
        <v/>
      </c>
    </row>
    <row r="135">
      <c r="A135" s="4" t="inlineStr">
        <is>
          <t>provincia</t>
        </is>
      </c>
      <c r="B135" s="4" t="inlineStr">
        <is>
          <t>16</t>
        </is>
      </c>
      <c r="C135" s="4" t="inlineStr">
        <is>
          <t>Cuenca</t>
        </is>
      </c>
      <c r="D135" s="4" t="n">
        <v>2023</v>
      </c>
      <c r="E135" s="4" t="n">
        <v>123.889</v>
      </c>
      <c r="F135" s="4" t="n">
        <v>115.836</v>
      </c>
      <c r="G135" s="4" t="n">
        <v>117.754</v>
      </c>
      <c r="H135" s="6">
        <f>IF(AND(ISNUMBER(E135),ISNUMBER(F135)),E135-F135,"")</f>
        <v/>
      </c>
    </row>
    <row r="136">
      <c r="A136" s="4" t="inlineStr">
        <is>
          <t>provincia</t>
        </is>
      </c>
      <c r="B136" s="4" t="inlineStr">
        <is>
          <t>16</t>
        </is>
      </c>
      <c r="C136" s="4" t="inlineStr">
        <is>
          <t>Cuenca</t>
        </is>
      </c>
      <c r="D136" s="4" t="n">
        <v>2024</v>
      </c>
      <c r="E136" s="4" t="n">
        <v>134.413</v>
      </c>
      <c r="F136" s="4" t="n">
        <v>119.672</v>
      </c>
      <c r="G136" s="4" t="n">
        <v>122.787</v>
      </c>
      <c r="H136" s="6">
        <f>IF(AND(ISNUMBER(E136),ISNUMBER(F136)),E136-F136,"")</f>
        <v/>
      </c>
    </row>
    <row r="137">
      <c r="A137" s="4" t="inlineStr">
        <is>
          <t>provincia</t>
        </is>
      </c>
      <c r="B137" s="4" t="inlineStr">
        <is>
          <t>17</t>
        </is>
      </c>
      <c r="C137" s="4" t="inlineStr">
        <is>
          <t>Girona</t>
        </is>
      </c>
      <c r="D137" s="4" t="n">
        <v>2021</v>
      </c>
      <c r="E137" s="4" t="n">
        <v>114.373</v>
      </c>
      <c r="F137" s="4" t="n">
        <v>111.157</v>
      </c>
      <c r="G137" s="4" t="n">
        <v>111.596</v>
      </c>
      <c r="H137" s="6">
        <f>IF(AND(ISNUMBER(E137),ISNUMBER(F137)),E137-F137,"")</f>
        <v/>
      </c>
    </row>
    <row r="138">
      <c r="A138" s="4" t="inlineStr">
        <is>
          <t>provincia</t>
        </is>
      </c>
      <c r="B138" s="4" t="inlineStr">
        <is>
          <t>17</t>
        </is>
      </c>
      <c r="C138" s="4" t="inlineStr">
        <is>
          <t>Girona</t>
        </is>
      </c>
      <c r="D138" s="4" t="n">
        <v>2022</v>
      </c>
      <c r="E138" s="4" t="n">
        <v>120.648</v>
      </c>
      <c r="F138" s="4" t="n">
        <v>113.64</v>
      </c>
      <c r="G138" s="4" t="n">
        <v>114.544</v>
      </c>
      <c r="H138" s="6">
        <f>IF(AND(ISNUMBER(E138),ISNUMBER(F138)),E138-F138,"")</f>
        <v/>
      </c>
    </row>
    <row r="139">
      <c r="A139" s="4" t="inlineStr">
        <is>
          <t>provincia</t>
        </is>
      </c>
      <c r="B139" s="4" t="inlineStr">
        <is>
          <t>17</t>
        </is>
      </c>
      <c r="C139" s="4" t="inlineStr">
        <is>
          <t>Girona</t>
        </is>
      </c>
      <c r="D139" s="4" t="n">
        <v>2023</v>
      </c>
      <c r="E139" s="4" t="n">
        <v>125.741</v>
      </c>
      <c r="F139" s="4" t="n">
        <v>116.307</v>
      </c>
      <c r="G139" s="4" t="n">
        <v>117.483</v>
      </c>
      <c r="H139" s="6">
        <f>IF(AND(ISNUMBER(E139),ISNUMBER(F139)),E139-F139,"")</f>
        <v/>
      </c>
    </row>
    <row r="140">
      <c r="A140" s="4" t="inlineStr">
        <is>
          <t>provincia</t>
        </is>
      </c>
      <c r="B140" s="4" t="inlineStr">
        <is>
          <t>17</t>
        </is>
      </c>
      <c r="C140" s="4" t="inlineStr">
        <is>
          <t>Girona</t>
        </is>
      </c>
      <c r="D140" s="4" t="n">
        <v>2024</v>
      </c>
      <c r="E140" s="4" t="n">
        <v>135.348</v>
      </c>
      <c r="F140" s="4" t="n">
        <v>119.358</v>
      </c>
      <c r="G140" s="4" t="n">
        <v>121.175</v>
      </c>
      <c r="H140" s="6">
        <f>IF(AND(ISNUMBER(E140),ISNUMBER(F140)),E140-F140,"")</f>
        <v/>
      </c>
    </row>
    <row r="141">
      <c r="A141" s="4" t="inlineStr">
        <is>
          <t>provincia</t>
        </is>
      </c>
      <c r="B141" s="4" t="inlineStr">
        <is>
          <t>18</t>
        </is>
      </c>
      <c r="C141" s="4" t="inlineStr">
        <is>
          <t>Granada</t>
        </is>
      </c>
      <c r="D141" s="4" t="n">
        <v>2021</v>
      </c>
      <c r="E141" s="4" t="n">
        <v>115.337</v>
      </c>
      <c r="F141" s="4" t="n">
        <v>111.176</v>
      </c>
      <c r="G141" s="4" t="n">
        <v>112.098</v>
      </c>
      <c r="H141" s="6">
        <f>IF(AND(ISNUMBER(E141),ISNUMBER(F141)),E141-F141,"")</f>
        <v/>
      </c>
    </row>
    <row r="142">
      <c r="A142" s="4" t="inlineStr">
        <is>
          <t>provincia</t>
        </is>
      </c>
      <c r="B142" s="4" t="inlineStr">
        <is>
          <t>18</t>
        </is>
      </c>
      <c r="C142" s="4" t="inlineStr">
        <is>
          <t>Granada</t>
        </is>
      </c>
      <c r="D142" s="4" t="n">
        <v>2022</v>
      </c>
      <c r="E142" s="4" t="n">
        <v>121.903</v>
      </c>
      <c r="F142" s="4" t="n">
        <v>113.531</v>
      </c>
      <c r="G142" s="4" t="n">
        <v>115.335</v>
      </c>
      <c r="H142" s="6">
        <f>IF(AND(ISNUMBER(E142),ISNUMBER(F142)),E142-F142,"")</f>
        <v/>
      </c>
    </row>
    <row r="143">
      <c r="A143" s="4" t="inlineStr">
        <is>
          <t>provincia</t>
        </is>
      </c>
      <c r="B143" s="4" t="inlineStr">
        <is>
          <t>18</t>
        </is>
      </c>
      <c r="C143" s="4" t="inlineStr">
        <is>
          <t>Granada</t>
        </is>
      </c>
      <c r="D143" s="4" t="n">
        <v>2023</v>
      </c>
      <c r="E143" s="4" t="n">
        <v>127.117</v>
      </c>
      <c r="F143" s="4" t="n">
        <v>116.429</v>
      </c>
      <c r="G143" s="4" t="n">
        <v>118.667</v>
      </c>
      <c r="H143" s="6">
        <f>IF(AND(ISNUMBER(E143),ISNUMBER(F143)),E143-F143,"")</f>
        <v/>
      </c>
    </row>
    <row r="144">
      <c r="A144" s="4" t="inlineStr">
        <is>
          <t>provincia</t>
        </is>
      </c>
      <c r="B144" s="4" t="inlineStr">
        <is>
          <t>18</t>
        </is>
      </c>
      <c r="C144" s="4" t="inlineStr">
        <is>
          <t>Granada</t>
        </is>
      </c>
      <c r="D144" s="4" t="n">
        <v>2024</v>
      </c>
      <c r="E144" s="4" t="n">
        <v>138.454</v>
      </c>
      <c r="F144" s="4" t="n">
        <v>119.995</v>
      </c>
      <c r="G144" s="4" t="n">
        <v>123.392</v>
      </c>
      <c r="H144" s="6">
        <f>IF(AND(ISNUMBER(E144),ISNUMBER(F144)),E144-F144,"")</f>
        <v/>
      </c>
    </row>
    <row r="145">
      <c r="A145" s="4" t="inlineStr">
        <is>
          <t>provincia</t>
        </is>
      </c>
      <c r="B145" s="4" t="inlineStr">
        <is>
          <t>19</t>
        </is>
      </c>
      <c r="C145" s="4" t="inlineStr">
        <is>
          <t>Guadalajara</t>
        </is>
      </c>
      <c r="D145" s="4" t="n">
        <v>2021</v>
      </c>
      <c r="E145" s="4" t="n">
        <v>118.647</v>
      </c>
      <c r="F145" s="4" t="n">
        <v>113.865</v>
      </c>
      <c r="G145" s="4" t="n">
        <v>114.673</v>
      </c>
      <c r="H145" s="6">
        <f>IF(AND(ISNUMBER(E145),ISNUMBER(F145)),E145-F145,"")</f>
        <v/>
      </c>
    </row>
    <row r="146">
      <c r="A146" s="4" t="inlineStr">
        <is>
          <t>provincia</t>
        </is>
      </c>
      <c r="B146" s="4" t="inlineStr">
        <is>
          <t>19</t>
        </is>
      </c>
      <c r="C146" s="4" t="inlineStr">
        <is>
          <t>Guadalajara</t>
        </is>
      </c>
      <c r="D146" s="4" t="n">
        <v>2022</v>
      </c>
      <c r="E146" s="4" t="n">
        <v>125.674</v>
      </c>
      <c r="F146" s="4" t="n">
        <v>116.253</v>
      </c>
      <c r="G146" s="4" t="n">
        <v>117.814</v>
      </c>
      <c r="H146" s="6">
        <f>IF(AND(ISNUMBER(E146),ISNUMBER(F146)),E146-F146,"")</f>
        <v/>
      </c>
    </row>
    <row r="147">
      <c r="A147" s="4" t="inlineStr">
        <is>
          <t>provincia</t>
        </is>
      </c>
      <c r="B147" s="4" t="inlineStr">
        <is>
          <t>19</t>
        </is>
      </c>
      <c r="C147" s="4" t="inlineStr">
        <is>
          <t>Guadalajara</t>
        </is>
      </c>
      <c r="D147" s="4" t="n">
        <v>2023</v>
      </c>
      <c r="E147" s="4" t="n">
        <v>130.901</v>
      </c>
      <c r="F147" s="4" t="n">
        <v>118.942</v>
      </c>
      <c r="G147" s="4" t="n">
        <v>120.876</v>
      </c>
      <c r="H147" s="6">
        <f>IF(AND(ISNUMBER(E147),ISNUMBER(F147)),E147-F147,"")</f>
        <v/>
      </c>
    </row>
    <row r="148">
      <c r="A148" s="4" t="inlineStr">
        <is>
          <t>provincia</t>
        </is>
      </c>
      <c r="B148" s="4" t="inlineStr">
        <is>
          <t>19</t>
        </is>
      </c>
      <c r="C148" s="4" t="inlineStr">
        <is>
          <t>Guadalajara</t>
        </is>
      </c>
      <c r="D148" s="4" t="n">
        <v>2024</v>
      </c>
      <c r="E148" s="4" t="n">
        <v>143.785</v>
      </c>
      <c r="F148" s="4" t="n">
        <v>122.234</v>
      </c>
      <c r="G148" s="4" t="n">
        <v>125.41</v>
      </c>
      <c r="H148" s="6">
        <f>IF(AND(ISNUMBER(E148),ISNUMBER(F148)),E148-F148,"")</f>
        <v/>
      </c>
    </row>
    <row r="149">
      <c r="A149" s="4" t="inlineStr">
        <is>
          <t>provincia</t>
        </is>
      </c>
      <c r="B149" s="4" t="inlineStr">
        <is>
          <t>21</t>
        </is>
      </c>
      <c r="C149" s="4" t="inlineStr">
        <is>
          <t>Huelva</t>
        </is>
      </c>
      <c r="D149" s="4" t="n">
        <v>2021</v>
      </c>
      <c r="E149" s="4" t="n">
        <v>113.282</v>
      </c>
      <c r="F149" s="4" t="n">
        <v>109.871</v>
      </c>
      <c r="G149" s="4" t="n">
        <v>110.673</v>
      </c>
      <c r="H149" s="6">
        <f>IF(AND(ISNUMBER(E149),ISNUMBER(F149)),E149-F149,"")</f>
        <v/>
      </c>
    </row>
    <row r="150">
      <c r="A150" s="4" t="inlineStr">
        <is>
          <t>provincia</t>
        </is>
      </c>
      <c r="B150" s="4" t="inlineStr">
        <is>
          <t>21</t>
        </is>
      </c>
      <c r="C150" s="4" t="inlineStr">
        <is>
          <t>Huelva</t>
        </is>
      </c>
      <c r="D150" s="4" t="n">
        <v>2022</v>
      </c>
      <c r="E150" s="4" t="n">
        <v>117.98</v>
      </c>
      <c r="F150" s="4" t="n">
        <v>111.593</v>
      </c>
      <c r="G150" s="4" t="n">
        <v>113.097</v>
      </c>
      <c r="H150" s="6">
        <f>IF(AND(ISNUMBER(E150),ISNUMBER(F150)),E150-F150,"")</f>
        <v/>
      </c>
    </row>
    <row r="151">
      <c r="A151" s="4" t="inlineStr">
        <is>
          <t>provincia</t>
        </is>
      </c>
      <c r="B151" s="4" t="inlineStr">
        <is>
          <t>21</t>
        </is>
      </c>
      <c r="C151" s="4" t="inlineStr">
        <is>
          <t>Huelva</t>
        </is>
      </c>
      <c r="D151" s="4" t="n">
        <v>2023</v>
      </c>
      <c r="E151" s="4" t="n">
        <v>120.923</v>
      </c>
      <c r="F151" s="4" t="n">
        <v>113.517</v>
      </c>
      <c r="G151" s="4" t="n">
        <v>115.249</v>
      </c>
      <c r="H151" s="6">
        <f>IF(AND(ISNUMBER(E151),ISNUMBER(F151)),E151-F151,"")</f>
        <v/>
      </c>
    </row>
    <row r="152">
      <c r="A152" s="4" t="inlineStr">
        <is>
          <t>provincia</t>
        </is>
      </c>
      <c r="B152" s="4" t="inlineStr">
        <is>
          <t>21</t>
        </is>
      </c>
      <c r="C152" s="4" t="inlineStr">
        <is>
          <t>Huelva</t>
        </is>
      </c>
      <c r="D152" s="4" t="n">
        <v>2024</v>
      </c>
      <c r="E152" s="4" t="n">
        <v>128.231</v>
      </c>
      <c r="F152" s="4" t="n">
        <v>115.978</v>
      </c>
      <c r="G152" s="4" t="n">
        <v>118.614</v>
      </c>
      <c r="H152" s="6">
        <f>IF(AND(ISNUMBER(E152),ISNUMBER(F152)),E152-F152,"")</f>
        <v/>
      </c>
    </row>
    <row r="153">
      <c r="A153" s="4" t="inlineStr">
        <is>
          <t>provincia</t>
        </is>
      </c>
      <c r="B153" s="4" t="inlineStr">
        <is>
          <t>22</t>
        </is>
      </c>
      <c r="C153" s="4" t="inlineStr">
        <is>
          <t>Huesca</t>
        </is>
      </c>
      <c r="D153" s="4" t="n">
        <v>2021</v>
      </c>
      <c r="E153" s="4" t="n">
        <v>115.458</v>
      </c>
      <c r="F153" s="4" t="n">
        <v>110.558</v>
      </c>
      <c r="G153" s="4" t="n">
        <v>111.337</v>
      </c>
      <c r="H153" s="6">
        <f>IF(AND(ISNUMBER(E153),ISNUMBER(F153)),E153-F153,"")</f>
        <v/>
      </c>
    </row>
    <row r="154">
      <c r="A154" s="4" t="inlineStr">
        <is>
          <t>provincia</t>
        </is>
      </c>
      <c r="B154" s="4" t="inlineStr">
        <is>
          <t>22</t>
        </is>
      </c>
      <c r="C154" s="4" t="inlineStr">
        <is>
          <t>Huesca</t>
        </is>
      </c>
      <c r="D154" s="4" t="n">
        <v>2022</v>
      </c>
      <c r="E154" s="4" t="n">
        <v>121.668</v>
      </c>
      <c r="F154" s="4" t="n">
        <v>113.067</v>
      </c>
      <c r="G154" s="4" t="n">
        <v>114.415</v>
      </c>
      <c r="H154" s="6">
        <f>IF(AND(ISNUMBER(E154),ISNUMBER(F154)),E154-F154,"")</f>
        <v/>
      </c>
    </row>
    <row r="155">
      <c r="A155" s="4" t="inlineStr">
        <is>
          <t>provincia</t>
        </is>
      </c>
      <c r="B155" s="4" t="inlineStr">
        <is>
          <t>22</t>
        </is>
      </c>
      <c r="C155" s="4" t="inlineStr">
        <is>
          <t>Huesca</t>
        </is>
      </c>
      <c r="D155" s="4" t="n">
        <v>2023</v>
      </c>
      <c r="E155" s="4" t="n">
        <v>125.841</v>
      </c>
      <c r="F155" s="4" t="n">
        <v>115.468</v>
      </c>
      <c r="G155" s="4" t="n">
        <v>117.08</v>
      </c>
      <c r="H155" s="6">
        <f>IF(AND(ISNUMBER(E155),ISNUMBER(F155)),E155-F155,"")</f>
        <v/>
      </c>
    </row>
    <row r="156">
      <c r="A156" s="4" t="inlineStr">
        <is>
          <t>provincia</t>
        </is>
      </c>
      <c r="B156" s="4" t="inlineStr">
        <is>
          <t>22</t>
        </is>
      </c>
      <c r="C156" s="4" t="inlineStr">
        <is>
          <t>Huesca</t>
        </is>
      </c>
      <c r="D156" s="4" t="n">
        <v>2024</v>
      </c>
      <c r="E156" s="4" t="n">
        <v>135.123</v>
      </c>
      <c r="F156" s="4" t="n">
        <v>118.111</v>
      </c>
      <c r="G156" s="4" t="n">
        <v>120.598</v>
      </c>
      <c r="H156" s="6">
        <f>IF(AND(ISNUMBER(E156),ISNUMBER(F156)),E156-F156,"")</f>
        <v/>
      </c>
    </row>
    <row r="157">
      <c r="A157" s="4" t="inlineStr">
        <is>
          <t>provincia</t>
        </is>
      </c>
      <c r="B157" s="4" t="inlineStr">
        <is>
          <t>23</t>
        </is>
      </c>
      <c r="C157" s="4" t="inlineStr">
        <is>
          <t>Jaén</t>
        </is>
      </c>
      <c r="D157" s="4" t="n">
        <v>2021</v>
      </c>
      <c r="E157" s="4" t="n">
        <v>111.221</v>
      </c>
      <c r="F157" s="4" t="n">
        <v>108.092</v>
      </c>
      <c r="G157" s="4" t="n">
        <v>108.805</v>
      </c>
      <c r="H157" s="6">
        <f>IF(AND(ISNUMBER(E157),ISNUMBER(F157)),E157-F157,"")</f>
        <v/>
      </c>
    </row>
    <row r="158">
      <c r="A158" s="4" t="inlineStr">
        <is>
          <t>provincia</t>
        </is>
      </c>
      <c r="B158" s="4" t="inlineStr">
        <is>
          <t>23</t>
        </is>
      </c>
      <c r="C158" s="4" t="inlineStr">
        <is>
          <t>Jaén</t>
        </is>
      </c>
      <c r="D158" s="4" t="n">
        <v>2022</v>
      </c>
      <c r="E158" s="4" t="n">
        <v>115.535</v>
      </c>
      <c r="F158" s="4" t="n">
        <v>109.398</v>
      </c>
      <c r="G158" s="4" t="n">
        <v>110.82</v>
      </c>
      <c r="H158" s="6">
        <f>IF(AND(ISNUMBER(E158),ISNUMBER(F158)),E158-F158,"")</f>
        <v/>
      </c>
    </row>
    <row r="159">
      <c r="A159" s="4" t="inlineStr">
        <is>
          <t>provincia</t>
        </is>
      </c>
      <c r="B159" s="4" t="inlineStr">
        <is>
          <t>23</t>
        </is>
      </c>
      <c r="C159" s="4" t="inlineStr">
        <is>
          <t>Jaén</t>
        </is>
      </c>
      <c r="D159" s="4" t="n">
        <v>2023</v>
      </c>
      <c r="E159" s="4" t="n">
        <v>116.969</v>
      </c>
      <c r="F159" s="4" t="n">
        <v>110.555</v>
      </c>
      <c r="G159" s="4" t="n">
        <v>112.037</v>
      </c>
      <c r="H159" s="6">
        <f>IF(AND(ISNUMBER(E159),ISNUMBER(F159)),E159-F159,"")</f>
        <v/>
      </c>
    </row>
    <row r="160">
      <c r="A160" s="4" t="inlineStr">
        <is>
          <t>provincia</t>
        </is>
      </c>
      <c r="B160" s="4" t="inlineStr">
        <is>
          <t>23</t>
        </is>
      </c>
      <c r="C160" s="4" t="inlineStr">
        <is>
          <t>Jaén</t>
        </is>
      </c>
      <c r="D160" s="4" t="n">
        <v>2024</v>
      </c>
      <c r="E160" s="4" t="n">
        <v>124.231</v>
      </c>
      <c r="F160" s="4" t="n">
        <v>112.519</v>
      </c>
      <c r="G160" s="4" t="n">
        <v>114.98</v>
      </c>
      <c r="H160" s="6">
        <f>IF(AND(ISNUMBER(E160),ISNUMBER(F160)),E160-F160,"")</f>
        <v/>
      </c>
    </row>
    <row r="161">
      <c r="A161" s="4" t="inlineStr">
        <is>
          <t>provincia</t>
        </is>
      </c>
      <c r="B161" s="4" t="inlineStr">
        <is>
          <t>24</t>
        </is>
      </c>
      <c r="C161" s="4" t="inlineStr">
        <is>
          <t>León</t>
        </is>
      </c>
      <c r="D161" s="4" t="n">
        <v>2021</v>
      </c>
      <c r="E161" s="4" t="n">
        <v>110.055</v>
      </c>
      <c r="F161" s="4" t="n">
        <v>105.938</v>
      </c>
      <c r="G161" s="4" t="n">
        <v>106.586</v>
      </c>
      <c r="H161" s="6">
        <f>IF(AND(ISNUMBER(E161),ISNUMBER(F161)),E161-F161,"")</f>
        <v/>
      </c>
    </row>
    <row r="162">
      <c r="A162" s="4" t="inlineStr">
        <is>
          <t>provincia</t>
        </is>
      </c>
      <c r="B162" s="4" t="inlineStr">
        <is>
          <t>24</t>
        </is>
      </c>
      <c r="C162" s="4" t="inlineStr">
        <is>
          <t>León</t>
        </is>
      </c>
      <c r="D162" s="4" t="n">
        <v>2022</v>
      </c>
      <c r="E162" s="4" t="n">
        <v>114.23</v>
      </c>
      <c r="F162" s="4" t="n">
        <v>107.496</v>
      </c>
      <c r="G162" s="4" t="n">
        <v>108.581</v>
      </c>
      <c r="H162" s="6">
        <f>IF(AND(ISNUMBER(E162),ISNUMBER(F162)),E162-F162,"")</f>
        <v/>
      </c>
    </row>
    <row r="163">
      <c r="A163" s="4" t="inlineStr">
        <is>
          <t>provincia</t>
        </is>
      </c>
      <c r="B163" s="4" t="inlineStr">
        <is>
          <t>24</t>
        </is>
      </c>
      <c r="C163" s="4" t="inlineStr">
        <is>
          <t>León</t>
        </is>
      </c>
      <c r="D163" s="4" t="n">
        <v>2023</v>
      </c>
      <c r="E163" s="4" t="n">
        <v>117.158</v>
      </c>
      <c r="F163" s="4" t="n">
        <v>108.995</v>
      </c>
      <c r="G163" s="4" t="n">
        <v>110.305</v>
      </c>
      <c r="H163" s="6">
        <f>IF(AND(ISNUMBER(E163),ISNUMBER(F163)),E163-F163,"")</f>
        <v/>
      </c>
    </row>
    <row r="164">
      <c r="A164" s="4" t="inlineStr">
        <is>
          <t>provincia</t>
        </is>
      </c>
      <c r="B164" s="4" t="inlineStr">
        <is>
          <t>24</t>
        </is>
      </c>
      <c r="C164" s="4" t="inlineStr">
        <is>
          <t>León</t>
        </is>
      </c>
      <c r="D164" s="4" t="n">
        <v>2024</v>
      </c>
      <c r="E164" s="4" t="n">
        <v>125.599</v>
      </c>
      <c r="F164" s="4" t="n">
        <v>111.214</v>
      </c>
      <c r="G164" s="4" t="n">
        <v>113.361</v>
      </c>
      <c r="H164" s="6">
        <f>IF(AND(ISNUMBER(E164),ISNUMBER(F164)),E164-F164,"")</f>
        <v/>
      </c>
    </row>
    <row r="165">
      <c r="A165" s="4" t="inlineStr">
        <is>
          <t>provincia</t>
        </is>
      </c>
      <c r="B165" s="4" t="inlineStr">
        <is>
          <t>25</t>
        </is>
      </c>
      <c r="C165" s="4" t="inlineStr">
        <is>
          <t>Lleida</t>
        </is>
      </c>
      <c r="D165" s="4" t="n">
        <v>2021</v>
      </c>
      <c r="E165" s="4" t="n">
        <v>113.479</v>
      </c>
      <c r="F165" s="4" t="n">
        <v>109.554</v>
      </c>
      <c r="G165" s="4" t="n">
        <v>110.132</v>
      </c>
      <c r="H165" s="6">
        <f>IF(AND(ISNUMBER(E165),ISNUMBER(F165)),E165-F165,"")</f>
        <v/>
      </c>
    </row>
    <row r="166">
      <c r="A166" s="4" t="inlineStr">
        <is>
          <t>provincia</t>
        </is>
      </c>
      <c r="B166" s="4" t="inlineStr">
        <is>
          <t>25</t>
        </is>
      </c>
      <c r="C166" s="4" t="inlineStr">
        <is>
          <t>Lleida</t>
        </is>
      </c>
      <c r="D166" s="4" t="n">
        <v>2022</v>
      </c>
      <c r="E166" s="4" t="n">
        <v>119.773</v>
      </c>
      <c r="F166" s="4" t="n">
        <v>111.743</v>
      </c>
      <c r="G166" s="4" t="n">
        <v>112.888</v>
      </c>
      <c r="H166" s="6">
        <f>IF(AND(ISNUMBER(E166),ISNUMBER(F166)),E166-F166,"")</f>
        <v/>
      </c>
    </row>
    <row r="167">
      <c r="A167" s="4" t="inlineStr">
        <is>
          <t>provincia</t>
        </is>
      </c>
      <c r="B167" s="4" t="inlineStr">
        <is>
          <t>25</t>
        </is>
      </c>
      <c r="C167" s="4" t="inlineStr">
        <is>
          <t>Lleida</t>
        </is>
      </c>
      <c r="D167" s="4" t="n">
        <v>2023</v>
      </c>
      <c r="E167" s="4" t="n">
        <v>124.029</v>
      </c>
      <c r="F167" s="4" t="n">
        <v>114.346</v>
      </c>
      <c r="G167" s="4" t="n">
        <v>115.708</v>
      </c>
      <c r="H167" s="6">
        <f>IF(AND(ISNUMBER(E167),ISNUMBER(F167)),E167-F167,"")</f>
        <v/>
      </c>
    </row>
    <row r="168">
      <c r="A168" s="4" t="inlineStr">
        <is>
          <t>provincia</t>
        </is>
      </c>
      <c r="B168" s="4" t="inlineStr">
        <is>
          <t>25</t>
        </is>
      </c>
      <c r="C168" s="4" t="inlineStr">
        <is>
          <t>Lleida</t>
        </is>
      </c>
      <c r="D168" s="4" t="n">
        <v>2024</v>
      </c>
      <c r="E168" s="4" t="n">
        <v>133.85</v>
      </c>
      <c r="F168" s="4" t="n">
        <v>117.246</v>
      </c>
      <c r="G168" s="4" t="n">
        <v>119.441</v>
      </c>
      <c r="H168" s="6">
        <f>IF(AND(ISNUMBER(E168),ISNUMBER(F168)),E168-F168,"")</f>
        <v/>
      </c>
    </row>
    <row r="169">
      <c r="A169" s="4" t="inlineStr">
        <is>
          <t>provincia</t>
        </is>
      </c>
      <c r="B169" s="4" t="inlineStr">
        <is>
          <t>26</t>
        </is>
      </c>
      <c r="C169" s="4" t="inlineStr">
        <is>
          <t>Rioja, La</t>
        </is>
      </c>
      <c r="D169" s="4" t="n">
        <v>2021</v>
      </c>
      <c r="E169" s="4" t="n">
        <v>113.558</v>
      </c>
      <c r="F169" s="4" t="n">
        <v>110.07</v>
      </c>
      <c r="G169" s="4" t="n">
        <v>110.651</v>
      </c>
      <c r="H169" s="6">
        <f>IF(AND(ISNUMBER(E169),ISNUMBER(F169)),E169-F169,"")</f>
        <v/>
      </c>
    </row>
    <row r="170">
      <c r="A170" s="4" t="inlineStr">
        <is>
          <t>provincia</t>
        </is>
      </c>
      <c r="B170" s="4" t="inlineStr">
        <is>
          <t>26</t>
        </is>
      </c>
      <c r="C170" s="4" t="inlineStr">
        <is>
          <t>Rioja, La</t>
        </is>
      </c>
      <c r="D170" s="4" t="n">
        <v>2022</v>
      </c>
      <c r="E170" s="4" t="n">
        <v>119.237</v>
      </c>
      <c r="F170" s="4" t="n">
        <v>112.252</v>
      </c>
      <c r="G170" s="4" t="n">
        <v>113.42</v>
      </c>
      <c r="H170" s="6">
        <f>IF(AND(ISNUMBER(E170),ISNUMBER(F170)),E170-F170,"")</f>
        <v/>
      </c>
    </row>
    <row r="171">
      <c r="A171" s="4" t="inlineStr">
        <is>
          <t>provincia</t>
        </is>
      </c>
      <c r="B171" s="4" t="inlineStr">
        <is>
          <t>26</t>
        </is>
      </c>
      <c r="C171" s="4" t="inlineStr">
        <is>
          <t>Rioja, La</t>
        </is>
      </c>
      <c r="D171" s="4" t="n">
        <v>2023</v>
      </c>
      <c r="E171" s="4" t="n">
        <v>122.808</v>
      </c>
      <c r="F171" s="4" t="n">
        <v>114.646</v>
      </c>
      <c r="G171" s="4" t="n">
        <v>115.998</v>
      </c>
      <c r="H171" s="6">
        <f>IF(AND(ISNUMBER(E171),ISNUMBER(F171)),E171-F171,"")</f>
        <v/>
      </c>
    </row>
    <row r="172">
      <c r="A172" s="4" t="inlineStr">
        <is>
          <t>provincia</t>
        </is>
      </c>
      <c r="B172" s="4" t="inlineStr">
        <is>
          <t>26</t>
        </is>
      </c>
      <c r="C172" s="4" t="inlineStr">
        <is>
          <t>Rioja, La</t>
        </is>
      </c>
      <c r="D172" s="4" t="n">
        <v>2024</v>
      </c>
      <c r="E172" s="4" t="n">
        <v>132.315</v>
      </c>
      <c r="F172" s="4" t="n">
        <v>117.343</v>
      </c>
      <c r="G172" s="4" t="n">
        <v>119.62</v>
      </c>
      <c r="H172" s="6">
        <f>IF(AND(ISNUMBER(E172),ISNUMBER(F172)),E172-F172,"")</f>
        <v/>
      </c>
    </row>
    <row r="173">
      <c r="A173" s="4" t="inlineStr">
        <is>
          <t>provincia</t>
        </is>
      </c>
      <c r="B173" s="4" t="inlineStr">
        <is>
          <t>27</t>
        </is>
      </c>
      <c r="C173" s="4" t="inlineStr">
        <is>
          <t>Lugo</t>
        </is>
      </c>
      <c r="D173" s="4" t="n">
        <v>2021</v>
      </c>
      <c r="E173" s="4" t="n">
        <v>110.679</v>
      </c>
      <c r="F173" s="4" t="n">
        <v>106.54</v>
      </c>
      <c r="G173" s="4" t="n">
        <v>107.292</v>
      </c>
      <c r="H173" s="6">
        <f>IF(AND(ISNUMBER(E173),ISNUMBER(F173)),E173-F173,"")</f>
        <v/>
      </c>
    </row>
    <row r="174">
      <c r="A174" s="4" t="inlineStr">
        <is>
          <t>provincia</t>
        </is>
      </c>
      <c r="B174" s="4" t="inlineStr">
        <is>
          <t>27</t>
        </is>
      </c>
      <c r="C174" s="4" t="inlineStr">
        <is>
          <t>Lugo</t>
        </is>
      </c>
      <c r="D174" s="4" t="n">
        <v>2022</v>
      </c>
      <c r="E174" s="4" t="n">
        <v>116.455</v>
      </c>
      <c r="F174" s="4" t="n">
        <v>108.261</v>
      </c>
      <c r="G174" s="4" t="n">
        <v>109.738</v>
      </c>
      <c r="H174" s="6">
        <f>IF(AND(ISNUMBER(E174),ISNUMBER(F174)),E174-F174,"")</f>
        <v/>
      </c>
    </row>
    <row r="175">
      <c r="A175" s="4" t="inlineStr">
        <is>
          <t>provincia</t>
        </is>
      </c>
      <c r="B175" s="4" t="inlineStr">
        <is>
          <t>27</t>
        </is>
      </c>
      <c r="C175" s="4" t="inlineStr">
        <is>
          <t>Lugo</t>
        </is>
      </c>
      <c r="D175" s="4" t="n">
        <v>2023</v>
      </c>
      <c r="E175" s="4" t="n">
        <v>120.615</v>
      </c>
      <c r="F175" s="4" t="n">
        <v>110.46</v>
      </c>
      <c r="G175" s="4" t="n">
        <v>112.278</v>
      </c>
      <c r="H175" s="6">
        <f>IF(AND(ISNUMBER(E175),ISNUMBER(F175)),E175-F175,"")</f>
        <v/>
      </c>
    </row>
    <row r="176">
      <c r="A176" s="4" t="inlineStr">
        <is>
          <t>provincia</t>
        </is>
      </c>
      <c r="B176" s="4" t="inlineStr">
        <is>
          <t>27</t>
        </is>
      </c>
      <c r="C176" s="4" t="inlineStr">
        <is>
          <t>Lugo</t>
        </is>
      </c>
      <c r="D176" s="4" t="n">
        <v>2024</v>
      </c>
      <c r="E176" s="4" t="n">
        <v>131.846</v>
      </c>
      <c r="F176" s="4" t="n">
        <v>113.605</v>
      </c>
      <c r="G176" s="4" t="n">
        <v>116.6</v>
      </c>
      <c r="H176" s="6">
        <f>IF(AND(ISNUMBER(E176),ISNUMBER(F176)),E176-F176,"")</f>
        <v/>
      </c>
    </row>
    <row r="177">
      <c r="A177" s="4" t="inlineStr">
        <is>
          <t>provincia</t>
        </is>
      </c>
      <c r="B177" s="4" t="inlineStr">
        <is>
          <t>28</t>
        </is>
      </c>
      <c r="C177" s="4" t="inlineStr">
        <is>
          <t>Madrid</t>
        </is>
      </c>
      <c r="D177" s="4" t="n">
        <v>2021</v>
      </c>
      <c r="E177" s="4" t="n">
        <v>113.661</v>
      </c>
      <c r="F177" s="4" t="n">
        <v>112.298</v>
      </c>
      <c r="G177" s="4" t="n">
        <v>112.539</v>
      </c>
      <c r="H177" s="6">
        <f>IF(AND(ISNUMBER(E177),ISNUMBER(F177)),E177-F177,"")</f>
        <v/>
      </c>
    </row>
    <row r="178">
      <c r="A178" s="4" t="inlineStr">
        <is>
          <t>provincia</t>
        </is>
      </c>
      <c r="B178" s="4" t="inlineStr">
        <is>
          <t>28</t>
        </is>
      </c>
      <c r="C178" s="4" t="inlineStr">
        <is>
          <t>Madrid</t>
        </is>
      </c>
      <c r="D178" s="4" t="n">
        <v>2022</v>
      </c>
      <c r="E178" s="4" t="n">
        <v>119.327</v>
      </c>
      <c r="F178" s="4" t="n">
        <v>114.531</v>
      </c>
      <c r="G178" s="4" t="n">
        <v>115.294</v>
      </c>
      <c r="H178" s="6">
        <f>IF(AND(ISNUMBER(E178),ISNUMBER(F178)),E178-F178,"")</f>
        <v/>
      </c>
    </row>
    <row r="179">
      <c r="A179" s="4" t="inlineStr">
        <is>
          <t>provincia</t>
        </is>
      </c>
      <c r="B179" s="4" t="inlineStr">
        <is>
          <t>28</t>
        </is>
      </c>
      <c r="C179" s="4" t="inlineStr">
        <is>
          <t>Madrid</t>
        </is>
      </c>
      <c r="D179" s="4" t="n">
        <v>2023</v>
      </c>
      <c r="E179" s="4" t="n">
        <v>124.319</v>
      </c>
      <c r="F179" s="4" t="n">
        <v>117.106</v>
      </c>
      <c r="G179" s="4" t="n">
        <v>118.178</v>
      </c>
      <c r="H179" s="6">
        <f>IF(AND(ISNUMBER(E179),ISNUMBER(F179)),E179-F179,"")</f>
        <v/>
      </c>
    </row>
    <row r="180">
      <c r="A180" s="4" t="inlineStr">
        <is>
          <t>provincia</t>
        </is>
      </c>
      <c r="B180" s="4" t="inlineStr">
        <is>
          <t>28</t>
        </is>
      </c>
      <c r="C180" s="4" t="inlineStr">
        <is>
          <t>Madrid</t>
        </is>
      </c>
      <c r="D180" s="4" t="n">
        <v>2024</v>
      </c>
      <c r="E180" s="4" t="n">
        <v>135.753</v>
      </c>
      <c r="F180" s="4" t="n">
        <v>120.323</v>
      </c>
      <c r="G180" s="4" t="n">
        <v>122.246</v>
      </c>
      <c r="H180" s="6">
        <f>IF(AND(ISNUMBER(E180),ISNUMBER(F180)),E180-F180,"")</f>
        <v/>
      </c>
    </row>
    <row r="181">
      <c r="A181" s="4" t="inlineStr">
        <is>
          <t>provincia</t>
        </is>
      </c>
      <c r="B181" s="4" t="inlineStr">
        <is>
          <t>29</t>
        </is>
      </c>
      <c r="C181" s="4" t="inlineStr">
        <is>
          <t>Málaga</t>
        </is>
      </c>
      <c r="D181" s="4" t="n">
        <v>2021</v>
      </c>
      <c r="E181" s="4" t="n">
        <v>118.074</v>
      </c>
      <c r="F181" s="4" t="n">
        <v>115.273</v>
      </c>
      <c r="G181" s="4" t="n">
        <v>115.982</v>
      </c>
      <c r="H181" s="6">
        <f>IF(AND(ISNUMBER(E181),ISNUMBER(F181)),E181-F181,"")</f>
        <v/>
      </c>
    </row>
    <row r="182">
      <c r="A182" s="4" t="inlineStr">
        <is>
          <t>provincia</t>
        </is>
      </c>
      <c r="B182" s="4" t="inlineStr">
        <is>
          <t>29</t>
        </is>
      </c>
      <c r="C182" s="4" t="inlineStr">
        <is>
          <t>Málaga</t>
        </is>
      </c>
      <c r="D182" s="4" t="n">
        <v>2022</v>
      </c>
      <c r="E182" s="4" t="n">
        <v>125.494</v>
      </c>
      <c r="F182" s="4" t="n">
        <v>118.354</v>
      </c>
      <c r="G182" s="4" t="n">
        <v>119.999</v>
      </c>
      <c r="H182" s="6">
        <f>IF(AND(ISNUMBER(E182),ISNUMBER(F182)),E182-F182,"")</f>
        <v/>
      </c>
    </row>
    <row r="183">
      <c r="A183" s="4" t="inlineStr">
        <is>
          <t>provincia</t>
        </is>
      </c>
      <c r="B183" s="4" t="inlineStr">
        <is>
          <t>29</t>
        </is>
      </c>
      <c r="C183" s="4" t="inlineStr">
        <is>
          <t>Málaga</t>
        </is>
      </c>
      <c r="D183" s="4" t="n">
        <v>2023</v>
      </c>
      <c r="E183" s="4" t="n">
        <v>132.097</v>
      </c>
      <c r="F183" s="4" t="n">
        <v>122.024</v>
      </c>
      <c r="G183" s="4" t="n">
        <v>124.222</v>
      </c>
      <c r="H183" s="6">
        <f>IF(AND(ISNUMBER(E183),ISNUMBER(F183)),E183-F183,"")</f>
        <v/>
      </c>
    </row>
    <row r="184">
      <c r="A184" s="4" t="inlineStr">
        <is>
          <t>provincia</t>
        </is>
      </c>
      <c r="B184" s="4" t="inlineStr">
        <is>
          <t>29</t>
        </is>
      </c>
      <c r="C184" s="4" t="inlineStr">
        <is>
          <t>Málaga</t>
        </is>
      </c>
      <c r="D184" s="4" t="n">
        <v>2024</v>
      </c>
      <c r="E184" s="4" t="n">
        <v>146.582</v>
      </c>
      <c r="F184" s="4" t="n">
        <v>126.593</v>
      </c>
      <c r="G184" s="4" t="n">
        <v>130.319</v>
      </c>
      <c r="H184" s="6">
        <f>IF(AND(ISNUMBER(E184),ISNUMBER(F184)),E184-F184,"")</f>
        <v/>
      </c>
    </row>
    <row r="185">
      <c r="A185" s="4" t="inlineStr">
        <is>
          <t>provincia</t>
        </is>
      </c>
      <c r="B185" s="4" t="inlineStr">
        <is>
          <t>30</t>
        </is>
      </c>
      <c r="C185" s="4" t="inlineStr">
        <is>
          <t>Murcia</t>
        </is>
      </c>
      <c r="D185" s="4" t="n">
        <v>2021</v>
      </c>
      <c r="E185" s="4" t="n">
        <v>115.351</v>
      </c>
      <c r="F185" s="4" t="n">
        <v>111.091</v>
      </c>
      <c r="G185" s="4" t="n">
        <v>111.978</v>
      </c>
      <c r="H185" s="6">
        <f>IF(AND(ISNUMBER(E185),ISNUMBER(F185)),E185-F185,"")</f>
        <v/>
      </c>
    </row>
    <row r="186">
      <c r="A186" s="4" t="inlineStr">
        <is>
          <t>provincia</t>
        </is>
      </c>
      <c r="B186" s="4" t="inlineStr">
        <is>
          <t>30</t>
        </is>
      </c>
      <c r="C186" s="4" t="inlineStr">
        <is>
          <t>Murcia</t>
        </is>
      </c>
      <c r="D186" s="4" t="n">
        <v>2022</v>
      </c>
      <c r="E186" s="4" t="n">
        <v>121.443</v>
      </c>
      <c r="F186" s="4" t="n">
        <v>113.244</v>
      </c>
      <c r="G186" s="4" t="n">
        <v>114.904</v>
      </c>
      <c r="H186" s="6">
        <f>IF(AND(ISNUMBER(E186),ISNUMBER(F186)),E186-F186,"")</f>
        <v/>
      </c>
    </row>
    <row r="187">
      <c r="A187" s="4" t="inlineStr">
        <is>
          <t>provincia</t>
        </is>
      </c>
      <c r="B187" s="4" t="inlineStr">
        <is>
          <t>30</t>
        </is>
      </c>
      <c r="C187" s="4" t="inlineStr">
        <is>
          <t>Murcia</t>
        </is>
      </c>
      <c r="D187" s="4" t="n">
        <v>2023</v>
      </c>
      <c r="E187" s="4" t="n">
        <v>125.345</v>
      </c>
      <c r="F187" s="4" t="n">
        <v>115.729</v>
      </c>
      <c r="G187" s="4" t="n">
        <v>117.657</v>
      </c>
      <c r="H187" s="6">
        <f>IF(AND(ISNUMBER(E187),ISNUMBER(F187)),E187-F187,"")</f>
        <v/>
      </c>
    </row>
    <row r="188">
      <c r="A188" s="4" t="inlineStr">
        <is>
          <t>provincia</t>
        </is>
      </c>
      <c r="B188" s="4" t="inlineStr">
        <is>
          <t>30</t>
        </is>
      </c>
      <c r="C188" s="4" t="inlineStr">
        <is>
          <t>Murcia</t>
        </is>
      </c>
      <c r="D188" s="4" t="n">
        <v>2024</v>
      </c>
      <c r="E188" s="4" t="n">
        <v>134.979</v>
      </c>
      <c r="F188" s="4" t="n">
        <v>118.64</v>
      </c>
      <c r="G188" s="4" t="n">
        <v>121.613</v>
      </c>
      <c r="H188" s="6">
        <f>IF(AND(ISNUMBER(E188),ISNUMBER(F188)),E188-F188,"")</f>
        <v/>
      </c>
    </row>
    <row r="189">
      <c r="A189" s="4" t="inlineStr">
        <is>
          <t>provincia</t>
        </is>
      </c>
      <c r="B189" s="4" t="inlineStr">
        <is>
          <t>32</t>
        </is>
      </c>
      <c r="C189" s="4" t="inlineStr">
        <is>
          <t>Ourense</t>
        </is>
      </c>
      <c r="D189" s="4" t="n">
        <v>2021</v>
      </c>
      <c r="E189" s="4" t="n">
        <v>110.518</v>
      </c>
      <c r="F189" s="4" t="n">
        <v>107.258</v>
      </c>
      <c r="G189" s="4" t="n">
        <v>107.778</v>
      </c>
      <c r="H189" s="6">
        <f>IF(AND(ISNUMBER(E189),ISNUMBER(F189)),E189-F189,"")</f>
        <v/>
      </c>
    </row>
    <row r="190">
      <c r="A190" s="4" t="inlineStr">
        <is>
          <t>provincia</t>
        </is>
      </c>
      <c r="B190" s="4" t="inlineStr">
        <is>
          <t>32</t>
        </is>
      </c>
      <c r="C190" s="4" t="inlineStr">
        <is>
          <t>Ourense</t>
        </is>
      </c>
      <c r="D190" s="4" t="n">
        <v>2022</v>
      </c>
      <c r="E190" s="4" t="n">
        <v>115.238</v>
      </c>
      <c r="F190" s="4" t="n">
        <v>108.794</v>
      </c>
      <c r="G190" s="4" t="n">
        <v>109.81</v>
      </c>
      <c r="H190" s="6">
        <f>IF(AND(ISNUMBER(E190),ISNUMBER(F190)),E190-F190,"")</f>
        <v/>
      </c>
    </row>
    <row r="191">
      <c r="A191" s="4" t="inlineStr">
        <is>
          <t>provincia</t>
        </is>
      </c>
      <c r="B191" s="4" t="inlineStr">
        <is>
          <t>32</t>
        </is>
      </c>
      <c r="C191" s="4" t="inlineStr">
        <is>
          <t>Ourense</t>
        </is>
      </c>
      <c r="D191" s="4" t="n">
        <v>2023</v>
      </c>
      <c r="E191" s="4" t="n">
        <v>117.665</v>
      </c>
      <c r="F191" s="4" t="n">
        <v>110.447</v>
      </c>
      <c r="G191" s="4" t="n">
        <v>111.577</v>
      </c>
      <c r="H191" s="6">
        <f>IF(AND(ISNUMBER(E191),ISNUMBER(F191)),E191-F191,"")</f>
        <v/>
      </c>
    </row>
    <row r="192">
      <c r="A192" s="4" t="inlineStr">
        <is>
          <t>provincia</t>
        </is>
      </c>
      <c r="B192" s="4" t="inlineStr">
        <is>
          <t>32</t>
        </is>
      </c>
      <c r="C192" s="4" t="inlineStr">
        <is>
          <t>Ourense</t>
        </is>
      </c>
      <c r="D192" s="4" t="n">
        <v>2024</v>
      </c>
      <c r="E192" s="4" t="n">
        <v>126.364</v>
      </c>
      <c r="F192" s="4" t="n">
        <v>112.55</v>
      </c>
      <c r="G192" s="4" t="n">
        <v>114.526</v>
      </c>
      <c r="H192" s="6">
        <f>IF(AND(ISNUMBER(E192),ISNUMBER(F192)),E192-F192,"")</f>
        <v/>
      </c>
    </row>
    <row r="193">
      <c r="A193" s="4" t="inlineStr">
        <is>
          <t>provincia</t>
        </is>
      </c>
      <c r="B193" s="4" t="inlineStr">
        <is>
          <t>33</t>
        </is>
      </c>
      <c r="C193" s="4" t="inlineStr">
        <is>
          <t>Asturias</t>
        </is>
      </c>
      <c r="D193" s="4" t="n">
        <v>2021</v>
      </c>
      <c r="E193" s="4" t="n">
        <v>110.926</v>
      </c>
      <c r="F193" s="4" t="n">
        <v>107.434</v>
      </c>
      <c r="G193" s="4" t="n">
        <v>107.998</v>
      </c>
      <c r="H193" s="6">
        <f>IF(AND(ISNUMBER(E193),ISNUMBER(F193)),E193-F193,"")</f>
        <v/>
      </c>
    </row>
    <row r="194">
      <c r="A194" s="4" t="inlineStr">
        <is>
          <t>provincia</t>
        </is>
      </c>
      <c r="B194" s="4" t="inlineStr">
        <is>
          <t>33</t>
        </is>
      </c>
      <c r="C194" s="4" t="inlineStr">
        <is>
          <t>Asturias</t>
        </is>
      </c>
      <c r="D194" s="4" t="n">
        <v>2022</v>
      </c>
      <c r="E194" s="4" t="n">
        <v>115.599</v>
      </c>
      <c r="F194" s="4" t="n">
        <v>108.834</v>
      </c>
      <c r="G194" s="4" t="n">
        <v>109.909</v>
      </c>
      <c r="H194" s="6">
        <f>IF(AND(ISNUMBER(E194),ISNUMBER(F194)),E194-F194,"")</f>
        <v/>
      </c>
    </row>
    <row r="195">
      <c r="A195" s="4" t="inlineStr">
        <is>
          <t>provincia</t>
        </is>
      </c>
      <c r="B195" s="4" t="inlineStr">
        <is>
          <t>33</t>
        </is>
      </c>
      <c r="C195" s="4" t="inlineStr">
        <is>
          <t>Asturias</t>
        </is>
      </c>
      <c r="D195" s="4" t="n">
        <v>2023</v>
      </c>
      <c r="E195" s="4" t="n">
        <v>119.069</v>
      </c>
      <c r="F195" s="4" t="n">
        <v>110.59</v>
      </c>
      <c r="G195" s="4" t="n">
        <v>111.921</v>
      </c>
      <c r="H195" s="6">
        <f>IF(AND(ISNUMBER(E195),ISNUMBER(F195)),E195-F195,"")</f>
        <v/>
      </c>
    </row>
    <row r="196">
      <c r="A196" s="4" t="inlineStr">
        <is>
          <t>provincia</t>
        </is>
      </c>
      <c r="B196" s="4" t="inlineStr">
        <is>
          <t>33</t>
        </is>
      </c>
      <c r="C196" s="4" t="inlineStr">
        <is>
          <t>Asturias</t>
        </is>
      </c>
      <c r="D196" s="4" t="n">
        <v>2024</v>
      </c>
      <c r="E196" s="4" t="n">
        <v>128.638</v>
      </c>
      <c r="F196" s="4" t="n">
        <v>112.668</v>
      </c>
      <c r="G196" s="4" t="n">
        <v>114.919</v>
      </c>
      <c r="H196" s="6">
        <f>IF(AND(ISNUMBER(E196),ISNUMBER(F196)),E196-F196,"")</f>
        <v/>
      </c>
    </row>
    <row r="197">
      <c r="A197" s="4" t="inlineStr">
        <is>
          <t>provincia</t>
        </is>
      </c>
      <c r="B197" s="4" t="inlineStr">
        <is>
          <t>34</t>
        </is>
      </c>
      <c r="C197" s="4" t="inlineStr">
        <is>
          <t>Palencia</t>
        </is>
      </c>
      <c r="D197" s="4" t="n">
        <v>2021</v>
      </c>
      <c r="E197" s="4" t="n">
        <v>110.955</v>
      </c>
      <c r="F197" s="4" t="n">
        <v>107.963</v>
      </c>
      <c r="G197" s="4" t="n">
        <v>108.46</v>
      </c>
      <c r="H197" s="6">
        <f>IF(AND(ISNUMBER(E197),ISNUMBER(F197)),E197-F197,"")</f>
        <v/>
      </c>
    </row>
    <row r="198">
      <c r="A198" s="4" t="inlineStr">
        <is>
          <t>provincia</t>
        </is>
      </c>
      <c r="B198" s="4" t="inlineStr">
        <is>
          <t>34</t>
        </is>
      </c>
      <c r="C198" s="4" t="inlineStr">
        <is>
          <t>Palencia</t>
        </is>
      </c>
      <c r="D198" s="4" t="n">
        <v>2022</v>
      </c>
      <c r="E198" s="4" t="n">
        <v>114.442</v>
      </c>
      <c r="F198" s="4" t="n">
        <v>109.058</v>
      </c>
      <c r="G198" s="4" t="n">
        <v>109.967</v>
      </c>
      <c r="H198" s="6">
        <f>IF(AND(ISNUMBER(E198),ISNUMBER(F198)),E198-F198,"")</f>
        <v/>
      </c>
    </row>
    <row r="199">
      <c r="A199" s="4" t="inlineStr">
        <is>
          <t>provincia</t>
        </is>
      </c>
      <c r="B199" s="4" t="inlineStr">
        <is>
          <t>34</t>
        </is>
      </c>
      <c r="C199" s="4" t="inlineStr">
        <is>
          <t>Palencia</t>
        </is>
      </c>
      <c r="D199" s="4" t="n">
        <v>2023</v>
      </c>
      <c r="E199" s="4" t="n">
        <v>116.258</v>
      </c>
      <c r="F199" s="4" t="n">
        <v>110.66</v>
      </c>
      <c r="G199" s="4" t="n">
        <v>111.606</v>
      </c>
      <c r="H199" s="6">
        <f>IF(AND(ISNUMBER(E199),ISNUMBER(F199)),E199-F199,"")</f>
        <v/>
      </c>
    </row>
    <row r="200">
      <c r="A200" s="4" t="inlineStr">
        <is>
          <t>provincia</t>
        </is>
      </c>
      <c r="B200" s="4" t="inlineStr">
        <is>
          <t>34</t>
        </is>
      </c>
      <c r="C200" s="4" t="inlineStr">
        <is>
          <t>Palencia</t>
        </is>
      </c>
      <c r="D200" s="4" t="n">
        <v>2024</v>
      </c>
      <c r="E200" s="4" t="n">
        <v>123.462</v>
      </c>
      <c r="F200" s="4" t="n">
        <v>112.578</v>
      </c>
      <c r="G200" s="4" t="n">
        <v>114.323</v>
      </c>
      <c r="H200" s="6">
        <f>IF(AND(ISNUMBER(E200),ISNUMBER(F200)),E200-F200,"")</f>
        <v/>
      </c>
    </row>
    <row r="201">
      <c r="A201" s="4" t="inlineStr">
        <is>
          <t>provincia</t>
        </is>
      </c>
      <c r="B201" s="4" t="inlineStr">
        <is>
          <t>35</t>
        </is>
      </c>
      <c r="C201" s="4" t="inlineStr">
        <is>
          <t>Palmas, Las</t>
        </is>
      </c>
      <c r="D201" s="4" t="n">
        <v>2021</v>
      </c>
      <c r="E201" s="4" t="n">
        <v>114.223</v>
      </c>
      <c r="F201" s="4" t="n">
        <v>111.626</v>
      </c>
      <c r="G201" s="4" t="n">
        <v>112.18</v>
      </c>
      <c r="H201" s="6">
        <f>IF(AND(ISNUMBER(E201),ISNUMBER(F201)),E201-F201,"")</f>
        <v/>
      </c>
    </row>
    <row r="202">
      <c r="A202" s="4" t="inlineStr">
        <is>
          <t>provincia</t>
        </is>
      </c>
      <c r="B202" s="4" t="inlineStr">
        <is>
          <t>35</t>
        </is>
      </c>
      <c r="C202" s="4" t="inlineStr">
        <is>
          <t>Palmas, Las</t>
        </is>
      </c>
      <c r="D202" s="4" t="n">
        <v>2022</v>
      </c>
      <c r="E202" s="4" t="n">
        <v>120.037</v>
      </c>
      <c r="F202" s="4" t="n">
        <v>113.843</v>
      </c>
      <c r="G202" s="4" t="n">
        <v>115.058</v>
      </c>
      <c r="H202" s="6">
        <f>IF(AND(ISNUMBER(E202),ISNUMBER(F202)),E202-F202,"")</f>
        <v/>
      </c>
    </row>
    <row r="203">
      <c r="A203" s="4" t="inlineStr">
        <is>
          <t>provincia</t>
        </is>
      </c>
      <c r="B203" s="4" t="inlineStr">
        <is>
          <t>35</t>
        </is>
      </c>
      <c r="C203" s="4" t="inlineStr">
        <is>
          <t>Palmas, Las</t>
        </is>
      </c>
      <c r="D203" s="4" t="n">
        <v>2023</v>
      </c>
      <c r="E203" s="4" t="n">
        <v>124.898</v>
      </c>
      <c r="F203" s="4" t="n">
        <v>116.234</v>
      </c>
      <c r="G203" s="4" t="n">
        <v>117.851</v>
      </c>
      <c r="H203" s="6">
        <f>IF(AND(ISNUMBER(E203),ISNUMBER(F203)),E203-F203,"")</f>
        <v/>
      </c>
    </row>
    <row r="204">
      <c r="A204" s="4" t="inlineStr">
        <is>
          <t>provincia</t>
        </is>
      </c>
      <c r="B204" s="4" t="inlineStr">
        <is>
          <t>35</t>
        </is>
      </c>
      <c r="C204" s="4" t="inlineStr">
        <is>
          <t>Palmas, Las</t>
        </is>
      </c>
      <c r="D204" s="4" t="n">
        <v>2024</v>
      </c>
      <c r="E204" s="4" t="n">
        <v>135.317</v>
      </c>
      <c r="F204" s="4" t="n">
        <v>119.306</v>
      </c>
      <c r="G204" s="4" t="n">
        <v>121.881</v>
      </c>
      <c r="H204" s="6">
        <f>IF(AND(ISNUMBER(E204),ISNUMBER(F204)),E204-F204,"")</f>
        <v/>
      </c>
    </row>
    <row r="205">
      <c r="A205" s="4" t="inlineStr">
        <is>
          <t>provincia</t>
        </is>
      </c>
      <c r="B205" s="4" t="inlineStr">
        <is>
          <t>36</t>
        </is>
      </c>
      <c r="C205" s="4" t="inlineStr">
        <is>
          <t>Pontevedra</t>
        </is>
      </c>
      <c r="D205" s="4" t="n">
        <v>2021</v>
      </c>
      <c r="E205" s="4" t="n">
        <v>113.631</v>
      </c>
      <c r="F205" s="4" t="n">
        <v>108.879</v>
      </c>
      <c r="G205" s="4" t="n">
        <v>109.613</v>
      </c>
      <c r="H205" s="6">
        <f>IF(AND(ISNUMBER(E205),ISNUMBER(F205)),E205-F205,"")</f>
        <v/>
      </c>
    </row>
    <row r="206">
      <c r="A206" s="4" t="inlineStr">
        <is>
          <t>provincia</t>
        </is>
      </c>
      <c r="B206" s="4" t="inlineStr">
        <is>
          <t>36</t>
        </is>
      </c>
      <c r="C206" s="4" t="inlineStr">
        <is>
          <t>Pontevedra</t>
        </is>
      </c>
      <c r="D206" s="4" t="n">
        <v>2022</v>
      </c>
      <c r="E206" s="4" t="n">
        <v>120.372</v>
      </c>
      <c r="F206" s="4" t="n">
        <v>111.246</v>
      </c>
      <c r="G206" s="4" t="n">
        <v>112.617</v>
      </c>
      <c r="H206" s="6">
        <f>IF(AND(ISNUMBER(E206),ISNUMBER(F206)),E206-F206,"")</f>
        <v/>
      </c>
    </row>
    <row r="207">
      <c r="A207" s="4" t="inlineStr">
        <is>
          <t>provincia</t>
        </is>
      </c>
      <c r="B207" s="4" t="inlineStr">
        <is>
          <t>36</t>
        </is>
      </c>
      <c r="C207" s="4" t="inlineStr">
        <is>
          <t>Pontevedra</t>
        </is>
      </c>
      <c r="D207" s="4" t="n">
        <v>2023</v>
      </c>
      <c r="E207" s="4" t="n">
        <v>125.353</v>
      </c>
      <c r="F207" s="4" t="n">
        <v>113.499</v>
      </c>
      <c r="G207" s="4" t="n">
        <v>115.236</v>
      </c>
      <c r="H207" s="6">
        <f>IF(AND(ISNUMBER(E207),ISNUMBER(F207)),E207-F207,"")</f>
        <v/>
      </c>
    </row>
    <row r="208">
      <c r="A208" s="4" t="inlineStr">
        <is>
          <t>provincia</t>
        </is>
      </c>
      <c r="B208" s="4" t="inlineStr">
        <is>
          <t>36</t>
        </is>
      </c>
      <c r="C208" s="4" t="inlineStr">
        <is>
          <t>Pontevedra</t>
        </is>
      </c>
      <c r="D208" s="4" t="n">
        <v>2024</v>
      </c>
      <c r="E208" s="4" t="n">
        <v>135.903</v>
      </c>
      <c r="F208" s="4" t="n">
        <v>116.085</v>
      </c>
      <c r="G208" s="4" t="n">
        <v>118.756</v>
      </c>
      <c r="H208" s="6">
        <f>IF(AND(ISNUMBER(E208),ISNUMBER(F208)),E208-F208,"")</f>
        <v/>
      </c>
    </row>
    <row r="209">
      <c r="A209" s="4" t="inlineStr">
        <is>
          <t>provincia</t>
        </is>
      </c>
      <c r="B209" s="4" t="inlineStr">
        <is>
          <t>37</t>
        </is>
      </c>
      <c r="C209" s="4" t="inlineStr">
        <is>
          <t>Salamanca</t>
        </is>
      </c>
      <c r="D209" s="4" t="n">
        <v>2021</v>
      </c>
      <c r="E209" s="4" t="n">
        <v>110.818</v>
      </c>
      <c r="F209" s="4" t="n">
        <v>107.83</v>
      </c>
      <c r="G209" s="4" t="n">
        <v>108.432</v>
      </c>
      <c r="H209" s="6">
        <f>IF(AND(ISNUMBER(E209),ISNUMBER(F209)),E209-F209,"")</f>
        <v/>
      </c>
    </row>
    <row r="210">
      <c r="A210" s="4" t="inlineStr">
        <is>
          <t>provincia</t>
        </is>
      </c>
      <c r="B210" s="4" t="inlineStr">
        <is>
          <t>37</t>
        </is>
      </c>
      <c r="C210" s="4" t="inlineStr">
        <is>
          <t>Salamanca</t>
        </is>
      </c>
      <c r="D210" s="4" t="n">
        <v>2022</v>
      </c>
      <c r="E210" s="4" t="n">
        <v>115.153</v>
      </c>
      <c r="F210" s="4" t="n">
        <v>109.327</v>
      </c>
      <c r="G210" s="4" t="n">
        <v>110.477</v>
      </c>
      <c r="H210" s="6">
        <f>IF(AND(ISNUMBER(E210),ISNUMBER(F210)),E210-F210,"")</f>
        <v/>
      </c>
    </row>
    <row r="211">
      <c r="A211" s="4" t="inlineStr">
        <is>
          <t>provincia</t>
        </is>
      </c>
      <c r="B211" s="4" t="inlineStr">
        <is>
          <t>37</t>
        </is>
      </c>
      <c r="C211" s="4" t="inlineStr">
        <is>
          <t>Salamanca</t>
        </is>
      </c>
      <c r="D211" s="4" t="n">
        <v>2023</v>
      </c>
      <c r="E211" s="4" t="n">
        <v>118.835</v>
      </c>
      <c r="F211" s="4" t="n">
        <v>111.175</v>
      </c>
      <c r="G211" s="4" t="n">
        <v>112.647</v>
      </c>
      <c r="H211" s="6">
        <f>IF(AND(ISNUMBER(E211),ISNUMBER(F211)),E211-F211,"")</f>
        <v/>
      </c>
    </row>
    <row r="212">
      <c r="A212" s="4" t="inlineStr">
        <is>
          <t>provincia</t>
        </is>
      </c>
      <c r="B212" s="4" t="inlineStr">
        <is>
          <t>37</t>
        </is>
      </c>
      <c r="C212" s="4" t="inlineStr">
        <is>
          <t>Salamanca</t>
        </is>
      </c>
      <c r="D212" s="4" t="n">
        <v>2024</v>
      </c>
      <c r="E212" s="4" t="n">
        <v>127.206</v>
      </c>
      <c r="F212" s="4" t="n">
        <v>113.885</v>
      </c>
      <c r="G212" s="4" t="n">
        <v>116.243</v>
      </c>
      <c r="H212" s="6">
        <f>IF(AND(ISNUMBER(E212),ISNUMBER(F212)),E212-F212,"")</f>
        <v/>
      </c>
    </row>
    <row r="213">
      <c r="A213" s="4" t="inlineStr">
        <is>
          <t>provincia</t>
        </is>
      </c>
      <c r="B213" s="4" t="inlineStr">
        <is>
          <t>38</t>
        </is>
      </c>
      <c r="C213" s="4" t="inlineStr">
        <is>
          <t>Santa Cruz de Tenerife</t>
        </is>
      </c>
      <c r="D213" s="4" t="n">
        <v>2021</v>
      </c>
      <c r="E213" s="4" t="n">
        <v>116.802</v>
      </c>
      <c r="F213" s="4" t="n">
        <v>113.199</v>
      </c>
      <c r="G213" s="4" t="n">
        <v>113.95</v>
      </c>
      <c r="H213" s="6">
        <f>IF(AND(ISNUMBER(E213),ISNUMBER(F213)),E213-F213,"")</f>
        <v/>
      </c>
    </row>
    <row r="214">
      <c r="A214" s="4" t="inlineStr">
        <is>
          <t>provincia</t>
        </is>
      </c>
      <c r="B214" s="4" t="inlineStr">
        <is>
          <t>38</t>
        </is>
      </c>
      <c r="C214" s="4" t="inlineStr">
        <is>
          <t>Santa Cruz de Tenerife</t>
        </is>
      </c>
      <c r="D214" s="4" t="n">
        <v>2022</v>
      </c>
      <c r="E214" s="4" t="n">
        <v>124.185</v>
      </c>
      <c r="F214" s="4" t="n">
        <v>116.313</v>
      </c>
      <c r="G214" s="4" t="n">
        <v>117.853</v>
      </c>
      <c r="H214" s="6">
        <f>IF(AND(ISNUMBER(E214),ISNUMBER(F214)),E214-F214,"")</f>
        <v/>
      </c>
    </row>
    <row r="215">
      <c r="A215" s="4" t="inlineStr">
        <is>
          <t>provincia</t>
        </is>
      </c>
      <c r="B215" s="4" t="inlineStr">
        <is>
          <t>38</t>
        </is>
      </c>
      <c r="C215" s="4" t="inlineStr">
        <is>
          <t>Santa Cruz de Tenerife</t>
        </is>
      </c>
      <c r="D215" s="4" t="n">
        <v>2023</v>
      </c>
      <c r="E215" s="4" t="n">
        <v>130.663</v>
      </c>
      <c r="F215" s="4" t="n">
        <v>119.485</v>
      </c>
      <c r="G215" s="4" t="n">
        <v>121.556</v>
      </c>
      <c r="H215" s="6">
        <f>IF(AND(ISNUMBER(E215),ISNUMBER(F215)),E215-F215,"")</f>
        <v/>
      </c>
    </row>
    <row r="216">
      <c r="A216" s="4" t="inlineStr">
        <is>
          <t>provincia</t>
        </is>
      </c>
      <c r="B216" s="4" t="inlineStr">
        <is>
          <t>38</t>
        </is>
      </c>
      <c r="C216" s="4" t="inlineStr">
        <is>
          <t>Santa Cruz de Tenerife</t>
        </is>
      </c>
      <c r="D216" s="4" t="n">
        <v>2024</v>
      </c>
      <c r="E216" s="4" t="n">
        <v>143.117</v>
      </c>
      <c r="F216" s="4" t="n">
        <v>123.403</v>
      </c>
      <c r="G216" s="4" t="n">
        <v>126.553</v>
      </c>
      <c r="H216" s="6">
        <f>IF(AND(ISNUMBER(E216),ISNUMBER(F216)),E216-F216,"")</f>
        <v/>
      </c>
    </row>
    <row r="217">
      <c r="A217" s="4" t="inlineStr">
        <is>
          <t>provincia</t>
        </is>
      </c>
      <c r="B217" s="4" t="inlineStr">
        <is>
          <t>39</t>
        </is>
      </c>
      <c r="C217" s="4" t="inlineStr">
        <is>
          <t>Cantabria</t>
        </is>
      </c>
      <c r="D217" s="4" t="n">
        <v>2021</v>
      </c>
      <c r="E217" s="4" t="n">
        <v>113.357</v>
      </c>
      <c r="F217" s="4" t="n">
        <v>109.076</v>
      </c>
      <c r="G217" s="4" t="n">
        <v>109.83</v>
      </c>
      <c r="H217" s="6">
        <f>IF(AND(ISNUMBER(E217),ISNUMBER(F217)),E217-F217,"")</f>
        <v/>
      </c>
    </row>
    <row r="218">
      <c r="A218" s="4" t="inlineStr">
        <is>
          <t>provincia</t>
        </is>
      </c>
      <c r="B218" s="4" t="inlineStr">
        <is>
          <t>39</t>
        </is>
      </c>
      <c r="C218" s="4" t="inlineStr">
        <is>
          <t>Cantabria</t>
        </is>
      </c>
      <c r="D218" s="4" t="n">
        <v>2022</v>
      </c>
      <c r="E218" s="4" t="n">
        <v>119.551</v>
      </c>
      <c r="F218" s="4" t="n">
        <v>110.938</v>
      </c>
      <c r="G218" s="4" t="n">
        <v>112.429</v>
      </c>
      <c r="H218" s="6">
        <f>IF(AND(ISNUMBER(E218),ISNUMBER(F218)),E218-F218,"")</f>
        <v/>
      </c>
    </row>
    <row r="219">
      <c r="A219" s="4" t="inlineStr">
        <is>
          <t>provincia</t>
        </is>
      </c>
      <c r="B219" s="4" t="inlineStr">
        <is>
          <t>39</t>
        </is>
      </c>
      <c r="C219" s="4" t="inlineStr">
        <is>
          <t>Cantabria</t>
        </is>
      </c>
      <c r="D219" s="4" t="n">
        <v>2023</v>
      </c>
      <c r="E219" s="4" t="n">
        <v>124.474</v>
      </c>
      <c r="F219" s="4" t="n">
        <v>113.218</v>
      </c>
      <c r="G219" s="4" t="n">
        <v>115.126</v>
      </c>
      <c r="H219" s="6">
        <f>IF(AND(ISNUMBER(E219),ISNUMBER(F219)),E219-F219,"")</f>
        <v/>
      </c>
    </row>
    <row r="220">
      <c r="A220" s="4" t="inlineStr">
        <is>
          <t>provincia</t>
        </is>
      </c>
      <c r="B220" s="4" t="inlineStr">
        <is>
          <t>39</t>
        </is>
      </c>
      <c r="C220" s="4" t="inlineStr">
        <is>
          <t>Cantabria</t>
        </is>
      </c>
      <c r="D220" s="4" t="n">
        <v>2024</v>
      </c>
      <c r="E220" s="4" t="n">
        <v>136.185</v>
      </c>
      <c r="F220" s="4" t="n">
        <v>115.938</v>
      </c>
      <c r="G220" s="4" t="n">
        <v>118.981</v>
      </c>
      <c r="H220" s="6">
        <f>IF(AND(ISNUMBER(E220),ISNUMBER(F220)),E220-F220,"")</f>
        <v/>
      </c>
    </row>
    <row r="221">
      <c r="A221" s="4" t="inlineStr">
        <is>
          <t>provincia</t>
        </is>
      </c>
      <c r="B221" s="4" t="inlineStr">
        <is>
          <t>40</t>
        </is>
      </c>
      <c r="C221" s="4" t="inlineStr">
        <is>
          <t>Segovia</t>
        </is>
      </c>
      <c r="D221" s="4" t="n">
        <v>2021</v>
      </c>
      <c r="E221" s="4" t="n">
        <v>111.877</v>
      </c>
      <c r="F221" s="4" t="n">
        <v>107.755</v>
      </c>
      <c r="G221" s="4" t="n">
        <v>108.508</v>
      </c>
      <c r="H221" s="6">
        <f>IF(AND(ISNUMBER(E221),ISNUMBER(F221)),E221-F221,"")</f>
        <v/>
      </c>
    </row>
    <row r="222">
      <c r="A222" s="4" t="inlineStr">
        <is>
          <t>provincia</t>
        </is>
      </c>
      <c r="B222" s="4" t="inlineStr">
        <is>
          <t>40</t>
        </is>
      </c>
      <c r="C222" s="4" t="inlineStr">
        <is>
          <t>Segovia</t>
        </is>
      </c>
      <c r="D222" s="4" t="n">
        <v>2022</v>
      </c>
      <c r="E222" s="4" t="n">
        <v>118.072</v>
      </c>
      <c r="F222" s="4" t="n">
        <v>109.728</v>
      </c>
      <c r="G222" s="4" t="n">
        <v>111.271</v>
      </c>
      <c r="H222" s="6">
        <f>IF(AND(ISNUMBER(E222),ISNUMBER(F222)),E222-F222,"")</f>
        <v/>
      </c>
    </row>
    <row r="223">
      <c r="A223" s="4" t="inlineStr">
        <is>
          <t>provincia</t>
        </is>
      </c>
      <c r="B223" s="4" t="inlineStr">
        <is>
          <t>40</t>
        </is>
      </c>
      <c r="C223" s="4" t="inlineStr">
        <is>
          <t>Segovia</t>
        </is>
      </c>
      <c r="D223" s="4" t="n">
        <v>2023</v>
      </c>
      <c r="E223" s="4" t="n">
        <v>121.914</v>
      </c>
      <c r="F223" s="4" t="n">
        <v>112.177</v>
      </c>
      <c r="G223" s="4" t="n">
        <v>113.971</v>
      </c>
      <c r="H223" s="6">
        <f>IF(AND(ISNUMBER(E223),ISNUMBER(F223)),E223-F223,"")</f>
        <v/>
      </c>
    </row>
    <row r="224">
      <c r="A224" s="4" t="inlineStr">
        <is>
          <t>provincia</t>
        </is>
      </c>
      <c r="B224" s="4" t="inlineStr">
        <is>
          <t>40</t>
        </is>
      </c>
      <c r="C224" s="4" t="inlineStr">
        <is>
          <t>Segovia</t>
        </is>
      </c>
      <c r="D224" s="4" t="n">
        <v>2024</v>
      </c>
      <c r="E224" s="4" t="n">
        <v>131.976</v>
      </c>
      <c r="F224" s="4" t="n">
        <v>115.056</v>
      </c>
      <c r="G224" s="4" t="n">
        <v>118.038</v>
      </c>
      <c r="H224" s="6">
        <f>IF(AND(ISNUMBER(E224),ISNUMBER(F224)),E224-F224,"")</f>
        <v/>
      </c>
    </row>
    <row r="225">
      <c r="A225" s="4" t="inlineStr">
        <is>
          <t>provincia</t>
        </is>
      </c>
      <c r="B225" s="4" t="inlineStr">
        <is>
          <t>41</t>
        </is>
      </c>
      <c r="C225" s="4" t="inlineStr">
        <is>
          <t>Sevilla</t>
        </is>
      </c>
      <c r="D225" s="4" t="n">
        <v>2021</v>
      </c>
      <c r="E225" s="4" t="n">
        <v>114.491</v>
      </c>
      <c r="F225" s="4" t="n">
        <v>111.51</v>
      </c>
      <c r="G225" s="4" t="n">
        <v>112.159</v>
      </c>
      <c r="H225" s="6">
        <f>IF(AND(ISNUMBER(E225),ISNUMBER(F225)),E225-F225,"")</f>
        <v/>
      </c>
    </row>
    <row r="226">
      <c r="A226" s="4" t="inlineStr">
        <is>
          <t>provincia</t>
        </is>
      </c>
      <c r="B226" s="4" t="inlineStr">
        <is>
          <t>41</t>
        </is>
      </c>
      <c r="C226" s="4" t="inlineStr">
        <is>
          <t>Sevilla</t>
        </is>
      </c>
      <c r="D226" s="4" t="n">
        <v>2022</v>
      </c>
      <c r="E226" s="4" t="n">
        <v>120.134</v>
      </c>
      <c r="F226" s="4" t="n">
        <v>113.765</v>
      </c>
      <c r="G226" s="4" t="n">
        <v>115.092</v>
      </c>
      <c r="H226" s="6">
        <f>IF(AND(ISNUMBER(E226),ISNUMBER(F226)),E226-F226,"")</f>
        <v/>
      </c>
    </row>
    <row r="227">
      <c r="A227" s="4" t="inlineStr">
        <is>
          <t>provincia</t>
        </is>
      </c>
      <c r="B227" s="4" t="inlineStr">
        <is>
          <t>41</t>
        </is>
      </c>
      <c r="C227" s="4" t="inlineStr">
        <is>
          <t>Sevilla</t>
        </is>
      </c>
      <c r="D227" s="4" t="n">
        <v>2023</v>
      </c>
      <c r="E227" s="4" t="n">
        <v>123.396</v>
      </c>
      <c r="F227" s="4" t="n">
        <v>116.048</v>
      </c>
      <c r="G227" s="4" t="n">
        <v>117.551</v>
      </c>
      <c r="H227" s="6">
        <f>IF(AND(ISNUMBER(E227),ISNUMBER(F227)),E227-F227,"")</f>
        <v/>
      </c>
    </row>
    <row r="228">
      <c r="A228" s="4" t="inlineStr">
        <is>
          <t>provincia</t>
        </is>
      </c>
      <c r="B228" s="4" t="inlineStr">
        <is>
          <t>41</t>
        </is>
      </c>
      <c r="C228" s="4" t="inlineStr">
        <is>
          <t>Sevilla</t>
        </is>
      </c>
      <c r="D228" s="4" t="n">
        <v>2024</v>
      </c>
      <c r="E228" s="4" t="n">
        <v>132.819</v>
      </c>
      <c r="F228" s="4" t="n">
        <v>119.032</v>
      </c>
      <c r="G228" s="4" t="n">
        <v>121.504</v>
      </c>
      <c r="H228" s="6">
        <f>IF(AND(ISNUMBER(E228),ISNUMBER(F228)),E228-F228,"")</f>
        <v/>
      </c>
    </row>
    <row r="229">
      <c r="A229" s="4" t="inlineStr">
        <is>
          <t>provincia</t>
        </is>
      </c>
      <c r="B229" s="4" t="inlineStr">
        <is>
          <t>42</t>
        </is>
      </c>
      <c r="C229" s="4" t="inlineStr">
        <is>
          <t>Soria</t>
        </is>
      </c>
      <c r="D229" s="4" t="n">
        <v>2021</v>
      </c>
      <c r="E229" s="4" t="n">
        <v>112.632</v>
      </c>
      <c r="F229" s="4" t="n">
        <v>109.49</v>
      </c>
      <c r="G229" s="4" t="n">
        <v>110.185</v>
      </c>
      <c r="H229" s="6">
        <f>IF(AND(ISNUMBER(E229),ISNUMBER(F229)),E229-F229,"")</f>
        <v/>
      </c>
    </row>
    <row r="230">
      <c r="A230" s="4" t="inlineStr">
        <is>
          <t>provincia</t>
        </is>
      </c>
      <c r="B230" s="4" t="inlineStr">
        <is>
          <t>42</t>
        </is>
      </c>
      <c r="C230" s="4" t="inlineStr">
        <is>
          <t>Soria</t>
        </is>
      </c>
      <c r="D230" s="4" t="n">
        <v>2022</v>
      </c>
      <c r="E230" s="4" t="n">
        <v>117.51</v>
      </c>
      <c r="F230" s="4" t="n">
        <v>111.299</v>
      </c>
      <c r="G230" s="4" t="n">
        <v>112.676</v>
      </c>
      <c r="H230" s="6">
        <f>IF(AND(ISNUMBER(E230),ISNUMBER(F230)),E230-F230,"")</f>
        <v/>
      </c>
    </row>
    <row r="231">
      <c r="A231" s="4" t="inlineStr">
        <is>
          <t>provincia</t>
        </is>
      </c>
      <c r="B231" s="4" t="inlineStr">
        <is>
          <t>42</t>
        </is>
      </c>
      <c r="C231" s="4" t="inlineStr">
        <is>
          <t>Soria</t>
        </is>
      </c>
      <c r="D231" s="4" t="n">
        <v>2023</v>
      </c>
      <c r="E231" s="4" t="n">
        <v>121.115</v>
      </c>
      <c r="F231" s="4" t="n">
        <v>113.959</v>
      </c>
      <c r="G231" s="4" t="n">
        <v>115.528</v>
      </c>
      <c r="H231" s="6">
        <f>IF(AND(ISNUMBER(E231),ISNUMBER(F231)),E231-F231,"")</f>
        <v/>
      </c>
    </row>
    <row r="232">
      <c r="A232" s="4" t="inlineStr">
        <is>
          <t>provincia</t>
        </is>
      </c>
      <c r="B232" s="4" t="inlineStr">
        <is>
          <t>42</t>
        </is>
      </c>
      <c r="C232" s="4" t="inlineStr">
        <is>
          <t>Soria</t>
        </is>
      </c>
      <c r="D232" s="4" t="n">
        <v>2024</v>
      </c>
      <c r="E232" s="4" t="n">
        <v>128.767</v>
      </c>
      <c r="F232" s="4" t="n">
        <v>116.802</v>
      </c>
      <c r="G232" s="4" t="n">
        <v>119.236</v>
      </c>
      <c r="H232" s="6">
        <f>IF(AND(ISNUMBER(E232),ISNUMBER(F232)),E232-F232,"")</f>
        <v/>
      </c>
    </row>
    <row r="233">
      <c r="A233" s="4" t="inlineStr">
        <is>
          <t>provincia</t>
        </is>
      </c>
      <c r="B233" s="4" t="inlineStr">
        <is>
          <t>43</t>
        </is>
      </c>
      <c r="C233" s="4" t="inlineStr">
        <is>
          <t>Tarragona</t>
        </is>
      </c>
      <c r="D233" s="4" t="n">
        <v>2021</v>
      </c>
      <c r="E233" s="4" t="n">
        <v>114.453</v>
      </c>
      <c r="F233" s="4" t="n">
        <v>110.698</v>
      </c>
      <c r="G233" s="4" t="n">
        <v>111.286</v>
      </c>
      <c r="H233" s="6">
        <f>IF(AND(ISNUMBER(E233),ISNUMBER(F233)),E233-F233,"")</f>
        <v/>
      </c>
    </row>
    <row r="234">
      <c r="A234" s="4" t="inlineStr">
        <is>
          <t>provincia</t>
        </is>
      </c>
      <c r="B234" s="4" t="inlineStr">
        <is>
          <t>43</t>
        </is>
      </c>
      <c r="C234" s="4" t="inlineStr">
        <is>
          <t>Tarragona</t>
        </is>
      </c>
      <c r="D234" s="4" t="n">
        <v>2022</v>
      </c>
      <c r="E234" s="4" t="n">
        <v>121.071</v>
      </c>
      <c r="F234" s="4" t="n">
        <v>112.999</v>
      </c>
      <c r="G234" s="4" t="n">
        <v>114.192</v>
      </c>
      <c r="H234" s="6">
        <f>IF(AND(ISNUMBER(E234),ISNUMBER(F234)),E234-F234,"")</f>
        <v/>
      </c>
    </row>
    <row r="235">
      <c r="A235" s="4" t="inlineStr">
        <is>
          <t>provincia</t>
        </is>
      </c>
      <c r="B235" s="4" t="inlineStr">
        <is>
          <t>43</t>
        </is>
      </c>
      <c r="C235" s="4" t="inlineStr">
        <is>
          <t>Tarragona</t>
        </is>
      </c>
      <c r="D235" s="4" t="n">
        <v>2023</v>
      </c>
      <c r="E235" s="4" t="n">
        <v>125.76</v>
      </c>
      <c r="F235" s="4" t="n">
        <v>115.362</v>
      </c>
      <c r="G235" s="4" t="n">
        <v>116.859</v>
      </c>
      <c r="H235" s="6">
        <f>IF(AND(ISNUMBER(E235),ISNUMBER(F235)),E235-F235,"")</f>
        <v/>
      </c>
    </row>
    <row r="236">
      <c r="A236" s="4" t="inlineStr">
        <is>
          <t>provincia</t>
        </is>
      </c>
      <c r="B236" s="4" t="inlineStr">
        <is>
          <t>43</t>
        </is>
      </c>
      <c r="C236" s="4" t="inlineStr">
        <is>
          <t>Tarragona</t>
        </is>
      </c>
      <c r="D236" s="4" t="n">
        <v>2024</v>
      </c>
      <c r="E236" s="4" t="n">
        <v>136.249</v>
      </c>
      <c r="F236" s="4" t="n">
        <v>118.393</v>
      </c>
      <c r="G236" s="4" t="n">
        <v>120.777</v>
      </c>
      <c r="H236" s="6">
        <f>IF(AND(ISNUMBER(E236),ISNUMBER(F236)),E236-F236,"")</f>
        <v/>
      </c>
    </row>
    <row r="237">
      <c r="A237" s="4" t="inlineStr">
        <is>
          <t>provincia</t>
        </is>
      </c>
      <c r="B237" s="4" t="inlineStr">
        <is>
          <t>44</t>
        </is>
      </c>
      <c r="C237" s="4" t="inlineStr">
        <is>
          <t>Teruel</t>
        </is>
      </c>
      <c r="D237" s="4" t="n">
        <v>2021</v>
      </c>
      <c r="E237" s="4" t="n">
        <v>112.435</v>
      </c>
      <c r="F237" s="4" t="n">
        <v>109.222</v>
      </c>
      <c r="G237" s="4" t="n">
        <v>109.825</v>
      </c>
      <c r="H237" s="6">
        <f>IF(AND(ISNUMBER(E237),ISNUMBER(F237)),E237-F237,"")</f>
        <v/>
      </c>
    </row>
    <row r="238">
      <c r="A238" s="4" t="inlineStr">
        <is>
          <t>provincia</t>
        </is>
      </c>
      <c r="B238" s="4" t="inlineStr">
        <is>
          <t>44</t>
        </is>
      </c>
      <c r="C238" s="4" t="inlineStr">
        <is>
          <t>Teruel</t>
        </is>
      </c>
      <c r="D238" s="4" t="n">
        <v>2022</v>
      </c>
      <c r="E238" s="4" t="n">
        <v>118.079</v>
      </c>
      <c r="F238" s="4" t="n">
        <v>111.669</v>
      </c>
      <c r="G238" s="4" t="n">
        <v>112.848</v>
      </c>
      <c r="H238" s="6">
        <f>IF(AND(ISNUMBER(E238),ISNUMBER(F238)),E238-F238,"")</f>
        <v/>
      </c>
    </row>
    <row r="239">
      <c r="A239" s="4" t="inlineStr">
        <is>
          <t>provincia</t>
        </is>
      </c>
      <c r="B239" s="4" t="inlineStr">
        <is>
          <t>44</t>
        </is>
      </c>
      <c r="C239" s="4" t="inlineStr">
        <is>
          <t>Teruel</t>
        </is>
      </c>
      <c r="D239" s="4" t="n">
        <v>2023</v>
      </c>
      <c r="E239" s="4" t="n">
        <v>121.382</v>
      </c>
      <c r="F239" s="4" t="n">
        <v>113.657</v>
      </c>
      <c r="G239" s="4" t="n">
        <v>115.056</v>
      </c>
      <c r="H239" s="6">
        <f>IF(AND(ISNUMBER(E239),ISNUMBER(F239)),E239-F239,"")</f>
        <v/>
      </c>
    </row>
    <row r="240">
      <c r="A240" s="4" t="inlineStr">
        <is>
          <t>provincia</t>
        </is>
      </c>
      <c r="B240" s="4" t="inlineStr">
        <is>
          <t>44</t>
        </is>
      </c>
      <c r="C240" s="4" t="inlineStr">
        <is>
          <t>Teruel</t>
        </is>
      </c>
      <c r="D240" s="4" t="n">
        <v>2024</v>
      </c>
      <c r="E240" s="4" t="n">
        <v>130.744</v>
      </c>
      <c r="F240" s="4" t="n">
        <v>116.881</v>
      </c>
      <c r="G240" s="4" t="n">
        <v>119.273</v>
      </c>
      <c r="H240" s="6">
        <f>IF(AND(ISNUMBER(E240),ISNUMBER(F240)),E240-F240,"")</f>
        <v/>
      </c>
    </row>
    <row r="241">
      <c r="A241" s="4" t="inlineStr">
        <is>
          <t>provincia</t>
        </is>
      </c>
      <c r="B241" s="4" t="inlineStr">
        <is>
          <t>45</t>
        </is>
      </c>
      <c r="C241" s="4" t="inlineStr">
        <is>
          <t>Toledo</t>
        </is>
      </c>
      <c r="D241" s="4" t="n">
        <v>2021</v>
      </c>
      <c r="E241" s="4" t="n">
        <v>118.278</v>
      </c>
      <c r="F241" s="4" t="n">
        <v>114.007</v>
      </c>
      <c r="G241" s="4" t="n">
        <v>114.842</v>
      </c>
      <c r="H241" s="6">
        <f>IF(AND(ISNUMBER(E241),ISNUMBER(F241)),E241-F241,"")</f>
        <v/>
      </c>
    </row>
    <row r="242">
      <c r="A242" s="4" t="inlineStr">
        <is>
          <t>provincia</t>
        </is>
      </c>
      <c r="B242" s="4" t="inlineStr">
        <is>
          <t>45</t>
        </is>
      </c>
      <c r="C242" s="4" t="inlineStr">
        <is>
          <t>Toledo</t>
        </is>
      </c>
      <c r="D242" s="4" t="n">
        <v>2022</v>
      </c>
      <c r="E242" s="4" t="n">
        <v>125.622</v>
      </c>
      <c r="F242" s="4" t="n">
        <v>116.465</v>
      </c>
      <c r="G242" s="4" t="n">
        <v>118.257</v>
      </c>
      <c r="H242" s="6">
        <f>IF(AND(ISNUMBER(E242),ISNUMBER(F242)),E242-F242,"")</f>
        <v/>
      </c>
    </row>
    <row r="243">
      <c r="A243" s="4" t="inlineStr">
        <is>
          <t>provincia</t>
        </is>
      </c>
      <c r="B243" s="4" t="inlineStr">
        <is>
          <t>45</t>
        </is>
      </c>
      <c r="C243" s="4" t="inlineStr">
        <is>
          <t>Toledo</t>
        </is>
      </c>
      <c r="D243" s="4" t="n">
        <v>2023</v>
      </c>
      <c r="E243" s="4" t="n">
        <v>130.966</v>
      </c>
      <c r="F243" s="4" t="n">
        <v>119.806</v>
      </c>
      <c r="G243" s="4" t="n">
        <v>121.972</v>
      </c>
      <c r="H243" s="6">
        <f>IF(AND(ISNUMBER(E243),ISNUMBER(F243)),E243-F243,"")</f>
        <v/>
      </c>
    </row>
    <row r="244">
      <c r="A244" s="4" t="inlineStr">
        <is>
          <t>provincia</t>
        </is>
      </c>
      <c r="B244" s="4" t="inlineStr">
        <is>
          <t>45</t>
        </is>
      </c>
      <c r="C244" s="4" t="inlineStr">
        <is>
          <t>Toledo</t>
        </is>
      </c>
      <c r="D244" s="4" t="n">
        <v>2024</v>
      </c>
      <c r="E244" s="4" t="n">
        <v>142.788</v>
      </c>
      <c r="F244" s="4" t="n">
        <v>123.165</v>
      </c>
      <c r="G244" s="4" t="n">
        <v>126.637</v>
      </c>
      <c r="H244" s="6">
        <f>IF(AND(ISNUMBER(E244),ISNUMBER(F244)),E244-F244,"")</f>
        <v/>
      </c>
    </row>
    <row r="245">
      <c r="A245" s="4" t="inlineStr">
        <is>
          <t>provincia</t>
        </is>
      </c>
      <c r="B245" s="4" t="inlineStr">
        <is>
          <t>46</t>
        </is>
      </c>
      <c r="C245" s="4" t="inlineStr">
        <is>
          <t>Valencia/València</t>
        </is>
      </c>
      <c r="D245" s="4" t="n">
        <v>2021</v>
      </c>
      <c r="E245" s="4" t="n">
        <v>120.584</v>
      </c>
      <c r="F245" s="4" t="n">
        <v>115.542</v>
      </c>
      <c r="G245" s="4" t="n">
        <v>116.489</v>
      </c>
      <c r="H245" s="6">
        <f>IF(AND(ISNUMBER(E245),ISNUMBER(F245)),E245-F245,"")</f>
        <v/>
      </c>
    </row>
    <row r="246">
      <c r="A246" s="4" t="inlineStr">
        <is>
          <t>provincia</t>
        </is>
      </c>
      <c r="B246" s="4" t="inlineStr">
        <is>
          <t>46</t>
        </is>
      </c>
      <c r="C246" s="4" t="inlineStr">
        <is>
          <t>Valencia/València</t>
        </is>
      </c>
      <c r="D246" s="4" t="n">
        <v>2022</v>
      </c>
      <c r="E246" s="4" t="n">
        <v>129.829</v>
      </c>
      <c r="F246" s="4" t="n">
        <v>119.132</v>
      </c>
      <c r="G246" s="4" t="n">
        <v>121.038</v>
      </c>
      <c r="H246" s="6">
        <f>IF(AND(ISNUMBER(E246),ISNUMBER(F246)),E246-F246,"")</f>
        <v/>
      </c>
    </row>
    <row r="247">
      <c r="A247" s="4" t="inlineStr">
        <is>
          <t>provincia</t>
        </is>
      </c>
      <c r="B247" s="4" t="inlineStr">
        <is>
          <t>46</t>
        </is>
      </c>
      <c r="C247" s="4" t="inlineStr">
        <is>
          <t>Valencia/València</t>
        </is>
      </c>
      <c r="D247" s="4" t="n">
        <v>2023</v>
      </c>
      <c r="E247" s="4" t="n">
        <v>138.242</v>
      </c>
      <c r="F247" s="4" t="n">
        <v>123.397</v>
      </c>
      <c r="G247" s="4" t="n">
        <v>125.943</v>
      </c>
      <c r="H247" s="6">
        <f>IF(AND(ISNUMBER(E247),ISNUMBER(F247)),E247-F247,"")</f>
        <v/>
      </c>
    </row>
    <row r="248">
      <c r="A248" s="4" t="inlineStr">
        <is>
          <t>provincia</t>
        </is>
      </c>
      <c r="B248" s="4" t="inlineStr">
        <is>
          <t>46</t>
        </is>
      </c>
      <c r="C248" s="4" t="inlineStr">
        <is>
          <t>Valencia/València</t>
        </is>
      </c>
      <c r="D248" s="4" t="n">
        <v>2024</v>
      </c>
      <c r="E248" s="4" t="n">
        <v>155.452</v>
      </c>
      <c r="F248" s="4" t="n">
        <v>128.66</v>
      </c>
      <c r="G248" s="4" t="n">
        <v>132.773</v>
      </c>
      <c r="H248" s="6">
        <f>IF(AND(ISNUMBER(E248),ISNUMBER(F248)),E248-F248,"")</f>
        <v/>
      </c>
    </row>
    <row r="249">
      <c r="A249" s="4" t="inlineStr">
        <is>
          <t>provincia</t>
        </is>
      </c>
      <c r="B249" s="4" t="inlineStr">
        <is>
          <t>47</t>
        </is>
      </c>
      <c r="C249" s="4" t="inlineStr">
        <is>
          <t>Valladolid</t>
        </is>
      </c>
      <c r="D249" s="4" t="n">
        <v>2021</v>
      </c>
      <c r="E249" s="4" t="n">
        <v>113.06</v>
      </c>
      <c r="F249" s="4" t="n">
        <v>109.862</v>
      </c>
      <c r="G249" s="4" t="n">
        <v>110.384</v>
      </c>
      <c r="H249" s="6">
        <f>IF(AND(ISNUMBER(E249),ISNUMBER(F249)),E249-F249,"")</f>
        <v/>
      </c>
    </row>
    <row r="250">
      <c r="A250" s="4" t="inlineStr">
        <is>
          <t>provincia</t>
        </is>
      </c>
      <c r="B250" s="4" t="inlineStr">
        <is>
          <t>47</t>
        </is>
      </c>
      <c r="C250" s="4" t="inlineStr">
        <is>
          <t>Valladolid</t>
        </is>
      </c>
      <c r="D250" s="4" t="n">
        <v>2022</v>
      </c>
      <c r="E250" s="4" t="n">
        <v>117.789</v>
      </c>
      <c r="F250" s="4" t="n">
        <v>111.688</v>
      </c>
      <c r="G250" s="4" t="n">
        <v>112.687</v>
      </c>
      <c r="H250" s="6">
        <f>IF(AND(ISNUMBER(E250),ISNUMBER(F250)),E250-F250,"")</f>
        <v/>
      </c>
    </row>
    <row r="251">
      <c r="A251" s="4" t="inlineStr">
        <is>
          <t>provincia</t>
        </is>
      </c>
      <c r="B251" s="4" t="inlineStr">
        <is>
          <t>47</t>
        </is>
      </c>
      <c r="C251" s="4" t="inlineStr">
        <is>
          <t>Valladolid</t>
        </is>
      </c>
      <c r="D251" s="4" t="n">
        <v>2023</v>
      </c>
      <c r="E251" s="4" t="n">
        <v>120.919</v>
      </c>
      <c r="F251" s="4" t="n">
        <v>113.63</v>
      </c>
      <c r="G251" s="4" t="n">
        <v>114.817</v>
      </c>
      <c r="H251" s="6">
        <f>IF(AND(ISNUMBER(E251),ISNUMBER(F251)),E251-F251,"")</f>
        <v/>
      </c>
    </row>
    <row r="252">
      <c r="A252" s="4" t="inlineStr">
        <is>
          <t>provincia</t>
        </is>
      </c>
      <c r="B252" s="4" t="inlineStr">
        <is>
          <t>47</t>
        </is>
      </c>
      <c r="C252" s="4" t="inlineStr">
        <is>
          <t>Valladolid</t>
        </is>
      </c>
      <c r="D252" s="4" t="n">
        <v>2024</v>
      </c>
      <c r="E252" s="4" t="n">
        <v>129.889</v>
      </c>
      <c r="F252" s="4" t="n">
        <v>116.118</v>
      </c>
      <c r="G252" s="4" t="n">
        <v>118.177</v>
      </c>
      <c r="H252" s="6">
        <f>IF(AND(ISNUMBER(E252),ISNUMBER(F252)),E252-F252,"")</f>
        <v/>
      </c>
    </row>
    <row r="253">
      <c r="A253" s="4" t="inlineStr">
        <is>
          <t>provincia</t>
        </is>
      </c>
      <c r="B253" s="4" t="inlineStr">
        <is>
          <t>49</t>
        </is>
      </c>
      <c r="C253" s="4" t="inlineStr">
        <is>
          <t>Zamora</t>
        </is>
      </c>
      <c r="D253" s="4" t="n">
        <v>2021</v>
      </c>
      <c r="E253" s="4" t="n">
        <v>108.349</v>
      </c>
      <c r="F253" s="4" t="n">
        <v>106.163</v>
      </c>
      <c r="G253" s="4" t="n">
        <v>106.592</v>
      </c>
      <c r="H253" s="6">
        <f>IF(AND(ISNUMBER(E253),ISNUMBER(F253)),E253-F253,"")</f>
        <v/>
      </c>
    </row>
    <row r="254">
      <c r="A254" s="4" t="inlineStr">
        <is>
          <t>provincia</t>
        </is>
      </c>
      <c r="B254" s="4" t="inlineStr">
        <is>
          <t>49</t>
        </is>
      </c>
      <c r="C254" s="4" t="inlineStr">
        <is>
          <t>Zamora</t>
        </is>
      </c>
      <c r="D254" s="4" t="n">
        <v>2022</v>
      </c>
      <c r="E254" s="4" t="n">
        <v>112.736</v>
      </c>
      <c r="F254" s="4" t="n">
        <v>107.063</v>
      </c>
      <c r="G254" s="4" t="n">
        <v>108.124</v>
      </c>
      <c r="H254" s="6">
        <f>IF(AND(ISNUMBER(E254),ISNUMBER(F254)),E254-F254,"")</f>
        <v/>
      </c>
    </row>
    <row r="255">
      <c r="A255" s="4" t="inlineStr">
        <is>
          <t>provincia</t>
        </is>
      </c>
      <c r="B255" s="4" t="inlineStr">
        <is>
          <t>49</t>
        </is>
      </c>
      <c r="C255" s="4" t="inlineStr">
        <is>
          <t>Zamora</t>
        </is>
      </c>
      <c r="D255" s="4" t="n">
        <v>2023</v>
      </c>
      <c r="E255" s="4" t="n">
        <v>114.915</v>
      </c>
      <c r="F255" s="4" t="n">
        <v>108.697</v>
      </c>
      <c r="G255" s="4" t="n">
        <v>109.853</v>
      </c>
      <c r="H255" s="6">
        <f>IF(AND(ISNUMBER(E255),ISNUMBER(F255)),E255-F255,"")</f>
        <v/>
      </c>
    </row>
    <row r="256">
      <c r="A256" s="4" t="inlineStr">
        <is>
          <t>provincia</t>
        </is>
      </c>
      <c r="B256" s="4" t="inlineStr">
        <is>
          <t>49</t>
        </is>
      </c>
      <c r="C256" s="4" t="inlineStr">
        <is>
          <t>Zamora</t>
        </is>
      </c>
      <c r="D256" s="4" t="n">
        <v>2024</v>
      </c>
      <c r="E256" s="4" t="n">
        <v>122.802</v>
      </c>
      <c r="F256" s="4" t="n">
        <v>110.904</v>
      </c>
      <c r="G256" s="4" t="n">
        <v>112.947</v>
      </c>
      <c r="H256" s="6">
        <f>IF(AND(ISNUMBER(E256),ISNUMBER(F256)),E256-F256,"")</f>
        <v/>
      </c>
    </row>
    <row r="257">
      <c r="A257" s="4" t="inlineStr">
        <is>
          <t>provincia</t>
        </is>
      </c>
      <c r="B257" s="4" t="inlineStr">
        <is>
          <t>50</t>
        </is>
      </c>
      <c r="C257" s="4" t="inlineStr">
        <is>
          <t>Zaragoza</t>
        </is>
      </c>
      <c r="D257" s="4" t="n">
        <v>2021</v>
      </c>
      <c r="E257" s="4" t="n">
        <v>114.207</v>
      </c>
      <c r="F257" s="4" t="n">
        <v>110.11</v>
      </c>
      <c r="G257" s="4" t="n">
        <v>110.697</v>
      </c>
      <c r="H257" s="6">
        <f>IF(AND(ISNUMBER(E257),ISNUMBER(F257)),E257-F257,"")</f>
        <v/>
      </c>
    </row>
    <row r="258">
      <c r="A258" s="4" t="inlineStr">
        <is>
          <t>provincia</t>
        </is>
      </c>
      <c r="B258" s="4" t="inlineStr">
        <is>
          <t>50</t>
        </is>
      </c>
      <c r="C258" s="4" t="inlineStr">
        <is>
          <t>Zaragoza</t>
        </is>
      </c>
      <c r="D258" s="4" t="n">
        <v>2022</v>
      </c>
      <c r="E258" s="4" t="n">
        <v>120.229</v>
      </c>
      <c r="F258" s="4" t="n">
        <v>112.371</v>
      </c>
      <c r="G258" s="4" t="n">
        <v>113.464</v>
      </c>
      <c r="H258" s="6">
        <f>IF(AND(ISNUMBER(E258),ISNUMBER(F258)),E258-F258,"")</f>
        <v/>
      </c>
    </row>
    <row r="259">
      <c r="A259" s="4" t="inlineStr">
        <is>
          <t>provincia</t>
        </is>
      </c>
      <c r="B259" s="4" t="inlineStr">
        <is>
          <t>50</t>
        </is>
      </c>
      <c r="C259" s="4" t="inlineStr">
        <is>
          <t>Zaragoza</t>
        </is>
      </c>
      <c r="D259" s="4" t="n">
        <v>2023</v>
      </c>
      <c r="E259" s="4" t="n">
        <v>124.293</v>
      </c>
      <c r="F259" s="4" t="n">
        <v>114.835</v>
      </c>
      <c r="G259" s="4" t="n">
        <v>116.136</v>
      </c>
      <c r="H259" s="6">
        <f>IF(AND(ISNUMBER(E259),ISNUMBER(F259)),E259-F259,"")</f>
        <v/>
      </c>
    </row>
    <row r="260">
      <c r="A260" s="4" t="inlineStr">
        <is>
          <t>provincia</t>
        </is>
      </c>
      <c r="B260" s="4" t="inlineStr">
        <is>
          <t>50</t>
        </is>
      </c>
      <c r="C260" s="4" t="inlineStr">
        <is>
          <t>Zaragoza</t>
        </is>
      </c>
      <c r="D260" s="4" t="n">
        <v>2024</v>
      </c>
      <c r="E260" s="4" t="n">
        <v>134.244</v>
      </c>
      <c r="F260" s="4" t="n">
        <v>117.737</v>
      </c>
      <c r="G260" s="4" t="n">
        <v>119.826</v>
      </c>
      <c r="H260" s="6">
        <f>IF(AND(ISNUMBER(E260),ISNUMBER(F260)),E260-F260,"")</f>
        <v/>
      </c>
    </row>
    <row r="261">
      <c r="A261" s="4" t="inlineStr">
        <is>
          <t>provincia</t>
        </is>
      </c>
      <c r="B261" s="4" t="inlineStr">
        <is>
          <t>51</t>
        </is>
      </c>
      <c r="C261" s="4" t="inlineStr">
        <is>
          <t>Ceuta</t>
        </is>
      </c>
      <c r="D261" s="4" t="n">
        <v>2021</v>
      </c>
      <c r="E261" s="4" t="n">
        <v>108.986</v>
      </c>
      <c r="F261" s="4" t="n">
        <v>106.205</v>
      </c>
      <c r="G261" s="4" t="n">
        <v>106.884</v>
      </c>
      <c r="H261" s="6">
        <f>IF(AND(ISNUMBER(E261),ISNUMBER(F261)),E261-F261,"")</f>
        <v/>
      </c>
    </row>
    <row r="262">
      <c r="A262" s="4" t="inlineStr">
        <is>
          <t>provincia</t>
        </is>
      </c>
      <c r="B262" s="4" t="inlineStr">
        <is>
          <t>51</t>
        </is>
      </c>
      <c r="C262" s="4" t="inlineStr">
        <is>
          <t>Ceuta</t>
        </is>
      </c>
      <c r="D262" s="4" t="n">
        <v>2022</v>
      </c>
      <c r="E262" s="4" t="n">
        <v>110.772</v>
      </c>
      <c r="F262" s="4" t="n">
        <v>106.693</v>
      </c>
      <c r="G262" s="4" t="n">
        <v>107.679</v>
      </c>
      <c r="H262" s="6">
        <f>IF(AND(ISNUMBER(E262),ISNUMBER(F262)),E262-F262,"")</f>
        <v/>
      </c>
    </row>
    <row r="263">
      <c r="A263" s="4" t="inlineStr">
        <is>
          <t>provincia</t>
        </is>
      </c>
      <c r="B263" s="4" t="inlineStr">
        <is>
          <t>51</t>
        </is>
      </c>
      <c r="C263" s="4" t="inlineStr">
        <is>
          <t>Ceuta</t>
        </is>
      </c>
      <c r="D263" s="4" t="n">
        <v>2023</v>
      </c>
      <c r="E263" s="4" t="n">
        <v>112.884</v>
      </c>
      <c r="F263" s="4" t="n">
        <v>107.193</v>
      </c>
      <c r="G263" s="4" t="n">
        <v>108.542</v>
      </c>
      <c r="H263" s="6">
        <f>IF(AND(ISNUMBER(E263),ISNUMBER(F263)),E263-F263,"")</f>
        <v/>
      </c>
    </row>
    <row r="264">
      <c r="A264" s="4" t="inlineStr">
        <is>
          <t>provincia</t>
        </is>
      </c>
      <c r="B264" s="4" t="inlineStr">
        <is>
          <t>51</t>
        </is>
      </c>
      <c r="C264" s="4" t="inlineStr">
        <is>
          <t>Ceuta</t>
        </is>
      </c>
      <c r="D264" s="4" t="n">
        <v>2024</v>
      </c>
      <c r="E264" s="4" t="n">
        <v>117.083</v>
      </c>
      <c r="F264" s="4" t="n">
        <v>108.349</v>
      </c>
      <c r="G264" s="4" t="n">
        <v>110.191</v>
      </c>
      <c r="H264" s="6">
        <f>IF(AND(ISNUMBER(E264),ISNUMBER(F264)),E264-F264,"")</f>
        <v/>
      </c>
    </row>
    <row r="265">
      <c r="A265" s="4" t="inlineStr">
        <is>
          <t>provincia</t>
        </is>
      </c>
      <c r="B265" s="4" t="inlineStr">
        <is>
          <t>52</t>
        </is>
      </c>
      <c r="C265" s="4" t="inlineStr">
        <is>
          <t>Melilla</t>
        </is>
      </c>
      <c r="D265" s="4" t="n">
        <v>2021</v>
      </c>
      <c r="E265" s="4" t="n">
        <v>107.97</v>
      </c>
      <c r="F265" s="4" t="n">
        <v>105.355</v>
      </c>
      <c r="G265" s="4" t="n">
        <v>105.804</v>
      </c>
      <c r="H265" s="6">
        <f>IF(AND(ISNUMBER(E265),ISNUMBER(F265)),E265-F265,"")</f>
        <v/>
      </c>
    </row>
    <row r="266">
      <c r="A266" s="4" t="inlineStr">
        <is>
          <t>provincia</t>
        </is>
      </c>
      <c r="B266" s="4" t="inlineStr">
        <is>
          <t>52</t>
        </is>
      </c>
      <c r="C266" s="4" t="inlineStr">
        <is>
          <t>Melilla</t>
        </is>
      </c>
      <c r="D266" s="4" t="n">
        <v>2022</v>
      </c>
      <c r="E266" s="4" t="n">
        <v>110.751</v>
      </c>
      <c r="F266" s="4" t="n">
        <v>106.193</v>
      </c>
      <c r="G266" s="4" t="n">
        <v>107.011</v>
      </c>
      <c r="H266" s="6">
        <f>IF(AND(ISNUMBER(E266),ISNUMBER(F266)),E266-F266,"")</f>
        <v/>
      </c>
    </row>
    <row r="267">
      <c r="A267" s="4" t="inlineStr">
        <is>
          <t>provincia</t>
        </is>
      </c>
      <c r="B267" s="4" t="inlineStr">
        <is>
          <t>52</t>
        </is>
      </c>
      <c r="C267" s="4" t="inlineStr">
        <is>
          <t>Melilla</t>
        </is>
      </c>
      <c r="D267" s="4" t="n">
        <v>2023</v>
      </c>
      <c r="E267" s="4" t="n">
        <v>109.862</v>
      </c>
      <c r="F267" s="4" t="n">
        <v>106.879</v>
      </c>
      <c r="G267" s="4" t="n">
        <v>107.428</v>
      </c>
      <c r="H267" s="6">
        <f>IF(AND(ISNUMBER(E267),ISNUMBER(F267)),E267-F267,"")</f>
        <v/>
      </c>
    </row>
    <row r="268">
      <c r="A268" s="4" t="inlineStr">
        <is>
          <t>provincia</t>
        </is>
      </c>
      <c r="B268" s="4" t="inlineStr">
        <is>
          <t>52</t>
        </is>
      </c>
      <c r="C268" s="4" t="inlineStr">
        <is>
          <t>Melilla</t>
        </is>
      </c>
      <c r="D268" s="4" t="n">
        <v>2024</v>
      </c>
      <c r="E268" s="4" t="n">
        <v>114.402</v>
      </c>
      <c r="F268" s="4" t="n">
        <v>107.633</v>
      </c>
      <c r="G268" s="4" t="n">
        <v>108.771</v>
      </c>
      <c r="H268" s="6">
        <f>IF(AND(ISNUMBER(E268),ISNUMBER(F268)),E268-F268,"")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Provincias: datos de entrada en azul; cálculos de esta hoja en negro</t>
        </is>
      </c>
    </row>
    <row r="2">
      <c r="A2" s="4" t="inlineStr">
        <is>
          <t>Fuente: MIVAU (valor tasado, SERPAVI); INE (censo anual, ADRH); V5-A4. Fecha del dato: 2023-2025. Capa: C4.</t>
        </is>
      </c>
    </row>
    <row r="4">
      <c r="A4" s="5" t="inlineStr">
        <is>
          <t>cod_provincia</t>
        </is>
      </c>
      <c r="B4" s="5" t="inlineStr">
        <is>
          <t>nombre</t>
        </is>
      </c>
      <c r="C4" s="5" t="inlineStr">
        <is>
          <t>pob_2025</t>
        </is>
      </c>
      <c r="D4" s="5" t="inlineStr">
        <is>
          <t>valor_tasado_2024</t>
        </is>
      </c>
      <c r="E4" s="5" t="inlineStr">
        <is>
          <t>alquiler_m2_2024</t>
        </is>
      </c>
      <c r="F4" s="5" t="inlineStr">
        <is>
          <t>renta_neta_persona_2023</t>
        </is>
      </c>
      <c r="G4" s="5" t="inlineStr">
        <is>
          <t>deficit_2021_2025_mediana</t>
        </is>
      </c>
      <c r="H4" s="1" t="inlineStr">
        <is>
          <t>alquiler_80m2_pct_renta</t>
        </is>
      </c>
      <c r="I4" s="1" t="inlineStr">
        <is>
          <t>deficit_por_1000_hab</t>
        </is>
      </c>
    </row>
    <row r="5">
      <c r="A5" s="4" t="inlineStr">
        <is>
          <t>01</t>
        </is>
      </c>
      <c r="B5" s="4" t="inlineStr">
        <is>
          <t>Araba/Álava</t>
        </is>
      </c>
      <c r="C5" s="4" t="n">
        <v>341961</v>
      </c>
      <c r="D5" s="4" t="n">
        <v>2133.075</v>
      </c>
      <c r="E5" s="4" t="n">
        <v>8.83</v>
      </c>
      <c r="F5" s="4" t="n">
        <v>17764.6404</v>
      </c>
      <c r="G5" s="4" t="n">
        <v>4448.43</v>
      </c>
      <c r="H5" s="6">
        <f>IF(AND(ISNUMBER(E5),ISNUMBER(F5)),100*E5*80*12/F5,"")</f>
        <v/>
      </c>
      <c r="I5" s="6">
        <f>IF(AND(ISNUMBER(G5),ISNUMBER(C5)),1000*G5/C5,"")</f>
        <v/>
      </c>
    </row>
    <row r="6">
      <c r="A6" s="4" t="inlineStr">
        <is>
          <t>02</t>
        </is>
      </c>
      <c r="B6" s="4" t="inlineStr">
        <is>
          <t>Albacete</t>
        </is>
      </c>
      <c r="C6" s="4" t="n">
        <v>390751</v>
      </c>
      <c r="D6" s="4" t="n">
        <v>1011.05</v>
      </c>
      <c r="E6" s="4" t="n">
        <v>5.3657</v>
      </c>
      <c r="F6" s="4" t="n">
        <v>13073.1914</v>
      </c>
      <c r="G6" s="4" t="n">
        <v>4641.783</v>
      </c>
      <c r="H6" s="6">
        <f>IF(AND(ISNUMBER(E6),ISNUMBER(F6)),100*E6*80*12/F6,"")</f>
        <v/>
      </c>
      <c r="I6" s="6">
        <f>IF(AND(ISNUMBER(G6),ISNUMBER(C6)),1000*G6/C6,"")</f>
        <v/>
      </c>
    </row>
    <row r="7">
      <c r="A7" s="4" t="inlineStr">
        <is>
          <t>03</t>
        </is>
      </c>
      <c r="B7" s="4" t="inlineStr">
        <is>
          <t>Alicante/Alacant</t>
        </is>
      </c>
      <c r="C7" s="4" t="n">
        <v>2033566</v>
      </c>
      <c r="D7" s="4" t="n">
        <v>1596.35</v>
      </c>
      <c r="E7" s="4" t="n">
        <v>6.2044</v>
      </c>
      <c r="F7" s="4" t="n">
        <v>12321.9586</v>
      </c>
      <c r="G7" s="4" t="n">
        <v>57280.015</v>
      </c>
      <c r="H7" s="6">
        <f>IF(AND(ISNUMBER(E7),ISNUMBER(F7)),100*E7*80*12/F7,"")</f>
        <v/>
      </c>
      <c r="I7" s="6">
        <f>IF(AND(ISNUMBER(G7),ISNUMBER(C7)),1000*G7/C7,"")</f>
        <v/>
      </c>
    </row>
    <row r="8">
      <c r="A8" s="4" t="inlineStr">
        <is>
          <t>04</t>
        </is>
      </c>
      <c r="B8" s="4" t="inlineStr">
        <is>
          <t>Almería</t>
        </is>
      </c>
      <c r="C8" s="4" t="n">
        <v>770554</v>
      </c>
      <c r="D8" s="4" t="n">
        <v>1243.65</v>
      </c>
      <c r="E8" s="4" t="n">
        <v>5.9378</v>
      </c>
      <c r="F8" s="4" t="n">
        <v>11546.0957</v>
      </c>
      <c r="G8" s="4" t="n">
        <v>19643.408</v>
      </c>
      <c r="H8" s="6">
        <f>IF(AND(ISNUMBER(E8),ISNUMBER(F8)),100*E8*80*12/F8,"")</f>
        <v/>
      </c>
      <c r="I8" s="6">
        <f>IF(AND(ISNUMBER(G8),ISNUMBER(C8)),1000*G8/C8,"")</f>
        <v/>
      </c>
    </row>
    <row r="9">
      <c r="A9" s="4" t="inlineStr">
        <is>
          <t>05</t>
        </is>
      </c>
      <c r="B9" s="4" t="inlineStr">
        <is>
          <t>Ávila</t>
        </is>
      </c>
      <c r="C9" s="4" t="n">
        <v>160738</v>
      </c>
      <c r="D9" s="4" t="n">
        <v>939.375</v>
      </c>
      <c r="E9" s="4" t="n">
        <v>5.2809</v>
      </c>
      <c r="F9" s="4" t="n">
        <v>13631.1462</v>
      </c>
      <c r="G9" s="4" t="n">
        <v>1726.868</v>
      </c>
      <c r="H9" s="6">
        <f>IF(AND(ISNUMBER(E9),ISNUMBER(F9)),100*E9*80*12/F9,"")</f>
        <v/>
      </c>
      <c r="I9" s="6">
        <f>IF(AND(ISNUMBER(G9),ISNUMBER(C9)),1000*G9/C9,"")</f>
        <v/>
      </c>
    </row>
    <row r="10">
      <c r="A10" s="4" t="inlineStr">
        <is>
          <t>06</t>
        </is>
      </c>
      <c r="B10" s="4" t="inlineStr">
        <is>
          <t>Badajoz</t>
        </is>
      </c>
      <c r="C10" s="4" t="n">
        <v>665155</v>
      </c>
      <c r="D10" s="4" t="n">
        <v>924.775</v>
      </c>
      <c r="E10" s="4" t="n">
        <v>5.1537</v>
      </c>
      <c r="F10" s="4" t="n">
        <v>12082.2276</v>
      </c>
      <c r="G10" s="4" t="n">
        <v>7223.87</v>
      </c>
      <c r="H10" s="6">
        <f>IF(AND(ISNUMBER(E10),ISNUMBER(F10)),100*E10*80*12/F10,"")</f>
        <v/>
      </c>
      <c r="I10" s="6">
        <f>IF(AND(ISNUMBER(G10),ISNUMBER(C10)),1000*G10/C10,"")</f>
        <v/>
      </c>
    </row>
    <row r="11">
      <c r="A11" s="4" t="inlineStr">
        <is>
          <t>07</t>
        </is>
      </c>
      <c r="B11" s="4" t="inlineStr">
        <is>
          <t>Balears, Illes</t>
        </is>
      </c>
      <c r="C11" s="4" t="n">
        <v>1249844</v>
      </c>
      <c r="D11" s="4" t="n">
        <v>3167.025</v>
      </c>
      <c r="E11" s="4" t="n">
        <v>9.615399999999999</v>
      </c>
      <c r="F11" s="4" t="n">
        <v>16171.0644</v>
      </c>
      <c r="G11" s="4" t="n">
        <v>15972.308</v>
      </c>
      <c r="H11" s="6">
        <f>IF(AND(ISNUMBER(E11),ISNUMBER(F11)),100*E11*80*12/F11,"")</f>
        <v/>
      </c>
      <c r="I11" s="6">
        <f>IF(AND(ISNUMBER(G11),ISNUMBER(C11)),1000*G11/C11,"")</f>
        <v/>
      </c>
    </row>
    <row r="12">
      <c r="A12" s="4" t="inlineStr">
        <is>
          <t>08</t>
        </is>
      </c>
      <c r="B12" s="4" t="inlineStr">
        <is>
          <t>Barcelona</t>
        </is>
      </c>
      <c r="C12" s="4" t="n">
        <v>5959941</v>
      </c>
      <c r="D12" s="4" t="n">
        <v>2692.8</v>
      </c>
      <c r="E12" s="4" t="n">
        <v>10.9842</v>
      </c>
      <c r="F12" s="4" t="n">
        <v>17072.4388</v>
      </c>
      <c r="G12" s="4" t="n">
        <v>89835.61500000001</v>
      </c>
      <c r="H12" s="6">
        <f>IF(AND(ISNUMBER(E12),ISNUMBER(F12)),100*E12*80*12/F12,"")</f>
        <v/>
      </c>
      <c r="I12" s="6">
        <f>IF(AND(ISNUMBER(G12),ISNUMBER(C12)),1000*G12/C12,"")</f>
        <v/>
      </c>
    </row>
    <row r="13">
      <c r="A13" s="4" t="inlineStr">
        <is>
          <t>09</t>
        </is>
      </c>
      <c r="B13" s="4" t="inlineStr">
        <is>
          <t>Burgos</t>
        </is>
      </c>
      <c r="C13" s="4" t="n">
        <v>362663</v>
      </c>
      <c r="D13" s="4" t="n">
        <v>1197.875</v>
      </c>
      <c r="E13" s="4" t="n">
        <v>6.7073</v>
      </c>
      <c r="F13" s="4" t="n">
        <v>15991.0823</v>
      </c>
      <c r="G13" s="4" t="n">
        <v>4389.597</v>
      </c>
      <c r="H13" s="6">
        <f>IF(AND(ISNUMBER(E13),ISNUMBER(F13)),100*E13*80*12/F13,"")</f>
        <v/>
      </c>
      <c r="I13" s="6">
        <f>IF(AND(ISNUMBER(G13),ISNUMBER(C13)),1000*G13/C13,"")</f>
        <v/>
      </c>
    </row>
    <row r="14">
      <c r="A14" s="4" t="inlineStr">
        <is>
          <t>10</t>
        </is>
      </c>
      <c r="B14" s="4" t="inlineStr">
        <is>
          <t>Cáceres</t>
        </is>
      </c>
      <c r="C14" s="4" t="n">
        <v>388190</v>
      </c>
      <c r="D14" s="4" t="n">
        <v>862.125</v>
      </c>
      <c r="E14" s="4" t="n">
        <v>4.7381</v>
      </c>
      <c r="F14" s="4" t="n">
        <v>12760.5416</v>
      </c>
      <c r="G14" s="4" t="n">
        <v>1054.392</v>
      </c>
      <c r="H14" s="6">
        <f>IF(AND(ISNUMBER(E14),ISNUMBER(F14)),100*E14*80*12/F14,"")</f>
        <v/>
      </c>
      <c r="I14" s="6">
        <f>IF(AND(ISNUMBER(G14),ISNUMBER(C14)),1000*G14/C14,"")</f>
        <v/>
      </c>
    </row>
    <row r="15">
      <c r="A15" s="4" t="inlineStr">
        <is>
          <t>11</t>
        </is>
      </c>
      <c r="B15" s="4" t="inlineStr">
        <is>
          <t>Cádiz</t>
        </is>
      </c>
      <c r="C15" s="4" t="n">
        <v>1261420</v>
      </c>
      <c r="D15" s="4" t="n">
        <v>1639.05</v>
      </c>
      <c r="E15" s="4" t="n">
        <v>7.1429</v>
      </c>
      <c r="F15" s="4" t="n">
        <v>12353.3709</v>
      </c>
      <c r="G15" s="4" t="n">
        <v>17193.765</v>
      </c>
      <c r="H15" s="6">
        <f>IF(AND(ISNUMBER(E15),ISNUMBER(F15)),100*E15*80*12/F15,"")</f>
        <v/>
      </c>
      <c r="I15" s="6">
        <f>IF(AND(ISNUMBER(G15),ISNUMBER(C15)),1000*G15/C15,"")</f>
        <v/>
      </c>
    </row>
    <row r="16">
      <c r="A16" s="4" t="inlineStr">
        <is>
          <t>12</t>
        </is>
      </c>
      <c r="B16" s="4" t="inlineStr">
        <is>
          <t>Castellón/Castelló</t>
        </is>
      </c>
      <c r="C16" s="4" t="n">
        <v>627620</v>
      </c>
      <c r="D16" s="4" t="n">
        <v>1168.85</v>
      </c>
      <c r="E16" s="4" t="n">
        <v>5.1671</v>
      </c>
      <c r="F16" s="4" t="n">
        <v>14035.6439</v>
      </c>
      <c r="G16" s="4" t="n">
        <v>19633.18</v>
      </c>
      <c r="H16" s="6">
        <f>IF(AND(ISNUMBER(E16),ISNUMBER(F16)),100*E16*80*12/F16,"")</f>
        <v/>
      </c>
      <c r="I16" s="6">
        <f>IF(AND(ISNUMBER(G16),ISNUMBER(C16)),1000*G16/C16,"")</f>
        <v/>
      </c>
    </row>
    <row r="17">
      <c r="A17" s="4" t="inlineStr">
        <is>
          <t>13</t>
        </is>
      </c>
      <c r="B17" s="4" t="inlineStr">
        <is>
          <t>Ciudad Real</t>
        </is>
      </c>
      <c r="C17" s="4" t="n">
        <v>494848</v>
      </c>
      <c r="D17" s="4" t="n">
        <v>721.675</v>
      </c>
      <c r="E17" s="4" t="n">
        <v>5.0567</v>
      </c>
      <c r="F17" s="4" t="n">
        <v>12523.021</v>
      </c>
      <c r="G17" s="4" t="n">
        <v>5858.95</v>
      </c>
      <c r="H17" s="6">
        <f>IF(AND(ISNUMBER(E17),ISNUMBER(F17)),100*E17*80*12/F17,"")</f>
        <v/>
      </c>
      <c r="I17" s="6">
        <f>IF(AND(ISNUMBER(G17),ISNUMBER(C17)),1000*G17/C17,"")</f>
        <v/>
      </c>
    </row>
    <row r="18">
      <c r="A18" s="4" t="inlineStr">
        <is>
          <t>14</t>
        </is>
      </c>
      <c r="B18" s="4" t="inlineStr">
        <is>
          <t>Córdoba</t>
        </is>
      </c>
      <c r="C18" s="4" t="n">
        <v>773163</v>
      </c>
      <c r="D18" s="4" t="n">
        <v>1135.025</v>
      </c>
      <c r="E18" s="4" t="n">
        <v>6.3736</v>
      </c>
      <c r="F18" s="4" t="n">
        <v>12373.7287</v>
      </c>
      <c r="G18" s="4" t="n">
        <v>5893.062</v>
      </c>
      <c r="H18" s="6">
        <f>IF(AND(ISNUMBER(E18),ISNUMBER(F18)),100*E18*80*12/F18,"")</f>
        <v/>
      </c>
      <c r="I18" s="6">
        <f>IF(AND(ISNUMBER(G18),ISNUMBER(C18)),1000*G18/C18,"")</f>
        <v/>
      </c>
    </row>
    <row r="19">
      <c r="A19" s="4" t="inlineStr">
        <is>
          <t>15</t>
        </is>
      </c>
      <c r="B19" s="4" t="inlineStr">
        <is>
          <t>Coruña, A</t>
        </is>
      </c>
      <c r="C19" s="4" t="n">
        <v>1135623</v>
      </c>
      <c r="D19" s="4" t="n">
        <v>1419.85</v>
      </c>
      <c r="E19" s="4" t="n">
        <v>6</v>
      </c>
      <c r="F19" s="4" t="n">
        <v>15315.7608</v>
      </c>
      <c r="G19" s="4" t="n">
        <v>17303.403</v>
      </c>
      <c r="H19" s="6">
        <f>IF(AND(ISNUMBER(E19),ISNUMBER(F19)),100*E19*80*12/F19,"")</f>
        <v/>
      </c>
      <c r="I19" s="6">
        <f>IF(AND(ISNUMBER(G19),ISNUMBER(C19)),1000*G19/C19,"")</f>
        <v/>
      </c>
    </row>
    <row r="20">
      <c r="A20" s="4" t="inlineStr">
        <is>
          <t>16</t>
        </is>
      </c>
      <c r="B20" s="4" t="inlineStr">
        <is>
          <t>Cuenca</t>
        </is>
      </c>
      <c r="C20" s="4" t="n">
        <v>199859</v>
      </c>
      <c r="D20" s="4" t="n">
        <v>788.825</v>
      </c>
      <c r="E20" s="4" t="n">
        <v>5.2736</v>
      </c>
      <c r="F20" s="4" t="n">
        <v>12704.2925</v>
      </c>
      <c r="G20" s="4" t="n">
        <v>2487.54</v>
      </c>
      <c r="H20" s="6">
        <f>IF(AND(ISNUMBER(E20),ISNUMBER(F20)),100*E20*80*12/F20,"")</f>
        <v/>
      </c>
      <c r="I20" s="6">
        <f>IF(AND(ISNUMBER(G20),ISNUMBER(C20)),1000*G20/C20,"")</f>
        <v/>
      </c>
    </row>
    <row r="21">
      <c r="A21" s="4" t="inlineStr">
        <is>
          <t>17</t>
        </is>
      </c>
      <c r="B21" s="4" t="inlineStr">
        <is>
          <t>Girona</t>
        </is>
      </c>
      <c r="C21" s="4" t="n">
        <v>830429</v>
      </c>
      <c r="D21" s="4" t="n">
        <v>1837.35</v>
      </c>
      <c r="E21" s="4" t="n">
        <v>7.4211</v>
      </c>
      <c r="F21" s="4" t="n">
        <v>15129.6565</v>
      </c>
      <c r="G21" s="4" t="n">
        <v>18813.053</v>
      </c>
      <c r="H21" s="6">
        <f>IF(AND(ISNUMBER(E21),ISNUMBER(F21)),100*E21*80*12/F21,"")</f>
        <v/>
      </c>
      <c r="I21" s="6">
        <f>IF(AND(ISNUMBER(G21),ISNUMBER(C21)),1000*G21/C21,"")</f>
        <v/>
      </c>
    </row>
    <row r="22">
      <c r="A22" s="4" t="inlineStr">
        <is>
          <t>18</t>
        </is>
      </c>
      <c r="B22" s="4" t="inlineStr">
        <is>
          <t>Granada</t>
        </is>
      </c>
      <c r="C22" s="4" t="n">
        <v>945797</v>
      </c>
      <c r="D22" s="4" t="n">
        <v>1335</v>
      </c>
      <c r="E22" s="4" t="n">
        <v>6.25</v>
      </c>
      <c r="F22" s="4" t="n">
        <v>12707.4403</v>
      </c>
      <c r="G22" s="4" t="n">
        <v>18882.23</v>
      </c>
      <c r="H22" s="6">
        <f>IF(AND(ISNUMBER(E22),ISNUMBER(F22)),100*E22*80*12/F22,"")</f>
        <v/>
      </c>
      <c r="I22" s="6">
        <f>IF(AND(ISNUMBER(G22),ISNUMBER(C22)),1000*G22/C22,"")</f>
        <v/>
      </c>
    </row>
    <row r="23">
      <c r="A23" s="4" t="inlineStr">
        <is>
          <t>19</t>
        </is>
      </c>
      <c r="B23" s="4" t="inlineStr">
        <is>
          <t>Guadalajara</t>
        </is>
      </c>
      <c r="C23" s="4" t="n">
        <v>285839</v>
      </c>
      <c r="D23" s="4" t="n">
        <v>1359.05</v>
      </c>
      <c r="E23" s="4" t="n">
        <v>7.1306</v>
      </c>
      <c r="F23" s="4" t="n">
        <v>14684.1628</v>
      </c>
      <c r="G23" s="4" t="n">
        <v>5976.948</v>
      </c>
      <c r="H23" s="6">
        <f>IF(AND(ISNUMBER(E23),ISNUMBER(F23)),100*E23*80*12/F23,"")</f>
        <v/>
      </c>
      <c r="I23" s="6">
        <f>IF(AND(ISNUMBER(G23),ISNUMBER(C23)),1000*G23/C23,"")</f>
        <v/>
      </c>
    </row>
    <row r="24">
      <c r="A24" s="4" t="inlineStr">
        <is>
          <t>20</t>
        </is>
      </c>
      <c r="B24" s="4" t="inlineStr">
        <is>
          <t>Gipuzkoa</t>
        </is>
      </c>
      <c r="C24" s="4" t="n">
        <v>733149</v>
      </c>
      <c r="D24" s="4" t="n">
        <v>2960.175</v>
      </c>
      <c r="E24" s="4" t="n">
        <v>10.47</v>
      </c>
      <c r="F24" s="4" t="n">
        <v>19622.4077</v>
      </c>
      <c r="G24" s="4" t="n">
        <v>4324.43</v>
      </c>
      <c r="H24" s="6">
        <f>IF(AND(ISNUMBER(E24),ISNUMBER(F24)),100*E24*80*12/F24,"")</f>
        <v/>
      </c>
      <c r="I24" s="6">
        <f>IF(AND(ISNUMBER(G24),ISNUMBER(C24)),1000*G24/C24,"")</f>
        <v/>
      </c>
    </row>
    <row r="25">
      <c r="A25" s="4" t="inlineStr">
        <is>
          <t>21</t>
        </is>
      </c>
      <c r="B25" s="4" t="inlineStr">
        <is>
          <t>Huelva</t>
        </is>
      </c>
      <c r="C25" s="4" t="n">
        <v>538789</v>
      </c>
      <c r="D25" s="4" t="n">
        <v>1274.475</v>
      </c>
      <c r="E25" s="4" t="n">
        <v>6.1746</v>
      </c>
      <c r="F25" s="4" t="n">
        <v>11992.2511</v>
      </c>
      <c r="G25" s="4" t="n">
        <v>7235.113</v>
      </c>
      <c r="H25" s="6">
        <f>IF(AND(ISNUMBER(E25),ISNUMBER(F25)),100*E25*80*12/F25,"")</f>
        <v/>
      </c>
      <c r="I25" s="6">
        <f>IF(AND(ISNUMBER(G25),ISNUMBER(C25)),1000*G25/C25,"")</f>
        <v/>
      </c>
    </row>
    <row r="26">
      <c r="A26" s="4" t="inlineStr">
        <is>
          <t>22</t>
        </is>
      </c>
      <c r="B26" s="4" t="inlineStr">
        <is>
          <t>Huesca</t>
        </is>
      </c>
      <c r="C26" s="4" t="n">
        <v>230087</v>
      </c>
      <c r="D26" s="4" t="n">
        <v>1233.2</v>
      </c>
      <c r="E26" s="4" t="n">
        <v>5.9116</v>
      </c>
      <c r="F26" s="4" t="n">
        <v>15139.7386</v>
      </c>
      <c r="G26" s="4" t="n">
        <v>3225.108</v>
      </c>
      <c r="H26" s="6">
        <f>IF(AND(ISNUMBER(E26),ISNUMBER(F26)),100*E26*80*12/F26,"")</f>
        <v/>
      </c>
      <c r="I26" s="6">
        <f>IF(AND(ISNUMBER(G26),ISNUMBER(C26)),1000*G26/C26,"")</f>
        <v/>
      </c>
    </row>
    <row r="27">
      <c r="A27" s="4" t="inlineStr">
        <is>
          <t>23</t>
        </is>
      </c>
      <c r="B27" s="4" t="inlineStr">
        <is>
          <t>Jaén</t>
        </is>
      </c>
      <c r="C27" s="4" t="n">
        <v>618143</v>
      </c>
      <c r="D27" s="4" t="n">
        <v>806.85</v>
      </c>
      <c r="E27" s="4" t="n">
        <v>4.5167</v>
      </c>
      <c r="F27" s="4" t="n">
        <v>11847.4759</v>
      </c>
      <c r="G27" s="4" t="n">
        <v>5449.3</v>
      </c>
      <c r="H27" s="6">
        <f>IF(AND(ISNUMBER(E27),ISNUMBER(F27)),100*E27*80*12/F27,"")</f>
        <v/>
      </c>
      <c r="I27" s="6">
        <f>IF(AND(ISNUMBER(G27),ISNUMBER(C27)),1000*G27/C27,"")</f>
        <v/>
      </c>
    </row>
    <row r="28">
      <c r="A28" s="4" t="inlineStr">
        <is>
          <t>24</t>
        </is>
      </c>
      <c r="B28" s="4" t="inlineStr">
        <is>
          <t>León</t>
        </is>
      </c>
      <c r="C28" s="4" t="n">
        <v>448030</v>
      </c>
      <c r="D28" s="4" t="n">
        <v>902.275</v>
      </c>
      <c r="E28" s="4" t="n">
        <v>5.2113</v>
      </c>
      <c r="F28" s="4" t="n">
        <v>15102.2127</v>
      </c>
      <c r="G28" s="4" t="n">
        <v>4299.812</v>
      </c>
      <c r="H28" s="6">
        <f>IF(AND(ISNUMBER(E28),ISNUMBER(F28)),100*E28*80*12/F28,"")</f>
        <v/>
      </c>
      <c r="I28" s="6">
        <f>IF(AND(ISNUMBER(G28),ISNUMBER(C28)),1000*G28/C28,"")</f>
        <v/>
      </c>
    </row>
    <row r="29">
      <c r="A29" s="4" t="inlineStr">
        <is>
          <t>25</t>
        </is>
      </c>
      <c r="B29" s="4" t="inlineStr">
        <is>
          <t>Lleida</t>
        </is>
      </c>
      <c r="C29" s="4" t="n">
        <v>458226</v>
      </c>
      <c r="D29" s="4" t="n">
        <v>1124.3672</v>
      </c>
      <c r="E29" s="4" t="n">
        <v>5.7292</v>
      </c>
      <c r="F29" s="4" t="n">
        <v>14700.1059</v>
      </c>
      <c r="G29" s="4" t="n">
        <v>8440.201999999999</v>
      </c>
      <c r="H29" s="6">
        <f>IF(AND(ISNUMBER(E29),ISNUMBER(F29)),100*E29*80*12/F29,"")</f>
        <v/>
      </c>
      <c r="I29" s="6">
        <f>IF(AND(ISNUMBER(G29),ISNUMBER(C29)),1000*G29/C29,"")</f>
        <v/>
      </c>
    </row>
    <row r="30">
      <c r="A30" s="4" t="inlineStr">
        <is>
          <t>26</t>
        </is>
      </c>
      <c r="B30" s="4" t="inlineStr">
        <is>
          <t>Rioja, La</t>
        </is>
      </c>
      <c r="C30" s="4" t="n">
        <v>326803</v>
      </c>
      <c r="D30" s="4" t="n">
        <v>1232.125</v>
      </c>
      <c r="E30" s="4" t="n">
        <v>5.914</v>
      </c>
      <c r="F30" s="4" t="n">
        <v>14825.9536</v>
      </c>
      <c r="G30" s="4" t="n">
        <v>4493.333</v>
      </c>
      <c r="H30" s="6">
        <f>IF(AND(ISNUMBER(E30),ISNUMBER(F30)),100*E30*80*12/F30,"")</f>
        <v/>
      </c>
      <c r="I30" s="6">
        <f>IF(AND(ISNUMBER(G30),ISNUMBER(C30)),1000*G30/C30,"")</f>
        <v/>
      </c>
    </row>
    <row r="31">
      <c r="A31" s="4" t="inlineStr">
        <is>
          <t>27</t>
        </is>
      </c>
      <c r="B31" s="4" t="inlineStr">
        <is>
          <t>Lugo</t>
        </is>
      </c>
      <c r="C31" s="4" t="n">
        <v>326022</v>
      </c>
      <c r="D31" s="4" t="n">
        <v>977.525</v>
      </c>
      <c r="E31" s="4" t="n">
        <v>4.2669</v>
      </c>
      <c r="F31" s="4" t="n">
        <v>14327.638</v>
      </c>
      <c r="G31" s="4" t="n">
        <v>4840.667</v>
      </c>
      <c r="H31" s="6">
        <f>IF(AND(ISNUMBER(E31),ISNUMBER(F31)),100*E31*80*12/F31,"")</f>
        <v/>
      </c>
      <c r="I31" s="6">
        <f>IF(AND(ISNUMBER(G31),ISNUMBER(C31)),1000*G31/C31,"")</f>
        <v/>
      </c>
    </row>
    <row r="32">
      <c r="A32" s="4" t="inlineStr">
        <is>
          <t>28</t>
        </is>
      </c>
      <c r="B32" s="4" t="inlineStr">
        <is>
          <t>Madrid</t>
        </is>
      </c>
      <c r="C32" s="4" t="n">
        <v>7113886</v>
      </c>
      <c r="D32" s="4" t="n">
        <v>3239.95</v>
      </c>
      <c r="E32" s="4" t="n">
        <v>12.1212</v>
      </c>
      <c r="F32" s="4" t="n">
        <v>18022.5023</v>
      </c>
      <c r="G32" s="4" t="n">
        <v>107367.852</v>
      </c>
      <c r="H32" s="6">
        <f>IF(AND(ISNUMBER(E32),ISNUMBER(F32)),100*E32*80*12/F32,"")</f>
        <v/>
      </c>
      <c r="I32" s="6">
        <f>IF(AND(ISNUMBER(G32),ISNUMBER(C32)),1000*G32/C32,"")</f>
        <v/>
      </c>
    </row>
    <row r="33">
      <c r="A33" s="4" t="inlineStr">
        <is>
          <t>29</t>
        </is>
      </c>
      <c r="B33" s="4" t="inlineStr">
        <is>
          <t>Málaga</t>
        </is>
      </c>
      <c r="C33" s="4" t="n">
        <v>1791183</v>
      </c>
      <c r="D33" s="4" t="n">
        <v>2422.6</v>
      </c>
      <c r="E33" s="4" t="n">
        <v>9.037000000000001</v>
      </c>
      <c r="F33" s="4" t="n">
        <v>12974.6521</v>
      </c>
      <c r="G33" s="4" t="n">
        <v>26844.393</v>
      </c>
      <c r="H33" s="6">
        <f>IF(AND(ISNUMBER(E33),ISNUMBER(F33)),100*E33*80*12/F33,"")</f>
        <v/>
      </c>
      <c r="I33" s="6">
        <f>IF(AND(ISNUMBER(G33),ISNUMBER(C33)),1000*G33/C33,"")</f>
        <v/>
      </c>
    </row>
    <row r="34">
      <c r="A34" s="4" t="inlineStr">
        <is>
          <t>30</t>
        </is>
      </c>
      <c r="B34" s="4" t="inlineStr">
        <is>
          <t>Murcia</t>
        </is>
      </c>
      <c r="C34" s="4" t="n">
        <v>1586989</v>
      </c>
      <c r="D34" s="4" t="n">
        <v>1106.875</v>
      </c>
      <c r="E34" s="4" t="n">
        <v>5.3763</v>
      </c>
      <c r="F34" s="4" t="n">
        <v>12445.4642</v>
      </c>
      <c r="G34" s="4" t="n">
        <v>38582.75</v>
      </c>
      <c r="H34" s="6">
        <f>IF(AND(ISNUMBER(E34),ISNUMBER(F34)),100*E34*80*12/F34,"")</f>
        <v/>
      </c>
      <c r="I34" s="6">
        <f>IF(AND(ISNUMBER(G34),ISNUMBER(C34)),1000*G34/C34,"")</f>
        <v/>
      </c>
    </row>
    <row r="35">
      <c r="A35" s="4" t="inlineStr">
        <is>
          <t>31</t>
        </is>
      </c>
      <c r="B35" s="4" t="inlineStr">
        <is>
          <t>Navarra</t>
        </is>
      </c>
      <c r="C35" s="4" t="n">
        <v>683854</v>
      </c>
      <c r="D35" s="4" t="n">
        <v>1654.625</v>
      </c>
      <c r="E35" s="4" t="n">
        <v>6.86</v>
      </c>
      <c r="F35" s="4" t="n">
        <v>16378.2209</v>
      </c>
      <c r="G35" s="4" t="n">
        <v>6011.52</v>
      </c>
      <c r="H35" s="6">
        <f>IF(AND(ISNUMBER(E35),ISNUMBER(F35)),100*E35*80*12/F35,"")</f>
        <v/>
      </c>
      <c r="I35" s="6">
        <f>IF(AND(ISNUMBER(G35),ISNUMBER(C35)),1000*G35/C35,"")</f>
        <v/>
      </c>
    </row>
    <row r="36">
      <c r="A36" s="4" t="inlineStr">
        <is>
          <t>32</t>
        </is>
      </c>
      <c r="B36" s="4" t="inlineStr">
        <is>
          <t>Ourense</t>
        </is>
      </c>
      <c r="C36" s="4" t="n">
        <v>305278</v>
      </c>
      <c r="D36" s="4" t="n">
        <v>955.15</v>
      </c>
      <c r="E36" s="4" t="n">
        <v>4.6111</v>
      </c>
      <c r="F36" s="4" t="n">
        <v>14033.7674</v>
      </c>
      <c r="G36" s="4" t="n">
        <v>4314.708</v>
      </c>
      <c r="H36" s="6">
        <f>IF(AND(ISNUMBER(E36),ISNUMBER(F36)),100*E36*80*12/F36,"")</f>
        <v/>
      </c>
      <c r="I36" s="6">
        <f>IF(AND(ISNUMBER(G36),ISNUMBER(C36)),1000*G36/C36,"")</f>
        <v/>
      </c>
    </row>
    <row r="37">
      <c r="A37" s="4" t="inlineStr">
        <is>
          <t>33</t>
        </is>
      </c>
      <c r="B37" s="4" t="inlineStr">
        <is>
          <t>Asturias</t>
        </is>
      </c>
      <c r="C37" s="4" t="n">
        <v>1015128</v>
      </c>
      <c r="D37" s="4" t="n">
        <v>1418.025</v>
      </c>
      <c r="E37" s="4" t="n">
        <v>6.625</v>
      </c>
      <c r="F37" s="4" t="n">
        <v>15791.1959</v>
      </c>
      <c r="G37" s="4" t="n">
        <v>6484.855</v>
      </c>
      <c r="H37" s="6">
        <f>IF(AND(ISNUMBER(E37),ISNUMBER(F37)),100*E37*80*12/F37,"")</f>
        <v/>
      </c>
      <c r="I37" s="6">
        <f>IF(AND(ISNUMBER(G37),ISNUMBER(C37)),1000*G37/C37,"")</f>
        <v/>
      </c>
    </row>
    <row r="38">
      <c r="A38" s="4" t="inlineStr">
        <is>
          <t>34</t>
        </is>
      </c>
      <c r="B38" s="4" t="inlineStr">
        <is>
          <t>Palencia</t>
        </is>
      </c>
      <c r="C38" s="4" t="n">
        <v>158702</v>
      </c>
      <c r="D38" s="4" t="n">
        <v>945.775</v>
      </c>
      <c r="E38" s="4" t="n">
        <v>5.5</v>
      </c>
      <c r="F38" s="4" t="n">
        <v>15121.8172</v>
      </c>
      <c r="G38" s="4" t="n">
        <v>1363.078</v>
      </c>
      <c r="H38" s="6">
        <f>IF(AND(ISNUMBER(E38),ISNUMBER(F38)),100*E38*80*12/F38,"")</f>
        <v/>
      </c>
      <c r="I38" s="6">
        <f>IF(AND(ISNUMBER(G38),ISNUMBER(C38)),1000*G38/C38,"")</f>
        <v/>
      </c>
    </row>
    <row r="39">
      <c r="A39" s="4" t="inlineStr">
        <is>
          <t>35</t>
        </is>
      </c>
      <c r="B39" s="4" t="inlineStr">
        <is>
          <t>Palmas, Las</t>
        </is>
      </c>
      <c r="C39" s="4" t="n">
        <v>1171547</v>
      </c>
      <c r="D39" s="4" t="n">
        <v>1858.025</v>
      </c>
      <c r="E39" s="4" t="n">
        <v>7.5962</v>
      </c>
      <c r="F39" s="4" t="n">
        <v>13815.6132</v>
      </c>
      <c r="G39" s="4" t="n">
        <v>20115.092</v>
      </c>
      <c r="H39" s="6">
        <f>IF(AND(ISNUMBER(E39),ISNUMBER(F39)),100*E39*80*12/F39,"")</f>
        <v/>
      </c>
      <c r="I39" s="6">
        <f>IF(AND(ISNUMBER(G39),ISNUMBER(C39)),1000*G39/C39,"")</f>
        <v/>
      </c>
    </row>
    <row r="40">
      <c r="A40" s="4" t="inlineStr">
        <is>
          <t>36</t>
        </is>
      </c>
      <c r="B40" s="4" t="inlineStr">
        <is>
          <t>Pontevedra</t>
        </is>
      </c>
      <c r="C40" s="4" t="n">
        <v>947818</v>
      </c>
      <c r="D40" s="4" t="n">
        <v>1486.6</v>
      </c>
      <c r="E40" s="4" t="n">
        <v>6.338</v>
      </c>
      <c r="F40" s="4" t="n">
        <v>14133.4792</v>
      </c>
      <c r="G40" s="4" t="n">
        <v>9098.07</v>
      </c>
      <c r="H40" s="6">
        <f>IF(AND(ISNUMBER(E40),ISNUMBER(F40)),100*E40*80*12/F40,"")</f>
        <v/>
      </c>
      <c r="I40" s="6">
        <f>IF(AND(ISNUMBER(G40),ISNUMBER(C40)),1000*G40/C40,"")</f>
        <v/>
      </c>
    </row>
    <row r="41">
      <c r="A41" s="4" t="inlineStr">
        <is>
          <t>37</t>
        </is>
      </c>
      <c r="B41" s="4" t="inlineStr">
        <is>
          <t>Salamanca</t>
        </is>
      </c>
      <c r="C41" s="4" t="n">
        <v>328446</v>
      </c>
      <c r="D41" s="4" t="n">
        <v>1217.55</v>
      </c>
      <c r="E41" s="4" t="n">
        <v>5.9186</v>
      </c>
      <c r="F41" s="4" t="n">
        <v>14597.9174</v>
      </c>
      <c r="G41" s="4" t="n">
        <v>4419.307</v>
      </c>
      <c r="H41" s="6">
        <f>IF(AND(ISNUMBER(E41),ISNUMBER(F41)),100*E41*80*12/F41,"")</f>
        <v/>
      </c>
      <c r="I41" s="6">
        <f>IF(AND(ISNUMBER(G41),ISNUMBER(C41)),1000*G41/C41,"")</f>
        <v/>
      </c>
    </row>
    <row r="42">
      <c r="A42" s="4" t="inlineStr">
        <is>
          <t>38</t>
        </is>
      </c>
      <c r="B42" s="4" t="inlineStr">
        <is>
          <t>Santa Cruz de Tenerife</t>
        </is>
      </c>
      <c r="C42" s="4" t="n">
        <v>1087319</v>
      </c>
      <c r="D42" s="4" t="n">
        <v>1806.4</v>
      </c>
      <c r="E42" s="4" t="n">
        <v>7.9136</v>
      </c>
      <c r="F42" s="4" t="n">
        <v>13359.484</v>
      </c>
      <c r="G42" s="4" t="n">
        <v>17769.658</v>
      </c>
      <c r="H42" s="6">
        <f>IF(AND(ISNUMBER(E42),ISNUMBER(F42)),100*E42*80*12/F42,"")</f>
        <v/>
      </c>
      <c r="I42" s="6">
        <f>IF(AND(ISNUMBER(G42),ISNUMBER(C42)),1000*G42/C42,"")</f>
        <v/>
      </c>
    </row>
    <row r="43">
      <c r="A43" s="4" t="inlineStr">
        <is>
          <t>39</t>
        </is>
      </c>
      <c r="B43" s="4" t="inlineStr">
        <is>
          <t>Cantabria</t>
        </is>
      </c>
      <c r="C43" s="4" t="n">
        <v>593623</v>
      </c>
      <c r="D43" s="4" t="n">
        <v>1654.675</v>
      </c>
      <c r="E43" s="4" t="n">
        <v>7.22</v>
      </c>
      <c r="F43" s="4" t="n">
        <v>15052.8662</v>
      </c>
      <c r="G43" s="4" t="n">
        <v>7456.605</v>
      </c>
      <c r="H43" s="6">
        <f>IF(AND(ISNUMBER(E43),ISNUMBER(F43)),100*E43*80*12/F43,"")</f>
        <v/>
      </c>
      <c r="I43" s="6">
        <f>IF(AND(ISNUMBER(G43),ISNUMBER(C43)),1000*G43/C43,"")</f>
        <v/>
      </c>
    </row>
    <row r="44">
      <c r="A44" s="4" t="inlineStr">
        <is>
          <t>40</t>
        </is>
      </c>
      <c r="B44" s="4" t="inlineStr">
        <is>
          <t>Segovia</t>
        </is>
      </c>
      <c r="C44" s="4" t="n">
        <v>158251</v>
      </c>
      <c r="D44" s="4" t="n">
        <v>1164.65</v>
      </c>
      <c r="E44" s="4" t="n">
        <v>6.25</v>
      </c>
      <c r="F44" s="4" t="n">
        <v>14957.6229</v>
      </c>
      <c r="G44" s="4" t="n">
        <v>2510.637</v>
      </c>
      <c r="H44" s="6">
        <f>IF(AND(ISNUMBER(E44),ISNUMBER(F44)),100*E44*80*12/F44,"")</f>
        <v/>
      </c>
      <c r="I44" s="6">
        <f>IF(AND(ISNUMBER(G44),ISNUMBER(C44)),1000*G44/C44,"")</f>
        <v/>
      </c>
    </row>
    <row r="45">
      <c r="A45" s="4" t="inlineStr">
        <is>
          <t>41</t>
        </is>
      </c>
      <c r="B45" s="4" t="inlineStr">
        <is>
          <t>Sevilla</t>
        </is>
      </c>
      <c r="C45" s="4" t="n">
        <v>1977664</v>
      </c>
      <c r="D45" s="4" t="n">
        <v>1562.025</v>
      </c>
      <c r="E45" s="4" t="n">
        <v>8.3621</v>
      </c>
      <c r="F45" s="4" t="n">
        <v>12962.6713</v>
      </c>
      <c r="G45" s="4" t="n">
        <v>18002.248</v>
      </c>
      <c r="H45" s="6">
        <f>IF(AND(ISNUMBER(E45),ISNUMBER(F45)),100*E45*80*12/F45,"")</f>
        <v/>
      </c>
      <c r="I45" s="6">
        <f>IF(AND(ISNUMBER(G45),ISNUMBER(C45)),1000*G45/C45,"")</f>
        <v/>
      </c>
    </row>
    <row r="46">
      <c r="A46" s="4" t="inlineStr">
        <is>
          <t>42</t>
        </is>
      </c>
      <c r="B46" s="4" t="inlineStr">
        <is>
          <t>Soria</t>
        </is>
      </c>
      <c r="C46" s="4" t="n">
        <v>90183</v>
      </c>
      <c r="D46" s="4" t="n">
        <v>962</v>
      </c>
      <c r="E46" s="4" t="n">
        <v>6.0783</v>
      </c>
      <c r="F46" s="4" t="n">
        <v>15639.9045</v>
      </c>
      <c r="G46" s="4" t="n">
        <v>5.912</v>
      </c>
      <c r="H46" s="6">
        <f>IF(AND(ISNUMBER(E46),ISNUMBER(F46)),100*E46*80*12/F46,"")</f>
        <v/>
      </c>
      <c r="I46" s="6">
        <f>IF(AND(ISNUMBER(G46),ISNUMBER(C46)),1000*G46/C46,"")</f>
        <v/>
      </c>
    </row>
    <row r="47">
      <c r="A47" s="4" t="inlineStr">
        <is>
          <t>43</t>
        </is>
      </c>
      <c r="B47" s="4" t="inlineStr">
        <is>
          <t>Tarragona</t>
        </is>
      </c>
      <c r="C47" s="4" t="n">
        <v>875530</v>
      </c>
      <c r="D47" s="4" t="n">
        <v>1490.175</v>
      </c>
      <c r="E47" s="4" t="n">
        <v>6.8214</v>
      </c>
      <c r="F47" s="4" t="n">
        <v>14558.2065</v>
      </c>
      <c r="G47" s="4" t="n">
        <v>28368.447</v>
      </c>
      <c r="H47" s="6">
        <f>IF(AND(ISNUMBER(E47),ISNUMBER(F47)),100*E47*80*12/F47,"")</f>
        <v/>
      </c>
      <c r="I47" s="6">
        <f>IF(AND(ISNUMBER(G47),ISNUMBER(C47)),1000*G47/C47,"")</f>
        <v/>
      </c>
    </row>
    <row r="48">
      <c r="A48" s="4" t="inlineStr">
        <is>
          <t>44</t>
        </is>
      </c>
      <c r="B48" s="4" t="inlineStr">
        <is>
          <t>Teruel</t>
        </is>
      </c>
      <c r="C48" s="4" t="n">
        <v>136091</v>
      </c>
      <c r="D48" s="4" t="n">
        <v>864.45</v>
      </c>
      <c r="E48" s="4" t="n">
        <v>4.9534</v>
      </c>
      <c r="F48" s="4" t="n">
        <v>14587.5497</v>
      </c>
      <c r="G48" s="4" t="n">
        <v>1418.277</v>
      </c>
      <c r="H48" s="6">
        <f>IF(AND(ISNUMBER(E48),ISNUMBER(F48)),100*E48*80*12/F48,"")</f>
        <v/>
      </c>
      <c r="I48" s="6">
        <f>IF(AND(ISNUMBER(G48),ISNUMBER(C48)),1000*G48/C48,"")</f>
        <v/>
      </c>
    </row>
    <row r="49">
      <c r="A49" s="4" t="inlineStr">
        <is>
          <t>45</t>
        </is>
      </c>
      <c r="B49" s="4" t="inlineStr">
        <is>
          <t>Toledo</t>
        </is>
      </c>
      <c r="C49" s="4" t="n">
        <v>755081</v>
      </c>
      <c r="D49" s="4" t="n">
        <v>974.375</v>
      </c>
      <c r="E49" s="4" t="n">
        <v>6.0976</v>
      </c>
      <c r="F49" s="4" t="n">
        <v>12423.9686</v>
      </c>
      <c r="G49" s="4" t="n">
        <v>19235.463</v>
      </c>
      <c r="H49" s="6">
        <f>IF(AND(ISNUMBER(E49),ISNUMBER(F49)),100*E49*80*12/F49,"")</f>
        <v/>
      </c>
      <c r="I49" s="6">
        <f>IF(AND(ISNUMBER(G49),ISNUMBER(C49)),1000*G49/C49,"")</f>
        <v/>
      </c>
    </row>
    <row r="50">
      <c r="A50" s="4" t="inlineStr">
        <is>
          <t>46</t>
        </is>
      </c>
      <c r="B50" s="4" t="inlineStr">
        <is>
          <t>Valencia/València</t>
        </is>
      </c>
      <c r="C50" s="4" t="n">
        <v>2763996</v>
      </c>
      <c r="D50" s="4" t="n">
        <v>1504.35</v>
      </c>
      <c r="E50" s="4" t="n">
        <v>6.6901</v>
      </c>
      <c r="F50" s="4" t="n">
        <v>14460.9742</v>
      </c>
      <c r="G50" s="4" t="n">
        <v>68926.27</v>
      </c>
      <c r="H50" s="6">
        <f>IF(AND(ISNUMBER(E50),ISNUMBER(F50)),100*E50*80*12/F50,"")</f>
        <v/>
      </c>
      <c r="I50" s="6">
        <f>IF(AND(ISNUMBER(G50),ISNUMBER(C50)),1000*G50/C50,"")</f>
        <v/>
      </c>
    </row>
    <row r="51">
      <c r="A51" s="4" t="inlineStr">
        <is>
          <t>47</t>
        </is>
      </c>
      <c r="B51" s="4" t="inlineStr">
        <is>
          <t>Valladolid</t>
        </is>
      </c>
      <c r="C51" s="4" t="n">
        <v>528644</v>
      </c>
      <c r="D51" s="4" t="n">
        <v>1337.025</v>
      </c>
      <c r="E51" s="4" t="n">
        <v>6.5217</v>
      </c>
      <c r="F51" s="4" t="n">
        <v>15585.9188</v>
      </c>
      <c r="G51" s="4" t="n">
        <v>6204.275</v>
      </c>
      <c r="H51" s="6">
        <f>IF(AND(ISNUMBER(E51),ISNUMBER(F51)),100*E51*80*12/F51,"")</f>
        <v/>
      </c>
      <c r="I51" s="6">
        <f>IF(AND(ISNUMBER(G51),ISNUMBER(C51)),1000*G51/C51,"")</f>
        <v/>
      </c>
    </row>
    <row r="52">
      <c r="A52" s="4" t="inlineStr">
        <is>
          <t>48</t>
        </is>
      </c>
      <c r="B52" s="4" t="inlineStr">
        <is>
          <t>Bizkaia</t>
        </is>
      </c>
      <c r="C52" s="4" t="n">
        <v>1167233</v>
      </c>
      <c r="D52" s="4" t="n">
        <v>2526.575</v>
      </c>
      <c r="E52" s="4" t="n">
        <v>10.19</v>
      </c>
      <c r="F52" s="4" t="n">
        <v>18671.7867</v>
      </c>
      <c r="G52" s="4" t="n">
        <v>12124.52</v>
      </c>
      <c r="H52" s="6">
        <f>IF(AND(ISNUMBER(E52),ISNUMBER(F52)),100*E52*80*12/F52,"")</f>
        <v/>
      </c>
      <c r="I52" s="6">
        <f>IF(AND(ISNUMBER(G52),ISNUMBER(C52)),1000*G52/C52,"")</f>
        <v/>
      </c>
    </row>
    <row r="53">
      <c r="A53" s="4" t="inlineStr">
        <is>
          <t>49</t>
        </is>
      </c>
      <c r="B53" s="4" t="inlineStr">
        <is>
          <t>Zamora</t>
        </is>
      </c>
      <c r="C53" s="4" t="n">
        <v>165564</v>
      </c>
      <c r="D53" s="4" t="n">
        <v>826.425</v>
      </c>
      <c r="E53" s="4" t="n">
        <v>4.6384</v>
      </c>
      <c r="F53" s="4" t="n">
        <v>13889.3784</v>
      </c>
      <c r="G53" s="4" t="n">
        <v>1502.025</v>
      </c>
      <c r="H53" s="6">
        <f>IF(AND(ISNUMBER(E53),ISNUMBER(F53)),100*E53*80*12/F53,"")</f>
        <v/>
      </c>
      <c r="I53" s="6">
        <f>IF(AND(ISNUMBER(G53),ISNUMBER(C53)),1000*G53/C53,"")</f>
        <v/>
      </c>
    </row>
    <row r="54">
      <c r="A54" s="4" t="inlineStr">
        <is>
          <t>50</t>
        </is>
      </c>
      <c r="B54" s="4" t="inlineStr">
        <is>
          <t>Zaragoza</t>
        </is>
      </c>
      <c r="C54" s="4" t="n">
        <v>998443</v>
      </c>
      <c r="D54" s="4" t="n">
        <v>1529.8</v>
      </c>
      <c r="E54" s="4" t="n">
        <v>7.4468</v>
      </c>
      <c r="F54" s="4" t="n">
        <v>15662.8341</v>
      </c>
      <c r="G54" s="4" t="n">
        <v>17396.998</v>
      </c>
      <c r="H54" s="6">
        <f>IF(AND(ISNUMBER(E54),ISNUMBER(F54)),100*E54*80*12/F54,"")</f>
        <v/>
      </c>
      <c r="I54" s="6">
        <f>IF(AND(ISNUMBER(G54),ISNUMBER(C54)),1000*G54/C54,"")</f>
        <v/>
      </c>
    </row>
    <row r="55">
      <c r="A55" s="4" t="inlineStr">
        <is>
          <t>51</t>
        </is>
      </c>
      <c r="B55" s="4" t="inlineStr">
        <is>
          <t>Ceuta</t>
        </is>
      </c>
      <c r="C55" s="4" t="n">
        <v>83567</v>
      </c>
      <c r="D55" s="4" t="n"/>
      <c r="E55" s="4" t="n">
        <v>9.4488</v>
      </c>
      <c r="F55" s="4" t="n">
        <v>14611.6214</v>
      </c>
      <c r="G55" s="4" t="n">
        <v>1066.787</v>
      </c>
      <c r="H55" s="6">
        <f>IF(AND(ISNUMBER(E55),ISNUMBER(F55)),100*E55*80*12/F55,"")</f>
        <v/>
      </c>
      <c r="I55" s="6">
        <f>IF(AND(ISNUMBER(G55),ISNUMBER(C55)),1000*G55/C55,"")</f>
        <v/>
      </c>
    </row>
    <row r="56">
      <c r="A56" s="4" t="inlineStr">
        <is>
          <t>52</t>
        </is>
      </c>
      <c r="B56" s="4" t="inlineStr">
        <is>
          <t>Melilla</t>
        </is>
      </c>
      <c r="C56" s="4" t="n">
        <v>87067</v>
      </c>
      <c r="D56" s="4" t="n"/>
      <c r="E56" s="4" t="n">
        <v>9.103999999999999</v>
      </c>
      <c r="F56" s="4" t="n">
        <v>13978.7618</v>
      </c>
      <c r="G56" s="4" t="n">
        <v>997.367</v>
      </c>
      <c r="H56" s="6">
        <f>IF(AND(ISNUMBER(E56),ISNUMBER(F56)),100*E56*80*12/F56,"")</f>
        <v/>
      </c>
      <c r="I56" s="6">
        <f>IF(AND(ISNUMBER(G56),ISNUMBER(C56)),1000*G56/C56,"")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CV_municipios: datos de entrada en azul; cálculos de esta hoja en negro</t>
        </is>
      </c>
    </row>
    <row r="2">
      <c r="A2" s="4" t="inlineStr">
        <is>
          <t>Fuente: INE censo anual; MIVAU SERPAVI; INE VUT; Catastro. Fecha del dato: 2019-2026. Capa: C4.</t>
        </is>
      </c>
    </row>
    <row r="4">
      <c r="A4" s="5" t="inlineStr">
        <is>
          <t>cod_municipio</t>
        </is>
      </c>
      <c r="B4" s="5" t="inlineStr">
        <is>
          <t>nombre</t>
        </is>
      </c>
      <c r="C4" s="5" t="inlineStr">
        <is>
          <t>pob_2021</t>
        </is>
      </c>
      <c r="D4" s="5" t="inlineStr">
        <is>
          <t>pob_2025</t>
        </is>
      </c>
      <c r="E4" s="5" t="inlineStr">
        <is>
          <t>alquiler_m2_2019</t>
        </is>
      </c>
      <c r="F4" s="5" t="inlineStr">
        <is>
          <t>alquiler_m2_2024</t>
        </is>
      </c>
      <c r="G4" s="5" t="inlineStr">
        <is>
          <t>vut_ine_2026_05</t>
        </is>
      </c>
      <c r="H4" s="5" t="inlineStr">
        <is>
          <t>inmuebles_residenciales_catastro</t>
        </is>
      </c>
      <c r="I4" s="1" t="inlineStr">
        <is>
          <t>var_pob_pct</t>
        </is>
      </c>
      <c r="J4" s="1" t="inlineStr">
        <is>
          <t>var_alquiler_pct</t>
        </is>
      </c>
      <c r="K4" s="1" t="inlineStr">
        <is>
          <t>vut_por_100_inmuebles</t>
        </is>
      </c>
    </row>
    <row r="5">
      <c r="A5" s="4" t="inlineStr">
        <is>
          <t>03001</t>
        </is>
      </c>
      <c r="B5" s="4" t="inlineStr">
        <is>
          <t>Atzúbia, l'</t>
        </is>
      </c>
      <c r="C5" s="4" t="n">
        <v>625</v>
      </c>
      <c r="D5" s="4" t="n">
        <v>601</v>
      </c>
      <c r="E5" s="4" t="n"/>
      <c r="F5" s="4" t="n"/>
      <c r="G5" s="4" t="n"/>
      <c r="H5" s="4" t="n">
        <v>593</v>
      </c>
      <c r="I5" s="6">
        <f>IF(AND(ISNUMBER(D5),C5&gt;0),100*(D5/C5-1),"")</f>
        <v/>
      </c>
      <c r="J5" s="6">
        <f>IF(AND(ISNUMBER(F5),ISNUMBER(E5)),100*(F5/E5-1),"")</f>
        <v/>
      </c>
      <c r="K5" s="6">
        <f>IF(AND(ISNUMBER(G5),ISNUMBER(H5)),100*G5/H5,"")</f>
        <v/>
      </c>
    </row>
    <row r="6">
      <c r="A6" s="4" t="inlineStr">
        <is>
          <t>03002</t>
        </is>
      </c>
      <c r="B6" s="4" t="inlineStr">
        <is>
          <t>Agost</t>
        </is>
      </c>
      <c r="C6" s="4" t="n">
        <v>4909</v>
      </c>
      <c r="D6" s="4" t="n">
        <v>5224</v>
      </c>
      <c r="E6" s="4" t="n">
        <v>2.6889</v>
      </c>
      <c r="F6" s="4" t="n">
        <v>3.3784</v>
      </c>
      <c r="G6" s="4" t="n"/>
      <c r="H6" s="4" t="n">
        <v>2929</v>
      </c>
      <c r="I6" s="6">
        <f>IF(AND(ISNUMBER(D6),C6&gt;0),100*(D6/C6-1),"")</f>
        <v/>
      </c>
      <c r="J6" s="6">
        <f>IF(AND(ISNUMBER(F6),ISNUMBER(E6)),100*(F6/E6-1),"")</f>
        <v/>
      </c>
      <c r="K6" s="6">
        <f>IF(AND(ISNUMBER(G6),ISNUMBER(H6)),100*G6/H6,"")</f>
        <v/>
      </c>
    </row>
    <row r="7">
      <c r="A7" s="4" t="inlineStr">
        <is>
          <t>03003</t>
        </is>
      </c>
      <c r="B7" s="4" t="inlineStr">
        <is>
          <t>Agres</t>
        </is>
      </c>
      <c r="C7" s="4" t="n">
        <v>582</v>
      </c>
      <c r="D7" s="4" t="n">
        <v>625</v>
      </c>
      <c r="E7" s="4" t="n"/>
      <c r="F7" s="4" t="n"/>
      <c r="G7" s="4" t="n"/>
      <c r="H7" s="4" t="n">
        <v>608</v>
      </c>
      <c r="I7" s="6">
        <f>IF(AND(ISNUMBER(D7),C7&gt;0),100*(D7/C7-1),"")</f>
        <v/>
      </c>
      <c r="J7" s="6">
        <f>IF(AND(ISNUMBER(F7),ISNUMBER(E7)),100*(F7/E7-1),"")</f>
        <v/>
      </c>
      <c r="K7" s="6">
        <f>IF(AND(ISNUMBER(G7),ISNUMBER(H7)),100*G7/H7,"")</f>
        <v/>
      </c>
    </row>
    <row r="8">
      <c r="A8" s="4" t="inlineStr">
        <is>
          <t>03004</t>
        </is>
      </c>
      <c r="B8" s="4" t="inlineStr">
        <is>
          <t>Aigües</t>
        </is>
      </c>
      <c r="C8" s="4" t="n">
        <v>1045</v>
      </c>
      <c r="D8" s="4" t="n">
        <v>1187</v>
      </c>
      <c r="E8" s="4" t="n"/>
      <c r="F8" s="4" t="n"/>
      <c r="G8" s="4" t="n"/>
      <c r="H8" s="4" t="n">
        <v>970</v>
      </c>
      <c r="I8" s="6">
        <f>IF(AND(ISNUMBER(D8),C8&gt;0),100*(D8/C8-1),"")</f>
        <v/>
      </c>
      <c r="J8" s="6">
        <f>IF(AND(ISNUMBER(F8),ISNUMBER(E8)),100*(F8/E8-1),"")</f>
        <v/>
      </c>
      <c r="K8" s="6">
        <f>IF(AND(ISNUMBER(G8),ISNUMBER(H8)),100*G8/H8,"")</f>
        <v/>
      </c>
    </row>
    <row r="9">
      <c r="A9" s="4" t="inlineStr">
        <is>
          <t>03005</t>
        </is>
      </c>
      <c r="B9" s="4" t="inlineStr">
        <is>
          <t>Albatera</t>
        </is>
      </c>
      <c r="C9" s="4" t="n">
        <v>12704</v>
      </c>
      <c r="D9" s="4" t="n">
        <v>13476</v>
      </c>
      <c r="E9" s="4" t="n">
        <v>2.6846</v>
      </c>
      <c r="F9" s="4" t="n">
        <v>3.5356</v>
      </c>
      <c r="G9" s="4" t="n"/>
      <c r="H9" s="4" t="n">
        <v>6744</v>
      </c>
      <c r="I9" s="6">
        <f>IF(AND(ISNUMBER(D9),C9&gt;0),100*(D9/C9-1),"")</f>
        <v/>
      </c>
      <c r="J9" s="6">
        <f>IF(AND(ISNUMBER(F9),ISNUMBER(E9)),100*(F9/E9-1),"")</f>
        <v/>
      </c>
      <c r="K9" s="6">
        <f>IF(AND(ISNUMBER(G9),ISNUMBER(H9)),100*G9/H9,"")</f>
        <v/>
      </c>
    </row>
    <row r="10">
      <c r="A10" s="4" t="inlineStr">
        <is>
          <t>03006</t>
        </is>
      </c>
      <c r="B10" s="4" t="inlineStr">
        <is>
          <t>Alcalalí</t>
        </is>
      </c>
      <c r="C10" s="4" t="n">
        <v>1321</v>
      </c>
      <c r="D10" s="4" t="n">
        <v>1405</v>
      </c>
      <c r="E10" s="4" t="n"/>
      <c r="F10" s="4" t="n"/>
      <c r="G10" s="4" t="n"/>
      <c r="H10" s="4" t="n">
        <v>1073</v>
      </c>
      <c r="I10" s="6">
        <f>IF(AND(ISNUMBER(D10),C10&gt;0),100*(D10/C10-1),"")</f>
        <v/>
      </c>
      <c r="J10" s="6">
        <f>IF(AND(ISNUMBER(F10),ISNUMBER(E10)),100*(F10/E10-1),"")</f>
        <v/>
      </c>
      <c r="K10" s="6">
        <f>IF(AND(ISNUMBER(G10),ISNUMBER(H10)),100*G10/H10,"")</f>
        <v/>
      </c>
    </row>
    <row r="11">
      <c r="A11" s="4" t="inlineStr">
        <is>
          <t>03007</t>
        </is>
      </c>
      <c r="B11" s="4" t="inlineStr">
        <is>
          <t>Alcosser</t>
        </is>
      </c>
      <c r="C11" s="4" t="n">
        <v>245</v>
      </c>
      <c r="D11" s="4" t="n">
        <v>263</v>
      </c>
      <c r="E11" s="4" t="n"/>
      <c r="F11" s="4" t="n"/>
      <c r="G11" s="4" t="n"/>
      <c r="H11" s="4" t="n">
        <v>224</v>
      </c>
      <c r="I11" s="6">
        <f>IF(AND(ISNUMBER(D11),C11&gt;0),100*(D11/C11-1),"")</f>
        <v/>
      </c>
      <c r="J11" s="6">
        <f>IF(AND(ISNUMBER(F11),ISNUMBER(E11)),100*(F11/E11-1),"")</f>
        <v/>
      </c>
      <c r="K11" s="6">
        <f>IF(AND(ISNUMBER(G11),ISNUMBER(H11)),100*G11/H11,"")</f>
        <v/>
      </c>
    </row>
    <row r="12">
      <c r="A12" s="4" t="inlineStr">
        <is>
          <t>03008</t>
        </is>
      </c>
      <c r="B12" s="4" t="inlineStr">
        <is>
          <t>Alcoleja</t>
        </is>
      </c>
      <c r="C12" s="4" t="n">
        <v>186</v>
      </c>
      <c r="D12" s="4" t="n">
        <v>186</v>
      </c>
      <c r="E12" s="4" t="n"/>
      <c r="F12" s="4" t="n"/>
      <c r="G12" s="4" t="n"/>
      <c r="H12" s="4" t="n">
        <v>205</v>
      </c>
      <c r="I12" s="6">
        <f>IF(AND(ISNUMBER(D12),C12&gt;0),100*(D12/C12-1),"")</f>
        <v/>
      </c>
      <c r="J12" s="6">
        <f>IF(AND(ISNUMBER(F12),ISNUMBER(E12)),100*(F12/E12-1),"")</f>
        <v/>
      </c>
      <c r="K12" s="6">
        <f>IF(AND(ISNUMBER(G12),ISNUMBER(H12)),100*G12/H12,"")</f>
        <v/>
      </c>
    </row>
    <row r="13">
      <c r="A13" s="4" t="inlineStr">
        <is>
          <t>03009</t>
        </is>
      </c>
      <c r="B13" s="4" t="inlineStr">
        <is>
          <t>Alcoi/Alcoy</t>
        </is>
      </c>
      <c r="C13" s="4" t="n">
        <v>59187</v>
      </c>
      <c r="D13" s="4" t="n">
        <v>61613</v>
      </c>
      <c r="E13" s="4" t="n">
        <v>3.5088</v>
      </c>
      <c r="F13" s="4" t="n">
        <v>4.4945</v>
      </c>
      <c r="G13" s="4" t="n"/>
      <c r="H13" s="4" t="n">
        <v>31707</v>
      </c>
      <c r="I13" s="6">
        <f>IF(AND(ISNUMBER(D13),C13&gt;0),100*(D13/C13-1),"")</f>
        <v/>
      </c>
      <c r="J13" s="6">
        <f>IF(AND(ISNUMBER(F13),ISNUMBER(E13)),100*(F13/E13-1),"")</f>
        <v/>
      </c>
      <c r="K13" s="6">
        <f>IF(AND(ISNUMBER(G13),ISNUMBER(H13)),100*G13/H13,"")</f>
        <v/>
      </c>
    </row>
    <row r="14">
      <c r="A14" s="4" t="inlineStr">
        <is>
          <t>03010</t>
        </is>
      </c>
      <c r="B14" s="4" t="inlineStr">
        <is>
          <t>Alfafara</t>
        </is>
      </c>
      <c r="C14" s="4" t="n">
        <v>408</v>
      </c>
      <c r="D14" s="4" t="n">
        <v>417</v>
      </c>
      <c r="E14" s="4" t="n"/>
      <c r="F14" s="4" t="n"/>
      <c r="G14" s="4" t="n"/>
      <c r="H14" s="4" t="n">
        <v>333</v>
      </c>
      <c r="I14" s="6">
        <f>IF(AND(ISNUMBER(D14),C14&gt;0),100*(D14/C14-1),"")</f>
        <v/>
      </c>
      <c r="J14" s="6">
        <f>IF(AND(ISNUMBER(F14),ISNUMBER(E14)),100*(F14/E14-1),"")</f>
        <v/>
      </c>
      <c r="K14" s="6">
        <f>IF(AND(ISNUMBER(G14),ISNUMBER(H14)),100*G14/H14,"")</f>
        <v/>
      </c>
    </row>
    <row r="15">
      <c r="A15" s="4" t="inlineStr">
        <is>
          <t>03011</t>
        </is>
      </c>
      <c r="B15" s="4" t="inlineStr">
        <is>
          <t>Alfàs del Pi, l'</t>
        </is>
      </c>
      <c r="C15" s="4" t="n">
        <v>19615</v>
      </c>
      <c r="D15" s="4" t="n">
        <v>21046</v>
      </c>
      <c r="E15" s="4" t="n">
        <v>6.6176</v>
      </c>
      <c r="F15" s="4" t="n">
        <v>7.8818</v>
      </c>
      <c r="G15" s="4" t="n"/>
      <c r="H15" s="4" t="n">
        <v>12250</v>
      </c>
      <c r="I15" s="6">
        <f>IF(AND(ISNUMBER(D15),C15&gt;0),100*(D15/C15-1),"")</f>
        <v/>
      </c>
      <c r="J15" s="6">
        <f>IF(AND(ISNUMBER(F15),ISNUMBER(E15)),100*(F15/E15-1),"")</f>
        <v/>
      </c>
      <c r="K15" s="6">
        <f>IF(AND(ISNUMBER(G15),ISNUMBER(H15)),100*G15/H15,"")</f>
        <v/>
      </c>
    </row>
    <row r="16">
      <c r="A16" s="4" t="inlineStr">
        <is>
          <t>03012</t>
        </is>
      </c>
      <c r="B16" s="4" t="inlineStr">
        <is>
          <t>Algorfa</t>
        </is>
      </c>
      <c r="C16" s="4" t="n">
        <v>3459</v>
      </c>
      <c r="D16" s="4" t="n">
        <v>3749</v>
      </c>
      <c r="E16" s="4" t="n">
        <v>5.0794</v>
      </c>
      <c r="F16" s="4" t="n">
        <v>6.6667</v>
      </c>
      <c r="G16" s="4" t="n"/>
      <c r="H16" s="4" t="n">
        <v>4498</v>
      </c>
      <c r="I16" s="6">
        <f>IF(AND(ISNUMBER(D16),C16&gt;0),100*(D16/C16-1),"")</f>
        <v/>
      </c>
      <c r="J16" s="6">
        <f>IF(AND(ISNUMBER(F16),ISNUMBER(E16)),100*(F16/E16-1),"")</f>
        <v/>
      </c>
      <c r="K16" s="6">
        <f>IF(AND(ISNUMBER(G16),ISNUMBER(H16)),100*G16/H16,"")</f>
        <v/>
      </c>
    </row>
    <row r="17">
      <c r="A17" s="4" t="inlineStr">
        <is>
          <t>03013</t>
        </is>
      </c>
      <c r="B17" s="4" t="inlineStr">
        <is>
          <t>Algueña</t>
        </is>
      </c>
      <c r="C17" s="4" t="n">
        <v>1339</v>
      </c>
      <c r="D17" s="4" t="n">
        <v>1327</v>
      </c>
      <c r="E17" s="4" t="n"/>
      <c r="F17" s="4" t="n"/>
      <c r="G17" s="4" t="n"/>
      <c r="H17" s="4" t="n">
        <v>843</v>
      </c>
      <c r="I17" s="6">
        <f>IF(AND(ISNUMBER(D17),C17&gt;0),100*(D17/C17-1),"")</f>
        <v/>
      </c>
      <c r="J17" s="6">
        <f>IF(AND(ISNUMBER(F17),ISNUMBER(E17)),100*(F17/E17-1),"")</f>
        <v/>
      </c>
      <c r="K17" s="6">
        <f>IF(AND(ISNUMBER(G17),ISNUMBER(H17)),100*G17/H17,"")</f>
        <v/>
      </c>
    </row>
    <row r="18">
      <c r="A18" s="4" t="inlineStr">
        <is>
          <t>03014</t>
        </is>
      </c>
      <c r="B18" s="4" t="inlineStr">
        <is>
          <t>Alacant/Alicante</t>
        </is>
      </c>
      <c r="C18" s="4" t="n">
        <v>338768</v>
      </c>
      <c r="D18" s="4" t="n">
        <v>365586</v>
      </c>
      <c r="E18" s="4" t="n">
        <v>5.4128</v>
      </c>
      <c r="F18" s="4" t="n">
        <v>7.1053</v>
      </c>
      <c r="G18" s="4" t="n"/>
      <c r="H18" s="4" t="n">
        <v>188462</v>
      </c>
      <c r="I18" s="6">
        <f>IF(AND(ISNUMBER(D18),C18&gt;0),100*(D18/C18-1),"")</f>
        <v/>
      </c>
      <c r="J18" s="6">
        <f>IF(AND(ISNUMBER(F18),ISNUMBER(E18)),100*(F18/E18-1),"")</f>
        <v/>
      </c>
      <c r="K18" s="6">
        <f>IF(AND(ISNUMBER(G18),ISNUMBER(H18)),100*G18/H18,"")</f>
        <v/>
      </c>
    </row>
    <row r="19">
      <c r="A19" s="4" t="inlineStr">
        <is>
          <t>03015</t>
        </is>
      </c>
      <c r="B19" s="4" t="inlineStr">
        <is>
          <t>Almoradí</t>
        </is>
      </c>
      <c r="C19" s="4" t="n">
        <v>21303</v>
      </c>
      <c r="D19" s="4" t="n">
        <v>22874</v>
      </c>
      <c r="E19" s="4" t="n">
        <v>3.2051</v>
      </c>
      <c r="F19" s="4" t="n">
        <v>4.345</v>
      </c>
      <c r="G19" s="4" t="n"/>
      <c r="H19" s="4" t="n">
        <v>9900</v>
      </c>
      <c r="I19" s="6">
        <f>IF(AND(ISNUMBER(D19),C19&gt;0),100*(D19/C19-1),"")</f>
        <v/>
      </c>
      <c r="J19" s="6">
        <f>IF(AND(ISNUMBER(F19),ISNUMBER(E19)),100*(F19/E19-1),"")</f>
        <v/>
      </c>
      <c r="K19" s="6">
        <f>IF(AND(ISNUMBER(G19),ISNUMBER(H19)),100*G19/H19,"")</f>
        <v/>
      </c>
    </row>
    <row r="20">
      <c r="A20" s="4" t="inlineStr">
        <is>
          <t>03016</t>
        </is>
      </c>
      <c r="B20" s="4" t="inlineStr">
        <is>
          <t>Almudaina</t>
        </is>
      </c>
      <c r="C20" s="4" t="n">
        <v>118</v>
      </c>
      <c r="D20" s="4" t="n">
        <v>127</v>
      </c>
      <c r="E20" s="4" t="n"/>
      <c r="F20" s="4" t="n"/>
      <c r="G20" s="4" t="n"/>
      <c r="H20" s="4" t="n">
        <v>122</v>
      </c>
      <c r="I20" s="6">
        <f>IF(AND(ISNUMBER(D20),C20&gt;0),100*(D20/C20-1),"")</f>
        <v/>
      </c>
      <c r="J20" s="6">
        <f>IF(AND(ISNUMBER(F20),ISNUMBER(E20)),100*(F20/E20-1),"")</f>
        <v/>
      </c>
      <c r="K20" s="6">
        <f>IF(AND(ISNUMBER(G20),ISNUMBER(H20)),100*G20/H20,"")</f>
        <v/>
      </c>
    </row>
    <row r="21">
      <c r="A21" s="4" t="inlineStr">
        <is>
          <t>03017</t>
        </is>
      </c>
      <c r="B21" s="4" t="inlineStr">
        <is>
          <t>Alqueria d'Asnar, l'</t>
        </is>
      </c>
      <c r="C21" s="4" t="n">
        <v>498</v>
      </c>
      <c r="D21" s="4" t="n">
        <v>519</v>
      </c>
      <c r="E21" s="4" t="n"/>
      <c r="F21" s="4" t="n"/>
      <c r="G21" s="4" t="n"/>
      <c r="H21" s="4" t="n">
        <v>296</v>
      </c>
      <c r="I21" s="6">
        <f>IF(AND(ISNUMBER(D21),C21&gt;0),100*(D21/C21-1),"")</f>
        <v/>
      </c>
      <c r="J21" s="6">
        <f>IF(AND(ISNUMBER(F21),ISNUMBER(E21)),100*(F21/E21-1),"")</f>
        <v/>
      </c>
      <c r="K21" s="6">
        <f>IF(AND(ISNUMBER(G21),ISNUMBER(H21)),100*G21/H21,"")</f>
        <v/>
      </c>
    </row>
    <row r="22">
      <c r="A22" s="4" t="inlineStr">
        <is>
          <t>03018</t>
        </is>
      </c>
      <c r="B22" s="4" t="inlineStr">
        <is>
          <t>Altea</t>
        </is>
      </c>
      <c r="C22" s="4" t="n">
        <v>22810</v>
      </c>
      <c r="D22" s="4" t="n">
        <v>24731</v>
      </c>
      <c r="E22" s="4" t="n">
        <v>5.618</v>
      </c>
      <c r="F22" s="4" t="n">
        <v>7.0588</v>
      </c>
      <c r="G22" s="4" t="n"/>
      <c r="H22" s="4" t="n">
        <v>15814</v>
      </c>
      <c r="I22" s="6">
        <f>IF(AND(ISNUMBER(D22),C22&gt;0),100*(D22/C22-1),"")</f>
        <v/>
      </c>
      <c r="J22" s="6">
        <f>IF(AND(ISNUMBER(F22),ISNUMBER(E22)),100*(F22/E22-1),"")</f>
        <v/>
      </c>
      <c r="K22" s="6">
        <f>IF(AND(ISNUMBER(G22),ISNUMBER(H22)),100*G22/H22,"")</f>
        <v/>
      </c>
    </row>
    <row r="23">
      <c r="A23" s="4" t="inlineStr">
        <is>
          <t>03019</t>
        </is>
      </c>
      <c r="B23" s="4" t="inlineStr">
        <is>
          <t>Aspe</t>
        </is>
      </c>
      <c r="C23" s="4" t="n">
        <v>21065</v>
      </c>
      <c r="D23" s="4" t="n">
        <v>22354</v>
      </c>
      <c r="E23" s="4" t="n">
        <v>3.15</v>
      </c>
      <c r="F23" s="4" t="n">
        <v>4.1551</v>
      </c>
      <c r="G23" s="4" t="n"/>
      <c r="H23" s="4" t="n">
        <v>8986</v>
      </c>
      <c r="I23" s="6">
        <f>IF(AND(ISNUMBER(D23),C23&gt;0),100*(D23/C23-1),"")</f>
        <v/>
      </c>
      <c r="J23" s="6">
        <f>IF(AND(ISNUMBER(F23),ISNUMBER(E23)),100*(F23/E23-1),"")</f>
        <v/>
      </c>
      <c r="K23" s="6">
        <f>IF(AND(ISNUMBER(G23),ISNUMBER(H23)),100*G23/H23,"")</f>
        <v/>
      </c>
    </row>
    <row r="24">
      <c r="A24" s="4" t="inlineStr">
        <is>
          <t>03020</t>
        </is>
      </c>
      <c r="B24" s="4" t="inlineStr">
        <is>
          <t>Balones</t>
        </is>
      </c>
      <c r="C24" s="4" t="n">
        <v>134</v>
      </c>
      <c r="D24" s="4" t="n">
        <v>133</v>
      </c>
      <c r="E24" s="4" t="n"/>
      <c r="F24" s="4" t="n"/>
      <c r="G24" s="4" t="n"/>
      <c r="H24" s="4" t="n">
        <v>129</v>
      </c>
      <c r="I24" s="6">
        <f>IF(AND(ISNUMBER(D24),C24&gt;0),100*(D24/C24-1),"")</f>
        <v/>
      </c>
      <c r="J24" s="6">
        <f>IF(AND(ISNUMBER(F24),ISNUMBER(E24)),100*(F24/E24-1),"")</f>
        <v/>
      </c>
      <c r="K24" s="6">
        <f>IF(AND(ISNUMBER(G24),ISNUMBER(H24)),100*G24/H24,"")</f>
        <v/>
      </c>
    </row>
    <row r="25">
      <c r="A25" s="4" t="inlineStr">
        <is>
          <t>03021</t>
        </is>
      </c>
      <c r="B25" s="4" t="inlineStr">
        <is>
          <t>Banyeres de Mariola</t>
        </is>
      </c>
      <c r="C25" s="4" t="n">
        <v>7103</v>
      </c>
      <c r="D25" s="4" t="n">
        <v>7336</v>
      </c>
      <c r="E25" s="4" t="n">
        <v>2.3333</v>
      </c>
      <c r="F25" s="4" t="n">
        <v>3.2313</v>
      </c>
      <c r="G25" s="4" t="n"/>
      <c r="H25" s="4" t="n">
        <v>4396</v>
      </c>
      <c r="I25" s="6">
        <f>IF(AND(ISNUMBER(D25),C25&gt;0),100*(D25/C25-1),"")</f>
        <v/>
      </c>
      <c r="J25" s="6">
        <f>IF(AND(ISNUMBER(F25),ISNUMBER(E25)),100*(F25/E25-1),"")</f>
        <v/>
      </c>
      <c r="K25" s="6">
        <f>IF(AND(ISNUMBER(G25),ISNUMBER(H25)),100*G25/H25,"")</f>
        <v/>
      </c>
    </row>
    <row r="26">
      <c r="A26" s="4" t="inlineStr">
        <is>
          <t>03022</t>
        </is>
      </c>
      <c r="B26" s="4" t="inlineStr">
        <is>
          <t>Benasau</t>
        </is>
      </c>
      <c r="C26" s="4" t="n">
        <v>167</v>
      </c>
      <c r="D26" s="4" t="n">
        <v>174</v>
      </c>
      <c r="E26" s="4" t="n"/>
      <c r="F26" s="4" t="n"/>
      <c r="G26" s="4" t="n"/>
      <c r="H26" s="4" t="n">
        <v>180</v>
      </c>
      <c r="I26" s="6">
        <f>IF(AND(ISNUMBER(D26),C26&gt;0),100*(D26/C26-1),"")</f>
        <v/>
      </c>
      <c r="J26" s="6">
        <f>IF(AND(ISNUMBER(F26),ISNUMBER(E26)),100*(F26/E26-1),"")</f>
        <v/>
      </c>
      <c r="K26" s="6">
        <f>IF(AND(ISNUMBER(G26),ISNUMBER(H26)),100*G26/H26,"")</f>
        <v/>
      </c>
    </row>
    <row r="27">
      <c r="A27" s="4" t="inlineStr">
        <is>
          <t>03023</t>
        </is>
      </c>
      <c r="B27" s="4" t="inlineStr">
        <is>
          <t>Beneixama</t>
        </is>
      </c>
      <c r="C27" s="4" t="n">
        <v>1719</v>
      </c>
      <c r="D27" s="4" t="n">
        <v>1704</v>
      </c>
      <c r="E27" s="4" t="n">
        <v>1.2553</v>
      </c>
      <c r="F27" s="4" t="n">
        <v>3.182</v>
      </c>
      <c r="G27" s="4" t="n"/>
      <c r="H27" s="4" t="n">
        <v>1348</v>
      </c>
      <c r="I27" s="6">
        <f>IF(AND(ISNUMBER(D27),C27&gt;0),100*(D27/C27-1),"")</f>
        <v/>
      </c>
      <c r="J27" s="6">
        <f>IF(AND(ISNUMBER(F27),ISNUMBER(E27)),100*(F27/E27-1),"")</f>
        <v/>
      </c>
      <c r="K27" s="6">
        <f>IF(AND(ISNUMBER(G27),ISNUMBER(H27)),100*G27/H27,"")</f>
        <v/>
      </c>
    </row>
    <row r="28">
      <c r="A28" s="4" t="inlineStr">
        <is>
          <t>03024</t>
        </is>
      </c>
      <c r="B28" s="4" t="inlineStr">
        <is>
          <t>Benejúzar</t>
        </is>
      </c>
      <c r="C28" s="4" t="n">
        <v>5487</v>
      </c>
      <c r="D28" s="4" t="n">
        <v>5829</v>
      </c>
      <c r="E28" s="4" t="n">
        <v>3.3329</v>
      </c>
      <c r="F28" s="4" t="n">
        <v>4.0179</v>
      </c>
      <c r="G28" s="4" t="n"/>
      <c r="H28" s="4" t="n">
        <v>2609</v>
      </c>
      <c r="I28" s="6">
        <f>IF(AND(ISNUMBER(D28),C28&gt;0),100*(D28/C28-1),"")</f>
        <v/>
      </c>
      <c r="J28" s="6">
        <f>IF(AND(ISNUMBER(F28),ISNUMBER(E28)),100*(F28/E28-1),"")</f>
        <v/>
      </c>
      <c r="K28" s="6">
        <f>IF(AND(ISNUMBER(G28),ISNUMBER(H28)),100*G28/H28,"")</f>
        <v/>
      </c>
    </row>
    <row r="29">
      <c r="A29" s="4" t="inlineStr">
        <is>
          <t>03025</t>
        </is>
      </c>
      <c r="B29" s="4" t="inlineStr">
        <is>
          <t>Benferri</t>
        </is>
      </c>
      <c r="C29" s="4" t="n">
        <v>1934</v>
      </c>
      <c r="D29" s="4" t="n">
        <v>2098</v>
      </c>
      <c r="E29" s="4" t="n">
        <v>4.7526</v>
      </c>
      <c r="F29" s="4" t="n">
        <v>5.1587</v>
      </c>
      <c r="G29" s="4" t="n"/>
      <c r="H29" s="4" t="n">
        <v>1128</v>
      </c>
      <c r="I29" s="6">
        <f>IF(AND(ISNUMBER(D29),C29&gt;0),100*(D29/C29-1),"")</f>
        <v/>
      </c>
      <c r="J29" s="6">
        <f>IF(AND(ISNUMBER(F29),ISNUMBER(E29)),100*(F29/E29-1),"")</f>
        <v/>
      </c>
      <c r="K29" s="6">
        <f>IF(AND(ISNUMBER(G29),ISNUMBER(H29)),100*G29/H29,"")</f>
        <v/>
      </c>
    </row>
    <row r="30">
      <c r="A30" s="4" t="inlineStr">
        <is>
          <t>03026</t>
        </is>
      </c>
      <c r="B30" s="4" t="inlineStr">
        <is>
          <t>Beniarbeig</t>
        </is>
      </c>
      <c r="C30" s="4" t="n">
        <v>2237</v>
      </c>
      <c r="D30" s="4" t="n">
        <v>2540</v>
      </c>
      <c r="E30" s="4" t="n">
        <v>5.0515</v>
      </c>
      <c r="F30" s="4" t="n">
        <v>6.2238</v>
      </c>
      <c r="G30" s="4" t="n"/>
      <c r="H30" s="4" t="n">
        <v>1405</v>
      </c>
      <c r="I30" s="6">
        <f>IF(AND(ISNUMBER(D30),C30&gt;0),100*(D30/C30-1),"")</f>
        <v/>
      </c>
      <c r="J30" s="6">
        <f>IF(AND(ISNUMBER(F30),ISNUMBER(E30)),100*(F30/E30-1),"")</f>
        <v/>
      </c>
      <c r="K30" s="6">
        <f>IF(AND(ISNUMBER(G30),ISNUMBER(H30)),100*G30/H30,"")</f>
        <v/>
      </c>
    </row>
    <row r="31">
      <c r="A31" s="4" t="inlineStr">
        <is>
          <t>03027</t>
        </is>
      </c>
      <c r="B31" s="4" t="inlineStr">
        <is>
          <t>Beniardà</t>
        </is>
      </c>
      <c r="C31" s="4" t="n">
        <v>197</v>
      </c>
      <c r="D31" s="4" t="n">
        <v>233</v>
      </c>
      <c r="E31" s="4" t="n"/>
      <c r="F31" s="4" t="n"/>
      <c r="G31" s="4" t="n"/>
      <c r="H31" s="4" t="n">
        <v>173</v>
      </c>
      <c r="I31" s="6">
        <f>IF(AND(ISNUMBER(D31),C31&gt;0),100*(D31/C31-1),"")</f>
        <v/>
      </c>
      <c r="J31" s="6">
        <f>IF(AND(ISNUMBER(F31),ISNUMBER(E31)),100*(F31/E31-1),"")</f>
        <v/>
      </c>
      <c r="K31" s="6">
        <f>IF(AND(ISNUMBER(G31),ISNUMBER(H31)),100*G31/H31,"")</f>
        <v/>
      </c>
    </row>
    <row r="32">
      <c r="A32" s="4" t="inlineStr">
        <is>
          <t>03028</t>
        </is>
      </c>
      <c r="B32" s="4" t="inlineStr">
        <is>
          <t>Beniarrés</t>
        </is>
      </c>
      <c r="C32" s="4" t="n">
        <v>1088</v>
      </c>
      <c r="D32" s="4" t="n">
        <v>1116</v>
      </c>
      <c r="E32" s="4" t="n"/>
      <c r="F32" s="4" t="n"/>
      <c r="G32" s="4" t="n"/>
      <c r="H32" s="4" t="n">
        <v>725</v>
      </c>
      <c r="I32" s="6">
        <f>IF(AND(ISNUMBER(D32),C32&gt;0),100*(D32/C32-1),"")</f>
        <v/>
      </c>
      <c r="J32" s="6">
        <f>IF(AND(ISNUMBER(F32),ISNUMBER(E32)),100*(F32/E32-1),"")</f>
        <v/>
      </c>
      <c r="K32" s="6">
        <f>IF(AND(ISNUMBER(G32),ISNUMBER(H32)),100*G32/H32,"")</f>
        <v/>
      </c>
    </row>
    <row r="33">
      <c r="A33" s="4" t="inlineStr">
        <is>
          <t>03029</t>
        </is>
      </c>
      <c r="B33" s="4" t="inlineStr">
        <is>
          <t>Benigembla</t>
        </is>
      </c>
      <c r="C33" s="4" t="n">
        <v>477</v>
      </c>
      <c r="D33" s="4" t="n">
        <v>581</v>
      </c>
      <c r="E33" s="4" t="n"/>
      <c r="F33" s="4" t="n"/>
      <c r="G33" s="4" t="n"/>
      <c r="H33" s="4" t="n">
        <v>347</v>
      </c>
      <c r="I33" s="6">
        <f>IF(AND(ISNUMBER(D33),C33&gt;0),100*(D33/C33-1),"")</f>
        <v/>
      </c>
      <c r="J33" s="6">
        <f>IF(AND(ISNUMBER(F33),ISNUMBER(E33)),100*(F33/E33-1),"")</f>
        <v/>
      </c>
      <c r="K33" s="6">
        <f>IF(AND(ISNUMBER(G33),ISNUMBER(H33)),100*G33/H33,"")</f>
        <v/>
      </c>
    </row>
    <row r="34">
      <c r="A34" s="4" t="inlineStr">
        <is>
          <t>03030</t>
        </is>
      </c>
      <c r="B34" s="4" t="inlineStr">
        <is>
          <t>Benidoleig</t>
        </is>
      </c>
      <c r="C34" s="4" t="n">
        <v>1153</v>
      </c>
      <c r="D34" s="4" t="n">
        <v>1274</v>
      </c>
      <c r="E34" s="4" t="n">
        <v>3.7916</v>
      </c>
      <c r="F34" s="4" t="n">
        <v>4.9721</v>
      </c>
      <c r="G34" s="4" t="n"/>
      <c r="H34" s="4" t="n">
        <v>923</v>
      </c>
      <c r="I34" s="6">
        <f>IF(AND(ISNUMBER(D34),C34&gt;0),100*(D34/C34-1),"")</f>
        <v/>
      </c>
      <c r="J34" s="6">
        <f>IF(AND(ISNUMBER(F34),ISNUMBER(E34)),100*(F34/E34-1),"")</f>
        <v/>
      </c>
      <c r="K34" s="6">
        <f>IF(AND(ISNUMBER(G34),ISNUMBER(H34)),100*G34/H34,"")</f>
        <v/>
      </c>
    </row>
    <row r="35">
      <c r="A35" s="4" t="inlineStr">
        <is>
          <t>03031</t>
        </is>
      </c>
      <c r="B35" s="4" t="inlineStr">
        <is>
          <t>Benidorm</t>
        </is>
      </c>
      <c r="C35" s="4" t="n">
        <v>68874</v>
      </c>
      <c r="D35" s="4" t="n">
        <v>77211</v>
      </c>
      <c r="E35" s="4" t="n">
        <v>6.8922</v>
      </c>
      <c r="F35" s="4" t="n">
        <v>8.445600000000001</v>
      </c>
      <c r="G35" s="4" t="n"/>
      <c r="H35" s="4" t="n">
        <v>61577</v>
      </c>
      <c r="I35" s="6">
        <f>IF(AND(ISNUMBER(D35),C35&gt;0),100*(D35/C35-1),"")</f>
        <v/>
      </c>
      <c r="J35" s="6">
        <f>IF(AND(ISNUMBER(F35),ISNUMBER(E35)),100*(F35/E35-1),"")</f>
        <v/>
      </c>
      <c r="K35" s="6">
        <f>IF(AND(ISNUMBER(G35),ISNUMBER(H35)),100*G35/H35,"")</f>
        <v/>
      </c>
    </row>
    <row r="36">
      <c r="A36" s="4" t="inlineStr">
        <is>
          <t>03032</t>
        </is>
      </c>
      <c r="B36" s="4" t="inlineStr">
        <is>
          <t>Benifallim</t>
        </is>
      </c>
      <c r="C36" s="4" t="n">
        <v>102</v>
      </c>
      <c r="D36" s="4" t="n">
        <v>130</v>
      </c>
      <c r="E36" s="4" t="n"/>
      <c r="F36" s="4" t="n"/>
      <c r="G36" s="4" t="n"/>
      <c r="H36" s="4" t="n">
        <v>138</v>
      </c>
      <c r="I36" s="6">
        <f>IF(AND(ISNUMBER(D36),C36&gt;0),100*(D36/C36-1),"")</f>
        <v/>
      </c>
      <c r="J36" s="6">
        <f>IF(AND(ISNUMBER(F36),ISNUMBER(E36)),100*(F36/E36-1),"")</f>
        <v/>
      </c>
      <c r="K36" s="6">
        <f>IF(AND(ISNUMBER(G36),ISNUMBER(H36)),100*G36/H36,"")</f>
        <v/>
      </c>
    </row>
    <row r="37">
      <c r="A37" s="4" t="inlineStr">
        <is>
          <t>03033</t>
        </is>
      </c>
      <c r="B37" s="4" t="inlineStr">
        <is>
          <t>Benifato</t>
        </is>
      </c>
      <c r="C37" s="4" t="n">
        <v>133</v>
      </c>
      <c r="D37" s="4" t="n">
        <v>160</v>
      </c>
      <c r="E37" s="4" t="n"/>
      <c r="F37" s="4" t="n"/>
      <c r="G37" s="4" t="n"/>
      <c r="H37" s="4" t="n">
        <v>182</v>
      </c>
      <c r="I37" s="6">
        <f>IF(AND(ISNUMBER(D37),C37&gt;0),100*(D37/C37-1),"")</f>
        <v/>
      </c>
      <c r="J37" s="6">
        <f>IF(AND(ISNUMBER(F37),ISNUMBER(E37)),100*(F37/E37-1),"")</f>
        <v/>
      </c>
      <c r="K37" s="6">
        <f>IF(AND(ISNUMBER(G37),ISNUMBER(H37)),100*G37/H37,"")</f>
        <v/>
      </c>
    </row>
    <row r="38">
      <c r="A38" s="4" t="inlineStr">
        <is>
          <t>03034</t>
        </is>
      </c>
      <c r="B38" s="4" t="inlineStr">
        <is>
          <t>Benijófar</t>
        </is>
      </c>
      <c r="C38" s="4" t="n">
        <v>3303</v>
      </c>
      <c r="D38" s="4" t="n">
        <v>3696</v>
      </c>
      <c r="E38" s="4" t="n">
        <v>4.3284</v>
      </c>
      <c r="F38" s="4" t="n">
        <v>5.2326</v>
      </c>
      <c r="G38" s="4" t="n"/>
      <c r="H38" s="4" t="n">
        <v>2636</v>
      </c>
      <c r="I38" s="6">
        <f>IF(AND(ISNUMBER(D38),C38&gt;0),100*(D38/C38-1),"")</f>
        <v/>
      </c>
      <c r="J38" s="6">
        <f>IF(AND(ISNUMBER(F38),ISNUMBER(E38)),100*(F38/E38-1),"")</f>
        <v/>
      </c>
      <c r="K38" s="6">
        <f>IF(AND(ISNUMBER(G38),ISNUMBER(H38)),100*G38/H38,"")</f>
        <v/>
      </c>
    </row>
    <row r="39">
      <c r="A39" s="4" t="inlineStr">
        <is>
          <t>03035</t>
        </is>
      </c>
      <c r="B39" s="4" t="inlineStr">
        <is>
          <t>Benilloba</t>
        </is>
      </c>
      <c r="C39" s="4" t="n">
        <v>739</v>
      </c>
      <c r="D39" s="4" t="n">
        <v>746</v>
      </c>
      <c r="E39" s="4" t="n"/>
      <c r="F39" s="4" t="n"/>
      <c r="G39" s="4" t="n"/>
      <c r="H39" s="4" t="n">
        <v>592</v>
      </c>
      <c r="I39" s="6">
        <f>IF(AND(ISNUMBER(D39),C39&gt;0),100*(D39/C39-1),"")</f>
        <v/>
      </c>
      <c r="J39" s="6">
        <f>IF(AND(ISNUMBER(F39),ISNUMBER(E39)),100*(F39/E39-1),"")</f>
        <v/>
      </c>
      <c r="K39" s="6">
        <f>IF(AND(ISNUMBER(G39),ISNUMBER(H39)),100*G39/H39,"")</f>
        <v/>
      </c>
    </row>
    <row r="40">
      <c r="A40" s="4" t="inlineStr">
        <is>
          <t>03036</t>
        </is>
      </c>
      <c r="B40" s="4" t="inlineStr">
        <is>
          <t>Benillup</t>
        </is>
      </c>
      <c r="C40" s="4" t="n">
        <v>102</v>
      </c>
      <c r="D40" s="4" t="n">
        <v>111</v>
      </c>
      <c r="E40" s="4" t="n"/>
      <c r="F40" s="4" t="n"/>
      <c r="G40" s="4" t="n"/>
      <c r="H40" s="4" t="n">
        <v>71</v>
      </c>
      <c r="I40" s="6">
        <f>IF(AND(ISNUMBER(D40),C40&gt;0),100*(D40/C40-1),"")</f>
        <v/>
      </c>
      <c r="J40" s="6">
        <f>IF(AND(ISNUMBER(F40),ISNUMBER(E40)),100*(F40/E40-1),"")</f>
        <v/>
      </c>
      <c r="K40" s="6">
        <f>IF(AND(ISNUMBER(G40),ISNUMBER(H40)),100*G40/H40,"")</f>
        <v/>
      </c>
    </row>
    <row r="41">
      <c r="A41" s="4" t="inlineStr">
        <is>
          <t>03037</t>
        </is>
      </c>
      <c r="B41" s="4" t="inlineStr">
        <is>
          <t>Benimantell</t>
        </is>
      </c>
      <c r="C41" s="4" t="n">
        <v>496</v>
      </c>
      <c r="D41" s="4" t="n">
        <v>544</v>
      </c>
      <c r="E41" s="4" t="n">
        <v>3.9773</v>
      </c>
      <c r="F41" s="4" t="n">
        <v>6.3416</v>
      </c>
      <c r="G41" s="4" t="n"/>
      <c r="H41" s="4" t="n">
        <v>471</v>
      </c>
      <c r="I41" s="6">
        <f>IF(AND(ISNUMBER(D41),C41&gt;0),100*(D41/C41-1),"")</f>
        <v/>
      </c>
      <c r="J41" s="6">
        <f>IF(AND(ISNUMBER(F41),ISNUMBER(E41)),100*(F41/E41-1),"")</f>
        <v/>
      </c>
      <c r="K41" s="6">
        <f>IF(AND(ISNUMBER(G41),ISNUMBER(H41)),100*G41/H41,"")</f>
        <v/>
      </c>
    </row>
    <row r="42">
      <c r="A42" s="4" t="inlineStr">
        <is>
          <t>03038</t>
        </is>
      </c>
      <c r="B42" s="4" t="inlineStr">
        <is>
          <t>Benimarfull</t>
        </is>
      </c>
      <c r="C42" s="4" t="n">
        <v>398</v>
      </c>
      <c r="D42" s="4" t="n">
        <v>465</v>
      </c>
      <c r="E42" s="4" t="n"/>
      <c r="F42" s="4" t="n"/>
      <c r="G42" s="4" t="n"/>
      <c r="H42" s="4" t="n">
        <v>366</v>
      </c>
      <c r="I42" s="6">
        <f>IF(AND(ISNUMBER(D42),C42&gt;0),100*(D42/C42-1),"")</f>
        <v/>
      </c>
      <c r="J42" s="6">
        <f>IF(AND(ISNUMBER(F42),ISNUMBER(E42)),100*(F42/E42-1),"")</f>
        <v/>
      </c>
      <c r="K42" s="6">
        <f>IF(AND(ISNUMBER(G42),ISNUMBER(H42)),100*G42/H42,"")</f>
        <v/>
      </c>
    </row>
    <row r="43">
      <c r="A43" s="4" t="inlineStr">
        <is>
          <t>03039</t>
        </is>
      </c>
      <c r="B43" s="4" t="inlineStr">
        <is>
          <t>Benimassot</t>
        </is>
      </c>
      <c r="C43" s="4" t="n">
        <v>97</v>
      </c>
      <c r="D43" s="4" t="n">
        <v>85</v>
      </c>
      <c r="E43" s="4" t="n"/>
      <c r="F43" s="4" t="n"/>
      <c r="G43" s="4" t="n"/>
      <c r="H43" s="4" t="n">
        <v>101</v>
      </c>
      <c r="I43" s="6">
        <f>IF(AND(ISNUMBER(D43),C43&gt;0),100*(D43/C43-1),"")</f>
        <v/>
      </c>
      <c r="J43" s="6">
        <f>IF(AND(ISNUMBER(F43),ISNUMBER(E43)),100*(F43/E43-1),"")</f>
        <v/>
      </c>
      <c r="K43" s="6">
        <f>IF(AND(ISNUMBER(G43),ISNUMBER(H43)),100*G43/H43,"")</f>
        <v/>
      </c>
    </row>
    <row r="44">
      <c r="A44" s="4" t="inlineStr">
        <is>
          <t>03040</t>
        </is>
      </c>
      <c r="B44" s="4" t="inlineStr">
        <is>
          <t>Benimeli</t>
        </is>
      </c>
      <c r="C44" s="4" t="n">
        <v>411</v>
      </c>
      <c r="D44" s="4" t="n">
        <v>474</v>
      </c>
      <c r="E44" s="4" t="n"/>
      <c r="F44" s="4" t="n"/>
      <c r="G44" s="4" t="n"/>
      <c r="H44" s="4" t="n">
        <v>298</v>
      </c>
      <c r="I44" s="6">
        <f>IF(AND(ISNUMBER(D44),C44&gt;0),100*(D44/C44-1),"")</f>
        <v/>
      </c>
      <c r="J44" s="6">
        <f>IF(AND(ISNUMBER(F44),ISNUMBER(E44)),100*(F44/E44-1),"")</f>
        <v/>
      </c>
      <c r="K44" s="6">
        <f>IF(AND(ISNUMBER(G44),ISNUMBER(H44)),100*G44/H44,"")</f>
        <v/>
      </c>
    </row>
    <row r="45">
      <c r="A45" s="4" t="inlineStr">
        <is>
          <t>03041</t>
        </is>
      </c>
      <c r="B45" s="4" t="inlineStr">
        <is>
          <t>Benissa</t>
        </is>
      </c>
      <c r="C45" s="4" t="n">
        <v>11517</v>
      </c>
      <c r="D45" s="4" t="n">
        <v>12524</v>
      </c>
      <c r="E45" s="4" t="n">
        <v>3.4247</v>
      </c>
      <c r="F45" s="4" t="n">
        <v>4.4682</v>
      </c>
      <c r="G45" s="4" t="n"/>
      <c r="H45" s="4" t="n">
        <v>9756</v>
      </c>
      <c r="I45" s="6">
        <f>IF(AND(ISNUMBER(D45),C45&gt;0),100*(D45/C45-1),"")</f>
        <v/>
      </c>
      <c r="J45" s="6">
        <f>IF(AND(ISNUMBER(F45),ISNUMBER(E45)),100*(F45/E45-1),"")</f>
        <v/>
      </c>
      <c r="K45" s="6">
        <f>IF(AND(ISNUMBER(G45),ISNUMBER(H45)),100*G45/H45,"")</f>
        <v/>
      </c>
    </row>
    <row r="46">
      <c r="A46" s="4" t="inlineStr">
        <is>
          <t>03042</t>
        </is>
      </c>
      <c r="B46" s="4" t="inlineStr">
        <is>
          <t>Poble Nou de Benitatxell, el/Benitachell</t>
        </is>
      </c>
      <c r="C46" s="4" t="n">
        <v>4481</v>
      </c>
      <c r="D46" s="4" t="n">
        <v>5026</v>
      </c>
      <c r="E46" s="4" t="n">
        <v>4.5977</v>
      </c>
      <c r="F46" s="4" t="n">
        <v>5.2632</v>
      </c>
      <c r="G46" s="4" t="n"/>
      <c r="H46" s="4" t="n">
        <v>5287</v>
      </c>
      <c r="I46" s="6">
        <f>IF(AND(ISNUMBER(D46),C46&gt;0),100*(D46/C46-1),"")</f>
        <v/>
      </c>
      <c r="J46" s="6">
        <f>IF(AND(ISNUMBER(F46),ISNUMBER(E46)),100*(F46/E46-1),"")</f>
        <v/>
      </c>
      <c r="K46" s="6">
        <f>IF(AND(ISNUMBER(G46),ISNUMBER(H46)),100*G46/H46,"")</f>
        <v/>
      </c>
    </row>
    <row r="47">
      <c r="A47" s="4" t="inlineStr">
        <is>
          <t>03043</t>
        </is>
      </c>
      <c r="B47" s="4" t="inlineStr">
        <is>
          <t>Biar</t>
        </is>
      </c>
      <c r="C47" s="4" t="n">
        <v>3632</v>
      </c>
      <c r="D47" s="4" t="n">
        <v>3677</v>
      </c>
      <c r="E47" s="4" t="n">
        <v>3.1219</v>
      </c>
      <c r="F47" s="4" t="n">
        <v>3.7526</v>
      </c>
      <c r="G47" s="4" t="n"/>
      <c r="H47" s="4" t="n">
        <v>2309</v>
      </c>
      <c r="I47" s="6">
        <f>IF(AND(ISNUMBER(D47),C47&gt;0),100*(D47/C47-1),"")</f>
        <v/>
      </c>
      <c r="J47" s="6">
        <f>IF(AND(ISNUMBER(F47),ISNUMBER(E47)),100*(F47/E47-1),"")</f>
        <v/>
      </c>
      <c r="K47" s="6">
        <f>IF(AND(ISNUMBER(G47),ISNUMBER(H47)),100*G47/H47,"")</f>
        <v/>
      </c>
    </row>
    <row r="48">
      <c r="A48" s="4" t="inlineStr">
        <is>
          <t>03044</t>
        </is>
      </c>
      <c r="B48" s="4" t="inlineStr">
        <is>
          <t>Bigastro</t>
        </is>
      </c>
      <c r="C48" s="4" t="n">
        <v>6972</v>
      </c>
      <c r="D48" s="4" t="n">
        <v>7545</v>
      </c>
      <c r="E48" s="4" t="n">
        <v>2.8125</v>
      </c>
      <c r="F48" s="4" t="n">
        <v>3.5436</v>
      </c>
      <c r="G48" s="4" t="n"/>
      <c r="H48" s="4" t="n">
        <v>3330</v>
      </c>
      <c r="I48" s="6">
        <f>IF(AND(ISNUMBER(D48),C48&gt;0),100*(D48/C48-1),"")</f>
        <v/>
      </c>
      <c r="J48" s="6">
        <f>IF(AND(ISNUMBER(F48),ISNUMBER(E48)),100*(F48/E48-1),"")</f>
        <v/>
      </c>
      <c r="K48" s="6">
        <f>IF(AND(ISNUMBER(G48),ISNUMBER(H48)),100*G48/H48,"")</f>
        <v/>
      </c>
    </row>
    <row r="49">
      <c r="A49" s="4" t="inlineStr">
        <is>
          <t>03045</t>
        </is>
      </c>
      <c r="B49" s="4" t="inlineStr">
        <is>
          <t>Bolulla</t>
        </is>
      </c>
      <c r="C49" s="4" t="n">
        <v>424</v>
      </c>
      <c r="D49" s="4" t="n">
        <v>487</v>
      </c>
      <c r="E49" s="4" t="n"/>
      <c r="F49" s="4" t="n"/>
      <c r="G49" s="4" t="n"/>
      <c r="H49" s="4" t="n">
        <v>220</v>
      </c>
      <c r="I49" s="6">
        <f>IF(AND(ISNUMBER(D49),C49&gt;0),100*(D49/C49-1),"")</f>
        <v/>
      </c>
      <c r="J49" s="6">
        <f>IF(AND(ISNUMBER(F49),ISNUMBER(E49)),100*(F49/E49-1),"")</f>
        <v/>
      </c>
      <c r="K49" s="6">
        <f>IF(AND(ISNUMBER(G49),ISNUMBER(H49)),100*G49/H49,"")</f>
        <v/>
      </c>
    </row>
    <row r="50">
      <c r="A50" s="4" t="inlineStr">
        <is>
          <t>03046</t>
        </is>
      </c>
      <c r="B50" s="4" t="inlineStr">
        <is>
          <t>Busot</t>
        </is>
      </c>
      <c r="C50" s="4" t="n">
        <v>3191</v>
      </c>
      <c r="D50" s="4" t="n">
        <v>3756</v>
      </c>
      <c r="E50" s="4" t="n"/>
      <c r="F50" s="4" t="n"/>
      <c r="G50" s="4" t="n"/>
      <c r="H50" s="4" t="n">
        <v>2392</v>
      </c>
      <c r="I50" s="6">
        <f>IF(AND(ISNUMBER(D50),C50&gt;0),100*(D50/C50-1),"")</f>
        <v/>
      </c>
      <c r="J50" s="6">
        <f>IF(AND(ISNUMBER(F50),ISNUMBER(E50)),100*(F50/E50-1),"")</f>
        <v/>
      </c>
      <c r="K50" s="6">
        <f>IF(AND(ISNUMBER(G50),ISNUMBER(H50)),100*G50/H50,"")</f>
        <v/>
      </c>
    </row>
    <row r="51">
      <c r="A51" s="4" t="inlineStr">
        <is>
          <t>03047</t>
        </is>
      </c>
      <c r="B51" s="4" t="inlineStr">
        <is>
          <t>Calp</t>
        </is>
      </c>
      <c r="C51" s="4" t="n">
        <v>23593</v>
      </c>
      <c r="D51" s="4" t="n">
        <v>27440</v>
      </c>
      <c r="E51" s="4" t="n">
        <v>5.7143</v>
      </c>
      <c r="F51" s="4" t="n">
        <v>7.2378</v>
      </c>
      <c r="G51" s="4" t="n"/>
      <c r="H51" s="4" t="n">
        <v>26377</v>
      </c>
      <c r="I51" s="6">
        <f>IF(AND(ISNUMBER(D51),C51&gt;0),100*(D51/C51-1),"")</f>
        <v/>
      </c>
      <c r="J51" s="6">
        <f>IF(AND(ISNUMBER(F51),ISNUMBER(E51)),100*(F51/E51-1),"")</f>
        <v/>
      </c>
      <c r="K51" s="6">
        <f>IF(AND(ISNUMBER(G51),ISNUMBER(H51)),100*G51/H51,"")</f>
        <v/>
      </c>
    </row>
    <row r="52">
      <c r="A52" s="4" t="inlineStr">
        <is>
          <t>03048</t>
        </is>
      </c>
      <c r="B52" s="4" t="inlineStr">
        <is>
          <t>Callosa d'en Sarrià</t>
        </is>
      </c>
      <c r="C52" s="4" t="n">
        <v>7677</v>
      </c>
      <c r="D52" s="4" t="n">
        <v>8301</v>
      </c>
      <c r="E52" s="4" t="n">
        <v>2.8692</v>
      </c>
      <c r="F52" s="4" t="n">
        <v>3.8889</v>
      </c>
      <c r="G52" s="4" t="n"/>
      <c r="H52" s="4" t="n">
        <v>3412</v>
      </c>
      <c r="I52" s="6">
        <f>IF(AND(ISNUMBER(D52),C52&gt;0),100*(D52/C52-1),"")</f>
        <v/>
      </c>
      <c r="J52" s="6">
        <f>IF(AND(ISNUMBER(F52),ISNUMBER(E52)),100*(F52/E52-1),"")</f>
        <v/>
      </c>
      <c r="K52" s="6">
        <f>IF(AND(ISNUMBER(G52),ISNUMBER(H52)),100*G52/H52,"")</f>
        <v/>
      </c>
    </row>
    <row r="53">
      <c r="A53" s="4" t="inlineStr">
        <is>
          <t>03049</t>
        </is>
      </c>
      <c r="B53" s="4" t="inlineStr">
        <is>
          <t>Callosa de Segura</t>
        </is>
      </c>
      <c r="C53" s="4" t="n">
        <v>19274</v>
      </c>
      <c r="D53" s="4" t="n">
        <v>19895</v>
      </c>
      <c r="E53" s="4" t="n">
        <v>2.7273</v>
      </c>
      <c r="F53" s="4" t="n">
        <v>3.2231</v>
      </c>
      <c r="G53" s="4" t="n"/>
      <c r="H53" s="4" t="n">
        <v>9136</v>
      </c>
      <c r="I53" s="6">
        <f>IF(AND(ISNUMBER(D53),C53&gt;0),100*(D53/C53-1),"")</f>
        <v/>
      </c>
      <c r="J53" s="6">
        <f>IF(AND(ISNUMBER(F53),ISNUMBER(E53)),100*(F53/E53-1),"")</f>
        <v/>
      </c>
      <c r="K53" s="6">
        <f>IF(AND(ISNUMBER(G53),ISNUMBER(H53)),100*G53/H53,"")</f>
        <v/>
      </c>
    </row>
    <row r="54">
      <c r="A54" s="4" t="inlineStr">
        <is>
          <t>03050</t>
        </is>
      </c>
      <c r="B54" s="4" t="inlineStr">
        <is>
          <t>Campello, el</t>
        </is>
      </c>
      <c r="C54" s="4" t="n">
        <v>29106</v>
      </c>
      <c r="D54" s="4" t="n">
        <v>31567</v>
      </c>
      <c r="E54" s="4" t="n">
        <v>6.4706</v>
      </c>
      <c r="F54" s="4" t="n">
        <v>8.5722</v>
      </c>
      <c r="G54" s="4" t="n"/>
      <c r="H54" s="4" t="n">
        <v>26033</v>
      </c>
      <c r="I54" s="6">
        <f>IF(AND(ISNUMBER(D54),C54&gt;0),100*(D54/C54-1),"")</f>
        <v/>
      </c>
      <c r="J54" s="6">
        <f>IF(AND(ISNUMBER(F54),ISNUMBER(E54)),100*(F54/E54-1),"")</f>
        <v/>
      </c>
      <c r="K54" s="6">
        <f>IF(AND(ISNUMBER(G54),ISNUMBER(H54)),100*G54/H54,"")</f>
        <v/>
      </c>
    </row>
    <row r="55">
      <c r="A55" s="4" t="inlineStr">
        <is>
          <t>03051</t>
        </is>
      </c>
      <c r="B55" s="4" t="inlineStr">
        <is>
          <t>Camp de Mirra, el/Campo de Mirra</t>
        </is>
      </c>
      <c r="C55" s="4" t="n">
        <v>428</v>
      </c>
      <c r="D55" s="4" t="n">
        <v>447</v>
      </c>
      <c r="E55" s="4" t="n"/>
      <c r="F55" s="4" t="n"/>
      <c r="G55" s="4" t="n"/>
      <c r="H55" s="4" t="n">
        <v>321</v>
      </c>
      <c r="I55" s="6">
        <f>IF(AND(ISNUMBER(D55),C55&gt;0),100*(D55/C55-1),"")</f>
        <v/>
      </c>
      <c r="J55" s="6">
        <f>IF(AND(ISNUMBER(F55),ISNUMBER(E55)),100*(F55/E55-1),"")</f>
        <v/>
      </c>
      <c r="K55" s="6">
        <f>IF(AND(ISNUMBER(G55),ISNUMBER(H55)),100*G55/H55,"")</f>
        <v/>
      </c>
    </row>
    <row r="56">
      <c r="A56" s="4" t="inlineStr">
        <is>
          <t>03052</t>
        </is>
      </c>
      <c r="B56" s="4" t="inlineStr">
        <is>
          <t>Cañada</t>
        </is>
      </c>
      <c r="C56" s="4" t="n">
        <v>1191</v>
      </c>
      <c r="D56" s="4" t="n">
        <v>1219</v>
      </c>
      <c r="E56" s="4" t="n"/>
      <c r="F56" s="4" t="n"/>
      <c r="G56" s="4" t="n"/>
      <c r="H56" s="4" t="n">
        <v>741</v>
      </c>
      <c r="I56" s="6">
        <f>IF(AND(ISNUMBER(D56),C56&gt;0),100*(D56/C56-1),"")</f>
        <v/>
      </c>
      <c r="J56" s="6">
        <f>IF(AND(ISNUMBER(F56),ISNUMBER(E56)),100*(F56/E56-1),"")</f>
        <v/>
      </c>
      <c r="K56" s="6">
        <f>IF(AND(ISNUMBER(G56),ISNUMBER(H56)),100*G56/H56,"")</f>
        <v/>
      </c>
    </row>
    <row r="57">
      <c r="A57" s="4" t="inlineStr">
        <is>
          <t>03053</t>
        </is>
      </c>
      <c r="B57" s="4" t="inlineStr">
        <is>
          <t>Castalla</t>
        </is>
      </c>
      <c r="C57" s="4" t="n">
        <v>10798</v>
      </c>
      <c r="D57" s="4" t="n">
        <v>11900</v>
      </c>
      <c r="E57" s="4" t="n">
        <v>2.7754</v>
      </c>
      <c r="F57" s="4" t="n">
        <v>3.9429</v>
      </c>
      <c r="G57" s="4" t="n"/>
      <c r="H57" s="4" t="n">
        <v>7868</v>
      </c>
      <c r="I57" s="6">
        <f>IF(AND(ISNUMBER(D57),C57&gt;0),100*(D57/C57-1),"")</f>
        <v/>
      </c>
      <c r="J57" s="6">
        <f>IF(AND(ISNUMBER(F57),ISNUMBER(E57)),100*(F57/E57-1),"")</f>
        <v/>
      </c>
      <c r="K57" s="6">
        <f>IF(AND(ISNUMBER(G57),ISNUMBER(H57)),100*G57/H57,"")</f>
        <v/>
      </c>
    </row>
    <row r="58">
      <c r="A58" s="4" t="inlineStr">
        <is>
          <t>03054</t>
        </is>
      </c>
      <c r="B58" s="4" t="inlineStr">
        <is>
          <t>Castell de Castells</t>
        </is>
      </c>
      <c r="C58" s="4" t="n">
        <v>427</v>
      </c>
      <c r="D58" s="4" t="n">
        <v>442</v>
      </c>
      <c r="E58" s="4" t="n"/>
      <c r="F58" s="4" t="n"/>
      <c r="G58" s="4" t="n"/>
      <c r="H58" s="4" t="n">
        <v>551</v>
      </c>
      <c r="I58" s="6">
        <f>IF(AND(ISNUMBER(D58),C58&gt;0),100*(D58/C58-1),"")</f>
        <v/>
      </c>
      <c r="J58" s="6">
        <f>IF(AND(ISNUMBER(F58),ISNUMBER(E58)),100*(F58/E58-1),"")</f>
        <v/>
      </c>
      <c r="K58" s="6">
        <f>IF(AND(ISNUMBER(G58),ISNUMBER(H58)),100*G58/H58,"")</f>
        <v/>
      </c>
    </row>
    <row r="59">
      <c r="A59" s="4" t="inlineStr">
        <is>
          <t>03055</t>
        </is>
      </c>
      <c r="B59" s="4" t="inlineStr">
        <is>
          <t>Catral</t>
        </is>
      </c>
      <c r="C59" s="4" t="n">
        <v>8940</v>
      </c>
      <c r="D59" s="4" t="n">
        <v>9649</v>
      </c>
      <c r="E59" s="4" t="n">
        <v>3.6607</v>
      </c>
      <c r="F59" s="4" t="n">
        <v>4.2507</v>
      </c>
      <c r="G59" s="4" t="n"/>
      <c r="H59" s="4" t="n">
        <v>4621</v>
      </c>
      <c r="I59" s="6">
        <f>IF(AND(ISNUMBER(D59),C59&gt;0),100*(D59/C59-1),"")</f>
        <v/>
      </c>
      <c r="J59" s="6">
        <f>IF(AND(ISNUMBER(F59),ISNUMBER(E59)),100*(F59/E59-1),"")</f>
        <v/>
      </c>
      <c r="K59" s="6">
        <f>IF(AND(ISNUMBER(G59),ISNUMBER(H59)),100*G59/H59,"")</f>
        <v/>
      </c>
    </row>
    <row r="60">
      <c r="A60" s="4" t="inlineStr">
        <is>
          <t>03056</t>
        </is>
      </c>
      <c r="B60" s="4" t="inlineStr">
        <is>
          <t>Cocentaina</t>
        </is>
      </c>
      <c r="C60" s="4" t="n">
        <v>11459</v>
      </c>
      <c r="D60" s="4" t="n">
        <v>11486</v>
      </c>
      <c r="E60" s="4" t="n">
        <v>2.9318</v>
      </c>
      <c r="F60" s="4" t="n">
        <v>3.3892</v>
      </c>
      <c r="G60" s="4" t="n"/>
      <c r="H60" s="4" t="n">
        <v>6917</v>
      </c>
      <c r="I60" s="6">
        <f>IF(AND(ISNUMBER(D60),C60&gt;0),100*(D60/C60-1),"")</f>
        <v/>
      </c>
      <c r="J60" s="6">
        <f>IF(AND(ISNUMBER(F60),ISNUMBER(E60)),100*(F60/E60-1),"")</f>
        <v/>
      </c>
      <c r="K60" s="6">
        <f>IF(AND(ISNUMBER(G60),ISNUMBER(H60)),100*G60/H60,"")</f>
        <v/>
      </c>
    </row>
    <row r="61">
      <c r="A61" s="4" t="inlineStr">
        <is>
          <t>03057</t>
        </is>
      </c>
      <c r="B61" s="4" t="inlineStr">
        <is>
          <t>Confrides</t>
        </is>
      </c>
      <c r="C61" s="4" t="n">
        <v>278</v>
      </c>
      <c r="D61" s="4" t="n">
        <v>293</v>
      </c>
      <c r="E61" s="4" t="n"/>
      <c r="F61" s="4" t="n"/>
      <c r="G61" s="4" t="n"/>
      <c r="H61" s="4" t="n">
        <v>452</v>
      </c>
      <c r="I61" s="6">
        <f>IF(AND(ISNUMBER(D61),C61&gt;0),100*(D61/C61-1),"")</f>
        <v/>
      </c>
      <c r="J61" s="6">
        <f>IF(AND(ISNUMBER(F61),ISNUMBER(E61)),100*(F61/E61-1),"")</f>
        <v/>
      </c>
      <c r="K61" s="6">
        <f>IF(AND(ISNUMBER(G61),ISNUMBER(H61)),100*G61/H61,"")</f>
        <v/>
      </c>
    </row>
    <row r="62">
      <c r="A62" s="4" t="inlineStr">
        <is>
          <t>03058</t>
        </is>
      </c>
      <c r="B62" s="4" t="inlineStr">
        <is>
          <t>Cox</t>
        </is>
      </c>
      <c r="C62" s="4" t="n">
        <v>7405</v>
      </c>
      <c r="D62" s="4" t="n">
        <v>7714</v>
      </c>
      <c r="E62" s="4" t="n">
        <v>3.1579</v>
      </c>
      <c r="F62" s="4" t="n">
        <v>3.5</v>
      </c>
      <c r="G62" s="4" t="n"/>
      <c r="H62" s="4" t="n">
        <v>3609</v>
      </c>
      <c r="I62" s="6">
        <f>IF(AND(ISNUMBER(D62),C62&gt;0),100*(D62/C62-1),"")</f>
        <v/>
      </c>
      <c r="J62" s="6">
        <f>IF(AND(ISNUMBER(F62),ISNUMBER(E62)),100*(F62/E62-1),"")</f>
        <v/>
      </c>
      <c r="K62" s="6">
        <f>IF(AND(ISNUMBER(G62),ISNUMBER(H62)),100*G62/H62,"")</f>
        <v/>
      </c>
    </row>
    <row r="63">
      <c r="A63" s="4" t="inlineStr">
        <is>
          <t>03059</t>
        </is>
      </c>
      <c r="B63" s="4" t="inlineStr">
        <is>
          <t>Crevillent</t>
        </is>
      </c>
      <c r="C63" s="4" t="n">
        <v>29659</v>
      </c>
      <c r="D63" s="4" t="n">
        <v>30880</v>
      </c>
      <c r="E63" s="4" t="n">
        <v>2.9434</v>
      </c>
      <c r="F63" s="4" t="n">
        <v>3.9031</v>
      </c>
      <c r="G63" s="4" t="n"/>
      <c r="H63" s="4" t="n">
        <v>14966</v>
      </c>
      <c r="I63" s="6">
        <f>IF(AND(ISNUMBER(D63),C63&gt;0),100*(D63/C63-1),"")</f>
        <v/>
      </c>
      <c r="J63" s="6">
        <f>IF(AND(ISNUMBER(F63),ISNUMBER(E63)),100*(F63/E63-1),"")</f>
        <v/>
      </c>
      <c r="K63" s="6">
        <f>IF(AND(ISNUMBER(G63),ISNUMBER(H63)),100*G63/H63,"")</f>
        <v/>
      </c>
    </row>
    <row r="64">
      <c r="A64" s="4" t="inlineStr">
        <is>
          <t>03060</t>
        </is>
      </c>
      <c r="B64" s="4" t="inlineStr">
        <is>
          <t>Quatretondeta</t>
        </is>
      </c>
      <c r="C64" s="4" t="n">
        <v>117</v>
      </c>
      <c r="D64" s="4" t="n">
        <v>129</v>
      </c>
      <c r="E64" s="4" t="n"/>
      <c r="F64" s="4" t="n"/>
      <c r="G64" s="4" t="n"/>
      <c r="H64" s="4" t="n">
        <v>142</v>
      </c>
      <c r="I64" s="6">
        <f>IF(AND(ISNUMBER(D64),C64&gt;0),100*(D64/C64-1),"")</f>
        <v/>
      </c>
      <c r="J64" s="6">
        <f>IF(AND(ISNUMBER(F64),ISNUMBER(E64)),100*(F64/E64-1),"")</f>
        <v/>
      </c>
      <c r="K64" s="6">
        <f>IF(AND(ISNUMBER(G64),ISNUMBER(H64)),100*G64/H64,"")</f>
        <v/>
      </c>
    </row>
    <row r="65">
      <c r="A65" s="4" t="inlineStr">
        <is>
          <t>03061</t>
        </is>
      </c>
      <c r="B65" s="4" t="inlineStr">
        <is>
          <t>Daya Nueva</t>
        </is>
      </c>
      <c r="C65" s="4" t="n">
        <v>1777</v>
      </c>
      <c r="D65" s="4" t="n">
        <v>1882</v>
      </c>
      <c r="E65" s="4" t="n"/>
      <c r="F65" s="4" t="n"/>
      <c r="G65" s="4" t="n"/>
      <c r="H65" s="4" t="n">
        <v>1460</v>
      </c>
      <c r="I65" s="6">
        <f>IF(AND(ISNUMBER(D65),C65&gt;0),100*(D65/C65-1),"")</f>
        <v/>
      </c>
      <c r="J65" s="6">
        <f>IF(AND(ISNUMBER(F65),ISNUMBER(E65)),100*(F65/E65-1),"")</f>
        <v/>
      </c>
      <c r="K65" s="6">
        <f>IF(AND(ISNUMBER(G65),ISNUMBER(H65)),100*G65/H65,"")</f>
        <v/>
      </c>
    </row>
    <row r="66">
      <c r="A66" s="4" t="inlineStr">
        <is>
          <t>03062</t>
        </is>
      </c>
      <c r="B66" s="4" t="inlineStr">
        <is>
          <t>Daya Vieja</t>
        </is>
      </c>
      <c r="C66" s="4" t="n">
        <v>698</v>
      </c>
      <c r="D66" s="4" t="n">
        <v>714</v>
      </c>
      <c r="E66" s="4" t="n"/>
      <c r="F66" s="4" t="n"/>
      <c r="G66" s="4" t="n"/>
      <c r="H66" s="4" t="n">
        <v>532</v>
      </c>
      <c r="I66" s="6">
        <f>IF(AND(ISNUMBER(D66),C66&gt;0),100*(D66/C66-1),"")</f>
        <v/>
      </c>
      <c r="J66" s="6">
        <f>IF(AND(ISNUMBER(F66),ISNUMBER(E66)),100*(F66/E66-1),"")</f>
        <v/>
      </c>
      <c r="K66" s="6">
        <f>IF(AND(ISNUMBER(G66),ISNUMBER(H66)),100*G66/H66,"")</f>
        <v/>
      </c>
    </row>
    <row r="67">
      <c r="A67" s="4" t="inlineStr">
        <is>
          <t>03063</t>
        </is>
      </c>
      <c r="B67" s="4" t="inlineStr">
        <is>
          <t>Dénia</t>
        </is>
      </c>
      <c r="C67" s="4" t="n">
        <v>43126</v>
      </c>
      <c r="D67" s="4" t="n">
        <v>47568</v>
      </c>
      <c r="E67" s="4" t="n">
        <v>5.1655</v>
      </c>
      <c r="F67" s="4" t="n">
        <v>6.6489</v>
      </c>
      <c r="G67" s="4" t="n"/>
      <c r="H67" s="4" t="n">
        <v>46305</v>
      </c>
      <c r="I67" s="6">
        <f>IF(AND(ISNUMBER(D67),C67&gt;0),100*(D67/C67-1),"")</f>
        <v/>
      </c>
      <c r="J67" s="6">
        <f>IF(AND(ISNUMBER(F67),ISNUMBER(E67)),100*(F67/E67-1),"")</f>
        <v/>
      </c>
      <c r="K67" s="6">
        <f>IF(AND(ISNUMBER(G67),ISNUMBER(H67)),100*G67/H67,"")</f>
        <v/>
      </c>
    </row>
    <row r="68">
      <c r="A68" s="4" t="inlineStr">
        <is>
          <t>03064</t>
        </is>
      </c>
      <c r="B68" s="4" t="inlineStr">
        <is>
          <t>Dolores</t>
        </is>
      </c>
      <c r="C68" s="4" t="n">
        <v>7614</v>
      </c>
      <c r="D68" s="4" t="n">
        <v>8335</v>
      </c>
      <c r="E68" s="4" t="n">
        <v>2.7473</v>
      </c>
      <c r="F68" s="4" t="n">
        <v>4.032</v>
      </c>
      <c r="G68" s="4" t="n"/>
      <c r="H68" s="4" t="n">
        <v>3430</v>
      </c>
      <c r="I68" s="6">
        <f>IF(AND(ISNUMBER(D68),C68&gt;0),100*(D68/C68-1),"")</f>
        <v/>
      </c>
      <c r="J68" s="6">
        <f>IF(AND(ISNUMBER(F68),ISNUMBER(E68)),100*(F68/E68-1),"")</f>
        <v/>
      </c>
      <c r="K68" s="6">
        <f>IF(AND(ISNUMBER(G68),ISNUMBER(H68)),100*G68/H68,"")</f>
        <v/>
      </c>
    </row>
    <row r="69">
      <c r="A69" s="4" t="inlineStr">
        <is>
          <t>03065</t>
        </is>
      </c>
      <c r="B69" s="4" t="inlineStr">
        <is>
          <t>Elx/Elche</t>
        </is>
      </c>
      <c r="C69" s="4" t="n">
        <v>235566</v>
      </c>
      <c r="D69" s="4" t="n">
        <v>245575</v>
      </c>
      <c r="E69" s="4" t="n">
        <v>4.1379</v>
      </c>
      <c r="F69" s="4" t="n">
        <v>5.45</v>
      </c>
      <c r="G69" s="4" t="n"/>
      <c r="H69" s="4" t="n">
        <v>116198</v>
      </c>
      <c r="I69" s="6">
        <f>IF(AND(ISNUMBER(D69),C69&gt;0),100*(D69/C69-1),"")</f>
        <v/>
      </c>
      <c r="J69" s="6">
        <f>IF(AND(ISNUMBER(F69),ISNUMBER(E69)),100*(F69/E69-1),"")</f>
        <v/>
      </c>
      <c r="K69" s="6">
        <f>IF(AND(ISNUMBER(G69),ISNUMBER(H69)),100*G69/H69,"")</f>
        <v/>
      </c>
    </row>
    <row r="70">
      <c r="A70" s="4" t="inlineStr">
        <is>
          <t>03066</t>
        </is>
      </c>
      <c r="B70" s="4" t="inlineStr">
        <is>
          <t>Elda</t>
        </is>
      </c>
      <c r="C70" s="4" t="n">
        <v>52580</v>
      </c>
      <c r="D70" s="4" t="n">
        <v>55554</v>
      </c>
      <c r="E70" s="4" t="n">
        <v>3.4188</v>
      </c>
      <c r="F70" s="4" t="n">
        <v>4.5</v>
      </c>
      <c r="G70" s="4" t="n"/>
      <c r="H70" s="4" t="n">
        <v>24833</v>
      </c>
      <c r="I70" s="6">
        <f>IF(AND(ISNUMBER(D70),C70&gt;0),100*(D70/C70-1),"")</f>
        <v/>
      </c>
      <c r="J70" s="6">
        <f>IF(AND(ISNUMBER(F70),ISNUMBER(E70)),100*(F70/E70-1),"")</f>
        <v/>
      </c>
      <c r="K70" s="6">
        <f>IF(AND(ISNUMBER(G70),ISNUMBER(H70)),100*G70/H70,"")</f>
        <v/>
      </c>
    </row>
    <row r="71">
      <c r="A71" s="4" t="inlineStr">
        <is>
          <t>03067</t>
        </is>
      </c>
      <c r="B71" s="4" t="inlineStr">
        <is>
          <t>Fageca</t>
        </is>
      </c>
      <c r="C71" s="4" t="n">
        <v>104</v>
      </c>
      <c r="D71" s="4" t="n">
        <v>100</v>
      </c>
      <c r="E71" s="4" t="n"/>
      <c r="F71" s="4" t="n"/>
      <c r="G71" s="4" t="n"/>
      <c r="H71" s="4" t="n">
        <v>123</v>
      </c>
      <c r="I71" s="6">
        <f>IF(AND(ISNUMBER(D71),C71&gt;0),100*(D71/C71-1),"")</f>
        <v/>
      </c>
      <c r="J71" s="6">
        <f>IF(AND(ISNUMBER(F71),ISNUMBER(E71)),100*(F71/E71-1),"")</f>
        <v/>
      </c>
      <c r="K71" s="6">
        <f>IF(AND(ISNUMBER(G71),ISNUMBER(H71)),100*G71/H71,"")</f>
        <v/>
      </c>
    </row>
    <row r="72">
      <c r="A72" s="4" t="inlineStr">
        <is>
          <t>03068</t>
        </is>
      </c>
      <c r="B72" s="4" t="inlineStr">
        <is>
          <t>Famorca</t>
        </is>
      </c>
      <c r="C72" s="4" t="n">
        <v>45</v>
      </c>
      <c r="D72" s="4" t="n">
        <v>44</v>
      </c>
      <c r="E72" s="4" t="n"/>
      <c r="F72" s="4" t="n"/>
      <c r="G72" s="4" t="n"/>
      <c r="H72" s="4" t="n">
        <v>79</v>
      </c>
      <c r="I72" s="6">
        <f>IF(AND(ISNUMBER(D72),C72&gt;0),100*(D72/C72-1),"")</f>
        <v/>
      </c>
      <c r="J72" s="6">
        <f>IF(AND(ISNUMBER(F72),ISNUMBER(E72)),100*(F72/E72-1),"")</f>
        <v/>
      </c>
      <c r="K72" s="6">
        <f>IF(AND(ISNUMBER(G72),ISNUMBER(H72)),100*G72/H72,"")</f>
        <v/>
      </c>
    </row>
    <row r="73">
      <c r="A73" s="4" t="inlineStr">
        <is>
          <t>03069</t>
        </is>
      </c>
      <c r="B73" s="4" t="inlineStr">
        <is>
          <t>Finestrat</t>
        </is>
      </c>
      <c r="C73" s="4" t="n">
        <v>7428</v>
      </c>
      <c r="D73" s="4" t="n">
        <v>9980</v>
      </c>
      <c r="E73" s="4" t="n">
        <v>6.7312</v>
      </c>
      <c r="F73" s="4" t="n">
        <v>8.014699999999999</v>
      </c>
      <c r="G73" s="4" t="n"/>
      <c r="H73" s="4" t="n">
        <v>7506</v>
      </c>
      <c r="I73" s="6">
        <f>IF(AND(ISNUMBER(D73),C73&gt;0),100*(D73/C73-1),"")</f>
        <v/>
      </c>
      <c r="J73" s="6">
        <f>IF(AND(ISNUMBER(F73),ISNUMBER(E73)),100*(F73/E73-1),"")</f>
        <v/>
      </c>
      <c r="K73" s="6">
        <f>IF(AND(ISNUMBER(G73),ISNUMBER(H73)),100*G73/H73,"")</f>
        <v/>
      </c>
    </row>
    <row r="74">
      <c r="A74" s="4" t="inlineStr">
        <is>
          <t>03070</t>
        </is>
      </c>
      <c r="B74" s="4" t="inlineStr">
        <is>
          <t>Formentera del Segura</t>
        </is>
      </c>
      <c r="C74" s="4" t="n">
        <v>4380</v>
      </c>
      <c r="D74" s="4" t="n">
        <v>4865</v>
      </c>
      <c r="E74" s="4" t="n">
        <v>5.102</v>
      </c>
      <c r="F74" s="4" t="n">
        <v>6.5065</v>
      </c>
      <c r="G74" s="4" t="n"/>
      <c r="H74" s="4" t="n">
        <v>3628</v>
      </c>
      <c r="I74" s="6">
        <f>IF(AND(ISNUMBER(D74),C74&gt;0),100*(D74/C74-1),"")</f>
        <v/>
      </c>
      <c r="J74" s="6">
        <f>IF(AND(ISNUMBER(F74),ISNUMBER(E74)),100*(F74/E74-1),"")</f>
        <v/>
      </c>
      <c r="K74" s="6">
        <f>IF(AND(ISNUMBER(G74),ISNUMBER(H74)),100*G74/H74,"")</f>
        <v/>
      </c>
    </row>
    <row r="75">
      <c r="A75" s="4" t="inlineStr">
        <is>
          <t>03071</t>
        </is>
      </c>
      <c r="B75" s="4" t="inlineStr">
        <is>
          <t>Gata de Gorgos</t>
        </is>
      </c>
      <c r="C75" s="4" t="n">
        <v>6241</v>
      </c>
      <c r="D75" s="4" t="n">
        <v>6804</v>
      </c>
      <c r="E75" s="4" t="n">
        <v>2.8632</v>
      </c>
      <c r="F75" s="4" t="n">
        <v>3.883</v>
      </c>
      <c r="G75" s="4" t="n"/>
      <c r="H75" s="4" t="n">
        <v>3802</v>
      </c>
      <c r="I75" s="6">
        <f>IF(AND(ISNUMBER(D75),C75&gt;0),100*(D75/C75-1),"")</f>
        <v/>
      </c>
      <c r="J75" s="6">
        <f>IF(AND(ISNUMBER(F75),ISNUMBER(E75)),100*(F75/E75-1),"")</f>
        <v/>
      </c>
      <c r="K75" s="6">
        <f>IF(AND(ISNUMBER(G75),ISNUMBER(H75)),100*G75/H75,"")</f>
        <v/>
      </c>
    </row>
    <row r="76">
      <c r="A76" s="4" t="inlineStr">
        <is>
          <t>03072</t>
        </is>
      </c>
      <c r="B76" s="4" t="inlineStr">
        <is>
          <t>Gaianes</t>
        </is>
      </c>
      <c r="C76" s="4" t="n">
        <v>519</v>
      </c>
      <c r="D76" s="4" t="n">
        <v>586</v>
      </c>
      <c r="E76" s="4" t="n"/>
      <c r="F76" s="4" t="n"/>
      <c r="G76" s="4" t="n"/>
      <c r="H76" s="4" t="n">
        <v>445</v>
      </c>
      <c r="I76" s="6">
        <f>IF(AND(ISNUMBER(D76),C76&gt;0),100*(D76/C76-1),"")</f>
        <v/>
      </c>
      <c r="J76" s="6">
        <f>IF(AND(ISNUMBER(F76),ISNUMBER(E76)),100*(F76/E76-1),"")</f>
        <v/>
      </c>
      <c r="K76" s="6">
        <f>IF(AND(ISNUMBER(G76),ISNUMBER(H76)),100*G76/H76,"")</f>
        <v/>
      </c>
    </row>
    <row r="77">
      <c r="A77" s="4" t="inlineStr">
        <is>
          <t>03073</t>
        </is>
      </c>
      <c r="B77" s="4" t="inlineStr">
        <is>
          <t>Gorga</t>
        </is>
      </c>
      <c r="C77" s="4" t="n">
        <v>262</v>
      </c>
      <c r="D77" s="4" t="n">
        <v>288</v>
      </c>
      <c r="E77" s="4" t="n"/>
      <c r="F77" s="4" t="n"/>
      <c r="G77" s="4" t="n"/>
      <c r="H77" s="4" t="n">
        <v>205</v>
      </c>
      <c r="I77" s="6">
        <f>IF(AND(ISNUMBER(D77),C77&gt;0),100*(D77/C77-1),"")</f>
        <v/>
      </c>
      <c r="J77" s="6">
        <f>IF(AND(ISNUMBER(F77),ISNUMBER(E77)),100*(F77/E77-1),"")</f>
        <v/>
      </c>
      <c r="K77" s="6">
        <f>IF(AND(ISNUMBER(G77),ISNUMBER(H77)),100*G77/H77,"")</f>
        <v/>
      </c>
    </row>
    <row r="78">
      <c r="A78" s="4" t="inlineStr">
        <is>
          <t>03074</t>
        </is>
      </c>
      <c r="B78" s="4" t="inlineStr">
        <is>
          <t>Granja de Rocamora</t>
        </is>
      </c>
      <c r="C78" s="4" t="n">
        <v>2601</v>
      </c>
      <c r="D78" s="4" t="n">
        <v>2717</v>
      </c>
      <c r="E78" s="4" t="n">
        <v>3.4911</v>
      </c>
      <c r="F78" s="4" t="n">
        <v>4.7619</v>
      </c>
      <c r="G78" s="4" t="n"/>
      <c r="H78" s="4" t="n">
        <v>1145</v>
      </c>
      <c r="I78" s="6">
        <f>IF(AND(ISNUMBER(D78),C78&gt;0),100*(D78/C78-1),"")</f>
        <v/>
      </c>
      <c r="J78" s="6">
        <f>IF(AND(ISNUMBER(F78),ISNUMBER(E78)),100*(F78/E78-1),"")</f>
        <v/>
      </c>
      <c r="K78" s="6">
        <f>IF(AND(ISNUMBER(G78),ISNUMBER(H78)),100*G78/H78,"")</f>
        <v/>
      </c>
    </row>
    <row r="79">
      <c r="A79" s="4" t="inlineStr">
        <is>
          <t>03075</t>
        </is>
      </c>
      <c r="B79" s="4" t="inlineStr">
        <is>
          <t>Castell de Guadalest, el</t>
        </is>
      </c>
      <c r="C79" s="4" t="n">
        <v>245</v>
      </c>
      <c r="D79" s="4" t="n">
        <v>280</v>
      </c>
      <c r="E79" s="4" t="n"/>
      <c r="F79" s="4" t="n">
        <v>4.7854</v>
      </c>
      <c r="G79" s="4" t="n"/>
      <c r="H79" s="4" t="n">
        <v>274</v>
      </c>
      <c r="I79" s="6">
        <f>IF(AND(ISNUMBER(D79),C79&gt;0),100*(D79/C79-1),"")</f>
        <v/>
      </c>
      <c r="J79" s="6">
        <f>IF(AND(ISNUMBER(F79),ISNUMBER(E79)),100*(F79/E79-1),"")</f>
        <v/>
      </c>
      <c r="K79" s="6">
        <f>IF(AND(ISNUMBER(G79),ISNUMBER(H79)),100*G79/H79,"")</f>
        <v/>
      </c>
    </row>
    <row r="80">
      <c r="A80" s="4" t="inlineStr">
        <is>
          <t>03076</t>
        </is>
      </c>
      <c r="B80" s="4" t="inlineStr">
        <is>
          <t>Guardamar del Segura</t>
        </is>
      </c>
      <c r="C80" s="4" t="n">
        <v>15850</v>
      </c>
      <c r="D80" s="4" t="n">
        <v>18541</v>
      </c>
      <c r="E80" s="4" t="n">
        <v>5.2784</v>
      </c>
      <c r="F80" s="4" t="n">
        <v>6.8476</v>
      </c>
      <c r="G80" s="4" t="n"/>
      <c r="H80" s="4" t="n">
        <v>25527</v>
      </c>
      <c r="I80" s="6">
        <f>IF(AND(ISNUMBER(D80),C80&gt;0),100*(D80/C80-1),"")</f>
        <v/>
      </c>
      <c r="J80" s="6">
        <f>IF(AND(ISNUMBER(F80),ISNUMBER(E80)),100*(F80/E80-1),"")</f>
        <v/>
      </c>
      <c r="K80" s="6">
        <f>IF(AND(ISNUMBER(G80),ISNUMBER(H80)),100*G80/H80,"")</f>
        <v/>
      </c>
    </row>
    <row r="81">
      <c r="A81" s="4" t="inlineStr">
        <is>
          <t>03077</t>
        </is>
      </c>
      <c r="B81" s="4" t="inlineStr">
        <is>
          <t>Fondó de les Neus, el/Hondón de las Nieves</t>
        </is>
      </c>
      <c r="C81" s="4" t="n">
        <v>2636</v>
      </c>
      <c r="D81" s="4" t="n">
        <v>2775</v>
      </c>
      <c r="E81" s="4" t="n"/>
      <c r="F81" s="4" t="n">
        <v>4.0816</v>
      </c>
      <c r="G81" s="4" t="n"/>
      <c r="H81" s="4" t="n">
        <v>2345</v>
      </c>
      <c r="I81" s="6">
        <f>IF(AND(ISNUMBER(D81),C81&gt;0),100*(D81/C81-1),"")</f>
        <v/>
      </c>
      <c r="J81" s="6">
        <f>IF(AND(ISNUMBER(F81),ISNUMBER(E81)),100*(F81/E81-1),"")</f>
        <v/>
      </c>
      <c r="K81" s="6">
        <f>IF(AND(ISNUMBER(G81),ISNUMBER(H81)),100*G81/H81,"")</f>
        <v/>
      </c>
    </row>
    <row r="82">
      <c r="A82" s="4" t="inlineStr">
        <is>
          <t>03078</t>
        </is>
      </c>
      <c r="B82" s="4" t="inlineStr">
        <is>
          <t>Hondón de los Frailes</t>
        </is>
      </c>
      <c r="C82" s="4" t="n">
        <v>1284</v>
      </c>
      <c r="D82" s="4" t="n">
        <v>1323</v>
      </c>
      <c r="E82" s="4" t="n"/>
      <c r="F82" s="4" t="n"/>
      <c r="G82" s="4" t="n"/>
      <c r="H82" s="4" t="n">
        <v>1060</v>
      </c>
      <c r="I82" s="6">
        <f>IF(AND(ISNUMBER(D82),C82&gt;0),100*(D82/C82-1),"")</f>
        <v/>
      </c>
      <c r="J82" s="6">
        <f>IF(AND(ISNUMBER(F82),ISNUMBER(E82)),100*(F82/E82-1),"")</f>
        <v/>
      </c>
      <c r="K82" s="6">
        <f>IF(AND(ISNUMBER(G82),ISNUMBER(H82)),100*G82/H82,"")</f>
        <v/>
      </c>
    </row>
    <row r="83">
      <c r="A83" s="4" t="inlineStr">
        <is>
          <t>03079</t>
        </is>
      </c>
      <c r="B83" s="4" t="inlineStr">
        <is>
          <t>Ibi</t>
        </is>
      </c>
      <c r="C83" s="4" t="n">
        <v>23692</v>
      </c>
      <c r="D83" s="4" t="n">
        <v>24662</v>
      </c>
      <c r="E83" s="4" t="n">
        <v>3.107</v>
      </c>
      <c r="F83" s="4" t="n">
        <v>4.0206</v>
      </c>
      <c r="G83" s="4" t="n"/>
      <c r="H83" s="4" t="n">
        <v>11988</v>
      </c>
      <c r="I83" s="6">
        <f>IF(AND(ISNUMBER(D83),C83&gt;0),100*(D83/C83-1),"")</f>
        <v/>
      </c>
      <c r="J83" s="6">
        <f>IF(AND(ISNUMBER(F83),ISNUMBER(E83)),100*(F83/E83-1),"")</f>
        <v/>
      </c>
      <c r="K83" s="6">
        <f>IF(AND(ISNUMBER(G83),ISNUMBER(H83)),100*G83/H83,"")</f>
        <v/>
      </c>
    </row>
    <row r="84">
      <c r="A84" s="4" t="inlineStr">
        <is>
          <t>03080</t>
        </is>
      </c>
      <c r="B84" s="4" t="inlineStr">
        <is>
          <t>Jacarilla</t>
        </is>
      </c>
      <c r="C84" s="4" t="n">
        <v>1948</v>
      </c>
      <c r="D84" s="4" t="n">
        <v>2180</v>
      </c>
      <c r="E84" s="4" t="n">
        <v>3.3521</v>
      </c>
      <c r="F84" s="4" t="n">
        <v>4.7945</v>
      </c>
      <c r="G84" s="4" t="n"/>
      <c r="H84" s="4" t="n">
        <v>1327</v>
      </c>
      <c r="I84" s="6">
        <f>IF(AND(ISNUMBER(D84),C84&gt;0),100*(D84/C84-1),"")</f>
        <v/>
      </c>
      <c r="J84" s="6">
        <f>IF(AND(ISNUMBER(F84),ISNUMBER(E84)),100*(F84/E84-1),"")</f>
        <v/>
      </c>
      <c r="K84" s="6">
        <f>IF(AND(ISNUMBER(G84),ISNUMBER(H84)),100*G84/H84,"")</f>
        <v/>
      </c>
    </row>
    <row r="85">
      <c r="A85" s="4" t="inlineStr">
        <is>
          <t>03081</t>
        </is>
      </c>
      <c r="B85" s="4" t="inlineStr">
        <is>
          <t>Xaló</t>
        </is>
      </c>
      <c r="C85" s="4" t="n">
        <v>2935</v>
      </c>
      <c r="D85" s="4" t="n">
        <v>3122</v>
      </c>
      <c r="E85" s="4" t="n">
        <v>4.1667</v>
      </c>
      <c r="F85" s="4" t="n">
        <v>4.5918</v>
      </c>
      <c r="G85" s="4" t="n"/>
      <c r="H85" s="4" t="n">
        <v>2254</v>
      </c>
      <c r="I85" s="6">
        <f>IF(AND(ISNUMBER(D85),C85&gt;0),100*(D85/C85-1),"")</f>
        <v/>
      </c>
      <c r="J85" s="6">
        <f>IF(AND(ISNUMBER(F85),ISNUMBER(E85)),100*(F85/E85-1),"")</f>
        <v/>
      </c>
      <c r="K85" s="6">
        <f>IF(AND(ISNUMBER(G85),ISNUMBER(H85)),100*G85/H85,"")</f>
        <v/>
      </c>
    </row>
    <row r="86">
      <c r="A86" s="4" t="inlineStr">
        <is>
          <t>03082</t>
        </is>
      </c>
      <c r="B86" s="4" t="inlineStr">
        <is>
          <t>Xàbia/Jávea</t>
        </is>
      </c>
      <c r="C86" s="4" t="n">
        <v>28782</v>
      </c>
      <c r="D86" s="4" t="n">
        <v>30817</v>
      </c>
      <c r="E86" s="4" t="n">
        <v>5.2632</v>
      </c>
      <c r="F86" s="4" t="n">
        <v>7.1429</v>
      </c>
      <c r="G86" s="4" t="n"/>
      <c r="H86" s="4" t="n">
        <v>26714</v>
      </c>
      <c r="I86" s="6">
        <f>IF(AND(ISNUMBER(D86),C86&gt;0),100*(D86/C86-1),"")</f>
        <v/>
      </c>
      <c r="J86" s="6">
        <f>IF(AND(ISNUMBER(F86),ISNUMBER(E86)),100*(F86/E86-1),"")</f>
        <v/>
      </c>
      <c r="K86" s="6">
        <f>IF(AND(ISNUMBER(G86),ISNUMBER(H86)),100*G86/H86,"")</f>
        <v/>
      </c>
    </row>
    <row r="87">
      <c r="A87" s="4" t="inlineStr">
        <is>
          <t>03083</t>
        </is>
      </c>
      <c r="B87" s="4" t="inlineStr">
        <is>
          <t>Xixona/Jijona</t>
        </is>
      </c>
      <c r="C87" s="4" t="n">
        <v>6882</v>
      </c>
      <c r="D87" s="4" t="n">
        <v>7667</v>
      </c>
      <c r="E87" s="4" t="n">
        <v>3.1889</v>
      </c>
      <c r="F87" s="4" t="n">
        <v>3.6184</v>
      </c>
      <c r="G87" s="4" t="n"/>
      <c r="H87" s="4" t="n">
        <v>5212</v>
      </c>
      <c r="I87" s="6">
        <f>IF(AND(ISNUMBER(D87),C87&gt;0),100*(D87/C87-1),"")</f>
        <v/>
      </c>
      <c r="J87" s="6">
        <f>IF(AND(ISNUMBER(F87),ISNUMBER(E87)),100*(F87/E87-1),"")</f>
        <v/>
      </c>
      <c r="K87" s="6">
        <f>IF(AND(ISNUMBER(G87),ISNUMBER(H87)),100*G87/H87,"")</f>
        <v/>
      </c>
    </row>
    <row r="88">
      <c r="A88" s="4" t="inlineStr">
        <is>
          <t>03084</t>
        </is>
      </c>
      <c r="B88" s="4" t="inlineStr">
        <is>
          <t>Orxa, l'/Lorcha</t>
        </is>
      </c>
      <c r="C88" s="4" t="n">
        <v>581</v>
      </c>
      <c r="D88" s="4" t="n">
        <v>591</v>
      </c>
      <c r="E88" s="4" t="n"/>
      <c r="F88" s="4" t="n"/>
      <c r="G88" s="4" t="n"/>
      <c r="H88" s="4" t="n">
        <v>498</v>
      </c>
      <c r="I88" s="6">
        <f>IF(AND(ISNUMBER(D88),C88&gt;0),100*(D88/C88-1),"")</f>
        <v/>
      </c>
      <c r="J88" s="6">
        <f>IF(AND(ISNUMBER(F88),ISNUMBER(E88)),100*(F88/E88-1),"")</f>
        <v/>
      </c>
      <c r="K88" s="6">
        <f>IF(AND(ISNUMBER(G88),ISNUMBER(H88)),100*G88/H88,"")</f>
        <v/>
      </c>
    </row>
    <row r="89">
      <c r="A89" s="4" t="inlineStr">
        <is>
          <t>03085</t>
        </is>
      </c>
      <c r="B89" s="4" t="inlineStr">
        <is>
          <t>Llíber</t>
        </is>
      </c>
      <c r="C89" s="4" t="n">
        <v>960</v>
      </c>
      <c r="D89" s="4" t="n">
        <v>952</v>
      </c>
      <c r="E89" s="4" t="n"/>
      <c r="F89" s="4" t="n"/>
      <c r="G89" s="4" t="n"/>
      <c r="H89" s="4" t="n">
        <v>798</v>
      </c>
      <c r="I89" s="6">
        <f>IF(AND(ISNUMBER(D89),C89&gt;0),100*(D89/C89-1),"")</f>
        <v/>
      </c>
      <c r="J89" s="6">
        <f>IF(AND(ISNUMBER(F89),ISNUMBER(E89)),100*(F89/E89-1),"")</f>
        <v/>
      </c>
      <c r="K89" s="6">
        <f>IF(AND(ISNUMBER(G89),ISNUMBER(H89)),100*G89/H89,"")</f>
        <v/>
      </c>
    </row>
    <row r="90">
      <c r="A90" s="4" t="inlineStr">
        <is>
          <t>03086</t>
        </is>
      </c>
      <c r="B90" s="4" t="inlineStr">
        <is>
          <t>Millena</t>
        </is>
      </c>
      <c r="C90" s="4" t="n">
        <v>243</v>
      </c>
      <c r="D90" s="4" t="n">
        <v>266</v>
      </c>
      <c r="E90" s="4" t="n"/>
      <c r="F90" s="4" t="n"/>
      <c r="G90" s="4" t="n"/>
      <c r="H90" s="4" t="n">
        <v>211</v>
      </c>
      <c r="I90" s="6">
        <f>IF(AND(ISNUMBER(D90),C90&gt;0),100*(D90/C90-1),"")</f>
        <v/>
      </c>
      <c r="J90" s="6">
        <f>IF(AND(ISNUMBER(F90),ISNUMBER(E90)),100*(F90/E90-1),"")</f>
        <v/>
      </c>
      <c r="K90" s="6">
        <f>IF(AND(ISNUMBER(G90),ISNUMBER(H90)),100*G90/H90,"")</f>
        <v/>
      </c>
    </row>
    <row r="91">
      <c r="A91" s="4" t="inlineStr">
        <is>
          <t>03088</t>
        </is>
      </c>
      <c r="B91" s="4" t="inlineStr">
        <is>
          <t>Monforte del Cid</t>
        </is>
      </c>
      <c r="C91" s="4" t="n">
        <v>8543</v>
      </c>
      <c r="D91" s="4" t="n">
        <v>9372</v>
      </c>
      <c r="E91" s="4" t="n">
        <v>3.3025</v>
      </c>
      <c r="F91" s="4" t="n">
        <v>4.0094</v>
      </c>
      <c r="G91" s="4" t="n"/>
      <c r="H91" s="4" t="n">
        <v>5019</v>
      </c>
      <c r="I91" s="6">
        <f>IF(AND(ISNUMBER(D91),C91&gt;0),100*(D91/C91-1),"")</f>
        <v/>
      </c>
      <c r="J91" s="6">
        <f>IF(AND(ISNUMBER(F91),ISNUMBER(E91)),100*(F91/E91-1),"")</f>
        <v/>
      </c>
      <c r="K91" s="6">
        <f>IF(AND(ISNUMBER(G91),ISNUMBER(H91)),100*G91/H91,"")</f>
        <v/>
      </c>
    </row>
    <row r="92">
      <c r="A92" s="4" t="inlineStr">
        <is>
          <t>03089</t>
        </is>
      </c>
      <c r="B92" s="4" t="inlineStr">
        <is>
          <t>Monòver/Monóvar</t>
        </is>
      </c>
      <c r="C92" s="4" t="n">
        <v>12185</v>
      </c>
      <c r="D92" s="4" t="n">
        <v>13098</v>
      </c>
      <c r="E92" s="4" t="n">
        <v>2.8269</v>
      </c>
      <c r="F92" s="4" t="n">
        <v>3.3333</v>
      </c>
      <c r="G92" s="4" t="n"/>
      <c r="H92" s="4" t="n">
        <v>8026</v>
      </c>
      <c r="I92" s="6">
        <f>IF(AND(ISNUMBER(D92),C92&gt;0),100*(D92/C92-1),"")</f>
        <v/>
      </c>
      <c r="J92" s="6">
        <f>IF(AND(ISNUMBER(F92),ISNUMBER(E92)),100*(F92/E92-1),"")</f>
        <v/>
      </c>
      <c r="K92" s="6">
        <f>IF(AND(ISNUMBER(G92),ISNUMBER(H92)),100*G92/H92,"")</f>
        <v/>
      </c>
    </row>
    <row r="93">
      <c r="A93" s="4" t="inlineStr">
        <is>
          <t>03090</t>
        </is>
      </c>
      <c r="B93" s="4" t="inlineStr">
        <is>
          <t>Mutxamel</t>
        </is>
      </c>
      <c r="C93" s="4" t="n">
        <v>25798</v>
      </c>
      <c r="D93" s="4" t="n">
        <v>28689</v>
      </c>
      <c r="E93" s="4" t="n">
        <v>4.717</v>
      </c>
      <c r="F93" s="4" t="n">
        <v>6.3492</v>
      </c>
      <c r="G93" s="4" t="n"/>
      <c r="H93" s="4" t="n">
        <v>12230</v>
      </c>
      <c r="I93" s="6">
        <f>IF(AND(ISNUMBER(D93),C93&gt;0),100*(D93/C93-1),"")</f>
        <v/>
      </c>
      <c r="J93" s="6">
        <f>IF(AND(ISNUMBER(F93),ISNUMBER(E93)),100*(F93/E93-1),"")</f>
        <v/>
      </c>
      <c r="K93" s="6">
        <f>IF(AND(ISNUMBER(G93),ISNUMBER(H93)),100*G93/H93,"")</f>
        <v/>
      </c>
    </row>
    <row r="94">
      <c r="A94" s="4" t="inlineStr">
        <is>
          <t>03091</t>
        </is>
      </c>
      <c r="B94" s="4" t="inlineStr">
        <is>
          <t>Murla</t>
        </is>
      </c>
      <c r="C94" s="4" t="n">
        <v>533</v>
      </c>
      <c r="D94" s="4" t="n">
        <v>574</v>
      </c>
      <c r="E94" s="4" t="n"/>
      <c r="F94" s="4" t="n"/>
      <c r="G94" s="4" t="n"/>
      <c r="H94" s="4" t="n">
        <v>428</v>
      </c>
      <c r="I94" s="6">
        <f>IF(AND(ISNUMBER(D94),C94&gt;0),100*(D94/C94-1),"")</f>
        <v/>
      </c>
      <c r="J94" s="6">
        <f>IF(AND(ISNUMBER(F94),ISNUMBER(E94)),100*(F94/E94-1),"")</f>
        <v/>
      </c>
      <c r="K94" s="6">
        <f>IF(AND(ISNUMBER(G94),ISNUMBER(H94)),100*G94/H94,"")</f>
        <v/>
      </c>
    </row>
    <row r="95">
      <c r="A95" s="4" t="inlineStr">
        <is>
          <t>03092</t>
        </is>
      </c>
      <c r="B95" s="4" t="inlineStr">
        <is>
          <t>Muro de Alcoy</t>
        </is>
      </c>
      <c r="C95" s="4" t="n">
        <v>9329</v>
      </c>
      <c r="D95" s="4" t="n">
        <v>9361</v>
      </c>
      <c r="E95" s="4" t="n">
        <v>2.876</v>
      </c>
      <c r="F95" s="4" t="n">
        <v>3.3962</v>
      </c>
      <c r="G95" s="4" t="n"/>
      <c r="H95" s="4" t="n">
        <v>5033</v>
      </c>
      <c r="I95" s="6">
        <f>IF(AND(ISNUMBER(D95),C95&gt;0),100*(D95/C95-1),"")</f>
        <v/>
      </c>
      <c r="J95" s="6">
        <f>IF(AND(ISNUMBER(F95),ISNUMBER(E95)),100*(F95/E95-1),"")</f>
        <v/>
      </c>
      <c r="K95" s="6">
        <f>IF(AND(ISNUMBER(G95),ISNUMBER(H95)),100*G95/H95,"")</f>
        <v/>
      </c>
    </row>
    <row r="96">
      <c r="A96" s="4" t="inlineStr">
        <is>
          <t>03093</t>
        </is>
      </c>
      <c r="B96" s="4" t="inlineStr">
        <is>
          <t>Novelda</t>
        </is>
      </c>
      <c r="C96" s="4" t="n">
        <v>25578</v>
      </c>
      <c r="D96" s="4" t="n">
        <v>26612</v>
      </c>
      <c r="E96" s="4" t="n">
        <v>3.0672</v>
      </c>
      <c r="F96" s="4" t="n">
        <v>3.916</v>
      </c>
      <c r="G96" s="4" t="n"/>
      <c r="H96" s="4" t="n">
        <v>13569</v>
      </c>
      <c r="I96" s="6">
        <f>IF(AND(ISNUMBER(D96),C96&gt;0),100*(D96/C96-1),"")</f>
        <v/>
      </c>
      <c r="J96" s="6">
        <f>IF(AND(ISNUMBER(F96),ISNUMBER(E96)),100*(F96/E96-1),"")</f>
        <v/>
      </c>
      <c r="K96" s="6">
        <f>IF(AND(ISNUMBER(G96),ISNUMBER(H96)),100*G96/H96,"")</f>
        <v/>
      </c>
    </row>
    <row r="97">
      <c r="A97" s="4" t="inlineStr">
        <is>
          <t>03094</t>
        </is>
      </c>
      <c r="B97" s="4" t="inlineStr">
        <is>
          <t>Nucia, la</t>
        </is>
      </c>
      <c r="C97" s="4" t="n">
        <v>18180</v>
      </c>
      <c r="D97" s="4" t="n">
        <v>19329</v>
      </c>
      <c r="E97" s="4" t="n">
        <v>4.7619</v>
      </c>
      <c r="F97" s="4" t="n">
        <v>5.5346</v>
      </c>
      <c r="G97" s="4" t="n"/>
      <c r="H97" s="4" t="n">
        <v>9037</v>
      </c>
      <c r="I97" s="6">
        <f>IF(AND(ISNUMBER(D97),C97&gt;0),100*(D97/C97-1),"")</f>
        <v/>
      </c>
      <c r="J97" s="6">
        <f>IF(AND(ISNUMBER(F97),ISNUMBER(E97)),100*(F97/E97-1),"")</f>
        <v/>
      </c>
      <c r="K97" s="6">
        <f>IF(AND(ISNUMBER(G97),ISNUMBER(H97)),100*G97/H97,"")</f>
        <v/>
      </c>
    </row>
    <row r="98">
      <c r="A98" s="4" t="inlineStr">
        <is>
          <t>03095</t>
        </is>
      </c>
      <c r="B98" s="4" t="inlineStr">
        <is>
          <t>Ondara</t>
        </is>
      </c>
      <c r="C98" s="4" t="n">
        <v>7082</v>
      </c>
      <c r="D98" s="4" t="n">
        <v>7729</v>
      </c>
      <c r="E98" s="4" t="n">
        <v>3.6957</v>
      </c>
      <c r="F98" s="4" t="n">
        <v>4.853</v>
      </c>
      <c r="G98" s="4" t="n"/>
      <c r="H98" s="4" t="n">
        <v>3178</v>
      </c>
      <c r="I98" s="6">
        <f>IF(AND(ISNUMBER(D98),C98&gt;0),100*(D98/C98-1),"")</f>
        <v/>
      </c>
      <c r="J98" s="6">
        <f>IF(AND(ISNUMBER(F98),ISNUMBER(E98)),100*(F98/E98-1),"")</f>
        <v/>
      </c>
      <c r="K98" s="6">
        <f>IF(AND(ISNUMBER(G98),ISNUMBER(H98)),100*G98/H98,"")</f>
        <v/>
      </c>
    </row>
    <row r="99">
      <c r="A99" s="4" t="inlineStr">
        <is>
          <t>03096</t>
        </is>
      </c>
      <c r="B99" s="4" t="inlineStr">
        <is>
          <t>Onil</t>
        </is>
      </c>
      <c r="C99" s="4" t="n">
        <v>7612</v>
      </c>
      <c r="D99" s="4" t="n">
        <v>8145</v>
      </c>
      <c r="E99" s="4" t="n">
        <v>2.831</v>
      </c>
      <c r="F99" s="4" t="n">
        <v>3.7779</v>
      </c>
      <c r="G99" s="4" t="n"/>
      <c r="H99" s="4" t="n">
        <v>3790</v>
      </c>
      <c r="I99" s="6">
        <f>IF(AND(ISNUMBER(D99),C99&gt;0),100*(D99/C99-1),"")</f>
        <v/>
      </c>
      <c r="J99" s="6">
        <f>IF(AND(ISNUMBER(F99),ISNUMBER(E99)),100*(F99/E99-1),"")</f>
        <v/>
      </c>
      <c r="K99" s="6">
        <f>IF(AND(ISNUMBER(G99),ISNUMBER(H99)),100*G99/H99,"")</f>
        <v/>
      </c>
    </row>
    <row r="100">
      <c r="A100" s="4" t="inlineStr">
        <is>
          <t>03097</t>
        </is>
      </c>
      <c r="B100" s="4" t="inlineStr">
        <is>
          <t>Orba</t>
        </is>
      </c>
      <c r="C100" s="4" t="n">
        <v>2288</v>
      </c>
      <c r="D100" s="4" t="n">
        <v>2402</v>
      </c>
      <c r="E100" s="4" t="n">
        <v>3.1818</v>
      </c>
      <c r="F100" s="4" t="n">
        <v>4.1625</v>
      </c>
      <c r="G100" s="4" t="n"/>
      <c r="H100" s="4" t="n">
        <v>1754</v>
      </c>
      <c r="I100" s="6">
        <f>IF(AND(ISNUMBER(D100),C100&gt;0),100*(D100/C100-1),"")</f>
        <v/>
      </c>
      <c r="J100" s="6">
        <f>IF(AND(ISNUMBER(F100),ISNUMBER(E100)),100*(F100/E100-1),"")</f>
        <v/>
      </c>
      <c r="K100" s="6">
        <f>IF(AND(ISNUMBER(G100),ISNUMBER(H100)),100*G100/H100,"")</f>
        <v/>
      </c>
    </row>
    <row r="101">
      <c r="A101" s="4" t="inlineStr">
        <is>
          <t>03098</t>
        </is>
      </c>
      <c r="B101" s="4" t="inlineStr">
        <is>
          <t>Orxeta</t>
        </is>
      </c>
      <c r="C101" s="4" t="n">
        <v>821</v>
      </c>
      <c r="D101" s="4" t="n">
        <v>934</v>
      </c>
      <c r="E101" s="4" t="n">
        <v>3.4427</v>
      </c>
      <c r="F101" s="4" t="n">
        <v>4.6921</v>
      </c>
      <c r="G101" s="4" t="n"/>
      <c r="H101" s="4" t="n">
        <v>789</v>
      </c>
      <c r="I101" s="6">
        <f>IF(AND(ISNUMBER(D101),C101&gt;0),100*(D101/C101-1),"")</f>
        <v/>
      </c>
      <c r="J101" s="6">
        <f>IF(AND(ISNUMBER(F101),ISNUMBER(E101)),100*(F101/E101-1),"")</f>
        <v/>
      </c>
      <c r="K101" s="6">
        <f>IF(AND(ISNUMBER(G101),ISNUMBER(H101)),100*G101/H101,"")</f>
        <v/>
      </c>
    </row>
    <row r="102">
      <c r="A102" s="4" t="inlineStr">
        <is>
          <t>03099</t>
        </is>
      </c>
      <c r="B102" s="4" t="inlineStr">
        <is>
          <t>Orihuela</t>
        </is>
      </c>
      <c r="C102" s="4" t="n">
        <v>78486</v>
      </c>
      <c r="D102" s="4" t="n">
        <v>84279</v>
      </c>
      <c r="E102" s="4" t="n">
        <v>3.7037</v>
      </c>
      <c r="F102" s="4" t="n">
        <v>4.8866</v>
      </c>
      <c r="G102" s="4" t="n"/>
      <c r="H102" s="4" t="n">
        <v>90306</v>
      </c>
      <c r="I102" s="6">
        <f>IF(AND(ISNUMBER(D102),C102&gt;0),100*(D102/C102-1),"")</f>
        <v/>
      </c>
      <c r="J102" s="6">
        <f>IF(AND(ISNUMBER(F102),ISNUMBER(E102)),100*(F102/E102-1),"")</f>
        <v/>
      </c>
      <c r="K102" s="6">
        <f>IF(AND(ISNUMBER(G102),ISNUMBER(H102)),100*G102/H102,"")</f>
        <v/>
      </c>
    </row>
    <row r="103">
      <c r="A103" s="4" t="inlineStr">
        <is>
          <t>03100</t>
        </is>
      </c>
      <c r="B103" s="4" t="inlineStr">
        <is>
          <t>Parcent</t>
        </is>
      </c>
      <c r="C103" s="4" t="n">
        <v>1004</v>
      </c>
      <c r="D103" s="4" t="n">
        <v>1049</v>
      </c>
      <c r="E103" s="4" t="n"/>
      <c r="F103" s="4" t="n"/>
      <c r="G103" s="4" t="n"/>
      <c r="H103" s="4" t="n">
        <v>830</v>
      </c>
      <c r="I103" s="6">
        <f>IF(AND(ISNUMBER(D103),C103&gt;0),100*(D103/C103-1),"")</f>
        <v/>
      </c>
      <c r="J103" s="6">
        <f>IF(AND(ISNUMBER(F103),ISNUMBER(E103)),100*(F103/E103-1),"")</f>
        <v/>
      </c>
      <c r="K103" s="6">
        <f>IF(AND(ISNUMBER(G103),ISNUMBER(H103)),100*G103/H103,"")</f>
        <v/>
      </c>
    </row>
    <row r="104">
      <c r="A104" s="4" t="inlineStr">
        <is>
          <t>03101</t>
        </is>
      </c>
      <c r="B104" s="4" t="inlineStr">
        <is>
          <t>Pedreguer</t>
        </is>
      </c>
      <c r="C104" s="4" t="n">
        <v>7968</v>
      </c>
      <c r="D104" s="4" t="n">
        <v>8843</v>
      </c>
      <c r="E104" s="4" t="n">
        <v>3.6996</v>
      </c>
      <c r="F104" s="4" t="n">
        <v>4.7297</v>
      </c>
      <c r="G104" s="4" t="n"/>
      <c r="H104" s="4" t="n">
        <v>4879</v>
      </c>
      <c r="I104" s="6">
        <f>IF(AND(ISNUMBER(D104),C104&gt;0),100*(D104/C104-1),"")</f>
        <v/>
      </c>
      <c r="J104" s="6">
        <f>IF(AND(ISNUMBER(F104),ISNUMBER(E104)),100*(F104/E104-1),"")</f>
        <v/>
      </c>
      <c r="K104" s="6">
        <f>IF(AND(ISNUMBER(G104),ISNUMBER(H104)),100*G104/H104,"")</f>
        <v/>
      </c>
    </row>
    <row r="105">
      <c r="A105" s="4" t="inlineStr">
        <is>
          <t>03102</t>
        </is>
      </c>
      <c r="B105" s="4" t="inlineStr">
        <is>
          <t>Pego</t>
        </is>
      </c>
      <c r="C105" s="4" t="n">
        <v>10247</v>
      </c>
      <c r="D105" s="4" t="n">
        <v>10852</v>
      </c>
      <c r="E105" s="4" t="n">
        <v>2.9126</v>
      </c>
      <c r="F105" s="4" t="n">
        <v>4.2492</v>
      </c>
      <c r="G105" s="4" t="n"/>
      <c r="H105" s="4" t="n">
        <v>6193</v>
      </c>
      <c r="I105" s="6">
        <f>IF(AND(ISNUMBER(D105),C105&gt;0),100*(D105/C105-1),"")</f>
        <v/>
      </c>
      <c r="J105" s="6">
        <f>IF(AND(ISNUMBER(F105),ISNUMBER(E105)),100*(F105/E105-1),"")</f>
        <v/>
      </c>
      <c r="K105" s="6">
        <f>IF(AND(ISNUMBER(G105),ISNUMBER(H105)),100*G105/H105,"")</f>
        <v/>
      </c>
    </row>
    <row r="106">
      <c r="A106" s="4" t="inlineStr">
        <is>
          <t>03103</t>
        </is>
      </c>
      <c r="B106" s="4" t="inlineStr">
        <is>
          <t>Penàguila</t>
        </is>
      </c>
      <c r="C106" s="4" t="n">
        <v>278</v>
      </c>
      <c r="D106" s="4" t="n">
        <v>305</v>
      </c>
      <c r="E106" s="4" t="n"/>
      <c r="F106" s="4" t="n"/>
      <c r="G106" s="4" t="n"/>
      <c r="H106" s="4" t="n">
        <v>369</v>
      </c>
      <c r="I106" s="6">
        <f>IF(AND(ISNUMBER(D106),C106&gt;0),100*(D106/C106-1),"")</f>
        <v/>
      </c>
      <c r="J106" s="6">
        <f>IF(AND(ISNUMBER(F106),ISNUMBER(E106)),100*(F106/E106-1),"")</f>
        <v/>
      </c>
      <c r="K106" s="6">
        <f>IF(AND(ISNUMBER(G106),ISNUMBER(H106)),100*G106/H106,"")</f>
        <v/>
      </c>
    </row>
    <row r="107">
      <c r="A107" s="4" t="inlineStr">
        <is>
          <t>03104</t>
        </is>
      </c>
      <c r="B107" s="4" t="inlineStr">
        <is>
          <t>Petrer</t>
        </is>
      </c>
      <c r="C107" s="4" t="n">
        <v>34055</v>
      </c>
      <c r="D107" s="4" t="n">
        <v>34035</v>
      </c>
      <c r="E107" s="4" t="n">
        <v>3.5044</v>
      </c>
      <c r="F107" s="4" t="n">
        <v>4.4257</v>
      </c>
      <c r="G107" s="4" t="n"/>
      <c r="H107" s="4" t="n">
        <v>16225</v>
      </c>
      <c r="I107" s="6">
        <f>IF(AND(ISNUMBER(D107),C107&gt;0),100*(D107/C107-1),"")</f>
        <v/>
      </c>
      <c r="J107" s="6">
        <f>IF(AND(ISNUMBER(F107),ISNUMBER(E107)),100*(F107/E107-1),"")</f>
        <v/>
      </c>
      <c r="K107" s="6">
        <f>IF(AND(ISNUMBER(G107),ISNUMBER(H107)),100*G107/H107,"")</f>
        <v/>
      </c>
    </row>
    <row r="108">
      <c r="A108" s="4" t="inlineStr">
        <is>
          <t>03105</t>
        </is>
      </c>
      <c r="B108" s="4" t="inlineStr">
        <is>
          <t>Pinós, el/Pinoso</t>
        </is>
      </c>
      <c r="C108" s="4" t="n">
        <v>8150</v>
      </c>
      <c r="D108" s="4" t="n">
        <v>8556</v>
      </c>
      <c r="E108" s="4" t="n">
        <v>2.585</v>
      </c>
      <c r="F108" s="4" t="n">
        <v>3.7634</v>
      </c>
      <c r="G108" s="4" t="n"/>
      <c r="H108" s="4" t="n">
        <v>5056</v>
      </c>
      <c r="I108" s="6">
        <f>IF(AND(ISNUMBER(D108),C108&gt;0),100*(D108/C108-1),"")</f>
        <v/>
      </c>
      <c r="J108" s="6">
        <f>IF(AND(ISNUMBER(F108),ISNUMBER(E108)),100*(F108/E108-1),"")</f>
        <v/>
      </c>
      <c r="K108" s="6">
        <f>IF(AND(ISNUMBER(G108),ISNUMBER(H108)),100*G108/H108,"")</f>
        <v/>
      </c>
    </row>
    <row r="109">
      <c r="A109" s="4" t="inlineStr">
        <is>
          <t>03106</t>
        </is>
      </c>
      <c r="B109" s="4" t="inlineStr">
        <is>
          <t>Planes</t>
        </is>
      </c>
      <c r="C109" s="4" t="n">
        <v>697</v>
      </c>
      <c r="D109" s="4" t="n">
        <v>705</v>
      </c>
      <c r="E109" s="4" t="n"/>
      <c r="F109" s="4" t="n"/>
      <c r="G109" s="4" t="n"/>
      <c r="H109" s="4" t="n">
        <v>605</v>
      </c>
      <c r="I109" s="6">
        <f>IF(AND(ISNUMBER(D109),C109&gt;0),100*(D109/C109-1),"")</f>
        <v/>
      </c>
      <c r="J109" s="6">
        <f>IF(AND(ISNUMBER(F109),ISNUMBER(E109)),100*(F109/E109-1),"")</f>
        <v/>
      </c>
      <c r="K109" s="6">
        <f>IF(AND(ISNUMBER(G109),ISNUMBER(H109)),100*G109/H109,"")</f>
        <v/>
      </c>
    </row>
    <row r="110">
      <c r="A110" s="4" t="inlineStr">
        <is>
          <t>03107</t>
        </is>
      </c>
      <c r="B110" s="4" t="inlineStr">
        <is>
          <t>Polop</t>
        </is>
      </c>
      <c r="C110" s="4" t="n">
        <v>5095</v>
      </c>
      <c r="D110" s="4" t="n">
        <v>5894</v>
      </c>
      <c r="E110" s="4" t="n">
        <v>4.1096</v>
      </c>
      <c r="F110" s="4" t="n">
        <v>5.0253</v>
      </c>
      <c r="G110" s="4" t="n"/>
      <c r="H110" s="4" t="n">
        <v>3621</v>
      </c>
      <c r="I110" s="6">
        <f>IF(AND(ISNUMBER(D110),C110&gt;0),100*(D110/C110-1),"")</f>
        <v/>
      </c>
      <c r="J110" s="6">
        <f>IF(AND(ISNUMBER(F110),ISNUMBER(E110)),100*(F110/E110-1),"")</f>
        <v/>
      </c>
      <c r="K110" s="6">
        <f>IF(AND(ISNUMBER(G110),ISNUMBER(H110)),100*G110/H110,"")</f>
        <v/>
      </c>
    </row>
    <row r="111">
      <c r="A111" s="4" t="inlineStr">
        <is>
          <t>03109</t>
        </is>
      </c>
      <c r="B111" s="4" t="inlineStr">
        <is>
          <t>Rafal</t>
        </is>
      </c>
      <c r="C111" s="4" t="n">
        <v>4583</v>
      </c>
      <c r="D111" s="4" t="n">
        <v>4823</v>
      </c>
      <c r="E111" s="4" t="n">
        <v>2.9447</v>
      </c>
      <c r="F111" s="4" t="n">
        <v>3.7249</v>
      </c>
      <c r="G111" s="4" t="n"/>
      <c r="H111" s="4" t="n">
        <v>2070</v>
      </c>
      <c r="I111" s="6">
        <f>IF(AND(ISNUMBER(D111),C111&gt;0),100*(D111/C111-1),"")</f>
        <v/>
      </c>
      <c r="J111" s="6">
        <f>IF(AND(ISNUMBER(F111),ISNUMBER(E111)),100*(F111/E111-1),"")</f>
        <v/>
      </c>
      <c r="K111" s="6">
        <f>IF(AND(ISNUMBER(G111),ISNUMBER(H111)),100*G111/H111,"")</f>
        <v/>
      </c>
    </row>
    <row r="112">
      <c r="A112" s="4" t="inlineStr">
        <is>
          <t>03110</t>
        </is>
      </c>
      <c r="B112" s="4" t="inlineStr">
        <is>
          <t>Ràfol d'Almúnia, el</t>
        </is>
      </c>
      <c r="C112" s="4" t="n">
        <v>674</v>
      </c>
      <c r="D112" s="4" t="n">
        <v>742</v>
      </c>
      <c r="E112" s="4" t="n"/>
      <c r="F112" s="4" t="n"/>
      <c r="G112" s="4" t="n"/>
      <c r="H112" s="4" t="n">
        <v>678</v>
      </c>
      <c r="I112" s="6">
        <f>IF(AND(ISNUMBER(D112),C112&gt;0),100*(D112/C112-1),"")</f>
        <v/>
      </c>
      <c r="J112" s="6">
        <f>IF(AND(ISNUMBER(F112),ISNUMBER(E112)),100*(F112/E112-1),"")</f>
        <v/>
      </c>
      <c r="K112" s="6">
        <f>IF(AND(ISNUMBER(G112),ISNUMBER(H112)),100*G112/H112,"")</f>
        <v/>
      </c>
    </row>
    <row r="113">
      <c r="A113" s="4" t="inlineStr">
        <is>
          <t>03111</t>
        </is>
      </c>
      <c r="B113" s="4" t="inlineStr">
        <is>
          <t>Redován</t>
        </is>
      </c>
      <c r="C113" s="4" t="n">
        <v>8025</v>
      </c>
      <c r="D113" s="4" t="n">
        <v>8310</v>
      </c>
      <c r="E113" s="4" t="n">
        <v>2.9126</v>
      </c>
      <c r="F113" s="4" t="n">
        <v>3.4697</v>
      </c>
      <c r="G113" s="4" t="n"/>
      <c r="H113" s="4" t="n">
        <v>3437</v>
      </c>
      <c r="I113" s="6">
        <f>IF(AND(ISNUMBER(D113),C113&gt;0),100*(D113/C113-1),"")</f>
        <v/>
      </c>
      <c r="J113" s="6">
        <f>IF(AND(ISNUMBER(F113),ISNUMBER(E113)),100*(F113/E113-1),"")</f>
        <v/>
      </c>
      <c r="K113" s="6">
        <f>IF(AND(ISNUMBER(G113),ISNUMBER(H113)),100*G113/H113,"")</f>
        <v/>
      </c>
    </row>
    <row r="114">
      <c r="A114" s="4" t="inlineStr">
        <is>
          <t>03112</t>
        </is>
      </c>
      <c r="B114" s="4" t="inlineStr">
        <is>
          <t>Relleu</t>
        </is>
      </c>
      <c r="C114" s="4" t="n">
        <v>1184</v>
      </c>
      <c r="D114" s="4" t="n">
        <v>1373</v>
      </c>
      <c r="E114" s="4" t="n"/>
      <c r="F114" s="4" t="n"/>
      <c r="G114" s="4" t="n"/>
      <c r="H114" s="4" t="n">
        <v>1296</v>
      </c>
      <c r="I114" s="6">
        <f>IF(AND(ISNUMBER(D114),C114&gt;0),100*(D114/C114-1),"")</f>
        <v/>
      </c>
      <c r="J114" s="6">
        <f>IF(AND(ISNUMBER(F114),ISNUMBER(E114)),100*(F114/E114-1),"")</f>
        <v/>
      </c>
      <c r="K114" s="6">
        <f>IF(AND(ISNUMBER(G114),ISNUMBER(H114)),100*G114/H114,"")</f>
        <v/>
      </c>
    </row>
    <row r="115">
      <c r="A115" s="4" t="inlineStr">
        <is>
          <t>03113</t>
        </is>
      </c>
      <c r="B115" s="4" t="inlineStr">
        <is>
          <t>Rojales</t>
        </is>
      </c>
      <c r="C115" s="4" t="n">
        <v>16295</v>
      </c>
      <c r="D115" s="4" t="n">
        <v>17488</v>
      </c>
      <c r="E115" s="4" t="n">
        <v>4.6453</v>
      </c>
      <c r="F115" s="4" t="n">
        <v>5.887</v>
      </c>
      <c r="G115" s="4" t="n"/>
      <c r="H115" s="4" t="n">
        <v>16030</v>
      </c>
      <c r="I115" s="6">
        <f>IF(AND(ISNUMBER(D115),C115&gt;0),100*(D115/C115-1),"")</f>
        <v/>
      </c>
      <c r="J115" s="6">
        <f>IF(AND(ISNUMBER(F115),ISNUMBER(E115)),100*(F115/E115-1),"")</f>
        <v/>
      </c>
      <c r="K115" s="6">
        <f>IF(AND(ISNUMBER(G115),ISNUMBER(H115)),100*G115/H115,"")</f>
        <v/>
      </c>
    </row>
    <row r="116">
      <c r="A116" s="4" t="inlineStr">
        <is>
          <t>03114</t>
        </is>
      </c>
      <c r="B116" s="4" t="inlineStr">
        <is>
          <t>Romana, la</t>
        </is>
      </c>
      <c r="C116" s="4" t="n">
        <v>2530</v>
      </c>
      <c r="D116" s="4" t="n">
        <v>2766</v>
      </c>
      <c r="E116" s="4" t="n"/>
      <c r="F116" s="4" t="n"/>
      <c r="G116" s="4" t="n"/>
      <c r="H116" s="4" t="n">
        <v>1849</v>
      </c>
      <c r="I116" s="6">
        <f>IF(AND(ISNUMBER(D116),C116&gt;0),100*(D116/C116-1),"")</f>
        <v/>
      </c>
      <c r="J116" s="6">
        <f>IF(AND(ISNUMBER(F116),ISNUMBER(E116)),100*(F116/E116-1),"")</f>
        <v/>
      </c>
      <c r="K116" s="6">
        <f>IF(AND(ISNUMBER(G116),ISNUMBER(H116)),100*G116/H116,"")</f>
        <v/>
      </c>
    </row>
    <row r="117">
      <c r="A117" s="4" t="inlineStr">
        <is>
          <t>03115</t>
        </is>
      </c>
      <c r="B117" s="4" t="inlineStr">
        <is>
          <t>Sagra</t>
        </is>
      </c>
      <c r="C117" s="4" t="n">
        <v>427</v>
      </c>
      <c r="D117" s="4" t="n">
        <v>443</v>
      </c>
      <c r="E117" s="4" t="n"/>
      <c r="F117" s="4" t="n"/>
      <c r="G117" s="4" t="n"/>
      <c r="H117" s="4" t="n">
        <v>296</v>
      </c>
      <c r="I117" s="6">
        <f>IF(AND(ISNUMBER(D117),C117&gt;0),100*(D117/C117-1),"")</f>
        <v/>
      </c>
      <c r="J117" s="6">
        <f>IF(AND(ISNUMBER(F117),ISNUMBER(E117)),100*(F117/E117-1),"")</f>
        <v/>
      </c>
      <c r="K117" s="6">
        <f>IF(AND(ISNUMBER(G117),ISNUMBER(H117)),100*G117/H117,"")</f>
        <v/>
      </c>
    </row>
    <row r="118">
      <c r="A118" s="4" t="inlineStr">
        <is>
          <t>03116</t>
        </is>
      </c>
      <c r="B118" s="4" t="inlineStr">
        <is>
          <t>Salinas</t>
        </is>
      </c>
      <c r="C118" s="4" t="n">
        <v>1643</v>
      </c>
      <c r="D118" s="4" t="n">
        <v>1822</v>
      </c>
      <c r="E118" s="4" t="n"/>
      <c r="F118" s="4" t="n"/>
      <c r="G118" s="4" t="n"/>
      <c r="H118" s="4" t="n">
        <v>1132</v>
      </c>
      <c r="I118" s="6">
        <f>IF(AND(ISNUMBER(D118),C118&gt;0),100*(D118/C118-1),"")</f>
        <v/>
      </c>
      <c r="J118" s="6">
        <f>IF(AND(ISNUMBER(F118),ISNUMBER(E118)),100*(F118/E118-1),"")</f>
        <v/>
      </c>
      <c r="K118" s="6">
        <f>IF(AND(ISNUMBER(G118),ISNUMBER(H118)),100*G118/H118,"")</f>
        <v/>
      </c>
    </row>
    <row r="119">
      <c r="A119" s="4" t="inlineStr">
        <is>
          <t>03117</t>
        </is>
      </c>
      <c r="B119" s="4" t="inlineStr">
        <is>
          <t>Sanet y Negrals</t>
        </is>
      </c>
      <c r="C119" s="4" t="n">
        <v>692</v>
      </c>
      <c r="D119" s="4" t="n">
        <v>721</v>
      </c>
      <c r="E119" s="4" t="n"/>
      <c r="F119" s="4" t="n"/>
      <c r="G119" s="4" t="n"/>
      <c r="H119" s="4" t="n">
        <v>553</v>
      </c>
      <c r="I119" s="6">
        <f>IF(AND(ISNUMBER(D119),C119&gt;0),100*(D119/C119-1),"")</f>
        <v/>
      </c>
      <c r="J119" s="6">
        <f>IF(AND(ISNUMBER(F119),ISNUMBER(E119)),100*(F119/E119-1),"")</f>
        <v/>
      </c>
      <c r="K119" s="6">
        <f>IF(AND(ISNUMBER(G119),ISNUMBER(H119)),100*G119/H119,"")</f>
        <v/>
      </c>
    </row>
    <row r="120">
      <c r="A120" s="4" t="inlineStr">
        <is>
          <t>03118</t>
        </is>
      </c>
      <c r="B120" s="4" t="inlineStr">
        <is>
          <t>San Fulgencio</t>
        </is>
      </c>
      <c r="C120" s="4" t="n">
        <v>8823</v>
      </c>
      <c r="D120" s="4" t="n">
        <v>9906</v>
      </c>
      <c r="E120" s="4" t="n"/>
      <c r="F120" s="4" t="n">
        <v>4.0123</v>
      </c>
      <c r="G120" s="4" t="n"/>
      <c r="H120" s="4" t="n">
        <v>10435</v>
      </c>
      <c r="I120" s="6">
        <f>IF(AND(ISNUMBER(D120),C120&gt;0),100*(D120/C120-1),"")</f>
        <v/>
      </c>
      <c r="J120" s="6">
        <f>IF(AND(ISNUMBER(F120),ISNUMBER(E120)),100*(F120/E120-1),"")</f>
        <v/>
      </c>
      <c r="K120" s="6">
        <f>IF(AND(ISNUMBER(G120),ISNUMBER(H120)),100*G120/H120,"")</f>
        <v/>
      </c>
    </row>
    <row r="121">
      <c r="A121" s="4" t="inlineStr">
        <is>
          <t>03119</t>
        </is>
      </c>
      <c r="B121" s="4" t="inlineStr">
        <is>
          <t>Sant Joan d'Alacant</t>
        </is>
      </c>
      <c r="C121" s="4" t="n">
        <v>24354</v>
      </c>
      <c r="D121" s="4" t="n">
        <v>26772</v>
      </c>
      <c r="E121" s="4" t="n">
        <v>4.8507</v>
      </c>
      <c r="F121" s="4" t="n">
        <v>6.3641</v>
      </c>
      <c r="G121" s="4" t="n"/>
      <c r="H121" s="4" t="n">
        <v>12261</v>
      </c>
      <c r="I121" s="6">
        <f>IF(AND(ISNUMBER(D121),C121&gt;0),100*(D121/C121-1),"")</f>
        <v/>
      </c>
      <c r="J121" s="6">
        <f>IF(AND(ISNUMBER(F121),ISNUMBER(E121)),100*(F121/E121-1),"")</f>
        <v/>
      </c>
      <c r="K121" s="6">
        <f>IF(AND(ISNUMBER(G121),ISNUMBER(H121)),100*G121/H121,"")</f>
        <v/>
      </c>
    </row>
    <row r="122">
      <c r="A122" s="4" t="inlineStr">
        <is>
          <t>03120</t>
        </is>
      </c>
      <c r="B122" s="4" t="inlineStr">
        <is>
          <t>San Miguel de Salinas</t>
        </is>
      </c>
      <c r="C122" s="4" t="n">
        <v>6662</v>
      </c>
      <c r="D122" s="4" t="n">
        <v>7364</v>
      </c>
      <c r="E122" s="4" t="n">
        <v>2.9126</v>
      </c>
      <c r="F122" s="4" t="n">
        <v>4.4944</v>
      </c>
      <c r="G122" s="4" t="n"/>
      <c r="H122" s="4" t="n">
        <v>5919</v>
      </c>
      <c r="I122" s="6">
        <f>IF(AND(ISNUMBER(D122),C122&gt;0),100*(D122/C122-1),"")</f>
        <v/>
      </c>
      <c r="J122" s="6">
        <f>IF(AND(ISNUMBER(F122),ISNUMBER(E122)),100*(F122/E122-1),"")</f>
        <v/>
      </c>
      <c r="K122" s="6">
        <f>IF(AND(ISNUMBER(G122),ISNUMBER(H122)),100*G122/H122,"")</f>
        <v/>
      </c>
    </row>
    <row r="123">
      <c r="A123" s="4" t="inlineStr">
        <is>
          <t>03121</t>
        </is>
      </c>
      <c r="B123" s="4" t="inlineStr">
        <is>
          <t>Santa Pola</t>
        </is>
      </c>
      <c r="C123" s="4" t="n">
        <v>34453</v>
      </c>
      <c r="D123" s="4" t="n">
        <v>39622</v>
      </c>
      <c r="E123" s="4" t="n">
        <v>5.1948</v>
      </c>
      <c r="F123" s="4" t="n">
        <v>6.8182</v>
      </c>
      <c r="G123" s="4" t="n"/>
      <c r="H123" s="4" t="n">
        <v>43886</v>
      </c>
      <c r="I123" s="6">
        <f>IF(AND(ISNUMBER(D123),C123&gt;0),100*(D123/C123-1),"")</f>
        <v/>
      </c>
      <c r="J123" s="6">
        <f>IF(AND(ISNUMBER(F123),ISNUMBER(E123)),100*(F123/E123-1),"")</f>
        <v/>
      </c>
      <c r="K123" s="6">
        <f>IF(AND(ISNUMBER(G123),ISNUMBER(H123)),100*G123/H123,"")</f>
        <v/>
      </c>
    </row>
    <row r="124">
      <c r="A124" s="4" t="inlineStr">
        <is>
          <t>03122</t>
        </is>
      </c>
      <c r="B124" s="4" t="inlineStr">
        <is>
          <t>Sant Vicent del Raspeig/San Vicente del Raspeig</t>
        </is>
      </c>
      <c r="C124" s="4" t="n">
        <v>58925</v>
      </c>
      <c r="D124" s="4" t="n">
        <v>60428</v>
      </c>
      <c r="E124" s="4" t="n">
        <v>4.9207</v>
      </c>
      <c r="F124" s="4" t="n">
        <v>6.4364</v>
      </c>
      <c r="G124" s="4" t="n"/>
      <c r="H124" s="4" t="n">
        <v>26784</v>
      </c>
      <c r="I124" s="6">
        <f>IF(AND(ISNUMBER(D124),C124&gt;0),100*(D124/C124-1),"")</f>
        <v/>
      </c>
      <c r="J124" s="6">
        <f>IF(AND(ISNUMBER(F124),ISNUMBER(E124)),100*(F124/E124-1),"")</f>
        <v/>
      </c>
      <c r="K124" s="6">
        <f>IF(AND(ISNUMBER(G124),ISNUMBER(H124)),100*G124/H124,"")</f>
        <v/>
      </c>
    </row>
    <row r="125">
      <c r="A125" s="4" t="inlineStr">
        <is>
          <t>03123</t>
        </is>
      </c>
      <c r="B125" s="4" t="inlineStr">
        <is>
          <t>Sax</t>
        </is>
      </c>
      <c r="C125" s="4" t="n">
        <v>9933</v>
      </c>
      <c r="D125" s="4" t="n">
        <v>10360</v>
      </c>
      <c r="E125" s="4" t="n">
        <v>3.1211</v>
      </c>
      <c r="F125" s="4" t="n">
        <v>3.9228</v>
      </c>
      <c r="G125" s="4" t="n"/>
      <c r="H125" s="4" t="n">
        <v>5614</v>
      </c>
      <c r="I125" s="6">
        <f>IF(AND(ISNUMBER(D125),C125&gt;0),100*(D125/C125-1),"")</f>
        <v/>
      </c>
      <c r="J125" s="6">
        <f>IF(AND(ISNUMBER(F125),ISNUMBER(E125)),100*(F125/E125-1),"")</f>
        <v/>
      </c>
      <c r="K125" s="6">
        <f>IF(AND(ISNUMBER(G125),ISNUMBER(H125)),100*G125/H125,"")</f>
        <v/>
      </c>
    </row>
    <row r="126">
      <c r="A126" s="4" t="inlineStr">
        <is>
          <t>03124</t>
        </is>
      </c>
      <c r="B126" s="4" t="inlineStr">
        <is>
          <t>Sella</t>
        </is>
      </c>
      <c r="C126" s="4" t="n">
        <v>579</v>
      </c>
      <c r="D126" s="4" t="n">
        <v>622</v>
      </c>
      <c r="E126" s="4" t="n"/>
      <c r="F126" s="4" t="n"/>
      <c r="G126" s="4" t="n"/>
      <c r="H126" s="4" t="n">
        <v>466</v>
      </c>
      <c r="I126" s="6">
        <f>IF(AND(ISNUMBER(D126),C126&gt;0),100*(D126/C126-1),"")</f>
        <v/>
      </c>
      <c r="J126" s="6">
        <f>IF(AND(ISNUMBER(F126),ISNUMBER(E126)),100*(F126/E126-1),"")</f>
        <v/>
      </c>
      <c r="K126" s="6">
        <f>IF(AND(ISNUMBER(G126),ISNUMBER(H126)),100*G126/H126,"")</f>
        <v/>
      </c>
    </row>
    <row r="127">
      <c r="A127" s="4" t="inlineStr">
        <is>
          <t>03125</t>
        </is>
      </c>
      <c r="B127" s="4" t="inlineStr">
        <is>
          <t>Senija</t>
        </is>
      </c>
      <c r="C127" s="4" t="n">
        <v>606</v>
      </c>
      <c r="D127" s="4" t="n">
        <v>692</v>
      </c>
      <c r="E127" s="4" t="n"/>
      <c r="F127" s="4" t="n"/>
      <c r="G127" s="4" t="n"/>
      <c r="H127" s="4" t="n">
        <v>464</v>
      </c>
      <c r="I127" s="6">
        <f>IF(AND(ISNUMBER(D127),C127&gt;0),100*(D127/C127-1),"")</f>
        <v/>
      </c>
      <c r="J127" s="6">
        <f>IF(AND(ISNUMBER(F127),ISNUMBER(E127)),100*(F127/E127-1),"")</f>
        <v/>
      </c>
      <c r="K127" s="6">
        <f>IF(AND(ISNUMBER(G127),ISNUMBER(H127)),100*G127/H127,"")</f>
        <v/>
      </c>
    </row>
    <row r="128">
      <c r="A128" s="4" t="inlineStr">
        <is>
          <t>03127</t>
        </is>
      </c>
      <c r="B128" s="4" t="inlineStr">
        <is>
          <t>Tàrbena</t>
        </is>
      </c>
      <c r="C128" s="4" t="n">
        <v>634</v>
      </c>
      <c r="D128" s="4" t="n">
        <v>667</v>
      </c>
      <c r="E128" s="4" t="n"/>
      <c r="F128" s="4" t="n"/>
      <c r="G128" s="4" t="n"/>
      <c r="H128" s="4" t="n">
        <v>693</v>
      </c>
      <c r="I128" s="6">
        <f>IF(AND(ISNUMBER(D128),C128&gt;0),100*(D128/C128-1),"")</f>
        <v/>
      </c>
      <c r="J128" s="6">
        <f>IF(AND(ISNUMBER(F128),ISNUMBER(E128)),100*(F128/E128-1),"")</f>
        <v/>
      </c>
      <c r="K128" s="6">
        <f>IF(AND(ISNUMBER(G128),ISNUMBER(H128)),100*G128/H128,"")</f>
        <v/>
      </c>
    </row>
    <row r="129">
      <c r="A129" s="4" t="inlineStr">
        <is>
          <t>03128</t>
        </is>
      </c>
      <c r="B129" s="4" t="inlineStr">
        <is>
          <t>Teulada</t>
        </is>
      </c>
      <c r="C129" s="4" t="n">
        <v>11608</v>
      </c>
      <c r="D129" s="4" t="n">
        <v>12932</v>
      </c>
      <c r="E129" s="4" t="n">
        <v>4.6746</v>
      </c>
      <c r="F129" s="4" t="n">
        <v>6.4103</v>
      </c>
      <c r="G129" s="4" t="n"/>
      <c r="H129" s="4" t="n">
        <v>12089</v>
      </c>
      <c r="I129" s="6">
        <f>IF(AND(ISNUMBER(D129),C129&gt;0),100*(D129/C129-1),"")</f>
        <v/>
      </c>
      <c r="J129" s="6">
        <f>IF(AND(ISNUMBER(F129),ISNUMBER(E129)),100*(F129/E129-1),"")</f>
        <v/>
      </c>
      <c r="K129" s="6">
        <f>IF(AND(ISNUMBER(G129),ISNUMBER(H129)),100*G129/H129,"")</f>
        <v/>
      </c>
    </row>
    <row r="130">
      <c r="A130" s="4" t="inlineStr">
        <is>
          <t>03129</t>
        </is>
      </c>
      <c r="B130" s="4" t="inlineStr">
        <is>
          <t>Tibi</t>
        </is>
      </c>
      <c r="C130" s="4" t="n">
        <v>1698</v>
      </c>
      <c r="D130" s="4" t="n">
        <v>1831</v>
      </c>
      <c r="E130" s="4" t="n"/>
      <c r="F130" s="4" t="n">
        <v>4.8314</v>
      </c>
      <c r="G130" s="4" t="n"/>
      <c r="H130" s="4" t="n">
        <v>1788</v>
      </c>
      <c r="I130" s="6">
        <f>IF(AND(ISNUMBER(D130),C130&gt;0),100*(D130/C130-1),"")</f>
        <v/>
      </c>
      <c r="J130" s="6">
        <f>IF(AND(ISNUMBER(F130),ISNUMBER(E130)),100*(F130/E130-1),"")</f>
        <v/>
      </c>
      <c r="K130" s="6">
        <f>IF(AND(ISNUMBER(G130),ISNUMBER(H130)),100*G130/H130,"")</f>
        <v/>
      </c>
    </row>
    <row r="131">
      <c r="A131" s="4" t="inlineStr">
        <is>
          <t>03130</t>
        </is>
      </c>
      <c r="B131" s="4" t="inlineStr">
        <is>
          <t>Tollos</t>
        </is>
      </c>
      <c r="C131" s="4" t="n">
        <v>39</v>
      </c>
      <c r="D131" s="4" t="n">
        <v>34</v>
      </c>
      <c r="E131" s="4" t="n"/>
      <c r="F131" s="4" t="n"/>
      <c r="G131" s="4" t="n"/>
      <c r="H131" s="4" t="n">
        <v>68</v>
      </c>
      <c r="I131" s="6">
        <f>IF(AND(ISNUMBER(D131),C131&gt;0),100*(D131/C131-1),"")</f>
        <v/>
      </c>
      <c r="J131" s="6">
        <f>IF(AND(ISNUMBER(F131),ISNUMBER(E131)),100*(F131/E131-1),"")</f>
        <v/>
      </c>
      <c r="K131" s="6">
        <f>IF(AND(ISNUMBER(G131),ISNUMBER(H131)),100*G131/H131,"")</f>
        <v/>
      </c>
    </row>
    <row r="132">
      <c r="A132" s="4" t="inlineStr">
        <is>
          <t>03131</t>
        </is>
      </c>
      <c r="B132" s="4" t="inlineStr">
        <is>
          <t>Tormos</t>
        </is>
      </c>
      <c r="C132" s="4" t="n">
        <v>331</v>
      </c>
      <c r="D132" s="4" t="n">
        <v>329</v>
      </c>
      <c r="E132" s="4" t="n"/>
      <c r="F132" s="4" t="n"/>
      <c r="G132" s="4" t="n"/>
      <c r="H132" s="4" t="n">
        <v>246</v>
      </c>
      <c r="I132" s="6">
        <f>IF(AND(ISNUMBER(D132),C132&gt;0),100*(D132/C132-1),"")</f>
        <v/>
      </c>
      <c r="J132" s="6">
        <f>IF(AND(ISNUMBER(F132),ISNUMBER(E132)),100*(F132/E132-1),"")</f>
        <v/>
      </c>
      <c r="K132" s="6">
        <f>IF(AND(ISNUMBER(G132),ISNUMBER(H132)),100*G132/H132,"")</f>
        <v/>
      </c>
    </row>
    <row r="133">
      <c r="A133" s="4" t="inlineStr">
        <is>
          <t>03132</t>
        </is>
      </c>
      <c r="B133" s="4" t="inlineStr">
        <is>
          <t>Torre de les Maçanes, la/Torremanzanas</t>
        </is>
      </c>
      <c r="C133" s="4" t="n">
        <v>687</v>
      </c>
      <c r="D133" s="4" t="n">
        <v>757</v>
      </c>
      <c r="E133" s="4" t="n"/>
      <c r="F133" s="4" t="n"/>
      <c r="G133" s="4" t="n"/>
      <c r="H133" s="4" t="n">
        <v>764</v>
      </c>
      <c r="I133" s="6">
        <f>IF(AND(ISNUMBER(D133),C133&gt;0),100*(D133/C133-1),"")</f>
        <v/>
      </c>
      <c r="J133" s="6">
        <f>IF(AND(ISNUMBER(F133),ISNUMBER(E133)),100*(F133/E133-1),"")</f>
        <v/>
      </c>
      <c r="K133" s="6">
        <f>IF(AND(ISNUMBER(G133),ISNUMBER(H133)),100*G133/H133,"")</f>
        <v/>
      </c>
    </row>
    <row r="134">
      <c r="A134" s="4" t="inlineStr">
        <is>
          <t>03133</t>
        </is>
      </c>
      <c r="B134" s="4" t="inlineStr">
        <is>
          <t>Torrevieja</t>
        </is>
      </c>
      <c r="C134" s="4" t="n">
        <v>83740</v>
      </c>
      <c r="D134" s="4" t="n">
        <v>100470</v>
      </c>
      <c r="E134" s="4" t="n">
        <v>5.0856</v>
      </c>
      <c r="F134" s="4" t="n">
        <v>6.5972</v>
      </c>
      <c r="G134" s="4" t="n"/>
      <c r="H134" s="4" t="n">
        <v>124559</v>
      </c>
      <c r="I134" s="6">
        <f>IF(AND(ISNUMBER(D134),C134&gt;0),100*(D134/C134-1),"")</f>
        <v/>
      </c>
      <c r="J134" s="6">
        <f>IF(AND(ISNUMBER(F134),ISNUMBER(E134)),100*(F134/E134-1),"")</f>
        <v/>
      </c>
      <c r="K134" s="6">
        <f>IF(AND(ISNUMBER(G134),ISNUMBER(H134)),100*G134/H134,"")</f>
        <v/>
      </c>
    </row>
    <row r="135">
      <c r="A135" s="4" t="inlineStr">
        <is>
          <t>03134</t>
        </is>
      </c>
      <c r="B135" s="4" t="inlineStr">
        <is>
          <t>Vall d'Alcalà, la</t>
        </is>
      </c>
      <c r="C135" s="4" t="n">
        <v>165</v>
      </c>
      <c r="D135" s="4" t="n">
        <v>159</v>
      </c>
      <c r="E135" s="4" t="n"/>
      <c r="F135" s="4" t="n"/>
      <c r="G135" s="4" t="n"/>
      <c r="H135" s="4" t="n">
        <v>168</v>
      </c>
      <c r="I135" s="6">
        <f>IF(AND(ISNUMBER(D135),C135&gt;0),100*(D135/C135-1),"")</f>
        <v/>
      </c>
      <c r="J135" s="6">
        <f>IF(AND(ISNUMBER(F135),ISNUMBER(E135)),100*(F135/E135-1),"")</f>
        <v/>
      </c>
      <c r="K135" s="6">
        <f>IF(AND(ISNUMBER(G135),ISNUMBER(H135)),100*G135/H135,"")</f>
        <v/>
      </c>
    </row>
    <row r="136">
      <c r="A136" s="4" t="inlineStr">
        <is>
          <t>03135</t>
        </is>
      </c>
      <c r="B136" s="4" t="inlineStr">
        <is>
          <t>Vall d'Ebo, la</t>
        </is>
      </c>
      <c r="C136" s="4" t="n">
        <v>207</v>
      </c>
      <c r="D136" s="4" t="n">
        <v>231</v>
      </c>
      <c r="E136" s="4" t="n"/>
      <c r="F136" s="4" t="n"/>
      <c r="G136" s="4" t="n"/>
      <c r="H136" s="4" t="n">
        <v>235</v>
      </c>
      <c r="I136" s="6">
        <f>IF(AND(ISNUMBER(D136),C136&gt;0),100*(D136/C136-1),"")</f>
        <v/>
      </c>
      <c r="J136" s="6">
        <f>IF(AND(ISNUMBER(F136),ISNUMBER(E136)),100*(F136/E136-1),"")</f>
        <v/>
      </c>
      <c r="K136" s="6">
        <f>IF(AND(ISNUMBER(G136),ISNUMBER(H136)),100*G136/H136,"")</f>
        <v/>
      </c>
    </row>
    <row r="137">
      <c r="A137" s="4" t="inlineStr">
        <is>
          <t>03136</t>
        </is>
      </c>
      <c r="B137" s="4" t="inlineStr">
        <is>
          <t>Vall de Gallinera, la</t>
        </is>
      </c>
      <c r="C137" s="4" t="n">
        <v>505</v>
      </c>
      <c r="D137" s="4" t="n">
        <v>589</v>
      </c>
      <c r="E137" s="4" t="n"/>
      <c r="F137" s="4" t="n"/>
      <c r="G137" s="4" t="n"/>
      <c r="H137" s="4" t="n">
        <v>633</v>
      </c>
      <c r="I137" s="6">
        <f>IF(AND(ISNUMBER(D137),C137&gt;0),100*(D137/C137-1),"")</f>
        <v/>
      </c>
      <c r="J137" s="6">
        <f>IF(AND(ISNUMBER(F137),ISNUMBER(E137)),100*(F137/E137-1),"")</f>
        <v/>
      </c>
      <c r="K137" s="6">
        <f>IF(AND(ISNUMBER(G137),ISNUMBER(H137)),100*G137/H137,"")</f>
        <v/>
      </c>
    </row>
    <row r="138">
      <c r="A138" s="4" t="inlineStr">
        <is>
          <t>03137</t>
        </is>
      </c>
      <c r="B138" s="4" t="inlineStr">
        <is>
          <t>Vall de Laguar, la</t>
        </is>
      </c>
      <c r="C138" s="4" t="n">
        <v>848</v>
      </c>
      <c r="D138" s="4" t="n">
        <v>914</v>
      </c>
      <c r="E138" s="4" t="n"/>
      <c r="F138" s="4" t="n"/>
      <c r="G138" s="4" t="n"/>
      <c r="H138" s="4" t="n">
        <v>461</v>
      </c>
      <c r="I138" s="6">
        <f>IF(AND(ISNUMBER(D138),C138&gt;0),100*(D138/C138-1),"")</f>
        <v/>
      </c>
      <c r="J138" s="6">
        <f>IF(AND(ISNUMBER(F138),ISNUMBER(E138)),100*(F138/E138-1),"")</f>
        <v/>
      </c>
      <c r="K138" s="6">
        <f>IF(AND(ISNUMBER(G138),ISNUMBER(H138)),100*G138/H138,"")</f>
        <v/>
      </c>
    </row>
    <row r="139">
      <c r="A139" s="4" t="inlineStr">
        <is>
          <t>03138</t>
        </is>
      </c>
      <c r="B139" s="4" t="inlineStr">
        <is>
          <t>Verger, el</t>
        </is>
      </c>
      <c r="C139" s="4" t="n">
        <v>4856</v>
      </c>
      <c r="D139" s="4" t="n">
        <v>5560</v>
      </c>
      <c r="E139" s="4" t="n">
        <v>4.0598</v>
      </c>
      <c r="F139" s="4" t="n">
        <v>5.4369</v>
      </c>
      <c r="G139" s="4" t="n"/>
      <c r="H139" s="4" t="n">
        <v>3918</v>
      </c>
      <c r="I139" s="6">
        <f>IF(AND(ISNUMBER(D139),C139&gt;0),100*(D139/C139-1),"")</f>
        <v/>
      </c>
      <c r="J139" s="6">
        <f>IF(AND(ISNUMBER(F139),ISNUMBER(E139)),100*(F139/E139-1),"")</f>
        <v/>
      </c>
      <c r="K139" s="6">
        <f>IF(AND(ISNUMBER(G139),ISNUMBER(H139)),100*G139/H139,"")</f>
        <v/>
      </c>
    </row>
    <row r="140">
      <c r="A140" s="4" t="inlineStr">
        <is>
          <t>03139</t>
        </is>
      </c>
      <c r="B140" s="4" t="inlineStr">
        <is>
          <t>Vila Joiosa, la/Villajoyosa</t>
        </is>
      </c>
      <c r="C140" s="4" t="n">
        <v>34719</v>
      </c>
      <c r="D140" s="4" t="n">
        <v>37578</v>
      </c>
      <c r="E140" s="4" t="n">
        <v>5.3577</v>
      </c>
      <c r="F140" s="4" t="n">
        <v>6.6813</v>
      </c>
      <c r="G140" s="4" t="n"/>
      <c r="H140" s="4" t="n">
        <v>25644</v>
      </c>
      <c r="I140" s="6">
        <f>IF(AND(ISNUMBER(D140),C140&gt;0),100*(D140/C140-1),"")</f>
        <v/>
      </c>
      <c r="J140" s="6">
        <f>IF(AND(ISNUMBER(F140),ISNUMBER(E140)),100*(F140/E140-1),"")</f>
        <v/>
      </c>
      <c r="K140" s="6">
        <f>IF(AND(ISNUMBER(G140),ISNUMBER(H140)),100*G140/H140,"")</f>
        <v/>
      </c>
    </row>
    <row r="141">
      <c r="A141" s="4" t="inlineStr">
        <is>
          <t>03140</t>
        </is>
      </c>
      <c r="B141" s="4" t="inlineStr">
        <is>
          <t>Villena</t>
        </is>
      </c>
      <c r="C141" s="4" t="n">
        <v>33992</v>
      </c>
      <c r="D141" s="4" t="n">
        <v>34729</v>
      </c>
      <c r="E141" s="4" t="n">
        <v>3.1363</v>
      </c>
      <c r="F141" s="4" t="n">
        <v>3.8653</v>
      </c>
      <c r="G141" s="4" t="n"/>
      <c r="H141" s="4" t="n">
        <v>18521</v>
      </c>
      <c r="I141" s="6">
        <f>IF(AND(ISNUMBER(D141),C141&gt;0),100*(D141/C141-1),"")</f>
        <v/>
      </c>
      <c r="J141" s="6">
        <f>IF(AND(ISNUMBER(F141),ISNUMBER(E141)),100*(F141/E141-1),"")</f>
        <v/>
      </c>
      <c r="K141" s="6">
        <f>IF(AND(ISNUMBER(G141),ISNUMBER(H141)),100*G141/H141,"")</f>
        <v/>
      </c>
    </row>
    <row r="142">
      <c r="A142" s="4" t="inlineStr">
        <is>
          <t>03901</t>
        </is>
      </c>
      <c r="B142" s="4" t="inlineStr">
        <is>
          <t>Poblets, els</t>
        </is>
      </c>
      <c r="C142" s="4" t="n">
        <v>2724</v>
      </c>
      <c r="D142" s="4" t="n">
        <v>2769</v>
      </c>
      <c r="E142" s="4" t="n"/>
      <c r="F142" s="4" t="n"/>
      <c r="G142" s="4" t="n"/>
      <c r="H142" s="4" t="n">
        <v>2916</v>
      </c>
      <c r="I142" s="6">
        <f>IF(AND(ISNUMBER(D142),C142&gt;0),100*(D142/C142-1),"")</f>
        <v/>
      </c>
      <c r="J142" s="6">
        <f>IF(AND(ISNUMBER(F142),ISNUMBER(E142)),100*(F142/E142-1),"")</f>
        <v/>
      </c>
      <c r="K142" s="6">
        <f>IF(AND(ISNUMBER(G142),ISNUMBER(H142)),100*G142/H142,"")</f>
        <v/>
      </c>
    </row>
    <row r="143">
      <c r="A143" s="4" t="inlineStr">
        <is>
          <t>03902</t>
        </is>
      </c>
      <c r="B143" s="4" t="inlineStr">
        <is>
          <t>Pilar de la Horadada</t>
        </is>
      </c>
      <c r="C143" s="4" t="n">
        <v>22626</v>
      </c>
      <c r="D143" s="4" t="n">
        <v>24359</v>
      </c>
      <c r="E143" s="4" t="n">
        <v>4.0587</v>
      </c>
      <c r="F143" s="4" t="n">
        <v>5.3419</v>
      </c>
      <c r="G143" s="4" t="n"/>
      <c r="H143" s="4" t="n">
        <v>25621</v>
      </c>
      <c r="I143" s="6">
        <f>IF(AND(ISNUMBER(D143),C143&gt;0),100*(D143/C143-1),"")</f>
        <v/>
      </c>
      <c r="J143" s="6">
        <f>IF(AND(ISNUMBER(F143),ISNUMBER(E143)),100*(F143/E143-1),"")</f>
        <v/>
      </c>
      <c r="K143" s="6">
        <f>IF(AND(ISNUMBER(G143),ISNUMBER(H143)),100*G143/H143,"")</f>
        <v/>
      </c>
    </row>
    <row r="144">
      <c r="A144" s="4" t="inlineStr">
        <is>
          <t>03903</t>
        </is>
      </c>
      <c r="B144" s="4" t="inlineStr">
        <is>
          <t>Montesinos, Los</t>
        </is>
      </c>
      <c r="C144" s="4" t="n">
        <v>5115</v>
      </c>
      <c r="D144" s="4" t="n">
        <v>5759</v>
      </c>
      <c r="E144" s="4" t="n">
        <v>3.6114</v>
      </c>
      <c r="F144" s="4" t="n">
        <v>4.6729</v>
      </c>
      <c r="G144" s="4" t="n"/>
      <c r="H144" s="4" t="n">
        <v>3509</v>
      </c>
      <c r="I144" s="6">
        <f>IF(AND(ISNUMBER(D144),C144&gt;0),100*(D144/C144-1),"")</f>
        <v/>
      </c>
      <c r="J144" s="6">
        <f>IF(AND(ISNUMBER(F144),ISNUMBER(E144)),100*(F144/E144-1),"")</f>
        <v/>
      </c>
      <c r="K144" s="6">
        <f>IF(AND(ISNUMBER(G144),ISNUMBER(H144)),100*G144/H144,"")</f>
        <v/>
      </c>
    </row>
    <row r="145">
      <c r="A145" s="4" t="inlineStr">
        <is>
          <t>03904</t>
        </is>
      </c>
      <c r="B145" s="4" t="inlineStr">
        <is>
          <t>San Isidro</t>
        </is>
      </c>
      <c r="C145" s="4" t="n">
        <v>2139</v>
      </c>
      <c r="D145" s="4" t="n">
        <v>2367</v>
      </c>
      <c r="E145" s="4" t="n">
        <v>4.3791</v>
      </c>
      <c r="F145" s="4" t="n">
        <v>4.9953</v>
      </c>
      <c r="G145" s="4" t="n"/>
      <c r="H145" s="4" t="n">
        <v>1165</v>
      </c>
      <c r="I145" s="6">
        <f>IF(AND(ISNUMBER(D145),C145&gt;0),100*(D145/C145-1),"")</f>
        <v/>
      </c>
      <c r="J145" s="6">
        <f>IF(AND(ISNUMBER(F145),ISNUMBER(E145)),100*(F145/E145-1),"")</f>
        <v/>
      </c>
      <c r="K145" s="6">
        <f>IF(AND(ISNUMBER(G145),ISNUMBER(H145)),100*G145/H145,"")</f>
        <v/>
      </c>
    </row>
    <row r="146">
      <c r="A146" s="4" t="inlineStr">
        <is>
          <t>12001</t>
        </is>
      </c>
      <c r="B146" s="4" t="inlineStr">
        <is>
          <t>Atzeneta del Maestrat</t>
        </is>
      </c>
      <c r="C146" s="4" t="n">
        <v>1292</v>
      </c>
      <c r="D146" s="4" t="n">
        <v>1282</v>
      </c>
      <c r="E146" s="4" t="n"/>
      <c r="F146" s="4" t="n"/>
      <c r="G146" s="4" t="n"/>
      <c r="H146" s="4" t="n">
        <v>1240</v>
      </c>
      <c r="I146" s="6">
        <f>IF(AND(ISNUMBER(D146),C146&gt;0),100*(D146/C146-1),"")</f>
        <v/>
      </c>
      <c r="J146" s="6">
        <f>IF(AND(ISNUMBER(F146),ISNUMBER(E146)),100*(F146/E146-1),"")</f>
        <v/>
      </c>
      <c r="K146" s="6">
        <f>IF(AND(ISNUMBER(G146),ISNUMBER(H146)),100*G146/H146,"")</f>
        <v/>
      </c>
    </row>
    <row r="147">
      <c r="A147" s="4" t="inlineStr">
        <is>
          <t>12002</t>
        </is>
      </c>
      <c r="B147" s="4" t="inlineStr">
        <is>
          <t>Aín</t>
        </is>
      </c>
      <c r="C147" s="4" t="n">
        <v>136</v>
      </c>
      <c r="D147" s="4" t="n">
        <v>133</v>
      </c>
      <c r="E147" s="4" t="n"/>
      <c r="F147" s="4" t="n"/>
      <c r="G147" s="4" t="n"/>
      <c r="H147" s="4" t="n">
        <v>223</v>
      </c>
      <c r="I147" s="6">
        <f>IF(AND(ISNUMBER(D147),C147&gt;0),100*(D147/C147-1),"")</f>
        <v/>
      </c>
      <c r="J147" s="6">
        <f>IF(AND(ISNUMBER(F147),ISNUMBER(E147)),100*(F147/E147-1),"")</f>
        <v/>
      </c>
      <c r="K147" s="6">
        <f>IF(AND(ISNUMBER(G147),ISNUMBER(H147)),100*G147/H147,"")</f>
        <v/>
      </c>
    </row>
    <row r="148">
      <c r="A148" s="4" t="inlineStr">
        <is>
          <t>12003</t>
        </is>
      </c>
      <c r="B148" s="4" t="inlineStr">
        <is>
          <t>Albocàsser</t>
        </is>
      </c>
      <c r="C148" s="4" t="n">
        <v>1262</v>
      </c>
      <c r="D148" s="4" t="n">
        <v>1370</v>
      </c>
      <c r="E148" s="4" t="n">
        <v>2.6651</v>
      </c>
      <c r="F148" s="4" t="n">
        <v>5.1443</v>
      </c>
      <c r="G148" s="4" t="n"/>
      <c r="H148" s="4" t="n">
        <v>1195</v>
      </c>
      <c r="I148" s="6">
        <f>IF(AND(ISNUMBER(D148),C148&gt;0),100*(D148/C148-1),"")</f>
        <v/>
      </c>
      <c r="J148" s="6">
        <f>IF(AND(ISNUMBER(F148),ISNUMBER(E148)),100*(F148/E148-1),"")</f>
        <v/>
      </c>
      <c r="K148" s="6">
        <f>IF(AND(ISNUMBER(G148),ISNUMBER(H148)),100*G148/H148,"")</f>
        <v/>
      </c>
    </row>
    <row r="149">
      <c r="A149" s="4" t="inlineStr">
        <is>
          <t>12004</t>
        </is>
      </c>
      <c r="B149" s="4" t="inlineStr">
        <is>
          <t>Alcalà de Xivert</t>
        </is>
      </c>
      <c r="C149" s="4" t="n">
        <v>6877</v>
      </c>
      <c r="D149" s="4" t="n">
        <v>7489</v>
      </c>
      <c r="E149" s="4" t="n">
        <v>3.6585</v>
      </c>
      <c r="F149" s="4" t="n">
        <v>4.8193</v>
      </c>
      <c r="G149" s="4" t="n"/>
      <c r="H149" s="4" t="n">
        <v>13704</v>
      </c>
      <c r="I149" s="6">
        <f>IF(AND(ISNUMBER(D149),C149&gt;0),100*(D149/C149-1),"")</f>
        <v/>
      </c>
      <c r="J149" s="6">
        <f>IF(AND(ISNUMBER(F149),ISNUMBER(E149)),100*(F149/E149-1),"")</f>
        <v/>
      </c>
      <c r="K149" s="6">
        <f>IF(AND(ISNUMBER(G149),ISNUMBER(H149)),100*G149/H149,"")</f>
        <v/>
      </c>
    </row>
    <row r="150">
      <c r="A150" s="4" t="inlineStr">
        <is>
          <t>12005</t>
        </is>
      </c>
      <c r="B150" s="4" t="inlineStr">
        <is>
          <t>Alcora, l'</t>
        </is>
      </c>
      <c r="C150" s="4" t="n">
        <v>10450</v>
      </c>
      <c r="D150" s="4" t="n">
        <v>10646</v>
      </c>
      <c r="E150" s="4" t="n">
        <v>2.7027</v>
      </c>
      <c r="F150" s="4" t="n">
        <v>3.4865</v>
      </c>
      <c r="G150" s="4" t="n"/>
      <c r="H150" s="4" t="n">
        <v>6761</v>
      </c>
      <c r="I150" s="6">
        <f>IF(AND(ISNUMBER(D150),C150&gt;0),100*(D150/C150-1),"")</f>
        <v/>
      </c>
      <c r="J150" s="6">
        <f>IF(AND(ISNUMBER(F150),ISNUMBER(E150)),100*(F150/E150-1),"")</f>
        <v/>
      </c>
      <c r="K150" s="6">
        <f>IF(AND(ISNUMBER(G150),ISNUMBER(H150)),100*G150/H150,"")</f>
        <v/>
      </c>
    </row>
    <row r="151">
      <c r="A151" s="4" t="inlineStr">
        <is>
          <t>12006</t>
        </is>
      </c>
      <c r="B151" s="4" t="inlineStr">
        <is>
          <t>Alcudia de Veo</t>
        </is>
      </c>
      <c r="C151" s="4" t="n">
        <v>197</v>
      </c>
      <c r="D151" s="4" t="n">
        <v>203</v>
      </c>
      <c r="E151" s="4" t="n"/>
      <c r="F151" s="4" t="n"/>
      <c r="G151" s="4" t="n"/>
      <c r="H151" s="4" t="n">
        <v>290</v>
      </c>
      <c r="I151" s="6">
        <f>IF(AND(ISNUMBER(D151),C151&gt;0),100*(D151/C151-1),"")</f>
        <v/>
      </c>
      <c r="J151" s="6">
        <f>IF(AND(ISNUMBER(F151),ISNUMBER(E151)),100*(F151/E151-1),"")</f>
        <v/>
      </c>
      <c r="K151" s="6">
        <f>IF(AND(ISNUMBER(G151),ISNUMBER(H151)),100*G151/H151,"")</f>
        <v/>
      </c>
    </row>
    <row r="152">
      <c r="A152" s="4" t="inlineStr">
        <is>
          <t>12007</t>
        </is>
      </c>
      <c r="B152" s="4" t="inlineStr">
        <is>
          <t>Alfondeguilla</t>
        </is>
      </c>
      <c r="C152" s="4" t="n">
        <v>871</v>
      </c>
      <c r="D152" s="4" t="n">
        <v>881</v>
      </c>
      <c r="E152" s="4" t="n"/>
      <c r="F152" s="4" t="n"/>
      <c r="G152" s="4" t="n"/>
      <c r="H152" s="4" t="n">
        <v>463</v>
      </c>
      <c r="I152" s="6">
        <f>IF(AND(ISNUMBER(D152),C152&gt;0),100*(D152/C152-1),"")</f>
        <v/>
      </c>
      <c r="J152" s="6">
        <f>IF(AND(ISNUMBER(F152),ISNUMBER(E152)),100*(F152/E152-1),"")</f>
        <v/>
      </c>
      <c r="K152" s="6">
        <f>IF(AND(ISNUMBER(G152),ISNUMBER(H152)),100*G152/H152,"")</f>
        <v/>
      </c>
    </row>
    <row r="153">
      <c r="A153" s="4" t="inlineStr">
        <is>
          <t>12008</t>
        </is>
      </c>
      <c r="B153" s="4" t="inlineStr">
        <is>
          <t>Algimia de Almonacid</t>
        </is>
      </c>
      <c r="C153" s="4" t="n">
        <v>239</v>
      </c>
      <c r="D153" s="4" t="n">
        <v>251</v>
      </c>
      <c r="E153" s="4" t="n"/>
      <c r="F153" s="4" t="n"/>
      <c r="G153" s="4" t="n"/>
      <c r="H153" s="4" t="n">
        <v>390</v>
      </c>
      <c r="I153" s="6">
        <f>IF(AND(ISNUMBER(D153),C153&gt;0),100*(D153/C153-1),"")</f>
        <v/>
      </c>
      <c r="J153" s="6">
        <f>IF(AND(ISNUMBER(F153),ISNUMBER(E153)),100*(F153/E153-1),"")</f>
        <v/>
      </c>
      <c r="K153" s="6">
        <f>IF(AND(ISNUMBER(G153),ISNUMBER(H153)),100*G153/H153,"")</f>
        <v/>
      </c>
    </row>
    <row r="154">
      <c r="A154" s="4" t="inlineStr">
        <is>
          <t>12009</t>
        </is>
      </c>
      <c r="B154" s="4" t="inlineStr">
        <is>
          <t>Almassora</t>
        </is>
      </c>
      <c r="C154" s="4" t="n">
        <v>26890</v>
      </c>
      <c r="D154" s="4" t="n">
        <v>29094</v>
      </c>
      <c r="E154" s="4" t="n">
        <v>3.4884</v>
      </c>
      <c r="F154" s="4" t="n">
        <v>4.6493</v>
      </c>
      <c r="G154" s="4" t="n"/>
      <c r="H154" s="4" t="n">
        <v>15612</v>
      </c>
      <c r="I154" s="6">
        <f>IF(AND(ISNUMBER(D154),C154&gt;0),100*(D154/C154-1),"")</f>
        <v/>
      </c>
      <c r="J154" s="6">
        <f>IF(AND(ISNUMBER(F154),ISNUMBER(E154)),100*(F154/E154-1),"")</f>
        <v/>
      </c>
      <c r="K154" s="6">
        <f>IF(AND(ISNUMBER(G154),ISNUMBER(H154)),100*G154/H154,"")</f>
        <v/>
      </c>
    </row>
    <row r="155">
      <c r="A155" s="4" t="inlineStr">
        <is>
          <t>12010</t>
        </is>
      </c>
      <c r="B155" s="4" t="inlineStr">
        <is>
          <t>Almedíjar</t>
        </is>
      </c>
      <c r="C155" s="4" t="n">
        <v>254</v>
      </c>
      <c r="D155" s="4" t="n">
        <v>289</v>
      </c>
      <c r="E155" s="4" t="n"/>
      <c r="F155" s="4" t="n"/>
      <c r="G155" s="4" t="n"/>
      <c r="H155" s="4" t="n">
        <v>318</v>
      </c>
      <c r="I155" s="6">
        <f>IF(AND(ISNUMBER(D155),C155&gt;0),100*(D155/C155-1),"")</f>
        <v/>
      </c>
      <c r="J155" s="6">
        <f>IF(AND(ISNUMBER(F155),ISNUMBER(E155)),100*(F155/E155-1),"")</f>
        <v/>
      </c>
      <c r="K155" s="6">
        <f>IF(AND(ISNUMBER(G155),ISNUMBER(H155)),100*G155/H155,"")</f>
        <v/>
      </c>
    </row>
    <row r="156">
      <c r="A156" s="4" t="inlineStr">
        <is>
          <t>12011</t>
        </is>
      </c>
      <c r="B156" s="4" t="inlineStr">
        <is>
          <t>Almenara</t>
        </is>
      </c>
      <c r="C156" s="4" t="n">
        <v>6253</v>
      </c>
      <c r="D156" s="4" t="n">
        <v>6846</v>
      </c>
      <c r="E156" s="4" t="n">
        <v>4.691</v>
      </c>
      <c r="F156" s="4" t="n">
        <v>6.4455</v>
      </c>
      <c r="G156" s="4" t="n"/>
      <c r="H156" s="4" t="n">
        <v>5248</v>
      </c>
      <c r="I156" s="6">
        <f>IF(AND(ISNUMBER(D156),C156&gt;0),100*(D156/C156-1),"")</f>
        <v/>
      </c>
      <c r="J156" s="6">
        <f>IF(AND(ISNUMBER(F156),ISNUMBER(E156)),100*(F156/E156-1),"")</f>
        <v/>
      </c>
      <c r="K156" s="6">
        <f>IF(AND(ISNUMBER(G156),ISNUMBER(H156)),100*G156/H156,"")</f>
        <v/>
      </c>
    </row>
    <row r="157">
      <c r="A157" s="4" t="inlineStr">
        <is>
          <t>12012</t>
        </is>
      </c>
      <c r="B157" s="4" t="inlineStr">
        <is>
          <t>Altura</t>
        </is>
      </c>
      <c r="C157" s="4" t="n">
        <v>3676</v>
      </c>
      <c r="D157" s="4" t="n">
        <v>3912</v>
      </c>
      <c r="E157" s="4" t="n">
        <v>2.6316</v>
      </c>
      <c r="F157" s="4" t="n">
        <v>3.7504</v>
      </c>
      <c r="G157" s="4" t="n"/>
      <c r="H157" s="4" t="n">
        <v>2737</v>
      </c>
      <c r="I157" s="6">
        <f>IF(AND(ISNUMBER(D157),C157&gt;0),100*(D157/C157-1),"")</f>
        <v/>
      </c>
      <c r="J157" s="6">
        <f>IF(AND(ISNUMBER(F157),ISNUMBER(E157)),100*(F157/E157-1),"")</f>
        <v/>
      </c>
      <c r="K157" s="6">
        <f>IF(AND(ISNUMBER(G157),ISNUMBER(H157)),100*G157/H157,"")</f>
        <v/>
      </c>
    </row>
    <row r="158">
      <c r="A158" s="4" t="inlineStr">
        <is>
          <t>12013</t>
        </is>
      </c>
      <c r="B158" s="4" t="inlineStr">
        <is>
          <t>Arañuel</t>
        </is>
      </c>
      <c r="C158" s="4" t="n">
        <v>151</v>
      </c>
      <c r="D158" s="4" t="n">
        <v>149</v>
      </c>
      <c r="E158" s="4" t="n"/>
      <c r="F158" s="4" t="n"/>
      <c r="G158" s="4" t="n"/>
      <c r="H158" s="4" t="n">
        <v>318</v>
      </c>
      <c r="I158" s="6">
        <f>IF(AND(ISNUMBER(D158),C158&gt;0),100*(D158/C158-1),"")</f>
        <v/>
      </c>
      <c r="J158" s="6">
        <f>IF(AND(ISNUMBER(F158),ISNUMBER(E158)),100*(F158/E158-1),"")</f>
        <v/>
      </c>
      <c r="K158" s="6">
        <f>IF(AND(ISNUMBER(G158),ISNUMBER(H158)),100*G158/H158,"")</f>
        <v/>
      </c>
    </row>
    <row r="159">
      <c r="A159" s="4" t="inlineStr">
        <is>
          <t>12014</t>
        </is>
      </c>
      <c r="B159" s="4" t="inlineStr">
        <is>
          <t>Ares del Maestrat</t>
        </is>
      </c>
      <c r="C159" s="4" t="n">
        <v>175</v>
      </c>
      <c r="D159" s="4" t="n">
        <v>182</v>
      </c>
      <c r="E159" s="4" t="n"/>
      <c r="F159" s="4" t="n"/>
      <c r="G159" s="4" t="n"/>
      <c r="H159" s="4" t="n">
        <v>362</v>
      </c>
      <c r="I159" s="6">
        <f>IF(AND(ISNUMBER(D159),C159&gt;0),100*(D159/C159-1),"")</f>
        <v/>
      </c>
      <c r="J159" s="6">
        <f>IF(AND(ISNUMBER(F159),ISNUMBER(E159)),100*(F159/E159-1),"")</f>
        <v/>
      </c>
      <c r="K159" s="6">
        <f>IF(AND(ISNUMBER(G159),ISNUMBER(H159)),100*G159/H159,"")</f>
        <v/>
      </c>
    </row>
    <row r="160">
      <c r="A160" s="4" t="inlineStr">
        <is>
          <t>12015</t>
        </is>
      </c>
      <c r="B160" s="4" t="inlineStr">
        <is>
          <t>Argelita</t>
        </is>
      </c>
      <c r="C160" s="4" t="n">
        <v>147</v>
      </c>
      <c r="D160" s="4" t="n">
        <v>142</v>
      </c>
      <c r="E160" s="4" t="n"/>
      <c r="F160" s="4" t="n"/>
      <c r="G160" s="4" t="n"/>
      <c r="H160" s="4" t="n">
        <v>212</v>
      </c>
      <c r="I160" s="6">
        <f>IF(AND(ISNUMBER(D160),C160&gt;0),100*(D160/C160-1),"")</f>
        <v/>
      </c>
      <c r="J160" s="6">
        <f>IF(AND(ISNUMBER(F160),ISNUMBER(E160)),100*(F160/E160-1),"")</f>
        <v/>
      </c>
      <c r="K160" s="6">
        <f>IF(AND(ISNUMBER(G160),ISNUMBER(H160)),100*G160/H160,"")</f>
        <v/>
      </c>
    </row>
    <row r="161">
      <c r="A161" s="4" t="inlineStr">
        <is>
          <t>12016</t>
        </is>
      </c>
      <c r="B161" s="4" t="inlineStr">
        <is>
          <t>Artana</t>
        </is>
      </c>
      <c r="C161" s="4" t="n">
        <v>1963</v>
      </c>
      <c r="D161" s="4" t="n">
        <v>1992</v>
      </c>
      <c r="E161" s="4" t="n"/>
      <c r="F161" s="4" t="n">
        <v>3.0916</v>
      </c>
      <c r="G161" s="4" t="n"/>
      <c r="H161" s="4" t="n">
        <v>1224</v>
      </c>
      <c r="I161" s="6">
        <f>IF(AND(ISNUMBER(D161),C161&gt;0),100*(D161/C161-1),"")</f>
        <v/>
      </c>
      <c r="J161" s="6">
        <f>IF(AND(ISNUMBER(F161),ISNUMBER(E161)),100*(F161/E161-1),"")</f>
        <v/>
      </c>
      <c r="K161" s="6">
        <f>IF(AND(ISNUMBER(G161),ISNUMBER(H161)),100*G161/H161,"")</f>
        <v/>
      </c>
    </row>
    <row r="162">
      <c r="A162" s="4" t="inlineStr">
        <is>
          <t>12017</t>
        </is>
      </c>
      <c r="B162" s="4" t="inlineStr">
        <is>
          <t>Ayódar</t>
        </is>
      </c>
      <c r="C162" s="4" t="n">
        <v>158</v>
      </c>
      <c r="D162" s="4" t="n">
        <v>176</v>
      </c>
      <c r="E162" s="4" t="n"/>
      <c r="F162" s="4" t="n"/>
      <c r="G162" s="4" t="n"/>
      <c r="H162" s="4" t="n">
        <v>391</v>
      </c>
      <c r="I162" s="6">
        <f>IF(AND(ISNUMBER(D162),C162&gt;0),100*(D162/C162-1),"")</f>
        <v/>
      </c>
      <c r="J162" s="6">
        <f>IF(AND(ISNUMBER(F162),ISNUMBER(E162)),100*(F162/E162-1),"")</f>
        <v/>
      </c>
      <c r="K162" s="6">
        <f>IF(AND(ISNUMBER(G162),ISNUMBER(H162)),100*G162/H162,"")</f>
        <v/>
      </c>
    </row>
    <row r="163">
      <c r="A163" s="4" t="inlineStr">
        <is>
          <t>12018</t>
        </is>
      </c>
      <c r="B163" s="4" t="inlineStr">
        <is>
          <t>Azuébar</t>
        </is>
      </c>
      <c r="C163" s="4" t="n">
        <v>320</v>
      </c>
      <c r="D163" s="4" t="n">
        <v>359</v>
      </c>
      <c r="E163" s="4" t="n"/>
      <c r="F163" s="4" t="n"/>
      <c r="G163" s="4" t="n"/>
      <c r="H163" s="4" t="n">
        <v>383</v>
      </c>
      <c r="I163" s="6">
        <f>IF(AND(ISNUMBER(D163),C163&gt;0),100*(D163/C163-1),"")</f>
        <v/>
      </c>
      <c r="J163" s="6">
        <f>IF(AND(ISNUMBER(F163),ISNUMBER(E163)),100*(F163/E163-1),"")</f>
        <v/>
      </c>
      <c r="K163" s="6">
        <f>IF(AND(ISNUMBER(G163),ISNUMBER(H163)),100*G163/H163,"")</f>
        <v/>
      </c>
    </row>
    <row r="164">
      <c r="A164" s="4" t="inlineStr">
        <is>
          <t>12020</t>
        </is>
      </c>
      <c r="B164" s="4" t="inlineStr">
        <is>
          <t>Barracas</t>
        </is>
      </c>
      <c r="C164" s="4" t="n">
        <v>186</v>
      </c>
      <c r="D164" s="4" t="n">
        <v>193</v>
      </c>
      <c r="E164" s="4" t="n"/>
      <c r="F164" s="4" t="n"/>
      <c r="G164" s="4" t="n"/>
      <c r="H164" s="4" t="n">
        <v>194</v>
      </c>
      <c r="I164" s="6">
        <f>IF(AND(ISNUMBER(D164),C164&gt;0),100*(D164/C164-1),"")</f>
        <v/>
      </c>
      <c r="J164" s="6">
        <f>IF(AND(ISNUMBER(F164),ISNUMBER(E164)),100*(F164/E164-1),"")</f>
        <v/>
      </c>
      <c r="K164" s="6">
        <f>IF(AND(ISNUMBER(G164),ISNUMBER(H164)),100*G164/H164,"")</f>
        <v/>
      </c>
    </row>
    <row r="165">
      <c r="A165" s="4" t="inlineStr">
        <is>
          <t>12021</t>
        </is>
      </c>
      <c r="B165" s="4" t="inlineStr">
        <is>
          <t>Betxí</t>
        </is>
      </c>
      <c r="C165" s="4" t="n">
        <v>5649</v>
      </c>
      <c r="D165" s="4" t="n">
        <v>5697</v>
      </c>
      <c r="E165" s="4" t="n">
        <v>2.9567</v>
      </c>
      <c r="F165" s="4" t="n">
        <v>3.7136</v>
      </c>
      <c r="G165" s="4" t="n"/>
      <c r="H165" s="4" t="n">
        <v>2956</v>
      </c>
      <c r="I165" s="6">
        <f>IF(AND(ISNUMBER(D165),C165&gt;0),100*(D165/C165-1),"")</f>
        <v/>
      </c>
      <c r="J165" s="6">
        <f>IF(AND(ISNUMBER(F165),ISNUMBER(E165)),100*(F165/E165-1),"")</f>
        <v/>
      </c>
      <c r="K165" s="6">
        <f>IF(AND(ISNUMBER(G165),ISNUMBER(H165)),100*G165/H165,"")</f>
        <v/>
      </c>
    </row>
    <row r="166">
      <c r="A166" s="4" t="inlineStr">
        <is>
          <t>12022</t>
        </is>
      </c>
      <c r="B166" s="4" t="inlineStr">
        <is>
          <t>Bejís</t>
        </is>
      </c>
      <c r="C166" s="4" t="n">
        <v>388</v>
      </c>
      <c r="D166" s="4" t="n">
        <v>400</v>
      </c>
      <c r="E166" s="4" t="n"/>
      <c r="F166" s="4" t="n"/>
      <c r="G166" s="4" t="n"/>
      <c r="H166" s="4" t="n">
        <v>784</v>
      </c>
      <c r="I166" s="6">
        <f>IF(AND(ISNUMBER(D166),C166&gt;0),100*(D166/C166-1),"")</f>
        <v/>
      </c>
      <c r="J166" s="6">
        <f>IF(AND(ISNUMBER(F166),ISNUMBER(E166)),100*(F166/E166-1),"")</f>
        <v/>
      </c>
      <c r="K166" s="6">
        <f>IF(AND(ISNUMBER(G166),ISNUMBER(H166)),100*G166/H166,"")</f>
        <v/>
      </c>
    </row>
    <row r="167">
      <c r="A167" s="4" t="inlineStr">
        <is>
          <t>12024</t>
        </is>
      </c>
      <c r="B167" s="4" t="inlineStr">
        <is>
          <t>Benafer</t>
        </is>
      </c>
      <c r="C167" s="4" t="n">
        <v>174</v>
      </c>
      <c r="D167" s="4" t="n">
        <v>169</v>
      </c>
      <c r="E167" s="4" t="n"/>
      <c r="F167" s="4" t="n"/>
      <c r="G167" s="4" t="n"/>
      <c r="H167" s="4" t="n">
        <v>212</v>
      </c>
      <c r="I167" s="6">
        <f>IF(AND(ISNUMBER(D167),C167&gt;0),100*(D167/C167-1),"")</f>
        <v/>
      </c>
      <c r="J167" s="6">
        <f>IF(AND(ISNUMBER(F167),ISNUMBER(E167)),100*(F167/E167-1),"")</f>
        <v/>
      </c>
      <c r="K167" s="6">
        <f>IF(AND(ISNUMBER(G167),ISNUMBER(H167)),100*G167/H167,"")</f>
        <v/>
      </c>
    </row>
    <row r="168">
      <c r="A168" s="4" t="inlineStr">
        <is>
          <t>12025</t>
        </is>
      </c>
      <c r="B168" s="4" t="inlineStr">
        <is>
          <t>Benafigos</t>
        </is>
      </c>
      <c r="C168" s="4" t="n">
        <v>146</v>
      </c>
      <c r="D168" s="4" t="n">
        <v>121</v>
      </c>
      <c r="E168" s="4" t="n"/>
      <c r="F168" s="4" t="n"/>
      <c r="G168" s="4" t="n"/>
      <c r="H168" s="4" t="n">
        <v>211</v>
      </c>
      <c r="I168" s="6">
        <f>IF(AND(ISNUMBER(D168),C168&gt;0),100*(D168/C168-1),"")</f>
        <v/>
      </c>
      <c r="J168" s="6">
        <f>IF(AND(ISNUMBER(F168),ISNUMBER(E168)),100*(F168/E168-1),"")</f>
        <v/>
      </c>
      <c r="K168" s="6">
        <f>IF(AND(ISNUMBER(G168),ISNUMBER(H168)),100*G168/H168,"")</f>
        <v/>
      </c>
    </row>
    <row r="169">
      <c r="A169" s="4" t="inlineStr">
        <is>
          <t>12026</t>
        </is>
      </c>
      <c r="B169" s="4" t="inlineStr">
        <is>
          <t>Benassal</t>
        </is>
      </c>
      <c r="C169" s="4" t="n">
        <v>1056</v>
      </c>
      <c r="D169" s="4" t="n">
        <v>1047</v>
      </c>
      <c r="E169" s="4" t="n">
        <v>2.2569</v>
      </c>
      <c r="F169" s="4" t="n">
        <v>2.9218</v>
      </c>
      <c r="G169" s="4" t="n"/>
      <c r="H169" s="4" t="n">
        <v>1189</v>
      </c>
      <c r="I169" s="6">
        <f>IF(AND(ISNUMBER(D169),C169&gt;0),100*(D169/C169-1),"")</f>
        <v/>
      </c>
      <c r="J169" s="6">
        <f>IF(AND(ISNUMBER(F169),ISNUMBER(E169)),100*(F169/E169-1),"")</f>
        <v/>
      </c>
      <c r="K169" s="6">
        <f>IF(AND(ISNUMBER(G169),ISNUMBER(H169)),100*G169/H169,"")</f>
        <v/>
      </c>
    </row>
    <row r="170">
      <c r="A170" s="4" t="inlineStr">
        <is>
          <t>12027</t>
        </is>
      </c>
      <c r="B170" s="4" t="inlineStr">
        <is>
          <t>Benicarló</t>
        </is>
      </c>
      <c r="C170" s="4" t="n">
        <v>27625</v>
      </c>
      <c r="D170" s="4" t="n">
        <v>30394</v>
      </c>
      <c r="E170" s="4" t="n">
        <v>4.1966</v>
      </c>
      <c r="F170" s="4" t="n">
        <v>5.2083</v>
      </c>
      <c r="G170" s="4" t="n"/>
      <c r="H170" s="4" t="n">
        <v>17677</v>
      </c>
      <c r="I170" s="6">
        <f>IF(AND(ISNUMBER(D170),C170&gt;0),100*(D170/C170-1),"")</f>
        <v/>
      </c>
      <c r="J170" s="6">
        <f>IF(AND(ISNUMBER(F170),ISNUMBER(E170)),100*(F170/E170-1),"")</f>
        <v/>
      </c>
      <c r="K170" s="6">
        <f>IF(AND(ISNUMBER(G170),ISNUMBER(H170)),100*G170/H170,"")</f>
        <v/>
      </c>
    </row>
    <row r="171">
      <c r="A171" s="4" t="inlineStr">
        <is>
          <t>12028</t>
        </is>
      </c>
      <c r="B171" s="4" t="inlineStr">
        <is>
          <t>Benicàssim/Benicasim</t>
        </is>
      </c>
      <c r="C171" s="4" t="n">
        <v>19003</v>
      </c>
      <c r="D171" s="4" t="n">
        <v>20586</v>
      </c>
      <c r="E171" s="4" t="n">
        <v>5.7143</v>
      </c>
      <c r="F171" s="4" t="n">
        <v>7.4074</v>
      </c>
      <c r="G171" s="4" t="n"/>
      <c r="H171" s="4" t="n">
        <v>20884</v>
      </c>
      <c r="I171" s="6">
        <f>IF(AND(ISNUMBER(D171),C171&gt;0),100*(D171/C171-1),"")</f>
        <v/>
      </c>
      <c r="J171" s="6">
        <f>IF(AND(ISNUMBER(F171),ISNUMBER(E171)),100*(F171/E171-1),"")</f>
        <v/>
      </c>
      <c r="K171" s="6">
        <f>IF(AND(ISNUMBER(G171),ISNUMBER(H171)),100*G171/H171,"")</f>
        <v/>
      </c>
    </row>
    <row r="172">
      <c r="A172" s="4" t="inlineStr">
        <is>
          <t>12029</t>
        </is>
      </c>
      <c r="B172" s="4" t="inlineStr">
        <is>
          <t>Benlloc</t>
        </is>
      </c>
      <c r="C172" s="4" t="n">
        <v>1075</v>
      </c>
      <c r="D172" s="4" t="n">
        <v>1146</v>
      </c>
      <c r="E172" s="4" t="n"/>
      <c r="F172" s="4" t="n">
        <v>3.6232</v>
      </c>
      <c r="G172" s="4" t="n"/>
      <c r="H172" s="4" t="n">
        <v>887</v>
      </c>
      <c r="I172" s="6">
        <f>IF(AND(ISNUMBER(D172),C172&gt;0),100*(D172/C172-1),"")</f>
        <v/>
      </c>
      <c r="J172" s="6">
        <f>IF(AND(ISNUMBER(F172),ISNUMBER(E172)),100*(F172/E172-1),"")</f>
        <v/>
      </c>
      <c r="K172" s="6">
        <f>IF(AND(ISNUMBER(G172),ISNUMBER(H172)),100*G172/H172,"")</f>
        <v/>
      </c>
    </row>
    <row r="173">
      <c r="A173" s="4" t="inlineStr">
        <is>
          <t>12031</t>
        </is>
      </c>
      <c r="B173" s="4" t="inlineStr">
        <is>
          <t>Borriol</t>
        </is>
      </c>
      <c r="C173" s="4" t="n">
        <v>5550</v>
      </c>
      <c r="D173" s="4" t="n">
        <v>6006</v>
      </c>
      <c r="E173" s="4" t="n">
        <v>3.6404</v>
      </c>
      <c r="F173" s="4" t="n">
        <v>4.7174</v>
      </c>
      <c r="G173" s="4" t="n"/>
      <c r="H173" s="4" t="n">
        <v>3656</v>
      </c>
      <c r="I173" s="6">
        <f>IF(AND(ISNUMBER(D173),C173&gt;0),100*(D173/C173-1),"")</f>
        <v/>
      </c>
      <c r="J173" s="6">
        <f>IF(AND(ISNUMBER(F173),ISNUMBER(E173)),100*(F173/E173-1),"")</f>
        <v/>
      </c>
      <c r="K173" s="6">
        <f>IF(AND(ISNUMBER(G173),ISNUMBER(H173)),100*G173/H173,"")</f>
        <v/>
      </c>
    </row>
    <row r="174">
      <c r="A174" s="4" t="inlineStr">
        <is>
          <t>12032</t>
        </is>
      </c>
      <c r="B174" s="4" t="inlineStr">
        <is>
          <t>Borriana/Burriana</t>
        </is>
      </c>
      <c r="C174" s="4" t="n">
        <v>34842</v>
      </c>
      <c r="D174" s="4" t="n">
        <v>37803</v>
      </c>
      <c r="E174" s="4" t="n">
        <v>3.4314</v>
      </c>
      <c r="F174" s="4" t="n">
        <v>4.479</v>
      </c>
      <c r="G174" s="4" t="n"/>
      <c r="H174" s="4" t="n">
        <v>20320</v>
      </c>
      <c r="I174" s="6">
        <f>IF(AND(ISNUMBER(D174),C174&gt;0),100*(D174/C174-1),"")</f>
        <v/>
      </c>
      <c r="J174" s="6">
        <f>IF(AND(ISNUMBER(F174),ISNUMBER(E174)),100*(F174/E174-1),"")</f>
        <v/>
      </c>
      <c r="K174" s="6">
        <f>IF(AND(ISNUMBER(G174),ISNUMBER(H174)),100*G174/H174,"")</f>
        <v/>
      </c>
    </row>
    <row r="175">
      <c r="A175" s="4" t="inlineStr">
        <is>
          <t>12033</t>
        </is>
      </c>
      <c r="B175" s="4" t="inlineStr">
        <is>
          <t>Cabanes</t>
        </is>
      </c>
      <c r="C175" s="4" t="n">
        <v>3010</v>
      </c>
      <c r="D175" s="4" t="n">
        <v>3491</v>
      </c>
      <c r="E175" s="4" t="n">
        <v>3.1066</v>
      </c>
      <c r="F175" s="4" t="n">
        <v>4.3562</v>
      </c>
      <c r="G175" s="4" t="n"/>
      <c r="H175" s="4" t="n">
        <v>3510</v>
      </c>
      <c r="I175" s="6">
        <f>IF(AND(ISNUMBER(D175),C175&gt;0),100*(D175/C175-1),"")</f>
        <v/>
      </c>
      <c r="J175" s="6">
        <f>IF(AND(ISNUMBER(F175),ISNUMBER(E175)),100*(F175/E175-1),"")</f>
        <v/>
      </c>
      <c r="K175" s="6">
        <f>IF(AND(ISNUMBER(G175),ISNUMBER(H175)),100*G175/H175,"")</f>
        <v/>
      </c>
    </row>
    <row r="176">
      <c r="A176" s="4" t="inlineStr">
        <is>
          <t>12034</t>
        </is>
      </c>
      <c r="B176" s="4" t="inlineStr">
        <is>
          <t>Càlig</t>
        </is>
      </c>
      <c r="C176" s="4" t="n">
        <v>2026</v>
      </c>
      <c r="D176" s="4" t="n">
        <v>2062</v>
      </c>
      <c r="E176" s="4" t="n">
        <v>3.1566</v>
      </c>
      <c r="F176" s="4" t="n">
        <v>4.1468</v>
      </c>
      <c r="G176" s="4" t="n"/>
      <c r="H176" s="4" t="n">
        <v>1707</v>
      </c>
      <c r="I176" s="6">
        <f>IF(AND(ISNUMBER(D176),C176&gt;0),100*(D176/C176-1),"")</f>
        <v/>
      </c>
      <c r="J176" s="6">
        <f>IF(AND(ISNUMBER(F176),ISNUMBER(E176)),100*(F176/E176-1),"")</f>
        <v/>
      </c>
      <c r="K176" s="6">
        <f>IF(AND(ISNUMBER(G176),ISNUMBER(H176)),100*G176/H176,"")</f>
        <v/>
      </c>
    </row>
    <row r="177">
      <c r="A177" s="4" t="inlineStr">
        <is>
          <t>12036</t>
        </is>
      </c>
      <c r="B177" s="4" t="inlineStr">
        <is>
          <t>Canet lo Roig</t>
        </is>
      </c>
      <c r="C177" s="4" t="n">
        <v>682</v>
      </c>
      <c r="D177" s="4" t="n">
        <v>708</v>
      </c>
      <c r="E177" s="4" t="n"/>
      <c r="F177" s="4" t="n"/>
      <c r="G177" s="4" t="n"/>
      <c r="H177" s="4" t="n">
        <v>637</v>
      </c>
      <c r="I177" s="6">
        <f>IF(AND(ISNUMBER(D177),C177&gt;0),100*(D177/C177-1),"")</f>
        <v/>
      </c>
      <c r="J177" s="6">
        <f>IF(AND(ISNUMBER(F177),ISNUMBER(E177)),100*(F177/E177-1),"")</f>
        <v/>
      </c>
      <c r="K177" s="6">
        <f>IF(AND(ISNUMBER(G177),ISNUMBER(H177)),100*G177/H177,"")</f>
        <v/>
      </c>
    </row>
    <row r="178">
      <c r="A178" s="4" t="inlineStr">
        <is>
          <t>12037</t>
        </is>
      </c>
      <c r="B178" s="4" t="inlineStr">
        <is>
          <t>Castell de Cabres</t>
        </is>
      </c>
      <c r="C178" s="4" t="n">
        <v>22</v>
      </c>
      <c r="D178" s="4" t="n">
        <v>21</v>
      </c>
      <c r="E178" s="4" t="n"/>
      <c r="F178" s="4" t="n"/>
      <c r="G178" s="4" t="n"/>
      <c r="H178" s="4" t="n">
        <v>51</v>
      </c>
      <c r="I178" s="6">
        <f>IF(AND(ISNUMBER(D178),C178&gt;0),100*(D178/C178-1),"")</f>
        <v/>
      </c>
      <c r="J178" s="6">
        <f>IF(AND(ISNUMBER(F178),ISNUMBER(E178)),100*(F178/E178-1),"")</f>
        <v/>
      </c>
      <c r="K178" s="6">
        <f>IF(AND(ISNUMBER(G178),ISNUMBER(H178)),100*G178/H178,"")</f>
        <v/>
      </c>
    </row>
    <row r="179">
      <c r="A179" s="4" t="inlineStr">
        <is>
          <t>12038</t>
        </is>
      </c>
      <c r="B179" s="4" t="inlineStr">
        <is>
          <t>Castellfort</t>
        </is>
      </c>
      <c r="C179" s="4" t="n">
        <v>179</v>
      </c>
      <c r="D179" s="4" t="n">
        <v>178</v>
      </c>
      <c r="E179" s="4" t="n"/>
      <c r="F179" s="4" t="n"/>
      <c r="G179" s="4" t="n"/>
      <c r="H179" s="4" t="n">
        <v>273</v>
      </c>
      <c r="I179" s="6">
        <f>IF(AND(ISNUMBER(D179),C179&gt;0),100*(D179/C179-1),"")</f>
        <v/>
      </c>
      <c r="J179" s="6">
        <f>IF(AND(ISNUMBER(F179),ISNUMBER(E179)),100*(F179/E179-1),"")</f>
        <v/>
      </c>
      <c r="K179" s="6">
        <f>IF(AND(ISNUMBER(G179),ISNUMBER(H179)),100*G179/H179,"")</f>
        <v/>
      </c>
    </row>
    <row r="180">
      <c r="A180" s="4" t="inlineStr">
        <is>
          <t>12039</t>
        </is>
      </c>
      <c r="B180" s="4" t="inlineStr">
        <is>
          <t>Castellnovo</t>
        </is>
      </c>
      <c r="C180" s="4" t="n">
        <v>912</v>
      </c>
      <c r="D180" s="4" t="n">
        <v>911</v>
      </c>
      <c r="E180" s="4" t="n"/>
      <c r="F180" s="4" t="n">
        <v>3.8428</v>
      </c>
      <c r="G180" s="4" t="n"/>
      <c r="H180" s="4" t="n">
        <v>736</v>
      </c>
      <c r="I180" s="6">
        <f>IF(AND(ISNUMBER(D180),C180&gt;0),100*(D180/C180-1),"")</f>
        <v/>
      </c>
      <c r="J180" s="6">
        <f>IF(AND(ISNUMBER(F180),ISNUMBER(E180)),100*(F180/E180-1),"")</f>
        <v/>
      </c>
      <c r="K180" s="6">
        <f>IF(AND(ISNUMBER(G180),ISNUMBER(H180)),100*G180/H180,"")</f>
        <v/>
      </c>
    </row>
    <row r="181">
      <c r="A181" s="4" t="inlineStr">
        <is>
          <t>12040</t>
        </is>
      </c>
      <c r="B181" s="4" t="inlineStr">
        <is>
          <t>Castelló de la Plana/Castellón de la Plana</t>
        </is>
      </c>
      <c r="C181" s="4" t="n">
        <v>172637</v>
      </c>
      <c r="D181" s="4" t="n">
        <v>183709</v>
      </c>
      <c r="E181" s="4" t="n">
        <v>4.0701</v>
      </c>
      <c r="F181" s="4" t="n">
        <v>5.4343</v>
      </c>
      <c r="G181" s="4" t="n"/>
      <c r="H181" s="4" t="n">
        <v>87057</v>
      </c>
      <c r="I181" s="6">
        <f>IF(AND(ISNUMBER(D181),C181&gt;0),100*(D181/C181-1),"")</f>
        <v/>
      </c>
      <c r="J181" s="6">
        <f>IF(AND(ISNUMBER(F181),ISNUMBER(E181)),100*(F181/E181-1),"")</f>
        <v/>
      </c>
      <c r="K181" s="6">
        <f>IF(AND(ISNUMBER(G181),ISNUMBER(H181)),100*G181/H181,"")</f>
        <v/>
      </c>
    </row>
    <row r="182">
      <c r="A182" s="4" t="inlineStr">
        <is>
          <t>12041</t>
        </is>
      </c>
      <c r="B182" s="4" t="inlineStr">
        <is>
          <t>Castillo de Villamalefa</t>
        </is>
      </c>
      <c r="C182" s="4" t="n">
        <v>105</v>
      </c>
      <c r="D182" s="4" t="n">
        <v>113</v>
      </c>
      <c r="E182" s="4" t="n"/>
      <c r="F182" s="4" t="n"/>
      <c r="G182" s="4" t="n"/>
      <c r="H182" s="4" t="n">
        <v>262</v>
      </c>
      <c r="I182" s="6">
        <f>IF(AND(ISNUMBER(D182),C182&gt;0),100*(D182/C182-1),"")</f>
        <v/>
      </c>
      <c r="J182" s="6">
        <f>IF(AND(ISNUMBER(F182),ISNUMBER(E182)),100*(F182/E182-1),"")</f>
        <v/>
      </c>
      <c r="K182" s="6">
        <f>IF(AND(ISNUMBER(G182),ISNUMBER(H182)),100*G182/H182,"")</f>
        <v/>
      </c>
    </row>
    <row r="183">
      <c r="A183" s="4" t="inlineStr">
        <is>
          <t>12042</t>
        </is>
      </c>
      <c r="B183" s="4" t="inlineStr">
        <is>
          <t>Catí</t>
        </is>
      </c>
      <c r="C183" s="4" t="n">
        <v>717</v>
      </c>
      <c r="D183" s="4" t="n">
        <v>740</v>
      </c>
      <c r="E183" s="4" t="n"/>
      <c r="F183" s="4" t="n"/>
      <c r="G183" s="4" t="n"/>
      <c r="H183" s="4" t="n">
        <v>570</v>
      </c>
      <c r="I183" s="6">
        <f>IF(AND(ISNUMBER(D183),C183&gt;0),100*(D183/C183-1),"")</f>
        <v/>
      </c>
      <c r="J183" s="6">
        <f>IF(AND(ISNUMBER(F183),ISNUMBER(E183)),100*(F183/E183-1),"")</f>
        <v/>
      </c>
      <c r="K183" s="6">
        <f>IF(AND(ISNUMBER(G183),ISNUMBER(H183)),100*G183/H183,"")</f>
        <v/>
      </c>
    </row>
    <row r="184">
      <c r="A184" s="4" t="inlineStr">
        <is>
          <t>12043</t>
        </is>
      </c>
      <c r="B184" s="4" t="inlineStr">
        <is>
          <t>Caudiel</t>
        </is>
      </c>
      <c r="C184" s="4" t="n">
        <v>664</v>
      </c>
      <c r="D184" s="4" t="n">
        <v>736</v>
      </c>
      <c r="E184" s="4" t="n">
        <v>2.5545</v>
      </c>
      <c r="F184" s="4" t="n">
        <v>3.3814</v>
      </c>
      <c r="G184" s="4" t="n"/>
      <c r="H184" s="4" t="n">
        <v>1064</v>
      </c>
      <c r="I184" s="6">
        <f>IF(AND(ISNUMBER(D184),C184&gt;0),100*(D184/C184-1),"")</f>
        <v/>
      </c>
      <c r="J184" s="6">
        <f>IF(AND(ISNUMBER(F184),ISNUMBER(E184)),100*(F184/E184-1),"")</f>
        <v/>
      </c>
      <c r="K184" s="6">
        <f>IF(AND(ISNUMBER(G184),ISNUMBER(H184)),100*G184/H184,"")</f>
        <v/>
      </c>
    </row>
    <row r="185">
      <c r="A185" s="4" t="inlineStr">
        <is>
          <t>12044</t>
        </is>
      </c>
      <c r="B185" s="4" t="inlineStr">
        <is>
          <t>Cervera del Maestre</t>
        </is>
      </c>
      <c r="C185" s="4" t="n">
        <v>590</v>
      </c>
      <c r="D185" s="4" t="n">
        <v>631</v>
      </c>
      <c r="E185" s="4" t="n"/>
      <c r="F185" s="4" t="n"/>
      <c r="G185" s="4" t="n"/>
      <c r="H185" s="4" t="n">
        <v>775</v>
      </c>
      <c r="I185" s="6">
        <f>IF(AND(ISNUMBER(D185),C185&gt;0),100*(D185/C185-1),"")</f>
        <v/>
      </c>
      <c r="J185" s="6">
        <f>IF(AND(ISNUMBER(F185),ISNUMBER(E185)),100*(F185/E185-1),"")</f>
        <v/>
      </c>
      <c r="K185" s="6">
        <f>IF(AND(ISNUMBER(G185),ISNUMBER(H185)),100*G185/H185,"")</f>
        <v/>
      </c>
    </row>
    <row r="186">
      <c r="A186" s="4" t="inlineStr">
        <is>
          <t>12045</t>
        </is>
      </c>
      <c r="B186" s="4" t="inlineStr">
        <is>
          <t>Cinctorres</t>
        </is>
      </c>
      <c r="C186" s="4" t="n">
        <v>404</v>
      </c>
      <c r="D186" s="4" t="n">
        <v>431</v>
      </c>
      <c r="E186" s="4" t="n"/>
      <c r="F186" s="4" t="n"/>
      <c r="G186" s="4" t="n"/>
      <c r="H186" s="4" t="n">
        <v>664</v>
      </c>
      <c r="I186" s="6">
        <f>IF(AND(ISNUMBER(D186),C186&gt;0),100*(D186/C186-1),"")</f>
        <v/>
      </c>
      <c r="J186" s="6">
        <f>IF(AND(ISNUMBER(F186),ISNUMBER(E186)),100*(F186/E186-1),"")</f>
        <v/>
      </c>
      <c r="K186" s="6">
        <f>IF(AND(ISNUMBER(G186),ISNUMBER(H186)),100*G186/H186,"")</f>
        <v/>
      </c>
    </row>
    <row r="187">
      <c r="A187" s="4" t="inlineStr">
        <is>
          <t>12046</t>
        </is>
      </c>
      <c r="B187" s="4" t="inlineStr">
        <is>
          <t>Cirat</t>
        </is>
      </c>
      <c r="C187" s="4" t="n">
        <v>211</v>
      </c>
      <c r="D187" s="4" t="n">
        <v>220</v>
      </c>
      <c r="E187" s="4" t="n"/>
      <c r="F187" s="4" t="n"/>
      <c r="G187" s="4" t="n"/>
      <c r="H187" s="4" t="n">
        <v>699</v>
      </c>
      <c r="I187" s="6">
        <f>IF(AND(ISNUMBER(D187),C187&gt;0),100*(D187/C187-1),"")</f>
        <v/>
      </c>
      <c r="J187" s="6">
        <f>IF(AND(ISNUMBER(F187),ISNUMBER(E187)),100*(F187/E187-1),"")</f>
        <v/>
      </c>
      <c r="K187" s="6">
        <f>IF(AND(ISNUMBER(G187),ISNUMBER(H187)),100*G187/H187,"")</f>
        <v/>
      </c>
    </row>
    <row r="188">
      <c r="A188" s="4" t="inlineStr">
        <is>
          <t>12048</t>
        </is>
      </c>
      <c r="B188" s="4" t="inlineStr">
        <is>
          <t>Cortes de Arenoso</t>
        </is>
      </c>
      <c r="C188" s="4" t="n">
        <v>293</v>
      </c>
      <c r="D188" s="4" t="n">
        <v>317</v>
      </c>
      <c r="E188" s="4" t="n"/>
      <c r="F188" s="4" t="n"/>
      <c r="G188" s="4" t="n"/>
      <c r="H188" s="4" t="n">
        <v>583</v>
      </c>
      <c r="I188" s="6">
        <f>IF(AND(ISNUMBER(D188),C188&gt;0),100*(D188/C188-1),"")</f>
        <v/>
      </c>
      <c r="J188" s="6">
        <f>IF(AND(ISNUMBER(F188),ISNUMBER(E188)),100*(F188/E188-1),"")</f>
        <v/>
      </c>
      <c r="K188" s="6">
        <f>IF(AND(ISNUMBER(G188),ISNUMBER(H188)),100*G188/H188,"")</f>
        <v/>
      </c>
    </row>
    <row r="189">
      <c r="A189" s="4" t="inlineStr">
        <is>
          <t>12049</t>
        </is>
      </c>
      <c r="B189" s="4" t="inlineStr">
        <is>
          <t>Costur</t>
        </is>
      </c>
      <c r="C189" s="4" t="n">
        <v>532</v>
      </c>
      <c r="D189" s="4" t="n">
        <v>510</v>
      </c>
      <c r="E189" s="4" t="n"/>
      <c r="F189" s="4" t="n"/>
      <c r="G189" s="4" t="n"/>
      <c r="H189" s="4" t="n">
        <v>550</v>
      </c>
      <c r="I189" s="6">
        <f>IF(AND(ISNUMBER(D189),C189&gt;0),100*(D189/C189-1),"")</f>
        <v/>
      </c>
      <c r="J189" s="6">
        <f>IF(AND(ISNUMBER(F189),ISNUMBER(E189)),100*(F189/E189-1),"")</f>
        <v/>
      </c>
      <c r="K189" s="6">
        <f>IF(AND(ISNUMBER(G189),ISNUMBER(H189)),100*G189/H189,"")</f>
        <v/>
      </c>
    </row>
    <row r="190">
      <c r="A190" s="4" t="inlineStr">
        <is>
          <t>12050</t>
        </is>
      </c>
      <c r="B190" s="4" t="inlineStr">
        <is>
          <t>Coves de Vinromà, les</t>
        </is>
      </c>
      <c r="C190" s="4" t="n">
        <v>1789</v>
      </c>
      <c r="D190" s="4" t="n">
        <v>1881</v>
      </c>
      <c r="E190" s="4" t="n">
        <v>2.6923</v>
      </c>
      <c r="F190" s="4" t="n">
        <v>2.8884</v>
      </c>
      <c r="G190" s="4" t="n"/>
      <c r="H190" s="4" t="n">
        <v>1637</v>
      </c>
      <c r="I190" s="6">
        <f>IF(AND(ISNUMBER(D190),C190&gt;0),100*(D190/C190-1),"")</f>
        <v/>
      </c>
      <c r="J190" s="6">
        <f>IF(AND(ISNUMBER(F190),ISNUMBER(E190)),100*(F190/E190-1),"")</f>
        <v/>
      </c>
      <c r="K190" s="6">
        <f>IF(AND(ISNUMBER(G190),ISNUMBER(H190)),100*G190/H190,"")</f>
        <v/>
      </c>
    </row>
    <row r="191">
      <c r="A191" s="4" t="inlineStr">
        <is>
          <t>12051</t>
        </is>
      </c>
      <c r="B191" s="4" t="inlineStr">
        <is>
          <t>Culla</t>
        </is>
      </c>
      <c r="C191" s="4" t="n">
        <v>509</v>
      </c>
      <c r="D191" s="4" t="n">
        <v>503</v>
      </c>
      <c r="E191" s="4" t="n"/>
      <c r="F191" s="4" t="n"/>
      <c r="G191" s="4" t="n"/>
      <c r="H191" s="4" t="n">
        <v>822</v>
      </c>
      <c r="I191" s="6">
        <f>IF(AND(ISNUMBER(D191),C191&gt;0),100*(D191/C191-1),"")</f>
        <v/>
      </c>
      <c r="J191" s="6">
        <f>IF(AND(ISNUMBER(F191),ISNUMBER(E191)),100*(F191/E191-1),"")</f>
        <v/>
      </c>
      <c r="K191" s="6">
        <f>IF(AND(ISNUMBER(G191),ISNUMBER(H191)),100*G191/H191,"")</f>
        <v/>
      </c>
    </row>
    <row r="192">
      <c r="A192" s="4" t="inlineStr">
        <is>
          <t>12052</t>
        </is>
      </c>
      <c r="B192" s="4" t="inlineStr">
        <is>
          <t>Xert</t>
        </is>
      </c>
      <c r="C192" s="4" t="n">
        <v>686</v>
      </c>
      <c r="D192" s="4" t="n">
        <v>701</v>
      </c>
      <c r="E192" s="4" t="n"/>
      <c r="F192" s="4" t="n"/>
      <c r="G192" s="4" t="n"/>
      <c r="H192" s="4" t="n">
        <v>899</v>
      </c>
      <c r="I192" s="6">
        <f>IF(AND(ISNUMBER(D192),C192&gt;0),100*(D192/C192-1),"")</f>
        <v/>
      </c>
      <c r="J192" s="6">
        <f>IF(AND(ISNUMBER(F192),ISNUMBER(E192)),100*(F192/E192-1),"")</f>
        <v/>
      </c>
      <c r="K192" s="6">
        <f>IF(AND(ISNUMBER(G192),ISNUMBER(H192)),100*G192/H192,"")</f>
        <v/>
      </c>
    </row>
    <row r="193">
      <c r="A193" s="4" t="inlineStr">
        <is>
          <t>12053</t>
        </is>
      </c>
      <c r="B193" s="4" t="inlineStr">
        <is>
          <t>Chilches/Xilxes</t>
        </is>
      </c>
      <c r="C193" s="4" t="n">
        <v>2793</v>
      </c>
      <c r="D193" s="4" t="n">
        <v>3186</v>
      </c>
      <c r="E193" s="4" t="n">
        <v>3.7323</v>
      </c>
      <c r="F193" s="4" t="n">
        <v>6.1476</v>
      </c>
      <c r="G193" s="4" t="n"/>
      <c r="H193" s="4" t="n">
        <v>3725</v>
      </c>
      <c r="I193" s="6">
        <f>IF(AND(ISNUMBER(D193),C193&gt;0),100*(D193/C193-1),"")</f>
        <v/>
      </c>
      <c r="J193" s="6">
        <f>IF(AND(ISNUMBER(F193),ISNUMBER(E193)),100*(F193/E193-1),"")</f>
        <v/>
      </c>
      <c r="K193" s="6">
        <f>IF(AND(ISNUMBER(G193),ISNUMBER(H193)),100*G193/H193,"")</f>
        <v/>
      </c>
    </row>
    <row r="194">
      <c r="A194" s="4" t="inlineStr">
        <is>
          <t>12055</t>
        </is>
      </c>
      <c r="B194" s="4" t="inlineStr">
        <is>
          <t>Xodos/Chodos</t>
        </is>
      </c>
      <c r="C194" s="4" t="n">
        <v>108</v>
      </c>
      <c r="D194" s="4" t="n">
        <v>107</v>
      </c>
      <c r="E194" s="4" t="n"/>
      <c r="F194" s="4" t="n"/>
      <c r="G194" s="4" t="n"/>
      <c r="H194" s="4" t="n">
        <v>214</v>
      </c>
      <c r="I194" s="6">
        <f>IF(AND(ISNUMBER(D194),C194&gt;0),100*(D194/C194-1),"")</f>
        <v/>
      </c>
      <c r="J194" s="6">
        <f>IF(AND(ISNUMBER(F194),ISNUMBER(E194)),100*(F194/E194-1),"")</f>
        <v/>
      </c>
      <c r="K194" s="6">
        <f>IF(AND(ISNUMBER(G194),ISNUMBER(H194)),100*G194/H194,"")</f>
        <v/>
      </c>
    </row>
    <row r="195">
      <c r="A195" s="4" t="inlineStr">
        <is>
          <t>12056</t>
        </is>
      </c>
      <c r="B195" s="4" t="inlineStr">
        <is>
          <t>Chóvar</t>
        </is>
      </c>
      <c r="C195" s="4" t="n">
        <v>303</v>
      </c>
      <c r="D195" s="4" t="n">
        <v>318</v>
      </c>
      <c r="E195" s="4" t="n"/>
      <c r="F195" s="4" t="n"/>
      <c r="G195" s="4" t="n"/>
      <c r="H195" s="4" t="n">
        <v>432</v>
      </c>
      <c r="I195" s="6">
        <f>IF(AND(ISNUMBER(D195),C195&gt;0),100*(D195/C195-1),"")</f>
        <v/>
      </c>
      <c r="J195" s="6">
        <f>IF(AND(ISNUMBER(F195),ISNUMBER(E195)),100*(F195/E195-1),"")</f>
        <v/>
      </c>
      <c r="K195" s="6">
        <f>IF(AND(ISNUMBER(G195),ISNUMBER(H195)),100*G195/H195,"")</f>
        <v/>
      </c>
    </row>
    <row r="196">
      <c r="A196" s="4" t="inlineStr">
        <is>
          <t>12057</t>
        </is>
      </c>
      <c r="B196" s="4" t="inlineStr">
        <is>
          <t>Eslida</t>
        </is>
      </c>
      <c r="C196" s="4" t="n">
        <v>747</v>
      </c>
      <c r="D196" s="4" t="n">
        <v>817</v>
      </c>
      <c r="E196" s="4" t="n"/>
      <c r="F196" s="4" t="n">
        <v>4.0881</v>
      </c>
      <c r="G196" s="4" t="n"/>
      <c r="H196" s="4" t="n">
        <v>929</v>
      </c>
      <c r="I196" s="6">
        <f>IF(AND(ISNUMBER(D196),C196&gt;0),100*(D196/C196-1),"")</f>
        <v/>
      </c>
      <c r="J196" s="6">
        <f>IF(AND(ISNUMBER(F196),ISNUMBER(E196)),100*(F196/E196-1),"")</f>
        <v/>
      </c>
      <c r="K196" s="6">
        <f>IF(AND(ISNUMBER(G196),ISNUMBER(H196)),100*G196/H196,"")</f>
        <v/>
      </c>
    </row>
    <row r="197">
      <c r="A197" s="4" t="inlineStr">
        <is>
          <t>12058</t>
        </is>
      </c>
      <c r="B197" s="4" t="inlineStr">
        <is>
          <t>Espadilla</t>
        </is>
      </c>
      <c r="C197" s="4" t="n">
        <v>84</v>
      </c>
      <c r="D197" s="4" t="n">
        <v>102</v>
      </c>
      <c r="E197" s="4" t="n"/>
      <c r="F197" s="4" t="n"/>
      <c r="G197" s="4" t="n"/>
      <c r="H197" s="4" t="n">
        <v>154</v>
      </c>
      <c r="I197" s="6">
        <f>IF(AND(ISNUMBER(D197),C197&gt;0),100*(D197/C197-1),"")</f>
        <v/>
      </c>
      <c r="J197" s="6">
        <f>IF(AND(ISNUMBER(F197),ISNUMBER(E197)),100*(F197/E197-1),"")</f>
        <v/>
      </c>
      <c r="K197" s="6">
        <f>IF(AND(ISNUMBER(G197),ISNUMBER(H197)),100*G197/H197,"")</f>
        <v/>
      </c>
    </row>
    <row r="198">
      <c r="A198" s="4" t="inlineStr">
        <is>
          <t>12059</t>
        </is>
      </c>
      <c r="B198" s="4" t="inlineStr">
        <is>
          <t>Fanzara</t>
        </is>
      </c>
      <c r="C198" s="4" t="n">
        <v>273</v>
      </c>
      <c r="D198" s="4" t="n">
        <v>296</v>
      </c>
      <c r="E198" s="4" t="n"/>
      <c r="F198" s="4" t="n"/>
      <c r="G198" s="4" t="n"/>
      <c r="H198" s="4" t="n">
        <v>312</v>
      </c>
      <c r="I198" s="6">
        <f>IF(AND(ISNUMBER(D198),C198&gt;0),100*(D198/C198-1),"")</f>
        <v/>
      </c>
      <c r="J198" s="6">
        <f>IF(AND(ISNUMBER(F198),ISNUMBER(E198)),100*(F198/E198-1),"")</f>
        <v/>
      </c>
      <c r="K198" s="6">
        <f>IF(AND(ISNUMBER(G198),ISNUMBER(H198)),100*G198/H198,"")</f>
        <v/>
      </c>
    </row>
    <row r="199">
      <c r="A199" s="4" t="inlineStr">
        <is>
          <t>12060</t>
        </is>
      </c>
      <c r="B199" s="4" t="inlineStr">
        <is>
          <t>Figueroles</t>
        </is>
      </c>
      <c r="C199" s="4" t="n">
        <v>527</v>
      </c>
      <c r="D199" s="4" t="n">
        <v>526</v>
      </c>
      <c r="E199" s="4" t="n"/>
      <c r="F199" s="4" t="n"/>
      <c r="G199" s="4" t="n"/>
      <c r="H199" s="4" t="n">
        <v>565</v>
      </c>
      <c r="I199" s="6">
        <f>IF(AND(ISNUMBER(D199),C199&gt;0),100*(D199/C199-1),"")</f>
        <v/>
      </c>
      <c r="J199" s="6">
        <f>IF(AND(ISNUMBER(F199),ISNUMBER(E199)),100*(F199/E199-1),"")</f>
        <v/>
      </c>
      <c r="K199" s="6">
        <f>IF(AND(ISNUMBER(G199),ISNUMBER(H199)),100*G199/H199,"")</f>
        <v/>
      </c>
    </row>
    <row r="200">
      <c r="A200" s="4" t="inlineStr">
        <is>
          <t>12061</t>
        </is>
      </c>
      <c r="B200" s="4" t="inlineStr">
        <is>
          <t>Forcall</t>
        </is>
      </c>
      <c r="C200" s="4" t="n">
        <v>452</v>
      </c>
      <c r="D200" s="4" t="n">
        <v>475</v>
      </c>
      <c r="E200" s="4" t="n"/>
      <c r="F200" s="4" t="n"/>
      <c r="G200" s="4" t="n"/>
      <c r="H200" s="4" t="n">
        <v>537</v>
      </c>
      <c r="I200" s="6">
        <f>IF(AND(ISNUMBER(D200),C200&gt;0),100*(D200/C200-1),"")</f>
        <v/>
      </c>
      <c r="J200" s="6">
        <f>IF(AND(ISNUMBER(F200),ISNUMBER(E200)),100*(F200/E200-1),"")</f>
        <v/>
      </c>
      <c r="K200" s="6">
        <f>IF(AND(ISNUMBER(G200),ISNUMBER(H200)),100*G200/H200,"")</f>
        <v/>
      </c>
    </row>
    <row r="201">
      <c r="A201" s="4" t="inlineStr">
        <is>
          <t>12063</t>
        </is>
      </c>
      <c r="B201" s="4" t="inlineStr">
        <is>
          <t>Fuente la Reina</t>
        </is>
      </c>
      <c r="C201" s="4" t="n">
        <v>49</v>
      </c>
      <c r="D201" s="4" t="n">
        <v>54</v>
      </c>
      <c r="E201" s="4" t="n"/>
      <c r="F201" s="4" t="n"/>
      <c r="G201" s="4" t="n"/>
      <c r="H201" s="4" t="n">
        <v>171</v>
      </c>
      <c r="I201" s="6">
        <f>IF(AND(ISNUMBER(D201),C201&gt;0),100*(D201/C201-1),"")</f>
        <v/>
      </c>
      <c r="J201" s="6">
        <f>IF(AND(ISNUMBER(F201),ISNUMBER(E201)),100*(F201/E201-1),"")</f>
        <v/>
      </c>
      <c r="K201" s="6">
        <f>IF(AND(ISNUMBER(G201),ISNUMBER(H201)),100*G201/H201,"")</f>
        <v/>
      </c>
    </row>
    <row r="202">
      <c r="A202" s="4" t="inlineStr">
        <is>
          <t>12064</t>
        </is>
      </c>
      <c r="B202" s="4" t="inlineStr">
        <is>
          <t>Fuentes de Ayódar</t>
        </is>
      </c>
      <c r="C202" s="4" t="n">
        <v>92</v>
      </c>
      <c r="D202" s="4" t="n">
        <v>98</v>
      </c>
      <c r="E202" s="4" t="n"/>
      <c r="F202" s="4" t="n"/>
      <c r="G202" s="4" t="n"/>
      <c r="H202" s="4" t="n">
        <v>173</v>
      </c>
      <c r="I202" s="6">
        <f>IF(AND(ISNUMBER(D202),C202&gt;0),100*(D202/C202-1),"")</f>
        <v/>
      </c>
      <c r="J202" s="6">
        <f>IF(AND(ISNUMBER(F202),ISNUMBER(E202)),100*(F202/E202-1),"")</f>
        <v/>
      </c>
      <c r="K202" s="6">
        <f>IF(AND(ISNUMBER(G202),ISNUMBER(H202)),100*G202/H202,"")</f>
        <v/>
      </c>
    </row>
    <row r="203">
      <c r="A203" s="4" t="inlineStr">
        <is>
          <t>12065</t>
        </is>
      </c>
      <c r="B203" s="4" t="inlineStr">
        <is>
          <t>Gaibiel</t>
        </is>
      </c>
      <c r="C203" s="4" t="n">
        <v>187</v>
      </c>
      <c r="D203" s="4" t="n">
        <v>200</v>
      </c>
      <c r="E203" s="4" t="n"/>
      <c r="F203" s="4" t="n"/>
      <c r="G203" s="4" t="n"/>
      <c r="H203" s="4" t="n">
        <v>696</v>
      </c>
      <c r="I203" s="6">
        <f>IF(AND(ISNUMBER(D203),C203&gt;0),100*(D203/C203-1),"")</f>
        <v/>
      </c>
      <c r="J203" s="6">
        <f>IF(AND(ISNUMBER(F203),ISNUMBER(E203)),100*(F203/E203-1),"")</f>
        <v/>
      </c>
      <c r="K203" s="6">
        <f>IF(AND(ISNUMBER(G203),ISNUMBER(H203)),100*G203/H203,"")</f>
        <v/>
      </c>
    </row>
    <row r="204">
      <c r="A204" s="4" t="inlineStr">
        <is>
          <t>12067</t>
        </is>
      </c>
      <c r="B204" s="4" t="inlineStr">
        <is>
          <t>Geldo</t>
        </is>
      </c>
      <c r="C204" s="4" t="n">
        <v>627</v>
      </c>
      <c r="D204" s="4" t="n">
        <v>666</v>
      </c>
      <c r="E204" s="4" t="n"/>
      <c r="F204" s="4" t="n">
        <v>4.0323</v>
      </c>
      <c r="G204" s="4" t="n"/>
      <c r="H204" s="4" t="n">
        <v>644</v>
      </c>
      <c r="I204" s="6">
        <f>IF(AND(ISNUMBER(D204),C204&gt;0),100*(D204/C204-1),"")</f>
        <v/>
      </c>
      <c r="J204" s="6">
        <f>IF(AND(ISNUMBER(F204),ISNUMBER(E204)),100*(F204/E204-1),"")</f>
        <v/>
      </c>
      <c r="K204" s="6">
        <f>IF(AND(ISNUMBER(G204),ISNUMBER(H204)),100*G204/H204,"")</f>
        <v/>
      </c>
    </row>
    <row r="205">
      <c r="A205" s="4" t="inlineStr">
        <is>
          <t>12068</t>
        </is>
      </c>
      <c r="B205" s="4" t="inlineStr">
        <is>
          <t>Herbers</t>
        </is>
      </c>
      <c r="C205" s="4" t="n">
        <v>53</v>
      </c>
      <c r="D205" s="4" t="n">
        <v>68</v>
      </c>
      <c r="E205" s="4" t="n"/>
      <c r="F205" s="4" t="n"/>
      <c r="G205" s="4" t="n"/>
      <c r="H205" s="4" t="n">
        <v>157</v>
      </c>
      <c r="I205" s="6">
        <f>IF(AND(ISNUMBER(D205),C205&gt;0),100*(D205/C205-1),"")</f>
        <v/>
      </c>
      <c r="J205" s="6">
        <f>IF(AND(ISNUMBER(F205),ISNUMBER(E205)),100*(F205/E205-1),"")</f>
        <v/>
      </c>
      <c r="K205" s="6">
        <f>IF(AND(ISNUMBER(G205),ISNUMBER(H205)),100*G205/H205,"")</f>
        <v/>
      </c>
    </row>
    <row r="206">
      <c r="A206" s="4" t="inlineStr">
        <is>
          <t>12069</t>
        </is>
      </c>
      <c r="B206" s="4" t="inlineStr">
        <is>
          <t>Higueras</t>
        </is>
      </c>
      <c r="C206" s="4" t="n">
        <v>50</v>
      </c>
      <c r="D206" s="4" t="n">
        <v>53</v>
      </c>
      <c r="E206" s="4" t="n"/>
      <c r="F206" s="4" t="n"/>
      <c r="G206" s="4" t="n"/>
      <c r="H206" s="4" t="n">
        <v>122</v>
      </c>
      <c r="I206" s="6">
        <f>IF(AND(ISNUMBER(D206),C206&gt;0),100*(D206/C206-1),"")</f>
        <v/>
      </c>
      <c r="J206" s="6">
        <f>IF(AND(ISNUMBER(F206),ISNUMBER(E206)),100*(F206/E206-1),"")</f>
        <v/>
      </c>
      <c r="K206" s="6">
        <f>IF(AND(ISNUMBER(G206),ISNUMBER(H206)),100*G206/H206,"")</f>
        <v/>
      </c>
    </row>
    <row r="207">
      <c r="A207" s="4" t="inlineStr">
        <is>
          <t>12070</t>
        </is>
      </c>
      <c r="B207" s="4" t="inlineStr">
        <is>
          <t>Jana, la</t>
        </is>
      </c>
      <c r="C207" s="4" t="n">
        <v>665</v>
      </c>
      <c r="D207" s="4" t="n">
        <v>672</v>
      </c>
      <c r="E207" s="4" t="n"/>
      <c r="F207" s="4" t="n"/>
      <c r="G207" s="4" t="n"/>
      <c r="H207" s="4" t="n">
        <v>601</v>
      </c>
      <c r="I207" s="6">
        <f>IF(AND(ISNUMBER(D207),C207&gt;0),100*(D207/C207-1),"")</f>
        <v/>
      </c>
      <c r="J207" s="6">
        <f>IF(AND(ISNUMBER(F207),ISNUMBER(E207)),100*(F207/E207-1),"")</f>
        <v/>
      </c>
      <c r="K207" s="6">
        <f>IF(AND(ISNUMBER(G207),ISNUMBER(H207)),100*G207/H207,"")</f>
        <v/>
      </c>
    </row>
    <row r="208">
      <c r="A208" s="4" t="inlineStr">
        <is>
          <t>12071</t>
        </is>
      </c>
      <c r="B208" s="4" t="inlineStr">
        <is>
          <t>Jérica</t>
        </is>
      </c>
      <c r="C208" s="4" t="n">
        <v>1649</v>
      </c>
      <c r="D208" s="4" t="n">
        <v>1768</v>
      </c>
      <c r="E208" s="4" t="n">
        <v>3.2535</v>
      </c>
      <c r="F208" s="4" t="n">
        <v>3.8545</v>
      </c>
      <c r="G208" s="4" t="n"/>
      <c r="H208" s="4" t="n">
        <v>1973</v>
      </c>
      <c r="I208" s="6">
        <f>IF(AND(ISNUMBER(D208),C208&gt;0),100*(D208/C208-1),"")</f>
        <v/>
      </c>
      <c r="J208" s="6">
        <f>IF(AND(ISNUMBER(F208),ISNUMBER(E208)),100*(F208/E208-1),"")</f>
        <v/>
      </c>
      <c r="K208" s="6">
        <f>IF(AND(ISNUMBER(G208),ISNUMBER(H208)),100*G208/H208,"")</f>
        <v/>
      </c>
    </row>
    <row r="209">
      <c r="A209" s="4" t="inlineStr">
        <is>
          <t>12072</t>
        </is>
      </c>
      <c r="B209" s="4" t="inlineStr">
        <is>
          <t>Llucena/Lucena del Cid</t>
        </is>
      </c>
      <c r="C209" s="4" t="n">
        <v>1311</v>
      </c>
      <c r="D209" s="4" t="n">
        <v>1418</v>
      </c>
      <c r="E209" s="4" t="n">
        <v>2.4119</v>
      </c>
      <c r="F209" s="4" t="n">
        <v>3.2353</v>
      </c>
      <c r="G209" s="4" t="n"/>
      <c r="H209" s="4" t="n">
        <v>1184</v>
      </c>
      <c r="I209" s="6">
        <f>IF(AND(ISNUMBER(D209),C209&gt;0),100*(D209/C209-1),"")</f>
        <v/>
      </c>
      <c r="J209" s="6">
        <f>IF(AND(ISNUMBER(F209),ISNUMBER(E209)),100*(F209/E209-1),"")</f>
        <v/>
      </c>
      <c r="K209" s="6">
        <f>IF(AND(ISNUMBER(G209),ISNUMBER(H209)),100*G209/H209,"")</f>
        <v/>
      </c>
    </row>
    <row r="210">
      <c r="A210" s="4" t="inlineStr">
        <is>
          <t>12073</t>
        </is>
      </c>
      <c r="B210" s="4" t="inlineStr">
        <is>
          <t>Ludiente</t>
        </is>
      </c>
      <c r="C210" s="4" t="n">
        <v>154</v>
      </c>
      <c r="D210" s="4" t="n">
        <v>166</v>
      </c>
      <c r="E210" s="4" t="n"/>
      <c r="F210" s="4" t="n"/>
      <c r="G210" s="4" t="n"/>
      <c r="H210" s="4" t="n">
        <v>508</v>
      </c>
      <c r="I210" s="6">
        <f>IF(AND(ISNUMBER(D210),C210&gt;0),100*(D210/C210-1),"")</f>
        <v/>
      </c>
      <c r="J210" s="6">
        <f>IF(AND(ISNUMBER(F210),ISNUMBER(E210)),100*(F210/E210-1),"")</f>
        <v/>
      </c>
      <c r="K210" s="6">
        <f>IF(AND(ISNUMBER(G210),ISNUMBER(H210)),100*G210/H210,"")</f>
        <v/>
      </c>
    </row>
    <row r="211">
      <c r="A211" s="4" t="inlineStr">
        <is>
          <t>12074</t>
        </is>
      </c>
      <c r="B211" s="4" t="inlineStr">
        <is>
          <t>Llosa, la</t>
        </is>
      </c>
      <c r="C211" s="4" t="n">
        <v>980</v>
      </c>
      <c r="D211" s="4" t="n">
        <v>1032</v>
      </c>
      <c r="E211" s="4" t="n">
        <v>4.9912</v>
      </c>
      <c r="F211" s="4" t="n">
        <v>6.4017</v>
      </c>
      <c r="G211" s="4" t="n"/>
      <c r="H211" s="4" t="n">
        <v>552</v>
      </c>
      <c r="I211" s="6">
        <f>IF(AND(ISNUMBER(D211),C211&gt;0),100*(D211/C211-1),"")</f>
        <v/>
      </c>
      <c r="J211" s="6">
        <f>IF(AND(ISNUMBER(F211),ISNUMBER(E211)),100*(F211/E211-1),"")</f>
        <v/>
      </c>
      <c r="K211" s="6">
        <f>IF(AND(ISNUMBER(G211),ISNUMBER(H211)),100*G211/H211,"")</f>
        <v/>
      </c>
    </row>
    <row r="212">
      <c r="A212" s="4" t="inlineStr">
        <is>
          <t>12075</t>
        </is>
      </c>
      <c r="B212" s="4" t="inlineStr">
        <is>
          <t>Mata de Morella, la</t>
        </is>
      </c>
      <c r="C212" s="4" t="n">
        <v>167</v>
      </c>
      <c r="D212" s="4" t="n">
        <v>199</v>
      </c>
      <c r="E212" s="4" t="n"/>
      <c r="F212" s="4" t="n"/>
      <c r="G212" s="4" t="n"/>
      <c r="H212" s="4" t="n">
        <v>224</v>
      </c>
      <c r="I212" s="6">
        <f>IF(AND(ISNUMBER(D212),C212&gt;0),100*(D212/C212-1),"")</f>
        <v/>
      </c>
      <c r="J212" s="6">
        <f>IF(AND(ISNUMBER(F212),ISNUMBER(E212)),100*(F212/E212-1),"")</f>
        <v/>
      </c>
      <c r="K212" s="6">
        <f>IF(AND(ISNUMBER(G212),ISNUMBER(H212)),100*G212/H212,"")</f>
        <v/>
      </c>
    </row>
    <row r="213">
      <c r="A213" s="4" t="inlineStr">
        <is>
          <t>12076</t>
        </is>
      </c>
      <c r="B213" s="4" t="inlineStr">
        <is>
          <t>Matet</t>
        </is>
      </c>
      <c r="C213" s="4" t="n">
        <v>73</v>
      </c>
      <c r="D213" s="4" t="n">
        <v>94</v>
      </c>
      <c r="E213" s="4" t="n"/>
      <c r="F213" s="4" t="n"/>
      <c r="G213" s="4" t="n"/>
      <c r="H213" s="4" t="n">
        <v>248</v>
      </c>
      <c r="I213" s="6">
        <f>IF(AND(ISNUMBER(D213),C213&gt;0),100*(D213/C213-1),"")</f>
        <v/>
      </c>
      <c r="J213" s="6">
        <f>IF(AND(ISNUMBER(F213),ISNUMBER(E213)),100*(F213/E213-1),"")</f>
        <v/>
      </c>
      <c r="K213" s="6">
        <f>IF(AND(ISNUMBER(G213),ISNUMBER(H213)),100*G213/H213,"")</f>
        <v/>
      </c>
    </row>
    <row r="214">
      <c r="A214" s="4" t="inlineStr">
        <is>
          <t>12077</t>
        </is>
      </c>
      <c r="B214" s="4" t="inlineStr">
        <is>
          <t>Moncofa</t>
        </is>
      </c>
      <c r="C214" s="4" t="n">
        <v>6955</v>
      </c>
      <c r="D214" s="4" t="n">
        <v>8345</v>
      </c>
      <c r="E214" s="4" t="n">
        <v>4.8387</v>
      </c>
      <c r="F214" s="4" t="n">
        <v>6.6667</v>
      </c>
      <c r="G214" s="4" t="n"/>
      <c r="H214" s="4" t="n">
        <v>12073</v>
      </c>
      <c r="I214" s="6">
        <f>IF(AND(ISNUMBER(D214),C214&gt;0),100*(D214/C214-1),"")</f>
        <v/>
      </c>
      <c r="J214" s="6">
        <f>IF(AND(ISNUMBER(F214),ISNUMBER(E214)),100*(F214/E214-1),"")</f>
        <v/>
      </c>
      <c r="K214" s="6">
        <f>IF(AND(ISNUMBER(G214),ISNUMBER(H214)),100*G214/H214,"")</f>
        <v/>
      </c>
    </row>
    <row r="215">
      <c r="A215" s="4" t="inlineStr">
        <is>
          <t>12078</t>
        </is>
      </c>
      <c r="B215" s="4" t="inlineStr">
        <is>
          <t>Montán</t>
        </is>
      </c>
      <c r="C215" s="4" t="n">
        <v>363</v>
      </c>
      <c r="D215" s="4" t="n">
        <v>429</v>
      </c>
      <c r="E215" s="4" t="n"/>
      <c r="F215" s="4" t="n"/>
      <c r="G215" s="4" t="n"/>
      <c r="H215" s="4" t="n">
        <v>608</v>
      </c>
      <c r="I215" s="6">
        <f>IF(AND(ISNUMBER(D215),C215&gt;0),100*(D215/C215-1),"")</f>
        <v/>
      </c>
      <c r="J215" s="6">
        <f>IF(AND(ISNUMBER(F215),ISNUMBER(E215)),100*(F215/E215-1),"")</f>
        <v/>
      </c>
      <c r="K215" s="6">
        <f>IF(AND(ISNUMBER(G215),ISNUMBER(H215)),100*G215/H215,"")</f>
        <v/>
      </c>
    </row>
    <row r="216">
      <c r="A216" s="4" t="inlineStr">
        <is>
          <t>12079</t>
        </is>
      </c>
      <c r="B216" s="4" t="inlineStr">
        <is>
          <t>Montanejos</t>
        </is>
      </c>
      <c r="C216" s="4" t="n">
        <v>551</v>
      </c>
      <c r="D216" s="4" t="n">
        <v>651</v>
      </c>
      <c r="E216" s="4" t="n">
        <v>3.4694</v>
      </c>
      <c r="F216" s="4" t="n">
        <v>4.1667</v>
      </c>
      <c r="G216" s="4" t="n"/>
      <c r="H216" s="4" t="n">
        <v>1157</v>
      </c>
      <c r="I216" s="6">
        <f>IF(AND(ISNUMBER(D216),C216&gt;0),100*(D216/C216-1),"")</f>
        <v/>
      </c>
      <c r="J216" s="6">
        <f>IF(AND(ISNUMBER(F216),ISNUMBER(E216)),100*(F216/E216-1),"")</f>
        <v/>
      </c>
      <c r="K216" s="6">
        <f>IF(AND(ISNUMBER(G216),ISNUMBER(H216)),100*G216/H216,"")</f>
        <v/>
      </c>
    </row>
    <row r="217">
      <c r="A217" s="4" t="inlineStr">
        <is>
          <t>12080</t>
        </is>
      </c>
      <c r="B217" s="4" t="inlineStr">
        <is>
          <t>Morella</t>
        </is>
      </c>
      <c r="C217" s="4" t="n">
        <v>2455</v>
      </c>
      <c r="D217" s="4" t="n">
        <v>2502</v>
      </c>
      <c r="E217" s="4" t="n">
        <v>3.6794</v>
      </c>
      <c r="F217" s="4" t="n">
        <v>4.3407</v>
      </c>
      <c r="G217" s="4" t="n"/>
      <c r="H217" s="4" t="n">
        <v>2108</v>
      </c>
      <c r="I217" s="6">
        <f>IF(AND(ISNUMBER(D217),C217&gt;0),100*(D217/C217-1),"")</f>
        <v/>
      </c>
      <c r="J217" s="6">
        <f>IF(AND(ISNUMBER(F217),ISNUMBER(E217)),100*(F217/E217-1),"")</f>
        <v/>
      </c>
      <c r="K217" s="6">
        <f>IF(AND(ISNUMBER(G217),ISNUMBER(H217)),100*G217/H217,"")</f>
        <v/>
      </c>
    </row>
    <row r="218">
      <c r="A218" s="4" t="inlineStr">
        <is>
          <t>12081</t>
        </is>
      </c>
      <c r="B218" s="4" t="inlineStr">
        <is>
          <t>Navajas</t>
        </is>
      </c>
      <c r="C218" s="4" t="n">
        <v>772</v>
      </c>
      <c r="D218" s="4" t="n">
        <v>926</v>
      </c>
      <c r="E218" s="4" t="n">
        <v>3.7143</v>
      </c>
      <c r="F218" s="4" t="n">
        <v>4.8551</v>
      </c>
      <c r="G218" s="4" t="n"/>
      <c r="H218" s="4" t="n">
        <v>1256</v>
      </c>
      <c r="I218" s="6">
        <f>IF(AND(ISNUMBER(D218),C218&gt;0),100*(D218/C218-1),"")</f>
        <v/>
      </c>
      <c r="J218" s="6">
        <f>IF(AND(ISNUMBER(F218),ISNUMBER(E218)),100*(F218/E218-1),"")</f>
        <v/>
      </c>
      <c r="K218" s="6">
        <f>IF(AND(ISNUMBER(G218),ISNUMBER(H218)),100*G218/H218,"")</f>
        <v/>
      </c>
    </row>
    <row r="219">
      <c r="A219" s="4" t="inlineStr">
        <is>
          <t>12082</t>
        </is>
      </c>
      <c r="B219" s="4" t="inlineStr">
        <is>
          <t>Nules</t>
        </is>
      </c>
      <c r="C219" s="4" t="n">
        <v>13434</v>
      </c>
      <c r="D219" s="4" t="n">
        <v>14382</v>
      </c>
      <c r="E219" s="4" t="n">
        <v>3.0868</v>
      </c>
      <c r="F219" s="4" t="n">
        <v>4.0945</v>
      </c>
      <c r="G219" s="4" t="n"/>
      <c r="H219" s="4" t="n">
        <v>9091</v>
      </c>
      <c r="I219" s="6">
        <f>IF(AND(ISNUMBER(D219),C219&gt;0),100*(D219/C219-1),"")</f>
        <v/>
      </c>
      <c r="J219" s="6">
        <f>IF(AND(ISNUMBER(F219),ISNUMBER(E219)),100*(F219/E219-1),"")</f>
        <v/>
      </c>
      <c r="K219" s="6">
        <f>IF(AND(ISNUMBER(G219),ISNUMBER(H219)),100*G219/H219,"")</f>
        <v/>
      </c>
    </row>
    <row r="220">
      <c r="A220" s="4" t="inlineStr">
        <is>
          <t>12083</t>
        </is>
      </c>
      <c r="B220" s="4" t="inlineStr">
        <is>
          <t>Olocau del Rey</t>
        </is>
      </c>
      <c r="C220" s="4" t="n">
        <v>117</v>
      </c>
      <c r="D220" s="4" t="n">
        <v>141</v>
      </c>
      <c r="E220" s="4" t="n"/>
      <c r="F220" s="4" t="n"/>
      <c r="G220" s="4" t="n"/>
      <c r="H220" s="4" t="n">
        <v>113</v>
      </c>
      <c r="I220" s="6">
        <f>IF(AND(ISNUMBER(D220),C220&gt;0),100*(D220/C220-1),"")</f>
        <v/>
      </c>
      <c r="J220" s="6">
        <f>IF(AND(ISNUMBER(F220),ISNUMBER(E220)),100*(F220/E220-1),"")</f>
        <v/>
      </c>
      <c r="K220" s="6">
        <f>IF(AND(ISNUMBER(G220),ISNUMBER(H220)),100*G220/H220,"")</f>
        <v/>
      </c>
    </row>
    <row r="221">
      <c r="A221" s="4" t="inlineStr">
        <is>
          <t>12084</t>
        </is>
      </c>
      <c r="B221" s="4" t="inlineStr">
        <is>
          <t>Onda</t>
        </is>
      </c>
      <c r="C221" s="4" t="n">
        <v>24955</v>
      </c>
      <c r="D221" s="4" t="n">
        <v>26297</v>
      </c>
      <c r="E221" s="4" t="n">
        <v>3.3173</v>
      </c>
      <c r="F221" s="4" t="n">
        <v>4.5455</v>
      </c>
      <c r="G221" s="4" t="n"/>
      <c r="H221" s="4" t="n">
        <v>14203</v>
      </c>
      <c r="I221" s="6">
        <f>IF(AND(ISNUMBER(D221),C221&gt;0),100*(D221/C221-1),"")</f>
        <v/>
      </c>
      <c r="J221" s="6">
        <f>IF(AND(ISNUMBER(F221),ISNUMBER(E221)),100*(F221/E221-1),"")</f>
        <v/>
      </c>
      <c r="K221" s="6">
        <f>IF(AND(ISNUMBER(G221),ISNUMBER(H221)),100*G221/H221,"")</f>
        <v/>
      </c>
    </row>
    <row r="222">
      <c r="A222" s="4" t="inlineStr">
        <is>
          <t>12085</t>
        </is>
      </c>
      <c r="B222" s="4" t="inlineStr">
        <is>
          <t>Orpesa/Oropesa del Mar</t>
        </is>
      </c>
      <c r="C222" s="4" t="n">
        <v>9642</v>
      </c>
      <c r="D222" s="4" t="n">
        <v>12483</v>
      </c>
      <c r="E222" s="4" t="n">
        <v>5.3988</v>
      </c>
      <c r="F222" s="4" t="n">
        <v>6.9293</v>
      </c>
      <c r="G222" s="4" t="n"/>
      <c r="H222" s="4" t="n">
        <v>29511</v>
      </c>
      <c r="I222" s="6">
        <f>IF(AND(ISNUMBER(D222),C222&gt;0),100*(D222/C222-1),"")</f>
        <v/>
      </c>
      <c r="J222" s="6">
        <f>IF(AND(ISNUMBER(F222),ISNUMBER(E222)),100*(F222/E222-1),"")</f>
        <v/>
      </c>
      <c r="K222" s="6">
        <f>IF(AND(ISNUMBER(G222),ISNUMBER(H222)),100*G222/H222,"")</f>
        <v/>
      </c>
    </row>
    <row r="223">
      <c r="A223" s="4" t="inlineStr">
        <is>
          <t>12087</t>
        </is>
      </c>
      <c r="B223" s="4" t="inlineStr">
        <is>
          <t>Palanques</t>
        </is>
      </c>
      <c r="C223" s="4" t="n">
        <v>36</v>
      </c>
      <c r="D223" s="4" t="n">
        <v>34</v>
      </c>
      <c r="E223" s="4" t="n"/>
      <c r="F223" s="4" t="n"/>
      <c r="G223" s="4" t="n"/>
      <c r="H223" s="4" t="n">
        <v>120</v>
      </c>
      <c r="I223" s="6">
        <f>IF(AND(ISNUMBER(D223),C223&gt;0),100*(D223/C223-1),"")</f>
        <v/>
      </c>
      <c r="J223" s="6">
        <f>IF(AND(ISNUMBER(F223),ISNUMBER(E223)),100*(F223/E223-1),"")</f>
        <v/>
      </c>
      <c r="K223" s="6">
        <f>IF(AND(ISNUMBER(G223),ISNUMBER(H223)),100*G223/H223,"")</f>
        <v/>
      </c>
    </row>
    <row r="224">
      <c r="A224" s="4" t="inlineStr">
        <is>
          <t>12088</t>
        </is>
      </c>
      <c r="B224" s="4" t="inlineStr">
        <is>
          <t>Pavías</t>
        </is>
      </c>
      <c r="C224" s="4" t="n">
        <v>72</v>
      </c>
      <c r="D224" s="4" t="n">
        <v>73</v>
      </c>
      <c r="E224" s="4" t="n"/>
      <c r="F224" s="4" t="n"/>
      <c r="G224" s="4" t="n"/>
      <c r="H224" s="4" t="n">
        <v>163</v>
      </c>
      <c r="I224" s="6">
        <f>IF(AND(ISNUMBER(D224),C224&gt;0),100*(D224/C224-1),"")</f>
        <v/>
      </c>
      <c r="J224" s="6">
        <f>IF(AND(ISNUMBER(F224),ISNUMBER(E224)),100*(F224/E224-1),"")</f>
        <v/>
      </c>
      <c r="K224" s="6">
        <f>IF(AND(ISNUMBER(G224),ISNUMBER(H224)),100*G224/H224,"")</f>
        <v/>
      </c>
    </row>
    <row r="225">
      <c r="A225" s="4" t="inlineStr">
        <is>
          <t>12089</t>
        </is>
      </c>
      <c r="B225" s="4" t="inlineStr">
        <is>
          <t>Peníscola/Peñíscola</t>
        </is>
      </c>
      <c r="C225" s="4" t="n">
        <v>7901</v>
      </c>
      <c r="D225" s="4" t="n">
        <v>8748</v>
      </c>
      <c r="E225" s="4" t="n">
        <v>4.1244</v>
      </c>
      <c r="F225" s="4" t="n">
        <v>5.1899</v>
      </c>
      <c r="G225" s="4" t="n"/>
      <c r="H225" s="4" t="n">
        <v>18283</v>
      </c>
      <c r="I225" s="6">
        <f>IF(AND(ISNUMBER(D225),C225&gt;0),100*(D225/C225-1),"")</f>
        <v/>
      </c>
      <c r="J225" s="6">
        <f>IF(AND(ISNUMBER(F225),ISNUMBER(E225)),100*(F225/E225-1),"")</f>
        <v/>
      </c>
      <c r="K225" s="6">
        <f>IF(AND(ISNUMBER(G225),ISNUMBER(H225)),100*G225/H225,"")</f>
        <v/>
      </c>
    </row>
    <row r="226">
      <c r="A226" s="4" t="inlineStr">
        <is>
          <t>12090</t>
        </is>
      </c>
      <c r="B226" s="4" t="inlineStr">
        <is>
          <t>Pina de Montalgrao</t>
        </is>
      </c>
      <c r="C226" s="4" t="n">
        <v>116</v>
      </c>
      <c r="D226" s="4" t="n">
        <v>122</v>
      </c>
      <c r="E226" s="4" t="n"/>
      <c r="F226" s="4" t="n"/>
      <c r="G226" s="4" t="n"/>
      <c r="H226" s="4" t="n">
        <v>254</v>
      </c>
      <c r="I226" s="6">
        <f>IF(AND(ISNUMBER(D226),C226&gt;0),100*(D226/C226-1),"")</f>
        <v/>
      </c>
      <c r="J226" s="6">
        <f>IF(AND(ISNUMBER(F226),ISNUMBER(E226)),100*(F226/E226-1),"")</f>
        <v/>
      </c>
      <c r="K226" s="6">
        <f>IF(AND(ISNUMBER(G226),ISNUMBER(H226)),100*G226/H226,"")</f>
        <v/>
      </c>
    </row>
    <row r="227">
      <c r="A227" s="4" t="inlineStr">
        <is>
          <t>12091</t>
        </is>
      </c>
      <c r="B227" s="4" t="inlineStr">
        <is>
          <t>Portell de Morella</t>
        </is>
      </c>
      <c r="C227" s="4" t="n">
        <v>181</v>
      </c>
      <c r="D227" s="4" t="n">
        <v>155</v>
      </c>
      <c r="E227" s="4" t="n"/>
      <c r="F227" s="4" t="n"/>
      <c r="G227" s="4" t="n"/>
      <c r="H227" s="4" t="n">
        <v>279</v>
      </c>
      <c r="I227" s="6">
        <f>IF(AND(ISNUMBER(D227),C227&gt;0),100*(D227/C227-1),"")</f>
        <v/>
      </c>
      <c r="J227" s="6">
        <f>IF(AND(ISNUMBER(F227),ISNUMBER(E227)),100*(F227/E227-1),"")</f>
        <v/>
      </c>
      <c r="K227" s="6">
        <f>IF(AND(ISNUMBER(G227),ISNUMBER(H227)),100*G227/H227,"")</f>
        <v/>
      </c>
    </row>
    <row r="228">
      <c r="A228" s="4" t="inlineStr">
        <is>
          <t>12092</t>
        </is>
      </c>
      <c r="B228" s="4" t="inlineStr">
        <is>
          <t>Puebla de Arenoso</t>
        </is>
      </c>
      <c r="C228" s="4" t="n">
        <v>159</v>
      </c>
      <c r="D228" s="4" t="n">
        <v>169</v>
      </c>
      <c r="E228" s="4" t="n"/>
      <c r="F228" s="4" t="n"/>
      <c r="G228" s="4" t="n"/>
      <c r="H228" s="4" t="n">
        <v>505</v>
      </c>
      <c r="I228" s="6">
        <f>IF(AND(ISNUMBER(D228),C228&gt;0),100*(D228/C228-1),"")</f>
        <v/>
      </c>
      <c r="J228" s="6">
        <f>IF(AND(ISNUMBER(F228),ISNUMBER(E228)),100*(F228/E228-1),"")</f>
        <v/>
      </c>
      <c r="K228" s="6">
        <f>IF(AND(ISNUMBER(G228),ISNUMBER(H228)),100*G228/H228,"")</f>
        <v/>
      </c>
    </row>
    <row r="229">
      <c r="A229" s="4" t="inlineStr">
        <is>
          <t>12093</t>
        </is>
      </c>
      <c r="B229" s="4" t="inlineStr">
        <is>
          <t>Pobla de Benifassà, la</t>
        </is>
      </c>
      <c r="C229" s="4" t="n">
        <v>214</v>
      </c>
      <c r="D229" s="4" t="n">
        <v>230</v>
      </c>
      <c r="E229" s="4" t="n"/>
      <c r="F229" s="4" t="n"/>
      <c r="G229" s="4" t="n"/>
      <c r="H229" s="4" t="n">
        <v>525</v>
      </c>
      <c r="I229" s="6">
        <f>IF(AND(ISNUMBER(D229),C229&gt;0),100*(D229/C229-1),"")</f>
        <v/>
      </c>
      <c r="J229" s="6">
        <f>IF(AND(ISNUMBER(F229),ISNUMBER(E229)),100*(F229/E229-1),"")</f>
        <v/>
      </c>
      <c r="K229" s="6">
        <f>IF(AND(ISNUMBER(G229),ISNUMBER(H229)),100*G229/H229,"")</f>
        <v/>
      </c>
    </row>
    <row r="230">
      <c r="A230" s="4" t="inlineStr">
        <is>
          <t>12094</t>
        </is>
      </c>
      <c r="B230" s="4" t="inlineStr">
        <is>
          <t>Pobla Tornesa, la</t>
        </is>
      </c>
      <c r="C230" s="4" t="n">
        <v>1244</v>
      </c>
      <c r="D230" s="4" t="n">
        <v>1336</v>
      </c>
      <c r="E230" s="4" t="n"/>
      <c r="F230" s="4" t="n">
        <v>5.4167</v>
      </c>
      <c r="G230" s="4" t="n"/>
      <c r="H230" s="4" t="n">
        <v>771</v>
      </c>
      <c r="I230" s="6">
        <f>IF(AND(ISNUMBER(D230),C230&gt;0),100*(D230/C230-1),"")</f>
        <v/>
      </c>
      <c r="J230" s="6">
        <f>IF(AND(ISNUMBER(F230),ISNUMBER(E230)),100*(F230/E230-1),"")</f>
        <v/>
      </c>
      <c r="K230" s="6">
        <f>IF(AND(ISNUMBER(G230),ISNUMBER(H230)),100*G230/H230,"")</f>
        <v/>
      </c>
    </row>
    <row r="231">
      <c r="A231" s="4" t="inlineStr">
        <is>
          <t>12095</t>
        </is>
      </c>
      <c r="B231" s="4" t="inlineStr">
        <is>
          <t>Ribesalbes</t>
        </is>
      </c>
      <c r="C231" s="4" t="n">
        <v>1158</v>
      </c>
      <c r="D231" s="4" t="n">
        <v>1194</v>
      </c>
      <c r="E231" s="4" t="n"/>
      <c r="F231" s="4" t="n">
        <v>2.9127</v>
      </c>
      <c r="G231" s="4" t="n"/>
      <c r="H231" s="4" t="n">
        <v>759</v>
      </c>
      <c r="I231" s="6">
        <f>IF(AND(ISNUMBER(D231),C231&gt;0),100*(D231/C231-1),"")</f>
        <v/>
      </c>
      <c r="J231" s="6">
        <f>IF(AND(ISNUMBER(F231),ISNUMBER(E231)),100*(F231/E231-1),"")</f>
        <v/>
      </c>
      <c r="K231" s="6">
        <f>IF(AND(ISNUMBER(G231),ISNUMBER(H231)),100*G231/H231,"")</f>
        <v/>
      </c>
    </row>
    <row r="232">
      <c r="A232" s="4" t="inlineStr">
        <is>
          <t>12096</t>
        </is>
      </c>
      <c r="B232" s="4" t="inlineStr">
        <is>
          <t>Rossell</t>
        </is>
      </c>
      <c r="C232" s="4" t="n">
        <v>900</v>
      </c>
      <c r="D232" s="4" t="n">
        <v>908</v>
      </c>
      <c r="E232" s="4" t="n"/>
      <c r="F232" s="4" t="n"/>
      <c r="G232" s="4" t="n"/>
      <c r="H232" s="4" t="n">
        <v>875</v>
      </c>
      <c r="I232" s="6">
        <f>IF(AND(ISNUMBER(D232),C232&gt;0),100*(D232/C232-1),"")</f>
        <v/>
      </c>
      <c r="J232" s="6">
        <f>IF(AND(ISNUMBER(F232),ISNUMBER(E232)),100*(F232/E232-1),"")</f>
        <v/>
      </c>
      <c r="K232" s="6">
        <f>IF(AND(ISNUMBER(G232),ISNUMBER(H232)),100*G232/H232,"")</f>
        <v/>
      </c>
    </row>
    <row r="233">
      <c r="A233" s="4" t="inlineStr">
        <is>
          <t>12097</t>
        </is>
      </c>
      <c r="B233" s="4" t="inlineStr">
        <is>
          <t>Sacañet</t>
        </is>
      </c>
      <c r="C233" s="4" t="n">
        <v>58</v>
      </c>
      <c r="D233" s="4" t="n">
        <v>67</v>
      </c>
      <c r="E233" s="4" t="n"/>
      <c r="F233" s="4" t="n"/>
      <c r="G233" s="4" t="n"/>
      <c r="H233" s="4" t="n">
        <v>124</v>
      </c>
      <c r="I233" s="6">
        <f>IF(AND(ISNUMBER(D233),C233&gt;0),100*(D233/C233-1),"")</f>
        <v/>
      </c>
      <c r="J233" s="6">
        <f>IF(AND(ISNUMBER(F233),ISNUMBER(E233)),100*(F233/E233-1),"")</f>
        <v/>
      </c>
      <c r="K233" s="6">
        <f>IF(AND(ISNUMBER(G233),ISNUMBER(H233)),100*G233/H233,"")</f>
        <v/>
      </c>
    </row>
    <row r="234">
      <c r="A234" s="4" t="inlineStr">
        <is>
          <t>12098</t>
        </is>
      </c>
      <c r="B234" s="4" t="inlineStr">
        <is>
          <t>Salzadella, la</t>
        </is>
      </c>
      <c r="C234" s="4" t="n">
        <v>683</v>
      </c>
      <c r="D234" s="4" t="n">
        <v>674</v>
      </c>
      <c r="E234" s="4" t="n"/>
      <c r="F234" s="4" t="n"/>
      <c r="G234" s="4" t="n"/>
      <c r="H234" s="4" t="n">
        <v>553</v>
      </c>
      <c r="I234" s="6">
        <f>IF(AND(ISNUMBER(D234),C234&gt;0),100*(D234/C234-1),"")</f>
        <v/>
      </c>
      <c r="J234" s="6">
        <f>IF(AND(ISNUMBER(F234),ISNUMBER(E234)),100*(F234/E234-1),"")</f>
        <v/>
      </c>
      <c r="K234" s="6">
        <f>IF(AND(ISNUMBER(G234),ISNUMBER(H234)),100*G234/H234,"")</f>
        <v/>
      </c>
    </row>
    <row r="235">
      <c r="A235" s="4" t="inlineStr">
        <is>
          <t>12099</t>
        </is>
      </c>
      <c r="B235" s="4" t="inlineStr">
        <is>
          <t>Sant Jordi/San Jorge</t>
        </is>
      </c>
      <c r="C235" s="4" t="n">
        <v>1073</v>
      </c>
      <c r="D235" s="4" t="n">
        <v>1568</v>
      </c>
      <c r="E235" s="4" t="n">
        <v>4.1703</v>
      </c>
      <c r="F235" s="4" t="n">
        <v>5.7217</v>
      </c>
      <c r="G235" s="4" t="n"/>
      <c r="H235" s="4" t="n">
        <v>2545</v>
      </c>
      <c r="I235" s="6">
        <f>IF(AND(ISNUMBER(D235),C235&gt;0),100*(D235/C235-1),"")</f>
        <v/>
      </c>
      <c r="J235" s="6">
        <f>IF(AND(ISNUMBER(F235),ISNUMBER(E235)),100*(F235/E235-1),"")</f>
        <v/>
      </c>
      <c r="K235" s="6">
        <f>IF(AND(ISNUMBER(G235),ISNUMBER(H235)),100*G235/H235,"")</f>
        <v/>
      </c>
    </row>
    <row r="236">
      <c r="A236" s="4" t="inlineStr">
        <is>
          <t>12100</t>
        </is>
      </c>
      <c r="B236" s="4" t="inlineStr">
        <is>
          <t>Sant Mateu</t>
        </is>
      </c>
      <c r="C236" s="4" t="n">
        <v>1955</v>
      </c>
      <c r="D236" s="4" t="n">
        <v>2010</v>
      </c>
      <c r="E236" s="4" t="n">
        <v>2.5806</v>
      </c>
      <c r="F236" s="4" t="n">
        <v>3.1915</v>
      </c>
      <c r="G236" s="4" t="n"/>
      <c r="H236" s="4" t="n">
        <v>1428</v>
      </c>
      <c r="I236" s="6">
        <f>IF(AND(ISNUMBER(D236),C236&gt;0),100*(D236/C236-1),"")</f>
        <v/>
      </c>
      <c r="J236" s="6">
        <f>IF(AND(ISNUMBER(F236),ISNUMBER(E236)),100*(F236/E236-1),"")</f>
        <v/>
      </c>
      <c r="K236" s="6">
        <f>IF(AND(ISNUMBER(G236),ISNUMBER(H236)),100*G236/H236,"")</f>
        <v/>
      </c>
    </row>
    <row r="237">
      <c r="A237" s="4" t="inlineStr">
        <is>
          <t>12101</t>
        </is>
      </c>
      <c r="B237" s="4" t="inlineStr">
        <is>
          <t>San Rafael del Río</t>
        </is>
      </c>
      <c r="C237" s="4" t="n">
        <v>469</v>
      </c>
      <c r="D237" s="4" t="n">
        <v>536</v>
      </c>
      <c r="E237" s="4" t="n"/>
      <c r="F237" s="4" t="n">
        <v>5.1207</v>
      </c>
      <c r="G237" s="4" t="n"/>
      <c r="H237" s="4" t="n">
        <v>430</v>
      </c>
      <c r="I237" s="6">
        <f>IF(AND(ISNUMBER(D237),C237&gt;0),100*(D237/C237-1),"")</f>
        <v/>
      </c>
      <c r="J237" s="6">
        <f>IF(AND(ISNUMBER(F237),ISNUMBER(E237)),100*(F237/E237-1),"")</f>
        <v/>
      </c>
      <c r="K237" s="6">
        <f>IF(AND(ISNUMBER(G237),ISNUMBER(H237)),100*G237/H237,"")</f>
        <v/>
      </c>
    </row>
    <row r="238">
      <c r="A238" s="4" t="inlineStr">
        <is>
          <t>12102</t>
        </is>
      </c>
      <c r="B238" s="4" t="inlineStr">
        <is>
          <t>Santa Magdalena de Pulpis</t>
        </is>
      </c>
      <c r="C238" s="4" t="n">
        <v>762</v>
      </c>
      <c r="D238" s="4" t="n">
        <v>779</v>
      </c>
      <c r="E238" s="4" t="n"/>
      <c r="F238" s="4" t="n"/>
      <c r="G238" s="4" t="n"/>
      <c r="H238" s="4" t="n">
        <v>721</v>
      </c>
      <c r="I238" s="6">
        <f>IF(AND(ISNUMBER(D238),C238&gt;0),100*(D238/C238-1),"")</f>
        <v/>
      </c>
      <c r="J238" s="6">
        <f>IF(AND(ISNUMBER(F238),ISNUMBER(E238)),100*(F238/E238-1),"")</f>
        <v/>
      </c>
      <c r="K238" s="6">
        <f>IF(AND(ISNUMBER(G238),ISNUMBER(H238)),100*G238/H238,"")</f>
        <v/>
      </c>
    </row>
    <row r="239">
      <c r="A239" s="4" t="inlineStr">
        <is>
          <t>12103</t>
        </is>
      </c>
      <c r="B239" s="4" t="inlineStr">
        <is>
          <t>Serratella, la</t>
        </is>
      </c>
      <c r="C239" s="4" t="n">
        <v>93</v>
      </c>
      <c r="D239" s="4" t="n">
        <v>114</v>
      </c>
      <c r="E239" s="4" t="n"/>
      <c r="F239" s="4" t="n"/>
      <c r="G239" s="4" t="n"/>
      <c r="H239" s="4" t="n">
        <v>153</v>
      </c>
      <c r="I239" s="6">
        <f>IF(AND(ISNUMBER(D239),C239&gt;0),100*(D239/C239-1),"")</f>
        <v/>
      </c>
      <c r="J239" s="6">
        <f>IF(AND(ISNUMBER(F239),ISNUMBER(E239)),100*(F239/E239-1),"")</f>
        <v/>
      </c>
      <c r="K239" s="6">
        <f>IF(AND(ISNUMBER(G239),ISNUMBER(H239)),100*G239/H239,"")</f>
        <v/>
      </c>
    </row>
    <row r="240">
      <c r="A240" s="4" t="inlineStr">
        <is>
          <t>12104</t>
        </is>
      </c>
      <c r="B240" s="4" t="inlineStr">
        <is>
          <t>Segorbe</t>
        </is>
      </c>
      <c r="C240" s="4" t="n">
        <v>9175</v>
      </c>
      <c r="D240" s="4" t="n">
        <v>9814</v>
      </c>
      <c r="E240" s="4" t="n">
        <v>3.0374</v>
      </c>
      <c r="F240" s="4" t="n">
        <v>3.7783</v>
      </c>
      <c r="G240" s="4" t="n"/>
      <c r="H240" s="4" t="n">
        <v>5980</v>
      </c>
      <c r="I240" s="6">
        <f>IF(AND(ISNUMBER(D240),C240&gt;0),100*(D240/C240-1),"")</f>
        <v/>
      </c>
      <c r="J240" s="6">
        <f>IF(AND(ISNUMBER(F240),ISNUMBER(E240)),100*(F240/E240-1),"")</f>
        <v/>
      </c>
      <c r="K240" s="6">
        <f>IF(AND(ISNUMBER(G240),ISNUMBER(H240)),100*G240/H240,"")</f>
        <v/>
      </c>
    </row>
    <row r="241">
      <c r="A241" s="4" t="inlineStr">
        <is>
          <t>12105</t>
        </is>
      </c>
      <c r="B241" s="4" t="inlineStr">
        <is>
          <t>Sierra Engarcerán</t>
        </is>
      </c>
      <c r="C241" s="4" t="n">
        <v>995</v>
      </c>
      <c r="D241" s="4" t="n">
        <v>1041</v>
      </c>
      <c r="E241" s="4" t="n"/>
      <c r="F241" s="4" t="n"/>
      <c r="G241" s="4" t="n"/>
      <c r="H241" s="4" t="n">
        <v>567</v>
      </c>
      <c r="I241" s="6">
        <f>IF(AND(ISNUMBER(D241),C241&gt;0),100*(D241/C241-1),"")</f>
        <v/>
      </c>
      <c r="J241" s="6">
        <f>IF(AND(ISNUMBER(F241),ISNUMBER(E241)),100*(F241/E241-1),"")</f>
        <v/>
      </c>
      <c r="K241" s="6">
        <f>IF(AND(ISNUMBER(G241),ISNUMBER(H241)),100*G241/H241,"")</f>
        <v/>
      </c>
    </row>
    <row r="242">
      <c r="A242" s="4" t="inlineStr">
        <is>
          <t>12106</t>
        </is>
      </c>
      <c r="B242" s="4" t="inlineStr">
        <is>
          <t>Soneja</t>
        </is>
      </c>
      <c r="C242" s="4" t="n">
        <v>1477</v>
      </c>
      <c r="D242" s="4" t="n">
        <v>1531</v>
      </c>
      <c r="E242" s="4" t="n">
        <v>2.7778</v>
      </c>
      <c r="F242" s="4" t="n">
        <v>3.8558</v>
      </c>
      <c r="G242" s="4" t="n"/>
      <c r="H242" s="4" t="n">
        <v>1181</v>
      </c>
      <c r="I242" s="6">
        <f>IF(AND(ISNUMBER(D242),C242&gt;0),100*(D242/C242-1),"")</f>
        <v/>
      </c>
      <c r="J242" s="6">
        <f>IF(AND(ISNUMBER(F242),ISNUMBER(E242)),100*(F242/E242-1),"")</f>
        <v/>
      </c>
      <c r="K242" s="6">
        <f>IF(AND(ISNUMBER(G242),ISNUMBER(H242)),100*G242/H242,"")</f>
        <v/>
      </c>
    </row>
    <row r="243">
      <c r="A243" s="4" t="inlineStr">
        <is>
          <t>12107</t>
        </is>
      </c>
      <c r="B243" s="4" t="inlineStr">
        <is>
          <t>Sot de Ferrer</t>
        </is>
      </c>
      <c r="C243" s="4" t="n">
        <v>428</v>
      </c>
      <c r="D243" s="4" t="n">
        <v>488</v>
      </c>
      <c r="E243" s="4" t="n"/>
      <c r="F243" s="4" t="n"/>
      <c r="G243" s="4" t="n"/>
      <c r="H243" s="4" t="n">
        <v>450</v>
      </c>
      <c r="I243" s="6">
        <f>IF(AND(ISNUMBER(D243),C243&gt;0),100*(D243/C243-1),"")</f>
        <v/>
      </c>
      <c r="J243" s="6">
        <f>IF(AND(ISNUMBER(F243),ISNUMBER(E243)),100*(F243/E243-1),"")</f>
        <v/>
      </c>
      <c r="K243" s="6">
        <f>IF(AND(ISNUMBER(G243),ISNUMBER(H243)),100*G243/H243,"")</f>
        <v/>
      </c>
    </row>
    <row r="244">
      <c r="A244" s="4" t="inlineStr">
        <is>
          <t>12108</t>
        </is>
      </c>
      <c r="B244" s="4" t="inlineStr">
        <is>
          <t>Suera/Sueras</t>
        </is>
      </c>
      <c r="C244" s="4" t="n">
        <v>559</v>
      </c>
      <c r="D244" s="4" t="n">
        <v>595</v>
      </c>
      <c r="E244" s="4" t="n">
        <v>3.1422</v>
      </c>
      <c r="F244" s="4" t="n"/>
      <c r="G244" s="4" t="n"/>
      <c r="H244" s="4" t="n">
        <v>566</v>
      </c>
      <c r="I244" s="6">
        <f>IF(AND(ISNUMBER(D244),C244&gt;0),100*(D244/C244-1),"")</f>
        <v/>
      </c>
      <c r="J244" s="6">
        <f>IF(AND(ISNUMBER(F244),ISNUMBER(E244)),100*(F244/E244-1),"")</f>
        <v/>
      </c>
      <c r="K244" s="6">
        <f>IF(AND(ISNUMBER(G244),ISNUMBER(H244)),100*G244/H244,"")</f>
        <v/>
      </c>
    </row>
    <row r="245">
      <c r="A245" s="4" t="inlineStr">
        <is>
          <t>12109</t>
        </is>
      </c>
      <c r="B245" s="4" t="inlineStr">
        <is>
          <t>Tales</t>
        </is>
      </c>
      <c r="C245" s="4" t="n">
        <v>848</v>
      </c>
      <c r="D245" s="4" t="n">
        <v>836</v>
      </c>
      <c r="E245" s="4" t="n">
        <v>2.5231</v>
      </c>
      <c r="F245" s="4" t="n">
        <v>2.8409</v>
      </c>
      <c r="G245" s="4" t="n"/>
      <c r="H245" s="4" t="n">
        <v>624</v>
      </c>
      <c r="I245" s="6">
        <f>IF(AND(ISNUMBER(D245),C245&gt;0),100*(D245/C245-1),"")</f>
        <v/>
      </c>
      <c r="J245" s="6">
        <f>IF(AND(ISNUMBER(F245),ISNUMBER(E245)),100*(F245/E245-1),"")</f>
        <v/>
      </c>
      <c r="K245" s="6">
        <f>IF(AND(ISNUMBER(G245),ISNUMBER(H245)),100*G245/H245,"")</f>
        <v/>
      </c>
    </row>
    <row r="246">
      <c r="A246" s="4" t="inlineStr">
        <is>
          <t>12110</t>
        </is>
      </c>
      <c r="B246" s="4" t="inlineStr">
        <is>
          <t>Teresa</t>
        </is>
      </c>
      <c r="C246" s="4" t="n">
        <v>247</v>
      </c>
      <c r="D246" s="4" t="n">
        <v>254</v>
      </c>
      <c r="E246" s="4" t="n"/>
      <c r="F246" s="4" t="n"/>
      <c r="G246" s="4" t="n"/>
      <c r="H246" s="4" t="n">
        <v>567</v>
      </c>
      <c r="I246" s="6">
        <f>IF(AND(ISNUMBER(D246),C246&gt;0),100*(D246/C246-1),"")</f>
        <v/>
      </c>
      <c r="J246" s="6">
        <f>IF(AND(ISNUMBER(F246),ISNUMBER(E246)),100*(F246/E246-1),"")</f>
        <v/>
      </c>
      <c r="K246" s="6">
        <f>IF(AND(ISNUMBER(G246),ISNUMBER(H246)),100*G246/H246,"")</f>
        <v/>
      </c>
    </row>
    <row r="247">
      <c r="A247" s="4" t="inlineStr">
        <is>
          <t>12111</t>
        </is>
      </c>
      <c r="B247" s="4" t="inlineStr">
        <is>
          <t>Tírig</t>
        </is>
      </c>
      <c r="C247" s="4" t="n">
        <v>417</v>
      </c>
      <c r="D247" s="4" t="n">
        <v>417</v>
      </c>
      <c r="E247" s="4" t="n"/>
      <c r="F247" s="4" t="n"/>
      <c r="G247" s="4" t="n"/>
      <c r="H247" s="4" t="n">
        <v>606</v>
      </c>
      <c r="I247" s="6">
        <f>IF(AND(ISNUMBER(D247),C247&gt;0),100*(D247/C247-1),"")</f>
        <v/>
      </c>
      <c r="J247" s="6">
        <f>IF(AND(ISNUMBER(F247),ISNUMBER(E247)),100*(F247/E247-1),"")</f>
        <v/>
      </c>
      <c r="K247" s="6">
        <f>IF(AND(ISNUMBER(G247),ISNUMBER(H247)),100*G247/H247,"")</f>
        <v/>
      </c>
    </row>
    <row r="248">
      <c r="A248" s="4" t="inlineStr">
        <is>
          <t>12112</t>
        </is>
      </c>
      <c r="B248" s="4" t="inlineStr">
        <is>
          <t>Todolella</t>
        </is>
      </c>
      <c r="C248" s="4" t="n">
        <v>145</v>
      </c>
      <c r="D248" s="4" t="n">
        <v>135</v>
      </c>
      <c r="E248" s="4" t="n"/>
      <c r="F248" s="4" t="n"/>
      <c r="G248" s="4" t="n"/>
      <c r="H248" s="4" t="n">
        <v>211</v>
      </c>
      <c r="I248" s="6">
        <f>IF(AND(ISNUMBER(D248),C248&gt;0),100*(D248/C248-1),"")</f>
        <v/>
      </c>
      <c r="J248" s="6">
        <f>IF(AND(ISNUMBER(F248),ISNUMBER(E248)),100*(F248/E248-1),"")</f>
        <v/>
      </c>
      <c r="K248" s="6">
        <f>IF(AND(ISNUMBER(G248),ISNUMBER(H248)),100*G248/H248,"")</f>
        <v/>
      </c>
    </row>
    <row r="249">
      <c r="A249" s="4" t="inlineStr">
        <is>
          <t>12113</t>
        </is>
      </c>
      <c r="B249" s="4" t="inlineStr">
        <is>
          <t>Toga</t>
        </is>
      </c>
      <c r="C249" s="4" t="n">
        <v>101</v>
      </c>
      <c r="D249" s="4" t="n">
        <v>107</v>
      </c>
      <c r="E249" s="4" t="n"/>
      <c r="F249" s="4" t="n"/>
      <c r="G249" s="4" t="n"/>
      <c r="H249" s="4" t="n">
        <v>231</v>
      </c>
      <c r="I249" s="6">
        <f>IF(AND(ISNUMBER(D249),C249&gt;0),100*(D249/C249-1),"")</f>
        <v/>
      </c>
      <c r="J249" s="6">
        <f>IF(AND(ISNUMBER(F249),ISNUMBER(E249)),100*(F249/E249-1),"")</f>
        <v/>
      </c>
      <c r="K249" s="6">
        <f>IF(AND(ISNUMBER(G249),ISNUMBER(H249)),100*G249/H249,"")</f>
        <v/>
      </c>
    </row>
    <row r="250">
      <c r="A250" s="4" t="inlineStr">
        <is>
          <t>12114</t>
        </is>
      </c>
      <c r="B250" s="4" t="inlineStr">
        <is>
          <t>Torás</t>
        </is>
      </c>
      <c r="C250" s="4" t="n">
        <v>246</v>
      </c>
      <c r="D250" s="4" t="n">
        <v>271</v>
      </c>
      <c r="E250" s="4" t="n"/>
      <c r="F250" s="4" t="n"/>
      <c r="G250" s="4" t="n"/>
      <c r="H250" s="4" t="n">
        <v>592</v>
      </c>
      <c r="I250" s="6">
        <f>IF(AND(ISNUMBER(D250),C250&gt;0),100*(D250/C250-1),"")</f>
        <v/>
      </c>
      <c r="J250" s="6">
        <f>IF(AND(ISNUMBER(F250),ISNUMBER(E250)),100*(F250/E250-1),"")</f>
        <v/>
      </c>
      <c r="K250" s="6">
        <f>IF(AND(ISNUMBER(G250),ISNUMBER(H250)),100*G250/H250,"")</f>
        <v/>
      </c>
    </row>
    <row r="251">
      <c r="A251" s="4" t="inlineStr">
        <is>
          <t>12115</t>
        </is>
      </c>
      <c r="B251" s="4" t="inlineStr">
        <is>
          <t>Toro, El</t>
        </is>
      </c>
      <c r="C251" s="4" t="n">
        <v>240</v>
      </c>
      <c r="D251" s="4" t="n">
        <v>257</v>
      </c>
      <c r="E251" s="4" t="n"/>
      <c r="F251" s="4" t="n"/>
      <c r="G251" s="4" t="n"/>
      <c r="H251" s="4" t="n">
        <v>529</v>
      </c>
      <c r="I251" s="6">
        <f>IF(AND(ISNUMBER(D251),C251&gt;0),100*(D251/C251-1),"")</f>
        <v/>
      </c>
      <c r="J251" s="6">
        <f>IF(AND(ISNUMBER(F251),ISNUMBER(E251)),100*(F251/E251-1),"")</f>
        <v/>
      </c>
      <c r="K251" s="6">
        <f>IF(AND(ISNUMBER(G251),ISNUMBER(H251)),100*G251/H251,"")</f>
        <v/>
      </c>
    </row>
    <row r="252">
      <c r="A252" s="4" t="inlineStr">
        <is>
          <t>12116</t>
        </is>
      </c>
      <c r="B252" s="4" t="inlineStr">
        <is>
          <t>Torralba del Pinar</t>
        </is>
      </c>
      <c r="C252" s="4" t="n">
        <v>63</v>
      </c>
      <c r="D252" s="4" t="n">
        <v>57</v>
      </c>
      <c r="E252" s="4" t="n"/>
      <c r="F252" s="4" t="n"/>
      <c r="G252" s="4" t="n"/>
      <c r="H252" s="4" t="n">
        <v>129</v>
      </c>
      <c r="I252" s="6">
        <f>IF(AND(ISNUMBER(D252),C252&gt;0),100*(D252/C252-1),"")</f>
        <v/>
      </c>
      <c r="J252" s="6">
        <f>IF(AND(ISNUMBER(F252),ISNUMBER(E252)),100*(F252/E252-1),"")</f>
        <v/>
      </c>
      <c r="K252" s="6">
        <f>IF(AND(ISNUMBER(G252),ISNUMBER(H252)),100*G252/H252,"")</f>
        <v/>
      </c>
    </row>
    <row r="253">
      <c r="A253" s="4" t="inlineStr">
        <is>
          <t>12117</t>
        </is>
      </c>
      <c r="B253" s="4" t="inlineStr">
        <is>
          <t>Torreblanca</t>
        </is>
      </c>
      <c r="C253" s="4" t="n">
        <v>5581</v>
      </c>
      <c r="D253" s="4" t="n">
        <v>5757</v>
      </c>
      <c r="E253" s="4" t="n">
        <v>3.2358</v>
      </c>
      <c r="F253" s="4" t="n">
        <v>4.0323</v>
      </c>
      <c r="G253" s="4" t="n"/>
      <c r="H253" s="4" t="n">
        <v>5142</v>
      </c>
      <c r="I253" s="6">
        <f>IF(AND(ISNUMBER(D253),C253&gt;0),100*(D253/C253-1),"")</f>
        <v/>
      </c>
      <c r="J253" s="6">
        <f>IF(AND(ISNUMBER(F253),ISNUMBER(E253)),100*(F253/E253-1),"")</f>
        <v/>
      </c>
      <c r="K253" s="6">
        <f>IF(AND(ISNUMBER(G253),ISNUMBER(H253)),100*G253/H253,"")</f>
        <v/>
      </c>
    </row>
    <row r="254">
      <c r="A254" s="4" t="inlineStr">
        <is>
          <t>12118</t>
        </is>
      </c>
      <c r="B254" s="4" t="inlineStr">
        <is>
          <t>Torrechiva</t>
        </is>
      </c>
      <c r="C254" s="4" t="n">
        <v>93</v>
      </c>
      <c r="D254" s="4" t="n">
        <v>108</v>
      </c>
      <c r="E254" s="4" t="n"/>
      <c r="F254" s="4" t="n"/>
      <c r="G254" s="4" t="n"/>
      <c r="H254" s="4" t="n">
        <v>193</v>
      </c>
      <c r="I254" s="6">
        <f>IF(AND(ISNUMBER(D254),C254&gt;0),100*(D254/C254-1),"")</f>
        <v/>
      </c>
      <c r="J254" s="6">
        <f>IF(AND(ISNUMBER(F254),ISNUMBER(E254)),100*(F254/E254-1),"")</f>
        <v/>
      </c>
      <c r="K254" s="6">
        <f>IF(AND(ISNUMBER(G254),ISNUMBER(H254)),100*G254/H254,"")</f>
        <v/>
      </c>
    </row>
    <row r="255">
      <c r="A255" s="4" t="inlineStr">
        <is>
          <t>12119</t>
        </is>
      </c>
      <c r="B255" s="4" t="inlineStr">
        <is>
          <t>Torre d'en Besora, la</t>
        </is>
      </c>
      <c r="C255" s="4" t="n">
        <v>166</v>
      </c>
      <c r="D255" s="4" t="n">
        <v>164</v>
      </c>
      <c r="E255" s="4" t="n"/>
      <c r="F255" s="4" t="n"/>
      <c r="G255" s="4" t="n"/>
      <c r="H255" s="4" t="n">
        <v>173</v>
      </c>
      <c r="I255" s="6">
        <f>IF(AND(ISNUMBER(D255),C255&gt;0),100*(D255/C255-1),"")</f>
        <v/>
      </c>
      <c r="J255" s="6">
        <f>IF(AND(ISNUMBER(F255),ISNUMBER(E255)),100*(F255/E255-1),"")</f>
        <v/>
      </c>
      <c r="K255" s="6">
        <f>IF(AND(ISNUMBER(G255),ISNUMBER(H255)),100*G255/H255,"")</f>
        <v/>
      </c>
    </row>
    <row r="256">
      <c r="A256" s="4" t="inlineStr">
        <is>
          <t>12120</t>
        </is>
      </c>
      <c r="B256" s="4" t="inlineStr">
        <is>
          <t>Torre d'en Doménec, la</t>
        </is>
      </c>
      <c r="C256" s="4" t="n">
        <v>157</v>
      </c>
      <c r="D256" s="4" t="n">
        <v>176</v>
      </c>
      <c r="E256" s="4" t="n"/>
      <c r="F256" s="4" t="n"/>
      <c r="G256" s="4" t="n"/>
      <c r="H256" s="4" t="n">
        <v>312</v>
      </c>
      <c r="I256" s="6">
        <f>IF(AND(ISNUMBER(D256),C256&gt;0),100*(D256/C256-1),"")</f>
        <v/>
      </c>
      <c r="J256" s="6">
        <f>IF(AND(ISNUMBER(F256),ISNUMBER(E256)),100*(F256/E256-1),"")</f>
        <v/>
      </c>
      <c r="K256" s="6">
        <f>IF(AND(ISNUMBER(G256),ISNUMBER(H256)),100*G256/H256,"")</f>
        <v/>
      </c>
    </row>
    <row r="257">
      <c r="A257" s="4" t="inlineStr">
        <is>
          <t>12121</t>
        </is>
      </c>
      <c r="B257" s="4" t="inlineStr">
        <is>
          <t>Traiguera</t>
        </is>
      </c>
      <c r="C257" s="4" t="n">
        <v>1363</v>
      </c>
      <c r="D257" s="4" t="n">
        <v>1329</v>
      </c>
      <c r="E257" s="4" t="n"/>
      <c r="F257" s="4" t="n"/>
      <c r="G257" s="4" t="n"/>
      <c r="H257" s="4" t="n">
        <v>859</v>
      </c>
      <c r="I257" s="6">
        <f>IF(AND(ISNUMBER(D257),C257&gt;0),100*(D257/C257-1),"")</f>
        <v/>
      </c>
      <c r="J257" s="6">
        <f>IF(AND(ISNUMBER(F257),ISNUMBER(E257)),100*(F257/E257-1),"")</f>
        <v/>
      </c>
      <c r="K257" s="6">
        <f>IF(AND(ISNUMBER(G257),ISNUMBER(H257)),100*G257/H257,"")</f>
        <v/>
      </c>
    </row>
    <row r="258">
      <c r="A258" s="4" t="inlineStr">
        <is>
          <t>12122</t>
        </is>
      </c>
      <c r="B258" s="4" t="inlineStr">
        <is>
          <t>Useres, les/Useras</t>
        </is>
      </c>
      <c r="C258" s="4" t="n">
        <v>964</v>
      </c>
      <c r="D258" s="4" t="n">
        <v>966</v>
      </c>
      <c r="E258" s="4" t="n"/>
      <c r="F258" s="4" t="n"/>
      <c r="G258" s="4" t="n"/>
      <c r="H258" s="4" t="n">
        <v>1190</v>
      </c>
      <c r="I258" s="6">
        <f>IF(AND(ISNUMBER(D258),C258&gt;0),100*(D258/C258-1),"")</f>
        <v/>
      </c>
      <c r="J258" s="6">
        <f>IF(AND(ISNUMBER(F258),ISNUMBER(E258)),100*(F258/E258-1),"")</f>
        <v/>
      </c>
      <c r="K258" s="6">
        <f>IF(AND(ISNUMBER(G258),ISNUMBER(H258)),100*G258/H258,"")</f>
        <v/>
      </c>
    </row>
    <row r="259">
      <c r="A259" s="4" t="inlineStr">
        <is>
          <t>12123</t>
        </is>
      </c>
      <c r="B259" s="4" t="inlineStr">
        <is>
          <t>Vallat</t>
        </is>
      </c>
      <c r="C259" s="4" t="n">
        <v>59</v>
      </c>
      <c r="D259" s="4" t="n">
        <v>68</v>
      </c>
      <c r="E259" s="4" t="n"/>
      <c r="F259" s="4" t="n"/>
      <c r="G259" s="4" t="n"/>
      <c r="H259" s="4" t="n">
        <v>78</v>
      </c>
      <c r="I259" s="6">
        <f>IF(AND(ISNUMBER(D259),C259&gt;0),100*(D259/C259-1),"")</f>
        <v/>
      </c>
      <c r="J259" s="6">
        <f>IF(AND(ISNUMBER(F259),ISNUMBER(E259)),100*(F259/E259-1),"")</f>
        <v/>
      </c>
      <c r="K259" s="6">
        <f>IF(AND(ISNUMBER(G259),ISNUMBER(H259)),100*G259/H259,"")</f>
        <v/>
      </c>
    </row>
    <row r="260">
      <c r="A260" s="4" t="inlineStr">
        <is>
          <t>12124</t>
        </is>
      </c>
      <c r="B260" s="4" t="inlineStr">
        <is>
          <t>Vall d'Alba</t>
        </is>
      </c>
      <c r="C260" s="4" t="n">
        <v>2939</v>
      </c>
      <c r="D260" s="4" t="n">
        <v>3203</v>
      </c>
      <c r="E260" s="4" t="n">
        <v>2.9241</v>
      </c>
      <c r="F260" s="4" t="n">
        <v>3.4079</v>
      </c>
      <c r="G260" s="4" t="n"/>
      <c r="H260" s="4" t="n">
        <v>2102</v>
      </c>
      <c r="I260" s="6">
        <f>IF(AND(ISNUMBER(D260),C260&gt;0),100*(D260/C260-1),"")</f>
        <v/>
      </c>
      <c r="J260" s="6">
        <f>IF(AND(ISNUMBER(F260),ISNUMBER(E260)),100*(F260/E260-1),"")</f>
        <v/>
      </c>
      <c r="K260" s="6">
        <f>IF(AND(ISNUMBER(G260),ISNUMBER(H260)),100*G260/H260,"")</f>
        <v/>
      </c>
    </row>
    <row r="261">
      <c r="A261" s="4" t="inlineStr">
        <is>
          <t>12125</t>
        </is>
      </c>
      <c r="B261" s="4" t="inlineStr">
        <is>
          <t>Vall de Almonacid</t>
        </is>
      </c>
      <c r="C261" s="4" t="n">
        <v>288</v>
      </c>
      <c r="D261" s="4" t="n">
        <v>285</v>
      </c>
      <c r="E261" s="4" t="n"/>
      <c r="F261" s="4" t="n"/>
      <c r="G261" s="4" t="n"/>
      <c r="H261" s="4" t="n">
        <v>452</v>
      </c>
      <c r="I261" s="6">
        <f>IF(AND(ISNUMBER(D261),C261&gt;0),100*(D261/C261-1),"")</f>
        <v/>
      </c>
      <c r="J261" s="6">
        <f>IF(AND(ISNUMBER(F261),ISNUMBER(E261)),100*(F261/E261-1),"")</f>
        <v/>
      </c>
      <c r="K261" s="6">
        <f>IF(AND(ISNUMBER(G261),ISNUMBER(H261)),100*G261/H261,"")</f>
        <v/>
      </c>
    </row>
    <row r="262">
      <c r="A262" s="4" t="inlineStr">
        <is>
          <t>12126</t>
        </is>
      </c>
      <c r="B262" s="4" t="inlineStr">
        <is>
          <t>Vall d'Uixó, la</t>
        </is>
      </c>
      <c r="C262" s="4" t="n">
        <v>31587</v>
      </c>
      <c r="D262" s="4" t="n">
        <v>32220</v>
      </c>
      <c r="E262" s="4" t="n">
        <v>3.2773</v>
      </c>
      <c r="F262" s="4" t="n">
        <v>4.3005</v>
      </c>
      <c r="G262" s="4" t="n"/>
      <c r="H262" s="4" t="n">
        <v>14944</v>
      </c>
      <c r="I262" s="6">
        <f>IF(AND(ISNUMBER(D262),C262&gt;0),100*(D262/C262-1),"")</f>
        <v/>
      </c>
      <c r="J262" s="6">
        <f>IF(AND(ISNUMBER(F262),ISNUMBER(E262)),100*(F262/E262-1),"")</f>
        <v/>
      </c>
      <c r="K262" s="6">
        <f>IF(AND(ISNUMBER(G262),ISNUMBER(H262)),100*G262/H262,"")</f>
        <v/>
      </c>
    </row>
    <row r="263">
      <c r="A263" s="4" t="inlineStr">
        <is>
          <t>12127</t>
        </is>
      </c>
      <c r="B263" s="4" t="inlineStr">
        <is>
          <t>Vallibona</t>
        </is>
      </c>
      <c r="C263" s="4" t="n">
        <v>67</v>
      </c>
      <c r="D263" s="4" t="n">
        <v>63</v>
      </c>
      <c r="E263" s="4" t="n"/>
      <c r="F263" s="4" t="n"/>
      <c r="G263" s="4" t="n"/>
      <c r="H263" s="4" t="n">
        <v>260</v>
      </c>
      <c r="I263" s="6">
        <f>IF(AND(ISNUMBER(D263),C263&gt;0),100*(D263/C263-1),"")</f>
        <v/>
      </c>
      <c r="J263" s="6">
        <f>IF(AND(ISNUMBER(F263),ISNUMBER(E263)),100*(F263/E263-1),"")</f>
        <v/>
      </c>
      <c r="K263" s="6">
        <f>IF(AND(ISNUMBER(G263),ISNUMBER(H263)),100*G263/H263,"")</f>
        <v/>
      </c>
    </row>
    <row r="264">
      <c r="A264" s="4" t="inlineStr">
        <is>
          <t>12128</t>
        </is>
      </c>
      <c r="B264" s="4" t="inlineStr">
        <is>
          <t>Vilafamés</t>
        </is>
      </c>
      <c r="C264" s="4" t="n">
        <v>1843</v>
      </c>
      <c r="D264" s="4" t="n">
        <v>1961</v>
      </c>
      <c r="E264" s="4" t="n">
        <v>3.3333</v>
      </c>
      <c r="F264" s="4" t="n">
        <v>4.0397</v>
      </c>
      <c r="G264" s="4" t="n"/>
      <c r="H264" s="4" t="n">
        <v>1686</v>
      </c>
      <c r="I264" s="6">
        <f>IF(AND(ISNUMBER(D264),C264&gt;0),100*(D264/C264-1),"")</f>
        <v/>
      </c>
      <c r="J264" s="6">
        <f>IF(AND(ISNUMBER(F264),ISNUMBER(E264)),100*(F264/E264-1),"")</f>
        <v/>
      </c>
      <c r="K264" s="6">
        <f>IF(AND(ISNUMBER(G264),ISNUMBER(H264)),100*G264/H264,"")</f>
        <v/>
      </c>
    </row>
    <row r="265">
      <c r="A265" s="4" t="inlineStr">
        <is>
          <t>12129</t>
        </is>
      </c>
      <c r="B265" s="4" t="inlineStr">
        <is>
          <t>Vilafranca/Villafranca del Cid</t>
        </is>
      </c>
      <c r="C265" s="4" t="n">
        <v>2202</v>
      </c>
      <c r="D265" s="4" t="n">
        <v>2116</v>
      </c>
      <c r="E265" s="4" t="n">
        <v>2.8704</v>
      </c>
      <c r="F265" s="4" t="n">
        <v>3.8578</v>
      </c>
      <c r="G265" s="4" t="n"/>
      <c r="H265" s="4" t="n">
        <v>1813</v>
      </c>
      <c r="I265" s="6">
        <f>IF(AND(ISNUMBER(D265),C265&gt;0),100*(D265/C265-1),"")</f>
        <v/>
      </c>
      <c r="J265" s="6">
        <f>IF(AND(ISNUMBER(F265),ISNUMBER(E265)),100*(F265/E265-1),"")</f>
        <v/>
      </c>
      <c r="K265" s="6">
        <f>IF(AND(ISNUMBER(G265),ISNUMBER(H265)),100*G265/H265,"")</f>
        <v/>
      </c>
    </row>
    <row r="266">
      <c r="A266" s="4" t="inlineStr">
        <is>
          <t>12130</t>
        </is>
      </c>
      <c r="B266" s="4" t="inlineStr">
        <is>
          <t>Villahermosa del Río</t>
        </is>
      </c>
      <c r="C266" s="4" t="n">
        <v>472</v>
      </c>
      <c r="D266" s="4" t="n">
        <v>477</v>
      </c>
      <c r="E266" s="4" t="n"/>
      <c r="F266" s="4" t="n"/>
      <c r="G266" s="4" t="n"/>
      <c r="H266" s="4" t="n">
        <v>667</v>
      </c>
      <c r="I266" s="6">
        <f>IF(AND(ISNUMBER(D266),C266&gt;0),100*(D266/C266-1),"")</f>
        <v/>
      </c>
      <c r="J266" s="6">
        <f>IF(AND(ISNUMBER(F266),ISNUMBER(E266)),100*(F266/E266-1),"")</f>
        <v/>
      </c>
      <c r="K266" s="6">
        <f>IF(AND(ISNUMBER(G266),ISNUMBER(H266)),100*G266/H266,"")</f>
        <v/>
      </c>
    </row>
    <row r="267">
      <c r="A267" s="4" t="inlineStr">
        <is>
          <t>12131</t>
        </is>
      </c>
      <c r="B267" s="4" t="inlineStr">
        <is>
          <t>Villamalur</t>
        </is>
      </c>
      <c r="C267" s="4" t="n">
        <v>98</v>
      </c>
      <c r="D267" s="4" t="n">
        <v>99</v>
      </c>
      <c r="E267" s="4" t="n"/>
      <c r="F267" s="4" t="n"/>
      <c r="G267" s="4" t="n"/>
      <c r="H267" s="4" t="n">
        <v>174</v>
      </c>
      <c r="I267" s="6">
        <f>IF(AND(ISNUMBER(D267),C267&gt;0),100*(D267/C267-1),"")</f>
        <v/>
      </c>
      <c r="J267" s="6">
        <f>IF(AND(ISNUMBER(F267),ISNUMBER(E267)),100*(F267/E267-1),"")</f>
        <v/>
      </c>
      <c r="K267" s="6">
        <f>IF(AND(ISNUMBER(G267),ISNUMBER(H267)),100*G267/H267,"")</f>
        <v/>
      </c>
    </row>
    <row r="268">
      <c r="A268" s="4" t="inlineStr">
        <is>
          <t>12132</t>
        </is>
      </c>
      <c r="B268" s="4" t="inlineStr">
        <is>
          <t>Vilanova d'Alcolea</t>
        </is>
      </c>
      <c r="C268" s="4" t="n">
        <v>582</v>
      </c>
      <c r="D268" s="4" t="n">
        <v>601</v>
      </c>
      <c r="E268" s="4" t="n"/>
      <c r="F268" s="4" t="n"/>
      <c r="G268" s="4" t="n"/>
      <c r="H268" s="4" t="n">
        <v>598</v>
      </c>
      <c r="I268" s="6">
        <f>IF(AND(ISNUMBER(D268),C268&gt;0),100*(D268/C268-1),"")</f>
        <v/>
      </c>
      <c r="J268" s="6">
        <f>IF(AND(ISNUMBER(F268),ISNUMBER(E268)),100*(F268/E268-1),"")</f>
        <v/>
      </c>
      <c r="K268" s="6">
        <f>IF(AND(ISNUMBER(G268),ISNUMBER(H268)),100*G268/H268,"")</f>
        <v/>
      </c>
    </row>
    <row r="269">
      <c r="A269" s="4" t="inlineStr">
        <is>
          <t>12133</t>
        </is>
      </c>
      <c r="B269" s="4" t="inlineStr">
        <is>
          <t>Villanueva de Viver</t>
        </is>
      </c>
      <c r="C269" s="4" t="n">
        <v>81</v>
      </c>
      <c r="D269" s="4" t="n">
        <v>94</v>
      </c>
      <c r="E269" s="4" t="n"/>
      <c r="F269" s="4" t="n"/>
      <c r="G269" s="4" t="n"/>
      <c r="H269" s="4" t="n">
        <v>197</v>
      </c>
      <c r="I269" s="6">
        <f>IF(AND(ISNUMBER(D269),C269&gt;0),100*(D269/C269-1),"")</f>
        <v/>
      </c>
      <c r="J269" s="6">
        <f>IF(AND(ISNUMBER(F269),ISNUMBER(E269)),100*(F269/E269-1),"")</f>
        <v/>
      </c>
      <c r="K269" s="6">
        <f>IF(AND(ISNUMBER(G269),ISNUMBER(H269)),100*G269/H269,"")</f>
        <v/>
      </c>
    </row>
    <row r="270">
      <c r="A270" s="4" t="inlineStr">
        <is>
          <t>12134</t>
        </is>
      </c>
      <c r="B270" s="4" t="inlineStr">
        <is>
          <t>Vilar de Canes</t>
        </is>
      </c>
      <c r="C270" s="4" t="n">
        <v>173</v>
      </c>
      <c r="D270" s="4" t="n">
        <v>156</v>
      </c>
      <c r="E270" s="4" t="n"/>
      <c r="F270" s="4" t="n"/>
      <c r="G270" s="4" t="n"/>
      <c r="H270" s="4" t="n">
        <v>128</v>
      </c>
      <c r="I270" s="6">
        <f>IF(AND(ISNUMBER(D270),C270&gt;0),100*(D270/C270-1),"")</f>
        <v/>
      </c>
      <c r="J270" s="6">
        <f>IF(AND(ISNUMBER(F270),ISNUMBER(E270)),100*(F270/E270-1),"")</f>
        <v/>
      </c>
      <c r="K270" s="6">
        <f>IF(AND(ISNUMBER(G270),ISNUMBER(H270)),100*G270/H270,"")</f>
        <v/>
      </c>
    </row>
    <row r="271">
      <c r="A271" s="4" t="inlineStr">
        <is>
          <t>12135</t>
        </is>
      </c>
      <c r="B271" s="4" t="inlineStr">
        <is>
          <t>Vila-real</t>
        </is>
      </c>
      <c r="C271" s="4" t="n">
        <v>51113</v>
      </c>
      <c r="D271" s="4" t="n">
        <v>53634</v>
      </c>
      <c r="E271" s="4" t="n">
        <v>3.6232</v>
      </c>
      <c r="F271" s="4" t="n">
        <v>4.8663</v>
      </c>
      <c r="G271" s="4" t="n"/>
      <c r="H271" s="4" t="n">
        <v>24872</v>
      </c>
      <c r="I271" s="6">
        <f>IF(AND(ISNUMBER(D271),C271&gt;0),100*(D271/C271-1),"")</f>
        <v/>
      </c>
      <c r="J271" s="6">
        <f>IF(AND(ISNUMBER(F271),ISNUMBER(E271)),100*(F271/E271-1),"")</f>
        <v/>
      </c>
      <c r="K271" s="6">
        <f>IF(AND(ISNUMBER(G271),ISNUMBER(H271)),100*G271/H271,"")</f>
        <v/>
      </c>
    </row>
    <row r="272">
      <c r="A272" s="4" t="inlineStr">
        <is>
          <t>12136</t>
        </is>
      </c>
      <c r="B272" s="4" t="inlineStr">
        <is>
          <t>Vilavella, la</t>
        </is>
      </c>
      <c r="C272" s="4" t="n">
        <v>3112</v>
      </c>
      <c r="D272" s="4" t="n">
        <v>3068</v>
      </c>
      <c r="E272" s="4" t="n">
        <v>3.1545</v>
      </c>
      <c r="F272" s="4" t="n">
        <v>3.482</v>
      </c>
      <c r="G272" s="4" t="n"/>
      <c r="H272" s="4" t="n">
        <v>1557</v>
      </c>
      <c r="I272" s="6">
        <f>IF(AND(ISNUMBER(D272),C272&gt;0),100*(D272/C272-1),"")</f>
        <v/>
      </c>
      <c r="J272" s="6">
        <f>IF(AND(ISNUMBER(F272),ISNUMBER(E272)),100*(F272/E272-1),"")</f>
        <v/>
      </c>
      <c r="K272" s="6">
        <f>IF(AND(ISNUMBER(G272),ISNUMBER(H272)),100*G272/H272,"")</f>
        <v/>
      </c>
    </row>
    <row r="273">
      <c r="A273" s="4" t="inlineStr">
        <is>
          <t>12137</t>
        </is>
      </c>
      <c r="B273" s="4" t="inlineStr">
        <is>
          <t>Villores</t>
        </is>
      </c>
      <c r="C273" s="4" t="n">
        <v>46</v>
      </c>
      <c r="D273" s="4" t="n">
        <v>51</v>
      </c>
      <c r="E273" s="4" t="n"/>
      <c r="F273" s="4" t="n"/>
      <c r="G273" s="4" t="n"/>
      <c r="H273" s="4" t="n">
        <v>220</v>
      </c>
      <c r="I273" s="6">
        <f>IF(AND(ISNUMBER(D273),C273&gt;0),100*(D273/C273-1),"")</f>
        <v/>
      </c>
      <c r="J273" s="6">
        <f>IF(AND(ISNUMBER(F273),ISNUMBER(E273)),100*(F273/E273-1),"")</f>
        <v/>
      </c>
      <c r="K273" s="6">
        <f>IF(AND(ISNUMBER(G273),ISNUMBER(H273)),100*G273/H273,"")</f>
        <v/>
      </c>
    </row>
    <row r="274">
      <c r="A274" s="4" t="inlineStr">
        <is>
          <t>12138</t>
        </is>
      </c>
      <c r="B274" s="4" t="inlineStr">
        <is>
          <t>Vinaròs</t>
        </is>
      </c>
      <c r="C274" s="4" t="n">
        <v>28916</v>
      </c>
      <c r="D274" s="4" t="n">
        <v>30516</v>
      </c>
      <c r="E274" s="4" t="n">
        <v>4.2583</v>
      </c>
      <c r="F274" s="4" t="n">
        <v>5.2381</v>
      </c>
      <c r="G274" s="4" t="n"/>
      <c r="H274" s="4" t="n">
        <v>21031</v>
      </c>
      <c r="I274" s="6">
        <f>IF(AND(ISNUMBER(D274),C274&gt;0),100*(D274/C274-1),"")</f>
        <v/>
      </c>
      <c r="J274" s="6">
        <f>IF(AND(ISNUMBER(F274),ISNUMBER(E274)),100*(F274/E274-1),"")</f>
        <v/>
      </c>
      <c r="K274" s="6">
        <f>IF(AND(ISNUMBER(G274),ISNUMBER(H274)),100*G274/H274,"")</f>
        <v/>
      </c>
    </row>
    <row r="275">
      <c r="A275" s="4" t="inlineStr">
        <is>
          <t>12139</t>
        </is>
      </c>
      <c r="B275" s="4" t="inlineStr">
        <is>
          <t>Vistabella del Maestrat</t>
        </is>
      </c>
      <c r="C275" s="4" t="n">
        <v>341</v>
      </c>
      <c r="D275" s="4" t="n">
        <v>356</v>
      </c>
      <c r="E275" s="4" t="n"/>
      <c r="F275" s="4" t="n">
        <v>4.0369</v>
      </c>
      <c r="G275" s="4" t="n"/>
      <c r="H275" s="4" t="n">
        <v>632</v>
      </c>
      <c r="I275" s="6">
        <f>IF(AND(ISNUMBER(D275),C275&gt;0),100*(D275/C275-1),"")</f>
        <v/>
      </c>
      <c r="J275" s="6">
        <f>IF(AND(ISNUMBER(F275),ISNUMBER(E275)),100*(F275/E275-1),"")</f>
        <v/>
      </c>
      <c r="K275" s="6">
        <f>IF(AND(ISNUMBER(G275),ISNUMBER(H275)),100*G275/H275,"")</f>
        <v/>
      </c>
    </row>
    <row r="276">
      <c r="A276" s="4" t="inlineStr">
        <is>
          <t>12140</t>
        </is>
      </c>
      <c r="B276" s="4" t="inlineStr">
        <is>
          <t>Viver</t>
        </is>
      </c>
      <c r="C276" s="4" t="n">
        <v>1657</v>
      </c>
      <c r="D276" s="4" t="n">
        <v>1726</v>
      </c>
      <c r="E276" s="4" t="n">
        <v>2.2917</v>
      </c>
      <c r="F276" s="4" t="n">
        <v>2.9598</v>
      </c>
      <c r="G276" s="4" t="n"/>
      <c r="H276" s="4" t="n">
        <v>1902</v>
      </c>
      <c r="I276" s="6">
        <f>IF(AND(ISNUMBER(D276),C276&gt;0),100*(D276/C276-1),"")</f>
        <v/>
      </c>
      <c r="J276" s="6">
        <f>IF(AND(ISNUMBER(F276),ISNUMBER(E276)),100*(F276/E276-1),"")</f>
        <v/>
      </c>
      <c r="K276" s="6">
        <f>IF(AND(ISNUMBER(G276),ISNUMBER(H276)),100*G276/H276,"")</f>
        <v/>
      </c>
    </row>
    <row r="277">
      <c r="A277" s="4" t="inlineStr">
        <is>
          <t>12141</t>
        </is>
      </c>
      <c r="B277" s="4" t="inlineStr">
        <is>
          <t>Zorita del Maestrazgo</t>
        </is>
      </c>
      <c r="C277" s="4" t="n">
        <v>116</v>
      </c>
      <c r="D277" s="4" t="n">
        <v>120</v>
      </c>
      <c r="E277" s="4" t="n"/>
      <c r="F277" s="4" t="n"/>
      <c r="G277" s="4" t="n"/>
      <c r="H277" s="4" t="n">
        <v>293</v>
      </c>
      <c r="I277" s="6">
        <f>IF(AND(ISNUMBER(D277),C277&gt;0),100*(D277/C277-1),"")</f>
        <v/>
      </c>
      <c r="J277" s="6">
        <f>IF(AND(ISNUMBER(F277),ISNUMBER(E277)),100*(F277/E277-1),"")</f>
        <v/>
      </c>
      <c r="K277" s="6">
        <f>IF(AND(ISNUMBER(G277),ISNUMBER(H277)),100*G277/H277,"")</f>
        <v/>
      </c>
    </row>
    <row r="278">
      <c r="A278" s="4" t="inlineStr">
        <is>
          <t>12142</t>
        </is>
      </c>
      <c r="B278" s="4" t="inlineStr">
        <is>
          <t>Zucaina</t>
        </is>
      </c>
      <c r="C278" s="4" t="n">
        <v>174</v>
      </c>
      <c r="D278" s="4" t="n">
        <v>172</v>
      </c>
      <c r="E278" s="4" t="n"/>
      <c r="F278" s="4" t="n"/>
      <c r="G278" s="4" t="n"/>
      <c r="H278" s="4" t="n">
        <v>384</v>
      </c>
      <c r="I278" s="6">
        <f>IF(AND(ISNUMBER(D278),C278&gt;0),100*(D278/C278-1),"")</f>
        <v/>
      </c>
      <c r="J278" s="6">
        <f>IF(AND(ISNUMBER(F278),ISNUMBER(E278)),100*(F278/E278-1),"")</f>
        <v/>
      </c>
      <c r="K278" s="6">
        <f>IF(AND(ISNUMBER(G278),ISNUMBER(H278)),100*G278/H278,"")</f>
        <v/>
      </c>
    </row>
    <row r="279">
      <c r="A279" s="4" t="inlineStr">
        <is>
          <t>12901</t>
        </is>
      </c>
      <c r="B279" s="4" t="inlineStr">
        <is>
          <t>Alqueries, les/Alquerías del Niño Perdido</t>
        </is>
      </c>
      <c r="C279" s="4" t="n">
        <v>4525</v>
      </c>
      <c r="D279" s="4" t="n">
        <v>4595</v>
      </c>
      <c r="E279" s="4" t="n">
        <v>4.3103</v>
      </c>
      <c r="F279" s="4" t="n">
        <v>4.8967</v>
      </c>
      <c r="G279" s="4" t="n"/>
      <c r="H279" s="4" t="n">
        <v>2252</v>
      </c>
      <c r="I279" s="6">
        <f>IF(AND(ISNUMBER(D279),C279&gt;0),100*(D279/C279-1),"")</f>
        <v/>
      </c>
      <c r="J279" s="6">
        <f>IF(AND(ISNUMBER(F279),ISNUMBER(E279)),100*(F279/E279-1),"")</f>
        <v/>
      </c>
      <c r="K279" s="6">
        <f>IF(AND(ISNUMBER(G279),ISNUMBER(H279)),100*G279/H279,"")</f>
        <v/>
      </c>
    </row>
    <row r="280">
      <c r="A280" s="4" t="inlineStr">
        <is>
          <t>12902</t>
        </is>
      </c>
      <c r="B280" s="4" t="inlineStr">
        <is>
          <t>Sant Joan de Moró</t>
        </is>
      </c>
      <c r="C280" s="4" t="n">
        <v>3341</v>
      </c>
      <c r="D280" s="4" t="n">
        <v>3727</v>
      </c>
      <c r="E280" s="4" t="n">
        <v>2.6911</v>
      </c>
      <c r="F280" s="4" t="n">
        <v>3.7083</v>
      </c>
      <c r="G280" s="4" t="n"/>
      <c r="H280" s="4" t="n">
        <v>2173</v>
      </c>
      <c r="I280" s="6">
        <f>IF(AND(ISNUMBER(D280),C280&gt;0),100*(D280/C280-1),"")</f>
        <v/>
      </c>
      <c r="J280" s="6">
        <f>IF(AND(ISNUMBER(F280),ISNUMBER(E280)),100*(F280/E280-1),"")</f>
        <v/>
      </c>
      <c r="K280" s="6">
        <f>IF(AND(ISNUMBER(G280),ISNUMBER(H280)),100*G280/H280,"")</f>
        <v/>
      </c>
    </row>
    <row r="281">
      <c r="A281" s="4" t="inlineStr">
        <is>
          <t>46001</t>
        </is>
      </c>
      <c r="B281" s="4" t="inlineStr">
        <is>
          <t>Ademuz</t>
        </is>
      </c>
      <c r="C281" s="4" t="n">
        <v>1033</v>
      </c>
      <c r="D281" s="4" t="n">
        <v>1015</v>
      </c>
      <c r="E281" s="4" t="n">
        <v>1.7436</v>
      </c>
      <c r="F281" s="4" t="n">
        <v>2.0252</v>
      </c>
      <c r="G281" s="4" t="n"/>
      <c r="H281" s="4" t="n">
        <v>1419</v>
      </c>
      <c r="I281" s="6">
        <f>IF(AND(ISNUMBER(D281),C281&gt;0),100*(D281/C281-1),"")</f>
        <v/>
      </c>
      <c r="J281" s="6">
        <f>IF(AND(ISNUMBER(F281),ISNUMBER(E281)),100*(F281/E281-1),"")</f>
        <v/>
      </c>
      <c r="K281" s="6">
        <f>IF(AND(ISNUMBER(G281),ISNUMBER(H281)),100*G281/H281,"")</f>
        <v/>
      </c>
    </row>
    <row r="282">
      <c r="A282" s="4" t="inlineStr">
        <is>
          <t>46002</t>
        </is>
      </c>
      <c r="B282" s="4" t="inlineStr">
        <is>
          <t>Ador</t>
        </is>
      </c>
      <c r="C282" s="4" t="n">
        <v>1767</v>
      </c>
      <c r="D282" s="4" t="n">
        <v>1778</v>
      </c>
      <c r="E282" s="4" t="n">
        <v>2.4641</v>
      </c>
      <c r="F282" s="4" t="n">
        <v>5.2632</v>
      </c>
      <c r="G282" s="4" t="n"/>
      <c r="H282" s="4" t="n">
        <v>955</v>
      </c>
      <c r="I282" s="6">
        <f>IF(AND(ISNUMBER(D282),C282&gt;0),100*(D282/C282-1),"")</f>
        <v/>
      </c>
      <c r="J282" s="6">
        <f>IF(AND(ISNUMBER(F282),ISNUMBER(E282)),100*(F282/E282-1),"")</f>
        <v/>
      </c>
      <c r="K282" s="6">
        <f>IF(AND(ISNUMBER(G282),ISNUMBER(H282)),100*G282/H282,"")</f>
        <v/>
      </c>
    </row>
    <row r="283">
      <c r="A283" s="4" t="inlineStr">
        <is>
          <t>46003</t>
        </is>
      </c>
      <c r="B283" s="4" t="inlineStr">
        <is>
          <t>Atzeneta d'Albaida</t>
        </is>
      </c>
      <c r="C283" s="4" t="n">
        <v>1148</v>
      </c>
      <c r="D283" s="4" t="n">
        <v>1195</v>
      </c>
      <c r="E283" s="4" t="n"/>
      <c r="F283" s="4" t="n">
        <v>2.9098</v>
      </c>
      <c r="G283" s="4" t="n"/>
      <c r="H283" s="4" t="n">
        <v>724</v>
      </c>
      <c r="I283" s="6">
        <f>IF(AND(ISNUMBER(D283),C283&gt;0),100*(D283/C283-1),"")</f>
        <v/>
      </c>
      <c r="J283" s="6">
        <f>IF(AND(ISNUMBER(F283),ISNUMBER(E283)),100*(F283/E283-1),"")</f>
        <v/>
      </c>
      <c r="K283" s="6">
        <f>IF(AND(ISNUMBER(G283),ISNUMBER(H283)),100*G283/H283,"")</f>
        <v/>
      </c>
    </row>
    <row r="284">
      <c r="A284" s="4" t="inlineStr">
        <is>
          <t>46004</t>
        </is>
      </c>
      <c r="B284" s="4" t="inlineStr">
        <is>
          <t>Agullent</t>
        </is>
      </c>
      <c r="C284" s="4" t="n">
        <v>2368</v>
      </c>
      <c r="D284" s="4" t="n">
        <v>2440</v>
      </c>
      <c r="E284" s="4" t="n">
        <v>2.045</v>
      </c>
      <c r="F284" s="4" t="n">
        <v>3.1307</v>
      </c>
      <c r="G284" s="4" t="n"/>
      <c r="H284" s="4" t="n">
        <v>1170</v>
      </c>
      <c r="I284" s="6">
        <f>IF(AND(ISNUMBER(D284),C284&gt;0),100*(D284/C284-1),"")</f>
        <v/>
      </c>
      <c r="J284" s="6">
        <f>IF(AND(ISNUMBER(F284),ISNUMBER(E284)),100*(F284/E284-1),"")</f>
        <v/>
      </c>
      <c r="K284" s="6">
        <f>IF(AND(ISNUMBER(G284),ISNUMBER(H284)),100*G284/H284,"")</f>
        <v/>
      </c>
    </row>
    <row r="285">
      <c r="A285" s="4" t="inlineStr">
        <is>
          <t>46005</t>
        </is>
      </c>
      <c r="B285" s="4" t="inlineStr">
        <is>
          <t>Alaquàs</t>
        </is>
      </c>
      <c r="C285" s="4" t="n">
        <v>29871</v>
      </c>
      <c r="D285" s="4" t="n">
        <v>30352</v>
      </c>
      <c r="E285" s="4" t="n">
        <v>4.4304</v>
      </c>
      <c r="F285" s="4" t="n">
        <v>6.1538</v>
      </c>
      <c r="G285" s="4" t="n"/>
      <c r="H285" s="4" t="n">
        <v>12971</v>
      </c>
      <c r="I285" s="6">
        <f>IF(AND(ISNUMBER(D285),C285&gt;0),100*(D285/C285-1),"")</f>
        <v/>
      </c>
      <c r="J285" s="6">
        <f>IF(AND(ISNUMBER(F285),ISNUMBER(E285)),100*(F285/E285-1),"")</f>
        <v/>
      </c>
      <c r="K285" s="6">
        <f>IF(AND(ISNUMBER(G285),ISNUMBER(H285)),100*G285/H285,"")</f>
        <v/>
      </c>
    </row>
    <row r="286">
      <c r="A286" s="4" t="inlineStr">
        <is>
          <t>46006</t>
        </is>
      </c>
      <c r="B286" s="4" t="inlineStr">
        <is>
          <t>Albaida</t>
        </is>
      </c>
      <c r="C286" s="4" t="n">
        <v>5962</v>
      </c>
      <c r="D286" s="4" t="n">
        <v>6295</v>
      </c>
      <c r="E286" s="4" t="n">
        <v>2.5656</v>
      </c>
      <c r="F286" s="4" t="n">
        <v>3.4355</v>
      </c>
      <c r="G286" s="4" t="n"/>
      <c r="H286" s="4" t="n">
        <v>3104</v>
      </c>
      <c r="I286" s="6">
        <f>IF(AND(ISNUMBER(D286),C286&gt;0),100*(D286/C286-1),"")</f>
        <v/>
      </c>
      <c r="J286" s="6">
        <f>IF(AND(ISNUMBER(F286),ISNUMBER(E286)),100*(F286/E286-1),"")</f>
        <v/>
      </c>
      <c r="K286" s="6">
        <f>IF(AND(ISNUMBER(G286),ISNUMBER(H286)),100*G286/H286,"")</f>
        <v/>
      </c>
    </row>
    <row r="287">
      <c r="A287" s="4" t="inlineStr">
        <is>
          <t>46007</t>
        </is>
      </c>
      <c r="B287" s="4" t="inlineStr">
        <is>
          <t>Albal</t>
        </is>
      </c>
      <c r="C287" s="4" t="n">
        <v>16671</v>
      </c>
      <c r="D287" s="4" t="n">
        <v>17432</v>
      </c>
      <c r="E287" s="4" t="n">
        <v>4.0597</v>
      </c>
      <c r="F287" s="4" t="n">
        <v>5.6684</v>
      </c>
      <c r="G287" s="4" t="n"/>
      <c r="H287" s="4" t="n">
        <v>7403</v>
      </c>
      <c r="I287" s="6">
        <f>IF(AND(ISNUMBER(D287),C287&gt;0),100*(D287/C287-1),"")</f>
        <v/>
      </c>
      <c r="J287" s="6">
        <f>IF(AND(ISNUMBER(F287),ISNUMBER(E287)),100*(F287/E287-1),"")</f>
        <v/>
      </c>
      <c r="K287" s="6">
        <f>IF(AND(ISNUMBER(G287),ISNUMBER(H287)),100*G287/H287,"")</f>
        <v/>
      </c>
    </row>
    <row r="288">
      <c r="A288" s="4" t="inlineStr">
        <is>
          <t>46008</t>
        </is>
      </c>
      <c r="B288" s="4" t="inlineStr">
        <is>
          <t>Albalat de la Ribera</t>
        </is>
      </c>
      <c r="C288" s="4" t="n">
        <v>3346</v>
      </c>
      <c r="D288" s="4" t="n">
        <v>3500</v>
      </c>
      <c r="E288" s="4" t="n">
        <v>2.8649</v>
      </c>
      <c r="F288" s="4" t="n">
        <v>3.5354</v>
      </c>
      <c r="G288" s="4" t="n"/>
      <c r="H288" s="4" t="n">
        <v>1993</v>
      </c>
      <c r="I288" s="6">
        <f>IF(AND(ISNUMBER(D288),C288&gt;0),100*(D288/C288-1),"")</f>
        <v/>
      </c>
      <c r="J288" s="6">
        <f>IF(AND(ISNUMBER(F288),ISNUMBER(E288)),100*(F288/E288-1),"")</f>
        <v/>
      </c>
      <c r="K288" s="6">
        <f>IF(AND(ISNUMBER(G288),ISNUMBER(H288)),100*G288/H288,"")</f>
        <v/>
      </c>
    </row>
    <row r="289">
      <c r="A289" s="4" t="inlineStr">
        <is>
          <t>46009</t>
        </is>
      </c>
      <c r="B289" s="4" t="inlineStr">
        <is>
          <t>Albalat dels Sorells</t>
        </is>
      </c>
      <c r="C289" s="4" t="n">
        <v>4123</v>
      </c>
      <c r="D289" s="4" t="n">
        <v>4364</v>
      </c>
      <c r="E289" s="4" t="n">
        <v>4.3056</v>
      </c>
      <c r="F289" s="4" t="n">
        <v>5.8877</v>
      </c>
      <c r="G289" s="4" t="n"/>
      <c r="H289" s="4" t="n">
        <v>1990</v>
      </c>
      <c r="I289" s="6">
        <f>IF(AND(ISNUMBER(D289),C289&gt;0),100*(D289/C289-1),"")</f>
        <v/>
      </c>
      <c r="J289" s="6">
        <f>IF(AND(ISNUMBER(F289),ISNUMBER(E289)),100*(F289/E289-1),"")</f>
        <v/>
      </c>
      <c r="K289" s="6">
        <f>IF(AND(ISNUMBER(G289),ISNUMBER(H289)),100*G289/H289,"")</f>
        <v/>
      </c>
    </row>
    <row r="290">
      <c r="A290" s="4" t="inlineStr">
        <is>
          <t>46010</t>
        </is>
      </c>
      <c r="B290" s="4" t="inlineStr">
        <is>
          <t>Albalat dels Tarongers</t>
        </is>
      </c>
      <c r="C290" s="4" t="n">
        <v>1340</v>
      </c>
      <c r="D290" s="4" t="n">
        <v>1588</v>
      </c>
      <c r="E290" s="4" t="n"/>
      <c r="F290" s="4" t="n"/>
      <c r="G290" s="4" t="n"/>
      <c r="H290" s="4" t="n">
        <v>1833</v>
      </c>
      <c r="I290" s="6">
        <f>IF(AND(ISNUMBER(D290),C290&gt;0),100*(D290/C290-1),"")</f>
        <v/>
      </c>
      <c r="J290" s="6">
        <f>IF(AND(ISNUMBER(F290),ISNUMBER(E290)),100*(F290/E290-1),"")</f>
        <v/>
      </c>
      <c r="K290" s="6">
        <f>IF(AND(ISNUMBER(G290),ISNUMBER(H290)),100*G290/H290,"")</f>
        <v/>
      </c>
    </row>
    <row r="291">
      <c r="A291" s="4" t="inlineStr">
        <is>
          <t>46011</t>
        </is>
      </c>
      <c r="B291" s="4" t="inlineStr">
        <is>
          <t>Alberic</t>
        </is>
      </c>
      <c r="C291" s="4" t="n">
        <v>10562</v>
      </c>
      <c r="D291" s="4" t="n">
        <v>11109</v>
      </c>
      <c r="E291" s="4" t="n">
        <v>2.9661</v>
      </c>
      <c r="F291" s="4" t="n">
        <v>3.5377</v>
      </c>
      <c r="G291" s="4" t="n"/>
      <c r="H291" s="4" t="n">
        <v>5865</v>
      </c>
      <c r="I291" s="6">
        <f>IF(AND(ISNUMBER(D291),C291&gt;0),100*(D291/C291-1),"")</f>
        <v/>
      </c>
      <c r="J291" s="6">
        <f>IF(AND(ISNUMBER(F291),ISNUMBER(E291)),100*(F291/E291-1),"")</f>
        <v/>
      </c>
      <c r="K291" s="6">
        <f>IF(AND(ISNUMBER(G291),ISNUMBER(H291)),100*G291/H291,"")</f>
        <v/>
      </c>
    </row>
    <row r="292">
      <c r="A292" s="4" t="inlineStr">
        <is>
          <t>46012</t>
        </is>
      </c>
      <c r="B292" s="4" t="inlineStr">
        <is>
          <t>Alborache</t>
        </is>
      </c>
      <c r="C292" s="4" t="n">
        <v>1296</v>
      </c>
      <c r="D292" s="4" t="n">
        <v>1575</v>
      </c>
      <c r="E292" s="4" t="n"/>
      <c r="F292" s="4" t="n">
        <v>3.938</v>
      </c>
      <c r="G292" s="4" t="n"/>
      <c r="H292" s="4" t="n">
        <v>1229</v>
      </c>
      <c r="I292" s="6">
        <f>IF(AND(ISNUMBER(D292),C292&gt;0),100*(D292/C292-1),"")</f>
        <v/>
      </c>
      <c r="J292" s="6">
        <f>IF(AND(ISNUMBER(F292),ISNUMBER(E292)),100*(F292/E292-1),"")</f>
        <v/>
      </c>
      <c r="K292" s="6">
        <f>IF(AND(ISNUMBER(G292),ISNUMBER(H292)),100*G292/H292,"")</f>
        <v/>
      </c>
    </row>
    <row r="293">
      <c r="A293" s="4" t="inlineStr">
        <is>
          <t>46013</t>
        </is>
      </c>
      <c r="B293" s="4" t="inlineStr">
        <is>
          <t>Alboraia/Alboraya</t>
        </is>
      </c>
      <c r="C293" s="4" t="n">
        <v>24946</v>
      </c>
      <c r="D293" s="4" t="n">
        <v>26324</v>
      </c>
      <c r="E293" s="4" t="n">
        <v>6.1333</v>
      </c>
      <c r="F293" s="4" t="n">
        <v>8.091699999999999</v>
      </c>
      <c r="G293" s="4" t="n"/>
      <c r="H293" s="4" t="n">
        <v>13240</v>
      </c>
      <c r="I293" s="6">
        <f>IF(AND(ISNUMBER(D293),C293&gt;0),100*(D293/C293-1),"")</f>
        <v/>
      </c>
      <c r="J293" s="6">
        <f>IF(AND(ISNUMBER(F293),ISNUMBER(E293)),100*(F293/E293-1),"")</f>
        <v/>
      </c>
      <c r="K293" s="6">
        <f>IF(AND(ISNUMBER(G293),ISNUMBER(H293)),100*G293/H293,"")</f>
        <v/>
      </c>
    </row>
    <row r="294">
      <c r="A294" s="4" t="inlineStr">
        <is>
          <t>46014</t>
        </is>
      </c>
      <c r="B294" s="4" t="inlineStr">
        <is>
          <t>Albuixech</t>
        </is>
      </c>
      <c r="C294" s="4" t="n">
        <v>4152</v>
      </c>
      <c r="D294" s="4" t="n">
        <v>4487</v>
      </c>
      <c r="E294" s="4" t="n">
        <v>4.0561</v>
      </c>
      <c r="F294" s="4" t="n">
        <v>5.9524</v>
      </c>
      <c r="G294" s="4" t="n"/>
      <c r="H294" s="4" t="n">
        <v>2013</v>
      </c>
      <c r="I294" s="6">
        <f>IF(AND(ISNUMBER(D294),C294&gt;0),100*(D294/C294-1),"")</f>
        <v/>
      </c>
      <c r="J294" s="6">
        <f>IF(AND(ISNUMBER(F294),ISNUMBER(E294)),100*(F294/E294-1),"")</f>
        <v/>
      </c>
      <c r="K294" s="6">
        <f>IF(AND(ISNUMBER(G294),ISNUMBER(H294)),100*G294/H294,"")</f>
        <v/>
      </c>
    </row>
    <row r="295">
      <c r="A295" s="4" t="inlineStr">
        <is>
          <t>46015</t>
        </is>
      </c>
      <c r="B295" s="4" t="inlineStr">
        <is>
          <t>Alcàsser</t>
        </is>
      </c>
      <c r="C295" s="4" t="n">
        <v>10280</v>
      </c>
      <c r="D295" s="4" t="n">
        <v>10843</v>
      </c>
      <c r="E295" s="4" t="n">
        <v>3.6641</v>
      </c>
      <c r="F295" s="4" t="n">
        <v>4.8044</v>
      </c>
      <c r="G295" s="4" t="n"/>
      <c r="H295" s="4" t="n">
        <v>4716</v>
      </c>
      <c r="I295" s="6">
        <f>IF(AND(ISNUMBER(D295),C295&gt;0),100*(D295/C295-1),"")</f>
        <v/>
      </c>
      <c r="J295" s="6">
        <f>IF(AND(ISNUMBER(F295),ISNUMBER(E295)),100*(F295/E295-1),"")</f>
        <v/>
      </c>
      <c r="K295" s="6">
        <f>IF(AND(ISNUMBER(G295),ISNUMBER(H295)),100*G295/H295,"")</f>
        <v/>
      </c>
    </row>
    <row r="296">
      <c r="A296" s="4" t="inlineStr">
        <is>
          <t>46016</t>
        </is>
      </c>
      <c r="B296" s="4" t="inlineStr">
        <is>
          <t>Alcàntera de Xúquer</t>
        </is>
      </c>
      <c r="C296" s="4" t="n">
        <v>1398</v>
      </c>
      <c r="D296" s="4" t="n">
        <v>1471</v>
      </c>
      <c r="E296" s="4" t="n">
        <v>2.7787</v>
      </c>
      <c r="F296" s="4" t="n">
        <v>3.2121</v>
      </c>
      <c r="G296" s="4" t="n"/>
      <c r="H296" s="4" t="n">
        <v>761</v>
      </c>
      <c r="I296" s="6">
        <f>IF(AND(ISNUMBER(D296),C296&gt;0),100*(D296/C296-1),"")</f>
        <v/>
      </c>
      <c r="J296" s="6">
        <f>IF(AND(ISNUMBER(F296),ISNUMBER(E296)),100*(F296/E296-1),"")</f>
        <v/>
      </c>
      <c r="K296" s="6">
        <f>IF(AND(ISNUMBER(G296),ISNUMBER(H296)),100*G296/H296,"")</f>
        <v/>
      </c>
    </row>
    <row r="297">
      <c r="A297" s="4" t="inlineStr">
        <is>
          <t>46017</t>
        </is>
      </c>
      <c r="B297" s="4" t="inlineStr">
        <is>
          <t>Alzira</t>
        </is>
      </c>
      <c r="C297" s="4" t="n">
        <v>45088</v>
      </c>
      <c r="D297" s="4" t="n">
        <v>48604</v>
      </c>
      <c r="E297" s="4" t="n">
        <v>3.5</v>
      </c>
      <c r="F297" s="4" t="n">
        <v>4.6392</v>
      </c>
      <c r="G297" s="4" t="n"/>
      <c r="H297" s="4" t="n">
        <v>24185</v>
      </c>
      <c r="I297" s="6">
        <f>IF(AND(ISNUMBER(D297),C297&gt;0),100*(D297/C297-1),"")</f>
        <v/>
      </c>
      <c r="J297" s="6">
        <f>IF(AND(ISNUMBER(F297),ISNUMBER(E297)),100*(F297/E297-1),"")</f>
        <v/>
      </c>
      <c r="K297" s="6">
        <f>IF(AND(ISNUMBER(G297),ISNUMBER(H297)),100*G297/H297,"")</f>
        <v/>
      </c>
    </row>
    <row r="298">
      <c r="A298" s="4" t="inlineStr">
        <is>
          <t>46018</t>
        </is>
      </c>
      <c r="B298" s="4" t="inlineStr">
        <is>
          <t>Alcublas</t>
        </is>
      </c>
      <c r="C298" s="4" t="n">
        <v>610</v>
      </c>
      <c r="D298" s="4" t="n">
        <v>717</v>
      </c>
      <c r="E298" s="4" t="n"/>
      <c r="F298" s="4" t="n"/>
      <c r="G298" s="4" t="n"/>
      <c r="H298" s="4" t="n">
        <v>869</v>
      </c>
      <c r="I298" s="6">
        <f>IF(AND(ISNUMBER(D298),C298&gt;0),100*(D298/C298-1),"")</f>
        <v/>
      </c>
      <c r="J298" s="6">
        <f>IF(AND(ISNUMBER(F298),ISNUMBER(E298)),100*(F298/E298-1),"")</f>
        <v/>
      </c>
      <c r="K298" s="6">
        <f>IF(AND(ISNUMBER(G298),ISNUMBER(H298)),100*G298/H298,"")</f>
        <v/>
      </c>
    </row>
    <row r="299">
      <c r="A299" s="4" t="inlineStr">
        <is>
          <t>46019</t>
        </is>
      </c>
      <c r="B299" s="4" t="inlineStr">
        <is>
          <t>Alcúdia, l'</t>
        </is>
      </c>
      <c r="C299" s="4" t="n">
        <v>12200</v>
      </c>
      <c r="D299" s="4" t="n">
        <v>12574</v>
      </c>
      <c r="E299" s="4" t="n">
        <v>3.1051</v>
      </c>
      <c r="F299" s="4" t="n">
        <v>4.1133</v>
      </c>
      <c r="G299" s="4" t="n"/>
      <c r="H299" s="4" t="n">
        <v>6151</v>
      </c>
      <c r="I299" s="6">
        <f>IF(AND(ISNUMBER(D299),C299&gt;0),100*(D299/C299-1),"")</f>
        <v/>
      </c>
      <c r="J299" s="6">
        <f>IF(AND(ISNUMBER(F299),ISNUMBER(E299)),100*(F299/E299-1),"")</f>
        <v/>
      </c>
      <c r="K299" s="6">
        <f>IF(AND(ISNUMBER(G299),ISNUMBER(H299)),100*G299/H299,"")</f>
        <v/>
      </c>
    </row>
    <row r="300">
      <c r="A300" s="4" t="inlineStr">
        <is>
          <t>46020</t>
        </is>
      </c>
      <c r="B300" s="4" t="inlineStr">
        <is>
          <t>Alcúdia de Crespins, l'</t>
        </is>
      </c>
      <c r="C300" s="4" t="n">
        <v>5139</v>
      </c>
      <c r="D300" s="4" t="n">
        <v>5509</v>
      </c>
      <c r="E300" s="4" t="n">
        <v>2.6296</v>
      </c>
      <c r="F300" s="4" t="n">
        <v>3.3945</v>
      </c>
      <c r="G300" s="4" t="n"/>
      <c r="H300" s="4" t="n">
        <v>2806</v>
      </c>
      <c r="I300" s="6">
        <f>IF(AND(ISNUMBER(D300),C300&gt;0),100*(D300/C300-1),"")</f>
        <v/>
      </c>
      <c r="J300" s="6">
        <f>IF(AND(ISNUMBER(F300),ISNUMBER(E300)),100*(F300/E300-1),"")</f>
        <v/>
      </c>
      <c r="K300" s="6">
        <f>IF(AND(ISNUMBER(G300),ISNUMBER(H300)),100*G300/H300,"")</f>
        <v/>
      </c>
    </row>
    <row r="301">
      <c r="A301" s="4" t="inlineStr">
        <is>
          <t>46021</t>
        </is>
      </c>
      <c r="B301" s="4" t="inlineStr">
        <is>
          <t>Aldaia</t>
        </is>
      </c>
      <c r="C301" s="4" t="n">
        <v>32348</v>
      </c>
      <c r="D301" s="4" t="n">
        <v>34644</v>
      </c>
      <c r="E301" s="4" t="n">
        <v>4.4418</v>
      </c>
      <c r="F301" s="4" t="n">
        <v>5.9524</v>
      </c>
      <c r="G301" s="4" t="n"/>
      <c r="H301" s="4" t="n">
        <v>14040</v>
      </c>
      <c r="I301" s="6">
        <f>IF(AND(ISNUMBER(D301),C301&gt;0),100*(D301/C301-1),"")</f>
        <v/>
      </c>
      <c r="J301" s="6">
        <f>IF(AND(ISNUMBER(F301),ISNUMBER(E301)),100*(F301/E301-1),"")</f>
        <v/>
      </c>
      <c r="K301" s="6">
        <f>IF(AND(ISNUMBER(G301),ISNUMBER(H301)),100*G301/H301,"")</f>
        <v/>
      </c>
    </row>
    <row r="302">
      <c r="A302" s="4" t="inlineStr">
        <is>
          <t>46022</t>
        </is>
      </c>
      <c r="B302" s="4" t="inlineStr">
        <is>
          <t>Alfafar</t>
        </is>
      </c>
      <c r="C302" s="4" t="n">
        <v>21380</v>
      </c>
      <c r="D302" s="4" t="n">
        <v>22266</v>
      </c>
      <c r="E302" s="4" t="n">
        <v>4.1734</v>
      </c>
      <c r="F302" s="4" t="n">
        <v>5.8219</v>
      </c>
      <c r="G302" s="4" t="n"/>
      <c r="H302" s="4" t="n">
        <v>9486</v>
      </c>
      <c r="I302" s="6">
        <f>IF(AND(ISNUMBER(D302),C302&gt;0),100*(D302/C302-1),"")</f>
        <v/>
      </c>
      <c r="J302" s="6">
        <f>IF(AND(ISNUMBER(F302),ISNUMBER(E302)),100*(F302/E302-1),"")</f>
        <v/>
      </c>
      <c r="K302" s="6">
        <f>IF(AND(ISNUMBER(G302),ISNUMBER(H302)),100*G302/H302,"")</f>
        <v/>
      </c>
    </row>
    <row r="303">
      <c r="A303" s="4" t="inlineStr">
        <is>
          <t>46023</t>
        </is>
      </c>
      <c r="B303" s="4" t="inlineStr">
        <is>
          <t>Alfauir</t>
        </is>
      </c>
      <c r="C303" s="4" t="n">
        <v>468</v>
      </c>
      <c r="D303" s="4" t="n">
        <v>514</v>
      </c>
      <c r="E303" s="4" t="n"/>
      <c r="F303" s="4" t="n"/>
      <c r="G303" s="4" t="n"/>
      <c r="H303" s="4" t="n">
        <v>317</v>
      </c>
      <c r="I303" s="6">
        <f>IF(AND(ISNUMBER(D303),C303&gt;0),100*(D303/C303-1),"")</f>
        <v/>
      </c>
      <c r="J303" s="6">
        <f>IF(AND(ISNUMBER(F303),ISNUMBER(E303)),100*(F303/E303-1),"")</f>
        <v/>
      </c>
      <c r="K303" s="6">
        <f>IF(AND(ISNUMBER(G303),ISNUMBER(H303)),100*G303/H303,"")</f>
        <v/>
      </c>
    </row>
    <row r="304">
      <c r="A304" s="4" t="inlineStr">
        <is>
          <t>46024</t>
        </is>
      </c>
      <c r="B304" s="4" t="inlineStr">
        <is>
          <t>Alfara de la Baronia</t>
        </is>
      </c>
      <c r="C304" s="4" t="n">
        <v>589</v>
      </c>
      <c r="D304" s="4" t="n">
        <v>623</v>
      </c>
      <c r="E304" s="4" t="n"/>
      <c r="F304" s="4" t="n"/>
      <c r="G304" s="4" t="n"/>
      <c r="H304" s="4" t="n">
        <v>372</v>
      </c>
      <c r="I304" s="6">
        <f>IF(AND(ISNUMBER(D304),C304&gt;0),100*(D304/C304-1),"")</f>
        <v/>
      </c>
      <c r="J304" s="6">
        <f>IF(AND(ISNUMBER(F304),ISNUMBER(E304)),100*(F304/E304-1),"")</f>
        <v/>
      </c>
      <c r="K304" s="6">
        <f>IF(AND(ISNUMBER(G304),ISNUMBER(H304)),100*G304/H304,"")</f>
        <v/>
      </c>
    </row>
    <row r="305">
      <c r="A305" s="4" t="inlineStr">
        <is>
          <t>46025</t>
        </is>
      </c>
      <c r="B305" s="4" t="inlineStr">
        <is>
          <t>Alfara del Patriarca</t>
        </is>
      </c>
      <c r="C305" s="4" t="n">
        <v>3372</v>
      </c>
      <c r="D305" s="4" t="n">
        <v>3762</v>
      </c>
      <c r="E305" s="4" t="n">
        <v>5.3922</v>
      </c>
      <c r="F305" s="4" t="n">
        <v>7.81</v>
      </c>
      <c r="G305" s="4" t="n"/>
      <c r="H305" s="4" t="n">
        <v>1921</v>
      </c>
      <c r="I305" s="6">
        <f>IF(AND(ISNUMBER(D305),C305&gt;0),100*(D305/C305-1),"")</f>
        <v/>
      </c>
      <c r="J305" s="6">
        <f>IF(AND(ISNUMBER(F305),ISNUMBER(E305)),100*(F305/E305-1),"")</f>
        <v/>
      </c>
      <c r="K305" s="6">
        <f>IF(AND(ISNUMBER(G305),ISNUMBER(H305)),100*G305/H305,"")</f>
        <v/>
      </c>
    </row>
    <row r="306">
      <c r="A306" s="4" t="inlineStr">
        <is>
          <t>46026</t>
        </is>
      </c>
      <c r="B306" s="4" t="inlineStr">
        <is>
          <t>Alfarb</t>
        </is>
      </c>
      <c r="C306" s="4" t="n">
        <v>1568</v>
      </c>
      <c r="D306" s="4" t="n">
        <v>1765</v>
      </c>
      <c r="E306" s="4" t="n">
        <v>2.4632</v>
      </c>
      <c r="F306" s="4" t="n">
        <v>3.8661</v>
      </c>
      <c r="G306" s="4" t="n"/>
      <c r="H306" s="4" t="n">
        <v>1386</v>
      </c>
      <c r="I306" s="6">
        <f>IF(AND(ISNUMBER(D306),C306&gt;0),100*(D306/C306-1),"")</f>
        <v/>
      </c>
      <c r="J306" s="6">
        <f>IF(AND(ISNUMBER(F306),ISNUMBER(E306)),100*(F306/E306-1),"")</f>
        <v/>
      </c>
      <c r="K306" s="6">
        <f>IF(AND(ISNUMBER(G306),ISNUMBER(H306)),100*G306/H306,"")</f>
        <v/>
      </c>
    </row>
    <row r="307">
      <c r="A307" s="4" t="inlineStr">
        <is>
          <t>46027</t>
        </is>
      </c>
      <c r="B307" s="4" t="inlineStr">
        <is>
          <t>Alfarrasí</t>
        </is>
      </c>
      <c r="C307" s="4" t="n">
        <v>1208</v>
      </c>
      <c r="D307" s="4" t="n">
        <v>1176</v>
      </c>
      <c r="E307" s="4" t="n"/>
      <c r="F307" s="4" t="n">
        <v>2.8846</v>
      </c>
      <c r="G307" s="4" t="n"/>
      <c r="H307" s="4" t="n">
        <v>590</v>
      </c>
      <c r="I307" s="6">
        <f>IF(AND(ISNUMBER(D307),C307&gt;0),100*(D307/C307-1),"")</f>
        <v/>
      </c>
      <c r="J307" s="6">
        <f>IF(AND(ISNUMBER(F307),ISNUMBER(E307)),100*(F307/E307-1),"")</f>
        <v/>
      </c>
      <c r="K307" s="6">
        <f>IF(AND(ISNUMBER(G307),ISNUMBER(H307)),100*G307/H307,"")</f>
        <v/>
      </c>
    </row>
    <row r="308">
      <c r="A308" s="4" t="inlineStr">
        <is>
          <t>46028</t>
        </is>
      </c>
      <c r="B308" s="4" t="inlineStr">
        <is>
          <t>Algar de Palància</t>
        </is>
      </c>
      <c r="C308" s="4" t="n">
        <v>501</v>
      </c>
      <c r="D308" s="4" t="n">
        <v>565</v>
      </c>
      <c r="E308" s="4" t="n"/>
      <c r="F308" s="4" t="n"/>
      <c r="G308" s="4" t="n"/>
      <c r="H308" s="4" t="n">
        <v>483</v>
      </c>
      <c r="I308" s="6">
        <f>IF(AND(ISNUMBER(D308),C308&gt;0),100*(D308/C308-1),"")</f>
        <v/>
      </c>
      <c r="J308" s="6">
        <f>IF(AND(ISNUMBER(F308),ISNUMBER(E308)),100*(F308/E308-1),"")</f>
        <v/>
      </c>
      <c r="K308" s="6">
        <f>IF(AND(ISNUMBER(G308),ISNUMBER(H308)),100*G308/H308,"")</f>
        <v/>
      </c>
    </row>
    <row r="309">
      <c r="A309" s="4" t="inlineStr">
        <is>
          <t>46029</t>
        </is>
      </c>
      <c r="B309" s="4" t="inlineStr">
        <is>
          <t>Algemesí</t>
        </is>
      </c>
      <c r="C309" s="4" t="n">
        <v>27308</v>
      </c>
      <c r="D309" s="4" t="n">
        <v>28248</v>
      </c>
      <c r="E309" s="4" t="n">
        <v>3.1424</v>
      </c>
      <c r="F309" s="4" t="n">
        <v>3.999</v>
      </c>
      <c r="G309" s="4" t="n"/>
      <c r="H309" s="4" t="n">
        <v>13193</v>
      </c>
      <c r="I309" s="6">
        <f>IF(AND(ISNUMBER(D309),C309&gt;0),100*(D309/C309-1),"")</f>
        <v/>
      </c>
      <c r="J309" s="6">
        <f>IF(AND(ISNUMBER(F309),ISNUMBER(E309)),100*(F309/E309-1),"")</f>
        <v/>
      </c>
      <c r="K309" s="6">
        <f>IF(AND(ISNUMBER(G309),ISNUMBER(H309)),100*G309/H309,"")</f>
        <v/>
      </c>
    </row>
    <row r="310">
      <c r="A310" s="4" t="inlineStr">
        <is>
          <t>46030</t>
        </is>
      </c>
      <c r="B310" s="4" t="inlineStr">
        <is>
          <t>Algímia d'Alfara</t>
        </is>
      </c>
      <c r="C310" s="4" t="n">
        <v>1067</v>
      </c>
      <c r="D310" s="4" t="n">
        <v>1119</v>
      </c>
      <c r="E310" s="4" t="n"/>
      <c r="F310" s="4" t="n"/>
      <c r="G310" s="4" t="n"/>
      <c r="H310" s="4" t="n">
        <v>605</v>
      </c>
      <c r="I310" s="6">
        <f>IF(AND(ISNUMBER(D310),C310&gt;0),100*(D310/C310-1),"")</f>
        <v/>
      </c>
      <c r="J310" s="6">
        <f>IF(AND(ISNUMBER(F310),ISNUMBER(E310)),100*(F310/E310-1),"")</f>
        <v/>
      </c>
      <c r="K310" s="6">
        <f>IF(AND(ISNUMBER(G310),ISNUMBER(H310)),100*G310/H310,"")</f>
        <v/>
      </c>
    </row>
    <row r="311">
      <c r="A311" s="4" t="inlineStr">
        <is>
          <t>46031</t>
        </is>
      </c>
      <c r="B311" s="4" t="inlineStr">
        <is>
          <t>Alginet</t>
        </is>
      </c>
      <c r="C311" s="4" t="n">
        <v>14054</v>
      </c>
      <c r="D311" s="4" t="n">
        <v>14981</v>
      </c>
      <c r="E311" s="4" t="n">
        <v>3.3336</v>
      </c>
      <c r="F311" s="4" t="n">
        <v>4.4715</v>
      </c>
      <c r="G311" s="4" t="n"/>
      <c r="H311" s="4" t="n">
        <v>7069</v>
      </c>
      <c r="I311" s="6">
        <f>IF(AND(ISNUMBER(D311),C311&gt;0),100*(D311/C311-1),"")</f>
        <v/>
      </c>
      <c r="J311" s="6">
        <f>IF(AND(ISNUMBER(F311),ISNUMBER(E311)),100*(F311/E311-1),"")</f>
        <v/>
      </c>
      <c r="K311" s="6">
        <f>IF(AND(ISNUMBER(G311),ISNUMBER(H311)),100*G311/H311,"")</f>
        <v/>
      </c>
    </row>
    <row r="312">
      <c r="A312" s="4" t="inlineStr">
        <is>
          <t>46032</t>
        </is>
      </c>
      <c r="B312" s="4" t="inlineStr">
        <is>
          <t>Almàssera</t>
        </is>
      </c>
      <c r="C312" s="4" t="n">
        <v>7479</v>
      </c>
      <c r="D312" s="4" t="n">
        <v>7835</v>
      </c>
      <c r="E312" s="4" t="n">
        <v>4.2708</v>
      </c>
      <c r="F312" s="4" t="n">
        <v>6.1728</v>
      </c>
      <c r="G312" s="4" t="n"/>
      <c r="H312" s="4" t="n">
        <v>3514</v>
      </c>
      <c r="I312" s="6">
        <f>IF(AND(ISNUMBER(D312),C312&gt;0),100*(D312/C312-1),"")</f>
        <v/>
      </c>
      <c r="J312" s="6">
        <f>IF(AND(ISNUMBER(F312),ISNUMBER(E312)),100*(F312/E312-1),"")</f>
        <v/>
      </c>
      <c r="K312" s="6">
        <f>IF(AND(ISNUMBER(G312),ISNUMBER(H312)),100*G312/H312,"")</f>
        <v/>
      </c>
    </row>
    <row r="313">
      <c r="A313" s="4" t="inlineStr">
        <is>
          <t>46033</t>
        </is>
      </c>
      <c r="B313" s="4" t="inlineStr">
        <is>
          <t>Almiserà</t>
        </is>
      </c>
      <c r="C313" s="4" t="n">
        <v>265</v>
      </c>
      <c r="D313" s="4" t="n">
        <v>280</v>
      </c>
      <c r="E313" s="4" t="n"/>
      <c r="F313" s="4" t="n"/>
      <c r="G313" s="4" t="n"/>
      <c r="H313" s="4" t="n">
        <v>184</v>
      </c>
      <c r="I313" s="6">
        <f>IF(AND(ISNUMBER(D313),C313&gt;0),100*(D313/C313-1),"")</f>
        <v/>
      </c>
      <c r="J313" s="6">
        <f>IF(AND(ISNUMBER(F313),ISNUMBER(E313)),100*(F313/E313-1),"")</f>
        <v/>
      </c>
      <c r="K313" s="6">
        <f>IF(AND(ISNUMBER(G313),ISNUMBER(H313)),100*G313/H313,"")</f>
        <v/>
      </c>
    </row>
    <row r="314">
      <c r="A314" s="4" t="inlineStr">
        <is>
          <t>46034</t>
        </is>
      </c>
      <c r="B314" s="4" t="inlineStr">
        <is>
          <t>Almoines</t>
        </is>
      </c>
      <c r="C314" s="4" t="n">
        <v>2537</v>
      </c>
      <c r="D314" s="4" t="n">
        <v>2676</v>
      </c>
      <c r="E314" s="4" t="n">
        <v>4.0211</v>
      </c>
      <c r="F314" s="4" t="n">
        <v>5.2407</v>
      </c>
      <c r="G314" s="4" t="n"/>
      <c r="H314" s="4" t="n">
        <v>1244</v>
      </c>
      <c r="I314" s="6">
        <f>IF(AND(ISNUMBER(D314),C314&gt;0),100*(D314/C314-1),"")</f>
        <v/>
      </c>
      <c r="J314" s="6">
        <f>IF(AND(ISNUMBER(F314),ISNUMBER(E314)),100*(F314/E314-1),"")</f>
        <v/>
      </c>
      <c r="K314" s="6">
        <f>IF(AND(ISNUMBER(G314),ISNUMBER(H314)),100*G314/H314,"")</f>
        <v/>
      </c>
    </row>
    <row r="315">
      <c r="A315" s="4" t="inlineStr">
        <is>
          <t>46035</t>
        </is>
      </c>
      <c r="B315" s="4" t="inlineStr">
        <is>
          <t>Almussafes</t>
        </is>
      </c>
      <c r="C315" s="4" t="n">
        <v>8958</v>
      </c>
      <c r="D315" s="4" t="n">
        <v>9066</v>
      </c>
      <c r="E315" s="4" t="n">
        <v>3.5398</v>
      </c>
      <c r="F315" s="4" t="n">
        <v>4.4535</v>
      </c>
      <c r="G315" s="4" t="n"/>
      <c r="H315" s="4" t="n">
        <v>3829</v>
      </c>
      <c r="I315" s="6">
        <f>IF(AND(ISNUMBER(D315),C315&gt;0),100*(D315/C315-1),"")</f>
        <v/>
      </c>
      <c r="J315" s="6">
        <f>IF(AND(ISNUMBER(F315),ISNUMBER(E315)),100*(F315/E315-1),"")</f>
        <v/>
      </c>
      <c r="K315" s="6">
        <f>IF(AND(ISNUMBER(G315),ISNUMBER(H315)),100*G315/H315,"")</f>
        <v/>
      </c>
    </row>
    <row r="316">
      <c r="A316" s="4" t="inlineStr">
        <is>
          <t>46036</t>
        </is>
      </c>
      <c r="B316" s="4" t="inlineStr">
        <is>
          <t>Alpuente</t>
        </is>
      </c>
      <c r="C316" s="4" t="n">
        <v>661</v>
      </c>
      <c r="D316" s="4" t="n">
        <v>689</v>
      </c>
      <c r="E316" s="4" t="n"/>
      <c r="F316" s="4" t="n"/>
      <c r="G316" s="4" t="n"/>
      <c r="H316" s="4" t="n">
        <v>1181</v>
      </c>
      <c r="I316" s="6">
        <f>IF(AND(ISNUMBER(D316),C316&gt;0),100*(D316/C316-1),"")</f>
        <v/>
      </c>
      <c r="J316" s="6">
        <f>IF(AND(ISNUMBER(F316),ISNUMBER(E316)),100*(F316/E316-1),"")</f>
        <v/>
      </c>
      <c r="K316" s="6">
        <f>IF(AND(ISNUMBER(G316),ISNUMBER(H316)),100*G316/H316,"")</f>
        <v/>
      </c>
    </row>
    <row r="317">
      <c r="A317" s="4" t="inlineStr">
        <is>
          <t>46037</t>
        </is>
      </c>
      <c r="B317" s="4" t="inlineStr">
        <is>
          <t>Alqueria de la Comtessa, l'</t>
        </is>
      </c>
      <c r="C317" s="4" t="n">
        <v>1488</v>
      </c>
      <c r="D317" s="4" t="n">
        <v>1549</v>
      </c>
      <c r="E317" s="4" t="n"/>
      <c r="F317" s="4" t="n">
        <v>3.7157</v>
      </c>
      <c r="G317" s="4" t="n"/>
      <c r="H317" s="4" t="n">
        <v>784</v>
      </c>
      <c r="I317" s="6">
        <f>IF(AND(ISNUMBER(D317),C317&gt;0),100*(D317/C317-1),"")</f>
        <v/>
      </c>
      <c r="J317" s="6">
        <f>IF(AND(ISNUMBER(F317),ISNUMBER(E317)),100*(F317/E317-1),"")</f>
        <v/>
      </c>
      <c r="K317" s="6">
        <f>IF(AND(ISNUMBER(G317),ISNUMBER(H317)),100*G317/H317,"")</f>
        <v/>
      </c>
    </row>
    <row r="318">
      <c r="A318" s="4" t="inlineStr">
        <is>
          <t>46038</t>
        </is>
      </c>
      <c r="B318" s="4" t="inlineStr">
        <is>
          <t>Andilla</t>
        </is>
      </c>
      <c r="C318" s="4" t="n">
        <v>313</v>
      </c>
      <c r="D318" s="4" t="n">
        <v>339</v>
      </c>
      <c r="E318" s="4" t="n"/>
      <c r="F318" s="4" t="n"/>
      <c r="G318" s="4" t="n"/>
      <c r="H318" s="4" t="n">
        <v>731</v>
      </c>
      <c r="I318" s="6">
        <f>IF(AND(ISNUMBER(D318),C318&gt;0),100*(D318/C318-1),"")</f>
        <v/>
      </c>
      <c r="J318" s="6">
        <f>IF(AND(ISNUMBER(F318),ISNUMBER(E318)),100*(F318/E318-1),"")</f>
        <v/>
      </c>
      <c r="K318" s="6">
        <f>IF(AND(ISNUMBER(G318),ISNUMBER(H318)),100*G318/H318,"")</f>
        <v/>
      </c>
    </row>
    <row r="319">
      <c r="A319" s="4" t="inlineStr">
        <is>
          <t>46039</t>
        </is>
      </c>
      <c r="B319" s="4" t="inlineStr">
        <is>
          <t>Anna</t>
        </is>
      </c>
      <c r="C319" s="4" t="n">
        <v>2626</v>
      </c>
      <c r="D319" s="4" t="n">
        <v>2627</v>
      </c>
      <c r="E319" s="4" t="n">
        <v>2.4565</v>
      </c>
      <c r="F319" s="4" t="n">
        <v>2.6667</v>
      </c>
      <c r="G319" s="4" t="n"/>
      <c r="H319" s="4" t="n">
        <v>1556</v>
      </c>
      <c r="I319" s="6">
        <f>IF(AND(ISNUMBER(D319),C319&gt;0),100*(D319/C319-1),"")</f>
        <v/>
      </c>
      <c r="J319" s="6">
        <f>IF(AND(ISNUMBER(F319),ISNUMBER(E319)),100*(F319/E319-1),"")</f>
        <v/>
      </c>
      <c r="K319" s="6">
        <f>IF(AND(ISNUMBER(G319),ISNUMBER(H319)),100*G319/H319,"")</f>
        <v/>
      </c>
    </row>
    <row r="320">
      <c r="A320" s="4" t="inlineStr">
        <is>
          <t>46040</t>
        </is>
      </c>
      <c r="B320" s="4" t="inlineStr">
        <is>
          <t>Antella</t>
        </is>
      </c>
      <c r="C320" s="4" t="n">
        <v>1133</v>
      </c>
      <c r="D320" s="4" t="n">
        <v>1137</v>
      </c>
      <c r="E320" s="4" t="n"/>
      <c r="F320" s="4" t="n"/>
      <c r="G320" s="4" t="n"/>
      <c r="H320" s="4" t="n">
        <v>746</v>
      </c>
      <c r="I320" s="6">
        <f>IF(AND(ISNUMBER(D320),C320&gt;0),100*(D320/C320-1),"")</f>
        <v/>
      </c>
      <c r="J320" s="6">
        <f>IF(AND(ISNUMBER(F320),ISNUMBER(E320)),100*(F320/E320-1),"")</f>
        <v/>
      </c>
      <c r="K320" s="6">
        <f>IF(AND(ISNUMBER(G320),ISNUMBER(H320)),100*G320/H320,"")</f>
        <v/>
      </c>
    </row>
    <row r="321">
      <c r="A321" s="4" t="inlineStr">
        <is>
          <t>46041</t>
        </is>
      </c>
      <c r="B321" s="4" t="inlineStr">
        <is>
          <t>Aras de los Olmos</t>
        </is>
      </c>
      <c r="C321" s="4" t="n">
        <v>374</v>
      </c>
      <c r="D321" s="4" t="n">
        <v>401</v>
      </c>
      <c r="E321" s="4" t="n"/>
      <c r="F321" s="4" t="n"/>
      <c r="G321" s="4" t="n"/>
      <c r="H321" s="4" t="n">
        <v>679</v>
      </c>
      <c r="I321" s="6">
        <f>IF(AND(ISNUMBER(D321),C321&gt;0),100*(D321/C321-1),"")</f>
        <v/>
      </c>
      <c r="J321" s="6">
        <f>IF(AND(ISNUMBER(F321),ISNUMBER(E321)),100*(F321/E321-1),"")</f>
        <v/>
      </c>
      <c r="K321" s="6">
        <f>IF(AND(ISNUMBER(G321),ISNUMBER(H321)),100*G321/H321,"")</f>
        <v/>
      </c>
    </row>
    <row r="322">
      <c r="A322" s="4" t="inlineStr">
        <is>
          <t>46042</t>
        </is>
      </c>
      <c r="B322" s="4" t="inlineStr">
        <is>
          <t>Aielo de Malferit</t>
        </is>
      </c>
      <c r="C322" s="4" t="n">
        <v>4569</v>
      </c>
      <c r="D322" s="4" t="n">
        <v>4606</v>
      </c>
      <c r="E322" s="4" t="n">
        <v>2.4206</v>
      </c>
      <c r="F322" s="4" t="n">
        <v>3.226</v>
      </c>
      <c r="G322" s="4" t="n"/>
      <c r="H322" s="4" t="n">
        <v>2397</v>
      </c>
      <c r="I322" s="6">
        <f>IF(AND(ISNUMBER(D322),C322&gt;0),100*(D322/C322-1),"")</f>
        <v/>
      </c>
      <c r="J322" s="6">
        <f>IF(AND(ISNUMBER(F322),ISNUMBER(E322)),100*(F322/E322-1),"")</f>
        <v/>
      </c>
      <c r="K322" s="6">
        <f>IF(AND(ISNUMBER(G322),ISNUMBER(H322)),100*G322/H322,"")</f>
        <v/>
      </c>
    </row>
    <row r="323">
      <c r="A323" s="4" t="inlineStr">
        <is>
          <t>46043</t>
        </is>
      </c>
      <c r="B323" s="4" t="inlineStr">
        <is>
          <t>Aielo de Rugat</t>
        </is>
      </c>
      <c r="C323" s="4" t="n">
        <v>167</v>
      </c>
      <c r="D323" s="4" t="n">
        <v>161</v>
      </c>
      <c r="E323" s="4" t="n"/>
      <c r="F323" s="4" t="n"/>
      <c r="G323" s="4" t="n"/>
      <c r="H323" s="4" t="n">
        <v>122</v>
      </c>
      <c r="I323" s="6">
        <f>IF(AND(ISNUMBER(D323),C323&gt;0),100*(D323/C323-1),"")</f>
        <v/>
      </c>
      <c r="J323" s="6">
        <f>IF(AND(ISNUMBER(F323),ISNUMBER(E323)),100*(F323/E323-1),"")</f>
        <v/>
      </c>
      <c r="K323" s="6">
        <f>IF(AND(ISNUMBER(G323),ISNUMBER(H323)),100*G323/H323,"")</f>
        <v/>
      </c>
    </row>
    <row r="324">
      <c r="A324" s="4" t="inlineStr">
        <is>
          <t>46044</t>
        </is>
      </c>
      <c r="B324" s="4" t="inlineStr">
        <is>
          <t>Ayora</t>
        </is>
      </c>
      <c r="C324" s="4" t="n">
        <v>5237</v>
      </c>
      <c r="D324" s="4" t="n">
        <v>5309</v>
      </c>
      <c r="E324" s="4" t="n">
        <v>2.7375</v>
      </c>
      <c r="F324" s="4" t="n">
        <v>3.1793</v>
      </c>
      <c r="G324" s="4" t="n"/>
      <c r="H324" s="4" t="n">
        <v>3602</v>
      </c>
      <c r="I324" s="6">
        <f>IF(AND(ISNUMBER(D324),C324&gt;0),100*(D324/C324-1),"")</f>
        <v/>
      </c>
      <c r="J324" s="6">
        <f>IF(AND(ISNUMBER(F324),ISNUMBER(E324)),100*(F324/E324-1),"")</f>
        <v/>
      </c>
      <c r="K324" s="6">
        <f>IF(AND(ISNUMBER(G324),ISNUMBER(H324)),100*G324/H324,"")</f>
        <v/>
      </c>
    </row>
    <row r="325">
      <c r="A325" s="4" t="inlineStr">
        <is>
          <t>46045</t>
        </is>
      </c>
      <c r="B325" s="4" t="inlineStr">
        <is>
          <t>Barxeta</t>
        </is>
      </c>
      <c r="C325" s="4" t="n">
        <v>1595</v>
      </c>
      <c r="D325" s="4" t="n">
        <v>1575</v>
      </c>
      <c r="E325" s="4" t="n"/>
      <c r="F325" s="4" t="n"/>
      <c r="G325" s="4" t="n"/>
      <c r="H325" s="4" t="n">
        <v>1015</v>
      </c>
      <c r="I325" s="6">
        <f>IF(AND(ISNUMBER(D325),C325&gt;0),100*(D325/C325-1),"")</f>
        <v/>
      </c>
      <c r="J325" s="6">
        <f>IF(AND(ISNUMBER(F325),ISNUMBER(E325)),100*(F325/E325-1),"")</f>
        <v/>
      </c>
      <c r="K325" s="6">
        <f>IF(AND(ISNUMBER(G325),ISNUMBER(H325)),100*G325/H325,"")</f>
        <v/>
      </c>
    </row>
    <row r="326">
      <c r="A326" s="4" t="inlineStr">
        <is>
          <t>46046</t>
        </is>
      </c>
      <c r="B326" s="4" t="inlineStr">
        <is>
          <t>Barx</t>
        </is>
      </c>
      <c r="C326" s="4" t="n">
        <v>1343</v>
      </c>
      <c r="D326" s="4" t="n">
        <v>1514</v>
      </c>
      <c r="E326" s="4" t="n"/>
      <c r="F326" s="4" t="n"/>
      <c r="G326" s="4" t="n"/>
      <c r="H326" s="4" t="n">
        <v>1088</v>
      </c>
      <c r="I326" s="6">
        <f>IF(AND(ISNUMBER(D326),C326&gt;0),100*(D326/C326-1),"")</f>
        <v/>
      </c>
      <c r="J326" s="6">
        <f>IF(AND(ISNUMBER(F326),ISNUMBER(E326)),100*(F326/E326-1),"")</f>
        <v/>
      </c>
      <c r="K326" s="6">
        <f>IF(AND(ISNUMBER(G326),ISNUMBER(H326)),100*G326/H326,"")</f>
        <v/>
      </c>
    </row>
    <row r="327">
      <c r="A327" s="4" t="inlineStr">
        <is>
          <t>46047</t>
        </is>
      </c>
      <c r="B327" s="4" t="inlineStr">
        <is>
          <t>Bèlgida</t>
        </is>
      </c>
      <c r="C327" s="4" t="n">
        <v>655</v>
      </c>
      <c r="D327" s="4" t="n">
        <v>651</v>
      </c>
      <c r="E327" s="4" t="n"/>
      <c r="F327" s="4" t="n"/>
      <c r="G327" s="4" t="n"/>
      <c r="H327" s="4" t="n">
        <v>367</v>
      </c>
      <c r="I327" s="6">
        <f>IF(AND(ISNUMBER(D327),C327&gt;0),100*(D327/C327-1),"")</f>
        <v/>
      </c>
      <c r="J327" s="6">
        <f>IF(AND(ISNUMBER(F327),ISNUMBER(E327)),100*(F327/E327-1),"")</f>
        <v/>
      </c>
      <c r="K327" s="6">
        <f>IF(AND(ISNUMBER(G327),ISNUMBER(H327)),100*G327/H327,"")</f>
        <v/>
      </c>
    </row>
    <row r="328">
      <c r="A328" s="4" t="inlineStr">
        <is>
          <t>46048</t>
        </is>
      </c>
      <c r="B328" s="4" t="inlineStr">
        <is>
          <t>Bellreguard</t>
        </is>
      </c>
      <c r="C328" s="4" t="n">
        <v>4616</v>
      </c>
      <c r="D328" s="4" t="n">
        <v>5034</v>
      </c>
      <c r="E328" s="4" t="n">
        <v>3.7429</v>
      </c>
      <c r="F328" s="4" t="n">
        <v>4.6154</v>
      </c>
      <c r="G328" s="4" t="n"/>
      <c r="H328" s="4" t="n">
        <v>4410</v>
      </c>
      <c r="I328" s="6">
        <f>IF(AND(ISNUMBER(D328),C328&gt;0),100*(D328/C328-1),"")</f>
        <v/>
      </c>
      <c r="J328" s="6">
        <f>IF(AND(ISNUMBER(F328),ISNUMBER(E328)),100*(F328/E328-1),"")</f>
        <v/>
      </c>
      <c r="K328" s="6">
        <f>IF(AND(ISNUMBER(G328),ISNUMBER(H328)),100*G328/H328,"")</f>
        <v/>
      </c>
    </row>
    <row r="329">
      <c r="A329" s="4" t="inlineStr">
        <is>
          <t>46049</t>
        </is>
      </c>
      <c r="B329" s="4" t="inlineStr">
        <is>
          <t>Bellús</t>
        </is>
      </c>
      <c r="C329" s="4" t="n">
        <v>302</v>
      </c>
      <c r="D329" s="4" t="n">
        <v>316</v>
      </c>
      <c r="E329" s="4" t="n"/>
      <c r="F329" s="4" t="n"/>
      <c r="G329" s="4" t="n"/>
      <c r="H329" s="4" t="n">
        <v>205</v>
      </c>
      <c r="I329" s="6">
        <f>IF(AND(ISNUMBER(D329),C329&gt;0),100*(D329/C329-1),"")</f>
        <v/>
      </c>
      <c r="J329" s="6">
        <f>IF(AND(ISNUMBER(F329),ISNUMBER(E329)),100*(F329/E329-1),"")</f>
        <v/>
      </c>
      <c r="K329" s="6">
        <f>IF(AND(ISNUMBER(G329),ISNUMBER(H329)),100*G329/H329,"")</f>
        <v/>
      </c>
    </row>
    <row r="330">
      <c r="A330" s="4" t="inlineStr">
        <is>
          <t>46050</t>
        </is>
      </c>
      <c r="B330" s="4" t="inlineStr">
        <is>
          <t>Benagéber</t>
        </is>
      </c>
      <c r="C330" s="4" t="n">
        <v>183</v>
      </c>
      <c r="D330" s="4" t="n">
        <v>177</v>
      </c>
      <c r="E330" s="4" t="n"/>
      <c r="F330" s="4" t="n"/>
      <c r="G330" s="4" t="n"/>
      <c r="H330" s="4" t="n">
        <v>274</v>
      </c>
      <c r="I330" s="6">
        <f>IF(AND(ISNUMBER(D330),C330&gt;0),100*(D330/C330-1),"")</f>
        <v/>
      </c>
      <c r="J330" s="6">
        <f>IF(AND(ISNUMBER(F330),ISNUMBER(E330)),100*(F330/E330-1),"")</f>
        <v/>
      </c>
      <c r="K330" s="6">
        <f>IF(AND(ISNUMBER(G330),ISNUMBER(H330)),100*G330/H330,"")</f>
        <v/>
      </c>
    </row>
    <row r="331">
      <c r="A331" s="4" t="inlineStr">
        <is>
          <t>46051</t>
        </is>
      </c>
      <c r="B331" s="4" t="inlineStr">
        <is>
          <t>Benaguasil</t>
        </is>
      </c>
      <c r="C331" s="4" t="n">
        <v>11437</v>
      </c>
      <c r="D331" s="4" t="n">
        <v>12707</v>
      </c>
      <c r="E331" s="4" t="n">
        <v>3.5185</v>
      </c>
      <c r="F331" s="4" t="n">
        <v>5.0026</v>
      </c>
      <c r="G331" s="4" t="n"/>
      <c r="H331" s="4" t="n">
        <v>5521</v>
      </c>
      <c r="I331" s="6">
        <f>IF(AND(ISNUMBER(D331),C331&gt;0),100*(D331/C331-1),"")</f>
        <v/>
      </c>
      <c r="J331" s="6">
        <f>IF(AND(ISNUMBER(F331),ISNUMBER(E331)),100*(F331/E331-1),"")</f>
        <v/>
      </c>
      <c r="K331" s="6">
        <f>IF(AND(ISNUMBER(G331),ISNUMBER(H331)),100*G331/H331,"")</f>
        <v/>
      </c>
    </row>
    <row r="332">
      <c r="A332" s="4" t="inlineStr">
        <is>
          <t>46052</t>
        </is>
      </c>
      <c r="B332" s="4" t="inlineStr">
        <is>
          <t>Benavites</t>
        </is>
      </c>
      <c r="C332" s="4" t="n">
        <v>650</v>
      </c>
      <c r="D332" s="4" t="n">
        <v>650</v>
      </c>
      <c r="E332" s="4" t="n"/>
      <c r="F332" s="4" t="n"/>
      <c r="G332" s="4" t="n"/>
      <c r="H332" s="4" t="n">
        <v>379</v>
      </c>
      <c r="I332" s="6">
        <f>IF(AND(ISNUMBER(D332),C332&gt;0),100*(D332/C332-1),"")</f>
        <v/>
      </c>
      <c r="J332" s="6">
        <f>IF(AND(ISNUMBER(F332),ISNUMBER(E332)),100*(F332/E332-1),"")</f>
        <v/>
      </c>
      <c r="K332" s="6">
        <f>IF(AND(ISNUMBER(G332),ISNUMBER(H332)),100*G332/H332,"")</f>
        <v/>
      </c>
    </row>
    <row r="333">
      <c r="A333" s="4" t="inlineStr">
        <is>
          <t>46053</t>
        </is>
      </c>
      <c r="B333" s="4" t="inlineStr">
        <is>
          <t>Beneixida</t>
        </is>
      </c>
      <c r="C333" s="4" t="n">
        <v>639</v>
      </c>
      <c r="D333" s="4" t="n">
        <v>658</v>
      </c>
      <c r="E333" s="4" t="n"/>
      <c r="F333" s="4" t="n"/>
      <c r="G333" s="4" t="n"/>
      <c r="H333" s="4" t="n">
        <v>321</v>
      </c>
      <c r="I333" s="6">
        <f>IF(AND(ISNUMBER(D333),C333&gt;0),100*(D333/C333-1),"")</f>
        <v/>
      </c>
      <c r="J333" s="6">
        <f>IF(AND(ISNUMBER(F333),ISNUMBER(E333)),100*(F333/E333-1),"")</f>
        <v/>
      </c>
      <c r="K333" s="6">
        <f>IF(AND(ISNUMBER(G333),ISNUMBER(H333)),100*G333/H333,"")</f>
        <v/>
      </c>
    </row>
    <row r="334">
      <c r="A334" s="4" t="inlineStr">
        <is>
          <t>46054</t>
        </is>
      </c>
      <c r="B334" s="4" t="inlineStr">
        <is>
          <t>Benetússer</t>
        </is>
      </c>
      <c r="C334" s="4" t="n">
        <v>15423</v>
      </c>
      <c r="D334" s="4" t="n">
        <v>16759</v>
      </c>
      <c r="E334" s="4" t="n">
        <v>4.3762</v>
      </c>
      <c r="F334" s="4" t="n">
        <v>6.1111</v>
      </c>
      <c r="G334" s="4" t="n"/>
      <c r="H334" s="4" t="n">
        <v>7184</v>
      </c>
      <c r="I334" s="6">
        <f>IF(AND(ISNUMBER(D334),C334&gt;0),100*(D334/C334-1),"")</f>
        <v/>
      </c>
      <c r="J334" s="6">
        <f>IF(AND(ISNUMBER(F334),ISNUMBER(E334)),100*(F334/E334-1),"")</f>
        <v/>
      </c>
      <c r="K334" s="6">
        <f>IF(AND(ISNUMBER(G334),ISNUMBER(H334)),100*G334/H334,"")</f>
        <v/>
      </c>
    </row>
    <row r="335">
      <c r="A335" s="4" t="inlineStr">
        <is>
          <t>46055</t>
        </is>
      </c>
      <c r="B335" s="4" t="inlineStr">
        <is>
          <t>Beniarjó</t>
        </is>
      </c>
      <c r="C335" s="4" t="n">
        <v>1779</v>
      </c>
      <c r="D335" s="4" t="n">
        <v>1956</v>
      </c>
      <c r="E335" s="4" t="n">
        <v>3.7563</v>
      </c>
      <c r="F335" s="4" t="n">
        <v>4.4183</v>
      </c>
      <c r="G335" s="4" t="n"/>
      <c r="H335" s="4" t="n">
        <v>949</v>
      </c>
      <c r="I335" s="6">
        <f>IF(AND(ISNUMBER(D335),C335&gt;0),100*(D335/C335-1),"")</f>
        <v/>
      </c>
      <c r="J335" s="6">
        <f>IF(AND(ISNUMBER(F335),ISNUMBER(E335)),100*(F335/E335-1),"")</f>
        <v/>
      </c>
      <c r="K335" s="6">
        <f>IF(AND(ISNUMBER(G335),ISNUMBER(H335)),100*G335/H335,"")</f>
        <v/>
      </c>
    </row>
    <row r="336">
      <c r="A336" s="4" t="inlineStr">
        <is>
          <t>46056</t>
        </is>
      </c>
      <c r="B336" s="4" t="inlineStr">
        <is>
          <t>Beniatjar</t>
        </is>
      </c>
      <c r="C336" s="4" t="n">
        <v>207</v>
      </c>
      <c r="D336" s="4" t="n">
        <v>209</v>
      </c>
      <c r="E336" s="4" t="n"/>
      <c r="F336" s="4" t="n"/>
      <c r="G336" s="4" t="n"/>
      <c r="H336" s="4" t="n">
        <v>191</v>
      </c>
      <c r="I336" s="6">
        <f>IF(AND(ISNUMBER(D336),C336&gt;0),100*(D336/C336-1),"")</f>
        <v/>
      </c>
      <c r="J336" s="6">
        <f>IF(AND(ISNUMBER(F336),ISNUMBER(E336)),100*(F336/E336-1),"")</f>
        <v/>
      </c>
      <c r="K336" s="6">
        <f>IF(AND(ISNUMBER(G336),ISNUMBER(H336)),100*G336/H336,"")</f>
        <v/>
      </c>
    </row>
    <row r="337">
      <c r="A337" s="4" t="inlineStr">
        <is>
          <t>46057</t>
        </is>
      </c>
      <c r="B337" s="4" t="inlineStr">
        <is>
          <t>Benicolet</t>
        </is>
      </c>
      <c r="C337" s="4" t="n">
        <v>597</v>
      </c>
      <c r="D337" s="4" t="n">
        <v>616</v>
      </c>
      <c r="E337" s="4" t="n"/>
      <c r="F337" s="4" t="n"/>
      <c r="G337" s="4" t="n"/>
      <c r="H337" s="4" t="n">
        <v>389</v>
      </c>
      <c r="I337" s="6">
        <f>IF(AND(ISNUMBER(D337),C337&gt;0),100*(D337/C337-1),"")</f>
        <v/>
      </c>
      <c r="J337" s="6">
        <f>IF(AND(ISNUMBER(F337),ISNUMBER(E337)),100*(F337/E337-1),"")</f>
        <v/>
      </c>
      <c r="K337" s="6">
        <f>IF(AND(ISNUMBER(G337),ISNUMBER(H337)),100*G337/H337,"")</f>
        <v/>
      </c>
    </row>
    <row r="338">
      <c r="A338" s="4" t="inlineStr">
        <is>
          <t>46058</t>
        </is>
      </c>
      <c r="B338" s="4" t="inlineStr">
        <is>
          <t>Benifairó de les Valls</t>
        </is>
      </c>
      <c r="C338" s="4" t="n">
        <v>2265</v>
      </c>
      <c r="D338" s="4" t="n">
        <v>2365</v>
      </c>
      <c r="E338" s="4" t="n">
        <v>3.4217</v>
      </c>
      <c r="F338" s="4" t="n">
        <v>4.3182</v>
      </c>
      <c r="G338" s="4" t="n"/>
      <c r="H338" s="4" t="n">
        <v>1218</v>
      </c>
      <c r="I338" s="6">
        <f>IF(AND(ISNUMBER(D338),C338&gt;0),100*(D338/C338-1),"")</f>
        <v/>
      </c>
      <c r="J338" s="6">
        <f>IF(AND(ISNUMBER(F338),ISNUMBER(E338)),100*(F338/E338-1),"")</f>
        <v/>
      </c>
      <c r="K338" s="6">
        <f>IF(AND(ISNUMBER(G338),ISNUMBER(H338)),100*G338/H338,"")</f>
        <v/>
      </c>
    </row>
    <row r="339">
      <c r="A339" s="4" t="inlineStr">
        <is>
          <t>46059</t>
        </is>
      </c>
      <c r="B339" s="4" t="inlineStr">
        <is>
          <t>Benifairó de la Valldigna</t>
        </is>
      </c>
      <c r="C339" s="4" t="n">
        <v>1544</v>
      </c>
      <c r="D339" s="4" t="n">
        <v>1593</v>
      </c>
      <c r="E339" s="4" t="n"/>
      <c r="F339" s="4" t="n">
        <v>2.8505</v>
      </c>
      <c r="G339" s="4" t="n"/>
      <c r="H339" s="4" t="n">
        <v>986</v>
      </c>
      <c r="I339" s="6">
        <f>IF(AND(ISNUMBER(D339),C339&gt;0),100*(D339/C339-1),"")</f>
        <v/>
      </c>
      <c r="J339" s="6">
        <f>IF(AND(ISNUMBER(F339),ISNUMBER(E339)),100*(F339/E339-1),"")</f>
        <v/>
      </c>
      <c r="K339" s="6">
        <f>IF(AND(ISNUMBER(G339),ISNUMBER(H339)),100*G339/H339,"")</f>
        <v/>
      </c>
    </row>
    <row r="340">
      <c r="A340" s="4" t="inlineStr">
        <is>
          <t>46060</t>
        </is>
      </c>
      <c r="B340" s="4" t="inlineStr">
        <is>
          <t>Benifaió</t>
        </is>
      </c>
      <c r="C340" s="4" t="n">
        <v>11978</v>
      </c>
      <c r="D340" s="4" t="n">
        <v>12238</v>
      </c>
      <c r="E340" s="4" t="n">
        <v>3.5047</v>
      </c>
      <c r="F340" s="4" t="n">
        <v>4.6436</v>
      </c>
      <c r="G340" s="4" t="n"/>
      <c r="H340" s="4" t="n">
        <v>6092</v>
      </c>
      <c r="I340" s="6">
        <f>IF(AND(ISNUMBER(D340),C340&gt;0),100*(D340/C340-1),"")</f>
        <v/>
      </c>
      <c r="J340" s="6">
        <f>IF(AND(ISNUMBER(F340),ISNUMBER(E340)),100*(F340/E340-1),"")</f>
        <v/>
      </c>
      <c r="K340" s="6">
        <f>IF(AND(ISNUMBER(G340),ISNUMBER(H340)),100*G340/H340,"")</f>
        <v/>
      </c>
    </row>
    <row r="341">
      <c r="A341" s="4" t="inlineStr">
        <is>
          <t>46061</t>
        </is>
      </c>
      <c r="B341" s="4" t="inlineStr">
        <is>
          <t>Beniflá</t>
        </is>
      </c>
      <c r="C341" s="4" t="n">
        <v>464</v>
      </c>
      <c r="D341" s="4" t="n">
        <v>507</v>
      </c>
      <c r="E341" s="4" t="n"/>
      <c r="F341" s="4" t="n"/>
      <c r="G341" s="4" t="n"/>
      <c r="H341" s="4" t="n">
        <v>233</v>
      </c>
      <c r="I341" s="6">
        <f>IF(AND(ISNUMBER(D341),C341&gt;0),100*(D341/C341-1),"")</f>
        <v/>
      </c>
      <c r="J341" s="6">
        <f>IF(AND(ISNUMBER(F341),ISNUMBER(E341)),100*(F341/E341-1),"")</f>
        <v/>
      </c>
      <c r="K341" s="6">
        <f>IF(AND(ISNUMBER(G341),ISNUMBER(H341)),100*G341/H341,"")</f>
        <v/>
      </c>
    </row>
    <row r="342">
      <c r="A342" s="4" t="inlineStr">
        <is>
          <t>46062</t>
        </is>
      </c>
      <c r="B342" s="4" t="inlineStr">
        <is>
          <t>Benigànim</t>
        </is>
      </c>
      <c r="C342" s="4" t="n">
        <v>5830</v>
      </c>
      <c r="D342" s="4" t="n">
        <v>5858</v>
      </c>
      <c r="E342" s="4" t="n">
        <v>2.5657</v>
      </c>
      <c r="F342" s="4" t="n">
        <v>3.0625</v>
      </c>
      <c r="G342" s="4" t="n"/>
      <c r="H342" s="4" t="n">
        <v>2771</v>
      </c>
      <c r="I342" s="6">
        <f>IF(AND(ISNUMBER(D342),C342&gt;0),100*(D342/C342-1),"")</f>
        <v/>
      </c>
      <c r="J342" s="6">
        <f>IF(AND(ISNUMBER(F342),ISNUMBER(E342)),100*(F342/E342-1),"")</f>
        <v/>
      </c>
      <c r="K342" s="6">
        <f>IF(AND(ISNUMBER(G342),ISNUMBER(H342)),100*G342/H342,"")</f>
        <v/>
      </c>
    </row>
    <row r="343">
      <c r="A343" s="4" t="inlineStr">
        <is>
          <t>46063</t>
        </is>
      </c>
      <c r="B343" s="4" t="inlineStr">
        <is>
          <t>Benimodo</t>
        </is>
      </c>
      <c r="C343" s="4" t="n">
        <v>2260</v>
      </c>
      <c r="D343" s="4" t="n">
        <v>2336</v>
      </c>
      <c r="E343" s="4" t="n">
        <v>3.271</v>
      </c>
      <c r="F343" s="4" t="n">
        <v>4.167</v>
      </c>
      <c r="G343" s="4" t="n"/>
      <c r="H343" s="4" t="n">
        <v>1171</v>
      </c>
      <c r="I343" s="6">
        <f>IF(AND(ISNUMBER(D343),C343&gt;0),100*(D343/C343-1),"")</f>
        <v/>
      </c>
      <c r="J343" s="6">
        <f>IF(AND(ISNUMBER(F343),ISNUMBER(E343)),100*(F343/E343-1),"")</f>
        <v/>
      </c>
      <c r="K343" s="6">
        <f>IF(AND(ISNUMBER(G343),ISNUMBER(H343)),100*G343/H343,"")</f>
        <v/>
      </c>
    </row>
    <row r="344">
      <c r="A344" s="4" t="inlineStr">
        <is>
          <t>46064</t>
        </is>
      </c>
      <c r="B344" s="4" t="inlineStr">
        <is>
          <t>Benimuslem</t>
        </is>
      </c>
      <c r="C344" s="4" t="n">
        <v>652</v>
      </c>
      <c r="D344" s="4" t="n">
        <v>675</v>
      </c>
      <c r="E344" s="4" t="n"/>
      <c r="F344" s="4" t="n"/>
      <c r="G344" s="4" t="n"/>
      <c r="H344" s="4" t="n">
        <v>327</v>
      </c>
      <c r="I344" s="6">
        <f>IF(AND(ISNUMBER(D344),C344&gt;0),100*(D344/C344-1),"")</f>
        <v/>
      </c>
      <c r="J344" s="6">
        <f>IF(AND(ISNUMBER(F344),ISNUMBER(E344)),100*(F344/E344-1),"")</f>
        <v/>
      </c>
      <c r="K344" s="6">
        <f>IF(AND(ISNUMBER(G344),ISNUMBER(H344)),100*G344/H344,"")</f>
        <v/>
      </c>
    </row>
    <row r="345">
      <c r="A345" s="4" t="inlineStr">
        <is>
          <t>46065</t>
        </is>
      </c>
      <c r="B345" s="4" t="inlineStr">
        <is>
          <t>Beniparrell</t>
        </is>
      </c>
      <c r="C345" s="4" t="n">
        <v>2019</v>
      </c>
      <c r="D345" s="4" t="n">
        <v>2119</v>
      </c>
      <c r="E345" s="4" t="n">
        <v>3.8554</v>
      </c>
      <c r="F345" s="4" t="n">
        <v>5.1004</v>
      </c>
      <c r="G345" s="4" t="n"/>
      <c r="H345" s="4" t="n">
        <v>930</v>
      </c>
      <c r="I345" s="6">
        <f>IF(AND(ISNUMBER(D345),C345&gt;0),100*(D345/C345-1),"")</f>
        <v/>
      </c>
      <c r="J345" s="6">
        <f>IF(AND(ISNUMBER(F345),ISNUMBER(E345)),100*(F345/E345-1),"")</f>
        <v/>
      </c>
      <c r="K345" s="6">
        <f>IF(AND(ISNUMBER(G345),ISNUMBER(H345)),100*G345/H345,"")</f>
        <v/>
      </c>
    </row>
    <row r="346">
      <c r="A346" s="4" t="inlineStr">
        <is>
          <t>46066</t>
        </is>
      </c>
      <c r="B346" s="4" t="inlineStr">
        <is>
          <t>Benirredrà</t>
        </is>
      </c>
      <c r="C346" s="4" t="n">
        <v>1552</v>
      </c>
      <c r="D346" s="4" t="n">
        <v>1579</v>
      </c>
      <c r="E346" s="4" t="n">
        <v>4.3898</v>
      </c>
      <c r="F346" s="4" t="n">
        <v>5.3893</v>
      </c>
      <c r="G346" s="4" t="n"/>
      <c r="H346" s="4" t="n">
        <v>640</v>
      </c>
      <c r="I346" s="6">
        <f>IF(AND(ISNUMBER(D346),C346&gt;0),100*(D346/C346-1),"")</f>
        <v/>
      </c>
      <c r="J346" s="6">
        <f>IF(AND(ISNUMBER(F346),ISNUMBER(E346)),100*(F346/E346-1),"")</f>
        <v/>
      </c>
      <c r="K346" s="6">
        <f>IF(AND(ISNUMBER(G346),ISNUMBER(H346)),100*G346/H346,"")</f>
        <v/>
      </c>
    </row>
    <row r="347">
      <c r="A347" s="4" t="inlineStr">
        <is>
          <t>46067</t>
        </is>
      </c>
      <c r="B347" s="4" t="inlineStr">
        <is>
          <t>Benissanó</t>
        </is>
      </c>
      <c r="C347" s="4" t="n">
        <v>2332</v>
      </c>
      <c r="D347" s="4" t="n">
        <v>2449</v>
      </c>
      <c r="E347" s="4" t="n">
        <v>3.319</v>
      </c>
      <c r="F347" s="4" t="n">
        <v>4.5192</v>
      </c>
      <c r="G347" s="4" t="n"/>
      <c r="H347" s="4" t="n">
        <v>1096</v>
      </c>
      <c r="I347" s="6">
        <f>IF(AND(ISNUMBER(D347),C347&gt;0),100*(D347/C347-1),"")</f>
        <v/>
      </c>
      <c r="J347" s="6">
        <f>IF(AND(ISNUMBER(F347),ISNUMBER(E347)),100*(F347/E347-1),"")</f>
        <v/>
      </c>
      <c r="K347" s="6">
        <f>IF(AND(ISNUMBER(G347),ISNUMBER(H347)),100*G347/H347,"")</f>
        <v/>
      </c>
    </row>
    <row r="348">
      <c r="A348" s="4" t="inlineStr">
        <is>
          <t>46068</t>
        </is>
      </c>
      <c r="B348" s="4" t="inlineStr">
        <is>
          <t>Benissoda</t>
        </is>
      </c>
      <c r="C348" s="4" t="n">
        <v>444</v>
      </c>
      <c r="D348" s="4" t="n">
        <v>494</v>
      </c>
      <c r="E348" s="4" t="n"/>
      <c r="F348" s="4" t="n"/>
      <c r="G348" s="4" t="n"/>
      <c r="H348" s="4" t="n">
        <v>269</v>
      </c>
      <c r="I348" s="6">
        <f>IF(AND(ISNUMBER(D348),C348&gt;0),100*(D348/C348-1),"")</f>
        <v/>
      </c>
      <c r="J348" s="6">
        <f>IF(AND(ISNUMBER(F348),ISNUMBER(E348)),100*(F348/E348-1),"")</f>
        <v/>
      </c>
      <c r="K348" s="6">
        <f>IF(AND(ISNUMBER(G348),ISNUMBER(H348)),100*G348/H348,"")</f>
        <v/>
      </c>
    </row>
    <row r="349">
      <c r="A349" s="4" t="inlineStr">
        <is>
          <t>46069</t>
        </is>
      </c>
      <c r="B349" s="4" t="inlineStr">
        <is>
          <t>Benissuera</t>
        </is>
      </c>
      <c r="C349" s="4" t="n">
        <v>177</v>
      </c>
      <c r="D349" s="4" t="n">
        <v>200</v>
      </c>
      <c r="E349" s="4" t="n"/>
      <c r="F349" s="4" t="n"/>
      <c r="G349" s="4" t="n"/>
      <c r="H349" s="4" t="n">
        <v>130</v>
      </c>
      <c r="I349" s="6">
        <f>IF(AND(ISNUMBER(D349),C349&gt;0),100*(D349/C349-1),"")</f>
        <v/>
      </c>
      <c r="J349" s="6">
        <f>IF(AND(ISNUMBER(F349),ISNUMBER(E349)),100*(F349/E349-1),"")</f>
        <v/>
      </c>
      <c r="K349" s="6">
        <f>IF(AND(ISNUMBER(G349),ISNUMBER(H349)),100*G349/H349,"")</f>
        <v/>
      </c>
    </row>
    <row r="350">
      <c r="A350" s="4" t="inlineStr">
        <is>
          <t>46070</t>
        </is>
      </c>
      <c r="B350" s="4" t="inlineStr">
        <is>
          <t>Bétera</t>
        </is>
      </c>
      <c r="C350" s="4" t="n">
        <v>25519</v>
      </c>
      <c r="D350" s="4" t="n">
        <v>28605</v>
      </c>
      <c r="E350" s="4" t="n">
        <v>4.6396</v>
      </c>
      <c r="F350" s="4" t="n">
        <v>6.0693</v>
      </c>
      <c r="G350" s="4" t="n"/>
      <c r="H350" s="4" t="n">
        <v>13293</v>
      </c>
      <c r="I350" s="6">
        <f>IF(AND(ISNUMBER(D350),C350&gt;0),100*(D350/C350-1),"")</f>
        <v/>
      </c>
      <c r="J350" s="6">
        <f>IF(AND(ISNUMBER(F350),ISNUMBER(E350)),100*(F350/E350-1),"")</f>
        <v/>
      </c>
      <c r="K350" s="6">
        <f>IF(AND(ISNUMBER(G350),ISNUMBER(H350)),100*G350/H350,"")</f>
        <v/>
      </c>
    </row>
    <row r="351">
      <c r="A351" s="4" t="inlineStr">
        <is>
          <t>46071</t>
        </is>
      </c>
      <c r="B351" s="4" t="inlineStr">
        <is>
          <t>Bicorp</t>
        </is>
      </c>
      <c r="C351" s="4" t="n">
        <v>527</v>
      </c>
      <c r="D351" s="4" t="n">
        <v>546</v>
      </c>
      <c r="E351" s="4" t="n"/>
      <c r="F351" s="4" t="n"/>
      <c r="G351" s="4" t="n"/>
      <c r="H351" s="4" t="n">
        <v>478</v>
      </c>
      <c r="I351" s="6">
        <f>IF(AND(ISNUMBER(D351),C351&gt;0),100*(D351/C351-1),"")</f>
        <v/>
      </c>
      <c r="J351" s="6">
        <f>IF(AND(ISNUMBER(F351),ISNUMBER(E351)),100*(F351/E351-1),"")</f>
        <v/>
      </c>
      <c r="K351" s="6">
        <f>IF(AND(ISNUMBER(G351),ISNUMBER(H351)),100*G351/H351,"")</f>
        <v/>
      </c>
    </row>
    <row r="352">
      <c r="A352" s="4" t="inlineStr">
        <is>
          <t>46072</t>
        </is>
      </c>
      <c r="B352" s="4" t="inlineStr">
        <is>
          <t>Bocairent</t>
        </is>
      </c>
      <c r="C352" s="4" t="n">
        <v>4128</v>
      </c>
      <c r="D352" s="4" t="n">
        <v>4190</v>
      </c>
      <c r="E352" s="4" t="n">
        <v>3.5748</v>
      </c>
      <c r="F352" s="4" t="n">
        <v>3.6607</v>
      </c>
      <c r="G352" s="4" t="n"/>
      <c r="H352" s="4" t="n">
        <v>2462</v>
      </c>
      <c r="I352" s="6">
        <f>IF(AND(ISNUMBER(D352),C352&gt;0),100*(D352/C352-1),"")</f>
        <v/>
      </c>
      <c r="J352" s="6">
        <f>IF(AND(ISNUMBER(F352),ISNUMBER(E352)),100*(F352/E352-1),"")</f>
        <v/>
      </c>
      <c r="K352" s="6">
        <f>IF(AND(ISNUMBER(G352),ISNUMBER(H352)),100*G352/H352,"")</f>
        <v/>
      </c>
    </row>
    <row r="353">
      <c r="A353" s="4" t="inlineStr">
        <is>
          <t>46073</t>
        </is>
      </c>
      <c r="B353" s="4" t="inlineStr">
        <is>
          <t>Bolbaite</t>
        </is>
      </c>
      <c r="C353" s="4" t="n">
        <v>1339</v>
      </c>
      <c r="D353" s="4" t="n">
        <v>1320</v>
      </c>
      <c r="E353" s="4" t="n"/>
      <c r="F353" s="4" t="n">
        <v>2.6579</v>
      </c>
      <c r="G353" s="4" t="n"/>
      <c r="H353" s="4" t="n">
        <v>702</v>
      </c>
      <c r="I353" s="6">
        <f>IF(AND(ISNUMBER(D353),C353&gt;0),100*(D353/C353-1),"")</f>
        <v/>
      </c>
      <c r="J353" s="6">
        <f>IF(AND(ISNUMBER(F353),ISNUMBER(E353)),100*(F353/E353-1),"")</f>
        <v/>
      </c>
      <c r="K353" s="6">
        <f>IF(AND(ISNUMBER(G353),ISNUMBER(H353)),100*G353/H353,"")</f>
        <v/>
      </c>
    </row>
    <row r="354">
      <c r="A354" s="4" t="inlineStr">
        <is>
          <t>46074</t>
        </is>
      </c>
      <c r="B354" s="4" t="inlineStr">
        <is>
          <t>Bonrepòs i Mirambell</t>
        </is>
      </c>
      <c r="C354" s="4" t="n">
        <v>3781</v>
      </c>
      <c r="D354" s="4" t="n">
        <v>4118</v>
      </c>
      <c r="E354" s="4" t="n">
        <v>4.7614</v>
      </c>
      <c r="F354" s="4" t="n">
        <v>6.3449</v>
      </c>
      <c r="G354" s="4" t="n"/>
      <c r="H354" s="4" t="n">
        <v>1767</v>
      </c>
      <c r="I354" s="6">
        <f>IF(AND(ISNUMBER(D354),C354&gt;0),100*(D354/C354-1),"")</f>
        <v/>
      </c>
      <c r="J354" s="6">
        <f>IF(AND(ISNUMBER(F354),ISNUMBER(E354)),100*(F354/E354-1),"")</f>
        <v/>
      </c>
      <c r="K354" s="6">
        <f>IF(AND(ISNUMBER(G354),ISNUMBER(H354)),100*G354/H354,"")</f>
        <v/>
      </c>
    </row>
    <row r="355">
      <c r="A355" s="4" t="inlineStr">
        <is>
          <t>46075</t>
        </is>
      </c>
      <c r="B355" s="4" t="inlineStr">
        <is>
          <t>Bufali</t>
        </is>
      </c>
      <c r="C355" s="4" t="n">
        <v>163</v>
      </c>
      <c r="D355" s="4" t="n">
        <v>162</v>
      </c>
      <c r="E355" s="4" t="n"/>
      <c r="F355" s="4" t="n"/>
      <c r="G355" s="4" t="n"/>
      <c r="H355" s="4" t="n">
        <v>99</v>
      </c>
      <c r="I355" s="6">
        <f>IF(AND(ISNUMBER(D355),C355&gt;0),100*(D355/C355-1),"")</f>
        <v/>
      </c>
      <c r="J355" s="6">
        <f>IF(AND(ISNUMBER(F355),ISNUMBER(E355)),100*(F355/E355-1),"")</f>
        <v/>
      </c>
      <c r="K355" s="6">
        <f>IF(AND(ISNUMBER(G355),ISNUMBER(H355)),100*G355/H355,"")</f>
        <v/>
      </c>
    </row>
    <row r="356">
      <c r="A356" s="4" t="inlineStr">
        <is>
          <t>46076</t>
        </is>
      </c>
      <c r="B356" s="4" t="inlineStr">
        <is>
          <t>Bugarra</t>
        </is>
      </c>
      <c r="C356" s="4" t="n">
        <v>733</v>
      </c>
      <c r="D356" s="4" t="n">
        <v>788</v>
      </c>
      <c r="E356" s="4" t="n"/>
      <c r="F356" s="4" t="n"/>
      <c r="G356" s="4" t="n"/>
      <c r="H356" s="4" t="n">
        <v>596</v>
      </c>
      <c r="I356" s="6">
        <f>IF(AND(ISNUMBER(D356),C356&gt;0),100*(D356/C356-1),"")</f>
        <v/>
      </c>
      <c r="J356" s="6">
        <f>IF(AND(ISNUMBER(F356),ISNUMBER(E356)),100*(F356/E356-1),"")</f>
        <v/>
      </c>
      <c r="K356" s="6">
        <f>IF(AND(ISNUMBER(G356),ISNUMBER(H356)),100*G356/H356,"")</f>
        <v/>
      </c>
    </row>
    <row r="357">
      <c r="A357" s="4" t="inlineStr">
        <is>
          <t>46077</t>
        </is>
      </c>
      <c r="B357" s="4" t="inlineStr">
        <is>
          <t>Buñol</t>
        </is>
      </c>
      <c r="C357" s="4" t="n">
        <v>9414</v>
      </c>
      <c r="D357" s="4" t="n">
        <v>9912</v>
      </c>
      <c r="E357" s="4" t="n">
        <v>3.0871</v>
      </c>
      <c r="F357" s="4" t="n">
        <v>4.0658</v>
      </c>
      <c r="G357" s="4" t="n"/>
      <c r="H357" s="4" t="n">
        <v>5528</v>
      </c>
      <c r="I357" s="6">
        <f>IF(AND(ISNUMBER(D357),C357&gt;0),100*(D357/C357-1),"")</f>
        <v/>
      </c>
      <c r="J357" s="6">
        <f>IF(AND(ISNUMBER(F357),ISNUMBER(E357)),100*(F357/E357-1),"")</f>
        <v/>
      </c>
      <c r="K357" s="6">
        <f>IF(AND(ISNUMBER(G357),ISNUMBER(H357)),100*G357/H357,"")</f>
        <v/>
      </c>
    </row>
    <row r="358">
      <c r="A358" s="4" t="inlineStr">
        <is>
          <t>46078</t>
        </is>
      </c>
      <c r="B358" s="4" t="inlineStr">
        <is>
          <t>Burjassot</t>
        </is>
      </c>
      <c r="C358" s="4" t="n">
        <v>39028</v>
      </c>
      <c r="D358" s="4" t="n">
        <v>41743</v>
      </c>
      <c r="E358" s="4" t="n">
        <v>4.4872</v>
      </c>
      <c r="F358" s="4" t="n">
        <v>6.3291</v>
      </c>
      <c r="G358" s="4" t="n"/>
      <c r="H358" s="4" t="n">
        <v>17740</v>
      </c>
      <c r="I358" s="6">
        <f>IF(AND(ISNUMBER(D358),C358&gt;0),100*(D358/C358-1),"")</f>
        <v/>
      </c>
      <c r="J358" s="6">
        <f>IF(AND(ISNUMBER(F358),ISNUMBER(E358)),100*(F358/E358-1),"")</f>
        <v/>
      </c>
      <c r="K358" s="6">
        <f>IF(AND(ISNUMBER(G358),ISNUMBER(H358)),100*G358/H358,"")</f>
        <v/>
      </c>
    </row>
    <row r="359">
      <c r="A359" s="4" t="inlineStr">
        <is>
          <t>46079</t>
        </is>
      </c>
      <c r="B359" s="4" t="inlineStr">
        <is>
          <t>Calles</t>
        </is>
      </c>
      <c r="C359" s="4" t="n">
        <v>375</v>
      </c>
      <c r="D359" s="4" t="n">
        <v>470</v>
      </c>
      <c r="E359" s="4" t="n"/>
      <c r="F359" s="4" t="n"/>
      <c r="G359" s="4" t="n"/>
      <c r="H359" s="4" t="n">
        <v>740</v>
      </c>
      <c r="I359" s="6">
        <f>IF(AND(ISNUMBER(D359),C359&gt;0),100*(D359/C359-1),"")</f>
        <v/>
      </c>
      <c r="J359" s="6">
        <f>IF(AND(ISNUMBER(F359),ISNUMBER(E359)),100*(F359/E359-1),"")</f>
        <v/>
      </c>
      <c r="K359" s="6">
        <f>IF(AND(ISNUMBER(G359),ISNUMBER(H359)),100*G359/H359,"")</f>
        <v/>
      </c>
    </row>
    <row r="360">
      <c r="A360" s="4" t="inlineStr">
        <is>
          <t>46080</t>
        </is>
      </c>
      <c r="B360" s="4" t="inlineStr">
        <is>
          <t>Camporrobles</t>
        </is>
      </c>
      <c r="C360" s="4" t="n">
        <v>1204</v>
      </c>
      <c r="D360" s="4" t="n">
        <v>1179</v>
      </c>
      <c r="E360" s="4" t="n"/>
      <c r="F360" s="4" t="n"/>
      <c r="G360" s="4" t="n"/>
      <c r="H360" s="4" t="n">
        <v>1180</v>
      </c>
      <c r="I360" s="6">
        <f>IF(AND(ISNUMBER(D360),C360&gt;0),100*(D360/C360-1),"")</f>
        <v/>
      </c>
      <c r="J360" s="6">
        <f>IF(AND(ISNUMBER(F360),ISNUMBER(E360)),100*(F360/E360-1),"")</f>
        <v/>
      </c>
      <c r="K360" s="6">
        <f>IF(AND(ISNUMBER(G360),ISNUMBER(H360)),100*G360/H360,"")</f>
        <v/>
      </c>
    </row>
    <row r="361">
      <c r="A361" s="4" t="inlineStr">
        <is>
          <t>46081</t>
        </is>
      </c>
      <c r="B361" s="4" t="inlineStr">
        <is>
          <t>Canals</t>
        </is>
      </c>
      <c r="C361" s="4" t="n">
        <v>13357</v>
      </c>
      <c r="D361" s="4" t="n">
        <v>13805</v>
      </c>
      <c r="E361" s="4" t="n">
        <v>2.8846</v>
      </c>
      <c r="F361" s="4" t="n">
        <v>3.5106</v>
      </c>
      <c r="G361" s="4" t="n"/>
      <c r="H361" s="4" t="n">
        <v>6754</v>
      </c>
      <c r="I361" s="6">
        <f>IF(AND(ISNUMBER(D361),C361&gt;0),100*(D361/C361-1),"")</f>
        <v/>
      </c>
      <c r="J361" s="6">
        <f>IF(AND(ISNUMBER(F361),ISNUMBER(E361)),100*(F361/E361-1),"")</f>
        <v/>
      </c>
      <c r="K361" s="6">
        <f>IF(AND(ISNUMBER(G361),ISNUMBER(H361)),100*G361/H361,"")</f>
        <v/>
      </c>
    </row>
    <row r="362">
      <c r="A362" s="4" t="inlineStr">
        <is>
          <t>46082</t>
        </is>
      </c>
      <c r="B362" s="4" t="inlineStr">
        <is>
          <t>Canet d'En Berenguer</t>
        </is>
      </c>
      <c r="C362" s="4" t="n">
        <v>6824</v>
      </c>
      <c r="D362" s="4" t="n">
        <v>8266</v>
      </c>
      <c r="E362" s="4" t="n">
        <v>5.945</v>
      </c>
      <c r="F362" s="4" t="n">
        <v>8.333299999999999</v>
      </c>
      <c r="G362" s="4" t="n"/>
      <c r="H362" s="4" t="n">
        <v>10360</v>
      </c>
      <c r="I362" s="6">
        <f>IF(AND(ISNUMBER(D362),C362&gt;0),100*(D362/C362-1),"")</f>
        <v/>
      </c>
      <c r="J362" s="6">
        <f>IF(AND(ISNUMBER(F362),ISNUMBER(E362)),100*(F362/E362-1),"")</f>
        <v/>
      </c>
      <c r="K362" s="6">
        <f>IF(AND(ISNUMBER(G362),ISNUMBER(H362)),100*G362/H362,"")</f>
        <v/>
      </c>
    </row>
    <row r="363">
      <c r="A363" s="4" t="inlineStr">
        <is>
          <t>46083</t>
        </is>
      </c>
      <c r="B363" s="4" t="inlineStr">
        <is>
          <t>Carcaixent</t>
        </is>
      </c>
      <c r="C363" s="4" t="n">
        <v>20552</v>
      </c>
      <c r="D363" s="4" t="n">
        <v>21893</v>
      </c>
      <c r="E363" s="4" t="n">
        <v>3.2877</v>
      </c>
      <c r="F363" s="4" t="n">
        <v>4.3333</v>
      </c>
      <c r="G363" s="4" t="n"/>
      <c r="H363" s="4" t="n">
        <v>10259</v>
      </c>
      <c r="I363" s="6">
        <f>IF(AND(ISNUMBER(D363),C363&gt;0),100*(D363/C363-1),"")</f>
        <v/>
      </c>
      <c r="J363" s="6">
        <f>IF(AND(ISNUMBER(F363),ISNUMBER(E363)),100*(F363/E363-1),"")</f>
        <v/>
      </c>
      <c r="K363" s="6">
        <f>IF(AND(ISNUMBER(G363),ISNUMBER(H363)),100*G363/H363,"")</f>
        <v/>
      </c>
    </row>
    <row r="364">
      <c r="A364" s="4" t="inlineStr">
        <is>
          <t>46084</t>
        </is>
      </c>
      <c r="B364" s="4" t="inlineStr">
        <is>
          <t>Càrcer</t>
        </is>
      </c>
      <c r="C364" s="4" t="n">
        <v>1826</v>
      </c>
      <c r="D364" s="4" t="n">
        <v>1799</v>
      </c>
      <c r="E364" s="4" t="n">
        <v>2.5</v>
      </c>
      <c r="F364" s="4" t="n">
        <v>3.1911</v>
      </c>
      <c r="G364" s="4" t="n"/>
      <c r="H364" s="4" t="n">
        <v>973</v>
      </c>
      <c r="I364" s="6">
        <f>IF(AND(ISNUMBER(D364),C364&gt;0),100*(D364/C364-1),"")</f>
        <v/>
      </c>
      <c r="J364" s="6">
        <f>IF(AND(ISNUMBER(F364),ISNUMBER(E364)),100*(F364/E364-1),"")</f>
        <v/>
      </c>
      <c r="K364" s="6">
        <f>IF(AND(ISNUMBER(G364),ISNUMBER(H364)),100*G364/H364,"")</f>
        <v/>
      </c>
    </row>
    <row r="365">
      <c r="A365" s="4" t="inlineStr">
        <is>
          <t>46085</t>
        </is>
      </c>
      <c r="B365" s="4" t="inlineStr">
        <is>
          <t>Carlet</t>
        </is>
      </c>
      <c r="C365" s="4" t="n">
        <v>15810</v>
      </c>
      <c r="D365" s="4" t="n">
        <v>16833</v>
      </c>
      <c r="E365" s="4" t="n">
        <v>3.1222</v>
      </c>
      <c r="F365" s="4" t="n">
        <v>4.208</v>
      </c>
      <c r="G365" s="4" t="n"/>
      <c r="H365" s="4" t="n">
        <v>7605</v>
      </c>
      <c r="I365" s="6">
        <f>IF(AND(ISNUMBER(D365),C365&gt;0),100*(D365/C365-1),"")</f>
        <v/>
      </c>
      <c r="J365" s="6">
        <f>IF(AND(ISNUMBER(F365),ISNUMBER(E365)),100*(F365/E365-1),"")</f>
        <v/>
      </c>
      <c r="K365" s="6">
        <f>IF(AND(ISNUMBER(G365),ISNUMBER(H365)),100*G365/H365,"")</f>
        <v/>
      </c>
    </row>
    <row r="366">
      <c r="A366" s="4" t="inlineStr">
        <is>
          <t>46086</t>
        </is>
      </c>
      <c r="B366" s="4" t="inlineStr">
        <is>
          <t>Carrícola</t>
        </is>
      </c>
      <c r="C366" s="4" t="n">
        <v>102</v>
      </c>
      <c r="D366" s="4" t="n">
        <v>96</v>
      </c>
      <c r="E366" s="4" t="n"/>
      <c r="F366" s="4" t="n"/>
      <c r="G366" s="4" t="n"/>
      <c r="H366" s="4" t="n">
        <v>77</v>
      </c>
      <c r="I366" s="6">
        <f>IF(AND(ISNUMBER(D366),C366&gt;0),100*(D366/C366-1),"")</f>
        <v/>
      </c>
      <c r="J366" s="6">
        <f>IF(AND(ISNUMBER(F366),ISNUMBER(E366)),100*(F366/E366-1),"")</f>
        <v/>
      </c>
      <c r="K366" s="6">
        <f>IF(AND(ISNUMBER(G366),ISNUMBER(H366)),100*G366/H366,"")</f>
        <v/>
      </c>
    </row>
    <row r="367">
      <c r="A367" s="4" t="inlineStr">
        <is>
          <t>46087</t>
        </is>
      </c>
      <c r="B367" s="4" t="inlineStr">
        <is>
          <t>Casas Altas</t>
        </is>
      </c>
      <c r="C367" s="4" t="n">
        <v>130</v>
      </c>
      <c r="D367" s="4" t="n">
        <v>118</v>
      </c>
      <c r="E367" s="4" t="n"/>
      <c r="F367" s="4" t="n"/>
      <c r="G367" s="4" t="n"/>
      <c r="H367" s="4" t="n">
        <v>302</v>
      </c>
      <c r="I367" s="6">
        <f>IF(AND(ISNUMBER(D367),C367&gt;0),100*(D367/C367-1),"")</f>
        <v/>
      </c>
      <c r="J367" s="6">
        <f>IF(AND(ISNUMBER(F367),ISNUMBER(E367)),100*(F367/E367-1),"")</f>
        <v/>
      </c>
      <c r="K367" s="6">
        <f>IF(AND(ISNUMBER(G367),ISNUMBER(H367)),100*G367/H367,"")</f>
        <v/>
      </c>
    </row>
    <row r="368">
      <c r="A368" s="4" t="inlineStr">
        <is>
          <t>46088</t>
        </is>
      </c>
      <c r="B368" s="4" t="inlineStr">
        <is>
          <t>Casas Bajas</t>
        </is>
      </c>
      <c r="C368" s="4" t="n">
        <v>164</v>
      </c>
      <c r="D368" s="4" t="n">
        <v>158</v>
      </c>
      <c r="E368" s="4" t="n"/>
      <c r="F368" s="4" t="n"/>
      <c r="G368" s="4" t="n"/>
      <c r="H368" s="4" t="n">
        <v>475</v>
      </c>
      <c r="I368" s="6">
        <f>IF(AND(ISNUMBER(D368),C368&gt;0),100*(D368/C368-1),"")</f>
        <v/>
      </c>
      <c r="J368" s="6">
        <f>IF(AND(ISNUMBER(F368),ISNUMBER(E368)),100*(F368/E368-1),"")</f>
        <v/>
      </c>
      <c r="K368" s="6">
        <f>IF(AND(ISNUMBER(G368),ISNUMBER(H368)),100*G368/H368,"")</f>
        <v/>
      </c>
    </row>
    <row r="369">
      <c r="A369" s="4" t="inlineStr">
        <is>
          <t>46089</t>
        </is>
      </c>
      <c r="B369" s="4" t="inlineStr">
        <is>
          <t>Casinos</t>
        </is>
      </c>
      <c r="C369" s="4" t="n">
        <v>2878</v>
      </c>
      <c r="D369" s="4" t="n">
        <v>3143</v>
      </c>
      <c r="E369" s="4" t="n">
        <v>2.9814</v>
      </c>
      <c r="F369" s="4" t="n">
        <v>4.3799</v>
      </c>
      <c r="G369" s="4" t="n"/>
      <c r="H369" s="4" t="n">
        <v>1632</v>
      </c>
      <c r="I369" s="6">
        <f>IF(AND(ISNUMBER(D369),C369&gt;0),100*(D369/C369-1),"")</f>
        <v/>
      </c>
      <c r="J369" s="6">
        <f>IF(AND(ISNUMBER(F369),ISNUMBER(E369)),100*(F369/E369-1),"")</f>
        <v/>
      </c>
      <c r="K369" s="6">
        <f>IF(AND(ISNUMBER(G369),ISNUMBER(H369)),100*G369/H369,"")</f>
        <v/>
      </c>
    </row>
    <row r="370">
      <c r="A370" s="4" t="inlineStr">
        <is>
          <t>46090</t>
        </is>
      </c>
      <c r="B370" s="4" t="inlineStr">
        <is>
          <t>Castelló de Rugat</t>
        </is>
      </c>
      <c r="C370" s="4" t="n">
        <v>2311</v>
      </c>
      <c r="D370" s="4" t="n">
        <v>2340</v>
      </c>
      <c r="E370" s="4" t="n">
        <v>2.1023</v>
      </c>
      <c r="F370" s="4" t="n">
        <v>2.6201</v>
      </c>
      <c r="G370" s="4" t="n"/>
      <c r="H370" s="4" t="n">
        <v>1160</v>
      </c>
      <c r="I370" s="6">
        <f>IF(AND(ISNUMBER(D370),C370&gt;0),100*(D370/C370-1),"")</f>
        <v/>
      </c>
      <c r="J370" s="6">
        <f>IF(AND(ISNUMBER(F370),ISNUMBER(E370)),100*(F370/E370-1),"")</f>
        <v/>
      </c>
      <c r="K370" s="6">
        <f>IF(AND(ISNUMBER(G370),ISNUMBER(H370)),100*G370/H370,"")</f>
        <v/>
      </c>
    </row>
    <row r="371">
      <c r="A371" s="4" t="inlineStr">
        <is>
          <t>46091</t>
        </is>
      </c>
      <c r="B371" s="4" t="inlineStr">
        <is>
          <t>Castellonet de la Conquesta</t>
        </is>
      </c>
      <c r="C371" s="4" t="n">
        <v>141</v>
      </c>
      <c r="D371" s="4" t="n">
        <v>158</v>
      </c>
      <c r="E371" s="4" t="n"/>
      <c r="F371" s="4" t="n"/>
      <c r="G371" s="4" t="n"/>
      <c r="H371" s="4" t="n">
        <v>80</v>
      </c>
      <c r="I371" s="6">
        <f>IF(AND(ISNUMBER(D371),C371&gt;0),100*(D371/C371-1),"")</f>
        <v/>
      </c>
      <c r="J371" s="6">
        <f>IF(AND(ISNUMBER(F371),ISNUMBER(E371)),100*(F371/E371-1),"")</f>
        <v/>
      </c>
      <c r="K371" s="6">
        <f>IF(AND(ISNUMBER(G371),ISNUMBER(H371)),100*G371/H371,"")</f>
        <v/>
      </c>
    </row>
    <row r="372">
      <c r="A372" s="4" t="inlineStr">
        <is>
          <t>46092</t>
        </is>
      </c>
      <c r="B372" s="4" t="inlineStr">
        <is>
          <t>Castielfabib</t>
        </is>
      </c>
      <c r="C372" s="4" t="n">
        <v>294</v>
      </c>
      <c r="D372" s="4" t="n">
        <v>282</v>
      </c>
      <c r="E372" s="4" t="n"/>
      <c r="F372" s="4" t="n"/>
      <c r="G372" s="4" t="n"/>
      <c r="H372" s="4" t="n">
        <v>749</v>
      </c>
      <c r="I372" s="6">
        <f>IF(AND(ISNUMBER(D372),C372&gt;0),100*(D372/C372-1),"")</f>
        <v/>
      </c>
      <c r="J372" s="6">
        <f>IF(AND(ISNUMBER(F372),ISNUMBER(E372)),100*(F372/E372-1),"")</f>
        <v/>
      </c>
      <c r="K372" s="6">
        <f>IF(AND(ISNUMBER(G372),ISNUMBER(H372)),100*G372/H372,"")</f>
        <v/>
      </c>
    </row>
    <row r="373">
      <c r="A373" s="4" t="inlineStr">
        <is>
          <t>46093</t>
        </is>
      </c>
      <c r="B373" s="4" t="inlineStr">
        <is>
          <t>Catadau</t>
        </is>
      </c>
      <c r="C373" s="4" t="n">
        <v>2861</v>
      </c>
      <c r="D373" s="4" t="n">
        <v>3041</v>
      </c>
      <c r="E373" s="4" t="n">
        <v>2.7444</v>
      </c>
      <c r="F373" s="4" t="n">
        <v>3.8318</v>
      </c>
      <c r="G373" s="4" t="n"/>
      <c r="H373" s="4" t="n">
        <v>2187</v>
      </c>
      <c r="I373" s="6">
        <f>IF(AND(ISNUMBER(D373),C373&gt;0),100*(D373/C373-1),"")</f>
        <v/>
      </c>
      <c r="J373" s="6">
        <f>IF(AND(ISNUMBER(F373),ISNUMBER(E373)),100*(F373/E373-1),"")</f>
        <v/>
      </c>
      <c r="K373" s="6">
        <f>IF(AND(ISNUMBER(G373),ISNUMBER(H373)),100*G373/H373,"")</f>
        <v/>
      </c>
    </row>
    <row r="374">
      <c r="A374" s="4" t="inlineStr">
        <is>
          <t>46094</t>
        </is>
      </c>
      <c r="B374" s="4" t="inlineStr">
        <is>
          <t>Catarroja</t>
        </is>
      </c>
      <c r="C374" s="4" t="n">
        <v>28587</v>
      </c>
      <c r="D374" s="4" t="n">
        <v>30612</v>
      </c>
      <c r="E374" s="4" t="n">
        <v>4.2553</v>
      </c>
      <c r="F374" s="4" t="n">
        <v>5.7143</v>
      </c>
      <c r="G374" s="4" t="n"/>
      <c r="H374" s="4" t="n">
        <v>12416</v>
      </c>
      <c r="I374" s="6">
        <f>IF(AND(ISNUMBER(D374),C374&gt;0),100*(D374/C374-1),"")</f>
        <v/>
      </c>
      <c r="J374" s="6">
        <f>IF(AND(ISNUMBER(F374),ISNUMBER(E374)),100*(F374/E374-1),"")</f>
        <v/>
      </c>
      <c r="K374" s="6">
        <f>IF(AND(ISNUMBER(G374),ISNUMBER(H374)),100*G374/H374,"")</f>
        <v/>
      </c>
    </row>
    <row r="375">
      <c r="A375" s="4" t="inlineStr">
        <is>
          <t>46095</t>
        </is>
      </c>
      <c r="B375" s="4" t="inlineStr">
        <is>
          <t>Caudete de las Fuentes</t>
        </is>
      </c>
      <c r="C375" s="4" t="n">
        <v>719</v>
      </c>
      <c r="D375" s="4" t="n">
        <v>734</v>
      </c>
      <c r="E375" s="4" t="n"/>
      <c r="F375" s="4" t="n"/>
      <c r="G375" s="4" t="n"/>
      <c r="H375" s="4" t="n">
        <v>658</v>
      </c>
      <c r="I375" s="6">
        <f>IF(AND(ISNUMBER(D375),C375&gt;0),100*(D375/C375-1),"")</f>
        <v/>
      </c>
      <c r="J375" s="6">
        <f>IF(AND(ISNUMBER(F375),ISNUMBER(E375)),100*(F375/E375-1),"")</f>
        <v/>
      </c>
      <c r="K375" s="6">
        <f>IF(AND(ISNUMBER(G375),ISNUMBER(H375)),100*G375/H375,"")</f>
        <v/>
      </c>
    </row>
    <row r="376">
      <c r="A376" s="4" t="inlineStr">
        <is>
          <t>46096</t>
        </is>
      </c>
      <c r="B376" s="4" t="inlineStr">
        <is>
          <t>Cerdà</t>
        </is>
      </c>
      <c r="C376" s="4" t="n">
        <v>348</v>
      </c>
      <c r="D376" s="4" t="n">
        <v>371</v>
      </c>
      <c r="E376" s="4" t="n"/>
      <c r="F376" s="4" t="n"/>
      <c r="G376" s="4" t="n"/>
      <c r="H376" s="4" t="n">
        <v>200</v>
      </c>
      <c r="I376" s="6">
        <f>IF(AND(ISNUMBER(D376),C376&gt;0),100*(D376/C376-1),"")</f>
        <v/>
      </c>
      <c r="J376" s="6">
        <f>IF(AND(ISNUMBER(F376),ISNUMBER(E376)),100*(F376/E376-1),"")</f>
        <v/>
      </c>
      <c r="K376" s="6">
        <f>IF(AND(ISNUMBER(G376),ISNUMBER(H376)),100*G376/H376,"")</f>
        <v/>
      </c>
    </row>
    <row r="377">
      <c r="A377" s="4" t="inlineStr">
        <is>
          <t>46097</t>
        </is>
      </c>
      <c r="B377" s="4" t="inlineStr">
        <is>
          <t>Cofrentes</t>
        </is>
      </c>
      <c r="C377" s="4" t="n">
        <v>1124</v>
      </c>
      <c r="D377" s="4" t="n">
        <v>1113</v>
      </c>
      <c r="E377" s="4" t="n"/>
      <c r="F377" s="4" t="n"/>
      <c r="G377" s="4" t="n"/>
      <c r="H377" s="4" t="n">
        <v>670</v>
      </c>
      <c r="I377" s="6">
        <f>IF(AND(ISNUMBER(D377),C377&gt;0),100*(D377/C377-1),"")</f>
        <v/>
      </c>
      <c r="J377" s="6">
        <f>IF(AND(ISNUMBER(F377),ISNUMBER(E377)),100*(F377/E377-1),"")</f>
        <v/>
      </c>
      <c r="K377" s="6">
        <f>IF(AND(ISNUMBER(G377),ISNUMBER(H377)),100*G377/H377,"")</f>
        <v/>
      </c>
    </row>
    <row r="378">
      <c r="A378" s="4" t="inlineStr">
        <is>
          <t>46098</t>
        </is>
      </c>
      <c r="B378" s="4" t="inlineStr">
        <is>
          <t>Corbera</t>
        </is>
      </c>
      <c r="C378" s="4" t="n">
        <v>3096</v>
      </c>
      <c r="D378" s="4" t="n">
        <v>3287</v>
      </c>
      <c r="E378" s="4" t="n">
        <v>2.5</v>
      </c>
      <c r="F378" s="4" t="n">
        <v>3.446</v>
      </c>
      <c r="G378" s="4" t="n"/>
      <c r="H378" s="4" t="n">
        <v>2209</v>
      </c>
      <c r="I378" s="6">
        <f>IF(AND(ISNUMBER(D378),C378&gt;0),100*(D378/C378-1),"")</f>
        <v/>
      </c>
      <c r="J378" s="6">
        <f>IF(AND(ISNUMBER(F378),ISNUMBER(E378)),100*(F378/E378-1),"")</f>
        <v/>
      </c>
      <c r="K378" s="6">
        <f>IF(AND(ISNUMBER(G378),ISNUMBER(H378)),100*G378/H378,"")</f>
        <v/>
      </c>
    </row>
    <row r="379">
      <c r="A379" s="4" t="inlineStr">
        <is>
          <t>46099</t>
        </is>
      </c>
      <c r="B379" s="4" t="inlineStr">
        <is>
          <t>Cortes de Pallás</t>
        </is>
      </c>
      <c r="C379" s="4" t="n">
        <v>773</v>
      </c>
      <c r="D379" s="4" t="n">
        <v>733</v>
      </c>
      <c r="E379" s="4" t="n"/>
      <c r="F379" s="4" t="n"/>
      <c r="G379" s="4" t="n"/>
      <c r="H379" s="4" t="n">
        <v>886</v>
      </c>
      <c r="I379" s="6">
        <f>IF(AND(ISNUMBER(D379),C379&gt;0),100*(D379/C379-1),"")</f>
        <v/>
      </c>
      <c r="J379" s="6">
        <f>IF(AND(ISNUMBER(F379),ISNUMBER(E379)),100*(F379/E379-1),"")</f>
        <v/>
      </c>
      <c r="K379" s="6">
        <f>IF(AND(ISNUMBER(G379),ISNUMBER(H379)),100*G379/H379,"")</f>
        <v/>
      </c>
    </row>
    <row r="380">
      <c r="A380" s="4" t="inlineStr">
        <is>
          <t>46100</t>
        </is>
      </c>
      <c r="B380" s="4" t="inlineStr">
        <is>
          <t>Cotes</t>
        </is>
      </c>
      <c r="C380" s="4" t="n">
        <v>328</v>
      </c>
      <c r="D380" s="4" t="n">
        <v>315</v>
      </c>
      <c r="E380" s="4" t="n"/>
      <c r="F380" s="4" t="n"/>
      <c r="G380" s="4" t="n"/>
      <c r="H380" s="4" t="n">
        <v>212</v>
      </c>
      <c r="I380" s="6">
        <f>IF(AND(ISNUMBER(D380),C380&gt;0),100*(D380/C380-1),"")</f>
        <v/>
      </c>
      <c r="J380" s="6">
        <f>IF(AND(ISNUMBER(F380),ISNUMBER(E380)),100*(F380/E380-1),"")</f>
        <v/>
      </c>
      <c r="K380" s="6">
        <f>IF(AND(ISNUMBER(G380),ISNUMBER(H380)),100*G380/H380,"")</f>
        <v/>
      </c>
    </row>
    <row r="381">
      <c r="A381" s="4" t="inlineStr">
        <is>
          <t>46101</t>
        </is>
      </c>
      <c r="B381" s="4" t="inlineStr">
        <is>
          <t>Quart de les Valls</t>
        </is>
      </c>
      <c r="C381" s="4" t="n">
        <v>1049</v>
      </c>
      <c r="D381" s="4" t="n">
        <v>1034</v>
      </c>
      <c r="E381" s="4" t="n"/>
      <c r="F381" s="4" t="n"/>
      <c r="G381" s="4" t="n"/>
      <c r="H381" s="4" t="n">
        <v>526</v>
      </c>
      <c r="I381" s="6">
        <f>IF(AND(ISNUMBER(D381),C381&gt;0),100*(D381/C381-1),"")</f>
        <v/>
      </c>
      <c r="J381" s="6">
        <f>IF(AND(ISNUMBER(F381),ISNUMBER(E381)),100*(F381/E381-1),"")</f>
        <v/>
      </c>
      <c r="K381" s="6">
        <f>IF(AND(ISNUMBER(G381),ISNUMBER(H381)),100*G381/H381,"")</f>
        <v/>
      </c>
    </row>
    <row r="382">
      <c r="A382" s="4" t="inlineStr">
        <is>
          <t>46102</t>
        </is>
      </c>
      <c r="B382" s="4" t="inlineStr">
        <is>
          <t>Quart de Poblet</t>
        </is>
      </c>
      <c r="C382" s="4" t="n">
        <v>25055</v>
      </c>
      <c r="D382" s="4" t="n">
        <v>26939</v>
      </c>
      <c r="E382" s="4" t="n">
        <v>4.5455</v>
      </c>
      <c r="F382" s="4" t="n">
        <v>6.1538</v>
      </c>
      <c r="G382" s="4" t="n"/>
      <c r="H382" s="4" t="n">
        <v>11920</v>
      </c>
      <c r="I382" s="6">
        <f>IF(AND(ISNUMBER(D382),C382&gt;0),100*(D382/C382-1),"")</f>
        <v/>
      </c>
      <c r="J382" s="6">
        <f>IF(AND(ISNUMBER(F382),ISNUMBER(E382)),100*(F382/E382-1),"")</f>
        <v/>
      </c>
      <c r="K382" s="6">
        <f>IF(AND(ISNUMBER(G382),ISNUMBER(H382)),100*G382/H382,"")</f>
        <v/>
      </c>
    </row>
    <row r="383">
      <c r="A383" s="4" t="inlineStr">
        <is>
          <t>46103</t>
        </is>
      </c>
      <c r="B383" s="4" t="inlineStr">
        <is>
          <t>Quartell</t>
        </is>
      </c>
      <c r="C383" s="4" t="n">
        <v>1652</v>
      </c>
      <c r="D383" s="4" t="n">
        <v>1805</v>
      </c>
      <c r="E383" s="4" t="n">
        <v>3.0635</v>
      </c>
      <c r="F383" s="4" t="n">
        <v>4.3258</v>
      </c>
      <c r="G383" s="4" t="n"/>
      <c r="H383" s="4" t="n">
        <v>816</v>
      </c>
      <c r="I383" s="6">
        <f>IF(AND(ISNUMBER(D383),C383&gt;0),100*(D383/C383-1),"")</f>
        <v/>
      </c>
      <c r="J383" s="6">
        <f>IF(AND(ISNUMBER(F383),ISNUMBER(E383)),100*(F383/E383-1),"")</f>
        <v/>
      </c>
      <c r="K383" s="6">
        <f>IF(AND(ISNUMBER(G383),ISNUMBER(H383)),100*G383/H383,"")</f>
        <v/>
      </c>
    </row>
    <row r="384">
      <c r="A384" s="4" t="inlineStr">
        <is>
          <t>46104</t>
        </is>
      </c>
      <c r="B384" s="4" t="inlineStr">
        <is>
          <t>Quatretonda</t>
        </is>
      </c>
      <c r="C384" s="4" t="n">
        <v>2152</v>
      </c>
      <c r="D384" s="4" t="n">
        <v>2193</v>
      </c>
      <c r="E384" s="4" t="n"/>
      <c r="F384" s="4" t="n"/>
      <c r="G384" s="4" t="n"/>
      <c r="H384" s="4" t="n">
        <v>1124</v>
      </c>
      <c r="I384" s="6">
        <f>IF(AND(ISNUMBER(D384),C384&gt;0),100*(D384/C384-1),"")</f>
        <v/>
      </c>
      <c r="J384" s="6">
        <f>IF(AND(ISNUMBER(F384),ISNUMBER(E384)),100*(F384/E384-1),"")</f>
        <v/>
      </c>
      <c r="K384" s="6">
        <f>IF(AND(ISNUMBER(G384),ISNUMBER(H384)),100*G384/H384,"")</f>
        <v/>
      </c>
    </row>
    <row r="385">
      <c r="A385" s="4" t="inlineStr">
        <is>
          <t>46105</t>
        </is>
      </c>
      <c r="B385" s="4" t="inlineStr">
        <is>
          <t>Cullera</t>
        </is>
      </c>
      <c r="C385" s="4" t="n">
        <v>22724</v>
      </c>
      <c r="D385" s="4" t="n">
        <v>24621</v>
      </c>
      <c r="E385" s="4" t="n">
        <v>4.6149</v>
      </c>
      <c r="F385" s="4" t="n">
        <v>5.8974</v>
      </c>
      <c r="G385" s="4" t="n"/>
      <c r="H385" s="4" t="n">
        <v>29418</v>
      </c>
      <c r="I385" s="6">
        <f>IF(AND(ISNUMBER(D385),C385&gt;0),100*(D385/C385-1),"")</f>
        <v/>
      </c>
      <c r="J385" s="6">
        <f>IF(AND(ISNUMBER(F385),ISNUMBER(E385)),100*(F385/E385-1),"")</f>
        <v/>
      </c>
      <c r="K385" s="6">
        <f>IF(AND(ISNUMBER(G385),ISNUMBER(H385)),100*G385/H385,"")</f>
        <v/>
      </c>
    </row>
    <row r="386">
      <c r="A386" s="4" t="inlineStr">
        <is>
          <t>46106</t>
        </is>
      </c>
      <c r="B386" s="4" t="inlineStr">
        <is>
          <t>Chelva</t>
        </is>
      </c>
      <c r="C386" s="4" t="n">
        <v>1600</v>
      </c>
      <c r="D386" s="4" t="n">
        <v>1751</v>
      </c>
      <c r="E386" s="4" t="n">
        <v>3.1859</v>
      </c>
      <c r="F386" s="4" t="n">
        <v>3.8104</v>
      </c>
      <c r="G386" s="4" t="n"/>
      <c r="H386" s="4" t="n">
        <v>2301</v>
      </c>
      <c r="I386" s="6">
        <f>IF(AND(ISNUMBER(D386),C386&gt;0),100*(D386/C386-1),"")</f>
        <v/>
      </c>
      <c r="J386" s="6">
        <f>IF(AND(ISNUMBER(F386),ISNUMBER(E386)),100*(F386/E386-1),"")</f>
        <v/>
      </c>
      <c r="K386" s="6">
        <f>IF(AND(ISNUMBER(G386),ISNUMBER(H386)),100*G386/H386,"")</f>
        <v/>
      </c>
    </row>
    <row r="387">
      <c r="A387" s="4" t="inlineStr">
        <is>
          <t>46107</t>
        </is>
      </c>
      <c r="B387" s="4" t="inlineStr">
        <is>
          <t>Chella</t>
        </is>
      </c>
      <c r="C387" s="4" t="n">
        <v>2457</v>
      </c>
      <c r="D387" s="4" t="n">
        <v>2469</v>
      </c>
      <c r="E387" s="4" t="n">
        <v>2.3077</v>
      </c>
      <c r="F387" s="4" t="n">
        <v>2.6437</v>
      </c>
      <c r="G387" s="4" t="n"/>
      <c r="H387" s="4" t="n">
        <v>1688</v>
      </c>
      <c r="I387" s="6">
        <f>IF(AND(ISNUMBER(D387),C387&gt;0),100*(D387/C387-1),"")</f>
        <v/>
      </c>
      <c r="J387" s="6">
        <f>IF(AND(ISNUMBER(F387),ISNUMBER(E387)),100*(F387/E387-1),"")</f>
        <v/>
      </c>
      <c r="K387" s="6">
        <f>IF(AND(ISNUMBER(G387),ISNUMBER(H387)),100*G387/H387,"")</f>
        <v/>
      </c>
    </row>
    <row r="388">
      <c r="A388" s="4" t="inlineStr">
        <is>
          <t>46108</t>
        </is>
      </c>
      <c r="B388" s="4" t="inlineStr">
        <is>
          <t>Chera</t>
        </is>
      </c>
      <c r="C388" s="4" t="n">
        <v>492</v>
      </c>
      <c r="D388" s="4" t="n">
        <v>507</v>
      </c>
      <c r="E388" s="4" t="n"/>
      <c r="F388" s="4" t="n">
        <v>3.5071</v>
      </c>
      <c r="G388" s="4" t="n"/>
      <c r="H388" s="4" t="n">
        <v>569</v>
      </c>
      <c r="I388" s="6">
        <f>IF(AND(ISNUMBER(D388),C388&gt;0),100*(D388/C388-1),"")</f>
        <v/>
      </c>
      <c r="J388" s="6">
        <f>IF(AND(ISNUMBER(F388),ISNUMBER(E388)),100*(F388/E388-1),"")</f>
        <v/>
      </c>
      <c r="K388" s="6">
        <f>IF(AND(ISNUMBER(G388),ISNUMBER(H388)),100*G388/H388,"")</f>
        <v/>
      </c>
    </row>
    <row r="389">
      <c r="A389" s="4" t="inlineStr">
        <is>
          <t>46109</t>
        </is>
      </c>
      <c r="B389" s="4" t="inlineStr">
        <is>
          <t>Cheste</t>
        </is>
      </c>
      <c r="C389" s="4" t="n">
        <v>8879</v>
      </c>
      <c r="D389" s="4" t="n">
        <v>9099</v>
      </c>
      <c r="E389" s="4" t="n">
        <v>3.5088</v>
      </c>
      <c r="F389" s="4" t="n">
        <v>4.2857</v>
      </c>
      <c r="G389" s="4" t="n"/>
      <c r="H389" s="4" t="n">
        <v>5039</v>
      </c>
      <c r="I389" s="6">
        <f>IF(AND(ISNUMBER(D389),C389&gt;0),100*(D389/C389-1),"")</f>
        <v/>
      </c>
      <c r="J389" s="6">
        <f>IF(AND(ISNUMBER(F389),ISNUMBER(E389)),100*(F389/E389-1),"")</f>
        <v/>
      </c>
      <c r="K389" s="6">
        <f>IF(AND(ISNUMBER(G389),ISNUMBER(H389)),100*G389/H389,"")</f>
        <v/>
      </c>
    </row>
    <row r="390">
      <c r="A390" s="4" t="inlineStr">
        <is>
          <t>46110</t>
        </is>
      </c>
      <c r="B390" s="4" t="inlineStr">
        <is>
          <t>Xirivella</t>
        </is>
      </c>
      <c r="C390" s="4" t="n">
        <v>30254</v>
      </c>
      <c r="D390" s="4" t="n">
        <v>32178</v>
      </c>
      <c r="E390" s="4" t="n">
        <v>4.3333</v>
      </c>
      <c r="F390" s="4" t="n">
        <v>6.0606</v>
      </c>
      <c r="G390" s="4" t="n"/>
      <c r="H390" s="4" t="n">
        <v>13426</v>
      </c>
      <c r="I390" s="6">
        <f>IF(AND(ISNUMBER(D390),C390&gt;0),100*(D390/C390-1),"")</f>
        <v/>
      </c>
      <c r="J390" s="6">
        <f>IF(AND(ISNUMBER(F390),ISNUMBER(E390)),100*(F390/E390-1),"")</f>
        <v/>
      </c>
      <c r="K390" s="6">
        <f>IF(AND(ISNUMBER(G390),ISNUMBER(H390)),100*G390/H390,"")</f>
        <v/>
      </c>
    </row>
    <row r="391">
      <c r="A391" s="4" t="inlineStr">
        <is>
          <t>46111</t>
        </is>
      </c>
      <c r="B391" s="4" t="inlineStr">
        <is>
          <t>Chiva</t>
        </is>
      </c>
      <c r="C391" s="4" t="n">
        <v>15940</v>
      </c>
      <c r="D391" s="4" t="n">
        <v>18122</v>
      </c>
      <c r="E391" s="4" t="n">
        <v>3.3981</v>
      </c>
      <c r="F391" s="4" t="n">
        <v>4.5259</v>
      </c>
      <c r="G391" s="4" t="n"/>
      <c r="H391" s="4" t="n">
        <v>8543</v>
      </c>
      <c r="I391" s="6">
        <f>IF(AND(ISNUMBER(D391),C391&gt;0),100*(D391/C391-1),"")</f>
        <v/>
      </c>
      <c r="J391" s="6">
        <f>IF(AND(ISNUMBER(F391),ISNUMBER(E391)),100*(F391/E391-1),"")</f>
        <v/>
      </c>
      <c r="K391" s="6">
        <f>IF(AND(ISNUMBER(G391),ISNUMBER(H391)),100*G391/H391,"")</f>
        <v/>
      </c>
    </row>
    <row r="392">
      <c r="A392" s="4" t="inlineStr">
        <is>
          <t>46112</t>
        </is>
      </c>
      <c r="B392" s="4" t="inlineStr">
        <is>
          <t>Chulilla</t>
        </is>
      </c>
      <c r="C392" s="4" t="n">
        <v>696</v>
      </c>
      <c r="D392" s="4" t="n">
        <v>712</v>
      </c>
      <c r="E392" s="4" t="n"/>
      <c r="F392" s="4" t="n">
        <v>3.2596</v>
      </c>
      <c r="G392" s="4" t="n"/>
      <c r="H392" s="4" t="n">
        <v>778</v>
      </c>
      <c r="I392" s="6">
        <f>IF(AND(ISNUMBER(D392),C392&gt;0),100*(D392/C392-1),"")</f>
        <v/>
      </c>
      <c r="J392" s="6">
        <f>IF(AND(ISNUMBER(F392),ISNUMBER(E392)),100*(F392/E392-1),"")</f>
        <v/>
      </c>
      <c r="K392" s="6">
        <f>IF(AND(ISNUMBER(G392),ISNUMBER(H392)),100*G392/H392,"")</f>
        <v/>
      </c>
    </row>
    <row r="393">
      <c r="A393" s="4" t="inlineStr">
        <is>
          <t>46113</t>
        </is>
      </c>
      <c r="B393" s="4" t="inlineStr">
        <is>
          <t>Daimús</t>
        </is>
      </c>
      <c r="C393" s="4" t="n">
        <v>3329</v>
      </c>
      <c r="D393" s="4" t="n">
        <v>3607</v>
      </c>
      <c r="E393" s="4" t="n">
        <v>5.6515</v>
      </c>
      <c r="F393" s="4" t="n">
        <v>7.0588</v>
      </c>
      <c r="G393" s="4" t="n"/>
      <c r="H393" s="4" t="n">
        <v>6139</v>
      </c>
      <c r="I393" s="6">
        <f>IF(AND(ISNUMBER(D393),C393&gt;0),100*(D393/C393-1),"")</f>
        <v/>
      </c>
      <c r="J393" s="6">
        <f>IF(AND(ISNUMBER(F393),ISNUMBER(E393)),100*(F393/E393-1),"")</f>
        <v/>
      </c>
      <c r="K393" s="6">
        <f>IF(AND(ISNUMBER(G393),ISNUMBER(H393)),100*G393/H393,"")</f>
        <v/>
      </c>
    </row>
    <row r="394">
      <c r="A394" s="4" t="inlineStr">
        <is>
          <t>46114</t>
        </is>
      </c>
      <c r="B394" s="4" t="inlineStr">
        <is>
          <t>Domeño</t>
        </is>
      </c>
      <c r="C394" s="4" t="n">
        <v>671</v>
      </c>
      <c r="D394" s="4" t="n">
        <v>722</v>
      </c>
      <c r="E394" s="4" t="n"/>
      <c r="F394" s="4" t="n"/>
      <c r="G394" s="4" t="n"/>
      <c r="H394" s="4" t="n">
        <v>329</v>
      </c>
      <c r="I394" s="6">
        <f>IF(AND(ISNUMBER(D394),C394&gt;0),100*(D394/C394-1),"")</f>
        <v/>
      </c>
      <c r="J394" s="6">
        <f>IF(AND(ISNUMBER(F394),ISNUMBER(E394)),100*(F394/E394-1),"")</f>
        <v/>
      </c>
      <c r="K394" s="6">
        <f>IF(AND(ISNUMBER(G394),ISNUMBER(H394)),100*G394/H394,"")</f>
        <v/>
      </c>
    </row>
    <row r="395">
      <c r="A395" s="4" t="inlineStr">
        <is>
          <t>46115</t>
        </is>
      </c>
      <c r="B395" s="4" t="inlineStr">
        <is>
          <t>Dos Aguas</t>
        </is>
      </c>
      <c r="C395" s="4" t="n">
        <v>314</v>
      </c>
      <c r="D395" s="4" t="n">
        <v>341</v>
      </c>
      <c r="E395" s="4" t="n"/>
      <c r="F395" s="4" t="n"/>
      <c r="G395" s="4" t="n"/>
      <c r="H395" s="4" t="n">
        <v>438</v>
      </c>
      <c r="I395" s="6">
        <f>IF(AND(ISNUMBER(D395),C395&gt;0),100*(D395/C395-1),"")</f>
        <v/>
      </c>
      <c r="J395" s="6">
        <f>IF(AND(ISNUMBER(F395),ISNUMBER(E395)),100*(F395/E395-1),"")</f>
        <v/>
      </c>
      <c r="K395" s="6">
        <f>IF(AND(ISNUMBER(G395),ISNUMBER(H395)),100*G395/H395,"")</f>
        <v/>
      </c>
    </row>
    <row r="396">
      <c r="A396" s="4" t="inlineStr">
        <is>
          <t>46116</t>
        </is>
      </c>
      <c r="B396" s="4" t="inlineStr">
        <is>
          <t>Eliana, l'</t>
        </is>
      </c>
      <c r="C396" s="4" t="n">
        <v>18417</v>
      </c>
      <c r="D396" s="4" t="n">
        <v>19952</v>
      </c>
      <c r="E396" s="4" t="n">
        <v>5.4762</v>
      </c>
      <c r="F396" s="4" t="n">
        <v>7.5947</v>
      </c>
      <c r="G396" s="4" t="n"/>
      <c r="H396" s="4" t="n">
        <v>8413</v>
      </c>
      <c r="I396" s="6">
        <f>IF(AND(ISNUMBER(D396),C396&gt;0),100*(D396/C396-1),"")</f>
        <v/>
      </c>
      <c r="J396" s="6">
        <f>IF(AND(ISNUMBER(F396),ISNUMBER(E396)),100*(F396/E396-1),"")</f>
        <v/>
      </c>
      <c r="K396" s="6">
        <f>IF(AND(ISNUMBER(G396),ISNUMBER(H396)),100*G396/H396,"")</f>
        <v/>
      </c>
    </row>
    <row r="397">
      <c r="A397" s="4" t="inlineStr">
        <is>
          <t>46117</t>
        </is>
      </c>
      <c r="B397" s="4" t="inlineStr">
        <is>
          <t>Emperador</t>
        </is>
      </c>
      <c r="C397" s="4" t="n">
        <v>692</v>
      </c>
      <c r="D397" s="4" t="n">
        <v>708</v>
      </c>
      <c r="E397" s="4" t="n">
        <v>4.7815</v>
      </c>
      <c r="F397" s="4" t="n">
        <v>6.9379</v>
      </c>
      <c r="G397" s="4" t="n"/>
      <c r="H397" s="4" t="n">
        <v>310</v>
      </c>
      <c r="I397" s="6">
        <f>IF(AND(ISNUMBER(D397),C397&gt;0),100*(D397/C397-1),"")</f>
        <v/>
      </c>
      <c r="J397" s="6">
        <f>IF(AND(ISNUMBER(F397),ISNUMBER(E397)),100*(F397/E397-1),"")</f>
        <v/>
      </c>
      <c r="K397" s="6">
        <f>IF(AND(ISNUMBER(G397),ISNUMBER(H397)),100*G397/H397,"")</f>
        <v/>
      </c>
    </row>
    <row r="398">
      <c r="A398" s="4" t="inlineStr">
        <is>
          <t>46118</t>
        </is>
      </c>
      <c r="B398" s="4" t="inlineStr">
        <is>
          <t>Enguera</t>
        </is>
      </c>
      <c r="C398" s="4" t="n">
        <v>4875</v>
      </c>
      <c r="D398" s="4" t="n">
        <v>4906</v>
      </c>
      <c r="E398" s="4" t="n">
        <v>2.7098</v>
      </c>
      <c r="F398" s="4" t="n">
        <v>3.5504</v>
      </c>
      <c r="G398" s="4" t="n"/>
      <c r="H398" s="4" t="n">
        <v>3518</v>
      </c>
      <c r="I398" s="6">
        <f>IF(AND(ISNUMBER(D398),C398&gt;0),100*(D398/C398-1),"")</f>
        <v/>
      </c>
      <c r="J398" s="6">
        <f>IF(AND(ISNUMBER(F398),ISNUMBER(E398)),100*(F398/E398-1),"")</f>
        <v/>
      </c>
      <c r="K398" s="6">
        <f>IF(AND(ISNUMBER(G398),ISNUMBER(H398)),100*G398/H398,"")</f>
        <v/>
      </c>
    </row>
    <row r="399">
      <c r="A399" s="4" t="inlineStr">
        <is>
          <t>46119</t>
        </is>
      </c>
      <c r="B399" s="4" t="inlineStr">
        <is>
          <t>Énova, l'</t>
        </is>
      </c>
      <c r="C399" s="4" t="n">
        <v>911</v>
      </c>
      <c r="D399" s="4" t="n">
        <v>953</v>
      </c>
      <c r="E399" s="4" t="n"/>
      <c r="F399" s="4" t="n"/>
      <c r="G399" s="4" t="n"/>
      <c r="H399" s="4" t="n">
        <v>539</v>
      </c>
      <c r="I399" s="6">
        <f>IF(AND(ISNUMBER(D399),C399&gt;0),100*(D399/C399-1),"")</f>
        <v/>
      </c>
      <c r="J399" s="6">
        <f>IF(AND(ISNUMBER(F399),ISNUMBER(E399)),100*(F399/E399-1),"")</f>
        <v/>
      </c>
      <c r="K399" s="6">
        <f>IF(AND(ISNUMBER(G399),ISNUMBER(H399)),100*G399/H399,"")</f>
        <v/>
      </c>
    </row>
    <row r="400">
      <c r="A400" s="4" t="inlineStr">
        <is>
          <t>46120</t>
        </is>
      </c>
      <c r="B400" s="4" t="inlineStr">
        <is>
          <t>Estivella</t>
        </is>
      </c>
      <c r="C400" s="4" t="n">
        <v>1499</v>
      </c>
      <c r="D400" s="4" t="n">
        <v>1717</v>
      </c>
      <c r="E400" s="4" t="n"/>
      <c r="F400" s="4" t="n">
        <v>4.1155</v>
      </c>
      <c r="G400" s="4" t="n"/>
      <c r="H400" s="4" t="n">
        <v>961</v>
      </c>
      <c r="I400" s="6">
        <f>IF(AND(ISNUMBER(D400),C400&gt;0),100*(D400/C400-1),"")</f>
        <v/>
      </c>
      <c r="J400" s="6">
        <f>IF(AND(ISNUMBER(F400),ISNUMBER(E400)),100*(F400/E400-1),"")</f>
        <v/>
      </c>
      <c r="K400" s="6">
        <f>IF(AND(ISNUMBER(G400),ISNUMBER(H400)),100*G400/H400,"")</f>
        <v/>
      </c>
    </row>
    <row r="401">
      <c r="A401" s="4" t="inlineStr">
        <is>
          <t>46121</t>
        </is>
      </c>
      <c r="B401" s="4" t="inlineStr">
        <is>
          <t>Estubeny</t>
        </is>
      </c>
      <c r="C401" s="4" t="n">
        <v>111</v>
      </c>
      <c r="D401" s="4" t="n">
        <v>110</v>
      </c>
      <c r="E401" s="4" t="n"/>
      <c r="F401" s="4" t="n"/>
      <c r="G401" s="4" t="n"/>
      <c r="H401" s="4" t="n">
        <v>82</v>
      </c>
      <c r="I401" s="6">
        <f>IF(AND(ISNUMBER(D401),C401&gt;0),100*(D401/C401-1),"")</f>
        <v/>
      </c>
      <c r="J401" s="6">
        <f>IF(AND(ISNUMBER(F401),ISNUMBER(E401)),100*(F401/E401-1),"")</f>
        <v/>
      </c>
      <c r="K401" s="6">
        <f>IF(AND(ISNUMBER(G401),ISNUMBER(H401)),100*G401/H401,"")</f>
        <v/>
      </c>
    </row>
    <row r="402">
      <c r="A402" s="4" t="inlineStr">
        <is>
          <t>46122</t>
        </is>
      </c>
      <c r="B402" s="4" t="inlineStr">
        <is>
          <t>Faura</t>
        </is>
      </c>
      <c r="C402" s="4" t="n">
        <v>3573</v>
      </c>
      <c r="D402" s="4" t="n">
        <v>3765</v>
      </c>
      <c r="E402" s="4" t="n">
        <v>3.4072</v>
      </c>
      <c r="F402" s="4" t="n">
        <v>4.4309</v>
      </c>
      <c r="G402" s="4" t="n"/>
      <c r="H402" s="4" t="n">
        <v>1895</v>
      </c>
      <c r="I402" s="6">
        <f>IF(AND(ISNUMBER(D402),C402&gt;0),100*(D402/C402-1),"")</f>
        <v/>
      </c>
      <c r="J402" s="6">
        <f>IF(AND(ISNUMBER(F402),ISNUMBER(E402)),100*(F402/E402-1),"")</f>
        <v/>
      </c>
      <c r="K402" s="6">
        <f>IF(AND(ISNUMBER(G402),ISNUMBER(H402)),100*G402/H402,"")</f>
        <v/>
      </c>
    </row>
    <row r="403">
      <c r="A403" s="4" t="inlineStr">
        <is>
          <t>46123</t>
        </is>
      </c>
      <c r="B403" s="4" t="inlineStr">
        <is>
          <t>Favara</t>
        </is>
      </c>
      <c r="C403" s="4" t="n">
        <v>2554</v>
      </c>
      <c r="D403" s="4" t="n">
        <v>2766</v>
      </c>
      <c r="E403" s="4" t="n">
        <v>3.2537</v>
      </c>
      <c r="F403" s="4" t="n">
        <v>4.42</v>
      </c>
      <c r="G403" s="4" t="n"/>
      <c r="H403" s="4" t="n">
        <v>1418</v>
      </c>
      <c r="I403" s="6">
        <f>IF(AND(ISNUMBER(D403),C403&gt;0),100*(D403/C403-1),"")</f>
        <v/>
      </c>
      <c r="J403" s="6">
        <f>IF(AND(ISNUMBER(F403),ISNUMBER(E403)),100*(F403/E403-1),"")</f>
        <v/>
      </c>
      <c r="K403" s="6">
        <f>IF(AND(ISNUMBER(G403),ISNUMBER(H403)),100*G403/H403,"")</f>
        <v/>
      </c>
    </row>
    <row r="404">
      <c r="A404" s="4" t="inlineStr">
        <is>
          <t>46124</t>
        </is>
      </c>
      <c r="B404" s="4" t="inlineStr">
        <is>
          <t>Fontanars dels Alforins</t>
        </is>
      </c>
      <c r="C404" s="4" t="n">
        <v>957</v>
      </c>
      <c r="D404" s="4" t="n">
        <v>935</v>
      </c>
      <c r="E404" s="4" t="n"/>
      <c r="F404" s="4" t="n"/>
      <c r="G404" s="4" t="n"/>
      <c r="H404" s="4" t="n">
        <v>498</v>
      </c>
      <c r="I404" s="6">
        <f>IF(AND(ISNUMBER(D404),C404&gt;0),100*(D404/C404-1),"")</f>
        <v/>
      </c>
      <c r="J404" s="6">
        <f>IF(AND(ISNUMBER(F404),ISNUMBER(E404)),100*(F404/E404-1),"")</f>
        <v/>
      </c>
      <c r="K404" s="6">
        <f>IF(AND(ISNUMBER(G404),ISNUMBER(H404)),100*G404/H404,"")</f>
        <v/>
      </c>
    </row>
    <row r="405">
      <c r="A405" s="4" t="inlineStr">
        <is>
          <t>46125</t>
        </is>
      </c>
      <c r="B405" s="4" t="inlineStr">
        <is>
          <t>Fortaleny</t>
        </is>
      </c>
      <c r="C405" s="4" t="n">
        <v>1017</v>
      </c>
      <c r="D405" s="4" t="n">
        <v>1029</v>
      </c>
      <c r="E405" s="4" t="n"/>
      <c r="F405" s="4" t="n"/>
      <c r="G405" s="4" t="n"/>
      <c r="H405" s="4" t="n">
        <v>523</v>
      </c>
      <c r="I405" s="6">
        <f>IF(AND(ISNUMBER(D405),C405&gt;0),100*(D405/C405-1),"")</f>
        <v/>
      </c>
      <c r="J405" s="6">
        <f>IF(AND(ISNUMBER(F405),ISNUMBER(E405)),100*(F405/E405-1),"")</f>
        <v/>
      </c>
      <c r="K405" s="6">
        <f>IF(AND(ISNUMBER(G405),ISNUMBER(H405)),100*G405/H405,"")</f>
        <v/>
      </c>
    </row>
    <row r="406">
      <c r="A406" s="4" t="inlineStr">
        <is>
          <t>46126</t>
        </is>
      </c>
      <c r="B406" s="4" t="inlineStr">
        <is>
          <t>Foios</t>
        </is>
      </c>
      <c r="C406" s="4" t="n">
        <v>7502</v>
      </c>
      <c r="D406" s="4" t="n">
        <v>7987</v>
      </c>
      <c r="E406" s="4" t="n">
        <v>4.375</v>
      </c>
      <c r="F406" s="4" t="n">
        <v>5.9577</v>
      </c>
      <c r="G406" s="4" t="n"/>
      <c r="H406" s="4" t="n">
        <v>3539</v>
      </c>
      <c r="I406" s="6">
        <f>IF(AND(ISNUMBER(D406),C406&gt;0),100*(D406/C406-1),"")</f>
        <v/>
      </c>
      <c r="J406" s="6">
        <f>IF(AND(ISNUMBER(F406),ISNUMBER(E406)),100*(F406/E406-1),"")</f>
        <v/>
      </c>
      <c r="K406" s="6">
        <f>IF(AND(ISNUMBER(G406),ISNUMBER(H406)),100*G406/H406,"")</f>
        <v/>
      </c>
    </row>
    <row r="407">
      <c r="A407" s="4" t="inlineStr">
        <is>
          <t>46127</t>
        </is>
      </c>
      <c r="B407" s="4" t="inlineStr">
        <is>
          <t>Font d'en Carròs, la</t>
        </is>
      </c>
      <c r="C407" s="4" t="n">
        <v>3814</v>
      </c>
      <c r="D407" s="4" t="n">
        <v>4053</v>
      </c>
      <c r="E407" s="4" t="n">
        <v>2.9222</v>
      </c>
      <c r="F407" s="4" t="n">
        <v>3.7129</v>
      </c>
      <c r="G407" s="4" t="n"/>
      <c r="H407" s="4" t="n">
        <v>2879</v>
      </c>
      <c r="I407" s="6">
        <f>IF(AND(ISNUMBER(D407),C407&gt;0),100*(D407/C407-1),"")</f>
        <v/>
      </c>
      <c r="J407" s="6">
        <f>IF(AND(ISNUMBER(F407),ISNUMBER(E407)),100*(F407/E407-1),"")</f>
        <v/>
      </c>
      <c r="K407" s="6">
        <f>IF(AND(ISNUMBER(G407),ISNUMBER(H407)),100*G407/H407,"")</f>
        <v/>
      </c>
    </row>
    <row r="408">
      <c r="A408" s="4" t="inlineStr">
        <is>
          <t>46128</t>
        </is>
      </c>
      <c r="B408" s="4" t="inlineStr">
        <is>
          <t>Font de la Figuera, la</t>
        </is>
      </c>
      <c r="C408" s="4" t="n">
        <v>2028</v>
      </c>
      <c r="D408" s="4" t="n">
        <v>2029</v>
      </c>
      <c r="E408" s="4" t="n">
        <v>2.2029</v>
      </c>
      <c r="F408" s="4" t="n">
        <v>2.4867</v>
      </c>
      <c r="G408" s="4" t="n"/>
      <c r="H408" s="4" t="n">
        <v>1574</v>
      </c>
      <c r="I408" s="6">
        <f>IF(AND(ISNUMBER(D408),C408&gt;0),100*(D408/C408-1),"")</f>
        <v/>
      </c>
      <c r="J408" s="6">
        <f>IF(AND(ISNUMBER(F408),ISNUMBER(E408)),100*(F408/E408-1),"")</f>
        <v/>
      </c>
      <c r="K408" s="6">
        <f>IF(AND(ISNUMBER(G408),ISNUMBER(H408)),100*G408/H408,"")</f>
        <v/>
      </c>
    </row>
    <row r="409">
      <c r="A409" s="4" t="inlineStr">
        <is>
          <t>46129</t>
        </is>
      </c>
      <c r="B409" s="4" t="inlineStr">
        <is>
          <t>Fuenterrobles</t>
        </is>
      </c>
      <c r="C409" s="4" t="n">
        <v>694</v>
      </c>
      <c r="D409" s="4" t="n">
        <v>678</v>
      </c>
      <c r="E409" s="4" t="n"/>
      <c r="F409" s="4" t="n"/>
      <c r="G409" s="4" t="n"/>
      <c r="H409" s="4" t="n">
        <v>514</v>
      </c>
      <c r="I409" s="6">
        <f>IF(AND(ISNUMBER(D409),C409&gt;0),100*(D409/C409-1),"")</f>
        <v/>
      </c>
      <c r="J409" s="6">
        <f>IF(AND(ISNUMBER(F409),ISNUMBER(E409)),100*(F409/E409-1),"")</f>
        <v/>
      </c>
      <c r="K409" s="6">
        <f>IF(AND(ISNUMBER(G409),ISNUMBER(H409)),100*G409/H409,"")</f>
        <v/>
      </c>
    </row>
    <row r="410">
      <c r="A410" s="4" t="inlineStr">
        <is>
          <t>46130</t>
        </is>
      </c>
      <c r="B410" s="4" t="inlineStr">
        <is>
          <t>Gavarda</t>
        </is>
      </c>
      <c r="C410" s="4" t="n">
        <v>1034</v>
      </c>
      <c r="D410" s="4" t="n">
        <v>1026</v>
      </c>
      <c r="E410" s="4" t="n"/>
      <c r="F410" s="4" t="n"/>
      <c r="G410" s="4" t="n"/>
      <c r="H410" s="4" t="n">
        <v>472</v>
      </c>
      <c r="I410" s="6">
        <f>IF(AND(ISNUMBER(D410),C410&gt;0),100*(D410/C410-1),"")</f>
        <v/>
      </c>
      <c r="J410" s="6">
        <f>IF(AND(ISNUMBER(F410),ISNUMBER(E410)),100*(F410/E410-1),"")</f>
        <v/>
      </c>
      <c r="K410" s="6">
        <f>IF(AND(ISNUMBER(G410),ISNUMBER(H410)),100*G410/H410,"")</f>
        <v/>
      </c>
    </row>
    <row r="411">
      <c r="A411" s="4" t="inlineStr">
        <is>
          <t>46131</t>
        </is>
      </c>
      <c r="B411" s="4" t="inlineStr">
        <is>
          <t>Gandia</t>
        </is>
      </c>
      <c r="C411" s="4" t="n">
        <v>75700</v>
      </c>
      <c r="D411" s="4" t="n">
        <v>82909</v>
      </c>
      <c r="E411" s="4" t="n">
        <v>3.9286</v>
      </c>
      <c r="F411" s="4" t="n">
        <v>5.2239</v>
      </c>
      <c r="G411" s="4" t="n"/>
      <c r="H411" s="4" t="n">
        <v>54136</v>
      </c>
      <c r="I411" s="6">
        <f>IF(AND(ISNUMBER(D411),C411&gt;0),100*(D411/C411-1),"")</f>
        <v/>
      </c>
      <c r="J411" s="6">
        <f>IF(AND(ISNUMBER(F411),ISNUMBER(E411)),100*(F411/E411-1),"")</f>
        <v/>
      </c>
      <c r="K411" s="6">
        <f>IF(AND(ISNUMBER(G411),ISNUMBER(H411)),100*G411/H411,"")</f>
        <v/>
      </c>
    </row>
    <row r="412">
      <c r="A412" s="4" t="inlineStr">
        <is>
          <t>46132</t>
        </is>
      </c>
      <c r="B412" s="4" t="inlineStr">
        <is>
          <t>Genovés, el</t>
        </is>
      </c>
      <c r="C412" s="4" t="n">
        <v>2792</v>
      </c>
      <c r="D412" s="4" t="n">
        <v>2826</v>
      </c>
      <c r="E412" s="4" t="n">
        <v>2.6261</v>
      </c>
      <c r="F412" s="4" t="n">
        <v>3.0909</v>
      </c>
      <c r="G412" s="4" t="n"/>
      <c r="H412" s="4" t="n">
        <v>1419</v>
      </c>
      <c r="I412" s="6">
        <f>IF(AND(ISNUMBER(D412),C412&gt;0),100*(D412/C412-1),"")</f>
        <v/>
      </c>
      <c r="J412" s="6">
        <f>IF(AND(ISNUMBER(F412),ISNUMBER(E412)),100*(F412/E412-1),"")</f>
        <v/>
      </c>
      <c r="K412" s="6">
        <f>IF(AND(ISNUMBER(G412),ISNUMBER(H412)),100*G412/H412,"")</f>
        <v/>
      </c>
    </row>
    <row r="413">
      <c r="A413" s="4" t="inlineStr">
        <is>
          <t>46133</t>
        </is>
      </c>
      <c r="B413" s="4" t="inlineStr">
        <is>
          <t>Gestalgar</t>
        </is>
      </c>
      <c r="C413" s="4" t="n">
        <v>546</v>
      </c>
      <c r="D413" s="4" t="n">
        <v>589</v>
      </c>
      <c r="E413" s="4" t="n"/>
      <c r="F413" s="4" t="n"/>
      <c r="G413" s="4" t="n"/>
      <c r="H413" s="4" t="n">
        <v>683</v>
      </c>
      <c r="I413" s="6">
        <f>IF(AND(ISNUMBER(D413),C413&gt;0),100*(D413/C413-1),"")</f>
        <v/>
      </c>
      <c r="J413" s="6">
        <f>IF(AND(ISNUMBER(F413),ISNUMBER(E413)),100*(F413/E413-1),"")</f>
        <v/>
      </c>
      <c r="K413" s="6">
        <f>IF(AND(ISNUMBER(G413),ISNUMBER(H413)),100*G413/H413,"")</f>
        <v/>
      </c>
    </row>
    <row r="414">
      <c r="A414" s="4" t="inlineStr">
        <is>
          <t>46134</t>
        </is>
      </c>
      <c r="B414" s="4" t="inlineStr">
        <is>
          <t>Gilet</t>
        </is>
      </c>
      <c r="C414" s="4" t="n">
        <v>3496</v>
      </c>
      <c r="D414" s="4" t="n">
        <v>4007</v>
      </c>
      <c r="E414" s="4" t="n">
        <v>3.3729</v>
      </c>
      <c r="F414" s="4" t="n">
        <v>5.1149</v>
      </c>
      <c r="G414" s="4" t="n"/>
      <c r="H414" s="4" t="n">
        <v>2440</v>
      </c>
      <c r="I414" s="6">
        <f>IF(AND(ISNUMBER(D414),C414&gt;0),100*(D414/C414-1),"")</f>
        <v/>
      </c>
      <c r="J414" s="6">
        <f>IF(AND(ISNUMBER(F414),ISNUMBER(E414)),100*(F414/E414-1),"")</f>
        <v/>
      </c>
      <c r="K414" s="6">
        <f>IF(AND(ISNUMBER(G414),ISNUMBER(H414)),100*G414/H414,"")</f>
        <v/>
      </c>
    </row>
    <row r="415">
      <c r="A415" s="4" t="inlineStr">
        <is>
          <t>46135</t>
        </is>
      </c>
      <c r="B415" s="4" t="inlineStr">
        <is>
          <t>Godella</t>
        </is>
      </c>
      <c r="C415" s="4" t="n">
        <v>13078</v>
      </c>
      <c r="D415" s="4" t="n">
        <v>13556</v>
      </c>
      <c r="E415" s="4" t="n">
        <v>4.5378</v>
      </c>
      <c r="F415" s="4" t="n">
        <v>6.25</v>
      </c>
      <c r="G415" s="4" t="n"/>
      <c r="H415" s="4" t="n">
        <v>5449</v>
      </c>
      <c r="I415" s="6">
        <f>IF(AND(ISNUMBER(D415),C415&gt;0),100*(D415/C415-1),"")</f>
        <v/>
      </c>
      <c r="J415" s="6">
        <f>IF(AND(ISNUMBER(F415),ISNUMBER(E415)),100*(F415/E415-1),"")</f>
        <v/>
      </c>
      <c r="K415" s="6">
        <f>IF(AND(ISNUMBER(G415),ISNUMBER(H415)),100*G415/H415,"")</f>
        <v/>
      </c>
    </row>
    <row r="416">
      <c r="A416" s="4" t="inlineStr">
        <is>
          <t>46136</t>
        </is>
      </c>
      <c r="B416" s="4" t="inlineStr">
        <is>
          <t>Godelleta</t>
        </is>
      </c>
      <c r="C416" s="4" t="n">
        <v>3700</v>
      </c>
      <c r="D416" s="4" t="n">
        <v>4310</v>
      </c>
      <c r="E416" s="4" t="n">
        <v>2.8864</v>
      </c>
      <c r="F416" s="4" t="n">
        <v>3.5703</v>
      </c>
      <c r="G416" s="4" t="n"/>
      <c r="H416" s="4" t="n">
        <v>3224</v>
      </c>
      <c r="I416" s="6">
        <f>IF(AND(ISNUMBER(D416),C416&gt;0),100*(D416/C416-1),"")</f>
        <v/>
      </c>
      <c r="J416" s="6">
        <f>IF(AND(ISNUMBER(F416),ISNUMBER(E416)),100*(F416/E416-1),"")</f>
        <v/>
      </c>
      <c r="K416" s="6">
        <f>IF(AND(ISNUMBER(G416),ISNUMBER(H416)),100*G416/H416,"")</f>
        <v/>
      </c>
    </row>
    <row r="417">
      <c r="A417" s="4" t="inlineStr">
        <is>
          <t>46137</t>
        </is>
      </c>
      <c r="B417" s="4" t="inlineStr">
        <is>
          <t>Granja de la Costera, la</t>
        </is>
      </c>
      <c r="C417" s="4" t="n">
        <v>281</v>
      </c>
      <c r="D417" s="4" t="n">
        <v>305</v>
      </c>
      <c r="E417" s="4" t="n"/>
      <c r="F417" s="4" t="n"/>
      <c r="G417" s="4" t="n"/>
      <c r="H417" s="4" t="n">
        <v>178</v>
      </c>
      <c r="I417" s="6">
        <f>IF(AND(ISNUMBER(D417),C417&gt;0),100*(D417/C417-1),"")</f>
        <v/>
      </c>
      <c r="J417" s="6">
        <f>IF(AND(ISNUMBER(F417),ISNUMBER(E417)),100*(F417/E417-1),"")</f>
        <v/>
      </c>
      <c r="K417" s="6">
        <f>IF(AND(ISNUMBER(G417),ISNUMBER(H417)),100*G417/H417,"")</f>
        <v/>
      </c>
    </row>
    <row r="418">
      <c r="A418" s="4" t="inlineStr">
        <is>
          <t>46138</t>
        </is>
      </c>
      <c r="B418" s="4" t="inlineStr">
        <is>
          <t>Guadasséquies</t>
        </is>
      </c>
      <c r="C418" s="4" t="n">
        <v>459</v>
      </c>
      <c r="D418" s="4" t="n">
        <v>478</v>
      </c>
      <c r="E418" s="4" t="n"/>
      <c r="F418" s="4" t="n"/>
      <c r="G418" s="4" t="n"/>
      <c r="H418" s="4" t="n">
        <v>225</v>
      </c>
      <c r="I418" s="6">
        <f>IF(AND(ISNUMBER(D418),C418&gt;0),100*(D418/C418-1),"")</f>
        <v/>
      </c>
      <c r="J418" s="6">
        <f>IF(AND(ISNUMBER(F418),ISNUMBER(E418)),100*(F418/E418-1),"")</f>
        <v/>
      </c>
      <c r="K418" s="6">
        <f>IF(AND(ISNUMBER(G418),ISNUMBER(H418)),100*G418/H418,"")</f>
        <v/>
      </c>
    </row>
    <row r="419">
      <c r="A419" s="4" t="inlineStr">
        <is>
          <t>46139</t>
        </is>
      </c>
      <c r="B419" s="4" t="inlineStr">
        <is>
          <t>Guadassuar</t>
        </is>
      </c>
      <c r="C419" s="4" t="n">
        <v>5929</v>
      </c>
      <c r="D419" s="4" t="n">
        <v>6018</v>
      </c>
      <c r="E419" s="4" t="n">
        <v>2.9204</v>
      </c>
      <c r="F419" s="4" t="n">
        <v>3.6036</v>
      </c>
      <c r="G419" s="4" t="n"/>
      <c r="H419" s="4" t="n">
        <v>3223</v>
      </c>
      <c r="I419" s="6">
        <f>IF(AND(ISNUMBER(D419),C419&gt;0),100*(D419/C419-1),"")</f>
        <v/>
      </c>
      <c r="J419" s="6">
        <f>IF(AND(ISNUMBER(F419),ISNUMBER(E419)),100*(F419/E419-1),"")</f>
        <v/>
      </c>
      <c r="K419" s="6">
        <f>IF(AND(ISNUMBER(G419),ISNUMBER(H419)),100*G419/H419,"")</f>
        <v/>
      </c>
    </row>
    <row r="420">
      <c r="A420" s="4" t="inlineStr">
        <is>
          <t>46140</t>
        </is>
      </c>
      <c r="B420" s="4" t="inlineStr">
        <is>
          <t>Guardamar de la Safor</t>
        </is>
      </c>
      <c r="C420" s="4" t="n">
        <v>545</v>
      </c>
      <c r="D420" s="4" t="n">
        <v>622</v>
      </c>
      <c r="E420" s="4" t="n">
        <v>3.9326</v>
      </c>
      <c r="F420" s="4" t="n">
        <v>7.5871</v>
      </c>
      <c r="G420" s="4" t="n"/>
      <c r="H420" s="4" t="n">
        <v>1054</v>
      </c>
      <c r="I420" s="6">
        <f>IF(AND(ISNUMBER(D420),C420&gt;0),100*(D420/C420-1),"")</f>
        <v/>
      </c>
      <c r="J420" s="6">
        <f>IF(AND(ISNUMBER(F420),ISNUMBER(E420)),100*(F420/E420-1),"")</f>
        <v/>
      </c>
      <c r="K420" s="6">
        <f>IF(AND(ISNUMBER(G420),ISNUMBER(H420)),100*G420/H420,"")</f>
        <v/>
      </c>
    </row>
    <row r="421">
      <c r="A421" s="4" t="inlineStr">
        <is>
          <t>46141</t>
        </is>
      </c>
      <c r="B421" s="4" t="inlineStr">
        <is>
          <t>Higueruelas</t>
        </is>
      </c>
      <c r="C421" s="4" t="n">
        <v>521</v>
      </c>
      <c r="D421" s="4" t="n">
        <v>568</v>
      </c>
      <c r="E421" s="4" t="n"/>
      <c r="F421" s="4" t="n"/>
      <c r="G421" s="4" t="n"/>
      <c r="H421" s="4" t="n">
        <v>492</v>
      </c>
      <c r="I421" s="6">
        <f>IF(AND(ISNUMBER(D421),C421&gt;0),100*(D421/C421-1),"")</f>
        <v/>
      </c>
      <c r="J421" s="6">
        <f>IF(AND(ISNUMBER(F421),ISNUMBER(E421)),100*(F421/E421-1),"")</f>
        <v/>
      </c>
      <c r="K421" s="6">
        <f>IF(AND(ISNUMBER(G421),ISNUMBER(H421)),100*G421/H421,"")</f>
        <v/>
      </c>
    </row>
    <row r="422">
      <c r="A422" s="4" t="inlineStr">
        <is>
          <t>46142</t>
        </is>
      </c>
      <c r="B422" s="4" t="inlineStr">
        <is>
          <t>Jalance</t>
        </is>
      </c>
      <c r="C422" s="4" t="n">
        <v>794</v>
      </c>
      <c r="D422" s="4" t="n">
        <v>816</v>
      </c>
      <c r="E422" s="4" t="n"/>
      <c r="F422" s="4" t="n"/>
      <c r="G422" s="4" t="n"/>
      <c r="H422" s="4" t="n">
        <v>877</v>
      </c>
      <c r="I422" s="6">
        <f>IF(AND(ISNUMBER(D422),C422&gt;0),100*(D422/C422-1),"")</f>
        <v/>
      </c>
      <c r="J422" s="6">
        <f>IF(AND(ISNUMBER(F422),ISNUMBER(E422)),100*(F422/E422-1),"")</f>
        <v/>
      </c>
      <c r="K422" s="6">
        <f>IF(AND(ISNUMBER(G422),ISNUMBER(H422)),100*G422/H422,"")</f>
        <v/>
      </c>
    </row>
    <row r="423">
      <c r="A423" s="4" t="inlineStr">
        <is>
          <t>46143</t>
        </is>
      </c>
      <c r="B423" s="4" t="inlineStr">
        <is>
          <t>Xeraco</t>
        </is>
      </c>
      <c r="C423" s="4" t="n">
        <v>5781</v>
      </c>
      <c r="D423" s="4" t="n">
        <v>6134</v>
      </c>
      <c r="E423" s="4" t="n">
        <v>3.3009</v>
      </c>
      <c r="F423" s="4" t="n">
        <v>4.2453</v>
      </c>
      <c r="G423" s="4" t="n"/>
      <c r="H423" s="4" t="n">
        <v>6496</v>
      </c>
      <c r="I423" s="6">
        <f>IF(AND(ISNUMBER(D423),C423&gt;0),100*(D423/C423-1),"")</f>
        <v/>
      </c>
      <c r="J423" s="6">
        <f>IF(AND(ISNUMBER(F423),ISNUMBER(E423)),100*(F423/E423-1),"")</f>
        <v/>
      </c>
      <c r="K423" s="6">
        <f>IF(AND(ISNUMBER(G423),ISNUMBER(H423)),100*G423/H423,"")</f>
        <v/>
      </c>
    </row>
    <row r="424">
      <c r="A424" s="4" t="inlineStr">
        <is>
          <t>46144</t>
        </is>
      </c>
      <c r="B424" s="4" t="inlineStr">
        <is>
          <t>Jarafuel</t>
        </is>
      </c>
      <c r="C424" s="4" t="n">
        <v>771</v>
      </c>
      <c r="D424" s="4" t="n">
        <v>786</v>
      </c>
      <c r="E424" s="4" t="n"/>
      <c r="F424" s="4" t="n"/>
      <c r="G424" s="4" t="n"/>
      <c r="H424" s="4" t="n">
        <v>907</v>
      </c>
      <c r="I424" s="6">
        <f>IF(AND(ISNUMBER(D424),C424&gt;0),100*(D424/C424-1),"")</f>
        <v/>
      </c>
      <c r="J424" s="6">
        <f>IF(AND(ISNUMBER(F424),ISNUMBER(E424)),100*(F424/E424-1),"")</f>
        <v/>
      </c>
      <c r="K424" s="6">
        <f>IF(AND(ISNUMBER(G424),ISNUMBER(H424)),100*G424/H424,"")</f>
        <v/>
      </c>
    </row>
    <row r="425">
      <c r="A425" s="4" t="inlineStr">
        <is>
          <t>46145</t>
        </is>
      </c>
      <c r="B425" s="4" t="inlineStr">
        <is>
          <t>Xàtiva</t>
        </is>
      </c>
      <c r="C425" s="4" t="n">
        <v>29655</v>
      </c>
      <c r="D425" s="4" t="n">
        <v>30925</v>
      </c>
      <c r="E425" s="4" t="n">
        <v>3.5354</v>
      </c>
      <c r="F425" s="4" t="n">
        <v>4.6595</v>
      </c>
      <c r="G425" s="4" t="n"/>
      <c r="H425" s="4" t="n">
        <v>18135</v>
      </c>
      <c r="I425" s="6">
        <f>IF(AND(ISNUMBER(D425),C425&gt;0),100*(D425/C425-1),"")</f>
        <v/>
      </c>
      <c r="J425" s="6">
        <f>IF(AND(ISNUMBER(F425),ISNUMBER(E425)),100*(F425/E425-1),"")</f>
        <v/>
      </c>
      <c r="K425" s="6">
        <f>IF(AND(ISNUMBER(G425),ISNUMBER(H425)),100*G425/H425,"")</f>
        <v/>
      </c>
    </row>
    <row r="426">
      <c r="A426" s="4" t="inlineStr">
        <is>
          <t>46146</t>
        </is>
      </c>
      <c r="B426" s="4" t="inlineStr">
        <is>
          <t>Xeresa</t>
        </is>
      </c>
      <c r="C426" s="4" t="n">
        <v>2241</v>
      </c>
      <c r="D426" s="4" t="n">
        <v>2413</v>
      </c>
      <c r="E426" s="4" t="n">
        <v>3.3898</v>
      </c>
      <c r="F426" s="4" t="n">
        <v>4.929</v>
      </c>
      <c r="G426" s="4" t="n"/>
      <c r="H426" s="4" t="n">
        <v>1261</v>
      </c>
      <c r="I426" s="6">
        <f>IF(AND(ISNUMBER(D426),C426&gt;0),100*(D426/C426-1),"")</f>
        <v/>
      </c>
      <c r="J426" s="6">
        <f>IF(AND(ISNUMBER(F426),ISNUMBER(E426)),100*(F426/E426-1),"")</f>
        <v/>
      </c>
      <c r="K426" s="6">
        <f>IF(AND(ISNUMBER(G426),ISNUMBER(H426)),100*G426/H426,"")</f>
        <v/>
      </c>
    </row>
    <row r="427">
      <c r="A427" s="4" t="inlineStr">
        <is>
          <t>46147</t>
        </is>
      </c>
      <c r="B427" s="4" t="inlineStr">
        <is>
          <t>Llíria</t>
        </is>
      </c>
      <c r="C427" s="4" t="n">
        <v>23808</v>
      </c>
      <c r="D427" s="4" t="n">
        <v>25613</v>
      </c>
      <c r="E427" s="4" t="n">
        <v>3.4343</v>
      </c>
      <c r="F427" s="4" t="n">
        <v>4.4035</v>
      </c>
      <c r="G427" s="4" t="n"/>
      <c r="H427" s="4" t="n">
        <v>15611</v>
      </c>
      <c r="I427" s="6">
        <f>IF(AND(ISNUMBER(D427),C427&gt;0),100*(D427/C427-1),"")</f>
        <v/>
      </c>
      <c r="J427" s="6">
        <f>IF(AND(ISNUMBER(F427),ISNUMBER(E427)),100*(F427/E427-1),"")</f>
        <v/>
      </c>
      <c r="K427" s="6">
        <f>IF(AND(ISNUMBER(G427),ISNUMBER(H427)),100*G427/H427,"")</f>
        <v/>
      </c>
    </row>
    <row r="428">
      <c r="A428" s="4" t="inlineStr">
        <is>
          <t>46148</t>
        </is>
      </c>
      <c r="B428" s="4" t="inlineStr">
        <is>
          <t>Loriguilla</t>
        </is>
      </c>
      <c r="C428" s="4" t="n">
        <v>2025</v>
      </c>
      <c r="D428" s="4" t="n">
        <v>2184</v>
      </c>
      <c r="E428" s="4" t="n">
        <v>5.608</v>
      </c>
      <c r="F428" s="4" t="n">
        <v>8.2597</v>
      </c>
      <c r="G428" s="4" t="n"/>
      <c r="H428" s="4" t="n">
        <v>1001</v>
      </c>
      <c r="I428" s="6">
        <f>IF(AND(ISNUMBER(D428),C428&gt;0),100*(D428/C428-1),"")</f>
        <v/>
      </c>
      <c r="J428" s="6">
        <f>IF(AND(ISNUMBER(F428),ISNUMBER(E428)),100*(F428/E428-1),"")</f>
        <v/>
      </c>
      <c r="K428" s="6">
        <f>IF(AND(ISNUMBER(G428),ISNUMBER(H428)),100*G428/H428,"")</f>
        <v/>
      </c>
    </row>
    <row r="429">
      <c r="A429" s="4" t="inlineStr">
        <is>
          <t>46149</t>
        </is>
      </c>
      <c r="B429" s="4" t="inlineStr">
        <is>
          <t>Losa del Obispo</t>
        </is>
      </c>
      <c r="C429" s="4" t="n">
        <v>535</v>
      </c>
      <c r="D429" s="4" t="n">
        <v>530</v>
      </c>
      <c r="E429" s="4" t="n"/>
      <c r="F429" s="4" t="n"/>
      <c r="G429" s="4" t="n"/>
      <c r="H429" s="4" t="n">
        <v>426</v>
      </c>
      <c r="I429" s="6">
        <f>IF(AND(ISNUMBER(D429),C429&gt;0),100*(D429/C429-1),"")</f>
        <v/>
      </c>
      <c r="J429" s="6">
        <f>IF(AND(ISNUMBER(F429),ISNUMBER(E429)),100*(F429/E429-1),"")</f>
        <v/>
      </c>
      <c r="K429" s="6">
        <f>IF(AND(ISNUMBER(G429),ISNUMBER(H429)),100*G429/H429,"")</f>
        <v/>
      </c>
    </row>
    <row r="430">
      <c r="A430" s="4" t="inlineStr">
        <is>
          <t>46150</t>
        </is>
      </c>
      <c r="B430" s="4" t="inlineStr">
        <is>
          <t>Llutxent</t>
        </is>
      </c>
      <c r="C430" s="4" t="n">
        <v>2316</v>
      </c>
      <c r="D430" s="4" t="n">
        <v>2307</v>
      </c>
      <c r="E430" s="4" t="n"/>
      <c r="F430" s="4" t="n"/>
      <c r="G430" s="4" t="n"/>
      <c r="H430" s="4" t="n">
        <v>1203</v>
      </c>
      <c r="I430" s="6">
        <f>IF(AND(ISNUMBER(D430),C430&gt;0),100*(D430/C430-1),"")</f>
        <v/>
      </c>
      <c r="J430" s="6">
        <f>IF(AND(ISNUMBER(F430),ISNUMBER(E430)),100*(F430/E430-1),"")</f>
        <v/>
      </c>
      <c r="K430" s="6">
        <f>IF(AND(ISNUMBER(G430),ISNUMBER(H430)),100*G430/H430,"")</f>
        <v/>
      </c>
    </row>
    <row r="431">
      <c r="A431" s="4" t="inlineStr">
        <is>
          <t>46151</t>
        </is>
      </c>
      <c r="B431" s="4" t="inlineStr">
        <is>
          <t>Llocnou d'En Fenollet</t>
        </is>
      </c>
      <c r="C431" s="4" t="n">
        <v>918</v>
      </c>
      <c r="D431" s="4" t="n">
        <v>944</v>
      </c>
      <c r="E431" s="4" t="n"/>
      <c r="F431" s="4" t="n"/>
      <c r="G431" s="4" t="n"/>
      <c r="H431" s="4" t="n">
        <v>472</v>
      </c>
      <c r="I431" s="6">
        <f>IF(AND(ISNUMBER(D431),C431&gt;0),100*(D431/C431-1),"")</f>
        <v/>
      </c>
      <c r="J431" s="6">
        <f>IF(AND(ISNUMBER(F431),ISNUMBER(E431)),100*(F431/E431-1),"")</f>
        <v/>
      </c>
      <c r="K431" s="6">
        <f>IF(AND(ISNUMBER(G431),ISNUMBER(H431)),100*G431/H431,"")</f>
        <v/>
      </c>
    </row>
    <row r="432">
      <c r="A432" s="4" t="inlineStr">
        <is>
          <t>46152</t>
        </is>
      </c>
      <c r="B432" s="4" t="inlineStr">
        <is>
          <t>Llocnou de la Corona</t>
        </is>
      </c>
      <c r="C432" s="4" t="n">
        <v>126</v>
      </c>
      <c r="D432" s="4" t="n">
        <v>134</v>
      </c>
      <c r="E432" s="4" t="n"/>
      <c r="F432" s="4" t="n"/>
      <c r="G432" s="4" t="n"/>
      <c r="H432" s="4" t="n">
        <v>61</v>
      </c>
      <c r="I432" s="6">
        <f>IF(AND(ISNUMBER(D432),C432&gt;0),100*(D432/C432-1),"")</f>
        <v/>
      </c>
      <c r="J432" s="6">
        <f>IF(AND(ISNUMBER(F432),ISNUMBER(E432)),100*(F432/E432-1),"")</f>
        <v/>
      </c>
      <c r="K432" s="6">
        <f>IF(AND(ISNUMBER(G432),ISNUMBER(H432)),100*G432/H432,"")</f>
        <v/>
      </c>
    </row>
    <row r="433">
      <c r="A433" s="4" t="inlineStr">
        <is>
          <t>46153</t>
        </is>
      </c>
      <c r="B433" s="4" t="inlineStr">
        <is>
          <t>Llocnou de Sant Jeroni</t>
        </is>
      </c>
      <c r="C433" s="4" t="n">
        <v>555</v>
      </c>
      <c r="D433" s="4" t="n">
        <v>592</v>
      </c>
      <c r="E433" s="4" t="n"/>
      <c r="F433" s="4" t="n"/>
      <c r="G433" s="4" t="n"/>
      <c r="H433" s="4" t="n">
        <v>349</v>
      </c>
      <c r="I433" s="6">
        <f>IF(AND(ISNUMBER(D433),C433&gt;0),100*(D433/C433-1),"")</f>
        <v/>
      </c>
      <c r="J433" s="6">
        <f>IF(AND(ISNUMBER(F433),ISNUMBER(E433)),100*(F433/E433-1),"")</f>
        <v/>
      </c>
      <c r="K433" s="6">
        <f>IF(AND(ISNUMBER(G433),ISNUMBER(H433)),100*G433/H433,"")</f>
        <v/>
      </c>
    </row>
    <row r="434">
      <c r="A434" s="4" t="inlineStr">
        <is>
          <t>46154</t>
        </is>
      </c>
      <c r="B434" s="4" t="inlineStr">
        <is>
          <t>Llanera de Ranes</t>
        </is>
      </c>
      <c r="C434" s="4" t="n">
        <v>1054</v>
      </c>
      <c r="D434" s="4" t="n">
        <v>1058</v>
      </c>
      <c r="E434" s="4" t="n"/>
      <c r="F434" s="4" t="n"/>
      <c r="G434" s="4" t="n"/>
      <c r="H434" s="4" t="n">
        <v>510</v>
      </c>
      <c r="I434" s="6">
        <f>IF(AND(ISNUMBER(D434),C434&gt;0),100*(D434/C434-1),"")</f>
        <v/>
      </c>
      <c r="J434" s="6">
        <f>IF(AND(ISNUMBER(F434),ISNUMBER(E434)),100*(F434/E434-1),"")</f>
        <v/>
      </c>
      <c r="K434" s="6">
        <f>IF(AND(ISNUMBER(G434),ISNUMBER(H434)),100*G434/H434,"")</f>
        <v/>
      </c>
    </row>
    <row r="435">
      <c r="A435" s="4" t="inlineStr">
        <is>
          <t>46155</t>
        </is>
      </c>
      <c r="B435" s="4" t="inlineStr">
        <is>
          <t>Llaurí</t>
        </is>
      </c>
      <c r="C435" s="4" t="n">
        <v>1164</v>
      </c>
      <c r="D435" s="4" t="n">
        <v>1227</v>
      </c>
      <c r="E435" s="4" t="n"/>
      <c r="F435" s="4" t="n">
        <v>4.0271</v>
      </c>
      <c r="G435" s="4" t="n"/>
      <c r="H435" s="4" t="n">
        <v>1017</v>
      </c>
      <c r="I435" s="6">
        <f>IF(AND(ISNUMBER(D435),C435&gt;0),100*(D435/C435-1),"")</f>
        <v/>
      </c>
      <c r="J435" s="6">
        <f>IF(AND(ISNUMBER(F435),ISNUMBER(E435)),100*(F435/E435-1),"")</f>
        <v/>
      </c>
      <c r="K435" s="6">
        <f>IF(AND(ISNUMBER(G435),ISNUMBER(H435)),100*G435/H435,"")</f>
        <v/>
      </c>
    </row>
    <row r="436">
      <c r="A436" s="4" t="inlineStr">
        <is>
          <t>46156</t>
        </is>
      </c>
      <c r="B436" s="4" t="inlineStr">
        <is>
          <t>Llombai</t>
        </is>
      </c>
      <c r="C436" s="4" t="n">
        <v>2658</v>
      </c>
      <c r="D436" s="4" t="n">
        <v>2787</v>
      </c>
      <c r="E436" s="4" t="n">
        <v>2.6776</v>
      </c>
      <c r="F436" s="4" t="n">
        <v>3.6182</v>
      </c>
      <c r="G436" s="4" t="n"/>
      <c r="H436" s="4" t="n">
        <v>1791</v>
      </c>
      <c r="I436" s="6">
        <f>IF(AND(ISNUMBER(D436),C436&gt;0),100*(D436/C436-1),"")</f>
        <v/>
      </c>
      <c r="J436" s="6">
        <f>IF(AND(ISNUMBER(F436),ISNUMBER(E436)),100*(F436/E436-1),"")</f>
        <v/>
      </c>
      <c r="K436" s="6">
        <f>IF(AND(ISNUMBER(G436),ISNUMBER(H436)),100*G436/H436,"")</f>
        <v/>
      </c>
    </row>
    <row r="437">
      <c r="A437" s="4" t="inlineStr">
        <is>
          <t>46157</t>
        </is>
      </c>
      <c r="B437" s="4" t="inlineStr">
        <is>
          <t>Llosa de Ranes, la</t>
        </is>
      </c>
      <c r="C437" s="4" t="n">
        <v>3686</v>
      </c>
      <c r="D437" s="4" t="n">
        <v>3767</v>
      </c>
      <c r="E437" s="4" t="n">
        <v>2.333</v>
      </c>
      <c r="F437" s="4" t="n">
        <v>3.1944</v>
      </c>
      <c r="G437" s="4" t="n"/>
      <c r="H437" s="4" t="n">
        <v>1764</v>
      </c>
      <c r="I437" s="6">
        <f>IF(AND(ISNUMBER(D437),C437&gt;0),100*(D437/C437-1),"")</f>
        <v/>
      </c>
      <c r="J437" s="6">
        <f>IF(AND(ISNUMBER(F437),ISNUMBER(E437)),100*(F437/E437-1),"")</f>
        <v/>
      </c>
      <c r="K437" s="6">
        <f>IF(AND(ISNUMBER(G437),ISNUMBER(H437)),100*G437/H437,"")</f>
        <v/>
      </c>
    </row>
    <row r="438">
      <c r="A438" s="4" t="inlineStr">
        <is>
          <t>46158</t>
        </is>
      </c>
      <c r="B438" s="4" t="inlineStr">
        <is>
          <t>Macastre</t>
        </is>
      </c>
      <c r="C438" s="4" t="n">
        <v>1333</v>
      </c>
      <c r="D438" s="4" t="n">
        <v>1481</v>
      </c>
      <c r="E438" s="4" t="n">
        <v>2.2617</v>
      </c>
      <c r="F438" s="4" t="n">
        <v>3.2197</v>
      </c>
      <c r="G438" s="4" t="n"/>
      <c r="H438" s="4" t="n">
        <v>956</v>
      </c>
      <c r="I438" s="6">
        <f>IF(AND(ISNUMBER(D438),C438&gt;0),100*(D438/C438-1),"")</f>
        <v/>
      </c>
      <c r="J438" s="6">
        <f>IF(AND(ISNUMBER(F438),ISNUMBER(E438)),100*(F438/E438-1),"")</f>
        <v/>
      </c>
      <c r="K438" s="6">
        <f>IF(AND(ISNUMBER(G438),ISNUMBER(H438)),100*G438/H438,"")</f>
        <v/>
      </c>
    </row>
    <row r="439">
      <c r="A439" s="4" t="inlineStr">
        <is>
          <t>46159</t>
        </is>
      </c>
      <c r="B439" s="4" t="inlineStr">
        <is>
          <t>Manises</t>
        </is>
      </c>
      <c r="C439" s="4" t="n">
        <v>31270</v>
      </c>
      <c r="D439" s="4" t="n">
        <v>32747</v>
      </c>
      <c r="E439" s="4" t="n">
        <v>4.7247</v>
      </c>
      <c r="F439" s="4" t="n">
        <v>6.3953</v>
      </c>
      <c r="G439" s="4" t="n"/>
      <c r="H439" s="4" t="n">
        <v>13974</v>
      </c>
      <c r="I439" s="6">
        <f>IF(AND(ISNUMBER(D439),C439&gt;0),100*(D439/C439-1),"")</f>
        <v/>
      </c>
      <c r="J439" s="6">
        <f>IF(AND(ISNUMBER(F439),ISNUMBER(E439)),100*(F439/E439-1),"")</f>
        <v/>
      </c>
      <c r="K439" s="6">
        <f>IF(AND(ISNUMBER(G439),ISNUMBER(H439)),100*G439/H439,"")</f>
        <v/>
      </c>
    </row>
    <row r="440">
      <c r="A440" s="4" t="inlineStr">
        <is>
          <t>46160</t>
        </is>
      </c>
      <c r="B440" s="4" t="inlineStr">
        <is>
          <t>Manuel</t>
        </is>
      </c>
      <c r="C440" s="4" t="n">
        <v>2449</v>
      </c>
      <c r="D440" s="4" t="n">
        <v>2554</v>
      </c>
      <c r="E440" s="4" t="n">
        <v>3.1634</v>
      </c>
      <c r="F440" s="4" t="n">
        <v>3.8095</v>
      </c>
      <c r="G440" s="4" t="n"/>
      <c r="H440" s="4" t="n">
        <v>1388</v>
      </c>
      <c r="I440" s="6">
        <f>IF(AND(ISNUMBER(D440),C440&gt;0),100*(D440/C440-1),"")</f>
        <v/>
      </c>
      <c r="J440" s="6">
        <f>IF(AND(ISNUMBER(F440),ISNUMBER(E440)),100*(F440/E440-1),"")</f>
        <v/>
      </c>
      <c r="K440" s="6">
        <f>IF(AND(ISNUMBER(G440),ISNUMBER(H440)),100*G440/H440,"")</f>
        <v/>
      </c>
    </row>
    <row r="441">
      <c r="A441" s="4" t="inlineStr">
        <is>
          <t>46161</t>
        </is>
      </c>
      <c r="B441" s="4" t="inlineStr">
        <is>
          <t>Marines</t>
        </is>
      </c>
      <c r="C441" s="4" t="n">
        <v>1877</v>
      </c>
      <c r="D441" s="4" t="n">
        <v>1977</v>
      </c>
      <c r="E441" s="4" t="n"/>
      <c r="F441" s="4" t="n"/>
      <c r="G441" s="4" t="n"/>
      <c r="H441" s="4" t="n">
        <v>1261</v>
      </c>
      <c r="I441" s="6">
        <f>IF(AND(ISNUMBER(D441),C441&gt;0),100*(D441/C441-1),"")</f>
        <v/>
      </c>
      <c r="J441" s="6">
        <f>IF(AND(ISNUMBER(F441),ISNUMBER(E441)),100*(F441/E441-1),"")</f>
        <v/>
      </c>
      <c r="K441" s="6">
        <f>IF(AND(ISNUMBER(G441),ISNUMBER(H441)),100*G441/H441,"")</f>
        <v/>
      </c>
    </row>
    <row r="442">
      <c r="A442" s="4" t="inlineStr">
        <is>
          <t>46162</t>
        </is>
      </c>
      <c r="B442" s="4" t="inlineStr">
        <is>
          <t>Massalavés</t>
        </is>
      </c>
      <c r="C442" s="4" t="n">
        <v>1630</v>
      </c>
      <c r="D442" s="4" t="n">
        <v>1895</v>
      </c>
      <c r="E442" s="4" t="n">
        <v>2.5926</v>
      </c>
      <c r="F442" s="4" t="n">
        <v>3.6364</v>
      </c>
      <c r="G442" s="4" t="n"/>
      <c r="H442" s="4" t="n">
        <v>979</v>
      </c>
      <c r="I442" s="6">
        <f>IF(AND(ISNUMBER(D442),C442&gt;0),100*(D442/C442-1),"")</f>
        <v/>
      </c>
      <c r="J442" s="6">
        <f>IF(AND(ISNUMBER(F442),ISNUMBER(E442)),100*(F442/E442-1),"")</f>
        <v/>
      </c>
      <c r="K442" s="6">
        <f>IF(AND(ISNUMBER(G442),ISNUMBER(H442)),100*G442/H442,"")</f>
        <v/>
      </c>
    </row>
    <row r="443">
      <c r="A443" s="4" t="inlineStr">
        <is>
          <t>46163</t>
        </is>
      </c>
      <c r="B443" s="4" t="inlineStr">
        <is>
          <t>Massalfassar</t>
        </is>
      </c>
      <c r="C443" s="4" t="n">
        <v>2569</v>
      </c>
      <c r="D443" s="4" t="n">
        <v>2718</v>
      </c>
      <c r="E443" s="4" t="n">
        <v>4.4118</v>
      </c>
      <c r="F443" s="4" t="n">
        <v>5.9699</v>
      </c>
      <c r="G443" s="4" t="n"/>
      <c r="H443" s="4" t="n">
        <v>1318</v>
      </c>
      <c r="I443" s="6">
        <f>IF(AND(ISNUMBER(D443),C443&gt;0),100*(D443/C443-1),"")</f>
        <v/>
      </c>
      <c r="J443" s="6">
        <f>IF(AND(ISNUMBER(F443),ISNUMBER(E443)),100*(F443/E443-1),"")</f>
        <v/>
      </c>
      <c r="K443" s="6">
        <f>IF(AND(ISNUMBER(G443),ISNUMBER(H443)),100*G443/H443,"")</f>
        <v/>
      </c>
    </row>
    <row r="444">
      <c r="A444" s="4" t="inlineStr">
        <is>
          <t>46164</t>
        </is>
      </c>
      <c r="B444" s="4" t="inlineStr">
        <is>
          <t>Massamagrell</t>
        </is>
      </c>
      <c r="C444" s="4" t="n">
        <v>16226</v>
      </c>
      <c r="D444" s="4" t="n">
        <v>17564</v>
      </c>
      <c r="E444" s="4" t="n">
        <v>4.2195</v>
      </c>
      <c r="F444" s="4" t="n">
        <v>5.873</v>
      </c>
      <c r="G444" s="4" t="n"/>
      <c r="H444" s="4" t="n">
        <v>7533</v>
      </c>
      <c r="I444" s="6">
        <f>IF(AND(ISNUMBER(D444),C444&gt;0),100*(D444/C444-1),"")</f>
        <v/>
      </c>
      <c r="J444" s="6">
        <f>IF(AND(ISNUMBER(F444),ISNUMBER(E444)),100*(F444/E444-1),"")</f>
        <v/>
      </c>
      <c r="K444" s="6">
        <f>IF(AND(ISNUMBER(G444),ISNUMBER(H444)),100*G444/H444,"")</f>
        <v/>
      </c>
    </row>
    <row r="445">
      <c r="A445" s="4" t="inlineStr">
        <is>
          <t>46165</t>
        </is>
      </c>
      <c r="B445" s="4" t="inlineStr">
        <is>
          <t>Massanassa</t>
        </is>
      </c>
      <c r="C445" s="4" t="n">
        <v>9871</v>
      </c>
      <c r="D445" s="4" t="n">
        <v>10634</v>
      </c>
      <c r="E445" s="4" t="n">
        <v>4.3643</v>
      </c>
      <c r="F445" s="4" t="n">
        <v>5.8929</v>
      </c>
      <c r="G445" s="4" t="n"/>
      <c r="H445" s="4" t="n">
        <v>4502</v>
      </c>
      <c r="I445" s="6">
        <f>IF(AND(ISNUMBER(D445),C445&gt;0),100*(D445/C445-1),"")</f>
        <v/>
      </c>
      <c r="J445" s="6">
        <f>IF(AND(ISNUMBER(F445),ISNUMBER(E445)),100*(F445/E445-1),"")</f>
        <v/>
      </c>
      <c r="K445" s="6">
        <f>IF(AND(ISNUMBER(G445),ISNUMBER(H445)),100*G445/H445,"")</f>
        <v/>
      </c>
    </row>
    <row r="446">
      <c r="A446" s="4" t="inlineStr">
        <is>
          <t>46166</t>
        </is>
      </c>
      <c r="B446" s="4" t="inlineStr">
        <is>
          <t>Meliana</t>
        </is>
      </c>
      <c r="C446" s="4" t="n">
        <v>10919</v>
      </c>
      <c r="D446" s="4" t="n">
        <v>11046</v>
      </c>
      <c r="E446" s="4" t="n">
        <v>4.5556</v>
      </c>
      <c r="F446" s="4" t="n">
        <v>6.1051</v>
      </c>
      <c r="G446" s="4" t="n"/>
      <c r="H446" s="4" t="n">
        <v>5035</v>
      </c>
      <c r="I446" s="6">
        <f>IF(AND(ISNUMBER(D446),C446&gt;0),100*(D446/C446-1),"")</f>
        <v/>
      </c>
      <c r="J446" s="6">
        <f>IF(AND(ISNUMBER(F446),ISNUMBER(E446)),100*(F446/E446-1),"")</f>
        <v/>
      </c>
      <c r="K446" s="6">
        <f>IF(AND(ISNUMBER(G446),ISNUMBER(H446)),100*G446/H446,"")</f>
        <v/>
      </c>
    </row>
    <row r="447">
      <c r="A447" s="4" t="inlineStr">
        <is>
          <t>46167</t>
        </is>
      </c>
      <c r="B447" s="4" t="inlineStr">
        <is>
          <t>Millares</t>
        </is>
      </c>
      <c r="C447" s="4" t="n">
        <v>360</v>
      </c>
      <c r="D447" s="4" t="n">
        <v>340</v>
      </c>
      <c r="E447" s="4" t="n"/>
      <c r="F447" s="4" t="n"/>
      <c r="G447" s="4" t="n"/>
      <c r="H447" s="4" t="n">
        <v>453</v>
      </c>
      <c r="I447" s="6">
        <f>IF(AND(ISNUMBER(D447),C447&gt;0),100*(D447/C447-1),"")</f>
        <v/>
      </c>
      <c r="J447" s="6">
        <f>IF(AND(ISNUMBER(F447),ISNUMBER(E447)),100*(F447/E447-1),"")</f>
        <v/>
      </c>
      <c r="K447" s="6">
        <f>IF(AND(ISNUMBER(G447),ISNUMBER(H447)),100*G447/H447,"")</f>
        <v/>
      </c>
    </row>
    <row r="448">
      <c r="A448" s="4" t="inlineStr">
        <is>
          <t>46168</t>
        </is>
      </c>
      <c r="B448" s="4" t="inlineStr">
        <is>
          <t>Miramar</t>
        </is>
      </c>
      <c r="C448" s="4" t="n">
        <v>2733</v>
      </c>
      <c r="D448" s="4" t="n">
        <v>3144</v>
      </c>
      <c r="E448" s="4" t="n">
        <v>4.0569</v>
      </c>
      <c r="F448" s="4" t="n">
        <v>5.4821</v>
      </c>
      <c r="G448" s="4" t="n"/>
      <c r="H448" s="4" t="n">
        <v>4595</v>
      </c>
      <c r="I448" s="6">
        <f>IF(AND(ISNUMBER(D448),C448&gt;0),100*(D448/C448-1),"")</f>
        <v/>
      </c>
      <c r="J448" s="6">
        <f>IF(AND(ISNUMBER(F448),ISNUMBER(E448)),100*(F448/E448-1),"")</f>
        <v/>
      </c>
      <c r="K448" s="6">
        <f>IF(AND(ISNUMBER(G448),ISNUMBER(H448)),100*G448/H448,"")</f>
        <v/>
      </c>
    </row>
    <row r="449">
      <c r="A449" s="4" t="inlineStr">
        <is>
          <t>46169</t>
        </is>
      </c>
      <c r="B449" s="4" t="inlineStr">
        <is>
          <t>Mislata</t>
        </is>
      </c>
      <c r="C449" s="4" t="n">
        <v>44555</v>
      </c>
      <c r="D449" s="4" t="n">
        <v>47003</v>
      </c>
      <c r="E449" s="4" t="n">
        <v>4.8045</v>
      </c>
      <c r="F449" s="4" t="n">
        <v>6.6239</v>
      </c>
      <c r="G449" s="4" t="n"/>
      <c r="H449" s="4" t="n">
        <v>20156</v>
      </c>
      <c r="I449" s="6">
        <f>IF(AND(ISNUMBER(D449),C449&gt;0),100*(D449/C449-1),"")</f>
        <v/>
      </c>
      <c r="J449" s="6">
        <f>IF(AND(ISNUMBER(F449),ISNUMBER(E449)),100*(F449/E449-1),"")</f>
        <v/>
      </c>
      <c r="K449" s="6">
        <f>IF(AND(ISNUMBER(G449),ISNUMBER(H449)),100*G449/H449,"")</f>
        <v/>
      </c>
    </row>
    <row r="450">
      <c r="A450" s="4" t="inlineStr">
        <is>
          <t>46170</t>
        </is>
      </c>
      <c r="B450" s="4" t="inlineStr">
        <is>
          <t>Moixent/Mogente</t>
        </is>
      </c>
      <c r="C450" s="4" t="n">
        <v>4350</v>
      </c>
      <c r="D450" s="4" t="n">
        <v>4408</v>
      </c>
      <c r="E450" s="4" t="n">
        <v>2.3635</v>
      </c>
      <c r="F450" s="4" t="n">
        <v>3.0128</v>
      </c>
      <c r="G450" s="4" t="n"/>
      <c r="H450" s="4" t="n">
        <v>2618</v>
      </c>
      <c r="I450" s="6">
        <f>IF(AND(ISNUMBER(D450),C450&gt;0),100*(D450/C450-1),"")</f>
        <v/>
      </c>
      <c r="J450" s="6">
        <f>IF(AND(ISNUMBER(F450),ISNUMBER(E450)),100*(F450/E450-1),"")</f>
        <v/>
      </c>
      <c r="K450" s="6">
        <f>IF(AND(ISNUMBER(G450),ISNUMBER(H450)),100*G450/H450,"")</f>
        <v/>
      </c>
    </row>
    <row r="451">
      <c r="A451" s="4" t="inlineStr">
        <is>
          <t>46171</t>
        </is>
      </c>
      <c r="B451" s="4" t="inlineStr">
        <is>
          <t>Montcada/Moncada</t>
        </is>
      </c>
      <c r="C451" s="4" t="n">
        <v>21864</v>
      </c>
      <c r="D451" s="4" t="n">
        <v>22252</v>
      </c>
      <c r="E451" s="4" t="n">
        <v>5</v>
      </c>
      <c r="F451" s="4" t="n">
        <v>6.6884</v>
      </c>
      <c r="G451" s="4" t="n"/>
      <c r="H451" s="4" t="n">
        <v>10169</v>
      </c>
      <c r="I451" s="6">
        <f>IF(AND(ISNUMBER(D451),C451&gt;0),100*(D451/C451-1),"")</f>
        <v/>
      </c>
      <c r="J451" s="6">
        <f>IF(AND(ISNUMBER(F451),ISNUMBER(E451)),100*(F451/E451-1),"")</f>
        <v/>
      </c>
      <c r="K451" s="6">
        <f>IF(AND(ISNUMBER(G451),ISNUMBER(H451)),100*G451/H451,"")</f>
        <v/>
      </c>
    </row>
    <row r="452">
      <c r="A452" s="4" t="inlineStr">
        <is>
          <t>46172</t>
        </is>
      </c>
      <c r="B452" s="4" t="inlineStr">
        <is>
          <t>Montserrat</t>
        </is>
      </c>
      <c r="C452" s="4" t="n">
        <v>8665</v>
      </c>
      <c r="D452" s="4" t="n">
        <v>10095</v>
      </c>
      <c r="E452" s="4" t="n">
        <v>3.5961</v>
      </c>
      <c r="F452" s="4" t="n">
        <v>4.6904</v>
      </c>
      <c r="G452" s="4" t="n"/>
      <c r="H452" s="4" t="n">
        <v>6622</v>
      </c>
      <c r="I452" s="6">
        <f>IF(AND(ISNUMBER(D452),C452&gt;0),100*(D452/C452-1),"")</f>
        <v/>
      </c>
      <c r="J452" s="6">
        <f>IF(AND(ISNUMBER(F452),ISNUMBER(E452)),100*(F452/E452-1),"")</f>
        <v/>
      </c>
      <c r="K452" s="6">
        <f>IF(AND(ISNUMBER(G452),ISNUMBER(H452)),100*G452/H452,"")</f>
        <v/>
      </c>
    </row>
    <row r="453">
      <c r="A453" s="4" t="inlineStr">
        <is>
          <t>46173</t>
        </is>
      </c>
      <c r="B453" s="4" t="inlineStr">
        <is>
          <t>Montaverner</t>
        </is>
      </c>
      <c r="C453" s="4" t="n">
        <v>1629</v>
      </c>
      <c r="D453" s="4" t="n">
        <v>1643</v>
      </c>
      <c r="E453" s="4" t="n">
        <v>2.6473</v>
      </c>
      <c r="F453" s="4" t="n">
        <v>3.2176</v>
      </c>
      <c r="G453" s="4" t="n"/>
      <c r="H453" s="4" t="n">
        <v>840</v>
      </c>
      <c r="I453" s="6">
        <f>IF(AND(ISNUMBER(D453),C453&gt;0),100*(D453/C453-1),"")</f>
        <v/>
      </c>
      <c r="J453" s="6">
        <f>IF(AND(ISNUMBER(F453),ISNUMBER(E453)),100*(F453/E453-1),"")</f>
        <v/>
      </c>
      <c r="K453" s="6">
        <f>IF(AND(ISNUMBER(G453),ISNUMBER(H453)),100*G453/H453,"")</f>
        <v/>
      </c>
    </row>
    <row r="454">
      <c r="A454" s="4" t="inlineStr">
        <is>
          <t>46174</t>
        </is>
      </c>
      <c r="B454" s="4" t="inlineStr">
        <is>
          <t>Montesa</t>
        </is>
      </c>
      <c r="C454" s="4" t="n">
        <v>1149</v>
      </c>
      <c r="D454" s="4" t="n">
        <v>1126</v>
      </c>
      <c r="E454" s="4" t="n"/>
      <c r="F454" s="4" t="n"/>
      <c r="G454" s="4" t="n"/>
      <c r="H454" s="4" t="n">
        <v>617</v>
      </c>
      <c r="I454" s="6">
        <f>IF(AND(ISNUMBER(D454),C454&gt;0),100*(D454/C454-1),"")</f>
        <v/>
      </c>
      <c r="J454" s="6">
        <f>IF(AND(ISNUMBER(F454),ISNUMBER(E454)),100*(F454/E454-1),"")</f>
        <v/>
      </c>
      <c r="K454" s="6">
        <f>IF(AND(ISNUMBER(G454),ISNUMBER(H454)),100*G454/H454,"")</f>
        <v/>
      </c>
    </row>
    <row r="455">
      <c r="A455" s="4" t="inlineStr">
        <is>
          <t>46175</t>
        </is>
      </c>
      <c r="B455" s="4" t="inlineStr">
        <is>
          <t>Montitxelvo/Montichelvo</t>
        </is>
      </c>
      <c r="C455" s="4" t="n">
        <v>590</v>
      </c>
      <c r="D455" s="4" t="n">
        <v>569</v>
      </c>
      <c r="E455" s="4" t="n"/>
      <c r="F455" s="4" t="n"/>
      <c r="G455" s="4" t="n"/>
      <c r="H455" s="4" t="n">
        <v>350</v>
      </c>
      <c r="I455" s="6">
        <f>IF(AND(ISNUMBER(D455),C455&gt;0),100*(D455/C455-1),"")</f>
        <v/>
      </c>
      <c r="J455" s="6">
        <f>IF(AND(ISNUMBER(F455),ISNUMBER(E455)),100*(F455/E455-1),"")</f>
        <v/>
      </c>
      <c r="K455" s="6">
        <f>IF(AND(ISNUMBER(G455),ISNUMBER(H455)),100*G455/H455,"")</f>
        <v/>
      </c>
    </row>
    <row r="456">
      <c r="A456" s="4" t="inlineStr">
        <is>
          <t>46176</t>
        </is>
      </c>
      <c r="B456" s="4" t="inlineStr">
        <is>
          <t>Montroi/Montroy</t>
        </is>
      </c>
      <c r="C456" s="4" t="n">
        <v>3046</v>
      </c>
      <c r="D456" s="4" t="n">
        <v>3790</v>
      </c>
      <c r="E456" s="4" t="n">
        <v>2.9545</v>
      </c>
      <c r="F456" s="4" t="n">
        <v>4.2747</v>
      </c>
      <c r="G456" s="4" t="n"/>
      <c r="H456" s="4" t="n">
        <v>2772</v>
      </c>
      <c r="I456" s="6">
        <f>IF(AND(ISNUMBER(D456),C456&gt;0),100*(D456/C456-1),"")</f>
        <v/>
      </c>
      <c r="J456" s="6">
        <f>IF(AND(ISNUMBER(F456),ISNUMBER(E456)),100*(F456/E456-1),"")</f>
        <v/>
      </c>
      <c r="K456" s="6">
        <f>IF(AND(ISNUMBER(G456),ISNUMBER(H456)),100*G456/H456,"")</f>
        <v/>
      </c>
    </row>
    <row r="457">
      <c r="A457" s="4" t="inlineStr">
        <is>
          <t>46177</t>
        </is>
      </c>
      <c r="B457" s="4" t="inlineStr">
        <is>
          <t>Museros</t>
        </is>
      </c>
      <c r="C457" s="4" t="n">
        <v>6662</v>
      </c>
      <c r="D457" s="4" t="n">
        <v>6916</v>
      </c>
      <c r="E457" s="4" t="n">
        <v>4.6053</v>
      </c>
      <c r="F457" s="4" t="n">
        <v>6.1905</v>
      </c>
      <c r="G457" s="4" t="n"/>
      <c r="H457" s="4" t="n">
        <v>3185</v>
      </c>
      <c r="I457" s="6">
        <f>IF(AND(ISNUMBER(D457),C457&gt;0),100*(D457/C457-1),"")</f>
        <v/>
      </c>
      <c r="J457" s="6">
        <f>IF(AND(ISNUMBER(F457),ISNUMBER(E457)),100*(F457/E457-1),"")</f>
        <v/>
      </c>
      <c r="K457" s="6">
        <f>IF(AND(ISNUMBER(G457),ISNUMBER(H457)),100*G457/H457,"")</f>
        <v/>
      </c>
    </row>
    <row r="458">
      <c r="A458" s="4" t="inlineStr">
        <is>
          <t>46178</t>
        </is>
      </c>
      <c r="B458" s="4" t="inlineStr">
        <is>
          <t>Nàquera/Náquera</t>
        </is>
      </c>
      <c r="C458" s="4" t="n">
        <v>7290</v>
      </c>
      <c r="D458" s="4" t="n">
        <v>8654</v>
      </c>
      <c r="E458" s="4" t="n">
        <v>4.4252</v>
      </c>
      <c r="F458" s="4" t="n">
        <v>6.25</v>
      </c>
      <c r="G458" s="4" t="n"/>
      <c r="H458" s="4" t="n">
        <v>5897</v>
      </c>
      <c r="I458" s="6">
        <f>IF(AND(ISNUMBER(D458),C458&gt;0),100*(D458/C458-1),"")</f>
        <v/>
      </c>
      <c r="J458" s="6">
        <f>IF(AND(ISNUMBER(F458),ISNUMBER(E458)),100*(F458/E458-1),"")</f>
        <v/>
      </c>
      <c r="K458" s="6">
        <f>IF(AND(ISNUMBER(G458),ISNUMBER(H458)),100*G458/H458,"")</f>
        <v/>
      </c>
    </row>
    <row r="459">
      <c r="A459" s="4" t="inlineStr">
        <is>
          <t>46179</t>
        </is>
      </c>
      <c r="B459" s="4" t="inlineStr">
        <is>
          <t>Navarrés</t>
        </is>
      </c>
      <c r="C459" s="4" t="n">
        <v>2996</v>
      </c>
      <c r="D459" s="4" t="n">
        <v>3026</v>
      </c>
      <c r="E459" s="4" t="n">
        <v>1.9608</v>
      </c>
      <c r="F459" s="4" t="n">
        <v>2.7817</v>
      </c>
      <c r="G459" s="4" t="n"/>
      <c r="H459" s="4" t="n">
        <v>1907</v>
      </c>
      <c r="I459" s="6">
        <f>IF(AND(ISNUMBER(D459),C459&gt;0),100*(D459/C459-1),"")</f>
        <v/>
      </c>
      <c r="J459" s="6">
        <f>IF(AND(ISNUMBER(F459),ISNUMBER(E459)),100*(F459/E459-1),"")</f>
        <v/>
      </c>
      <c r="K459" s="6">
        <f>IF(AND(ISNUMBER(G459),ISNUMBER(H459)),100*G459/H459,"")</f>
        <v/>
      </c>
    </row>
    <row r="460">
      <c r="A460" s="4" t="inlineStr">
        <is>
          <t>46180</t>
        </is>
      </c>
      <c r="B460" s="4" t="inlineStr">
        <is>
          <t>Novetlè</t>
        </is>
      </c>
      <c r="C460" s="4" t="n">
        <v>861</v>
      </c>
      <c r="D460" s="4" t="n">
        <v>873</v>
      </c>
      <c r="E460" s="4" t="n"/>
      <c r="F460" s="4" t="n"/>
      <c r="G460" s="4" t="n"/>
      <c r="H460" s="4" t="n">
        <v>465</v>
      </c>
      <c r="I460" s="6">
        <f>IF(AND(ISNUMBER(D460),C460&gt;0),100*(D460/C460-1),"")</f>
        <v/>
      </c>
      <c r="J460" s="6">
        <f>IF(AND(ISNUMBER(F460),ISNUMBER(E460)),100*(F460/E460-1),"")</f>
        <v/>
      </c>
      <c r="K460" s="6">
        <f>IF(AND(ISNUMBER(G460),ISNUMBER(H460)),100*G460/H460,"")</f>
        <v/>
      </c>
    </row>
    <row r="461">
      <c r="A461" s="4" t="inlineStr">
        <is>
          <t>46181</t>
        </is>
      </c>
      <c r="B461" s="4" t="inlineStr">
        <is>
          <t>Oliva</t>
        </is>
      </c>
      <c r="C461" s="4" t="n">
        <v>25394</v>
      </c>
      <c r="D461" s="4" t="n">
        <v>26820</v>
      </c>
      <c r="E461" s="4" t="n">
        <v>3.1818</v>
      </c>
      <c r="F461" s="4" t="n">
        <v>4.386</v>
      </c>
      <c r="G461" s="4" t="n"/>
      <c r="H461" s="4" t="n">
        <v>19698</v>
      </c>
      <c r="I461" s="6">
        <f>IF(AND(ISNUMBER(D461),C461&gt;0),100*(D461/C461-1),"")</f>
        <v/>
      </c>
      <c r="J461" s="6">
        <f>IF(AND(ISNUMBER(F461),ISNUMBER(E461)),100*(F461/E461-1),"")</f>
        <v/>
      </c>
      <c r="K461" s="6">
        <f>IF(AND(ISNUMBER(G461),ISNUMBER(H461)),100*G461/H461,"")</f>
        <v/>
      </c>
    </row>
    <row r="462">
      <c r="A462" s="4" t="inlineStr">
        <is>
          <t>46182</t>
        </is>
      </c>
      <c r="B462" s="4" t="inlineStr">
        <is>
          <t>Olocau</t>
        </is>
      </c>
      <c r="C462" s="4" t="n">
        <v>2020</v>
      </c>
      <c r="D462" s="4" t="n">
        <v>2533</v>
      </c>
      <c r="E462" s="4" t="n"/>
      <c r="F462" s="4" t="n"/>
      <c r="G462" s="4" t="n"/>
      <c r="H462" s="4" t="n">
        <v>1801</v>
      </c>
      <c r="I462" s="6">
        <f>IF(AND(ISNUMBER(D462),C462&gt;0),100*(D462/C462-1),"")</f>
        <v/>
      </c>
      <c r="J462" s="6">
        <f>IF(AND(ISNUMBER(F462),ISNUMBER(E462)),100*(F462/E462-1),"")</f>
        <v/>
      </c>
      <c r="K462" s="6">
        <f>IF(AND(ISNUMBER(G462),ISNUMBER(H462)),100*G462/H462,"")</f>
        <v/>
      </c>
    </row>
    <row r="463">
      <c r="A463" s="4" t="inlineStr">
        <is>
          <t>46183</t>
        </is>
      </c>
      <c r="B463" s="4" t="inlineStr">
        <is>
          <t>Olleria, l'</t>
        </is>
      </c>
      <c r="C463" s="4" t="n">
        <v>8400</v>
      </c>
      <c r="D463" s="4" t="n">
        <v>8928</v>
      </c>
      <c r="E463" s="4" t="n">
        <v>2.3657</v>
      </c>
      <c r="F463" s="4" t="n">
        <v>3.3431</v>
      </c>
      <c r="G463" s="4" t="n"/>
      <c r="H463" s="4" t="n">
        <v>4843</v>
      </c>
      <c r="I463" s="6">
        <f>IF(AND(ISNUMBER(D463),C463&gt;0),100*(D463/C463-1),"")</f>
        <v/>
      </c>
      <c r="J463" s="6">
        <f>IF(AND(ISNUMBER(F463),ISNUMBER(E463)),100*(F463/E463-1),"")</f>
        <v/>
      </c>
      <c r="K463" s="6">
        <f>IF(AND(ISNUMBER(G463),ISNUMBER(H463)),100*G463/H463,"")</f>
        <v/>
      </c>
    </row>
    <row r="464">
      <c r="A464" s="4" t="inlineStr">
        <is>
          <t>46184</t>
        </is>
      </c>
      <c r="B464" s="4" t="inlineStr">
        <is>
          <t>Ontinyent</t>
        </is>
      </c>
      <c r="C464" s="4" t="n">
        <v>35902</v>
      </c>
      <c r="D464" s="4" t="n">
        <v>36847</v>
      </c>
      <c r="E464" s="4" t="n">
        <v>3.0921</v>
      </c>
      <c r="F464" s="4" t="n">
        <v>4.125</v>
      </c>
      <c r="G464" s="4" t="n"/>
      <c r="H464" s="4" t="n">
        <v>19208</v>
      </c>
      <c r="I464" s="6">
        <f>IF(AND(ISNUMBER(D464),C464&gt;0),100*(D464/C464-1),"")</f>
        <v/>
      </c>
      <c r="J464" s="6">
        <f>IF(AND(ISNUMBER(F464),ISNUMBER(E464)),100*(F464/E464-1),"")</f>
        <v/>
      </c>
      <c r="K464" s="6">
        <f>IF(AND(ISNUMBER(G464),ISNUMBER(H464)),100*G464/H464,"")</f>
        <v/>
      </c>
    </row>
    <row r="465">
      <c r="A465" s="4" t="inlineStr">
        <is>
          <t>46185</t>
        </is>
      </c>
      <c r="B465" s="4" t="inlineStr">
        <is>
          <t>Otos</t>
        </is>
      </c>
      <c r="C465" s="4" t="n">
        <v>428</v>
      </c>
      <c r="D465" s="4" t="n">
        <v>442</v>
      </c>
      <c r="E465" s="4" t="n"/>
      <c r="F465" s="4" t="n"/>
      <c r="G465" s="4" t="n"/>
      <c r="H465" s="4" t="n">
        <v>254</v>
      </c>
      <c r="I465" s="6">
        <f>IF(AND(ISNUMBER(D465),C465&gt;0),100*(D465/C465-1),"")</f>
        <v/>
      </c>
      <c r="J465" s="6">
        <f>IF(AND(ISNUMBER(F465),ISNUMBER(E465)),100*(F465/E465-1),"")</f>
        <v/>
      </c>
      <c r="K465" s="6">
        <f>IF(AND(ISNUMBER(G465),ISNUMBER(H465)),100*G465/H465,"")</f>
        <v/>
      </c>
    </row>
    <row r="466">
      <c r="A466" s="4" t="inlineStr">
        <is>
          <t>46186</t>
        </is>
      </c>
      <c r="B466" s="4" t="inlineStr">
        <is>
          <t>Paiporta</t>
        </is>
      </c>
      <c r="C466" s="4" t="n">
        <v>26617</v>
      </c>
      <c r="D466" s="4" t="n">
        <v>28237</v>
      </c>
      <c r="E466" s="4" t="n">
        <v>4.5</v>
      </c>
      <c r="F466" s="4" t="n">
        <v>6.1321</v>
      </c>
      <c r="G466" s="4" t="n"/>
      <c r="H466" s="4" t="n">
        <v>11794</v>
      </c>
      <c r="I466" s="6">
        <f>IF(AND(ISNUMBER(D466),C466&gt;0),100*(D466/C466-1),"")</f>
        <v/>
      </c>
      <c r="J466" s="6">
        <f>IF(AND(ISNUMBER(F466),ISNUMBER(E466)),100*(F466/E466-1),"")</f>
        <v/>
      </c>
      <c r="K466" s="6">
        <f>IF(AND(ISNUMBER(G466),ISNUMBER(H466)),100*G466/H466,"")</f>
        <v/>
      </c>
    </row>
    <row r="467">
      <c r="A467" s="4" t="inlineStr">
        <is>
          <t>46187</t>
        </is>
      </c>
      <c r="B467" s="4" t="inlineStr">
        <is>
          <t>Palma de Gandía</t>
        </is>
      </c>
      <c r="C467" s="4" t="n">
        <v>1669</v>
      </c>
      <c r="D467" s="4" t="n">
        <v>1895</v>
      </c>
      <c r="E467" s="4" t="n"/>
      <c r="F467" s="4" t="n"/>
      <c r="G467" s="4" t="n"/>
      <c r="H467" s="4" t="n">
        <v>1432</v>
      </c>
      <c r="I467" s="6">
        <f>IF(AND(ISNUMBER(D467),C467&gt;0),100*(D467/C467-1),"")</f>
        <v/>
      </c>
      <c r="J467" s="6">
        <f>IF(AND(ISNUMBER(F467),ISNUMBER(E467)),100*(F467/E467-1),"")</f>
        <v/>
      </c>
      <c r="K467" s="6">
        <f>IF(AND(ISNUMBER(G467),ISNUMBER(H467)),100*G467/H467,"")</f>
        <v/>
      </c>
    </row>
    <row r="468">
      <c r="A468" s="4" t="inlineStr">
        <is>
          <t>46188</t>
        </is>
      </c>
      <c r="B468" s="4" t="inlineStr">
        <is>
          <t>Palmera</t>
        </is>
      </c>
      <c r="C468" s="4" t="n">
        <v>1022</v>
      </c>
      <c r="D468" s="4" t="n">
        <v>1030</v>
      </c>
      <c r="E468" s="4" t="n">
        <v>2.8986</v>
      </c>
      <c r="F468" s="4" t="n">
        <v>4.5209</v>
      </c>
      <c r="G468" s="4" t="n"/>
      <c r="H468" s="4" t="n">
        <v>476</v>
      </c>
      <c r="I468" s="6">
        <f>IF(AND(ISNUMBER(D468),C468&gt;0),100*(D468/C468-1),"")</f>
        <v/>
      </c>
      <c r="J468" s="6">
        <f>IF(AND(ISNUMBER(F468),ISNUMBER(E468)),100*(F468/E468-1),"")</f>
        <v/>
      </c>
      <c r="K468" s="6">
        <f>IF(AND(ISNUMBER(G468),ISNUMBER(H468)),100*G468/H468,"")</f>
        <v/>
      </c>
    </row>
    <row r="469">
      <c r="A469" s="4" t="inlineStr">
        <is>
          <t>46189</t>
        </is>
      </c>
      <c r="B469" s="4" t="inlineStr">
        <is>
          <t>Palomar, el</t>
        </is>
      </c>
      <c r="C469" s="4" t="n">
        <v>579</v>
      </c>
      <c r="D469" s="4" t="n">
        <v>605</v>
      </c>
      <c r="E469" s="4" t="n"/>
      <c r="F469" s="4" t="n"/>
      <c r="G469" s="4" t="n"/>
      <c r="H469" s="4" t="n">
        <v>415</v>
      </c>
      <c r="I469" s="6">
        <f>IF(AND(ISNUMBER(D469),C469&gt;0),100*(D469/C469-1),"")</f>
        <v/>
      </c>
      <c r="J469" s="6">
        <f>IF(AND(ISNUMBER(F469),ISNUMBER(E469)),100*(F469/E469-1),"")</f>
        <v/>
      </c>
      <c r="K469" s="6">
        <f>IF(AND(ISNUMBER(G469),ISNUMBER(H469)),100*G469/H469,"")</f>
        <v/>
      </c>
    </row>
    <row r="470">
      <c r="A470" s="4" t="inlineStr">
        <is>
          <t>46190</t>
        </is>
      </c>
      <c r="B470" s="4" t="inlineStr">
        <is>
          <t>Paterna</t>
        </is>
      </c>
      <c r="C470" s="4" t="n">
        <v>71328</v>
      </c>
      <c r="D470" s="4" t="n">
        <v>75805</v>
      </c>
      <c r="E470" s="4" t="n">
        <v>4.9505</v>
      </c>
      <c r="F470" s="4" t="n">
        <v>6.6176</v>
      </c>
      <c r="G470" s="4" t="n"/>
      <c r="H470" s="4" t="n">
        <v>31903</v>
      </c>
      <c r="I470" s="6">
        <f>IF(AND(ISNUMBER(D470),C470&gt;0),100*(D470/C470-1),"")</f>
        <v/>
      </c>
      <c r="J470" s="6">
        <f>IF(AND(ISNUMBER(F470),ISNUMBER(E470)),100*(F470/E470-1),"")</f>
        <v/>
      </c>
      <c r="K470" s="6">
        <f>IF(AND(ISNUMBER(G470),ISNUMBER(H470)),100*G470/H470,"")</f>
        <v/>
      </c>
    </row>
    <row r="471">
      <c r="A471" s="4" t="inlineStr">
        <is>
          <t>46191</t>
        </is>
      </c>
      <c r="B471" s="4" t="inlineStr">
        <is>
          <t>Pedralba</t>
        </is>
      </c>
      <c r="C471" s="4" t="n">
        <v>2847</v>
      </c>
      <c r="D471" s="4" t="n">
        <v>3244</v>
      </c>
      <c r="E471" s="4" t="n">
        <v>2.8141</v>
      </c>
      <c r="F471" s="4" t="n">
        <v>4.0191</v>
      </c>
      <c r="G471" s="4" t="n"/>
      <c r="H471" s="4" t="n">
        <v>1549</v>
      </c>
      <c r="I471" s="6">
        <f>IF(AND(ISNUMBER(D471),C471&gt;0),100*(D471/C471-1),"")</f>
        <v/>
      </c>
      <c r="J471" s="6">
        <f>IF(AND(ISNUMBER(F471),ISNUMBER(E471)),100*(F471/E471-1),"")</f>
        <v/>
      </c>
      <c r="K471" s="6">
        <f>IF(AND(ISNUMBER(G471),ISNUMBER(H471)),100*G471/H471,"")</f>
        <v/>
      </c>
    </row>
    <row r="472">
      <c r="A472" s="4" t="inlineStr">
        <is>
          <t>46192</t>
        </is>
      </c>
      <c r="B472" s="4" t="inlineStr">
        <is>
          <t>Petrés</t>
        </is>
      </c>
      <c r="C472" s="4" t="n">
        <v>1009</v>
      </c>
      <c r="D472" s="4" t="n">
        <v>1130</v>
      </c>
      <c r="E472" s="4" t="n">
        <v>2.9703</v>
      </c>
      <c r="F472" s="4" t="n">
        <v>4.0736</v>
      </c>
      <c r="G472" s="4" t="n"/>
      <c r="H472" s="4" t="n">
        <v>734</v>
      </c>
      <c r="I472" s="6">
        <f>IF(AND(ISNUMBER(D472),C472&gt;0),100*(D472/C472-1),"")</f>
        <v/>
      </c>
      <c r="J472" s="6">
        <f>IF(AND(ISNUMBER(F472),ISNUMBER(E472)),100*(F472/E472-1),"")</f>
        <v/>
      </c>
      <c r="K472" s="6">
        <f>IF(AND(ISNUMBER(G472),ISNUMBER(H472)),100*G472/H472,"")</f>
        <v/>
      </c>
    </row>
    <row r="473">
      <c r="A473" s="4" t="inlineStr">
        <is>
          <t>46193</t>
        </is>
      </c>
      <c r="B473" s="4" t="inlineStr">
        <is>
          <t>Picanya</t>
        </is>
      </c>
      <c r="C473" s="4" t="n">
        <v>11720</v>
      </c>
      <c r="D473" s="4" t="n">
        <v>11899</v>
      </c>
      <c r="E473" s="4" t="n">
        <v>4.2105</v>
      </c>
      <c r="F473" s="4" t="n">
        <v>5.8442</v>
      </c>
      <c r="G473" s="4" t="n"/>
      <c r="H473" s="4" t="n">
        <v>4856</v>
      </c>
      <c r="I473" s="6">
        <f>IF(AND(ISNUMBER(D473),C473&gt;0),100*(D473/C473-1),"")</f>
        <v/>
      </c>
      <c r="J473" s="6">
        <f>IF(AND(ISNUMBER(F473),ISNUMBER(E473)),100*(F473/E473-1),"")</f>
        <v/>
      </c>
      <c r="K473" s="6">
        <f>IF(AND(ISNUMBER(G473),ISNUMBER(H473)),100*G473/H473,"")</f>
        <v/>
      </c>
    </row>
    <row r="474">
      <c r="A474" s="4" t="inlineStr">
        <is>
          <t>46194</t>
        </is>
      </c>
      <c r="B474" s="4" t="inlineStr">
        <is>
          <t>Picassent</t>
        </is>
      </c>
      <c r="C474" s="4" t="n">
        <v>21543</v>
      </c>
      <c r="D474" s="4" t="n">
        <v>23157</v>
      </c>
      <c r="E474" s="4" t="n">
        <v>3.8961</v>
      </c>
      <c r="F474" s="4" t="n">
        <v>5.3138</v>
      </c>
      <c r="G474" s="4" t="n"/>
      <c r="H474" s="4" t="n">
        <v>11513</v>
      </c>
      <c r="I474" s="6">
        <f>IF(AND(ISNUMBER(D474),C474&gt;0),100*(D474/C474-1),"")</f>
        <v/>
      </c>
      <c r="J474" s="6">
        <f>IF(AND(ISNUMBER(F474),ISNUMBER(E474)),100*(F474/E474-1),"")</f>
        <v/>
      </c>
      <c r="K474" s="6">
        <f>IF(AND(ISNUMBER(G474),ISNUMBER(H474)),100*G474/H474,"")</f>
        <v/>
      </c>
    </row>
    <row r="475">
      <c r="A475" s="4" t="inlineStr">
        <is>
          <t>46195</t>
        </is>
      </c>
      <c r="B475" s="4" t="inlineStr">
        <is>
          <t>Piles</t>
        </is>
      </c>
      <c r="C475" s="4" t="n">
        <v>2770</v>
      </c>
      <c r="D475" s="4" t="n">
        <v>3202</v>
      </c>
      <c r="E475" s="4" t="n">
        <v>3.7234</v>
      </c>
      <c r="F475" s="4" t="n">
        <v>4.6814</v>
      </c>
      <c r="G475" s="4" t="n"/>
      <c r="H475" s="4" t="n">
        <v>3741</v>
      </c>
      <c r="I475" s="6">
        <f>IF(AND(ISNUMBER(D475),C475&gt;0),100*(D475/C475-1),"")</f>
        <v/>
      </c>
      <c r="J475" s="6">
        <f>IF(AND(ISNUMBER(F475),ISNUMBER(E475)),100*(F475/E475-1),"")</f>
        <v/>
      </c>
      <c r="K475" s="6">
        <f>IF(AND(ISNUMBER(G475),ISNUMBER(H475)),100*G475/H475,"")</f>
        <v/>
      </c>
    </row>
    <row r="476">
      <c r="A476" s="4" t="inlineStr">
        <is>
          <t>46196</t>
        </is>
      </c>
      <c r="B476" s="4" t="inlineStr">
        <is>
          <t>Pinet</t>
        </is>
      </c>
      <c r="C476" s="4" t="n">
        <v>158</v>
      </c>
      <c r="D476" s="4" t="n">
        <v>158</v>
      </c>
      <c r="E476" s="4" t="n"/>
      <c r="F476" s="4" t="n"/>
      <c r="G476" s="4" t="n"/>
      <c r="H476" s="4" t="n">
        <v>100</v>
      </c>
      <c r="I476" s="6">
        <f>IF(AND(ISNUMBER(D476),C476&gt;0),100*(D476/C476-1),"")</f>
        <v/>
      </c>
      <c r="J476" s="6">
        <f>IF(AND(ISNUMBER(F476),ISNUMBER(E476)),100*(F476/E476-1),"")</f>
        <v/>
      </c>
      <c r="K476" s="6">
        <f>IF(AND(ISNUMBER(G476),ISNUMBER(H476)),100*G476/H476,"")</f>
        <v/>
      </c>
    </row>
    <row r="477">
      <c r="A477" s="4" t="inlineStr">
        <is>
          <t>46197</t>
        </is>
      </c>
      <c r="B477" s="4" t="inlineStr">
        <is>
          <t>Polinyà de Xúquer</t>
        </is>
      </c>
      <c r="C477" s="4" t="n">
        <v>2514</v>
      </c>
      <c r="D477" s="4" t="n">
        <v>2578</v>
      </c>
      <c r="E477" s="4" t="n">
        <v>3.0488</v>
      </c>
      <c r="F477" s="4" t="n">
        <v>4.0429</v>
      </c>
      <c r="G477" s="4" t="n"/>
      <c r="H477" s="4" t="n">
        <v>1434</v>
      </c>
      <c r="I477" s="6">
        <f>IF(AND(ISNUMBER(D477),C477&gt;0),100*(D477/C477-1),"")</f>
        <v/>
      </c>
      <c r="J477" s="6">
        <f>IF(AND(ISNUMBER(F477),ISNUMBER(E477)),100*(F477/E477-1),"")</f>
        <v/>
      </c>
      <c r="K477" s="6">
        <f>IF(AND(ISNUMBER(G477),ISNUMBER(H477)),100*G477/H477,"")</f>
        <v/>
      </c>
    </row>
    <row r="478">
      <c r="A478" s="4" t="inlineStr">
        <is>
          <t>46198</t>
        </is>
      </c>
      <c r="B478" s="4" t="inlineStr">
        <is>
          <t>Potries</t>
        </is>
      </c>
      <c r="C478" s="4" t="n">
        <v>1056</v>
      </c>
      <c r="D478" s="4" t="n">
        <v>1142</v>
      </c>
      <c r="E478" s="4" t="n">
        <v>3.0763</v>
      </c>
      <c r="F478" s="4" t="n">
        <v>3.7473</v>
      </c>
      <c r="G478" s="4" t="n"/>
      <c r="H478" s="4" t="n">
        <v>678</v>
      </c>
      <c r="I478" s="6">
        <f>IF(AND(ISNUMBER(D478),C478&gt;0),100*(D478/C478-1),"")</f>
        <v/>
      </c>
      <c r="J478" s="6">
        <f>IF(AND(ISNUMBER(F478),ISNUMBER(E478)),100*(F478/E478-1),"")</f>
        <v/>
      </c>
      <c r="K478" s="6">
        <f>IF(AND(ISNUMBER(G478),ISNUMBER(H478)),100*G478/H478,"")</f>
        <v/>
      </c>
    </row>
    <row r="479">
      <c r="A479" s="4" t="inlineStr">
        <is>
          <t>46199</t>
        </is>
      </c>
      <c r="B479" s="4" t="inlineStr">
        <is>
          <t>Pobla de Farnals, la</t>
        </is>
      </c>
      <c r="C479" s="4" t="n">
        <v>8294</v>
      </c>
      <c r="D479" s="4" t="n">
        <v>9428</v>
      </c>
      <c r="E479" s="4" t="n">
        <v>5.2727</v>
      </c>
      <c r="F479" s="4" t="n">
        <v>7.4996</v>
      </c>
      <c r="G479" s="4" t="n"/>
      <c r="H479" s="4" t="n">
        <v>7926</v>
      </c>
      <c r="I479" s="6">
        <f>IF(AND(ISNUMBER(D479),C479&gt;0),100*(D479/C479-1),"")</f>
        <v/>
      </c>
      <c r="J479" s="6">
        <f>IF(AND(ISNUMBER(F479),ISNUMBER(E479)),100*(F479/E479-1),"")</f>
        <v/>
      </c>
      <c r="K479" s="6">
        <f>IF(AND(ISNUMBER(G479),ISNUMBER(H479)),100*G479/H479,"")</f>
        <v/>
      </c>
    </row>
    <row r="480">
      <c r="A480" s="4" t="inlineStr">
        <is>
          <t>46200</t>
        </is>
      </c>
      <c r="B480" s="4" t="inlineStr">
        <is>
          <t>Pobla del Duc, la</t>
        </is>
      </c>
      <c r="C480" s="4" t="n">
        <v>2470</v>
      </c>
      <c r="D480" s="4" t="n">
        <v>2441</v>
      </c>
      <c r="E480" s="4" t="n">
        <v>2.5426</v>
      </c>
      <c r="F480" s="4" t="n">
        <v>2.8409</v>
      </c>
      <c r="G480" s="4" t="n"/>
      <c r="H480" s="4" t="n">
        <v>1176</v>
      </c>
      <c r="I480" s="6">
        <f>IF(AND(ISNUMBER(D480),C480&gt;0),100*(D480/C480-1),"")</f>
        <v/>
      </c>
      <c r="J480" s="6">
        <f>IF(AND(ISNUMBER(F480),ISNUMBER(E480)),100*(F480/E480-1),"")</f>
        <v/>
      </c>
      <c r="K480" s="6">
        <f>IF(AND(ISNUMBER(G480),ISNUMBER(H480)),100*G480/H480,"")</f>
        <v/>
      </c>
    </row>
    <row r="481">
      <c r="A481" s="4" t="inlineStr">
        <is>
          <t>46201</t>
        </is>
      </c>
      <c r="B481" s="4" t="inlineStr">
        <is>
          <t>Puebla de San Miguel</t>
        </is>
      </c>
      <c r="C481" s="4" t="n">
        <v>59</v>
      </c>
      <c r="D481" s="4" t="n">
        <v>53</v>
      </c>
      <c r="E481" s="4" t="n"/>
      <c r="F481" s="4" t="n"/>
      <c r="G481" s="4" t="n"/>
      <c r="H481" s="4" t="n">
        <v>146</v>
      </c>
      <c r="I481" s="6">
        <f>IF(AND(ISNUMBER(D481),C481&gt;0),100*(D481/C481-1),"")</f>
        <v/>
      </c>
      <c r="J481" s="6">
        <f>IF(AND(ISNUMBER(F481),ISNUMBER(E481)),100*(F481/E481-1),"")</f>
        <v/>
      </c>
      <c r="K481" s="6">
        <f>IF(AND(ISNUMBER(G481),ISNUMBER(H481)),100*G481/H481,"")</f>
        <v/>
      </c>
    </row>
    <row r="482">
      <c r="A482" s="4" t="inlineStr">
        <is>
          <t>46202</t>
        </is>
      </c>
      <c r="B482" s="4" t="inlineStr">
        <is>
          <t>Pobla de Vallbona, la</t>
        </is>
      </c>
      <c r="C482" s="4" t="n">
        <v>25552</v>
      </c>
      <c r="D482" s="4" t="n">
        <v>27777</v>
      </c>
      <c r="E482" s="4" t="n">
        <v>4.0583</v>
      </c>
      <c r="F482" s="4" t="n">
        <v>5.8824</v>
      </c>
      <c r="G482" s="4" t="n"/>
      <c r="H482" s="4" t="n">
        <v>11980</v>
      </c>
      <c r="I482" s="6">
        <f>IF(AND(ISNUMBER(D482),C482&gt;0),100*(D482/C482-1),"")</f>
        <v/>
      </c>
      <c r="J482" s="6">
        <f>IF(AND(ISNUMBER(F482),ISNUMBER(E482)),100*(F482/E482-1),"")</f>
        <v/>
      </c>
      <c r="K482" s="6">
        <f>IF(AND(ISNUMBER(G482),ISNUMBER(H482)),100*G482/H482,"")</f>
        <v/>
      </c>
    </row>
    <row r="483">
      <c r="A483" s="4" t="inlineStr">
        <is>
          <t>46203</t>
        </is>
      </c>
      <c r="B483" s="4" t="inlineStr">
        <is>
          <t>Pobla Llarga, la</t>
        </is>
      </c>
      <c r="C483" s="4" t="n">
        <v>4422</v>
      </c>
      <c r="D483" s="4" t="n">
        <v>4665</v>
      </c>
      <c r="E483" s="4" t="n">
        <v>2.9661</v>
      </c>
      <c r="F483" s="4" t="n">
        <v>3.7143</v>
      </c>
      <c r="G483" s="4" t="n"/>
      <c r="H483" s="4" t="n">
        <v>2458</v>
      </c>
      <c r="I483" s="6">
        <f>IF(AND(ISNUMBER(D483),C483&gt;0),100*(D483/C483-1),"")</f>
        <v/>
      </c>
      <c r="J483" s="6">
        <f>IF(AND(ISNUMBER(F483),ISNUMBER(E483)),100*(F483/E483-1),"")</f>
        <v/>
      </c>
      <c r="K483" s="6">
        <f>IF(AND(ISNUMBER(G483),ISNUMBER(H483)),100*G483/H483,"")</f>
        <v/>
      </c>
    </row>
    <row r="484">
      <c r="A484" s="4" t="inlineStr">
        <is>
          <t>46204</t>
        </is>
      </c>
      <c r="B484" s="4" t="inlineStr">
        <is>
          <t>Puig de Santa Maria, el</t>
        </is>
      </c>
      <c r="C484" s="4" t="n">
        <v>8716</v>
      </c>
      <c r="D484" s="4" t="n">
        <v>9450</v>
      </c>
      <c r="E484" s="4" t="n">
        <v>4.8289</v>
      </c>
      <c r="F484" s="4" t="n">
        <v>6.7167</v>
      </c>
      <c r="G484" s="4" t="n"/>
      <c r="H484" s="4" t="n">
        <v>6716</v>
      </c>
      <c r="I484" s="6">
        <f>IF(AND(ISNUMBER(D484),C484&gt;0),100*(D484/C484-1),"")</f>
        <v/>
      </c>
      <c r="J484" s="6">
        <f>IF(AND(ISNUMBER(F484),ISNUMBER(E484)),100*(F484/E484-1),"")</f>
        <v/>
      </c>
      <c r="K484" s="6">
        <f>IF(AND(ISNUMBER(G484),ISNUMBER(H484)),100*G484/H484,"")</f>
        <v/>
      </c>
    </row>
    <row r="485">
      <c r="A485" s="4" t="inlineStr">
        <is>
          <t>46205</t>
        </is>
      </c>
      <c r="B485" s="4" t="inlineStr">
        <is>
          <t>Puçol</t>
        </is>
      </c>
      <c r="C485" s="4" t="n">
        <v>19951</v>
      </c>
      <c r="D485" s="4" t="n">
        <v>21685</v>
      </c>
      <c r="E485" s="4" t="n">
        <v>4.3689</v>
      </c>
      <c r="F485" s="4" t="n">
        <v>6.43</v>
      </c>
      <c r="G485" s="4" t="n"/>
      <c r="H485" s="4" t="n">
        <v>10642</v>
      </c>
      <c r="I485" s="6">
        <f>IF(AND(ISNUMBER(D485),C485&gt;0),100*(D485/C485-1),"")</f>
        <v/>
      </c>
      <c r="J485" s="6">
        <f>IF(AND(ISNUMBER(F485),ISNUMBER(E485)),100*(F485/E485-1),"")</f>
        <v/>
      </c>
      <c r="K485" s="6">
        <f>IF(AND(ISNUMBER(G485),ISNUMBER(H485)),100*G485/H485,"")</f>
        <v/>
      </c>
    </row>
    <row r="486">
      <c r="A486" s="4" t="inlineStr">
        <is>
          <t>46206</t>
        </is>
      </c>
      <c r="B486" s="4" t="inlineStr">
        <is>
          <t>Quesa</t>
        </is>
      </c>
      <c r="C486" s="4" t="n">
        <v>669</v>
      </c>
      <c r="D486" s="4" t="n">
        <v>699</v>
      </c>
      <c r="E486" s="4" t="n">
        <v>1.1602</v>
      </c>
      <c r="F486" s="4" t="n">
        <v>1.874</v>
      </c>
      <c r="G486" s="4" t="n"/>
      <c r="H486" s="4" t="n">
        <v>517</v>
      </c>
      <c r="I486" s="6">
        <f>IF(AND(ISNUMBER(D486),C486&gt;0),100*(D486/C486-1),"")</f>
        <v/>
      </c>
      <c r="J486" s="6">
        <f>IF(AND(ISNUMBER(F486),ISNUMBER(E486)),100*(F486/E486-1),"")</f>
        <v/>
      </c>
      <c r="K486" s="6">
        <f>IF(AND(ISNUMBER(G486),ISNUMBER(H486)),100*G486/H486,"")</f>
        <v/>
      </c>
    </row>
    <row r="487">
      <c r="A487" s="4" t="inlineStr">
        <is>
          <t>46207</t>
        </is>
      </c>
      <c r="B487" s="4" t="inlineStr">
        <is>
          <t>Rafelbunyol</t>
        </is>
      </c>
      <c r="C487" s="4" t="n">
        <v>9344</v>
      </c>
      <c r="D487" s="4" t="n">
        <v>9956</v>
      </c>
      <c r="E487" s="4" t="n">
        <v>4.8611</v>
      </c>
      <c r="F487" s="4" t="n">
        <v>6.7444</v>
      </c>
      <c r="G487" s="4" t="n"/>
      <c r="H487" s="4" t="n">
        <v>4415</v>
      </c>
      <c r="I487" s="6">
        <f>IF(AND(ISNUMBER(D487),C487&gt;0),100*(D487/C487-1),"")</f>
        <v/>
      </c>
      <c r="J487" s="6">
        <f>IF(AND(ISNUMBER(F487),ISNUMBER(E487)),100*(F487/E487-1),"")</f>
        <v/>
      </c>
      <c r="K487" s="6">
        <f>IF(AND(ISNUMBER(G487),ISNUMBER(H487)),100*G487/H487,"")</f>
        <v/>
      </c>
    </row>
    <row r="488">
      <c r="A488" s="4" t="inlineStr">
        <is>
          <t>46208</t>
        </is>
      </c>
      <c r="B488" s="4" t="inlineStr">
        <is>
          <t>Rafelcofer</t>
        </is>
      </c>
      <c r="C488" s="4" t="n">
        <v>1371</v>
      </c>
      <c r="D488" s="4" t="n">
        <v>1418</v>
      </c>
      <c r="E488" s="4" t="n"/>
      <c r="F488" s="4" t="n">
        <v>4.1292</v>
      </c>
      <c r="G488" s="4" t="n"/>
      <c r="H488" s="4" t="n">
        <v>787</v>
      </c>
      <c r="I488" s="6">
        <f>IF(AND(ISNUMBER(D488),C488&gt;0),100*(D488/C488-1),"")</f>
        <v/>
      </c>
      <c r="J488" s="6">
        <f>IF(AND(ISNUMBER(F488),ISNUMBER(E488)),100*(F488/E488-1),"")</f>
        <v/>
      </c>
      <c r="K488" s="6">
        <f>IF(AND(ISNUMBER(G488),ISNUMBER(H488)),100*G488/H488,"")</f>
        <v/>
      </c>
    </row>
    <row r="489">
      <c r="A489" s="4" t="inlineStr">
        <is>
          <t>46209</t>
        </is>
      </c>
      <c r="B489" s="4" t="inlineStr">
        <is>
          <t>Rafelguaraf</t>
        </is>
      </c>
      <c r="C489" s="4" t="n">
        <v>2359</v>
      </c>
      <c r="D489" s="4" t="n">
        <v>2396</v>
      </c>
      <c r="E489" s="4" t="n"/>
      <c r="F489" s="4" t="n">
        <v>3.701</v>
      </c>
      <c r="G489" s="4" t="n"/>
      <c r="H489" s="4" t="n">
        <v>1531</v>
      </c>
      <c r="I489" s="6">
        <f>IF(AND(ISNUMBER(D489),C489&gt;0),100*(D489/C489-1),"")</f>
        <v/>
      </c>
      <c r="J489" s="6">
        <f>IF(AND(ISNUMBER(F489),ISNUMBER(E489)),100*(F489/E489-1),"")</f>
        <v/>
      </c>
      <c r="K489" s="6">
        <f>IF(AND(ISNUMBER(G489),ISNUMBER(H489)),100*G489/H489,"")</f>
        <v/>
      </c>
    </row>
    <row r="490">
      <c r="A490" s="4" t="inlineStr">
        <is>
          <t>46210</t>
        </is>
      </c>
      <c r="B490" s="4" t="inlineStr">
        <is>
          <t>Ráfol de Salem</t>
        </is>
      </c>
      <c r="C490" s="4" t="n">
        <v>448</v>
      </c>
      <c r="D490" s="4" t="n">
        <v>462</v>
      </c>
      <c r="E490" s="4" t="n"/>
      <c r="F490" s="4" t="n"/>
      <c r="G490" s="4" t="n"/>
      <c r="H490" s="4" t="n">
        <v>261</v>
      </c>
      <c r="I490" s="6">
        <f>IF(AND(ISNUMBER(D490),C490&gt;0),100*(D490/C490-1),"")</f>
        <v/>
      </c>
      <c r="J490" s="6">
        <f>IF(AND(ISNUMBER(F490),ISNUMBER(E490)),100*(F490/E490-1),"")</f>
        <v/>
      </c>
      <c r="K490" s="6">
        <f>IF(AND(ISNUMBER(G490),ISNUMBER(H490)),100*G490/H490,"")</f>
        <v/>
      </c>
    </row>
    <row r="491">
      <c r="A491" s="4" t="inlineStr">
        <is>
          <t>46211</t>
        </is>
      </c>
      <c r="B491" s="4" t="inlineStr">
        <is>
          <t>Real de Gandia, el</t>
        </is>
      </c>
      <c r="C491" s="4" t="n">
        <v>2555</v>
      </c>
      <c r="D491" s="4" t="n">
        <v>2723</v>
      </c>
      <c r="E491" s="4" t="n">
        <v>3.7469</v>
      </c>
      <c r="F491" s="4" t="n">
        <v>4.3307</v>
      </c>
      <c r="G491" s="4" t="n"/>
      <c r="H491" s="4" t="n">
        <v>1209</v>
      </c>
      <c r="I491" s="6">
        <f>IF(AND(ISNUMBER(D491),C491&gt;0),100*(D491/C491-1),"")</f>
        <v/>
      </c>
      <c r="J491" s="6">
        <f>IF(AND(ISNUMBER(F491),ISNUMBER(E491)),100*(F491/E491-1),"")</f>
        <v/>
      </c>
      <c r="K491" s="6">
        <f>IF(AND(ISNUMBER(G491),ISNUMBER(H491)),100*G491/H491,"")</f>
        <v/>
      </c>
    </row>
    <row r="492">
      <c r="A492" s="4" t="inlineStr">
        <is>
          <t>46212</t>
        </is>
      </c>
      <c r="B492" s="4" t="inlineStr">
        <is>
          <t>Real</t>
        </is>
      </c>
      <c r="C492" s="4" t="n">
        <v>2271</v>
      </c>
      <c r="D492" s="4" t="n">
        <v>2524</v>
      </c>
      <c r="E492" s="4" t="n">
        <v>3.2353</v>
      </c>
      <c r="F492" s="4" t="n">
        <v>4.3478</v>
      </c>
      <c r="G492" s="4" t="n"/>
      <c r="H492" s="4" t="n">
        <v>1458</v>
      </c>
      <c r="I492" s="6">
        <f>IF(AND(ISNUMBER(D492),C492&gt;0),100*(D492/C492-1),"")</f>
        <v/>
      </c>
      <c r="J492" s="6">
        <f>IF(AND(ISNUMBER(F492),ISNUMBER(E492)),100*(F492/E492-1),"")</f>
        <v/>
      </c>
      <c r="K492" s="6">
        <f>IF(AND(ISNUMBER(G492),ISNUMBER(H492)),100*G492/H492,"")</f>
        <v/>
      </c>
    </row>
    <row r="493">
      <c r="A493" s="4" t="inlineStr">
        <is>
          <t>46213</t>
        </is>
      </c>
      <c r="B493" s="4" t="inlineStr">
        <is>
          <t>Requena</t>
        </is>
      </c>
      <c r="C493" s="4" t="n">
        <v>20444</v>
      </c>
      <c r="D493" s="4" t="n">
        <v>21050</v>
      </c>
      <c r="E493" s="4" t="n">
        <v>3.197</v>
      </c>
      <c r="F493" s="4" t="n">
        <v>3.9179</v>
      </c>
      <c r="G493" s="4" t="n"/>
      <c r="H493" s="4" t="n">
        <v>14500</v>
      </c>
      <c r="I493" s="6">
        <f>IF(AND(ISNUMBER(D493),C493&gt;0),100*(D493/C493-1),"")</f>
        <v/>
      </c>
      <c r="J493" s="6">
        <f>IF(AND(ISNUMBER(F493),ISNUMBER(E493)),100*(F493/E493-1),"")</f>
        <v/>
      </c>
      <c r="K493" s="6">
        <f>IF(AND(ISNUMBER(G493),ISNUMBER(H493)),100*G493/H493,"")</f>
        <v/>
      </c>
    </row>
    <row r="494">
      <c r="A494" s="4" t="inlineStr">
        <is>
          <t>46214</t>
        </is>
      </c>
      <c r="B494" s="4" t="inlineStr">
        <is>
          <t>Riba-roja de Túria</t>
        </is>
      </c>
      <c r="C494" s="4" t="n">
        <v>22931</v>
      </c>
      <c r="D494" s="4" t="n">
        <v>24609</v>
      </c>
      <c r="E494" s="4" t="n">
        <v>3.9562</v>
      </c>
      <c r="F494" s="4" t="n">
        <v>5.491</v>
      </c>
      <c r="G494" s="4" t="n"/>
      <c r="H494" s="4" t="n">
        <v>10961</v>
      </c>
      <c r="I494" s="6">
        <f>IF(AND(ISNUMBER(D494),C494&gt;0),100*(D494/C494-1),"")</f>
        <v/>
      </c>
      <c r="J494" s="6">
        <f>IF(AND(ISNUMBER(F494),ISNUMBER(E494)),100*(F494/E494-1),"")</f>
        <v/>
      </c>
      <c r="K494" s="6">
        <f>IF(AND(ISNUMBER(G494),ISNUMBER(H494)),100*G494/H494,"")</f>
        <v/>
      </c>
    </row>
    <row r="495">
      <c r="A495" s="4" t="inlineStr">
        <is>
          <t>46215</t>
        </is>
      </c>
      <c r="B495" s="4" t="inlineStr">
        <is>
          <t>Riola</t>
        </is>
      </c>
      <c r="C495" s="4" t="n">
        <v>1781</v>
      </c>
      <c r="D495" s="4" t="n">
        <v>1819</v>
      </c>
      <c r="E495" s="4" t="n"/>
      <c r="F495" s="4" t="n">
        <v>2.8799</v>
      </c>
      <c r="G495" s="4" t="n"/>
      <c r="H495" s="4" t="n">
        <v>973</v>
      </c>
      <c r="I495" s="6">
        <f>IF(AND(ISNUMBER(D495),C495&gt;0),100*(D495/C495-1),"")</f>
        <v/>
      </c>
      <c r="J495" s="6">
        <f>IF(AND(ISNUMBER(F495),ISNUMBER(E495)),100*(F495/E495-1),"")</f>
        <v/>
      </c>
      <c r="K495" s="6">
        <f>IF(AND(ISNUMBER(G495),ISNUMBER(H495)),100*G495/H495,"")</f>
        <v/>
      </c>
    </row>
    <row r="496">
      <c r="A496" s="4" t="inlineStr">
        <is>
          <t>46216</t>
        </is>
      </c>
      <c r="B496" s="4" t="inlineStr">
        <is>
          <t>Rocafort</t>
        </is>
      </c>
      <c r="C496" s="4" t="n">
        <v>7442</v>
      </c>
      <c r="D496" s="4" t="n">
        <v>7810</v>
      </c>
      <c r="E496" s="4" t="n">
        <v>5.3402</v>
      </c>
      <c r="F496" s="4" t="n">
        <v>6.9512</v>
      </c>
      <c r="G496" s="4" t="n"/>
      <c r="H496" s="4" t="n">
        <v>3107</v>
      </c>
      <c r="I496" s="6">
        <f>IF(AND(ISNUMBER(D496),C496&gt;0),100*(D496/C496-1),"")</f>
        <v/>
      </c>
      <c r="J496" s="6">
        <f>IF(AND(ISNUMBER(F496),ISNUMBER(E496)),100*(F496/E496-1),"")</f>
        <v/>
      </c>
      <c r="K496" s="6">
        <f>IF(AND(ISNUMBER(G496),ISNUMBER(H496)),100*G496/H496,"")</f>
        <v/>
      </c>
    </row>
    <row r="497">
      <c r="A497" s="4" t="inlineStr">
        <is>
          <t>46217</t>
        </is>
      </c>
      <c r="B497" s="4" t="inlineStr">
        <is>
          <t>Rotglà i Corberà</t>
        </is>
      </c>
      <c r="C497" s="4" t="n">
        <v>1140</v>
      </c>
      <c r="D497" s="4" t="n">
        <v>1177</v>
      </c>
      <c r="E497" s="4" t="n"/>
      <c r="F497" s="4" t="n"/>
      <c r="G497" s="4" t="n"/>
      <c r="H497" s="4" t="n">
        <v>697</v>
      </c>
      <c r="I497" s="6">
        <f>IF(AND(ISNUMBER(D497),C497&gt;0),100*(D497/C497-1),"")</f>
        <v/>
      </c>
      <c r="J497" s="6">
        <f>IF(AND(ISNUMBER(F497),ISNUMBER(E497)),100*(F497/E497-1),"")</f>
        <v/>
      </c>
      <c r="K497" s="6">
        <f>IF(AND(ISNUMBER(G497),ISNUMBER(H497)),100*G497/H497,"")</f>
        <v/>
      </c>
    </row>
    <row r="498">
      <c r="A498" s="4" t="inlineStr">
        <is>
          <t>46218</t>
        </is>
      </c>
      <c r="B498" s="4" t="inlineStr">
        <is>
          <t>Ròtova</t>
        </is>
      </c>
      <c r="C498" s="4" t="n">
        <v>1272</v>
      </c>
      <c r="D498" s="4" t="n">
        <v>1290</v>
      </c>
      <c r="E498" s="4" t="n">
        <v>2.7759</v>
      </c>
      <c r="F498" s="4" t="n">
        <v>3.442</v>
      </c>
      <c r="G498" s="4" t="n"/>
      <c r="H498" s="4" t="n">
        <v>783</v>
      </c>
      <c r="I498" s="6">
        <f>IF(AND(ISNUMBER(D498),C498&gt;0),100*(D498/C498-1),"")</f>
        <v/>
      </c>
      <c r="J498" s="6">
        <f>IF(AND(ISNUMBER(F498),ISNUMBER(E498)),100*(F498/E498-1),"")</f>
        <v/>
      </c>
      <c r="K498" s="6">
        <f>IF(AND(ISNUMBER(G498),ISNUMBER(H498)),100*G498/H498,"")</f>
        <v/>
      </c>
    </row>
    <row r="499">
      <c r="A499" s="4" t="inlineStr">
        <is>
          <t>46219</t>
        </is>
      </c>
      <c r="B499" s="4" t="inlineStr">
        <is>
          <t>Rugat</t>
        </is>
      </c>
      <c r="C499" s="4" t="n">
        <v>180</v>
      </c>
      <c r="D499" s="4" t="n">
        <v>172</v>
      </c>
      <c r="E499" s="4" t="n"/>
      <c r="F499" s="4" t="n"/>
      <c r="G499" s="4" t="n"/>
      <c r="H499" s="4" t="n">
        <v>97</v>
      </c>
      <c r="I499" s="6">
        <f>IF(AND(ISNUMBER(D499),C499&gt;0),100*(D499/C499-1),"")</f>
        <v/>
      </c>
      <c r="J499" s="6">
        <f>IF(AND(ISNUMBER(F499),ISNUMBER(E499)),100*(F499/E499-1),"")</f>
        <v/>
      </c>
      <c r="K499" s="6">
        <f>IF(AND(ISNUMBER(G499),ISNUMBER(H499)),100*G499/H499,"")</f>
        <v/>
      </c>
    </row>
    <row r="500">
      <c r="A500" s="4" t="inlineStr">
        <is>
          <t>46220</t>
        </is>
      </c>
      <c r="B500" s="4" t="inlineStr">
        <is>
          <t>Sagunt/Sagunto</t>
        </is>
      </c>
      <c r="C500" s="4" t="n">
        <v>67326</v>
      </c>
      <c r="D500" s="4" t="n">
        <v>73416</v>
      </c>
      <c r="E500" s="4" t="n">
        <v>4.0204</v>
      </c>
      <c r="F500" s="4" t="n">
        <v>5.971</v>
      </c>
      <c r="G500" s="4" t="n"/>
      <c r="H500" s="4" t="n">
        <v>40456</v>
      </c>
      <c r="I500" s="6">
        <f>IF(AND(ISNUMBER(D500),C500&gt;0),100*(D500/C500-1),"")</f>
        <v/>
      </c>
      <c r="J500" s="6">
        <f>IF(AND(ISNUMBER(F500),ISNUMBER(E500)),100*(F500/E500-1),"")</f>
        <v/>
      </c>
      <c r="K500" s="6">
        <f>IF(AND(ISNUMBER(G500),ISNUMBER(H500)),100*G500/H500,"")</f>
        <v/>
      </c>
    </row>
    <row r="501">
      <c r="A501" s="4" t="inlineStr">
        <is>
          <t>46221</t>
        </is>
      </c>
      <c r="B501" s="4" t="inlineStr">
        <is>
          <t>Salem</t>
        </is>
      </c>
      <c r="C501" s="4" t="n">
        <v>417</v>
      </c>
      <c r="D501" s="4" t="n">
        <v>411</v>
      </c>
      <c r="E501" s="4" t="n"/>
      <c r="F501" s="4" t="n"/>
      <c r="G501" s="4" t="n"/>
      <c r="H501" s="4" t="n">
        <v>245</v>
      </c>
      <c r="I501" s="6">
        <f>IF(AND(ISNUMBER(D501),C501&gt;0),100*(D501/C501-1),"")</f>
        <v/>
      </c>
      <c r="J501" s="6">
        <f>IF(AND(ISNUMBER(F501),ISNUMBER(E501)),100*(F501/E501-1),"")</f>
        <v/>
      </c>
      <c r="K501" s="6">
        <f>IF(AND(ISNUMBER(G501),ISNUMBER(H501)),100*G501/H501,"")</f>
        <v/>
      </c>
    </row>
    <row r="502">
      <c r="A502" s="4" t="inlineStr">
        <is>
          <t>46222</t>
        </is>
      </c>
      <c r="B502" s="4" t="inlineStr">
        <is>
          <t>Sant Joanet</t>
        </is>
      </c>
      <c r="C502" s="4" t="n">
        <v>519</v>
      </c>
      <c r="D502" s="4" t="n">
        <v>527</v>
      </c>
      <c r="E502" s="4" t="n"/>
      <c r="F502" s="4" t="n"/>
      <c r="G502" s="4" t="n"/>
      <c r="H502" s="4" t="n">
        <v>254</v>
      </c>
      <c r="I502" s="6">
        <f>IF(AND(ISNUMBER(D502),C502&gt;0),100*(D502/C502-1),"")</f>
        <v/>
      </c>
      <c r="J502" s="6">
        <f>IF(AND(ISNUMBER(F502),ISNUMBER(E502)),100*(F502/E502-1),"")</f>
        <v/>
      </c>
      <c r="K502" s="6">
        <f>IF(AND(ISNUMBER(G502),ISNUMBER(H502)),100*G502/H502,"")</f>
        <v/>
      </c>
    </row>
    <row r="503">
      <c r="A503" s="4" t="inlineStr">
        <is>
          <t>46223</t>
        </is>
      </c>
      <c r="B503" s="4" t="inlineStr">
        <is>
          <t>Sedaví</t>
        </is>
      </c>
      <c r="C503" s="4" t="n">
        <v>10352</v>
      </c>
      <c r="D503" s="4" t="n">
        <v>10862</v>
      </c>
      <c r="E503" s="4" t="n">
        <v>4.5387</v>
      </c>
      <c r="F503" s="4" t="n">
        <v>6.0408</v>
      </c>
      <c r="G503" s="4" t="n"/>
      <c r="H503" s="4" t="n">
        <v>4548</v>
      </c>
      <c r="I503" s="6">
        <f>IF(AND(ISNUMBER(D503),C503&gt;0),100*(D503/C503-1),"")</f>
        <v/>
      </c>
      <c r="J503" s="6">
        <f>IF(AND(ISNUMBER(F503),ISNUMBER(E503)),100*(F503/E503-1),"")</f>
        <v/>
      </c>
      <c r="K503" s="6">
        <f>IF(AND(ISNUMBER(G503),ISNUMBER(H503)),100*G503/H503,"")</f>
        <v/>
      </c>
    </row>
    <row r="504">
      <c r="A504" s="4" t="inlineStr">
        <is>
          <t>46224</t>
        </is>
      </c>
      <c r="B504" s="4" t="inlineStr">
        <is>
          <t>Segart</t>
        </is>
      </c>
      <c r="C504" s="4" t="n">
        <v>177</v>
      </c>
      <c r="D504" s="4" t="n">
        <v>183</v>
      </c>
      <c r="E504" s="4" t="n"/>
      <c r="F504" s="4" t="n"/>
      <c r="G504" s="4" t="n"/>
      <c r="H504" s="4" t="n">
        <v>201</v>
      </c>
      <c r="I504" s="6">
        <f>IF(AND(ISNUMBER(D504),C504&gt;0),100*(D504/C504-1),"")</f>
        <v/>
      </c>
      <c r="J504" s="6">
        <f>IF(AND(ISNUMBER(F504),ISNUMBER(E504)),100*(F504/E504-1),"")</f>
        <v/>
      </c>
      <c r="K504" s="6">
        <f>IF(AND(ISNUMBER(G504),ISNUMBER(H504)),100*G504/H504,"")</f>
        <v/>
      </c>
    </row>
    <row r="505">
      <c r="A505" s="4" t="inlineStr">
        <is>
          <t>46225</t>
        </is>
      </c>
      <c r="B505" s="4" t="inlineStr">
        <is>
          <t>Sellent</t>
        </is>
      </c>
      <c r="C505" s="4" t="n">
        <v>381</v>
      </c>
      <c r="D505" s="4" t="n">
        <v>386</v>
      </c>
      <c r="E505" s="4" t="n"/>
      <c r="F505" s="4" t="n"/>
      <c r="G505" s="4" t="n"/>
      <c r="H505" s="4" t="n">
        <v>235</v>
      </c>
      <c r="I505" s="6">
        <f>IF(AND(ISNUMBER(D505),C505&gt;0),100*(D505/C505-1),"")</f>
        <v/>
      </c>
      <c r="J505" s="6">
        <f>IF(AND(ISNUMBER(F505),ISNUMBER(E505)),100*(F505/E505-1),"")</f>
        <v/>
      </c>
      <c r="K505" s="6">
        <f>IF(AND(ISNUMBER(G505),ISNUMBER(H505)),100*G505/H505,"")</f>
        <v/>
      </c>
    </row>
    <row r="506">
      <c r="A506" s="4" t="inlineStr">
        <is>
          <t>46226</t>
        </is>
      </c>
      <c r="B506" s="4" t="inlineStr">
        <is>
          <t>Sempere</t>
        </is>
      </c>
      <c r="C506" s="4" t="n">
        <v>26</v>
      </c>
      <c r="D506" s="4" t="n">
        <v>33</v>
      </c>
      <c r="E506" s="4" t="n"/>
      <c r="F506" s="4" t="n"/>
      <c r="G506" s="4" t="n"/>
      <c r="H506" s="4" t="n">
        <v>37</v>
      </c>
      <c r="I506" s="6">
        <f>IF(AND(ISNUMBER(D506),C506&gt;0),100*(D506/C506-1),"")</f>
        <v/>
      </c>
      <c r="J506" s="6">
        <f>IF(AND(ISNUMBER(F506),ISNUMBER(E506)),100*(F506/E506-1),"")</f>
        <v/>
      </c>
      <c r="K506" s="6">
        <f>IF(AND(ISNUMBER(G506),ISNUMBER(H506)),100*G506/H506,"")</f>
        <v/>
      </c>
    </row>
    <row r="507">
      <c r="A507" s="4" t="inlineStr">
        <is>
          <t>46227</t>
        </is>
      </c>
      <c r="B507" s="4" t="inlineStr">
        <is>
          <t>Senyera</t>
        </is>
      </c>
      <c r="C507" s="4" t="n">
        <v>1134</v>
      </c>
      <c r="D507" s="4" t="n">
        <v>1115</v>
      </c>
      <c r="E507" s="4" t="n"/>
      <c r="F507" s="4" t="n"/>
      <c r="G507" s="4" t="n"/>
      <c r="H507" s="4" t="n">
        <v>506</v>
      </c>
      <c r="I507" s="6">
        <f>IF(AND(ISNUMBER(D507),C507&gt;0),100*(D507/C507-1),"")</f>
        <v/>
      </c>
      <c r="J507" s="6">
        <f>IF(AND(ISNUMBER(F507),ISNUMBER(E507)),100*(F507/E507-1),"")</f>
        <v/>
      </c>
      <c r="K507" s="6">
        <f>IF(AND(ISNUMBER(G507),ISNUMBER(H507)),100*G507/H507,"")</f>
        <v/>
      </c>
    </row>
    <row r="508">
      <c r="A508" s="4" t="inlineStr">
        <is>
          <t>46228</t>
        </is>
      </c>
      <c r="B508" s="4" t="inlineStr">
        <is>
          <t>Serra</t>
        </is>
      </c>
      <c r="C508" s="4" t="n">
        <v>3339</v>
      </c>
      <c r="D508" s="4" t="n">
        <v>3760</v>
      </c>
      <c r="E508" s="4" t="n">
        <v>3.5607</v>
      </c>
      <c r="F508" s="4" t="n">
        <v>4.607</v>
      </c>
      <c r="G508" s="4" t="n"/>
      <c r="H508" s="4" t="n">
        <v>2814</v>
      </c>
      <c r="I508" s="6">
        <f>IF(AND(ISNUMBER(D508),C508&gt;0),100*(D508/C508-1),"")</f>
        <v/>
      </c>
      <c r="J508" s="6">
        <f>IF(AND(ISNUMBER(F508),ISNUMBER(E508)),100*(F508/E508-1),"")</f>
        <v/>
      </c>
      <c r="K508" s="6">
        <f>IF(AND(ISNUMBER(G508),ISNUMBER(H508)),100*G508/H508,"")</f>
        <v/>
      </c>
    </row>
    <row r="509">
      <c r="A509" s="4" t="inlineStr">
        <is>
          <t>46229</t>
        </is>
      </c>
      <c r="B509" s="4" t="inlineStr">
        <is>
          <t>Siete Aguas</t>
        </is>
      </c>
      <c r="C509" s="4" t="n">
        <v>1203</v>
      </c>
      <c r="D509" s="4" t="n">
        <v>1330</v>
      </c>
      <c r="E509" s="4" t="n">
        <v>2.9913</v>
      </c>
      <c r="F509" s="4" t="n">
        <v>3.8879</v>
      </c>
      <c r="G509" s="4" t="n"/>
      <c r="H509" s="4" t="n">
        <v>1851</v>
      </c>
      <c r="I509" s="6">
        <f>IF(AND(ISNUMBER(D509),C509&gt;0),100*(D509/C509-1),"")</f>
        <v/>
      </c>
      <c r="J509" s="6">
        <f>IF(AND(ISNUMBER(F509),ISNUMBER(E509)),100*(F509/E509-1),"")</f>
        <v/>
      </c>
      <c r="K509" s="6">
        <f>IF(AND(ISNUMBER(G509),ISNUMBER(H509)),100*G509/H509,"")</f>
        <v/>
      </c>
    </row>
    <row r="510">
      <c r="A510" s="4" t="inlineStr">
        <is>
          <t>46230</t>
        </is>
      </c>
      <c r="B510" s="4" t="inlineStr">
        <is>
          <t>Silla</t>
        </is>
      </c>
      <c r="C510" s="4" t="n">
        <v>19216</v>
      </c>
      <c r="D510" s="4" t="n">
        <v>20484</v>
      </c>
      <c r="E510" s="4" t="n">
        <v>3.9474</v>
      </c>
      <c r="F510" s="4" t="n">
        <v>5.5357</v>
      </c>
      <c r="G510" s="4" t="n"/>
      <c r="H510" s="4" t="n">
        <v>8808</v>
      </c>
      <c r="I510" s="6">
        <f>IF(AND(ISNUMBER(D510),C510&gt;0),100*(D510/C510-1),"")</f>
        <v/>
      </c>
      <c r="J510" s="6">
        <f>IF(AND(ISNUMBER(F510),ISNUMBER(E510)),100*(F510/E510-1),"")</f>
        <v/>
      </c>
      <c r="K510" s="6">
        <f>IF(AND(ISNUMBER(G510),ISNUMBER(H510)),100*G510/H510,"")</f>
        <v/>
      </c>
    </row>
    <row r="511">
      <c r="A511" s="4" t="inlineStr">
        <is>
          <t>46231</t>
        </is>
      </c>
      <c r="B511" s="4" t="inlineStr">
        <is>
          <t>Simat de la Valldigna</t>
        </is>
      </c>
      <c r="C511" s="4" t="n">
        <v>3307</v>
      </c>
      <c r="D511" s="4" t="n">
        <v>3336</v>
      </c>
      <c r="E511" s="4" t="n">
        <v>2.8418</v>
      </c>
      <c r="F511" s="4" t="n">
        <v>3.3272</v>
      </c>
      <c r="G511" s="4" t="n"/>
      <c r="H511" s="4" t="n">
        <v>2420</v>
      </c>
      <c r="I511" s="6">
        <f>IF(AND(ISNUMBER(D511),C511&gt;0),100*(D511/C511-1),"")</f>
        <v/>
      </c>
      <c r="J511" s="6">
        <f>IF(AND(ISNUMBER(F511),ISNUMBER(E511)),100*(F511/E511-1),"")</f>
        <v/>
      </c>
      <c r="K511" s="6">
        <f>IF(AND(ISNUMBER(G511),ISNUMBER(H511)),100*G511/H511,"")</f>
        <v/>
      </c>
    </row>
    <row r="512">
      <c r="A512" s="4" t="inlineStr">
        <is>
          <t>46232</t>
        </is>
      </c>
      <c r="B512" s="4" t="inlineStr">
        <is>
          <t>Sinarcas</t>
        </is>
      </c>
      <c r="C512" s="4" t="n">
        <v>1105</v>
      </c>
      <c r="D512" s="4" t="n">
        <v>1177</v>
      </c>
      <c r="E512" s="4" t="n"/>
      <c r="F512" s="4" t="n">
        <v>2.5253</v>
      </c>
      <c r="G512" s="4" t="n"/>
      <c r="H512" s="4" t="n">
        <v>882</v>
      </c>
      <c r="I512" s="6">
        <f>IF(AND(ISNUMBER(D512),C512&gt;0),100*(D512/C512-1),"")</f>
        <v/>
      </c>
      <c r="J512" s="6">
        <f>IF(AND(ISNUMBER(F512),ISNUMBER(E512)),100*(F512/E512-1),"")</f>
        <v/>
      </c>
      <c r="K512" s="6">
        <f>IF(AND(ISNUMBER(G512),ISNUMBER(H512)),100*G512/H512,"")</f>
        <v/>
      </c>
    </row>
    <row r="513">
      <c r="A513" s="4" t="inlineStr">
        <is>
          <t>46233</t>
        </is>
      </c>
      <c r="B513" s="4" t="inlineStr">
        <is>
          <t>Sollana</t>
        </is>
      </c>
      <c r="C513" s="4" t="n">
        <v>4903</v>
      </c>
      <c r="D513" s="4" t="n">
        <v>5099</v>
      </c>
      <c r="E513" s="4" t="n">
        <v>3.4211</v>
      </c>
      <c r="F513" s="4" t="n">
        <v>4.1994</v>
      </c>
      <c r="G513" s="4" t="n"/>
      <c r="H513" s="4" t="n">
        <v>2754</v>
      </c>
      <c r="I513" s="6">
        <f>IF(AND(ISNUMBER(D513),C513&gt;0),100*(D513/C513-1),"")</f>
        <v/>
      </c>
      <c r="J513" s="6">
        <f>IF(AND(ISNUMBER(F513),ISNUMBER(E513)),100*(F513/E513-1),"")</f>
        <v/>
      </c>
      <c r="K513" s="6">
        <f>IF(AND(ISNUMBER(G513),ISNUMBER(H513)),100*G513/H513,"")</f>
        <v/>
      </c>
    </row>
    <row r="514">
      <c r="A514" s="4" t="inlineStr">
        <is>
          <t>46234</t>
        </is>
      </c>
      <c r="B514" s="4" t="inlineStr">
        <is>
          <t>Sot de Chera</t>
        </is>
      </c>
      <c r="C514" s="4" t="n">
        <v>371</v>
      </c>
      <c r="D514" s="4" t="n">
        <v>430</v>
      </c>
      <c r="E514" s="4" t="n"/>
      <c r="F514" s="4" t="n">
        <v>4.5614</v>
      </c>
      <c r="G514" s="4" t="n"/>
      <c r="H514" s="4" t="n">
        <v>620</v>
      </c>
      <c r="I514" s="6">
        <f>IF(AND(ISNUMBER(D514),C514&gt;0),100*(D514/C514-1),"")</f>
        <v/>
      </c>
      <c r="J514" s="6">
        <f>IF(AND(ISNUMBER(F514),ISNUMBER(E514)),100*(F514/E514-1),"")</f>
        <v/>
      </c>
      <c r="K514" s="6">
        <f>IF(AND(ISNUMBER(G514),ISNUMBER(H514)),100*G514/H514,"")</f>
        <v/>
      </c>
    </row>
    <row r="515">
      <c r="A515" s="4" t="inlineStr">
        <is>
          <t>46235</t>
        </is>
      </c>
      <c r="B515" s="4" t="inlineStr">
        <is>
          <t>Sueca</t>
        </is>
      </c>
      <c r="C515" s="4" t="n">
        <v>27922</v>
      </c>
      <c r="D515" s="4" t="n">
        <v>29544</v>
      </c>
      <c r="E515" s="4" t="n">
        <v>3.4091</v>
      </c>
      <c r="F515" s="4" t="n">
        <v>4.4248</v>
      </c>
      <c r="G515" s="4" t="n"/>
      <c r="H515" s="4" t="n">
        <v>23088</v>
      </c>
      <c r="I515" s="6">
        <f>IF(AND(ISNUMBER(D515),C515&gt;0),100*(D515/C515-1),"")</f>
        <v/>
      </c>
      <c r="J515" s="6">
        <f>IF(AND(ISNUMBER(F515),ISNUMBER(E515)),100*(F515/E515-1),"")</f>
        <v/>
      </c>
      <c r="K515" s="6">
        <f>IF(AND(ISNUMBER(G515),ISNUMBER(H515)),100*G515/H515,"")</f>
        <v/>
      </c>
    </row>
    <row r="516">
      <c r="A516" s="4" t="inlineStr">
        <is>
          <t>46236</t>
        </is>
      </c>
      <c r="B516" s="4" t="inlineStr">
        <is>
          <t>Sumacàrcer</t>
        </is>
      </c>
      <c r="C516" s="4" t="n">
        <v>1073</v>
      </c>
      <c r="D516" s="4" t="n">
        <v>1021</v>
      </c>
      <c r="E516" s="4" t="n"/>
      <c r="F516" s="4" t="n"/>
      <c r="G516" s="4" t="n"/>
      <c r="H516" s="4" t="n">
        <v>746</v>
      </c>
      <c r="I516" s="6">
        <f>IF(AND(ISNUMBER(D516),C516&gt;0),100*(D516/C516-1),"")</f>
        <v/>
      </c>
      <c r="J516" s="6">
        <f>IF(AND(ISNUMBER(F516),ISNUMBER(E516)),100*(F516/E516-1),"")</f>
        <v/>
      </c>
      <c r="K516" s="6">
        <f>IF(AND(ISNUMBER(G516),ISNUMBER(H516)),100*G516/H516,"")</f>
        <v/>
      </c>
    </row>
    <row r="517">
      <c r="A517" s="4" t="inlineStr">
        <is>
          <t>46237</t>
        </is>
      </c>
      <c r="B517" s="4" t="inlineStr">
        <is>
          <t>Tavernes Blanques</t>
        </is>
      </c>
      <c r="C517" s="4" t="n">
        <v>9202</v>
      </c>
      <c r="D517" s="4" t="n">
        <v>9789</v>
      </c>
      <c r="E517" s="4" t="n">
        <v>3.9928</v>
      </c>
      <c r="F517" s="4" t="n">
        <v>5.5827</v>
      </c>
      <c r="G517" s="4" t="n"/>
      <c r="H517" s="4" t="n">
        <v>4337</v>
      </c>
      <c r="I517" s="6">
        <f>IF(AND(ISNUMBER(D517),C517&gt;0),100*(D517/C517-1),"")</f>
        <v/>
      </c>
      <c r="J517" s="6">
        <f>IF(AND(ISNUMBER(F517),ISNUMBER(E517)),100*(F517/E517-1),"")</f>
        <v/>
      </c>
      <c r="K517" s="6">
        <f>IF(AND(ISNUMBER(G517),ISNUMBER(H517)),100*G517/H517,"")</f>
        <v/>
      </c>
    </row>
    <row r="518">
      <c r="A518" s="4" t="inlineStr">
        <is>
          <t>46238</t>
        </is>
      </c>
      <c r="B518" s="4" t="inlineStr">
        <is>
          <t>Tavernes de la Valldigna</t>
        </is>
      </c>
      <c r="C518" s="4" t="n">
        <v>17129</v>
      </c>
      <c r="D518" s="4" t="n">
        <v>17933</v>
      </c>
      <c r="E518" s="4" t="n">
        <v>2.9301</v>
      </c>
      <c r="F518" s="4" t="n">
        <v>3.7037</v>
      </c>
      <c r="G518" s="4" t="n"/>
      <c r="H518" s="4" t="n">
        <v>14613</v>
      </c>
      <c r="I518" s="6">
        <f>IF(AND(ISNUMBER(D518),C518&gt;0),100*(D518/C518-1),"")</f>
        <v/>
      </c>
      <c r="J518" s="6">
        <f>IF(AND(ISNUMBER(F518),ISNUMBER(E518)),100*(F518/E518-1),"")</f>
        <v/>
      </c>
      <c r="K518" s="6">
        <f>IF(AND(ISNUMBER(G518),ISNUMBER(H518)),100*G518/H518,"")</f>
        <v/>
      </c>
    </row>
    <row r="519">
      <c r="A519" s="4" t="inlineStr">
        <is>
          <t>46239</t>
        </is>
      </c>
      <c r="B519" s="4" t="inlineStr">
        <is>
          <t>Teresa de Cofrentes</t>
        </is>
      </c>
      <c r="C519" s="4" t="n">
        <v>620</v>
      </c>
      <c r="D519" s="4" t="n">
        <v>618</v>
      </c>
      <c r="E519" s="4" t="n"/>
      <c r="F519" s="4" t="n"/>
      <c r="G519" s="4" t="n"/>
      <c r="H519" s="4" t="n">
        <v>618</v>
      </c>
      <c r="I519" s="6">
        <f>IF(AND(ISNUMBER(D519),C519&gt;0),100*(D519/C519-1),"")</f>
        <v/>
      </c>
      <c r="J519" s="6">
        <f>IF(AND(ISNUMBER(F519),ISNUMBER(E519)),100*(F519/E519-1),"")</f>
        <v/>
      </c>
      <c r="K519" s="6">
        <f>IF(AND(ISNUMBER(G519),ISNUMBER(H519)),100*G519/H519,"")</f>
        <v/>
      </c>
    </row>
    <row r="520">
      <c r="A520" s="4" t="inlineStr">
        <is>
          <t>46240</t>
        </is>
      </c>
      <c r="B520" s="4" t="inlineStr">
        <is>
          <t>Terrateig</t>
        </is>
      </c>
      <c r="C520" s="4" t="n">
        <v>274</v>
      </c>
      <c r="D520" s="4" t="n">
        <v>287</v>
      </c>
      <c r="E520" s="4" t="n"/>
      <c r="F520" s="4" t="n"/>
      <c r="G520" s="4" t="n"/>
      <c r="H520" s="4" t="n">
        <v>207</v>
      </c>
      <c r="I520" s="6">
        <f>IF(AND(ISNUMBER(D520),C520&gt;0),100*(D520/C520-1),"")</f>
        <v/>
      </c>
      <c r="J520" s="6">
        <f>IF(AND(ISNUMBER(F520),ISNUMBER(E520)),100*(F520/E520-1),"")</f>
        <v/>
      </c>
      <c r="K520" s="6">
        <f>IF(AND(ISNUMBER(G520),ISNUMBER(H520)),100*G520/H520,"")</f>
        <v/>
      </c>
    </row>
    <row r="521">
      <c r="A521" s="4" t="inlineStr">
        <is>
          <t>46241</t>
        </is>
      </c>
      <c r="B521" s="4" t="inlineStr">
        <is>
          <t>Titaguas</t>
        </is>
      </c>
      <c r="C521" s="4" t="n">
        <v>471</v>
      </c>
      <c r="D521" s="4" t="n">
        <v>519</v>
      </c>
      <c r="E521" s="4" t="n"/>
      <c r="F521" s="4" t="n"/>
      <c r="G521" s="4" t="n"/>
      <c r="H521" s="4" t="n">
        <v>590</v>
      </c>
      <c r="I521" s="6">
        <f>IF(AND(ISNUMBER(D521),C521&gt;0),100*(D521/C521-1),"")</f>
        <v/>
      </c>
      <c r="J521" s="6">
        <f>IF(AND(ISNUMBER(F521),ISNUMBER(E521)),100*(F521/E521-1),"")</f>
        <v/>
      </c>
      <c r="K521" s="6">
        <f>IF(AND(ISNUMBER(G521),ISNUMBER(H521)),100*G521/H521,"")</f>
        <v/>
      </c>
    </row>
    <row r="522">
      <c r="A522" s="4" t="inlineStr">
        <is>
          <t>46242</t>
        </is>
      </c>
      <c r="B522" s="4" t="inlineStr">
        <is>
          <t>Torrebaja</t>
        </is>
      </c>
      <c r="C522" s="4" t="n">
        <v>403</v>
      </c>
      <c r="D522" s="4" t="n">
        <v>402</v>
      </c>
      <c r="E522" s="4" t="n"/>
      <c r="F522" s="4" t="n"/>
      <c r="G522" s="4" t="n"/>
      <c r="H522" s="4" t="n">
        <v>456</v>
      </c>
      <c r="I522" s="6">
        <f>IF(AND(ISNUMBER(D522),C522&gt;0),100*(D522/C522-1),"")</f>
        <v/>
      </c>
      <c r="J522" s="6">
        <f>IF(AND(ISNUMBER(F522),ISNUMBER(E522)),100*(F522/E522-1),"")</f>
        <v/>
      </c>
      <c r="K522" s="6">
        <f>IF(AND(ISNUMBER(G522),ISNUMBER(H522)),100*G522/H522,"")</f>
        <v/>
      </c>
    </row>
    <row r="523">
      <c r="A523" s="4" t="inlineStr">
        <is>
          <t>46243</t>
        </is>
      </c>
      <c r="B523" s="4" t="inlineStr">
        <is>
          <t>Torrella</t>
        </is>
      </c>
      <c r="C523" s="4" t="n">
        <v>136</v>
      </c>
      <c r="D523" s="4" t="n">
        <v>151</v>
      </c>
      <c r="E523" s="4" t="n"/>
      <c r="F523" s="4" t="n"/>
      <c r="G523" s="4" t="n"/>
      <c r="H523" s="4" t="n">
        <v>81</v>
      </c>
      <c r="I523" s="6">
        <f>IF(AND(ISNUMBER(D523),C523&gt;0),100*(D523/C523-1),"")</f>
        <v/>
      </c>
      <c r="J523" s="6">
        <f>IF(AND(ISNUMBER(F523),ISNUMBER(E523)),100*(F523/E523-1),"")</f>
        <v/>
      </c>
      <c r="K523" s="6">
        <f>IF(AND(ISNUMBER(G523),ISNUMBER(H523)),100*G523/H523,"")</f>
        <v/>
      </c>
    </row>
    <row r="524">
      <c r="A524" s="4" t="inlineStr">
        <is>
          <t>46244</t>
        </is>
      </c>
      <c r="B524" s="4" t="inlineStr">
        <is>
          <t>Torrent</t>
        </is>
      </c>
      <c r="C524" s="4" t="n">
        <v>84325</v>
      </c>
      <c r="D524" s="4" t="n">
        <v>91353</v>
      </c>
      <c r="E524" s="4" t="n">
        <v>4.595</v>
      </c>
      <c r="F524" s="4" t="n">
        <v>6.2792</v>
      </c>
      <c r="G524" s="4" t="n"/>
      <c r="H524" s="4" t="n">
        <v>37524</v>
      </c>
      <c r="I524" s="6">
        <f>IF(AND(ISNUMBER(D524),C524&gt;0),100*(D524/C524-1),"")</f>
        <v/>
      </c>
      <c r="J524" s="6">
        <f>IF(AND(ISNUMBER(F524),ISNUMBER(E524)),100*(F524/E524-1),"")</f>
        <v/>
      </c>
      <c r="K524" s="6">
        <f>IF(AND(ISNUMBER(G524),ISNUMBER(H524)),100*G524/H524,"")</f>
        <v/>
      </c>
    </row>
    <row r="525">
      <c r="A525" s="4" t="inlineStr">
        <is>
          <t>46245</t>
        </is>
      </c>
      <c r="B525" s="4" t="inlineStr">
        <is>
          <t>Torres Torres</t>
        </is>
      </c>
      <c r="C525" s="4" t="n">
        <v>681</v>
      </c>
      <c r="D525" s="4" t="n">
        <v>808</v>
      </c>
      <c r="E525" s="4" t="n"/>
      <c r="F525" s="4" t="n"/>
      <c r="G525" s="4" t="n"/>
      <c r="H525" s="4" t="n">
        <v>838</v>
      </c>
      <c r="I525" s="6">
        <f>IF(AND(ISNUMBER(D525),C525&gt;0),100*(D525/C525-1),"")</f>
        <v/>
      </c>
      <c r="J525" s="6">
        <f>IF(AND(ISNUMBER(F525),ISNUMBER(E525)),100*(F525/E525-1),"")</f>
        <v/>
      </c>
      <c r="K525" s="6">
        <f>IF(AND(ISNUMBER(G525),ISNUMBER(H525)),100*G525/H525,"")</f>
        <v/>
      </c>
    </row>
    <row r="526">
      <c r="A526" s="4" t="inlineStr">
        <is>
          <t>46246</t>
        </is>
      </c>
      <c r="B526" s="4" t="inlineStr">
        <is>
          <t>Tous</t>
        </is>
      </c>
      <c r="C526" s="4" t="n">
        <v>1285</v>
      </c>
      <c r="D526" s="4" t="n">
        <v>1355</v>
      </c>
      <c r="E526" s="4" t="n"/>
      <c r="F526" s="4" t="n"/>
      <c r="G526" s="4" t="n"/>
      <c r="H526" s="4" t="n">
        <v>712</v>
      </c>
      <c r="I526" s="6">
        <f>IF(AND(ISNUMBER(D526),C526&gt;0),100*(D526/C526-1),"")</f>
        <v/>
      </c>
      <c r="J526" s="6">
        <f>IF(AND(ISNUMBER(F526),ISNUMBER(E526)),100*(F526/E526-1),"")</f>
        <v/>
      </c>
      <c r="K526" s="6">
        <f>IF(AND(ISNUMBER(G526),ISNUMBER(H526)),100*G526/H526,"")</f>
        <v/>
      </c>
    </row>
    <row r="527">
      <c r="A527" s="4" t="inlineStr">
        <is>
          <t>46247</t>
        </is>
      </c>
      <c r="B527" s="4" t="inlineStr">
        <is>
          <t>Tuéjar</t>
        </is>
      </c>
      <c r="C527" s="4" t="n">
        <v>1170</v>
      </c>
      <c r="D527" s="4" t="n">
        <v>1275</v>
      </c>
      <c r="E527" s="4" t="n">
        <v>3.5503</v>
      </c>
      <c r="F527" s="4" t="n">
        <v>3.75</v>
      </c>
      <c r="G527" s="4" t="n"/>
      <c r="H527" s="4" t="n">
        <v>1123</v>
      </c>
      <c r="I527" s="6">
        <f>IF(AND(ISNUMBER(D527),C527&gt;0),100*(D527/C527-1),"")</f>
        <v/>
      </c>
      <c r="J527" s="6">
        <f>IF(AND(ISNUMBER(F527),ISNUMBER(E527)),100*(F527/E527-1),"")</f>
        <v/>
      </c>
      <c r="K527" s="6">
        <f>IF(AND(ISNUMBER(G527),ISNUMBER(H527)),100*G527/H527,"")</f>
        <v/>
      </c>
    </row>
    <row r="528">
      <c r="A528" s="4" t="inlineStr">
        <is>
          <t>46248</t>
        </is>
      </c>
      <c r="B528" s="4" t="inlineStr">
        <is>
          <t>Turís</t>
        </is>
      </c>
      <c r="C528" s="4" t="n">
        <v>6903</v>
      </c>
      <c r="D528" s="4" t="n">
        <v>7709</v>
      </c>
      <c r="E528" s="4" t="n">
        <v>3.2281</v>
      </c>
      <c r="F528" s="4" t="n">
        <v>4.2705</v>
      </c>
      <c r="G528" s="4" t="n"/>
      <c r="H528" s="4" t="n">
        <v>5617</v>
      </c>
      <c r="I528" s="6">
        <f>IF(AND(ISNUMBER(D528),C528&gt;0),100*(D528/C528-1),"")</f>
        <v/>
      </c>
      <c r="J528" s="6">
        <f>IF(AND(ISNUMBER(F528),ISNUMBER(E528)),100*(F528/E528-1),"")</f>
        <v/>
      </c>
      <c r="K528" s="6">
        <f>IF(AND(ISNUMBER(G528),ISNUMBER(H528)),100*G528/H528,"")</f>
        <v/>
      </c>
    </row>
    <row r="529">
      <c r="A529" s="4" t="inlineStr">
        <is>
          <t>46249</t>
        </is>
      </c>
      <c r="B529" s="4" t="inlineStr">
        <is>
          <t>Utiel</t>
        </is>
      </c>
      <c r="C529" s="4" t="n">
        <v>11462</v>
      </c>
      <c r="D529" s="4" t="n">
        <v>11639</v>
      </c>
      <c r="E529" s="4" t="n">
        <v>3.1983</v>
      </c>
      <c r="F529" s="4" t="n">
        <v>3.9399</v>
      </c>
      <c r="G529" s="4" t="n"/>
      <c r="H529" s="4" t="n">
        <v>8063</v>
      </c>
      <c r="I529" s="6">
        <f>IF(AND(ISNUMBER(D529),C529&gt;0),100*(D529/C529-1),"")</f>
        <v/>
      </c>
      <c r="J529" s="6">
        <f>IF(AND(ISNUMBER(F529),ISNUMBER(E529)),100*(F529/E529-1),"")</f>
        <v/>
      </c>
      <c r="K529" s="6">
        <f>IF(AND(ISNUMBER(G529),ISNUMBER(H529)),100*G529/H529,"")</f>
        <v/>
      </c>
    </row>
    <row r="530">
      <c r="A530" s="4" t="inlineStr">
        <is>
          <t>46250</t>
        </is>
      </c>
      <c r="B530" s="4" t="inlineStr">
        <is>
          <t>València</t>
        </is>
      </c>
      <c r="C530" s="4" t="n">
        <v>788842</v>
      </c>
      <c r="D530" s="4" t="n">
        <v>841558</v>
      </c>
      <c r="E530" s="4" t="n">
        <v>5.8537</v>
      </c>
      <c r="F530" s="4" t="n">
        <v>8.181800000000001</v>
      </c>
      <c r="G530" s="4" t="n"/>
      <c r="H530" s="4" t="n">
        <v>419825</v>
      </c>
      <c r="I530" s="6">
        <f>IF(AND(ISNUMBER(D530),C530&gt;0),100*(D530/C530-1),"")</f>
        <v/>
      </c>
      <c r="J530" s="6">
        <f>IF(AND(ISNUMBER(F530),ISNUMBER(E530)),100*(F530/E530-1),"")</f>
        <v/>
      </c>
      <c r="K530" s="6">
        <f>IF(AND(ISNUMBER(G530),ISNUMBER(H530)),100*G530/H530,"")</f>
        <v/>
      </c>
    </row>
    <row r="531">
      <c r="A531" s="4" t="inlineStr">
        <is>
          <t>46251</t>
        </is>
      </c>
      <c r="B531" s="4" t="inlineStr">
        <is>
          <t>Vallada</t>
        </is>
      </c>
      <c r="C531" s="4" t="n">
        <v>3090</v>
      </c>
      <c r="D531" s="4" t="n">
        <v>3116</v>
      </c>
      <c r="E531" s="4" t="n">
        <v>2.1844</v>
      </c>
      <c r="F531" s="4" t="n">
        <v>2.7523</v>
      </c>
      <c r="G531" s="4" t="n"/>
      <c r="H531" s="4" t="n">
        <v>2043</v>
      </c>
      <c r="I531" s="6">
        <f>IF(AND(ISNUMBER(D531),C531&gt;0),100*(D531/C531-1),"")</f>
        <v/>
      </c>
      <c r="J531" s="6">
        <f>IF(AND(ISNUMBER(F531),ISNUMBER(E531)),100*(F531/E531-1),"")</f>
        <v/>
      </c>
      <c r="K531" s="6">
        <f>IF(AND(ISNUMBER(G531),ISNUMBER(H531)),100*G531/H531,"")</f>
        <v/>
      </c>
    </row>
    <row r="532">
      <c r="A532" s="4" t="inlineStr">
        <is>
          <t>46252</t>
        </is>
      </c>
      <c r="B532" s="4" t="inlineStr">
        <is>
          <t>Vallanca</t>
        </is>
      </c>
      <c r="C532" s="4" t="n">
        <v>135</v>
      </c>
      <c r="D532" s="4" t="n">
        <v>130</v>
      </c>
      <c r="E532" s="4" t="n"/>
      <c r="F532" s="4" t="n"/>
      <c r="G532" s="4" t="n"/>
      <c r="H532" s="4" t="n">
        <v>354</v>
      </c>
      <c r="I532" s="6">
        <f>IF(AND(ISNUMBER(D532),C532&gt;0),100*(D532/C532-1),"")</f>
        <v/>
      </c>
      <c r="J532" s="6">
        <f>IF(AND(ISNUMBER(F532),ISNUMBER(E532)),100*(F532/E532-1),"")</f>
        <v/>
      </c>
      <c r="K532" s="6">
        <f>IF(AND(ISNUMBER(G532),ISNUMBER(H532)),100*G532/H532,"")</f>
        <v/>
      </c>
    </row>
    <row r="533">
      <c r="A533" s="4" t="inlineStr">
        <is>
          <t>46253</t>
        </is>
      </c>
      <c r="B533" s="4" t="inlineStr">
        <is>
          <t>Vallés</t>
        </is>
      </c>
      <c r="C533" s="4" t="n">
        <v>154</v>
      </c>
      <c r="D533" s="4" t="n">
        <v>161</v>
      </c>
      <c r="E533" s="4" t="n"/>
      <c r="F533" s="4" t="n"/>
      <c r="G533" s="4" t="n"/>
      <c r="H533" s="4" t="n">
        <v>86</v>
      </c>
      <c r="I533" s="6">
        <f>IF(AND(ISNUMBER(D533),C533&gt;0),100*(D533/C533-1),"")</f>
        <v/>
      </c>
      <c r="J533" s="6">
        <f>IF(AND(ISNUMBER(F533),ISNUMBER(E533)),100*(F533/E533-1),"")</f>
        <v/>
      </c>
      <c r="K533" s="6">
        <f>IF(AND(ISNUMBER(G533),ISNUMBER(H533)),100*G533/H533,"")</f>
        <v/>
      </c>
    </row>
    <row r="534">
      <c r="A534" s="4" t="inlineStr">
        <is>
          <t>46254</t>
        </is>
      </c>
      <c r="B534" s="4" t="inlineStr">
        <is>
          <t>Venta del Moro</t>
        </is>
      </c>
      <c r="C534" s="4" t="n">
        <v>1189</v>
      </c>
      <c r="D534" s="4" t="n">
        <v>1166</v>
      </c>
      <c r="E534" s="4" t="n"/>
      <c r="F534" s="4" t="n"/>
      <c r="G534" s="4" t="n"/>
      <c r="H534" s="4" t="n">
        <v>1513</v>
      </c>
      <c r="I534" s="6">
        <f>IF(AND(ISNUMBER(D534),C534&gt;0),100*(D534/C534-1),"")</f>
        <v/>
      </c>
      <c r="J534" s="6">
        <f>IF(AND(ISNUMBER(F534),ISNUMBER(E534)),100*(F534/E534-1),"")</f>
        <v/>
      </c>
      <c r="K534" s="6">
        <f>IF(AND(ISNUMBER(G534),ISNUMBER(H534)),100*G534/H534,"")</f>
        <v/>
      </c>
    </row>
    <row r="535">
      <c r="A535" s="4" t="inlineStr">
        <is>
          <t>46255</t>
        </is>
      </c>
      <c r="B535" s="4" t="inlineStr">
        <is>
          <t>Vilallonga/Villalonga</t>
        </is>
      </c>
      <c r="C535" s="4" t="n">
        <v>4479</v>
      </c>
      <c r="D535" s="4" t="n">
        <v>4880</v>
      </c>
      <c r="E535" s="4" t="n">
        <v>3.1582</v>
      </c>
      <c r="F535" s="4" t="n">
        <v>4.1667</v>
      </c>
      <c r="G535" s="4" t="n"/>
      <c r="H535" s="4" t="n">
        <v>2362</v>
      </c>
      <c r="I535" s="6">
        <f>IF(AND(ISNUMBER(D535),C535&gt;0),100*(D535/C535-1),"")</f>
        <v/>
      </c>
      <c r="J535" s="6">
        <f>IF(AND(ISNUMBER(F535),ISNUMBER(E535)),100*(F535/E535-1),"")</f>
        <v/>
      </c>
      <c r="K535" s="6">
        <f>IF(AND(ISNUMBER(G535),ISNUMBER(H535)),100*G535/H535,"")</f>
        <v/>
      </c>
    </row>
    <row r="536">
      <c r="A536" s="4" t="inlineStr">
        <is>
          <t>46256</t>
        </is>
      </c>
      <c r="B536" s="4" t="inlineStr">
        <is>
          <t>Vilamarxant</t>
        </is>
      </c>
      <c r="C536" s="4" t="n">
        <v>10193</v>
      </c>
      <c r="D536" s="4" t="n">
        <v>11552</v>
      </c>
      <c r="E536" s="4" t="n">
        <v>3.7037</v>
      </c>
      <c r="F536" s="4" t="n">
        <v>5.3922</v>
      </c>
      <c r="G536" s="4" t="n"/>
      <c r="H536" s="4" t="n">
        <v>4668</v>
      </c>
      <c r="I536" s="6">
        <f>IF(AND(ISNUMBER(D536),C536&gt;0),100*(D536/C536-1),"")</f>
        <v/>
      </c>
      <c r="J536" s="6">
        <f>IF(AND(ISNUMBER(F536),ISNUMBER(E536)),100*(F536/E536-1),"")</f>
        <v/>
      </c>
      <c r="K536" s="6">
        <f>IF(AND(ISNUMBER(G536),ISNUMBER(H536)),100*G536/H536,"")</f>
        <v/>
      </c>
    </row>
    <row r="537">
      <c r="A537" s="4" t="inlineStr">
        <is>
          <t>46257</t>
        </is>
      </c>
      <c r="B537" s="4" t="inlineStr">
        <is>
          <t>Castelló</t>
        </is>
      </c>
      <c r="C537" s="4" t="n">
        <v>7031</v>
      </c>
      <c r="D537" s="4" t="n">
        <v>6982</v>
      </c>
      <c r="E537" s="4" t="n">
        <v>2.7985</v>
      </c>
      <c r="F537" s="4" t="n">
        <v>3.2559</v>
      </c>
      <c r="G537" s="4" t="n"/>
      <c r="H537" s="4" t="n">
        <v>3285</v>
      </c>
      <c r="I537" s="6">
        <f>IF(AND(ISNUMBER(D537),C537&gt;0),100*(D537/C537-1),"")</f>
        <v/>
      </c>
      <c r="J537" s="6">
        <f>IF(AND(ISNUMBER(F537),ISNUMBER(E537)),100*(F537/E537-1),"")</f>
        <v/>
      </c>
      <c r="K537" s="6">
        <f>IF(AND(ISNUMBER(G537),ISNUMBER(H537)),100*G537/H537,"")</f>
        <v/>
      </c>
    </row>
    <row r="538">
      <c r="A538" s="4" t="inlineStr">
        <is>
          <t>46258</t>
        </is>
      </c>
      <c r="B538" s="4" t="inlineStr">
        <is>
          <t>Villar del Arzobispo</t>
        </is>
      </c>
      <c r="C538" s="4" t="n">
        <v>3576</v>
      </c>
      <c r="D538" s="4" t="n">
        <v>3863</v>
      </c>
      <c r="E538" s="4" t="n">
        <v>2.6835</v>
      </c>
      <c r="F538" s="4" t="n">
        <v>3.5179</v>
      </c>
      <c r="G538" s="4" t="n"/>
      <c r="H538" s="4" t="n">
        <v>2354</v>
      </c>
      <c r="I538" s="6">
        <f>IF(AND(ISNUMBER(D538),C538&gt;0),100*(D538/C538-1),"")</f>
        <v/>
      </c>
      <c r="J538" s="6">
        <f>IF(AND(ISNUMBER(F538),ISNUMBER(E538)),100*(F538/E538-1),"")</f>
        <v/>
      </c>
      <c r="K538" s="6">
        <f>IF(AND(ISNUMBER(G538),ISNUMBER(H538)),100*G538/H538,"")</f>
        <v/>
      </c>
    </row>
    <row r="539">
      <c r="A539" s="4" t="inlineStr">
        <is>
          <t>46259</t>
        </is>
      </c>
      <c r="B539" s="4" t="inlineStr">
        <is>
          <t>Villargordo del Cabriel</t>
        </is>
      </c>
      <c r="C539" s="4" t="n">
        <v>588</v>
      </c>
      <c r="D539" s="4" t="n">
        <v>587</v>
      </c>
      <c r="E539" s="4" t="n"/>
      <c r="F539" s="4" t="n"/>
      <c r="G539" s="4" t="n"/>
      <c r="H539" s="4" t="n">
        <v>740</v>
      </c>
      <c r="I539" s="6">
        <f>IF(AND(ISNUMBER(D539),C539&gt;0),100*(D539/C539-1),"")</f>
        <v/>
      </c>
      <c r="J539" s="6">
        <f>IF(AND(ISNUMBER(F539),ISNUMBER(E539)),100*(F539/E539-1),"")</f>
        <v/>
      </c>
      <c r="K539" s="6">
        <f>IF(AND(ISNUMBER(G539),ISNUMBER(H539)),100*G539/H539,"")</f>
        <v/>
      </c>
    </row>
    <row r="540">
      <c r="A540" s="4" t="inlineStr">
        <is>
          <t>46260</t>
        </is>
      </c>
      <c r="B540" s="4" t="inlineStr">
        <is>
          <t>Vinalesa</t>
        </is>
      </c>
      <c r="C540" s="4" t="n">
        <v>3484</v>
      </c>
      <c r="D540" s="4" t="n">
        <v>3590</v>
      </c>
      <c r="E540" s="4" t="n">
        <v>4.6391</v>
      </c>
      <c r="F540" s="4" t="n">
        <v>6.0811</v>
      </c>
      <c r="G540" s="4" t="n"/>
      <c r="H540" s="4" t="n">
        <v>1668</v>
      </c>
      <c r="I540" s="6">
        <f>IF(AND(ISNUMBER(D540),C540&gt;0),100*(D540/C540-1),"")</f>
        <v/>
      </c>
      <c r="J540" s="6">
        <f>IF(AND(ISNUMBER(F540),ISNUMBER(E540)),100*(F540/E540-1),"")</f>
        <v/>
      </c>
      <c r="K540" s="6">
        <f>IF(AND(ISNUMBER(G540),ISNUMBER(H540)),100*G540/H540,"")</f>
        <v/>
      </c>
    </row>
    <row r="541">
      <c r="A541" s="4" t="inlineStr">
        <is>
          <t>46261</t>
        </is>
      </c>
      <c r="B541" s="4" t="inlineStr">
        <is>
          <t>Yátova</t>
        </is>
      </c>
      <c r="C541" s="4" t="n">
        <v>2115</v>
      </c>
      <c r="D541" s="4" t="n">
        <v>2343</v>
      </c>
      <c r="E541" s="4" t="n">
        <v>2.2222</v>
      </c>
      <c r="F541" s="4" t="n">
        <v>3.6325</v>
      </c>
      <c r="G541" s="4" t="n"/>
      <c r="H541" s="4" t="n">
        <v>1984</v>
      </c>
      <c r="I541" s="6">
        <f>IF(AND(ISNUMBER(D541),C541&gt;0),100*(D541/C541-1),"")</f>
        <v/>
      </c>
      <c r="J541" s="6">
        <f>IF(AND(ISNUMBER(F541),ISNUMBER(E541)),100*(F541/E541-1),"")</f>
        <v/>
      </c>
      <c r="K541" s="6">
        <f>IF(AND(ISNUMBER(G541),ISNUMBER(H541)),100*G541/H541,"")</f>
        <v/>
      </c>
    </row>
    <row r="542">
      <c r="A542" s="4" t="inlineStr">
        <is>
          <t>46262</t>
        </is>
      </c>
      <c r="B542" s="4" t="inlineStr">
        <is>
          <t>Yesa, La</t>
        </is>
      </c>
      <c r="C542" s="4" t="n">
        <v>230</v>
      </c>
      <c r="D542" s="4" t="n">
        <v>246</v>
      </c>
      <c r="E542" s="4" t="n"/>
      <c r="F542" s="4" t="n"/>
      <c r="G542" s="4" t="n"/>
      <c r="H542" s="4" t="n">
        <v>314</v>
      </c>
      <c r="I542" s="6">
        <f>IF(AND(ISNUMBER(D542),C542&gt;0),100*(D542/C542-1),"")</f>
        <v/>
      </c>
      <c r="J542" s="6">
        <f>IF(AND(ISNUMBER(F542),ISNUMBER(E542)),100*(F542/E542-1),"")</f>
        <v/>
      </c>
      <c r="K542" s="6">
        <f>IF(AND(ISNUMBER(G542),ISNUMBER(H542)),100*G542/H542,"")</f>
        <v/>
      </c>
    </row>
    <row r="543">
      <c r="A543" s="4" t="inlineStr">
        <is>
          <t>46263</t>
        </is>
      </c>
      <c r="B543" s="4" t="inlineStr">
        <is>
          <t>Zarra</t>
        </is>
      </c>
      <c r="C543" s="4" t="n">
        <v>367</v>
      </c>
      <c r="D543" s="4" t="n">
        <v>381</v>
      </c>
      <c r="E543" s="4" t="n"/>
      <c r="F543" s="4" t="n"/>
      <c r="G543" s="4" t="n"/>
      <c r="H543" s="4" t="n">
        <v>296</v>
      </c>
      <c r="I543" s="6">
        <f>IF(AND(ISNUMBER(D543),C543&gt;0),100*(D543/C543-1),"")</f>
        <v/>
      </c>
      <c r="J543" s="6">
        <f>IF(AND(ISNUMBER(F543),ISNUMBER(E543)),100*(F543/E543-1),"")</f>
        <v/>
      </c>
      <c r="K543" s="6">
        <f>IF(AND(ISNUMBER(G543),ISNUMBER(H543)),100*G543/H543,"")</f>
        <v/>
      </c>
    </row>
    <row r="544">
      <c r="A544" s="4" t="inlineStr">
        <is>
          <t>46902</t>
        </is>
      </c>
      <c r="B544" s="4" t="inlineStr">
        <is>
          <t>Gátova</t>
        </is>
      </c>
      <c r="C544" s="4" t="n">
        <v>421</v>
      </c>
      <c r="D544" s="4" t="n">
        <v>456</v>
      </c>
      <c r="E544" s="4" t="n"/>
      <c r="F544" s="4" t="n"/>
      <c r="G544" s="4" t="n"/>
      <c r="H544" s="4" t="n">
        <v>686</v>
      </c>
      <c r="I544" s="6">
        <f>IF(AND(ISNUMBER(D544),C544&gt;0),100*(D544/C544-1),"")</f>
        <v/>
      </c>
      <c r="J544" s="6">
        <f>IF(AND(ISNUMBER(F544),ISNUMBER(E544)),100*(F544/E544-1),"")</f>
        <v/>
      </c>
      <c r="K544" s="6">
        <f>IF(AND(ISNUMBER(G544),ISNUMBER(H544)),100*G544/H544,"")</f>
        <v/>
      </c>
    </row>
    <row r="545">
      <c r="A545" s="4" t="inlineStr">
        <is>
          <t>46903</t>
        </is>
      </c>
      <c r="B545" s="4" t="inlineStr">
        <is>
          <t>San Antonio de Benagéber</t>
        </is>
      </c>
      <c r="C545" s="4" t="n">
        <v>9455</v>
      </c>
      <c r="D545" s="4" t="n">
        <v>11154</v>
      </c>
      <c r="E545" s="4" t="n">
        <v>4.4446</v>
      </c>
      <c r="F545" s="4" t="n">
        <v>6.044</v>
      </c>
      <c r="G545" s="4" t="n"/>
      <c r="H545" s="4" t="n">
        <v>4092</v>
      </c>
      <c r="I545" s="6">
        <f>IF(AND(ISNUMBER(D545),C545&gt;0),100*(D545/C545-1),"")</f>
        <v/>
      </c>
      <c r="J545" s="6">
        <f>IF(AND(ISNUMBER(F545),ISNUMBER(E545)),100*(F545/E545-1),"")</f>
        <v/>
      </c>
      <c r="K545" s="6">
        <f>IF(AND(ISNUMBER(G545),ISNUMBER(H545)),100*G545/H545,"")</f>
        <v/>
      </c>
    </row>
    <row r="546">
      <c r="A546" s="4" t="inlineStr">
        <is>
          <t>46904</t>
        </is>
      </c>
      <c r="B546" s="4" t="inlineStr">
        <is>
          <t>Benicull de Xúquer</t>
        </is>
      </c>
      <c r="C546" s="4" t="n">
        <v>1096</v>
      </c>
      <c r="D546" s="4" t="n">
        <v>1174</v>
      </c>
      <c r="E546" s="4" t="n"/>
      <c r="F546" s="4" t="n">
        <v>4.7852</v>
      </c>
      <c r="G546" s="4" t="n"/>
      <c r="H546" s="4" t="n">
        <v>744</v>
      </c>
      <c r="I546" s="6">
        <f>IF(AND(ISNUMBER(D546),C546&gt;0),100*(D546/C546-1),"")</f>
        <v/>
      </c>
      <c r="J546" s="6">
        <f>IF(AND(ISNUMBER(F546),ISNUMBER(E546)),100*(F546/E546-1),"")</f>
        <v/>
      </c>
      <c r="K546" s="6">
        <f>IF(AND(ISNUMBER(G546),ISNUMBER(H546)),100*G546/H546,"")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Valencia_barrios: datos de entrada en azul; cálculos de esta hoja en negro</t>
        </is>
      </c>
    </row>
    <row r="2">
      <c r="A2" s="4" t="inlineStr">
        <is>
          <t>Fuente: INE (censo anual, ADRH, VUT, Censo 2021); MIVAU SERPAVI; Ajuntament de València. Fecha del dato: 2019-2026. Capa: C4 (recuentos de población por barrio repartidos por área).</t>
        </is>
      </c>
    </row>
    <row r="4">
      <c r="A4" s="5" t="inlineStr">
        <is>
          <t>cod_barrio</t>
        </is>
      </c>
      <c r="B4" s="5" t="inlineStr">
        <is>
          <t>nombre</t>
        </is>
      </c>
      <c r="C4" s="5" t="inlineStr">
        <is>
          <t>pob_2021</t>
        </is>
      </c>
      <c r="D4" s="5" t="inlineStr">
        <is>
          <t>pob_2025</t>
        </is>
      </c>
      <c r="E4" s="5" t="inlineStr">
        <is>
          <t>extranj_2021</t>
        </is>
      </c>
      <c r="F4" s="5" t="inlineStr">
        <is>
          <t>extranj_2025</t>
        </is>
      </c>
      <c r="G4" s="5" t="inlineStr">
        <is>
          <t>vut_2026_05</t>
        </is>
      </c>
      <c r="H4" s="5" t="inlineStr">
        <is>
          <t>viviendas_2021</t>
        </is>
      </c>
      <c r="I4" s="5" t="inlineStr">
        <is>
          <t>alquiler_m2_2019</t>
        </is>
      </c>
      <c r="J4" s="5" t="inlineStr">
        <is>
          <t>alquiler_m2_2024</t>
        </is>
      </c>
      <c r="K4" s="5" t="inlineStr">
        <is>
          <t>renta_persona_2023</t>
        </is>
      </c>
      <c r="L4" s="5" t="inlineStr">
        <is>
          <t>indice_presion_descriptivo</t>
        </is>
      </c>
      <c r="M4" s="1" t="inlineStr">
        <is>
          <t>pct_extranj_2025</t>
        </is>
      </c>
      <c r="N4" s="1" t="inlineStr">
        <is>
          <t>vut_por_100_viv</t>
        </is>
      </c>
      <c r="O4" s="1" t="inlineStr">
        <is>
          <t>var_alquiler_pct</t>
        </is>
      </c>
    </row>
    <row r="5">
      <c r="A5" s="4" t="inlineStr">
        <is>
          <t>462500101</t>
        </is>
      </c>
      <c r="B5" s="4" t="inlineStr">
        <is>
          <t>LA SEU</t>
        </is>
      </c>
      <c r="C5" s="4" t="n">
        <v>2650.7541</v>
      </c>
      <c r="D5" s="4" t="n">
        <v>2882.0196</v>
      </c>
      <c r="E5" s="4" t="n">
        <v>513.7337</v>
      </c>
      <c r="F5" s="4" t="n">
        <v>780.2082</v>
      </c>
      <c r="G5" s="4" t="n">
        <v>128.6064</v>
      </c>
      <c r="H5" s="4" t="n">
        <v>2100.9075</v>
      </c>
      <c r="I5" s="4" t="n">
        <v>7.8744</v>
      </c>
      <c r="J5" s="4" t="n">
        <v>10.9196</v>
      </c>
      <c r="K5" s="4" t="n">
        <v>22623.0232</v>
      </c>
      <c r="L5" s="4" t="n">
        <v>1.4491</v>
      </c>
      <c r="M5" s="6">
        <f>IF(D5&gt;0,100*F5/D5,"")</f>
        <v/>
      </c>
      <c r="N5" s="6">
        <f>IF(H5&gt;0,100*G5/H5,"")</f>
        <v/>
      </c>
      <c r="O5" s="6">
        <f>IF(AND(ISNUMBER(J5),ISNUMBER(I5)),100*(J5/I5-1),"")</f>
        <v/>
      </c>
    </row>
    <row r="6">
      <c r="A6" s="4" t="inlineStr">
        <is>
          <t>462500102</t>
        </is>
      </c>
      <c r="B6" s="4" t="inlineStr">
        <is>
          <t>LA XEREA</t>
        </is>
      </c>
      <c r="C6" s="4" t="n">
        <v>3747.223</v>
      </c>
      <c r="D6" s="4" t="n">
        <v>4074.1442</v>
      </c>
      <c r="E6" s="4" t="n">
        <v>490.7897</v>
      </c>
      <c r="F6" s="4" t="n">
        <v>836.9888</v>
      </c>
      <c r="G6" s="4" t="n">
        <v>68.2465</v>
      </c>
      <c r="H6" s="4" t="n">
        <v>2703.1298</v>
      </c>
      <c r="I6" s="4" t="n">
        <v>8.4918</v>
      </c>
      <c r="J6" s="4" t="n">
        <v>11.0511</v>
      </c>
      <c r="K6" s="4" t="n">
        <v>27716.342</v>
      </c>
      <c r="L6" s="4" t="n">
        <v>0.4493</v>
      </c>
      <c r="M6" s="6">
        <f>IF(D6&gt;0,100*F6/D6,"")</f>
        <v/>
      </c>
      <c r="N6" s="6">
        <f>IF(H6&gt;0,100*G6/H6,"")</f>
        <v/>
      </c>
      <c r="O6" s="6">
        <f>IF(AND(ISNUMBER(J6),ISNUMBER(I6)),100*(J6/I6-1),"")</f>
        <v/>
      </c>
    </row>
    <row r="7">
      <c r="A7" s="4" t="inlineStr">
        <is>
          <t>462500103</t>
        </is>
      </c>
      <c r="B7" s="4" t="inlineStr">
        <is>
          <t>EL CARME</t>
        </is>
      </c>
      <c r="C7" s="4" t="n">
        <v>6438.6377</v>
      </c>
      <c r="D7" s="4" t="n">
        <v>7245.0523</v>
      </c>
      <c r="E7" s="4" t="n">
        <v>1222.6724</v>
      </c>
      <c r="F7" s="4" t="n">
        <v>2100.0953</v>
      </c>
      <c r="G7" s="4" t="n">
        <v>191.0404</v>
      </c>
      <c r="H7" s="4" t="n">
        <v>4480.9474</v>
      </c>
      <c r="I7" s="4" t="n">
        <v>7.6584</v>
      </c>
      <c r="J7" s="4" t="n">
        <v>10.4632</v>
      </c>
      <c r="K7" s="4" t="n">
        <v>17966.1317</v>
      </c>
      <c r="L7" s="4" t="n">
        <v>1.185</v>
      </c>
      <c r="M7" s="6">
        <f>IF(D7&gt;0,100*F7/D7,"")</f>
        <v/>
      </c>
      <c r="N7" s="6">
        <f>IF(H7&gt;0,100*G7/H7,"")</f>
        <v/>
      </c>
      <c r="O7" s="6">
        <f>IF(AND(ISNUMBER(J7),ISNUMBER(I7)),100*(J7/I7-1),"")</f>
        <v/>
      </c>
    </row>
    <row r="8">
      <c r="A8" s="4" t="inlineStr">
        <is>
          <t>462500104</t>
        </is>
      </c>
      <c r="B8" s="4" t="inlineStr">
        <is>
          <t>EL PILAR</t>
        </is>
      </c>
      <c r="C8" s="4" t="n">
        <v>4497.403</v>
      </c>
      <c r="D8" s="4" t="n">
        <v>5443.0408</v>
      </c>
      <c r="E8" s="4" t="n">
        <v>927.0217</v>
      </c>
      <c r="F8" s="4" t="n">
        <v>1849.1444</v>
      </c>
      <c r="G8" s="4" t="n">
        <v>95.4393</v>
      </c>
      <c r="H8" s="4" t="n">
        <v>2982.2206</v>
      </c>
      <c r="I8" s="4" t="n">
        <v>7.4764</v>
      </c>
      <c r="J8" s="4" t="n">
        <v>10.844</v>
      </c>
      <c r="K8" s="4" t="n">
        <v>17876.3197</v>
      </c>
      <c r="L8" s="4" t="n">
        <v>1.7284</v>
      </c>
      <c r="M8" s="6">
        <f>IF(D8&gt;0,100*F8/D8,"")</f>
        <v/>
      </c>
      <c r="N8" s="6">
        <f>IF(H8&gt;0,100*G8/H8,"")</f>
        <v/>
      </c>
      <c r="O8" s="6">
        <f>IF(AND(ISNUMBER(J8),ISNUMBER(I8)),100*(J8/I8-1),"")</f>
        <v/>
      </c>
    </row>
    <row r="9">
      <c r="A9" s="4" t="inlineStr">
        <is>
          <t>462500105</t>
        </is>
      </c>
      <c r="B9" s="4" t="inlineStr">
        <is>
          <t>EL MERCAT</t>
        </is>
      </c>
      <c r="C9" s="4" t="n">
        <v>3510.2424</v>
      </c>
      <c r="D9" s="4" t="n">
        <v>4021.1157</v>
      </c>
      <c r="E9" s="4" t="n">
        <v>686.9059</v>
      </c>
      <c r="F9" s="4" t="n">
        <v>1276.1038</v>
      </c>
      <c r="G9" s="4" t="n">
        <v>255.7394</v>
      </c>
      <c r="H9" s="4" t="n">
        <v>3052.761</v>
      </c>
      <c r="I9" s="4" t="n">
        <v>7.9511</v>
      </c>
      <c r="J9" s="4" t="n">
        <v>10.945</v>
      </c>
      <c r="K9" s="4" t="n">
        <v>20070.3511</v>
      </c>
      <c r="L9" s="4" t="n">
        <v>2.2463</v>
      </c>
      <c r="M9" s="6">
        <f>IF(D9&gt;0,100*F9/D9,"")</f>
        <v/>
      </c>
      <c r="N9" s="6">
        <f>IF(H9&gt;0,100*G9/H9,"")</f>
        <v/>
      </c>
      <c r="O9" s="6">
        <f>IF(AND(ISNUMBER(J9),ISNUMBER(I9)),100*(J9/I9-1),"")</f>
        <v/>
      </c>
    </row>
    <row r="10">
      <c r="A10" s="4" t="inlineStr">
        <is>
          <t>462500106</t>
        </is>
      </c>
      <c r="B10" s="4" t="inlineStr">
        <is>
          <t>SANT FRANCESC</t>
        </is>
      </c>
      <c r="C10" s="4" t="n">
        <v>5641.1351</v>
      </c>
      <c r="D10" s="4" t="n">
        <v>6227.9798</v>
      </c>
      <c r="E10" s="4" t="n">
        <v>737.5947</v>
      </c>
      <c r="F10" s="4" t="n">
        <v>1426.6209</v>
      </c>
      <c r="G10" s="4" t="n">
        <v>179.7145</v>
      </c>
      <c r="H10" s="4" t="n">
        <v>4727.5148</v>
      </c>
      <c r="I10" s="4" t="n">
        <v>8.7409</v>
      </c>
      <c r="J10" s="4" t="n">
        <v>11.3585</v>
      </c>
      <c r="K10" s="4" t="n">
        <v>26394.3356</v>
      </c>
      <c r="L10" s="4" t="n">
        <v>0.9472</v>
      </c>
      <c r="M10" s="6">
        <f>IF(D10&gt;0,100*F10/D10,"")</f>
        <v/>
      </c>
      <c r="N10" s="6">
        <f>IF(H10&gt;0,100*G10/H10,"")</f>
        <v/>
      </c>
      <c r="O10" s="6">
        <f>IF(AND(ISNUMBER(J10),ISNUMBER(I10)),100*(J10/I10-1),"")</f>
        <v/>
      </c>
    </row>
    <row r="11">
      <c r="A11" s="4" t="inlineStr">
        <is>
          <t>462500201</t>
        </is>
      </c>
      <c r="B11" s="4" t="inlineStr">
        <is>
          <t>RUSSAFA</t>
        </is>
      </c>
      <c r="C11" s="4" t="n">
        <v>21995.0131</v>
      </c>
      <c r="D11" s="4" t="n">
        <v>25056.5211</v>
      </c>
      <c r="E11" s="4" t="n">
        <v>2999.2571</v>
      </c>
      <c r="F11" s="4" t="n">
        <v>5014.1849</v>
      </c>
      <c r="G11" s="4" t="n">
        <v>288.6907</v>
      </c>
      <c r="H11" s="4" t="n">
        <v>13766.0178</v>
      </c>
      <c r="I11" s="4" t="n">
        <v>6.7129</v>
      </c>
      <c r="J11" s="4" t="n">
        <v>9.3169</v>
      </c>
      <c r="K11" s="4" t="n">
        <v>19262.0854</v>
      </c>
      <c r="L11" s="4" t="n">
        <v>0.3615</v>
      </c>
      <c r="M11" s="6">
        <f>IF(D11&gt;0,100*F11/D11,"")</f>
        <v/>
      </c>
      <c r="N11" s="6">
        <f>IF(H11&gt;0,100*G11/H11,"")</f>
        <v/>
      </c>
      <c r="O11" s="6">
        <f>IF(AND(ISNUMBER(J11),ISNUMBER(I11)),100*(J11/I11-1),"")</f>
        <v/>
      </c>
    </row>
    <row r="12">
      <c r="A12" s="4" t="inlineStr">
        <is>
          <t>462500202</t>
        </is>
      </c>
      <c r="B12" s="4" t="inlineStr">
        <is>
          <t>EL PLA DEL REMEI</t>
        </is>
      </c>
      <c r="C12" s="4" t="n">
        <v>6140.9861</v>
      </c>
      <c r="D12" s="4" t="n">
        <v>7320.1241</v>
      </c>
      <c r="E12" s="4" t="n">
        <v>391.0968</v>
      </c>
      <c r="F12" s="4" t="n">
        <v>928.303</v>
      </c>
      <c r="G12" s="4" t="n">
        <v>30.3428</v>
      </c>
      <c r="H12" s="4" t="n">
        <v>3738.32</v>
      </c>
      <c r="I12" s="4" t="n">
        <v>7.9834</v>
      </c>
      <c r="J12" s="4" t="n">
        <v>10.6115</v>
      </c>
      <c r="K12" s="4" t="n">
        <v>34421.4384</v>
      </c>
      <c r="L12" s="4" t="n">
        <v>0.08160000000000001</v>
      </c>
      <c r="M12" s="6">
        <f>IF(D12&gt;0,100*F12/D12,"")</f>
        <v/>
      </c>
      <c r="N12" s="6">
        <f>IF(H12&gt;0,100*G12/H12,"")</f>
        <v/>
      </c>
      <c r="O12" s="6">
        <f>IF(AND(ISNUMBER(J12),ISNUMBER(I12)),100*(J12/I12-1),"")</f>
        <v/>
      </c>
    </row>
    <row r="13">
      <c r="A13" s="4" t="inlineStr">
        <is>
          <t>462500203</t>
        </is>
      </c>
      <c r="B13" s="4" t="inlineStr">
        <is>
          <t>LA GRAN VIA</t>
        </is>
      </c>
      <c r="C13" s="4" t="n">
        <v>12079.1701</v>
      </c>
      <c r="D13" s="4" t="n">
        <v>12678.0742</v>
      </c>
      <c r="E13" s="4" t="n">
        <v>973.3068</v>
      </c>
      <c r="F13" s="4" t="n">
        <v>1873.5381</v>
      </c>
      <c r="G13" s="4" t="n">
        <v>41.4699</v>
      </c>
      <c r="H13" s="4" t="n">
        <v>6722.7598</v>
      </c>
      <c r="I13" s="4" t="n">
        <v>6.8783</v>
      </c>
      <c r="J13" s="4" t="n">
        <v>9.489000000000001</v>
      </c>
      <c r="K13" s="4" t="n">
        <v>25548.0103</v>
      </c>
      <c r="L13" s="4" t="n">
        <v>0.1223</v>
      </c>
      <c r="M13" s="6">
        <f>IF(D13&gt;0,100*F13/D13,"")</f>
        <v/>
      </c>
      <c r="N13" s="6">
        <f>IF(H13&gt;0,100*G13/H13,"")</f>
        <v/>
      </c>
      <c r="O13" s="6">
        <f>IF(AND(ISNUMBER(J13),ISNUMBER(I13)),100*(J13/I13-1),"")</f>
        <v/>
      </c>
    </row>
    <row r="14">
      <c r="A14" s="4" t="inlineStr">
        <is>
          <t>462500301</t>
        </is>
      </c>
      <c r="B14" s="4" t="inlineStr">
        <is>
          <t>EL BOTANIC</t>
        </is>
      </c>
      <c r="C14" s="4" t="n">
        <v>6139.8017</v>
      </c>
      <c r="D14" s="4" t="n">
        <v>6590.4153</v>
      </c>
      <c r="E14" s="4" t="n">
        <v>851.0087</v>
      </c>
      <c r="F14" s="4" t="n">
        <v>1391.6963</v>
      </c>
      <c r="G14" s="4" t="n">
        <v>89.06570000000001</v>
      </c>
      <c r="H14" s="4" t="n">
        <v>3869.3745</v>
      </c>
      <c r="I14" s="4" t="n">
        <v>6.9179</v>
      </c>
      <c r="J14" s="4" t="n">
        <v>9.6568</v>
      </c>
      <c r="K14" s="4" t="n">
        <v>19208.4382</v>
      </c>
      <c r="L14" s="4" t="n">
        <v>0.5688</v>
      </c>
      <c r="M14" s="6">
        <f>IF(D14&gt;0,100*F14/D14,"")</f>
        <v/>
      </c>
      <c r="N14" s="6">
        <f>IF(H14&gt;0,100*G14/H14,"")</f>
        <v/>
      </c>
      <c r="O14" s="6">
        <f>IF(AND(ISNUMBER(J14),ISNUMBER(I14)),100*(J14/I14-1),"")</f>
        <v/>
      </c>
    </row>
    <row r="15">
      <c r="A15" s="4" t="inlineStr">
        <is>
          <t>462500302</t>
        </is>
      </c>
      <c r="B15" s="4" t="inlineStr">
        <is>
          <t>LA ROQUETA</t>
        </is>
      </c>
      <c r="C15" s="4" t="n">
        <v>4175.5757</v>
      </c>
      <c r="D15" s="4" t="n">
        <v>4747.8907</v>
      </c>
      <c r="E15" s="4" t="n">
        <v>875.2569999999999</v>
      </c>
      <c r="F15" s="4" t="n">
        <v>1339.9511</v>
      </c>
      <c r="G15" s="4" t="n">
        <v>122.9653</v>
      </c>
      <c r="H15" s="4" t="n">
        <v>3045.0554</v>
      </c>
      <c r="I15" s="4" t="n">
        <v>6.5843</v>
      </c>
      <c r="J15" s="4" t="n">
        <v>9.674300000000001</v>
      </c>
      <c r="K15" s="4" t="n">
        <v>19216.3434</v>
      </c>
      <c r="L15" s="4" t="n">
        <v>1.1865</v>
      </c>
      <c r="M15" s="6">
        <f>IF(D15&gt;0,100*F15/D15,"")</f>
        <v/>
      </c>
      <c r="N15" s="6">
        <f>IF(H15&gt;0,100*G15/H15,"")</f>
        <v/>
      </c>
      <c r="O15" s="6">
        <f>IF(AND(ISNUMBER(J15),ISNUMBER(I15)),100*(J15/I15-1),"")</f>
        <v/>
      </c>
    </row>
    <row r="16">
      <c r="A16" s="4" t="inlineStr">
        <is>
          <t>462500303</t>
        </is>
      </c>
      <c r="B16" s="4" t="inlineStr">
        <is>
          <t>LA PETXINA</t>
        </is>
      </c>
      <c r="C16" s="4" t="n">
        <v>15032.0801</v>
      </c>
      <c r="D16" s="4" t="n">
        <v>15809.0812</v>
      </c>
      <c r="E16" s="4" t="n">
        <v>1393.7756</v>
      </c>
      <c r="F16" s="4" t="n">
        <v>2379.3059</v>
      </c>
      <c r="G16" s="4" t="n">
        <v>90.0818</v>
      </c>
      <c r="H16" s="4" t="n">
        <v>8103.452</v>
      </c>
      <c r="I16" s="4" t="n">
        <v>5.9749</v>
      </c>
      <c r="J16" s="4" t="n">
        <v>8.342700000000001</v>
      </c>
      <c r="K16" s="4" t="n">
        <v>18743.9128</v>
      </c>
      <c r="L16" s="4" t="n">
        <v>0.0126</v>
      </c>
      <c r="M16" s="6">
        <f>IF(D16&gt;0,100*F16/D16,"")</f>
        <v/>
      </c>
      <c r="N16" s="6">
        <f>IF(H16&gt;0,100*G16/H16,"")</f>
        <v/>
      </c>
      <c r="O16" s="6">
        <f>IF(AND(ISNUMBER(J16),ISNUMBER(I16)),100*(J16/I16-1),"")</f>
        <v/>
      </c>
    </row>
    <row r="17">
      <c r="A17" s="4" t="inlineStr">
        <is>
          <t>462500304</t>
        </is>
      </c>
      <c r="B17" s="4" t="inlineStr">
        <is>
          <t>ARRANCAPINS</t>
        </is>
      </c>
      <c r="C17" s="4" t="n">
        <v>22732.5029</v>
      </c>
      <c r="D17" s="4" t="n">
        <v>23991.592</v>
      </c>
      <c r="E17" s="4" t="n">
        <v>2219.3574</v>
      </c>
      <c r="F17" s="4" t="n">
        <v>3865.4058</v>
      </c>
      <c r="G17" s="4" t="n">
        <v>136.6872</v>
      </c>
      <c r="H17" s="4" t="n">
        <v>12762.087</v>
      </c>
      <c r="I17" s="4" t="n">
        <v>6.1552</v>
      </c>
      <c r="J17" s="4" t="n">
        <v>8.459</v>
      </c>
      <c r="K17" s="4" t="n">
        <v>19940.835</v>
      </c>
      <c r="L17" s="4" t="n">
        <v>-0.0129</v>
      </c>
      <c r="M17" s="6">
        <f>IF(D17&gt;0,100*F17/D17,"")</f>
        <v/>
      </c>
      <c r="N17" s="6">
        <f>IF(H17&gt;0,100*G17/H17,"")</f>
        <v/>
      </c>
      <c r="O17" s="6">
        <f>IF(AND(ISNUMBER(J17),ISNUMBER(I17)),100*(J17/I17-1),"")</f>
        <v/>
      </c>
    </row>
    <row r="18">
      <c r="A18" s="4" t="inlineStr">
        <is>
          <t>462500401</t>
        </is>
      </c>
      <c r="B18" s="4" t="inlineStr">
        <is>
          <t>CAMPANAR</t>
        </is>
      </c>
      <c r="C18" s="4" t="n">
        <v>11608.3023</v>
      </c>
      <c r="D18" s="4" t="n">
        <v>12020.8175</v>
      </c>
      <c r="E18" s="4" t="n">
        <v>1051.6993</v>
      </c>
      <c r="F18" s="4" t="n">
        <v>1607.2588</v>
      </c>
      <c r="G18" s="4" t="n">
        <v>34.3443</v>
      </c>
      <c r="H18" s="4" t="n">
        <v>5844.3147</v>
      </c>
      <c r="I18" s="4" t="n">
        <v>5.1935</v>
      </c>
      <c r="J18" s="4" t="n">
        <v>7.1839</v>
      </c>
      <c r="K18" s="4" t="n">
        <v>17595.7455</v>
      </c>
      <c r="L18" s="4" t="n">
        <v>-0.4554</v>
      </c>
      <c r="M18" s="6">
        <f>IF(D18&gt;0,100*F18/D18,"")</f>
        <v/>
      </c>
      <c r="N18" s="6">
        <f>IF(H18&gt;0,100*G18/H18,"")</f>
        <v/>
      </c>
      <c r="O18" s="6">
        <f>IF(AND(ISNUMBER(J18),ISNUMBER(I18)),100*(J18/I18-1),"")</f>
        <v/>
      </c>
    </row>
    <row r="19">
      <c r="A19" s="4" t="inlineStr">
        <is>
          <t>462500402</t>
        </is>
      </c>
      <c r="B19" s="4" t="inlineStr">
        <is>
          <t>LES TENDETES</t>
        </is>
      </c>
      <c r="C19" s="4" t="n">
        <v>5186.9704</v>
      </c>
      <c r="D19" s="4" t="n">
        <v>5427.2469</v>
      </c>
      <c r="E19" s="4" t="n">
        <v>991.6054</v>
      </c>
      <c r="F19" s="4" t="n">
        <v>1343.8088</v>
      </c>
      <c r="G19" s="4" t="n">
        <v>26.4606</v>
      </c>
      <c r="H19" s="4" t="n">
        <v>2755.2528</v>
      </c>
      <c r="I19" s="4" t="n">
        <v>5.4547</v>
      </c>
      <c r="J19" s="4" t="n">
        <v>8.0525</v>
      </c>
      <c r="K19" s="4" t="n">
        <v>14857.456</v>
      </c>
      <c r="L19" s="4" t="n">
        <v>0.2597</v>
      </c>
      <c r="M19" s="6">
        <f>IF(D19&gt;0,100*F19/D19,"")</f>
        <v/>
      </c>
      <c r="N19" s="6">
        <f>IF(H19&gt;0,100*G19/H19,"")</f>
        <v/>
      </c>
      <c r="O19" s="6">
        <f>IF(AND(ISNUMBER(J19),ISNUMBER(I19)),100*(J19/I19-1),"")</f>
        <v/>
      </c>
    </row>
    <row r="20">
      <c r="A20" s="4" t="inlineStr">
        <is>
          <t>462500403</t>
        </is>
      </c>
      <c r="B20" s="4" t="inlineStr">
        <is>
          <t>EL CALVARI</t>
        </is>
      </c>
      <c r="C20" s="4" t="n">
        <v>4701.7682</v>
      </c>
      <c r="D20" s="4" t="n">
        <v>5140.6226</v>
      </c>
      <c r="E20" s="4" t="n">
        <v>1193.8262</v>
      </c>
      <c r="F20" s="4" t="n">
        <v>1687.6534</v>
      </c>
      <c r="G20" s="4" t="n">
        <v>6.6908</v>
      </c>
      <c r="H20" s="4" t="n">
        <v>2589.667</v>
      </c>
      <c r="I20" s="4" t="n">
        <v>6.0083</v>
      </c>
      <c r="J20" s="4" t="n">
        <v>8.452999999999999</v>
      </c>
      <c r="K20" s="4" t="n">
        <v>11579.413</v>
      </c>
      <c r="L20" s="4" t="n">
        <v>0.0818</v>
      </c>
      <c r="M20" s="6">
        <f>IF(D20&gt;0,100*F20/D20,"")</f>
        <v/>
      </c>
      <c r="N20" s="6">
        <f>IF(H20&gt;0,100*G20/H20,"")</f>
        <v/>
      </c>
      <c r="O20" s="6">
        <f>IF(AND(ISNUMBER(J20),ISNUMBER(I20)),100*(J20/I20-1),"")</f>
        <v/>
      </c>
    </row>
    <row r="21">
      <c r="A21" s="4" t="inlineStr">
        <is>
          <t>462500404</t>
        </is>
      </c>
      <c r="B21" s="4" t="inlineStr">
        <is>
          <t>SANT PAU</t>
        </is>
      </c>
      <c r="C21" s="4" t="n">
        <v>16753.3248</v>
      </c>
      <c r="D21" s="4" t="n">
        <v>19086.0027</v>
      </c>
      <c r="E21" s="4" t="n">
        <v>1668.1175</v>
      </c>
      <c r="F21" s="4" t="n">
        <v>3304.4025</v>
      </c>
      <c r="G21" s="4" t="n">
        <v>31.3391</v>
      </c>
      <c r="H21" s="4" t="n">
        <v>7413.6332</v>
      </c>
      <c r="I21" s="4" t="n">
        <v>6.6684</v>
      </c>
      <c r="J21" s="4" t="n">
        <v>9.1477</v>
      </c>
      <c r="K21" s="4" t="n">
        <v>19587.8278</v>
      </c>
      <c r="L21" s="4" t="n">
        <v>0.0645</v>
      </c>
      <c r="M21" s="6">
        <f>IF(D21&gt;0,100*F21/D21,"")</f>
        <v/>
      </c>
      <c r="N21" s="6">
        <f>IF(H21&gt;0,100*G21/H21,"")</f>
        <v/>
      </c>
      <c r="O21" s="6">
        <f>IF(AND(ISNUMBER(J21),ISNUMBER(I21)),100*(J21/I21-1),"")</f>
        <v/>
      </c>
    </row>
    <row r="22">
      <c r="A22" s="4" t="inlineStr">
        <is>
          <t>462500501</t>
        </is>
      </c>
      <c r="B22" s="4" t="inlineStr">
        <is>
          <t>MARXALENES</t>
        </is>
      </c>
      <c r="C22" s="4" t="n">
        <v>10631.3608</v>
      </c>
      <c r="D22" s="4" t="n">
        <v>11059.4052</v>
      </c>
      <c r="E22" s="4" t="n">
        <v>1795.8809</v>
      </c>
      <c r="F22" s="4" t="n">
        <v>2348.8673</v>
      </c>
      <c r="G22" s="4" t="n">
        <v>32.7709</v>
      </c>
      <c r="H22" s="4" t="n">
        <v>5412.7522</v>
      </c>
      <c r="I22" s="4" t="n">
        <v>5.3382</v>
      </c>
      <c r="J22" s="4" t="n">
        <v>7.5885</v>
      </c>
      <c r="K22" s="4" t="n">
        <v>13765.1751</v>
      </c>
      <c r="L22" s="4" t="n">
        <v>-0.2275</v>
      </c>
      <c r="M22" s="6">
        <f>IF(D22&gt;0,100*F22/D22,"")</f>
        <v/>
      </c>
      <c r="N22" s="6">
        <f>IF(H22&gt;0,100*G22/H22,"")</f>
        <v/>
      </c>
      <c r="O22" s="6">
        <f>IF(AND(ISNUMBER(J22),ISNUMBER(I22)),100*(J22/I22-1),"")</f>
        <v/>
      </c>
    </row>
    <row r="23">
      <c r="A23" s="4" t="inlineStr">
        <is>
          <t>462500502</t>
        </is>
      </c>
      <c r="B23" s="4" t="inlineStr">
        <is>
          <t>MORVEDRE</t>
        </is>
      </c>
      <c r="C23" s="4" t="n">
        <v>10251.0369</v>
      </c>
      <c r="D23" s="4" t="n">
        <v>10647.2253</v>
      </c>
      <c r="E23" s="4" t="n">
        <v>1442.8262</v>
      </c>
      <c r="F23" s="4" t="n">
        <v>2114.3078</v>
      </c>
      <c r="G23" s="4" t="n">
        <v>119.8065</v>
      </c>
      <c r="H23" s="4" t="n">
        <v>5547.3182</v>
      </c>
      <c r="I23" s="4" t="n">
        <v>5.7679</v>
      </c>
      <c r="J23" s="4" t="n">
        <v>8.255100000000001</v>
      </c>
      <c r="K23" s="4" t="n">
        <v>15598.7319</v>
      </c>
      <c r="L23" s="4" t="n">
        <v>0.3316</v>
      </c>
      <c r="M23" s="6">
        <f>IF(D23&gt;0,100*F23/D23,"")</f>
        <v/>
      </c>
      <c r="N23" s="6">
        <f>IF(H23&gt;0,100*G23/H23,"")</f>
        <v/>
      </c>
      <c r="O23" s="6">
        <f>IF(AND(ISNUMBER(J23),ISNUMBER(I23)),100*(J23/I23-1),"")</f>
        <v/>
      </c>
    </row>
    <row r="24">
      <c r="A24" s="4" t="inlineStr">
        <is>
          <t>462500503</t>
        </is>
      </c>
      <c r="B24" s="4" t="inlineStr">
        <is>
          <t>TRINITAT</t>
        </is>
      </c>
      <c r="C24" s="4" t="n">
        <v>6441.0392</v>
      </c>
      <c r="D24" s="4" t="n">
        <v>8274.125400000001</v>
      </c>
      <c r="E24" s="4" t="n">
        <v>1030.4573</v>
      </c>
      <c r="F24" s="4" t="n">
        <v>1562.5338</v>
      </c>
      <c r="G24" s="4" t="n">
        <v>45.663</v>
      </c>
      <c r="H24" s="4" t="n">
        <v>3815.8452</v>
      </c>
      <c r="I24" s="4" t="n">
        <v>6.6165</v>
      </c>
      <c r="J24" s="4" t="n">
        <v>9.133100000000001</v>
      </c>
      <c r="K24" s="4" t="n">
        <v>17100.2867</v>
      </c>
      <c r="L24" s="4" t="n">
        <v>-0.1963</v>
      </c>
      <c r="M24" s="6">
        <f>IF(D24&gt;0,100*F24/D24,"")</f>
        <v/>
      </c>
      <c r="N24" s="6">
        <f>IF(H24&gt;0,100*G24/H24,"")</f>
        <v/>
      </c>
      <c r="O24" s="6">
        <f>IF(AND(ISNUMBER(J24),ISNUMBER(I24)),100*(J24/I24-1),"")</f>
        <v/>
      </c>
    </row>
    <row r="25">
      <c r="A25" s="4" t="inlineStr">
        <is>
          <t>462500504</t>
        </is>
      </c>
      <c r="B25" s="4" t="inlineStr">
        <is>
          <t>TORMOS</t>
        </is>
      </c>
      <c r="C25" s="4" t="n">
        <v>8357.5113</v>
      </c>
      <c r="D25" s="4" t="n">
        <v>8764.074500000001</v>
      </c>
      <c r="E25" s="4" t="n">
        <v>1416.0338</v>
      </c>
      <c r="F25" s="4" t="n">
        <v>2058.6971</v>
      </c>
      <c r="G25" s="4" t="n">
        <v>48.223</v>
      </c>
      <c r="H25" s="4" t="n">
        <v>4112.3155</v>
      </c>
      <c r="I25" s="4" t="n">
        <v>5.4754</v>
      </c>
      <c r="J25" s="4" t="n">
        <v>7.7124</v>
      </c>
      <c r="K25" s="4" t="n">
        <v>12804.8224</v>
      </c>
      <c r="L25" s="4" t="n">
        <v>0.0517</v>
      </c>
      <c r="M25" s="6">
        <f>IF(D25&gt;0,100*F25/D25,"")</f>
        <v/>
      </c>
      <c r="N25" s="6">
        <f>IF(H25&gt;0,100*G25/H25,"")</f>
        <v/>
      </c>
      <c r="O25" s="6">
        <f>IF(AND(ISNUMBER(J25),ISNUMBER(I25)),100*(J25/I25-1),"")</f>
        <v/>
      </c>
    </row>
    <row r="26">
      <c r="A26" s="4" t="inlineStr">
        <is>
          <t>462500505</t>
        </is>
      </c>
      <c r="B26" s="4" t="inlineStr">
        <is>
          <t>SANT ANTONI</t>
        </is>
      </c>
      <c r="C26" s="4" t="n">
        <v>9700.1901</v>
      </c>
      <c r="D26" s="4" t="n">
        <v>10188.7236</v>
      </c>
      <c r="E26" s="4" t="n">
        <v>990.6694</v>
      </c>
      <c r="F26" s="4" t="n">
        <v>1570.6118</v>
      </c>
      <c r="G26" s="4" t="n">
        <v>36.362</v>
      </c>
      <c r="H26" s="4" t="n">
        <v>4643.9199</v>
      </c>
      <c r="I26" s="4" t="n">
        <v>5.3232</v>
      </c>
      <c r="J26" s="4" t="n">
        <v>7.663</v>
      </c>
      <c r="K26" s="4" t="n">
        <v>16293.6271</v>
      </c>
      <c r="L26" s="4" t="n">
        <v>-0.0268</v>
      </c>
      <c r="M26" s="6">
        <f>IF(D26&gt;0,100*F26/D26,"")</f>
        <v/>
      </c>
      <c r="N26" s="6">
        <f>IF(H26&gt;0,100*G26/H26,"")</f>
        <v/>
      </c>
      <c r="O26" s="6">
        <f>IF(AND(ISNUMBER(J26),ISNUMBER(I26)),100*(J26/I26-1),"")</f>
        <v/>
      </c>
    </row>
    <row r="27">
      <c r="A27" s="4" t="inlineStr">
        <is>
          <t>462500601</t>
        </is>
      </c>
      <c r="B27" s="4" t="inlineStr">
        <is>
          <t>EXPOSICIO</t>
        </is>
      </c>
      <c r="C27" s="4" t="n">
        <v>6655.9436</v>
      </c>
      <c r="D27" s="4" t="n">
        <v>6986.1063</v>
      </c>
      <c r="E27" s="4" t="n">
        <v>471.9478</v>
      </c>
      <c r="F27" s="4" t="n">
        <v>733.1647</v>
      </c>
      <c r="G27" s="4" t="n">
        <v>18.9981</v>
      </c>
      <c r="H27" s="4" t="n">
        <v>3325.5177</v>
      </c>
      <c r="I27" s="4" t="n">
        <v>7.1372</v>
      </c>
      <c r="J27" s="4" t="n">
        <v>9.843500000000001</v>
      </c>
      <c r="K27" s="4" t="n">
        <v>26980.7078</v>
      </c>
      <c r="L27" s="4" t="n">
        <v>-0.1535</v>
      </c>
      <c r="M27" s="6">
        <f>IF(D27&gt;0,100*F27/D27,"")</f>
        <v/>
      </c>
      <c r="N27" s="6">
        <f>IF(H27&gt;0,100*G27/H27,"")</f>
        <v/>
      </c>
      <c r="O27" s="6">
        <f>IF(AND(ISNUMBER(J27),ISNUMBER(I27)),100*(J27/I27-1),"")</f>
        <v/>
      </c>
    </row>
    <row r="28">
      <c r="A28" s="4" t="inlineStr">
        <is>
          <t>462500602</t>
        </is>
      </c>
      <c r="B28" s="4" t="inlineStr">
        <is>
          <t>MESTALLA</t>
        </is>
      </c>
      <c r="C28" s="4" t="n">
        <v>14476.2129</v>
      </c>
      <c r="D28" s="4" t="n">
        <v>14792.8029</v>
      </c>
      <c r="E28" s="4" t="n">
        <v>1583.7946</v>
      </c>
      <c r="F28" s="4" t="n">
        <v>2186.4872</v>
      </c>
      <c r="G28" s="4" t="n">
        <v>73.60339999999999</v>
      </c>
      <c r="H28" s="4" t="n">
        <v>7909.3733</v>
      </c>
      <c r="I28" s="4" t="n">
        <v>6.774</v>
      </c>
      <c r="J28" s="4" t="n">
        <v>9.4031</v>
      </c>
      <c r="K28" s="4" t="n">
        <v>21257.0282</v>
      </c>
      <c r="L28" s="4" t="n">
        <v>-0.07779999999999999</v>
      </c>
      <c r="M28" s="6">
        <f>IF(D28&gt;0,100*F28/D28,"")</f>
        <v/>
      </c>
      <c r="N28" s="6">
        <f>IF(H28&gt;0,100*G28/H28,"")</f>
        <v/>
      </c>
      <c r="O28" s="6">
        <f>IF(AND(ISNUMBER(J28),ISNUMBER(I28)),100*(J28/I28-1),"")</f>
        <v/>
      </c>
    </row>
    <row r="29">
      <c r="A29" s="4" t="inlineStr">
        <is>
          <t>462500603</t>
        </is>
      </c>
      <c r="B29" s="4" t="inlineStr">
        <is>
          <t>JAUME ROIG</t>
        </is>
      </c>
      <c r="C29" s="4" t="n">
        <v>6346.1255</v>
      </c>
      <c r="D29" s="4" t="n">
        <v>6539.4898</v>
      </c>
      <c r="E29" s="4" t="n">
        <v>384.6706</v>
      </c>
      <c r="F29" s="4" t="n">
        <v>592.7738000000001</v>
      </c>
      <c r="G29" s="4" t="n">
        <v>12.1964</v>
      </c>
      <c r="H29" s="4" t="n">
        <v>3005.2374</v>
      </c>
      <c r="I29" s="4" t="n">
        <v>6.9789</v>
      </c>
      <c r="J29" s="4" t="n">
        <v>9.267799999999999</v>
      </c>
      <c r="K29" s="4" t="n">
        <v>25941.2307</v>
      </c>
      <c r="L29" s="4" t="n">
        <v>-0.5229</v>
      </c>
      <c r="M29" s="6">
        <f>IF(D29&gt;0,100*F29/D29,"")</f>
        <v/>
      </c>
      <c r="N29" s="6">
        <f>IF(H29&gt;0,100*G29/H29,"")</f>
        <v/>
      </c>
      <c r="O29" s="6">
        <f>IF(AND(ISNUMBER(J29),ISNUMBER(I29)),100*(J29/I29-1),"")</f>
        <v/>
      </c>
    </row>
    <row r="30">
      <c r="A30" s="4" t="inlineStr">
        <is>
          <t>462500604</t>
        </is>
      </c>
      <c r="B30" s="4" t="inlineStr">
        <is>
          <t>CIUTAT UNIVERSITARIA</t>
        </is>
      </c>
      <c r="C30" s="4" t="n">
        <v>2728.5835</v>
      </c>
      <c r="D30" s="4" t="n">
        <v>2747.4229</v>
      </c>
      <c r="E30" s="4" t="n">
        <v>253.3675</v>
      </c>
      <c r="F30" s="4" t="n">
        <v>308.4689</v>
      </c>
      <c r="G30" s="4" t="n">
        <v>6.123</v>
      </c>
      <c r="H30" s="4" t="n">
        <v>1450.0257</v>
      </c>
      <c r="I30" s="4" t="n">
        <v>6.9407</v>
      </c>
      <c r="J30" s="4" t="n">
        <v>9.8323</v>
      </c>
      <c r="K30" s="4" t="n">
        <v>21353.3097</v>
      </c>
      <c r="L30" s="4" t="n">
        <v>-0.1678</v>
      </c>
      <c r="M30" s="6">
        <f>IF(D30&gt;0,100*F30/D30,"")</f>
        <v/>
      </c>
      <c r="N30" s="6">
        <f>IF(H30&gt;0,100*G30/H30,"")</f>
        <v/>
      </c>
      <c r="O30" s="6">
        <f>IF(AND(ISNUMBER(J30),ISNUMBER(I30)),100*(J30/I30-1),"")</f>
        <v/>
      </c>
    </row>
    <row r="31">
      <c r="A31" s="4" t="inlineStr">
        <is>
          <t>462500701</t>
        </is>
      </c>
      <c r="B31" s="4" t="inlineStr">
        <is>
          <t>NOU MOLES</t>
        </is>
      </c>
      <c r="C31" s="4" t="n">
        <v>25632.3011</v>
      </c>
      <c r="D31" s="4" t="n">
        <v>27451.7515</v>
      </c>
      <c r="E31" s="4" t="n">
        <v>4231.0801</v>
      </c>
      <c r="F31" s="4" t="n">
        <v>6413.3323</v>
      </c>
      <c r="G31" s="4" t="n">
        <v>115.9837</v>
      </c>
      <c r="H31" s="4" t="n">
        <v>13022.8047</v>
      </c>
      <c r="I31" s="4" t="n">
        <v>5.1752</v>
      </c>
      <c r="J31" s="4" t="n">
        <v>7.2409</v>
      </c>
      <c r="K31" s="4" t="n">
        <v>13852.8141</v>
      </c>
      <c r="L31" s="4" t="n">
        <v>-0.0804</v>
      </c>
      <c r="M31" s="6">
        <f>IF(D31&gt;0,100*F31/D31,"")</f>
        <v/>
      </c>
      <c r="N31" s="6">
        <f>IF(H31&gt;0,100*G31/H31,"")</f>
        <v/>
      </c>
      <c r="O31" s="6">
        <f>IF(AND(ISNUMBER(J31),ISNUMBER(I31)),100*(J31/I31-1),"")</f>
        <v/>
      </c>
    </row>
    <row r="32">
      <c r="A32" s="4" t="inlineStr">
        <is>
          <t>462500702</t>
        </is>
      </c>
      <c r="B32" s="4" t="inlineStr">
        <is>
          <t>SOTERNES</t>
        </is>
      </c>
      <c r="C32" s="4" t="n">
        <v>4898.2046</v>
      </c>
      <c r="D32" s="4" t="n">
        <v>5233.5835</v>
      </c>
      <c r="E32" s="4" t="n">
        <v>743.0188000000001</v>
      </c>
      <c r="F32" s="4" t="n">
        <v>1130.6182</v>
      </c>
      <c r="G32" s="4" t="n">
        <v>22.5464</v>
      </c>
      <c r="H32" s="4" t="n">
        <v>2520.9182</v>
      </c>
      <c r="I32" s="4" t="n">
        <v>5.2035</v>
      </c>
      <c r="J32" s="4" t="n">
        <v>7.0032</v>
      </c>
      <c r="K32" s="4" t="n">
        <v>13293.094</v>
      </c>
      <c r="L32" s="4" t="n">
        <v>-0.3782</v>
      </c>
      <c r="M32" s="6">
        <f>IF(D32&gt;0,100*F32/D32,"")</f>
        <v/>
      </c>
      <c r="N32" s="6">
        <f>IF(H32&gt;0,100*G32/H32,"")</f>
        <v/>
      </c>
      <c r="O32" s="6">
        <f>IF(AND(ISNUMBER(J32),ISNUMBER(I32)),100*(J32/I32-1),"")</f>
        <v/>
      </c>
    </row>
    <row r="33">
      <c r="A33" s="4" t="inlineStr">
        <is>
          <t>462500703</t>
        </is>
      </c>
      <c r="B33" s="4" t="inlineStr">
        <is>
          <t>TRES FORQUES</t>
        </is>
      </c>
      <c r="C33" s="4" t="n">
        <v>7046.156</v>
      </c>
      <c r="D33" s="4" t="n">
        <v>9941.427100000001</v>
      </c>
      <c r="E33" s="4" t="n">
        <v>1762.1524</v>
      </c>
      <c r="F33" s="4" t="n">
        <v>3455.1333</v>
      </c>
      <c r="G33" s="4" t="n">
        <v>18.7549</v>
      </c>
      <c r="H33" s="4" t="n">
        <v>3398.8366</v>
      </c>
      <c r="I33" s="4" t="n">
        <v>4.8008</v>
      </c>
      <c r="J33" s="4" t="n">
        <v>6.8958</v>
      </c>
      <c r="K33" s="4" t="n">
        <v>10760.8127</v>
      </c>
      <c r="L33" s="4" t="n">
        <v>0.24</v>
      </c>
      <c r="M33" s="6">
        <f>IF(D33&gt;0,100*F33/D33,"")</f>
        <v/>
      </c>
      <c r="N33" s="6">
        <f>IF(H33&gt;0,100*G33/H33,"")</f>
        <v/>
      </c>
      <c r="O33" s="6">
        <f>IF(AND(ISNUMBER(J33),ISNUMBER(I33)),100*(J33/I33-1),"")</f>
        <v/>
      </c>
    </row>
    <row r="34">
      <c r="A34" s="4" t="inlineStr">
        <is>
          <t>462500704</t>
        </is>
      </c>
      <c r="B34" s="4" t="inlineStr">
        <is>
          <t>LA FONTSANTA</t>
        </is>
      </c>
      <c r="C34" s="4" t="n">
        <v>3798.768</v>
      </c>
      <c r="D34" s="4" t="n">
        <v>4612.3191</v>
      </c>
      <c r="E34" s="4" t="n">
        <v>903.5344</v>
      </c>
      <c r="F34" s="4" t="n">
        <v>1583.9291</v>
      </c>
      <c r="G34" s="4" t="n">
        <v>3.464</v>
      </c>
      <c r="H34" s="4" t="n">
        <v>1712.3724</v>
      </c>
      <c r="I34" s="4" t="n">
        <v>4.6698</v>
      </c>
      <c r="J34" s="4" t="n">
        <v>6.9262</v>
      </c>
      <c r="K34" s="4" t="n">
        <v>9559.8395</v>
      </c>
      <c r="L34" s="4" t="n">
        <v>0.4548</v>
      </c>
      <c r="M34" s="6">
        <f>IF(D34&gt;0,100*F34/D34,"")</f>
        <v/>
      </c>
      <c r="N34" s="6">
        <f>IF(H34&gt;0,100*G34/H34,"")</f>
        <v/>
      </c>
      <c r="O34" s="6">
        <f>IF(AND(ISNUMBER(J34),ISNUMBER(I34)),100*(J34/I34-1),"")</f>
        <v/>
      </c>
    </row>
    <row r="35">
      <c r="A35" s="4" t="inlineStr">
        <is>
          <t>462500705</t>
        </is>
      </c>
      <c r="B35" s="4" t="inlineStr">
        <is>
          <t>LA LLUM</t>
        </is>
      </c>
      <c r="C35" s="4" t="n">
        <v>5001.1969</v>
      </c>
      <c r="D35" s="4" t="n">
        <v>4924.6205</v>
      </c>
      <c r="E35" s="4" t="n">
        <v>532.5879</v>
      </c>
      <c r="F35" s="4" t="n">
        <v>673.5459</v>
      </c>
      <c r="G35" s="4" t="n">
        <v>6.0009</v>
      </c>
      <c r="H35" s="4" t="n">
        <v>2268.9358</v>
      </c>
      <c r="I35" s="4" t="n">
        <v>4.8154</v>
      </c>
      <c r="J35" s="4" t="n">
        <v>6.511</v>
      </c>
      <c r="K35" s="4" t="n">
        <v>14853.9503</v>
      </c>
      <c r="L35" s="4" t="n">
        <v>-0.8699</v>
      </c>
      <c r="M35" s="6">
        <f>IF(D35&gt;0,100*F35/D35,"")</f>
        <v/>
      </c>
      <c r="N35" s="6">
        <f>IF(H35&gt;0,100*G35/H35,"")</f>
        <v/>
      </c>
      <c r="O35" s="6">
        <f>IF(AND(ISNUMBER(J35),ISNUMBER(I35)),100*(J35/I35-1),"")</f>
        <v/>
      </c>
    </row>
    <row r="36">
      <c r="A36" s="4" t="inlineStr">
        <is>
          <t>462500801</t>
        </is>
      </c>
      <c r="B36" s="4" t="inlineStr">
        <is>
          <t>PATRAIX</t>
        </is>
      </c>
      <c r="C36" s="4" t="n">
        <v>23065.1205</v>
      </c>
      <c r="D36" s="4" t="n">
        <v>24525.164</v>
      </c>
      <c r="E36" s="4" t="n">
        <v>2785.4019</v>
      </c>
      <c r="F36" s="4" t="n">
        <v>3907.1095</v>
      </c>
      <c r="G36" s="4" t="n">
        <v>90.16889999999999</v>
      </c>
      <c r="H36" s="4" t="n">
        <v>11542.2959</v>
      </c>
      <c r="I36" s="4" t="n">
        <v>5.2281</v>
      </c>
      <c r="J36" s="4" t="n">
        <v>7.3141</v>
      </c>
      <c r="K36" s="4" t="n">
        <v>16184.2428</v>
      </c>
      <c r="L36" s="4" t="n">
        <v>-0.3795</v>
      </c>
      <c r="M36" s="6">
        <f>IF(D36&gt;0,100*F36/D36,"")</f>
        <v/>
      </c>
      <c r="N36" s="6">
        <f>IF(H36&gt;0,100*G36/H36,"")</f>
        <v/>
      </c>
      <c r="O36" s="6">
        <f>IF(AND(ISNUMBER(J36),ISNUMBER(I36)),100*(J36/I36-1),"")</f>
        <v/>
      </c>
    </row>
    <row r="37">
      <c r="A37" s="4" t="inlineStr">
        <is>
          <t>462500802</t>
        </is>
      </c>
      <c r="B37" s="4" t="inlineStr">
        <is>
          <t>SANT ISIDRE</t>
        </is>
      </c>
      <c r="C37" s="4" t="n">
        <v>9885.0406</v>
      </c>
      <c r="D37" s="4" t="n">
        <v>10349.6501</v>
      </c>
      <c r="E37" s="4" t="n">
        <v>653.7314</v>
      </c>
      <c r="F37" s="4" t="n">
        <v>1039.5317</v>
      </c>
      <c r="G37" s="4" t="n">
        <v>3.0069</v>
      </c>
      <c r="H37" s="4" t="n">
        <v>4403.7017</v>
      </c>
      <c r="I37" s="4" t="n">
        <v>4.7956</v>
      </c>
      <c r="J37" s="4" t="n">
        <v>6.8228</v>
      </c>
      <c r="K37" s="4" t="n">
        <v>14766.1862</v>
      </c>
      <c r="L37" s="4" t="n">
        <v>-0.5249</v>
      </c>
      <c r="M37" s="6">
        <f>IF(D37&gt;0,100*F37/D37,"")</f>
        <v/>
      </c>
      <c r="N37" s="6">
        <f>IF(H37&gt;0,100*G37/H37,"")</f>
        <v/>
      </c>
      <c r="O37" s="6">
        <f>IF(AND(ISNUMBER(J37),ISNUMBER(I37)),100*(J37/I37-1),"")</f>
        <v/>
      </c>
    </row>
    <row r="38">
      <c r="A38" s="4" t="inlineStr">
        <is>
          <t>462500803</t>
        </is>
      </c>
      <c r="B38" s="4" t="inlineStr">
        <is>
          <t>VARA DE QUART</t>
        </is>
      </c>
      <c r="C38" s="4" t="n">
        <v>10098.7399</v>
      </c>
      <c r="D38" s="4" t="n">
        <v>10117.5955</v>
      </c>
      <c r="E38" s="4" t="n">
        <v>888.6167</v>
      </c>
      <c r="F38" s="4" t="n">
        <v>1262.6413</v>
      </c>
      <c r="G38" s="4" t="n">
        <v>13.8133</v>
      </c>
      <c r="H38" s="4" t="n">
        <v>4657.4638</v>
      </c>
      <c r="I38" s="4" t="n">
        <v>4.6294</v>
      </c>
      <c r="J38" s="4" t="n">
        <v>6.2001</v>
      </c>
      <c r="K38" s="4" t="n">
        <v>15530.1261</v>
      </c>
      <c r="L38" s="4" t="n">
        <v>-0.9022</v>
      </c>
      <c r="M38" s="6">
        <f>IF(D38&gt;0,100*F38/D38,"")</f>
        <v/>
      </c>
      <c r="N38" s="6">
        <f>IF(H38&gt;0,100*G38/H38,"")</f>
        <v/>
      </c>
      <c r="O38" s="6">
        <f>IF(AND(ISNUMBER(J38),ISNUMBER(I38)),100*(J38/I38-1),"")</f>
        <v/>
      </c>
    </row>
    <row r="39">
      <c r="A39" s="4" t="inlineStr">
        <is>
          <t>462500804</t>
        </is>
      </c>
      <c r="B39" s="4" t="inlineStr">
        <is>
          <t>SAFRANAR</t>
        </is>
      </c>
      <c r="C39" s="4" t="n">
        <v>9366.6162</v>
      </c>
      <c r="D39" s="4" t="n">
        <v>11078.6306</v>
      </c>
      <c r="E39" s="4" t="n">
        <v>600.747</v>
      </c>
      <c r="F39" s="4" t="n">
        <v>1098.6167</v>
      </c>
      <c r="G39" s="4" t="n">
        <v>32.5753</v>
      </c>
      <c r="H39" s="4" t="n">
        <v>4174.0803</v>
      </c>
      <c r="I39" s="4" t="n">
        <v>5.0036</v>
      </c>
      <c r="J39" s="4" t="n">
        <v>7.0579</v>
      </c>
      <c r="K39" s="4" t="n">
        <v>16616.371</v>
      </c>
      <c r="L39" s="4" t="n">
        <v>-0.405</v>
      </c>
      <c r="M39" s="6">
        <f>IF(D39&gt;0,100*F39/D39,"")</f>
        <v/>
      </c>
      <c r="N39" s="6">
        <f>IF(H39&gt;0,100*G39/H39,"")</f>
        <v/>
      </c>
      <c r="O39" s="6">
        <f>IF(AND(ISNUMBER(J39),ISNUMBER(I39)),100*(J39/I39-1),"")</f>
        <v/>
      </c>
    </row>
    <row r="40">
      <c r="A40" s="4" t="inlineStr">
        <is>
          <t>462500805</t>
        </is>
      </c>
      <c r="B40" s="4" t="inlineStr">
        <is>
          <t>FAVARA</t>
        </is>
      </c>
      <c r="C40" s="4" t="n">
        <v>3768.1078</v>
      </c>
      <c r="D40" s="4" t="n">
        <v>3804.8888</v>
      </c>
      <c r="E40" s="4" t="n">
        <v>555.8137</v>
      </c>
      <c r="F40" s="4" t="n">
        <v>672.4414</v>
      </c>
      <c r="G40" s="4" t="n">
        <v>7.5311</v>
      </c>
      <c r="H40" s="4" t="n">
        <v>1769.705</v>
      </c>
      <c r="I40" s="4" t="n">
        <v>5.2312</v>
      </c>
      <c r="J40" s="4" t="n">
        <v>7.7504</v>
      </c>
      <c r="K40" s="4" t="n">
        <v>14267.7284</v>
      </c>
      <c r="L40" s="4" t="n">
        <v>-0.1233</v>
      </c>
      <c r="M40" s="6">
        <f>IF(D40&gt;0,100*F40/D40,"")</f>
        <v/>
      </c>
      <c r="N40" s="6">
        <f>IF(H40&gt;0,100*G40/H40,"")</f>
        <v/>
      </c>
      <c r="O40" s="6">
        <f>IF(AND(ISNUMBER(J40),ISNUMBER(I40)),100*(J40/I40-1),"")</f>
        <v/>
      </c>
    </row>
    <row r="41">
      <c r="A41" s="4" t="inlineStr">
        <is>
          <t>462500901</t>
        </is>
      </c>
      <c r="B41" s="4" t="inlineStr">
        <is>
          <t>LA RAIOSA</t>
        </is>
      </c>
      <c r="C41" s="4" t="n">
        <v>14955.019</v>
      </c>
      <c r="D41" s="4" t="n">
        <v>15886.6615</v>
      </c>
      <c r="E41" s="4" t="n">
        <v>2786.8387</v>
      </c>
      <c r="F41" s="4" t="n">
        <v>3708.71</v>
      </c>
      <c r="G41" s="4" t="n">
        <v>104.1848</v>
      </c>
      <c r="H41" s="4" t="n">
        <v>7651.2231</v>
      </c>
      <c r="I41" s="4" t="n">
        <v>5.3272</v>
      </c>
      <c r="J41" s="4" t="n">
        <v>7.3849</v>
      </c>
      <c r="K41" s="4" t="n">
        <v>14362.078</v>
      </c>
      <c r="L41" s="4" t="n">
        <v>-0.2351</v>
      </c>
      <c r="M41" s="6">
        <f>IF(D41&gt;0,100*F41/D41,"")</f>
        <v/>
      </c>
      <c r="N41" s="6">
        <f>IF(H41&gt;0,100*G41/H41,"")</f>
        <v/>
      </c>
      <c r="O41" s="6">
        <f>IF(AND(ISNUMBER(J41),ISNUMBER(I41)),100*(J41/I41-1),"")</f>
        <v/>
      </c>
    </row>
    <row r="42">
      <c r="A42" s="4" t="inlineStr">
        <is>
          <t>462500902</t>
        </is>
      </c>
      <c r="B42" s="4" t="inlineStr">
        <is>
          <t>L'HORT DE SENABRE</t>
        </is>
      </c>
      <c r="C42" s="4" t="n">
        <v>16776.5826</v>
      </c>
      <c r="D42" s="4" t="n">
        <v>17183.221</v>
      </c>
      <c r="E42" s="4" t="n">
        <v>2215.916</v>
      </c>
      <c r="F42" s="4" t="n">
        <v>3077.3152</v>
      </c>
      <c r="G42" s="4" t="n">
        <v>37.5158</v>
      </c>
      <c r="H42" s="4" t="n">
        <v>7595.8481</v>
      </c>
      <c r="I42" s="4" t="n">
        <v>4.9393</v>
      </c>
      <c r="J42" s="4" t="n">
        <v>6.7872</v>
      </c>
      <c r="K42" s="4" t="n">
        <v>13496.784</v>
      </c>
      <c r="L42" s="4" t="n">
        <v>-0.5334</v>
      </c>
      <c r="M42" s="6">
        <f>IF(D42&gt;0,100*F42/D42,"")</f>
        <v/>
      </c>
      <c r="N42" s="6">
        <f>IF(H42&gt;0,100*G42/H42,"")</f>
        <v/>
      </c>
      <c r="O42" s="6">
        <f>IF(AND(ISNUMBER(J42),ISNUMBER(I42)),100*(J42/I42-1),"")</f>
        <v/>
      </c>
    </row>
    <row r="43">
      <c r="A43" s="4" t="inlineStr">
        <is>
          <t>462500903</t>
        </is>
      </c>
      <c r="B43" s="4" t="inlineStr">
        <is>
          <t>LA CREU COBERTA</t>
        </is>
      </c>
      <c r="C43" s="4" t="n">
        <v>6117.7724</v>
      </c>
      <c r="D43" s="4" t="n">
        <v>6297.6009</v>
      </c>
      <c r="E43" s="4" t="n">
        <v>776.5497</v>
      </c>
      <c r="F43" s="4" t="n">
        <v>1104.6564</v>
      </c>
      <c r="G43" s="4" t="n">
        <v>7.4418</v>
      </c>
      <c r="H43" s="4" t="n">
        <v>2971.3187</v>
      </c>
      <c r="I43" s="4" t="n">
        <v>5.1767</v>
      </c>
      <c r="J43" s="4" t="n">
        <v>7.1628</v>
      </c>
      <c r="K43" s="4" t="n">
        <v>14261.84</v>
      </c>
      <c r="L43" s="4" t="n">
        <v>-0.4652</v>
      </c>
      <c r="M43" s="6">
        <f>IF(D43&gt;0,100*F43/D43,"")</f>
        <v/>
      </c>
      <c r="N43" s="6">
        <f>IF(H43&gt;0,100*G43/H43,"")</f>
        <v/>
      </c>
      <c r="O43" s="6">
        <f>IF(AND(ISNUMBER(J43),ISNUMBER(I43)),100*(J43/I43-1),"")</f>
        <v/>
      </c>
    </row>
    <row r="44">
      <c r="A44" s="4" t="inlineStr">
        <is>
          <t>462500904</t>
        </is>
      </c>
      <c r="B44" s="4" t="inlineStr">
        <is>
          <t>SANT MARCEL.LI</t>
        </is>
      </c>
      <c r="C44" s="4" t="n">
        <v>9907.215399999999</v>
      </c>
      <c r="D44" s="4" t="n">
        <v>10621.9277</v>
      </c>
      <c r="E44" s="4" t="n">
        <v>1250.948</v>
      </c>
      <c r="F44" s="4" t="n">
        <v>2160.575</v>
      </c>
      <c r="G44" s="4" t="n">
        <v>18.1527</v>
      </c>
      <c r="H44" s="4" t="n">
        <v>4772.6877</v>
      </c>
      <c r="I44" s="4" t="n">
        <v>5.3853</v>
      </c>
      <c r="J44" s="4" t="n">
        <v>7.8078</v>
      </c>
      <c r="K44" s="4" t="n">
        <v>12715.0587</v>
      </c>
      <c r="L44" s="4" t="n">
        <v>0.2092</v>
      </c>
      <c r="M44" s="6">
        <f>IF(D44&gt;0,100*F44/D44,"")</f>
        <v/>
      </c>
      <c r="N44" s="6">
        <f>IF(H44&gt;0,100*G44/H44,"")</f>
        <v/>
      </c>
      <c r="O44" s="6">
        <f>IF(AND(ISNUMBER(J44),ISNUMBER(I44)),100*(J44/I44-1),"")</f>
        <v/>
      </c>
    </row>
    <row r="45">
      <c r="A45" s="4" t="inlineStr">
        <is>
          <t>462500905</t>
        </is>
      </c>
      <c r="B45" s="4" t="inlineStr">
        <is>
          <t>CAMI REAL</t>
        </is>
      </c>
      <c r="C45" s="4" t="n">
        <v>3829.7693</v>
      </c>
      <c r="D45" s="4" t="n">
        <v>3975.1573</v>
      </c>
      <c r="E45" s="4" t="n">
        <v>423.7521</v>
      </c>
      <c r="F45" s="4" t="n">
        <v>543.2769</v>
      </c>
      <c r="G45" s="4" t="n">
        <v>17.7341</v>
      </c>
      <c r="H45" s="4" t="n">
        <v>1905.8952</v>
      </c>
      <c r="I45" s="4" t="n">
        <v>5.0695</v>
      </c>
      <c r="J45" s="4" t="n">
        <v>7.4466</v>
      </c>
      <c r="K45" s="4" t="n">
        <v>13037.0193</v>
      </c>
      <c r="L45" s="4" t="n">
        <v>-0.1634</v>
      </c>
      <c r="M45" s="6">
        <f>IF(D45&gt;0,100*F45/D45,"")</f>
        <v/>
      </c>
      <c r="N45" s="6">
        <f>IF(H45&gt;0,100*G45/H45,"")</f>
        <v/>
      </c>
      <c r="O45" s="6">
        <f>IF(AND(ISNUMBER(J45),ISNUMBER(I45)),100*(J45/I45-1),"")</f>
        <v/>
      </c>
    </row>
    <row r="46">
      <c r="A46" s="4" t="inlineStr">
        <is>
          <t>462501001</t>
        </is>
      </c>
      <c r="B46" s="4" t="inlineStr">
        <is>
          <t>MONTOLIVET</t>
        </is>
      </c>
      <c r="C46" s="4" t="n">
        <v>18604.1642</v>
      </c>
      <c r="D46" s="4" t="n">
        <v>19554.8864</v>
      </c>
      <c r="E46" s="4" t="n">
        <v>3045.4797</v>
      </c>
      <c r="F46" s="4" t="n">
        <v>4279.4791</v>
      </c>
      <c r="G46" s="4" t="n">
        <v>180.4304</v>
      </c>
      <c r="H46" s="4" t="n">
        <v>9601.5931</v>
      </c>
      <c r="I46" s="4" t="n">
        <v>5.089</v>
      </c>
      <c r="J46" s="4" t="n">
        <v>7.1111</v>
      </c>
      <c r="K46" s="4" t="n">
        <v>14517.9017</v>
      </c>
      <c r="L46" s="4" t="n">
        <v>-0.061</v>
      </c>
      <c r="M46" s="6">
        <f>IF(D46&gt;0,100*F46/D46,"")</f>
        <v/>
      </c>
      <c r="N46" s="6">
        <f>IF(H46&gt;0,100*G46/H46,"")</f>
        <v/>
      </c>
      <c r="O46" s="6">
        <f>IF(AND(ISNUMBER(J46),ISNUMBER(I46)),100*(J46/I46-1),"")</f>
        <v/>
      </c>
    </row>
    <row r="47">
      <c r="A47" s="4" t="inlineStr">
        <is>
          <t>462501002</t>
        </is>
      </c>
      <c r="B47" s="4" t="inlineStr">
        <is>
          <t>EN CORTS</t>
        </is>
      </c>
      <c r="C47" s="4" t="n">
        <v>11879.9459</v>
      </c>
      <c r="D47" s="4" t="n">
        <v>12308.4156</v>
      </c>
      <c r="E47" s="4" t="n">
        <v>2114.4863</v>
      </c>
      <c r="F47" s="4" t="n">
        <v>2859.0526</v>
      </c>
      <c r="G47" s="4" t="n">
        <v>158.6395</v>
      </c>
      <c r="H47" s="4" t="n">
        <v>6065.2287</v>
      </c>
      <c r="I47" s="4" t="n">
        <v>5.2105</v>
      </c>
      <c r="J47" s="4" t="n">
        <v>7.4894</v>
      </c>
      <c r="K47" s="4" t="n">
        <v>13914.4421</v>
      </c>
      <c r="L47" s="4" t="n">
        <v>0.2866</v>
      </c>
      <c r="M47" s="6">
        <f>IF(D47&gt;0,100*F47/D47,"")</f>
        <v/>
      </c>
      <c r="N47" s="6">
        <f>IF(H47&gt;0,100*G47/H47,"")</f>
        <v/>
      </c>
      <c r="O47" s="6">
        <f>IF(AND(ISNUMBER(J47),ISNUMBER(I47)),100*(J47/I47-1),"")</f>
        <v/>
      </c>
    </row>
    <row r="48">
      <c r="A48" s="4" t="inlineStr">
        <is>
          <t>462501003</t>
        </is>
      </c>
      <c r="B48" s="4" t="inlineStr">
        <is>
          <t>MALILLA</t>
        </is>
      </c>
      <c r="C48" s="4" t="n">
        <v>21590.683</v>
      </c>
      <c r="D48" s="4" t="n">
        <v>25838.8562</v>
      </c>
      <c r="E48" s="4" t="n">
        <v>1806.8322</v>
      </c>
      <c r="F48" s="4" t="n">
        <v>4238.5236</v>
      </c>
      <c r="G48" s="4" t="n">
        <v>49.5338</v>
      </c>
      <c r="H48" s="4" t="n">
        <v>10036.4964</v>
      </c>
      <c r="I48" s="4" t="n">
        <v>4.9446</v>
      </c>
      <c r="J48" s="4" t="n">
        <v>7.2392</v>
      </c>
      <c r="K48" s="4" t="n">
        <v>15491.831</v>
      </c>
      <c r="L48" s="4" t="n">
        <v>0.2319</v>
      </c>
      <c r="M48" s="6">
        <f>IF(D48&gt;0,100*F48/D48,"")</f>
        <v/>
      </c>
      <c r="N48" s="6">
        <f>IF(H48&gt;0,100*G48/H48,"")</f>
        <v/>
      </c>
      <c r="O48" s="6">
        <f>IF(AND(ISNUMBER(J48),ISNUMBER(I48)),100*(J48/I48-1),"")</f>
        <v/>
      </c>
    </row>
    <row r="49">
      <c r="A49" s="4" t="inlineStr">
        <is>
          <t>462501004</t>
        </is>
      </c>
      <c r="B49" s="4" t="inlineStr">
        <is>
          <t>LA FONTETA S.LLUIS</t>
        </is>
      </c>
      <c r="C49" s="4" t="n">
        <v>2964.9169</v>
      </c>
      <c r="D49" s="4" t="n">
        <v>3362.4624</v>
      </c>
      <c r="E49" s="4" t="n">
        <v>372.4749</v>
      </c>
      <c r="F49" s="4" t="n">
        <v>647.2476</v>
      </c>
      <c r="G49" s="4" t="n">
        <v>10.1657</v>
      </c>
      <c r="H49" s="4" t="n">
        <v>1422.3926</v>
      </c>
      <c r="I49" s="4" t="n">
        <v>4.0169</v>
      </c>
      <c r="J49" s="4" t="n">
        <v>5.7125</v>
      </c>
      <c r="K49" s="4" t="n">
        <v>12338.9736</v>
      </c>
      <c r="L49" s="4" t="n">
        <v>-0.2681</v>
      </c>
      <c r="M49" s="6">
        <f>IF(D49&gt;0,100*F49/D49,"")</f>
        <v/>
      </c>
      <c r="N49" s="6">
        <f>IF(H49&gt;0,100*G49/H49,"")</f>
        <v/>
      </c>
      <c r="O49" s="6">
        <f>IF(AND(ISNUMBER(J49),ISNUMBER(I49)),100*(J49/I49-1),"")</f>
        <v/>
      </c>
    </row>
    <row r="50">
      <c r="A50" s="4" t="inlineStr">
        <is>
          <t>462501005</t>
        </is>
      </c>
      <c r="B50" s="4" t="inlineStr">
        <is>
          <t>NA ROVELLA</t>
        </is>
      </c>
      <c r="C50" s="4" t="n">
        <v>7851.0735</v>
      </c>
      <c r="D50" s="4" t="n">
        <v>8150.0274</v>
      </c>
      <c r="E50" s="4" t="n">
        <v>1114.4406</v>
      </c>
      <c r="F50" s="4" t="n">
        <v>1787.4452</v>
      </c>
      <c r="G50" s="4" t="n">
        <v>43.9821</v>
      </c>
      <c r="H50" s="4" t="n">
        <v>3436.1771</v>
      </c>
      <c r="I50" s="4" t="n">
        <v>4.5727</v>
      </c>
      <c r="J50" s="4" t="n">
        <v>6.545</v>
      </c>
      <c r="K50" s="4" t="n">
        <v>10814.8162</v>
      </c>
      <c r="L50" s="4" t="n">
        <v>0.1008</v>
      </c>
      <c r="M50" s="6">
        <f>IF(D50&gt;0,100*F50/D50,"")</f>
        <v/>
      </c>
      <c r="N50" s="6">
        <f>IF(H50&gt;0,100*G50/H50,"")</f>
        <v/>
      </c>
      <c r="O50" s="6">
        <f>IF(AND(ISNUMBER(J50),ISNUMBER(I50)),100*(J50/I50-1),"")</f>
        <v/>
      </c>
    </row>
    <row r="51">
      <c r="A51" s="4" t="inlineStr">
        <is>
          <t>462501006</t>
        </is>
      </c>
      <c r="B51" s="4" t="inlineStr">
        <is>
          <t>LA PUNTA</t>
        </is>
      </c>
      <c r="C51" s="4" t="n">
        <v>2610.9644</v>
      </c>
      <c r="D51" s="4" t="n">
        <v>4348.4913</v>
      </c>
      <c r="E51" s="4" t="n">
        <v>347.5873</v>
      </c>
      <c r="F51" s="4" t="n">
        <v>1276.9288</v>
      </c>
      <c r="G51" s="4" t="n">
        <v>32.3599</v>
      </c>
      <c r="H51" s="4" t="n">
        <v>1636.3324</v>
      </c>
      <c r="I51" s="4" t="n">
        <v>7.5534</v>
      </c>
      <c r="J51" s="4" t="n">
        <v>10.6717</v>
      </c>
      <c r="K51" s="4" t="n">
        <v>16016.1619</v>
      </c>
      <c r="L51" s="4" t="n">
        <v>1.5879</v>
      </c>
      <c r="M51" s="6">
        <f>IF(D51&gt;0,100*F51/D51,"")</f>
        <v/>
      </c>
      <c r="N51" s="6">
        <f>IF(H51&gt;0,100*G51/H51,"")</f>
        <v/>
      </c>
      <c r="O51" s="6">
        <f>IF(AND(ISNUMBER(J51),ISNUMBER(I51)),100*(J51/I51-1),"")</f>
        <v/>
      </c>
    </row>
    <row r="52">
      <c r="A52" s="4" t="inlineStr">
        <is>
          <t>462501007</t>
        </is>
      </c>
      <c r="B52" s="4" t="inlineStr">
        <is>
          <t>CIUTAT DE LES ARTS I DE LES CIENCIES</t>
        </is>
      </c>
      <c r="C52" s="4" t="n">
        <v>7536.4971</v>
      </c>
      <c r="D52" s="4" t="n">
        <v>9341.8709</v>
      </c>
      <c r="E52" s="4" t="n">
        <v>1105.5856</v>
      </c>
      <c r="F52" s="4" t="n">
        <v>2147.4896</v>
      </c>
      <c r="G52" s="4" t="n">
        <v>84.5403</v>
      </c>
      <c r="H52" s="4" t="n">
        <v>3891.0358</v>
      </c>
      <c r="I52" s="4" t="n">
        <v>7.4761</v>
      </c>
      <c r="J52" s="4" t="n">
        <v>10.3427</v>
      </c>
      <c r="K52" s="4" t="n">
        <v>20742.7541</v>
      </c>
      <c r="L52" s="4" t="n">
        <v>0.7022</v>
      </c>
      <c r="M52" s="6">
        <f>IF(D52&gt;0,100*F52/D52,"")</f>
        <v/>
      </c>
      <c r="N52" s="6">
        <f>IF(H52&gt;0,100*G52/H52,"")</f>
        <v/>
      </c>
      <c r="O52" s="6">
        <f>IF(AND(ISNUMBER(J52),ISNUMBER(I52)),100*(J52/I52-1),"")</f>
        <v/>
      </c>
    </row>
    <row r="53">
      <c r="A53" s="4" t="inlineStr">
        <is>
          <t>462501101</t>
        </is>
      </c>
      <c r="B53" s="4" t="inlineStr">
        <is>
          <t>EL GRAU</t>
        </is>
      </c>
      <c r="C53" s="4" t="n">
        <v>9559.3349</v>
      </c>
      <c r="D53" s="4" t="n">
        <v>10359.3098</v>
      </c>
      <c r="E53" s="4" t="n">
        <v>1561.6391</v>
      </c>
      <c r="F53" s="4" t="n">
        <v>2569.5628</v>
      </c>
      <c r="G53" s="4" t="n">
        <v>217.2475</v>
      </c>
      <c r="H53" s="4" t="n">
        <v>4796.3026</v>
      </c>
      <c r="I53" s="4" t="n">
        <v>5.5539</v>
      </c>
      <c r="J53" s="4" t="n">
        <v>8.1692</v>
      </c>
      <c r="K53" s="4" t="n">
        <v>13968.7636</v>
      </c>
      <c r="L53" s="4" t="n">
        <v>1.166</v>
      </c>
      <c r="M53" s="6">
        <f>IF(D53&gt;0,100*F53/D53,"")</f>
        <v/>
      </c>
      <c r="N53" s="6">
        <f>IF(H53&gt;0,100*G53/H53,"")</f>
        <v/>
      </c>
      <c r="O53" s="6">
        <f>IF(AND(ISNUMBER(J53),ISNUMBER(I53)),100*(J53/I53-1),"")</f>
        <v/>
      </c>
    </row>
    <row r="54">
      <c r="A54" s="4" t="inlineStr">
        <is>
          <t>462501102</t>
        </is>
      </c>
      <c r="B54" s="4" t="inlineStr">
        <is>
          <t>CABANYAL-CANYAMELAR</t>
        </is>
      </c>
      <c r="C54" s="4" t="n">
        <v>16379.2878</v>
      </c>
      <c r="D54" s="4" t="n">
        <v>19732.8366</v>
      </c>
      <c r="E54" s="4" t="n">
        <v>2501.204</v>
      </c>
      <c r="F54" s="4" t="n">
        <v>4289.9821</v>
      </c>
      <c r="G54" s="4" t="n">
        <v>518.5901</v>
      </c>
      <c r="H54" s="4" t="n">
        <v>10348.8689</v>
      </c>
      <c r="I54" s="4" t="n">
        <v>6.0204</v>
      </c>
      <c r="J54" s="4" t="n">
        <v>8.9072</v>
      </c>
      <c r="K54" s="4" t="n">
        <v>14056.1357</v>
      </c>
      <c r="L54" s="4" t="n">
        <v>1.208</v>
      </c>
      <c r="M54" s="6">
        <f>IF(D54&gt;0,100*F54/D54,"")</f>
        <v/>
      </c>
      <c r="N54" s="6">
        <f>IF(H54&gt;0,100*G54/H54,"")</f>
        <v/>
      </c>
      <c r="O54" s="6">
        <f>IF(AND(ISNUMBER(J54),ISNUMBER(I54)),100*(J54/I54-1),"")</f>
        <v/>
      </c>
    </row>
    <row r="55">
      <c r="A55" s="4" t="inlineStr">
        <is>
          <t>462501103</t>
        </is>
      </c>
      <c r="B55" s="4" t="inlineStr">
        <is>
          <t>LA MALVA-ROSA</t>
        </is>
      </c>
      <c r="C55" s="4" t="n">
        <v>12711.3177</v>
      </c>
      <c r="D55" s="4" t="n">
        <v>13319.9235</v>
      </c>
      <c r="E55" s="4" t="n">
        <v>1573.7485</v>
      </c>
      <c r="F55" s="4" t="n">
        <v>2667.4098</v>
      </c>
      <c r="G55" s="4" t="n">
        <v>159.0366</v>
      </c>
      <c r="H55" s="4" t="n">
        <v>6818.9678</v>
      </c>
      <c r="I55" s="4" t="n">
        <v>5.7079</v>
      </c>
      <c r="J55" s="4" t="n">
        <v>8.265000000000001</v>
      </c>
      <c r="K55" s="4" t="n">
        <v>13468.745</v>
      </c>
      <c r="L55" s="4" t="n">
        <v>0.6136</v>
      </c>
      <c r="M55" s="6">
        <f>IF(D55&gt;0,100*F55/D55,"")</f>
        <v/>
      </c>
      <c r="N55" s="6">
        <f>IF(H55&gt;0,100*G55/H55,"")</f>
        <v/>
      </c>
      <c r="O55" s="6">
        <f>IF(AND(ISNUMBER(J55),ISNUMBER(I55)),100*(J55/I55-1),"")</f>
        <v/>
      </c>
    </row>
    <row r="56">
      <c r="A56" s="4" t="inlineStr">
        <is>
          <t>462501104</t>
        </is>
      </c>
      <c r="B56" s="4" t="inlineStr">
        <is>
          <t>BETERO</t>
        </is>
      </c>
      <c r="C56" s="4" t="n">
        <v>7645.0712</v>
      </c>
      <c r="D56" s="4" t="n">
        <v>7658.2737</v>
      </c>
      <c r="E56" s="4" t="n">
        <v>771.2247</v>
      </c>
      <c r="F56" s="4" t="n">
        <v>1104.9974</v>
      </c>
      <c r="G56" s="4" t="n">
        <v>40.882</v>
      </c>
      <c r="H56" s="4" t="n">
        <v>3719.1202</v>
      </c>
      <c r="I56" s="4" t="n">
        <v>5.9535</v>
      </c>
      <c r="J56" s="4" t="n">
        <v>9.0319</v>
      </c>
      <c r="K56" s="4" t="n">
        <v>15468.8362</v>
      </c>
      <c r="L56" s="4" t="n">
        <v>0.4788</v>
      </c>
      <c r="M56" s="6">
        <f>IF(D56&gt;0,100*F56/D56,"")</f>
        <v/>
      </c>
      <c r="N56" s="6">
        <f>IF(H56&gt;0,100*G56/H56,"")</f>
        <v/>
      </c>
      <c r="O56" s="6">
        <f>IF(AND(ISNUMBER(J56),ISNUMBER(I56)),100*(J56/I56-1),"")</f>
        <v/>
      </c>
    </row>
    <row r="57">
      <c r="A57" s="4" t="inlineStr">
        <is>
          <t>462501105</t>
        </is>
      </c>
      <c r="B57" s="4" t="inlineStr">
        <is>
          <t>NATZARET</t>
        </is>
      </c>
      <c r="C57" s="4" t="n">
        <v>5650.6588</v>
      </c>
      <c r="D57" s="4" t="n">
        <v>6266.4427</v>
      </c>
      <c r="E57" s="4" t="n">
        <v>990.9767000000001</v>
      </c>
      <c r="F57" s="4" t="n">
        <v>1591.3131</v>
      </c>
      <c r="G57" s="4" t="n">
        <v>66.6216</v>
      </c>
      <c r="H57" s="4" t="n">
        <v>2878.9748</v>
      </c>
      <c r="I57" s="4" t="n">
        <v>4.4873</v>
      </c>
      <c r="J57" s="4" t="n">
        <v>6.9411</v>
      </c>
      <c r="K57" s="4" t="n">
        <v>10581.6192</v>
      </c>
      <c r="L57" s="4" t="n">
        <v>0.8374</v>
      </c>
      <c r="M57" s="6">
        <f>IF(D57&gt;0,100*F57/D57,"")</f>
        <v/>
      </c>
      <c r="N57" s="6">
        <f>IF(H57&gt;0,100*G57/H57,"")</f>
        <v/>
      </c>
      <c r="O57" s="6">
        <f>IF(AND(ISNUMBER(J57),ISNUMBER(I57)),100*(J57/I57-1),"")</f>
        <v/>
      </c>
    </row>
    <row r="58">
      <c r="A58" s="4" t="inlineStr">
        <is>
          <t>462501201</t>
        </is>
      </c>
      <c r="B58" s="4" t="inlineStr">
        <is>
          <t>AIORA</t>
        </is>
      </c>
      <c r="C58" s="4" t="n">
        <v>24225.1473</v>
      </c>
      <c r="D58" s="4" t="n">
        <v>24779.0433</v>
      </c>
      <c r="E58" s="4" t="n">
        <v>3581.838</v>
      </c>
      <c r="F58" s="4" t="n">
        <v>4922.4651</v>
      </c>
      <c r="G58" s="4" t="n">
        <v>259.1508</v>
      </c>
      <c r="H58" s="4" t="n">
        <v>11732.6552</v>
      </c>
      <c r="I58" s="4" t="n">
        <v>5.8248</v>
      </c>
      <c r="J58" s="4" t="n">
        <v>8.1807</v>
      </c>
      <c r="K58" s="4" t="n">
        <v>14111.2634</v>
      </c>
      <c r="L58" s="4" t="n">
        <v>0.1499</v>
      </c>
      <c r="M58" s="6">
        <f>IF(D58&gt;0,100*F58/D58,"")</f>
        <v/>
      </c>
      <c r="N58" s="6">
        <f>IF(H58&gt;0,100*G58/H58,"")</f>
        <v/>
      </c>
      <c r="O58" s="6">
        <f>IF(AND(ISNUMBER(J58),ISNUMBER(I58)),100*(J58/I58-1),"")</f>
        <v/>
      </c>
    </row>
    <row r="59">
      <c r="A59" s="4" t="inlineStr">
        <is>
          <t>462501202</t>
        </is>
      </c>
      <c r="B59" s="4" t="inlineStr">
        <is>
          <t>ALBORS</t>
        </is>
      </c>
      <c r="C59" s="4" t="n">
        <v>8726.775600000001</v>
      </c>
      <c r="D59" s="4" t="n">
        <v>9131.125899999999</v>
      </c>
      <c r="E59" s="4" t="n">
        <v>1169.2274</v>
      </c>
      <c r="F59" s="4" t="n">
        <v>1707.7701</v>
      </c>
      <c r="G59" s="4" t="n">
        <v>52.7911</v>
      </c>
      <c r="H59" s="4" t="n">
        <v>4675.6173</v>
      </c>
      <c r="I59" s="4" t="n">
        <v>5.8205</v>
      </c>
      <c r="J59" s="4" t="n">
        <v>8.3348</v>
      </c>
      <c r="K59" s="4" t="n">
        <v>15358.1651</v>
      </c>
      <c r="L59" s="4" t="n">
        <v>0.1168</v>
      </c>
      <c r="M59" s="6">
        <f>IF(D59&gt;0,100*F59/D59,"")</f>
        <v/>
      </c>
      <c r="N59" s="6">
        <f>IF(H59&gt;0,100*G59/H59,"")</f>
        <v/>
      </c>
      <c r="O59" s="6">
        <f>IF(AND(ISNUMBER(J59),ISNUMBER(I59)),100*(J59/I59-1),"")</f>
        <v/>
      </c>
    </row>
    <row r="60">
      <c r="A60" s="4" t="inlineStr">
        <is>
          <t>462501203</t>
        </is>
      </c>
      <c r="B60" s="4" t="inlineStr">
        <is>
          <t>LA CREU DEL GRAU</t>
        </is>
      </c>
      <c r="C60" s="4" t="n">
        <v>14624.1547</v>
      </c>
      <c r="D60" s="4" t="n">
        <v>15299.9028</v>
      </c>
      <c r="E60" s="4" t="n">
        <v>2372.085</v>
      </c>
      <c r="F60" s="4" t="n">
        <v>3396.1945</v>
      </c>
      <c r="G60" s="4" t="n">
        <v>79.2135</v>
      </c>
      <c r="H60" s="4" t="n">
        <v>7170.397</v>
      </c>
      <c r="I60" s="4" t="n">
        <v>6.0859</v>
      </c>
      <c r="J60" s="4" t="n">
        <v>8.5578</v>
      </c>
      <c r="K60" s="4" t="n">
        <v>13338.8172</v>
      </c>
      <c r="L60" s="4" t="n">
        <v>0.1048</v>
      </c>
      <c r="M60" s="6">
        <f>IF(D60&gt;0,100*F60/D60,"")</f>
        <v/>
      </c>
      <c r="N60" s="6">
        <f>IF(H60&gt;0,100*G60/H60,"")</f>
        <v/>
      </c>
      <c r="O60" s="6">
        <f>IF(AND(ISNUMBER(J60),ISNUMBER(I60)),100*(J60/I60-1),"")</f>
        <v/>
      </c>
    </row>
    <row r="61">
      <c r="A61" s="4" t="inlineStr">
        <is>
          <t>462501204</t>
        </is>
      </c>
      <c r="B61" s="4" t="inlineStr">
        <is>
          <t>CAMI FONDO</t>
        </is>
      </c>
      <c r="C61" s="4" t="n">
        <v>4565.1133</v>
      </c>
      <c r="D61" s="4" t="n">
        <v>4625.213</v>
      </c>
      <c r="E61" s="4" t="n">
        <v>781.0074</v>
      </c>
      <c r="F61" s="4" t="n">
        <v>959.9328</v>
      </c>
      <c r="G61" s="4" t="n">
        <v>30.3865</v>
      </c>
      <c r="H61" s="4" t="n">
        <v>2321.4968</v>
      </c>
      <c r="I61" s="4" t="n">
        <v>6.12</v>
      </c>
      <c r="J61" s="4" t="n">
        <v>8.4316</v>
      </c>
      <c r="K61" s="4" t="n">
        <v>13026.7735</v>
      </c>
      <c r="L61" s="4" t="n">
        <v>-0.2218</v>
      </c>
      <c r="M61" s="6">
        <f>IF(D61&gt;0,100*F61/D61,"")</f>
        <v/>
      </c>
      <c r="N61" s="6">
        <f>IF(H61&gt;0,100*G61/H61,"")</f>
        <v/>
      </c>
      <c r="O61" s="6">
        <f>IF(AND(ISNUMBER(J61),ISNUMBER(I61)),100*(J61/I61-1),"")</f>
        <v/>
      </c>
    </row>
    <row r="62">
      <c r="A62" s="4" t="inlineStr">
        <is>
          <t>462501205</t>
        </is>
      </c>
      <c r="B62" s="4" t="inlineStr">
        <is>
          <t>PENYA-ROJA</t>
        </is>
      </c>
      <c r="C62" s="4" t="n">
        <v>12844.0653</v>
      </c>
      <c r="D62" s="4" t="n">
        <v>13870.0975</v>
      </c>
      <c r="E62" s="4" t="n">
        <v>1599.0803</v>
      </c>
      <c r="F62" s="4" t="n">
        <v>2766.4356</v>
      </c>
      <c r="G62" s="4" t="n">
        <v>68.6048</v>
      </c>
      <c r="H62" s="4" t="n">
        <v>6111.1347</v>
      </c>
      <c r="I62" s="4" t="n">
        <v>7.6058</v>
      </c>
      <c r="J62" s="4" t="n">
        <v>9.9598</v>
      </c>
      <c r="K62" s="4" t="n">
        <v>22774.357</v>
      </c>
      <c r="L62" s="4" t="n">
        <v>0.0694</v>
      </c>
      <c r="M62" s="6">
        <f>IF(D62&gt;0,100*F62/D62,"")</f>
        <v/>
      </c>
      <c r="N62" s="6">
        <f>IF(H62&gt;0,100*G62/H62,"")</f>
        <v/>
      </c>
      <c r="O62" s="6">
        <f>IF(AND(ISNUMBER(J62),ISNUMBER(I62)),100*(J62/I62-1),"")</f>
        <v/>
      </c>
    </row>
    <row r="63">
      <c r="A63" s="4" t="inlineStr">
        <is>
          <t>462501301</t>
        </is>
      </c>
      <c r="B63" s="4" t="inlineStr">
        <is>
          <t>L'ILLA PERDUDA</t>
        </is>
      </c>
      <c r="C63" s="4" t="n">
        <v>8388.933000000001</v>
      </c>
      <c r="D63" s="4" t="n">
        <v>8399.1165</v>
      </c>
      <c r="E63" s="4" t="n">
        <v>752.0277</v>
      </c>
      <c r="F63" s="4" t="n">
        <v>1185.2515</v>
      </c>
      <c r="G63" s="4" t="n">
        <v>33.673</v>
      </c>
      <c r="H63" s="4" t="n">
        <v>4150.5777</v>
      </c>
      <c r="I63" s="4" t="n">
        <v>6.0536</v>
      </c>
      <c r="J63" s="4" t="n">
        <v>8.7699</v>
      </c>
      <c r="K63" s="4" t="n">
        <v>15609.9071</v>
      </c>
      <c r="L63" s="4" t="n">
        <v>0.1812</v>
      </c>
      <c r="M63" s="6">
        <f>IF(D63&gt;0,100*F63/D63,"")</f>
        <v/>
      </c>
      <c r="N63" s="6">
        <f>IF(H63&gt;0,100*G63/H63,"")</f>
        <v/>
      </c>
      <c r="O63" s="6">
        <f>IF(AND(ISNUMBER(J63),ISNUMBER(I63)),100*(J63/I63-1),"")</f>
        <v/>
      </c>
    </row>
    <row r="64">
      <c r="A64" s="4" t="inlineStr">
        <is>
          <t>462501302</t>
        </is>
      </c>
      <c r="B64" s="4" t="inlineStr">
        <is>
          <t>CIUTAT JARDI</t>
        </is>
      </c>
      <c r="C64" s="4" t="n">
        <v>11488.9682</v>
      </c>
      <c r="D64" s="4" t="n">
        <v>11786.997</v>
      </c>
      <c r="E64" s="4" t="n">
        <v>1329.0195</v>
      </c>
      <c r="F64" s="4" t="n">
        <v>1921.2702</v>
      </c>
      <c r="G64" s="4" t="n">
        <v>60.4275</v>
      </c>
      <c r="H64" s="4" t="n">
        <v>6936.0963</v>
      </c>
      <c r="I64" s="4" t="n">
        <v>6.3201</v>
      </c>
      <c r="J64" s="4" t="n">
        <v>8.913399999999999</v>
      </c>
      <c r="K64" s="4" t="n">
        <v>17574.5112</v>
      </c>
      <c r="L64" s="4" t="n">
        <v>0.0147</v>
      </c>
      <c r="M64" s="6">
        <f>IF(D64&gt;0,100*F64/D64,"")</f>
        <v/>
      </c>
      <c r="N64" s="6">
        <f>IF(H64&gt;0,100*G64/H64,"")</f>
        <v/>
      </c>
      <c r="O64" s="6">
        <f>IF(AND(ISNUMBER(J64),ISNUMBER(I64)),100*(J64/I64-1),"")</f>
        <v/>
      </c>
    </row>
    <row r="65">
      <c r="A65" s="4" t="inlineStr">
        <is>
          <t>462501303</t>
        </is>
      </c>
      <c r="B65" s="4" t="inlineStr">
        <is>
          <t>L'AMISTAT</t>
        </is>
      </c>
      <c r="C65" s="4" t="n">
        <v>7247.6771</v>
      </c>
      <c r="D65" s="4" t="n">
        <v>7465.1759</v>
      </c>
      <c r="E65" s="4" t="n">
        <v>1212.8493</v>
      </c>
      <c r="F65" s="4" t="n">
        <v>1689.3694</v>
      </c>
      <c r="G65" s="4" t="n">
        <v>44.2817</v>
      </c>
      <c r="H65" s="4" t="n">
        <v>4198.2639</v>
      </c>
      <c r="I65" s="4" t="n">
        <v>6.3667</v>
      </c>
      <c r="J65" s="4" t="n">
        <v>9.323</v>
      </c>
      <c r="K65" s="4" t="n">
        <v>15012.6531</v>
      </c>
      <c r="L65" s="4" t="n">
        <v>0.447</v>
      </c>
      <c r="M65" s="6">
        <f>IF(D65&gt;0,100*F65/D65,"")</f>
        <v/>
      </c>
      <c r="N65" s="6">
        <f>IF(H65&gt;0,100*G65/H65,"")</f>
        <v/>
      </c>
      <c r="O65" s="6">
        <f>IF(AND(ISNUMBER(J65),ISNUMBER(I65)),100*(J65/I65-1),"")</f>
        <v/>
      </c>
    </row>
    <row r="66">
      <c r="A66" s="4" t="inlineStr">
        <is>
          <t>462501304</t>
        </is>
      </c>
      <c r="B66" s="4" t="inlineStr">
        <is>
          <t>LA VEGA BAIXA</t>
        </is>
      </c>
      <c r="C66" s="4" t="n">
        <v>5178.2754</v>
      </c>
      <c r="D66" s="4" t="n">
        <v>5320.8825</v>
      </c>
      <c r="E66" s="4" t="n">
        <v>342.7773</v>
      </c>
      <c r="F66" s="4" t="n">
        <v>626.9542</v>
      </c>
      <c r="G66" s="4" t="n">
        <v>24.0004</v>
      </c>
      <c r="H66" s="4" t="n">
        <v>3114.9626</v>
      </c>
      <c r="I66" s="4" t="n">
        <v>6.677</v>
      </c>
      <c r="J66" s="4" t="n">
        <v>8.914099999999999</v>
      </c>
      <c r="K66" s="4" t="n">
        <v>20621.3409</v>
      </c>
      <c r="L66" s="4" t="n">
        <v>-0.274</v>
      </c>
      <c r="M66" s="6">
        <f>IF(D66&gt;0,100*F66/D66,"")</f>
        <v/>
      </c>
      <c r="N66" s="6">
        <f>IF(H66&gt;0,100*G66/H66,"")</f>
        <v/>
      </c>
      <c r="O66" s="6">
        <f>IF(AND(ISNUMBER(J66),ISNUMBER(I66)),100*(J66/I66-1),"")</f>
        <v/>
      </c>
    </row>
    <row r="67">
      <c r="A67" s="4" t="inlineStr">
        <is>
          <t>462501305</t>
        </is>
      </c>
      <c r="B67" s="4" t="inlineStr">
        <is>
          <t>LA CARRASCA</t>
        </is>
      </c>
      <c r="C67" s="4" t="n">
        <v>3801.0721</v>
      </c>
      <c r="D67" s="4" t="n">
        <v>3806.9957</v>
      </c>
      <c r="E67" s="4" t="n">
        <v>379.1988</v>
      </c>
      <c r="F67" s="4" t="n">
        <v>508.7407</v>
      </c>
      <c r="G67" s="4" t="n">
        <v>33.3315</v>
      </c>
      <c r="H67" s="4" t="n">
        <v>2201.8077</v>
      </c>
      <c r="I67" s="4" t="n">
        <v>6.5735</v>
      </c>
      <c r="J67" s="4" t="n">
        <v>9.2317</v>
      </c>
      <c r="K67" s="4" t="n">
        <v>21404.3047</v>
      </c>
      <c r="L67" s="4" t="n">
        <v>0.0236</v>
      </c>
      <c r="M67" s="6">
        <f>IF(D67&gt;0,100*F67/D67,"")</f>
        <v/>
      </c>
      <c r="N67" s="6">
        <f>IF(H67&gt;0,100*G67/H67,"")</f>
        <v/>
      </c>
      <c r="O67" s="6">
        <f>IF(AND(ISNUMBER(J67),ISNUMBER(I67)),100*(J67/I67-1),"")</f>
        <v/>
      </c>
    </row>
    <row r="68">
      <c r="A68" s="4" t="inlineStr">
        <is>
          <t>462501401</t>
        </is>
      </c>
      <c r="B68" s="4" t="inlineStr">
        <is>
          <t>BENIMACLET</t>
        </is>
      </c>
      <c r="C68" s="4" t="n">
        <v>22066.1975</v>
      </c>
      <c r="D68" s="4" t="n">
        <v>23280.0775</v>
      </c>
      <c r="E68" s="4" t="n">
        <v>2686.9565</v>
      </c>
      <c r="F68" s="4" t="n">
        <v>3862.941</v>
      </c>
      <c r="G68" s="4" t="n">
        <v>47.1128</v>
      </c>
      <c r="H68" s="4" t="n">
        <v>12467.1598</v>
      </c>
      <c r="I68" s="4" t="n">
        <v>6.1878</v>
      </c>
      <c r="J68" s="4" t="n">
        <v>8.6835</v>
      </c>
      <c r="K68" s="4" t="n">
        <v>17021.2215</v>
      </c>
      <c r="L68" s="4" t="n">
        <v>-0.1684</v>
      </c>
      <c r="M68" s="6">
        <f>IF(D68&gt;0,100*F68/D68,"")</f>
        <v/>
      </c>
      <c r="N68" s="6">
        <f>IF(H68&gt;0,100*G68/H68,"")</f>
        <v/>
      </c>
      <c r="O68" s="6">
        <f>IF(AND(ISNUMBER(J68),ISNUMBER(I68)),100*(J68/I68-1),"")</f>
        <v/>
      </c>
    </row>
    <row r="69">
      <c r="A69" s="4" t="inlineStr">
        <is>
          <t>462501402</t>
        </is>
      </c>
      <c r="B69" s="4" t="inlineStr">
        <is>
          <t>CAMI DE VERA</t>
        </is>
      </c>
      <c r="C69" s="4" t="n">
        <v>5496.8417</v>
      </c>
      <c r="D69" s="4" t="n">
        <v>5474.0435</v>
      </c>
      <c r="E69" s="4" t="n">
        <v>339.0167</v>
      </c>
      <c r="F69" s="4" t="n">
        <v>490.6868</v>
      </c>
      <c r="G69" s="4" t="n">
        <v>4.3309</v>
      </c>
      <c r="H69" s="4" t="n">
        <v>2592.3678</v>
      </c>
      <c r="I69" s="4" t="n">
        <v>5.4352</v>
      </c>
      <c r="J69" s="4" t="n">
        <v>7.7884</v>
      </c>
      <c r="K69" s="4" t="n">
        <v>17989.4314</v>
      </c>
      <c r="L69" s="4" t="n">
        <v>-0.3775</v>
      </c>
      <c r="M69" s="6">
        <f>IF(D69&gt;0,100*F69/D69,"")</f>
        <v/>
      </c>
      <c r="N69" s="6">
        <f>IF(H69&gt;0,100*G69/H69,"")</f>
        <v/>
      </c>
      <c r="O69" s="6">
        <f>IF(AND(ISNUMBER(J69),ISNUMBER(I69)),100*(J69/I69-1),"")</f>
        <v/>
      </c>
    </row>
    <row r="70">
      <c r="A70" s="4" t="inlineStr">
        <is>
          <t>462501501</t>
        </is>
      </c>
      <c r="B70" s="4" t="inlineStr">
        <is>
          <t>ELS ORRIOLS</t>
        </is>
      </c>
      <c r="C70" s="4" t="n">
        <v>16273.8434</v>
      </c>
      <c r="D70" s="4" t="n">
        <v>18468.9114</v>
      </c>
      <c r="E70" s="4" t="n">
        <v>4116.8607</v>
      </c>
      <c r="F70" s="4" t="n">
        <v>6451.5728</v>
      </c>
      <c r="G70" s="4" t="n">
        <v>44.9094</v>
      </c>
      <c r="H70" s="4" t="n">
        <v>7607.7614</v>
      </c>
      <c r="I70" s="4" t="n">
        <v>5.2734</v>
      </c>
      <c r="J70" s="4" t="n">
        <v>7.6496</v>
      </c>
      <c r="K70" s="4" t="n">
        <v>10456.6668</v>
      </c>
      <c r="L70" s="4" t="n">
        <v>0.4111</v>
      </c>
      <c r="M70" s="6">
        <f>IF(D70&gt;0,100*F70/D70,"")</f>
        <v/>
      </c>
      <c r="N70" s="6">
        <f>IF(H70&gt;0,100*G70/H70,"")</f>
        <v/>
      </c>
      <c r="O70" s="6">
        <f>IF(AND(ISNUMBER(J70),ISNUMBER(I70)),100*(J70/I70-1),"")</f>
        <v/>
      </c>
    </row>
    <row r="71">
      <c r="A71" s="4" t="inlineStr">
        <is>
          <t>462501502</t>
        </is>
      </c>
      <c r="B71" s="4" t="inlineStr">
        <is>
          <t>TORREFIEL</t>
        </is>
      </c>
      <c r="C71" s="4" t="n">
        <v>25539.8947</v>
      </c>
      <c r="D71" s="4" t="n">
        <v>27308.0176</v>
      </c>
      <c r="E71" s="4" t="n">
        <v>4211.7796</v>
      </c>
      <c r="F71" s="4" t="n">
        <v>6440.9505</v>
      </c>
      <c r="G71" s="4" t="n">
        <v>52.4313</v>
      </c>
      <c r="H71" s="4" t="n">
        <v>11493.5675</v>
      </c>
      <c r="I71" s="4" t="n">
        <v>5.1373</v>
      </c>
      <c r="J71" s="4" t="n">
        <v>7.0674</v>
      </c>
      <c r="K71" s="4" t="n">
        <v>11992.4387</v>
      </c>
      <c r="L71" s="4" t="n">
        <v>-0.2589</v>
      </c>
      <c r="M71" s="6">
        <f>IF(D71&gt;0,100*F71/D71,"")</f>
        <v/>
      </c>
      <c r="N71" s="6">
        <f>IF(H71&gt;0,100*G71/H71,"")</f>
        <v/>
      </c>
      <c r="O71" s="6">
        <f>IF(AND(ISNUMBER(J71),ISNUMBER(I71)),100*(J71/I71-1),"")</f>
        <v/>
      </c>
    </row>
    <row r="72">
      <c r="A72" s="4" t="inlineStr">
        <is>
          <t>462501503</t>
        </is>
      </c>
      <c r="B72" s="4" t="inlineStr">
        <is>
          <t>SANT LLORENS</t>
        </is>
      </c>
      <c r="C72" s="4" t="n">
        <v>10878.703</v>
      </c>
      <c r="D72" s="4" t="n">
        <v>11446.8467</v>
      </c>
      <c r="E72" s="4" t="n">
        <v>582.3185</v>
      </c>
      <c r="F72" s="4" t="n">
        <v>1024.1244</v>
      </c>
      <c r="G72" s="4" t="n">
        <v>30.6643</v>
      </c>
      <c r="H72" s="4" t="n">
        <v>4702.8455</v>
      </c>
      <c r="I72" s="4" t="n">
        <v>6.7296</v>
      </c>
      <c r="J72" s="4" t="n">
        <v>8.8163</v>
      </c>
      <c r="K72" s="4" t="n">
        <v>19840.3594</v>
      </c>
      <c r="L72" s="4" t="n">
        <v>-0.5655</v>
      </c>
      <c r="M72" s="6">
        <f>IF(D72&gt;0,100*F72/D72,"")</f>
        <v/>
      </c>
      <c r="N72" s="6">
        <f>IF(H72&gt;0,100*G72/H72,"")</f>
        <v/>
      </c>
      <c r="O72" s="6">
        <f>IF(AND(ISNUMBER(J72),ISNUMBER(I72)),100*(J72/I72-1),"")</f>
        <v/>
      </c>
    </row>
    <row r="73">
      <c r="A73" s="4" t="inlineStr">
        <is>
          <t>462501601</t>
        </is>
      </c>
      <c r="B73" s="4" t="inlineStr">
        <is>
          <t>BENICALAP</t>
        </is>
      </c>
      <c r="C73" s="4" t="n">
        <v>41059.1595</v>
      </c>
      <c r="D73" s="4" t="n">
        <v>43216.0527</v>
      </c>
      <c r="E73" s="4" t="n">
        <v>5593.7274</v>
      </c>
      <c r="F73" s="4" t="n">
        <v>8264.0311</v>
      </c>
      <c r="G73" s="4" t="n">
        <v>97.78879999999999</v>
      </c>
      <c r="H73" s="4" t="n">
        <v>19101.5378</v>
      </c>
      <c r="I73" s="4" t="n">
        <v>5.4903</v>
      </c>
      <c r="J73" s="4" t="n">
        <v>7.6894</v>
      </c>
      <c r="K73" s="4" t="n">
        <v>13963.5203</v>
      </c>
      <c r="L73" s="4" t="n">
        <v>-0.2044</v>
      </c>
      <c r="M73" s="6">
        <f>IF(D73&gt;0,100*F73/D73,"")</f>
        <v/>
      </c>
      <c r="N73" s="6">
        <f>IF(H73&gt;0,100*G73/H73,"")</f>
        <v/>
      </c>
      <c r="O73" s="6">
        <f>IF(AND(ISNUMBER(J73),ISNUMBER(I73)),100*(J73/I73-1),"")</f>
        <v/>
      </c>
    </row>
    <row r="74">
      <c r="A74" s="4" t="inlineStr">
        <is>
          <t>462501602</t>
        </is>
      </c>
      <c r="B74" s="4" t="inlineStr">
        <is>
          <t>CIUTAT FALLERA</t>
        </is>
      </c>
      <c r="C74" s="4" t="n">
        <v>4035.8553</v>
      </c>
      <c r="D74" s="4" t="n">
        <v>4468.0666</v>
      </c>
      <c r="E74" s="4" t="n">
        <v>712.9047</v>
      </c>
      <c r="F74" s="4" t="n">
        <v>1218.1727</v>
      </c>
      <c r="G74" s="4" t="n">
        <v>10.6496</v>
      </c>
      <c r="H74" s="4" t="n">
        <v>1874.8129</v>
      </c>
      <c r="I74" s="4" t="n">
        <v>4.8397</v>
      </c>
      <c r="J74" s="4" t="n">
        <v>7.3729</v>
      </c>
      <c r="K74" s="4" t="n">
        <v>10565.8705</v>
      </c>
      <c r="L74" s="4" t="n">
        <v>0.6634</v>
      </c>
      <c r="M74" s="6">
        <f>IF(D74&gt;0,100*F74/D74,"")</f>
        <v/>
      </c>
      <c r="N74" s="6">
        <f>IF(H74&gt;0,100*G74/H74,"")</f>
        <v/>
      </c>
      <c r="O74" s="6">
        <f>IF(AND(ISNUMBER(J74),ISNUMBER(I74)),100*(J74/I74-1),"")</f>
        <v/>
      </c>
    </row>
    <row r="75">
      <c r="A75" s="4" t="inlineStr">
        <is>
          <t>462501701</t>
        </is>
      </c>
      <c r="B75" s="4" t="inlineStr">
        <is>
          <t>BENIFARAIG</t>
        </is>
      </c>
      <c r="C75" s="4" t="n">
        <v>373.0506</v>
      </c>
      <c r="D75" s="4" t="n">
        <v>395.4689</v>
      </c>
      <c r="E75" s="4" t="n">
        <v>26.6607</v>
      </c>
      <c r="F75" s="4" t="n">
        <v>39.0864</v>
      </c>
      <c r="G75" s="4" t="n">
        <v>0.2727</v>
      </c>
      <c r="H75" s="4" t="n">
        <v>233.827</v>
      </c>
      <c r="I75" s="4" t="n">
        <v>3.3644</v>
      </c>
      <c r="J75" s="4" t="n">
        <v>4.8102</v>
      </c>
      <c r="K75" s="4" t="n">
        <v>14546.3487</v>
      </c>
      <c r="L75" s="4" t="n">
        <v>-0.8641</v>
      </c>
      <c r="M75" s="6">
        <f>IF(D75&gt;0,100*F75/D75,"")</f>
        <v/>
      </c>
      <c r="N75" s="6">
        <f>IF(H75&gt;0,100*G75/H75,"")</f>
        <v/>
      </c>
      <c r="O75" s="6">
        <f>IF(AND(ISNUMBER(J75),ISNUMBER(I75)),100*(J75/I75-1),"")</f>
        <v/>
      </c>
    </row>
    <row r="76">
      <c r="A76" s="4" t="inlineStr">
        <is>
          <t>462501702</t>
        </is>
      </c>
      <c r="B76" s="4" t="inlineStr">
        <is>
          <t>POBLE NOU</t>
        </is>
      </c>
      <c r="C76" s="4" t="n">
        <v>3188.389</v>
      </c>
      <c r="D76" s="4" t="n">
        <v>4849.0879</v>
      </c>
      <c r="E76" s="4" t="n">
        <v>434.7689</v>
      </c>
      <c r="F76" s="4" t="n">
        <v>902.3122</v>
      </c>
      <c r="G76" s="4" t="n">
        <v>8.850300000000001</v>
      </c>
      <c r="H76" s="4" t="n">
        <v>1482.9511</v>
      </c>
      <c r="I76" s="4" t="n">
        <v>4.8785</v>
      </c>
      <c r="J76" s="4" t="n">
        <v>7.0866</v>
      </c>
      <c r="K76" s="4" t="n">
        <v>13012.5789</v>
      </c>
      <c r="L76" s="4" t="n">
        <v>-0.1168</v>
      </c>
      <c r="M76" s="6">
        <f>IF(D76&gt;0,100*F76/D76,"")</f>
        <v/>
      </c>
      <c r="N76" s="6">
        <f>IF(H76&gt;0,100*G76/H76,"")</f>
        <v/>
      </c>
      <c r="O76" s="6">
        <f>IF(AND(ISNUMBER(J76),ISNUMBER(I76)),100*(J76/I76-1),"")</f>
        <v/>
      </c>
    </row>
    <row r="77">
      <c r="A77" s="4" t="inlineStr">
        <is>
          <t>462501703</t>
        </is>
      </c>
      <c r="B77" s="4" t="inlineStr">
        <is>
          <t>CARPESA</t>
        </is>
      </c>
      <c r="C77" s="4" t="n">
        <v>1150.7295</v>
      </c>
      <c r="D77" s="4" t="n">
        <v>1213.7072</v>
      </c>
      <c r="E77" s="4" t="n">
        <v>67.0376</v>
      </c>
      <c r="F77" s="4" t="n">
        <v>117.0763</v>
      </c>
      <c r="G77" s="4" t="n">
        <v>1.0086</v>
      </c>
      <c r="H77" s="4" t="n">
        <v>609.8673</v>
      </c>
      <c r="I77" s="4" t="n">
        <v>3.068</v>
      </c>
      <c r="J77" s="4" t="n">
        <v>3.6464</v>
      </c>
      <c r="K77" s="4" t="n">
        <v>15348.6494</v>
      </c>
      <c r="L77" s="4" t="n">
        <v>-1.9307</v>
      </c>
      <c r="M77" s="6">
        <f>IF(D77&gt;0,100*F77/D77,"")</f>
        <v/>
      </c>
      <c r="N77" s="6">
        <f>IF(H77&gt;0,100*G77/H77,"")</f>
        <v/>
      </c>
      <c r="O77" s="6">
        <f>IF(AND(ISNUMBER(J77),ISNUMBER(I77)),100*(J77/I77-1),"")</f>
        <v/>
      </c>
    </row>
    <row r="78">
      <c r="A78" s="4" t="inlineStr">
        <is>
          <t>462501704</t>
        </is>
      </c>
      <c r="B78" s="4" t="inlineStr">
        <is>
          <t>LES CASES DE BARCENA</t>
        </is>
      </c>
      <c r="C78" s="4" t="n">
        <v>298.0094</v>
      </c>
      <c r="D78" s="4" t="n">
        <v>316.0576</v>
      </c>
      <c r="E78" s="4" t="n">
        <v>21.4859</v>
      </c>
      <c r="F78" s="4" t="n">
        <v>31.3694</v>
      </c>
      <c r="G78" s="4" t="n">
        <v>0.2149</v>
      </c>
      <c r="H78" s="4" t="n">
        <v>188.0016</v>
      </c>
      <c r="I78" s="4" t="n">
        <v>3.375</v>
      </c>
      <c r="J78" s="4" t="n">
        <v>4.8544</v>
      </c>
      <c r="K78" s="4" t="n">
        <v>14516.33</v>
      </c>
      <c r="L78" s="4" t="n">
        <v>-0.8241000000000001</v>
      </c>
      <c r="M78" s="6">
        <f>IF(D78&gt;0,100*F78/D78,"")</f>
        <v/>
      </c>
      <c r="N78" s="6">
        <f>IF(H78&gt;0,100*G78/H78,"")</f>
        <v/>
      </c>
      <c r="O78" s="6">
        <f>IF(AND(ISNUMBER(J78),ISNUMBER(I78)),100*(J78/I78-1),"")</f>
        <v/>
      </c>
    </row>
    <row r="79">
      <c r="A79" s="4" t="inlineStr">
        <is>
          <t>462501705</t>
        </is>
      </c>
      <c r="B79" s="4" t="inlineStr">
        <is>
          <t>RAFALELL-VISTABELLA</t>
        </is>
      </c>
      <c r="C79" s="4" t="n">
        <v>729.5412</v>
      </c>
      <c r="D79" s="4" t="n">
        <v>773.7239</v>
      </c>
      <c r="E79" s="4" t="n">
        <v>52.5985</v>
      </c>
      <c r="F79" s="4" t="n">
        <v>76.7938</v>
      </c>
      <c r="G79" s="4" t="n">
        <v>0.526</v>
      </c>
      <c r="H79" s="4" t="n">
        <v>460.2369</v>
      </c>
      <c r="I79" s="4" t="n">
        <v>3.375</v>
      </c>
      <c r="J79" s="4" t="n">
        <v>4.8544</v>
      </c>
      <c r="K79" s="4" t="n">
        <v>14516.33</v>
      </c>
      <c r="L79" s="4" t="n">
        <v>-0.8241000000000001</v>
      </c>
      <c r="M79" s="6">
        <f>IF(D79&gt;0,100*F79/D79,"")</f>
        <v/>
      </c>
      <c r="N79" s="6">
        <f>IF(H79&gt;0,100*G79/H79,"")</f>
        <v/>
      </c>
      <c r="O79" s="6">
        <f>IF(AND(ISNUMBER(J79),ISNUMBER(I79)),100*(J79/I79-1),"")</f>
        <v/>
      </c>
    </row>
    <row r="80">
      <c r="A80" s="4" t="inlineStr">
        <is>
          <t>462501706</t>
        </is>
      </c>
      <c r="B80" s="4" t="inlineStr">
        <is>
          <t>MASSARROJOS</t>
        </is>
      </c>
      <c r="C80" s="4" t="n">
        <v>2426.5887</v>
      </c>
      <c r="D80" s="4" t="n">
        <v>2719.1403</v>
      </c>
      <c r="E80" s="4" t="n">
        <v>131.9468</v>
      </c>
      <c r="F80" s="4" t="n">
        <v>209.1069</v>
      </c>
      <c r="G80" s="4" t="n">
        <v>2.0226</v>
      </c>
      <c r="H80" s="4" t="n">
        <v>1228.3804</v>
      </c>
      <c r="I80" s="4" t="n">
        <v>5.9894</v>
      </c>
      <c r="J80" s="4" t="n">
        <v>7.8082</v>
      </c>
      <c r="K80" s="4" t="n">
        <v>21448.3736</v>
      </c>
      <c r="L80" s="4" t="n">
        <v>-0.9641</v>
      </c>
      <c r="M80" s="6">
        <f>IF(D80&gt;0,100*F80/D80,"")</f>
        <v/>
      </c>
      <c r="N80" s="6">
        <f>IF(H80&gt;0,100*G80/H80,"")</f>
        <v/>
      </c>
      <c r="O80" s="6">
        <f>IF(AND(ISNUMBER(J80),ISNUMBER(I80)),100*(J80/I80-1),"")</f>
        <v/>
      </c>
    </row>
    <row r="81">
      <c r="A81" s="4" t="inlineStr">
        <is>
          <t>462501707</t>
        </is>
      </c>
      <c r="B81" s="4" t="inlineStr">
        <is>
          <t>BORBOTO</t>
        </is>
      </c>
      <c r="C81" s="4" t="n">
        <v>715.6265</v>
      </c>
      <c r="D81" s="4" t="n">
        <v>738.0300999999999</v>
      </c>
      <c r="E81" s="4" t="n">
        <v>40.8776</v>
      </c>
      <c r="F81" s="4" t="n">
        <v>47.758</v>
      </c>
      <c r="G81" s="4" t="n">
        <v>0.971</v>
      </c>
      <c r="H81" s="4" t="n">
        <v>404.5407</v>
      </c>
      <c r="I81" s="4" t="n">
        <v>3.3644</v>
      </c>
      <c r="J81" s="4" t="n">
        <v>4.3287</v>
      </c>
      <c r="K81" s="4" t="n">
        <v>14543.2871</v>
      </c>
      <c r="L81" s="4" t="n">
        <v>-1.7013</v>
      </c>
      <c r="M81" s="6">
        <f>IF(D81&gt;0,100*F81/D81,"")</f>
        <v/>
      </c>
      <c r="N81" s="6">
        <f>IF(H81&gt;0,100*G81/H81,"")</f>
        <v/>
      </c>
      <c r="O81" s="6">
        <f>IF(AND(ISNUMBER(J81),ISNUMBER(I81)),100*(J81/I81-1),"")</f>
        <v/>
      </c>
    </row>
    <row r="82">
      <c r="A82" s="4" t="inlineStr">
        <is>
          <t>462501801</t>
        </is>
      </c>
      <c r="B82" s="4" t="inlineStr">
        <is>
          <t>BENIMAMET</t>
        </is>
      </c>
      <c r="C82" s="4" t="n">
        <v>12711.795</v>
      </c>
      <c r="D82" s="4" t="n">
        <v>13827.8262</v>
      </c>
      <c r="E82" s="4" t="n">
        <v>1613.3459</v>
      </c>
      <c r="F82" s="4" t="n">
        <v>2667.3171</v>
      </c>
      <c r="G82" s="4" t="n">
        <v>38.7082</v>
      </c>
      <c r="H82" s="4" t="n">
        <v>6342.1855</v>
      </c>
      <c r="I82" s="4" t="n">
        <v>4.4041</v>
      </c>
      <c r="J82" s="4" t="n">
        <v>6.2563</v>
      </c>
      <c r="K82" s="4" t="n">
        <v>12140.8764</v>
      </c>
      <c r="L82" s="4" t="n">
        <v>-0.218</v>
      </c>
      <c r="M82" s="6">
        <f>IF(D82&gt;0,100*F82/D82,"")</f>
        <v/>
      </c>
      <c r="N82" s="6">
        <f>IF(H82&gt;0,100*G82/H82,"")</f>
        <v/>
      </c>
      <c r="O82" s="6">
        <f>IF(AND(ISNUMBER(J82),ISNUMBER(I82)),100*(J82/I82-1),"")</f>
        <v/>
      </c>
    </row>
    <row r="83">
      <c r="A83" s="4" t="inlineStr">
        <is>
          <t>462501802</t>
        </is>
      </c>
      <c r="B83" s="4" t="inlineStr">
        <is>
          <t>BENIFERRI</t>
        </is>
      </c>
      <c r="C83" s="4" t="n">
        <v>1581.2749</v>
      </c>
      <c r="D83" s="4" t="n">
        <v>1671.1811</v>
      </c>
      <c r="E83" s="4" t="n">
        <v>130.648</v>
      </c>
      <c r="F83" s="4" t="n">
        <v>236.0421</v>
      </c>
      <c r="G83" s="4" t="n">
        <v>8.1676</v>
      </c>
      <c r="H83" s="4" t="n">
        <v>772.6732</v>
      </c>
      <c r="I83" s="4" t="n">
        <v>4.6093</v>
      </c>
      <c r="J83" s="4" t="n">
        <v>6.3718</v>
      </c>
      <c r="K83" s="4" t="n">
        <v>15603.6008</v>
      </c>
      <c r="L83" s="4" t="n">
        <v>-0.3501</v>
      </c>
      <c r="M83" s="6">
        <f>IF(D83&gt;0,100*F83/D83,"")</f>
        <v/>
      </c>
      <c r="N83" s="6">
        <f>IF(H83&gt;0,100*G83/H83,"")</f>
        <v/>
      </c>
      <c r="O83" s="6">
        <f>IF(AND(ISNUMBER(J83),ISNUMBER(I83)),100*(J83/I83-1),"")</f>
        <v/>
      </c>
    </row>
    <row r="84">
      <c r="A84" s="4" t="inlineStr">
        <is>
          <t>462501901</t>
        </is>
      </c>
      <c r="B84" s="4" t="inlineStr">
        <is>
          <t>EL FORN D'ALCEDO</t>
        </is>
      </c>
      <c r="C84" s="4" t="n">
        <v>1322.6275</v>
      </c>
      <c r="D84" s="4" t="n">
        <v>1451.7528</v>
      </c>
      <c r="E84" s="4" t="n">
        <v>142.979</v>
      </c>
      <c r="F84" s="4" t="n">
        <v>253.9203</v>
      </c>
      <c r="G84" s="4" t="n">
        <v>2.072</v>
      </c>
      <c r="H84" s="4" t="n">
        <v>728.4995</v>
      </c>
      <c r="I84" s="4" t="n">
        <v>3.7738</v>
      </c>
      <c r="J84" s="4" t="n">
        <v>5.0652</v>
      </c>
      <c r="K84" s="4" t="n">
        <v>11823.6917</v>
      </c>
      <c r="L84" s="4" t="n">
        <v>-0.7768</v>
      </c>
      <c r="M84" s="6">
        <f>IF(D84&gt;0,100*F84/D84,"")</f>
        <v/>
      </c>
      <c r="N84" s="6">
        <f>IF(H84&gt;0,100*G84/H84,"")</f>
        <v/>
      </c>
      <c r="O84" s="6">
        <f>IF(AND(ISNUMBER(J84),ISNUMBER(I84)),100*(J84/I84-1),"")</f>
        <v/>
      </c>
    </row>
    <row r="85">
      <c r="A85" s="4" t="inlineStr">
        <is>
          <t>462501902</t>
        </is>
      </c>
      <c r="B85" s="4" t="inlineStr">
        <is>
          <t>CASTELLAR-L'OLIVERAL</t>
        </is>
      </c>
      <c r="C85" s="4" t="n">
        <v>6750.5975</v>
      </c>
      <c r="D85" s="4" t="n">
        <v>7049.0744</v>
      </c>
      <c r="E85" s="4" t="n">
        <v>522.508</v>
      </c>
      <c r="F85" s="4" t="n">
        <v>865.7796</v>
      </c>
      <c r="G85" s="4" t="n">
        <v>1.0183</v>
      </c>
      <c r="H85" s="4" t="n">
        <v>3422.8342</v>
      </c>
      <c r="I85" s="4" t="n">
        <v>4.0033</v>
      </c>
      <c r="J85" s="4" t="n">
        <v>5.4476</v>
      </c>
      <c r="K85" s="4" t="n">
        <v>13668.8864</v>
      </c>
      <c r="L85" s="4" t="n">
        <v>-0.8931</v>
      </c>
      <c r="M85" s="6">
        <f>IF(D85&gt;0,100*F85/D85,"")</f>
        <v/>
      </c>
      <c r="N85" s="6">
        <f>IF(H85&gt;0,100*G85/H85,"")</f>
        <v/>
      </c>
      <c r="O85" s="6">
        <f>IF(AND(ISNUMBER(J85),ISNUMBER(I85)),100*(J85/I85-1),"")</f>
        <v/>
      </c>
    </row>
    <row r="86">
      <c r="A86" s="4" t="inlineStr">
        <is>
          <t>462501903</t>
        </is>
      </c>
      <c r="B86" s="4" t="inlineStr">
        <is>
          <t>PINEDO</t>
        </is>
      </c>
      <c r="C86" s="4" t="n">
        <v>2586.0526</v>
      </c>
      <c r="D86" s="4" t="n">
        <v>2669.4387</v>
      </c>
      <c r="E86" s="4" t="n">
        <v>196.0001</v>
      </c>
      <c r="F86" s="4" t="n">
        <v>335.3415</v>
      </c>
      <c r="G86" s="4" t="n">
        <v>14.0302</v>
      </c>
      <c r="H86" s="4" t="n">
        <v>1349.5186</v>
      </c>
      <c r="I86" s="4" t="n">
        <v>4.1079</v>
      </c>
      <c r="J86" s="4" t="n">
        <v>5.8012</v>
      </c>
      <c r="K86" s="4" t="n">
        <v>15355.252</v>
      </c>
      <c r="L86" s="4" t="n">
        <v>-0.4024</v>
      </c>
      <c r="M86" s="6">
        <f>IF(D86&gt;0,100*F86/D86,"")</f>
        <v/>
      </c>
      <c r="N86" s="6">
        <f>IF(H86&gt;0,100*G86/H86,"")</f>
        <v/>
      </c>
      <c r="O86" s="6">
        <f>IF(AND(ISNUMBER(J86),ISNUMBER(I86)),100*(J86/I86-1),"")</f>
        <v/>
      </c>
    </row>
    <row r="87">
      <c r="A87" s="4" t="inlineStr">
        <is>
          <t>462501904</t>
        </is>
      </c>
      <c r="B87" s="4" t="inlineStr">
        <is>
          <t>EL SALER</t>
        </is>
      </c>
      <c r="C87" s="4" t="n">
        <v>367.7006</v>
      </c>
      <c r="D87" s="4" t="n">
        <v>406.8431</v>
      </c>
      <c r="E87" s="4" t="n">
        <v>49.5487</v>
      </c>
      <c r="F87" s="4" t="n">
        <v>66.89790000000001</v>
      </c>
      <c r="G87" s="4" t="n">
        <v>4.9238</v>
      </c>
      <c r="H87" s="4" t="n">
        <v>406.6262</v>
      </c>
      <c r="I87" s="4" t="n">
        <v>5.7914</v>
      </c>
      <c r="J87" s="4" t="n">
        <v>7.6879</v>
      </c>
      <c r="K87" s="4" t="n">
        <v>18650.6432</v>
      </c>
      <c r="L87" s="4" t="n">
        <v>-0.6278</v>
      </c>
      <c r="M87" s="6">
        <f>IF(D87&gt;0,100*F87/D87,"")</f>
        <v/>
      </c>
      <c r="N87" s="6">
        <f>IF(H87&gt;0,100*G87/H87,"")</f>
        <v/>
      </c>
      <c r="O87" s="6">
        <f>IF(AND(ISNUMBER(J87),ISNUMBER(I87)),100*(J87/I87-1),"")</f>
        <v/>
      </c>
    </row>
    <row r="88">
      <c r="A88" s="4" t="inlineStr">
        <is>
          <t>462501905</t>
        </is>
      </c>
      <c r="B88" s="4" t="inlineStr">
        <is>
          <t>EL PALMAR</t>
        </is>
      </c>
      <c r="C88" s="4" t="n">
        <v>2809.2762</v>
      </c>
      <c r="D88" s="4" t="n">
        <v>3009.5369</v>
      </c>
      <c r="E88" s="4" t="n">
        <v>285.0855</v>
      </c>
      <c r="F88" s="4" t="n">
        <v>420.7011</v>
      </c>
      <c r="G88" s="4" t="n">
        <v>27.7683</v>
      </c>
      <c r="H88" s="4" t="n">
        <v>3793.4813</v>
      </c>
      <c r="I88" s="4" t="n">
        <v>5.7346</v>
      </c>
      <c r="J88" s="4" t="n">
        <v>7.4946</v>
      </c>
      <c r="K88" s="4" t="n">
        <v>17817.3371</v>
      </c>
      <c r="L88" s="4" t="n">
        <v>-0.7449</v>
      </c>
      <c r="M88" s="6">
        <f>IF(D88&gt;0,100*F88/D88,"")</f>
        <v/>
      </c>
      <c r="N88" s="6">
        <f>IF(H88&gt;0,100*G88/H88,"")</f>
        <v/>
      </c>
      <c r="O88" s="6">
        <f>IF(AND(ISNUMBER(J88),ISNUMBER(I88)),100*(J88/I88-1),"")</f>
        <v/>
      </c>
    </row>
    <row r="89">
      <c r="A89" s="4" t="inlineStr">
        <is>
          <t>462501906</t>
        </is>
      </c>
      <c r="B89" s="4" t="inlineStr">
        <is>
          <t>EL PERELLONET</t>
        </is>
      </c>
      <c r="C89" s="4" t="n">
        <v>916.529</v>
      </c>
      <c r="D89" s="4" t="n">
        <v>1000.1363</v>
      </c>
      <c r="E89" s="4" t="n">
        <v>65.3794</v>
      </c>
      <c r="F89" s="4" t="n">
        <v>141.4409</v>
      </c>
      <c r="G89" s="4" t="n">
        <v>11.3152</v>
      </c>
      <c r="H89" s="4" t="n">
        <v>2916.0785</v>
      </c>
      <c r="I89" s="4" t="n">
        <v>5.5151</v>
      </c>
      <c r="J89" s="4" t="n">
        <v>6.7681</v>
      </c>
      <c r="K89" s="4" t="n">
        <v>19323.4969</v>
      </c>
      <c r="L89" s="4" t="n">
        <v>-0.9418</v>
      </c>
      <c r="M89" s="6">
        <f>IF(D89&gt;0,100*F89/D89,"")</f>
        <v/>
      </c>
      <c r="N89" s="6">
        <f>IF(H89&gt;0,100*G89/H89,"")</f>
        <v/>
      </c>
      <c r="O89" s="6">
        <f>IF(AND(ISNUMBER(J89),ISNUMBER(I89)),100*(J89/I89-1),"")</f>
        <v/>
      </c>
    </row>
    <row r="90">
      <c r="A90" s="4" t="inlineStr">
        <is>
          <t>462501907</t>
        </is>
      </c>
      <c r="B90" s="4" t="inlineStr">
        <is>
          <t>LA TORRE</t>
        </is>
      </c>
      <c r="C90" s="4" t="n">
        <v>3941.4345</v>
      </c>
      <c r="D90" s="4" t="n">
        <v>4267.0405</v>
      </c>
      <c r="E90" s="4" t="n">
        <v>561.3493</v>
      </c>
      <c r="F90" s="4" t="n">
        <v>940.7979</v>
      </c>
      <c r="G90" s="4" t="n">
        <v>4.0178</v>
      </c>
      <c r="H90" s="4" t="n">
        <v>1963.6325</v>
      </c>
      <c r="I90" s="4" t="n">
        <v>4.6057</v>
      </c>
      <c r="J90" s="4" t="n">
        <v>6.5251</v>
      </c>
      <c r="K90" s="4" t="n">
        <v>11294.7132</v>
      </c>
      <c r="L90" s="4" t="n">
        <v>-0.1482</v>
      </c>
      <c r="M90" s="6">
        <f>IF(D90&gt;0,100*F90/D90,"")</f>
        <v/>
      </c>
      <c r="N90" s="6">
        <f>IF(H90&gt;0,100*G90/H90,"")</f>
        <v/>
      </c>
      <c r="O90" s="6">
        <f>IF(AND(ISNUMBER(J90),ISNUMBER(I90)),100*(J90/I90-1),"")</f>
        <v/>
      </c>
    </row>
    <row r="91">
      <c r="A91" s="4" t="inlineStr">
        <is>
          <t>462501908</t>
        </is>
      </c>
      <c r="B91" s="4" t="inlineStr">
        <is>
          <t>FAITANAR</t>
        </is>
      </c>
      <c r="C91" s="4" t="n">
        <v>2594.6852</v>
      </c>
      <c r="D91" s="4" t="n">
        <v>3046.2743</v>
      </c>
      <c r="E91" s="4" t="n">
        <v>495.0639</v>
      </c>
      <c r="F91" s="4" t="n">
        <v>795.9469</v>
      </c>
      <c r="G91" s="4" t="n">
        <v>21.7892</v>
      </c>
      <c r="H91" s="4" t="n">
        <v>1540.3121</v>
      </c>
      <c r="I91" s="4" t="n">
        <v>4.6323</v>
      </c>
      <c r="J91" s="4" t="n">
        <v>6.7552</v>
      </c>
      <c r="K91" s="4" t="n">
        <v>12511.9731</v>
      </c>
      <c r="L91" s="4" t="n">
        <v>0.2024</v>
      </c>
      <c r="M91" s="6">
        <f>IF(D91&gt;0,100*F91/D91,"")</f>
        <v/>
      </c>
      <c r="N91" s="6">
        <f>IF(H91&gt;0,100*G91/H91,"")</f>
        <v/>
      </c>
      <c r="O91" s="6">
        <f>IF(AND(ISNUMBER(J91),ISNUMBER(I91)),100*(J91/I91-1),"")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Quien_ECV: datos de entrada en azul; cálculos de esta hoja en negro</t>
        </is>
      </c>
    </row>
    <row r="2">
      <c r="A2" s="4" t="inlineStr">
        <is>
          <t>Fuente: INE ECV (microdatos), cálculo propio. Fecha del dato: ECV 2025. Capa: C1 o C4 según fila (columna capa).</t>
        </is>
      </c>
    </row>
    <row r="4">
      <c r="A4" s="5" t="inlineStr">
        <is>
          <t>anio</t>
        </is>
      </c>
      <c r="B4" s="5" t="inlineStr">
        <is>
          <t>grupo</t>
        </is>
      </c>
      <c r="C4" s="5" t="inlineStr">
        <is>
          <t>categoria</t>
        </is>
      </c>
      <c r="D4" s="5" t="inlineStr">
        <is>
          <t>indicador</t>
        </is>
      </c>
      <c r="E4" s="5" t="inlineStr">
        <is>
          <t>valor</t>
        </is>
      </c>
      <c r="F4" s="5" t="inlineStr">
        <is>
          <t>ic95_inf</t>
        </is>
      </c>
      <c r="G4" s="5" t="inlineStr">
        <is>
          <t>ic95_sup</t>
        </is>
      </c>
      <c r="H4" s="5" t="inlineStr">
        <is>
          <t>n_muestral</t>
        </is>
      </c>
      <c r="I4" s="5" t="inlineStr">
        <is>
          <t>capa</t>
        </is>
      </c>
      <c r="J4" s="1" t="inlineStr">
        <is>
          <t>amplitud_ic</t>
        </is>
      </c>
    </row>
    <row r="5">
      <c r="A5" s="4" t="n">
        <v>2025</v>
      </c>
      <c r="B5" s="4" t="inlineStr">
        <is>
          <t>total</t>
        </is>
      </c>
      <c r="C5" s="4" t="inlineStr">
        <is>
          <t>Total</t>
        </is>
      </c>
      <c r="D5" s="4" t="inlineStr">
        <is>
          <t>sobrecarga_30</t>
        </is>
      </c>
      <c r="E5" s="4" t="n">
        <v>12.011</v>
      </c>
      <c r="F5" s="4" t="n">
        <v>11.362</v>
      </c>
      <c r="G5" s="4" t="n">
        <v>12.66</v>
      </c>
      <c r="H5" s="4" t="n">
        <v>71161</v>
      </c>
      <c r="I5" s="4" t="inlineStr">
        <is>
          <t>C4</t>
        </is>
      </c>
      <c r="J5" s="6">
        <f>IF(ISNUMBER(G5),G5-F5,"")</f>
        <v/>
      </c>
    </row>
    <row r="6">
      <c r="A6" s="4" t="n">
        <v>2025</v>
      </c>
      <c r="B6" s="4" t="inlineStr">
        <is>
          <t>total</t>
        </is>
      </c>
      <c r="C6" s="4" t="inlineStr">
        <is>
          <t>Total</t>
        </is>
      </c>
      <c r="D6" s="4" t="inlineStr">
        <is>
          <t>sobrecarga_40</t>
        </is>
      </c>
      <c r="E6" s="4" t="n">
        <v>7.172</v>
      </c>
      <c r="F6" s="4" t="n">
        <v>6.6701</v>
      </c>
      <c r="G6" s="4" t="n">
        <v>7.6739</v>
      </c>
      <c r="H6" s="4" t="n">
        <v>71161</v>
      </c>
      <c r="I6" s="4" t="inlineStr">
        <is>
          <t>C1</t>
        </is>
      </c>
      <c r="J6" s="6">
        <f>IF(ISNUMBER(G6),G6-F6,"")</f>
        <v/>
      </c>
    </row>
    <row r="7">
      <c r="A7" s="4" t="n">
        <v>2025</v>
      </c>
      <c r="B7" s="4" t="inlineStr">
        <is>
          <t>total</t>
        </is>
      </c>
      <c r="C7" s="4" t="inlineStr">
        <is>
          <t>Total</t>
        </is>
      </c>
      <c r="D7" s="4" t="inlineStr">
        <is>
          <t>esfuerzo_alquiler_30</t>
        </is>
      </c>
      <c r="E7" s="4" t="n">
        <v>28.584</v>
      </c>
      <c r="F7" s="4" t="n">
        <v>26.1628</v>
      </c>
      <c r="G7" s="4" t="n">
        <v>31.0051</v>
      </c>
      <c r="H7" s="4" t="n">
        <v>8856</v>
      </c>
      <c r="I7" s="4" t="inlineStr">
        <is>
          <t>C4</t>
        </is>
      </c>
      <c r="J7" s="6">
        <f>IF(ISNUMBER(G7),G7-F7,"")</f>
        <v/>
      </c>
    </row>
    <row r="8">
      <c r="A8" s="4" t="n">
        <v>2025</v>
      </c>
      <c r="B8" s="4" t="inlineStr">
        <is>
          <t>total</t>
        </is>
      </c>
      <c r="C8" s="4" t="inlineStr">
        <is>
          <t>Total</t>
        </is>
      </c>
      <c r="D8" s="4" t="inlineStr">
        <is>
          <t>esfuerzo_alquiler_40</t>
        </is>
      </c>
      <c r="E8" s="4" t="n">
        <v>17.2252</v>
      </c>
      <c r="F8" s="4" t="n">
        <v>15.2426</v>
      </c>
      <c r="G8" s="4" t="n">
        <v>19.2079</v>
      </c>
      <c r="H8" s="4" t="n">
        <v>8856</v>
      </c>
      <c r="I8" s="4" t="inlineStr">
        <is>
          <t>C4</t>
        </is>
      </c>
      <c r="J8" s="6">
        <f>IF(ISNUMBER(G8),G8-F8,"")</f>
        <v/>
      </c>
    </row>
    <row r="9">
      <c r="A9" s="4" t="n">
        <v>2025</v>
      </c>
      <c r="B9" s="4" t="inlineStr">
        <is>
          <t>total</t>
        </is>
      </c>
      <c r="C9" s="4" t="inlineStr">
        <is>
          <t>Total</t>
        </is>
      </c>
      <c r="D9" s="4" t="inlineStr">
        <is>
          <t>esfuerzo_hipoteca_30</t>
        </is>
      </c>
      <c r="E9" s="4" t="n">
        <v>8.8028</v>
      </c>
      <c r="F9" s="4" t="n">
        <v>7.7827</v>
      </c>
      <c r="G9" s="4" t="n">
        <v>9.822800000000001</v>
      </c>
      <c r="H9" s="4" t="n">
        <v>20116</v>
      </c>
      <c r="I9" s="4" t="inlineStr">
        <is>
          <t>C4</t>
        </is>
      </c>
      <c r="J9" s="6">
        <f>IF(ISNUMBER(G9),G9-F9,"")</f>
        <v/>
      </c>
    </row>
    <row r="10">
      <c r="A10" s="4" t="n">
        <v>2025</v>
      </c>
      <c r="B10" s="4" t="inlineStr">
        <is>
          <t>total</t>
        </is>
      </c>
      <c r="C10" s="4" t="inlineStr">
        <is>
          <t>Total</t>
        </is>
      </c>
      <c r="D10" s="4" t="inlineStr">
        <is>
          <t>hacinamiento</t>
        </is>
      </c>
      <c r="E10" s="4" t="n">
        <v>8.625500000000001</v>
      </c>
      <c r="F10" s="4" t="n">
        <v>7.826</v>
      </c>
      <c r="G10" s="4" t="n">
        <v>9.4251</v>
      </c>
      <c r="H10" s="4" t="n">
        <v>71191</v>
      </c>
      <c r="I10" s="4" t="inlineStr">
        <is>
          <t>C4</t>
        </is>
      </c>
      <c r="J10" s="6">
        <f>IF(ISNUMBER(G10),G10-F10,"")</f>
        <v/>
      </c>
    </row>
    <row r="11">
      <c r="A11" s="4" t="n">
        <v>2025</v>
      </c>
      <c r="B11" s="4" t="inlineStr">
        <is>
          <t>total</t>
        </is>
      </c>
      <c r="C11" s="4" t="inlineStr">
        <is>
          <t>Total</t>
        </is>
      </c>
      <c r="D11" s="4" t="inlineStr">
        <is>
          <t>tenencia_1</t>
        </is>
      </c>
      <c r="E11" s="4" t="n">
        <v>45.5223</v>
      </c>
      <c r="F11" s="4" t="n">
        <v>44.6058</v>
      </c>
      <c r="G11" s="4" t="n">
        <v>46.4387</v>
      </c>
      <c r="H11" s="4" t="n">
        <v>71398</v>
      </c>
      <c r="I11" s="4" t="inlineStr">
        <is>
          <t>C4</t>
        </is>
      </c>
      <c r="J11" s="6">
        <f>IF(ISNUMBER(G11),G11-F11,"")</f>
        <v/>
      </c>
    </row>
    <row r="12">
      <c r="A12" s="4" t="n">
        <v>2025</v>
      </c>
      <c r="B12" s="4" t="inlineStr">
        <is>
          <t>total</t>
        </is>
      </c>
      <c r="C12" s="4" t="inlineStr">
        <is>
          <t>Total</t>
        </is>
      </c>
      <c r="D12" s="4" t="inlineStr">
        <is>
          <t>tenencia_2</t>
        </is>
      </c>
      <c r="E12" s="4" t="n">
        <v>28.1333</v>
      </c>
      <c r="F12" s="4" t="n">
        <v>27.3029</v>
      </c>
      <c r="G12" s="4" t="n">
        <v>28.9636</v>
      </c>
      <c r="H12" s="4" t="n">
        <v>71398</v>
      </c>
      <c r="I12" s="4" t="inlineStr">
        <is>
          <t>C4</t>
        </is>
      </c>
      <c r="J12" s="6">
        <f>IF(ISNUMBER(G12),G12-F12,"")</f>
        <v/>
      </c>
    </row>
    <row r="13">
      <c r="A13" s="4" t="n">
        <v>2025</v>
      </c>
      <c r="B13" s="4" t="inlineStr">
        <is>
          <t>total</t>
        </is>
      </c>
      <c r="C13" s="4" t="inlineStr">
        <is>
          <t>Total</t>
        </is>
      </c>
      <c r="D13" s="4" t="inlineStr">
        <is>
          <t>tenencia_3</t>
        </is>
      </c>
      <c r="E13" s="4" t="n">
        <v>17.3503</v>
      </c>
      <c r="F13" s="4" t="n">
        <v>16.4476</v>
      </c>
      <c r="G13" s="4" t="n">
        <v>18.253</v>
      </c>
      <c r="H13" s="4" t="n">
        <v>71398</v>
      </c>
      <c r="I13" s="4" t="inlineStr">
        <is>
          <t>C4</t>
        </is>
      </c>
      <c r="J13" s="6">
        <f>IF(ISNUMBER(G13),G13-F13,"")</f>
        <v/>
      </c>
    </row>
    <row r="14">
      <c r="A14" s="4" t="n">
        <v>2025</v>
      </c>
      <c r="B14" s="4" t="inlineStr">
        <is>
          <t>total</t>
        </is>
      </c>
      <c r="C14" s="4" t="inlineStr">
        <is>
          <t>Total</t>
        </is>
      </c>
      <c r="D14" s="4" t="inlineStr">
        <is>
          <t>tenencia_4</t>
        </is>
      </c>
      <c r="E14" s="4" t="n">
        <v>3.45</v>
      </c>
      <c r="F14" s="4" t="n">
        <v>3.0901</v>
      </c>
      <c r="G14" s="4" t="n">
        <v>3.8099</v>
      </c>
      <c r="H14" s="4" t="n">
        <v>71398</v>
      </c>
      <c r="I14" s="4" t="inlineStr">
        <is>
          <t>C4</t>
        </is>
      </c>
      <c r="J14" s="6">
        <f>IF(ISNUMBER(G14),G14-F14,"")</f>
        <v/>
      </c>
    </row>
    <row r="15">
      <c r="A15" s="4" t="n">
        <v>2025</v>
      </c>
      <c r="B15" s="4" t="inlineStr">
        <is>
          <t>total</t>
        </is>
      </c>
      <c r="C15" s="4" t="inlineStr">
        <is>
          <t>Total</t>
        </is>
      </c>
      <c r="D15" s="4" t="inlineStr">
        <is>
          <t>tenencia_5</t>
        </is>
      </c>
      <c r="E15" s="4" t="n">
        <v>5.5441</v>
      </c>
      <c r="F15" s="4" t="n">
        <v>5.1768</v>
      </c>
      <c r="G15" s="4" t="n">
        <v>5.9115</v>
      </c>
      <c r="H15" s="4" t="n">
        <v>71398</v>
      </c>
      <c r="I15" s="4" t="inlineStr">
        <is>
          <t>C4</t>
        </is>
      </c>
      <c r="J15" s="6">
        <f>IF(ISNUMBER(G15),G15-F15,"")</f>
        <v/>
      </c>
    </row>
    <row r="16">
      <c r="A16" s="4" t="n">
        <v>2025</v>
      </c>
      <c r="B16" s="4" t="inlineStr">
        <is>
          <t>total</t>
        </is>
      </c>
      <c r="C16" s="4" t="inlineStr">
        <is>
          <t>Total</t>
        </is>
      </c>
      <c r="D16" s="4" t="inlineStr">
        <is>
          <t>esfuerzo_alquiler_mediana</t>
        </is>
      </c>
      <c r="E16" s="4" t="n">
        <v>22.0562</v>
      </c>
      <c r="F16" s="4" t="n">
        <v>21.1879</v>
      </c>
      <c r="G16" s="4" t="n">
        <v>23.0747</v>
      </c>
      <c r="H16" s="4" t="n">
        <v>8856</v>
      </c>
      <c r="I16" s="4" t="inlineStr">
        <is>
          <t>C4</t>
        </is>
      </c>
      <c r="J16" s="6">
        <f>IF(ISNUMBER(G16),G16-F16,"")</f>
        <v/>
      </c>
    </row>
    <row r="17">
      <c r="A17" s="4" t="n">
        <v>2025</v>
      </c>
      <c r="B17" s="4" t="inlineStr">
        <is>
          <t>total</t>
        </is>
      </c>
      <c r="C17" s="4" t="inlineStr">
        <is>
          <t>Total</t>
        </is>
      </c>
      <c r="D17" s="4" t="inlineStr">
        <is>
          <t>esfuerzo_hipoteca_mediana</t>
        </is>
      </c>
      <c r="E17" s="4" t="n">
        <v>13.7424</v>
      </c>
      <c r="F17" s="4" t="n">
        <v>13.4185</v>
      </c>
      <c r="G17" s="4" t="n">
        <v>14.1263</v>
      </c>
      <c r="H17" s="4" t="n">
        <v>20116</v>
      </c>
      <c r="I17" s="4" t="inlineStr">
        <is>
          <t>C4</t>
        </is>
      </c>
      <c r="J17" s="6">
        <f>IF(ISNUMBER(G17),G17-F17,"")</f>
        <v/>
      </c>
    </row>
    <row r="18">
      <c r="A18" s="4" t="n">
        <v>2025</v>
      </c>
      <c r="B18" s="4" t="inlineStr">
        <is>
          <t>ccaa</t>
        </is>
      </c>
      <c r="C18" s="4" t="inlineStr">
        <is>
          <t>01</t>
        </is>
      </c>
      <c r="D18" s="4" t="inlineStr">
        <is>
          <t>sobrecarga_30</t>
        </is>
      </c>
      <c r="E18" s="4" t="n">
        <v>10.3653</v>
      </c>
      <c r="F18" s="4" t="n">
        <v>8.786799999999999</v>
      </c>
      <c r="G18" s="4" t="n">
        <v>11.9439</v>
      </c>
      <c r="H18" s="4" t="n">
        <v>8015</v>
      </c>
      <c r="I18" s="4" t="inlineStr">
        <is>
          <t>C4</t>
        </is>
      </c>
      <c r="J18" s="6">
        <f>IF(ISNUMBER(G18),G18-F18,"")</f>
        <v/>
      </c>
    </row>
    <row r="19">
      <c r="A19" s="4" t="n">
        <v>2025</v>
      </c>
      <c r="B19" s="4" t="inlineStr">
        <is>
          <t>ccaa</t>
        </is>
      </c>
      <c r="C19" s="4" t="inlineStr">
        <is>
          <t>01</t>
        </is>
      </c>
      <c r="D19" s="4" t="inlineStr">
        <is>
          <t>sobrecarga_40</t>
        </is>
      </c>
      <c r="E19" s="4" t="n">
        <v>6.9502</v>
      </c>
      <c r="F19" s="4" t="n">
        <v>5.6209</v>
      </c>
      <c r="G19" s="4" t="n">
        <v>8.279500000000001</v>
      </c>
      <c r="H19" s="4" t="n">
        <v>8015</v>
      </c>
      <c r="I19" s="4" t="inlineStr">
        <is>
          <t>C4</t>
        </is>
      </c>
      <c r="J19" s="6">
        <f>IF(ISNUMBER(G19),G19-F19,"")</f>
        <v/>
      </c>
    </row>
    <row r="20">
      <c r="A20" s="4" t="n">
        <v>2025</v>
      </c>
      <c r="B20" s="4" t="inlineStr">
        <is>
          <t>ccaa</t>
        </is>
      </c>
      <c r="C20" s="4" t="inlineStr">
        <is>
          <t>01</t>
        </is>
      </c>
      <c r="D20" s="4" t="inlineStr">
        <is>
          <t>esfuerzo_alquiler_30</t>
        </is>
      </c>
      <c r="E20" s="4" t="n">
        <v>30.2438</v>
      </c>
      <c r="F20" s="4" t="n">
        <v>22.8158</v>
      </c>
      <c r="G20" s="4" t="n">
        <v>37.6719</v>
      </c>
      <c r="H20" s="4" t="n">
        <v>654</v>
      </c>
      <c r="I20" s="4" t="inlineStr">
        <is>
          <t>C4</t>
        </is>
      </c>
      <c r="J20" s="6">
        <f>IF(ISNUMBER(G20),G20-F20,"")</f>
        <v/>
      </c>
    </row>
    <row r="21">
      <c r="A21" s="4" t="n">
        <v>2025</v>
      </c>
      <c r="B21" s="4" t="inlineStr">
        <is>
          <t>ccaa</t>
        </is>
      </c>
      <c r="C21" s="4" t="inlineStr">
        <is>
          <t>01</t>
        </is>
      </c>
      <c r="D21" s="4" t="inlineStr">
        <is>
          <t>esfuerzo_alquiler_40</t>
        </is>
      </c>
      <c r="E21" s="4" t="n">
        <v>16.7469</v>
      </c>
      <c r="F21" s="4" t="n">
        <v>11.1645</v>
      </c>
      <c r="G21" s="4" t="n">
        <v>22.3293</v>
      </c>
      <c r="H21" s="4" t="n">
        <v>654</v>
      </c>
      <c r="I21" s="4" t="inlineStr">
        <is>
          <t>C4</t>
        </is>
      </c>
      <c r="J21" s="6">
        <f>IF(ISNUMBER(G21),G21-F21,"")</f>
        <v/>
      </c>
    </row>
    <row r="22">
      <c r="A22" s="4" t="n">
        <v>2025</v>
      </c>
      <c r="B22" s="4" t="inlineStr">
        <is>
          <t>ccaa</t>
        </is>
      </c>
      <c r="C22" s="4" t="inlineStr">
        <is>
          <t>01</t>
        </is>
      </c>
      <c r="D22" s="4" t="inlineStr">
        <is>
          <t>esfuerzo_hipoteca_30</t>
        </is>
      </c>
      <c r="E22" s="4" t="n">
        <v>11.0106</v>
      </c>
      <c r="F22" s="4" t="n">
        <v>7.5869</v>
      </c>
      <c r="G22" s="4" t="n">
        <v>14.4343</v>
      </c>
      <c r="H22" s="4" t="n">
        <v>2468</v>
      </c>
      <c r="I22" s="4" t="inlineStr">
        <is>
          <t>C4</t>
        </is>
      </c>
      <c r="J22" s="6">
        <f>IF(ISNUMBER(G22),G22-F22,"")</f>
        <v/>
      </c>
    </row>
    <row r="23">
      <c r="A23" s="4" t="n">
        <v>2025</v>
      </c>
      <c r="B23" s="4" t="inlineStr">
        <is>
          <t>ccaa</t>
        </is>
      </c>
      <c r="C23" s="4" t="inlineStr">
        <is>
          <t>01</t>
        </is>
      </c>
      <c r="D23" s="4" t="inlineStr">
        <is>
          <t>hacinamiento</t>
        </is>
      </c>
      <c r="E23" s="4" t="n">
        <v>8.097899999999999</v>
      </c>
      <c r="F23" s="4" t="n">
        <v>6.1788</v>
      </c>
      <c r="G23" s="4" t="n">
        <v>10.0171</v>
      </c>
      <c r="H23" s="4" t="n">
        <v>8016</v>
      </c>
      <c r="I23" s="4" t="inlineStr">
        <is>
          <t>C4</t>
        </is>
      </c>
      <c r="J23" s="6">
        <f>IF(ISNUMBER(G23),G23-F23,"")</f>
        <v/>
      </c>
    </row>
    <row r="24">
      <c r="A24" s="4" t="n">
        <v>2025</v>
      </c>
      <c r="B24" s="4" t="inlineStr">
        <is>
          <t>ccaa</t>
        </is>
      </c>
      <c r="C24" s="4" t="inlineStr">
        <is>
          <t>01</t>
        </is>
      </c>
      <c r="D24" s="4" t="inlineStr">
        <is>
          <t>tenencia_1</t>
        </is>
      </c>
      <c r="E24" s="4" t="n">
        <v>47.1297</v>
      </c>
      <c r="F24" s="4" t="n">
        <v>44.7519</v>
      </c>
      <c r="G24" s="4" t="n">
        <v>49.5075</v>
      </c>
      <c r="H24" s="4" t="n">
        <v>8046</v>
      </c>
      <c r="I24" s="4" t="inlineStr">
        <is>
          <t>C4</t>
        </is>
      </c>
      <c r="J24" s="6">
        <f>IF(ISNUMBER(G24),G24-F24,"")</f>
        <v/>
      </c>
    </row>
    <row r="25">
      <c r="A25" s="4" t="n">
        <v>2025</v>
      </c>
      <c r="B25" s="4" t="inlineStr">
        <is>
          <t>ccaa</t>
        </is>
      </c>
      <c r="C25" s="4" t="inlineStr">
        <is>
          <t>01</t>
        </is>
      </c>
      <c r="D25" s="4" t="inlineStr">
        <is>
          <t>tenencia_2</t>
        </is>
      </c>
      <c r="E25" s="4" t="n">
        <v>31.6685</v>
      </c>
      <c r="F25" s="4" t="n">
        <v>29.3822</v>
      </c>
      <c r="G25" s="4" t="n">
        <v>33.9549</v>
      </c>
      <c r="H25" s="4" t="n">
        <v>8046</v>
      </c>
      <c r="I25" s="4" t="inlineStr">
        <is>
          <t>C4</t>
        </is>
      </c>
      <c r="J25" s="6">
        <f>IF(ISNUMBER(G25),G25-F25,"")</f>
        <v/>
      </c>
    </row>
    <row r="26">
      <c r="A26" s="4" t="n">
        <v>2025</v>
      </c>
      <c r="B26" s="4" t="inlineStr">
        <is>
          <t>ccaa</t>
        </is>
      </c>
      <c r="C26" s="4" t="inlineStr">
        <is>
          <t>01</t>
        </is>
      </c>
      <c r="D26" s="4" t="inlineStr">
        <is>
          <t>tenencia_3</t>
        </is>
      </c>
      <c r="E26" s="4" t="n">
        <v>11.0791</v>
      </c>
      <c r="F26" s="4" t="n">
        <v>9.1755</v>
      </c>
      <c r="G26" s="4" t="n">
        <v>12.9826</v>
      </c>
      <c r="H26" s="4" t="n">
        <v>8046</v>
      </c>
      <c r="I26" s="4" t="inlineStr">
        <is>
          <t>C4</t>
        </is>
      </c>
      <c r="J26" s="6">
        <f>IF(ISNUMBER(G26),G26-F26,"")</f>
        <v/>
      </c>
    </row>
    <row r="27">
      <c r="A27" s="4" t="n">
        <v>2025</v>
      </c>
      <c r="B27" s="4" t="inlineStr">
        <is>
          <t>ccaa</t>
        </is>
      </c>
      <c r="C27" s="4" t="inlineStr">
        <is>
          <t>01</t>
        </is>
      </c>
      <c r="D27" s="4" t="inlineStr">
        <is>
          <t>tenencia_4</t>
        </is>
      </c>
      <c r="E27" s="4" t="n">
        <v>3.1474</v>
      </c>
      <c r="F27" s="4" t="n">
        <v>2.2458</v>
      </c>
      <c r="G27" s="4" t="n">
        <v>4.049</v>
      </c>
      <c r="H27" s="4" t="n">
        <v>8046</v>
      </c>
      <c r="I27" s="4" t="inlineStr">
        <is>
          <t>C4</t>
        </is>
      </c>
      <c r="J27" s="6">
        <f>IF(ISNUMBER(G27),G27-F27,"")</f>
        <v/>
      </c>
    </row>
    <row r="28">
      <c r="A28" s="4" t="n">
        <v>2025</v>
      </c>
      <c r="B28" s="4" t="inlineStr">
        <is>
          <t>ccaa</t>
        </is>
      </c>
      <c r="C28" s="4" t="inlineStr">
        <is>
          <t>01</t>
        </is>
      </c>
      <c r="D28" s="4" t="inlineStr">
        <is>
          <t>tenencia_5</t>
        </is>
      </c>
      <c r="E28" s="4" t="n">
        <v>6.9753</v>
      </c>
      <c r="F28" s="4" t="n">
        <v>5.8694</v>
      </c>
      <c r="G28" s="4" t="n">
        <v>8.081200000000001</v>
      </c>
      <c r="H28" s="4" t="n">
        <v>8046</v>
      </c>
      <c r="I28" s="4" t="inlineStr">
        <is>
          <t>C4</t>
        </is>
      </c>
      <c r="J28" s="6">
        <f>IF(ISNUMBER(G28),G28-F28,"")</f>
        <v/>
      </c>
    </row>
    <row r="29">
      <c r="A29" s="4" t="n">
        <v>2025</v>
      </c>
      <c r="B29" s="4" t="inlineStr">
        <is>
          <t>ccaa</t>
        </is>
      </c>
      <c r="C29" s="4" t="inlineStr">
        <is>
          <t>01</t>
        </is>
      </c>
      <c r="D29" s="4" t="inlineStr">
        <is>
          <t>esfuerzo_alquiler_mediana</t>
        </is>
      </c>
      <c r="E29" s="4" t="n">
        <v>21.3799</v>
      </c>
      <c r="F29" s="4" t="n">
        <v>17.5227</v>
      </c>
      <c r="G29" s="4" t="n">
        <v>24.9532</v>
      </c>
      <c r="H29" s="4" t="n">
        <v>654</v>
      </c>
      <c r="I29" s="4" t="inlineStr">
        <is>
          <t>C4</t>
        </is>
      </c>
      <c r="J29" s="6">
        <f>IF(ISNUMBER(G29),G29-F29,"")</f>
        <v/>
      </c>
    </row>
    <row r="30">
      <c r="A30" s="4" t="n">
        <v>2025</v>
      </c>
      <c r="B30" s="4" t="inlineStr">
        <is>
          <t>ccaa</t>
        </is>
      </c>
      <c r="C30" s="4" t="inlineStr">
        <is>
          <t>01</t>
        </is>
      </c>
      <c r="D30" s="4" t="inlineStr">
        <is>
          <t>esfuerzo_hipoteca_mediana</t>
        </is>
      </c>
      <c r="E30" s="4" t="n">
        <v>13.9149</v>
      </c>
      <c r="F30" s="4" t="n">
        <v>13.0735</v>
      </c>
      <c r="G30" s="4" t="n">
        <v>14.8519</v>
      </c>
      <c r="H30" s="4" t="n">
        <v>2468</v>
      </c>
      <c r="I30" s="4" t="inlineStr">
        <is>
          <t>C4</t>
        </is>
      </c>
      <c r="J30" s="6">
        <f>IF(ISNUMBER(G30),G30-F30,"")</f>
        <v/>
      </c>
    </row>
    <row r="31">
      <c r="A31" s="4" t="n">
        <v>2025</v>
      </c>
      <c r="B31" s="4" t="inlineStr">
        <is>
          <t>ccaa</t>
        </is>
      </c>
      <c r="C31" s="4" t="inlineStr">
        <is>
          <t>02</t>
        </is>
      </c>
      <c r="D31" s="4" t="inlineStr">
        <is>
          <t>sobrecarga_30</t>
        </is>
      </c>
      <c r="E31" s="4" t="n">
        <v>7.5941</v>
      </c>
      <c r="F31" s="4" t="n">
        <v>5.4047</v>
      </c>
      <c r="G31" s="4" t="n">
        <v>9.7835</v>
      </c>
      <c r="H31" s="4" t="n">
        <v>2822</v>
      </c>
      <c r="I31" s="4" t="inlineStr">
        <is>
          <t>C4</t>
        </is>
      </c>
      <c r="J31" s="6">
        <f>IF(ISNUMBER(G31),G31-F31,"")</f>
        <v/>
      </c>
    </row>
    <row r="32">
      <c r="A32" s="4" t="n">
        <v>2025</v>
      </c>
      <c r="B32" s="4" t="inlineStr">
        <is>
          <t>ccaa</t>
        </is>
      </c>
      <c r="C32" s="4" t="inlineStr">
        <is>
          <t>02</t>
        </is>
      </c>
      <c r="D32" s="4" t="inlineStr">
        <is>
          <t>sobrecarga_40</t>
        </is>
      </c>
      <c r="E32" s="4" t="n">
        <v>4.4088</v>
      </c>
      <c r="F32" s="4" t="n">
        <v>2.6211</v>
      </c>
      <c r="G32" s="4" t="n">
        <v>6.1965</v>
      </c>
      <c r="H32" s="4" t="n">
        <v>2822</v>
      </c>
      <c r="I32" s="4" t="inlineStr">
        <is>
          <t>C4</t>
        </is>
      </c>
      <c r="J32" s="6">
        <f>IF(ISNUMBER(G32),G32-F32,"")</f>
        <v/>
      </c>
    </row>
    <row r="33">
      <c r="A33" s="4" t="n">
        <v>2025</v>
      </c>
      <c r="B33" s="4" t="inlineStr">
        <is>
          <t>ccaa</t>
        </is>
      </c>
      <c r="C33" s="4" t="inlineStr">
        <is>
          <t>02</t>
        </is>
      </c>
      <c r="D33" s="4" t="inlineStr">
        <is>
          <t>esfuerzo_alquiler_30</t>
        </is>
      </c>
      <c r="E33" s="4" t="n">
        <v>17.8421</v>
      </c>
      <c r="F33" s="4" t="n">
        <v>8.333500000000001</v>
      </c>
      <c r="G33" s="4" t="n">
        <v>27.3507</v>
      </c>
      <c r="H33" s="4" t="n">
        <v>335</v>
      </c>
      <c r="I33" s="4" t="inlineStr">
        <is>
          <t>C4</t>
        </is>
      </c>
      <c r="J33" s="6">
        <f>IF(ISNUMBER(G33),G33-F33,"")</f>
        <v/>
      </c>
    </row>
    <row r="34">
      <c r="A34" s="4" t="n">
        <v>2025</v>
      </c>
      <c r="B34" s="4" t="inlineStr">
        <is>
          <t>ccaa</t>
        </is>
      </c>
      <c r="C34" s="4" t="inlineStr">
        <is>
          <t>02</t>
        </is>
      </c>
      <c r="D34" s="4" t="inlineStr">
        <is>
          <t>esfuerzo_alquiler_40</t>
        </is>
      </c>
      <c r="E34" s="4" t="n">
        <v>11.62</v>
      </c>
      <c r="F34" s="4" t="n">
        <v>2.7296</v>
      </c>
      <c r="G34" s="4" t="n">
        <v>20.5104</v>
      </c>
      <c r="H34" s="4" t="n">
        <v>335</v>
      </c>
      <c r="I34" s="4" t="inlineStr">
        <is>
          <t>C4</t>
        </is>
      </c>
      <c r="J34" s="6">
        <f>IF(ISNUMBER(G34),G34-F34,"")</f>
        <v/>
      </c>
    </row>
    <row r="35">
      <c r="A35" s="4" t="n">
        <v>2025</v>
      </c>
      <c r="B35" s="4" t="inlineStr">
        <is>
          <t>ccaa</t>
        </is>
      </c>
      <c r="C35" s="4" t="inlineStr">
        <is>
          <t>02</t>
        </is>
      </c>
      <c r="D35" s="4" t="inlineStr">
        <is>
          <t>esfuerzo_hipoteca_30</t>
        </is>
      </c>
      <c r="E35" s="4" t="n">
        <v>5.0319</v>
      </c>
      <c r="F35" s="4" t="n">
        <v>2.387</v>
      </c>
      <c r="G35" s="4" t="n">
        <v>7.6769</v>
      </c>
      <c r="H35" s="4" t="n">
        <v>767</v>
      </c>
      <c r="I35" s="4" t="inlineStr">
        <is>
          <t>C4</t>
        </is>
      </c>
      <c r="J35" s="6">
        <f>IF(ISNUMBER(G35),G35-F35,"")</f>
        <v/>
      </c>
    </row>
    <row r="36">
      <c r="A36" s="4" t="n">
        <v>2025</v>
      </c>
      <c r="B36" s="4" t="inlineStr">
        <is>
          <t>ccaa</t>
        </is>
      </c>
      <c r="C36" s="4" t="inlineStr">
        <is>
          <t>02</t>
        </is>
      </c>
      <c r="D36" s="4" t="inlineStr">
        <is>
          <t>hacinamiento</t>
        </is>
      </c>
      <c r="E36" s="4" t="n">
        <v>4.3144</v>
      </c>
      <c r="F36" s="4" t="n">
        <v>1.8659</v>
      </c>
      <c r="G36" s="4" t="n">
        <v>6.7629</v>
      </c>
      <c r="H36" s="4" t="n">
        <v>2821</v>
      </c>
      <c r="I36" s="4" t="inlineStr">
        <is>
          <t>C4</t>
        </is>
      </c>
      <c r="J36" s="6">
        <f>IF(ISNUMBER(G36),G36-F36,"")</f>
        <v/>
      </c>
    </row>
    <row r="37">
      <c r="A37" s="4" t="n">
        <v>2025</v>
      </c>
      <c r="B37" s="4" t="inlineStr">
        <is>
          <t>ccaa</t>
        </is>
      </c>
      <c r="C37" s="4" t="inlineStr">
        <is>
          <t>02</t>
        </is>
      </c>
      <c r="D37" s="4" t="inlineStr">
        <is>
          <t>tenencia_1</t>
        </is>
      </c>
      <c r="E37" s="4" t="n">
        <v>50.0273</v>
      </c>
      <c r="F37" s="4" t="n">
        <v>45.8348</v>
      </c>
      <c r="G37" s="4" t="n">
        <v>54.2199</v>
      </c>
      <c r="H37" s="4" t="n">
        <v>2826</v>
      </c>
      <c r="I37" s="4" t="inlineStr">
        <is>
          <t>C4</t>
        </is>
      </c>
      <c r="J37" s="6">
        <f>IF(ISNUMBER(G37),G37-F37,"")</f>
        <v/>
      </c>
    </row>
    <row r="38">
      <c r="A38" s="4" t="n">
        <v>2025</v>
      </c>
      <c r="B38" s="4" t="inlineStr">
        <is>
          <t>ccaa</t>
        </is>
      </c>
      <c r="C38" s="4" t="inlineStr">
        <is>
          <t>02</t>
        </is>
      </c>
      <c r="D38" s="4" t="inlineStr">
        <is>
          <t>tenencia_2</t>
        </is>
      </c>
      <c r="E38" s="4" t="n">
        <v>27.4391</v>
      </c>
      <c r="F38" s="4" t="n">
        <v>23.8212</v>
      </c>
      <c r="G38" s="4" t="n">
        <v>31.057</v>
      </c>
      <c r="H38" s="4" t="n">
        <v>2826</v>
      </c>
      <c r="I38" s="4" t="inlineStr">
        <is>
          <t>C4</t>
        </is>
      </c>
      <c r="J38" s="6">
        <f>IF(ISNUMBER(G38),G38-F38,"")</f>
        <v/>
      </c>
    </row>
    <row r="39">
      <c r="A39" s="4" t="n">
        <v>2025</v>
      </c>
      <c r="B39" s="4" t="inlineStr">
        <is>
          <t>ccaa</t>
        </is>
      </c>
      <c r="C39" s="4" t="inlineStr">
        <is>
          <t>02</t>
        </is>
      </c>
      <c r="D39" s="4" t="inlineStr">
        <is>
          <t>tenencia_3</t>
        </is>
      </c>
      <c r="E39" s="4" t="n">
        <v>17.2948</v>
      </c>
      <c r="F39" s="4" t="n">
        <v>13.1538</v>
      </c>
      <c r="G39" s="4" t="n">
        <v>21.4359</v>
      </c>
      <c r="H39" s="4" t="n">
        <v>2826</v>
      </c>
      <c r="I39" s="4" t="inlineStr">
        <is>
          <t>C4</t>
        </is>
      </c>
      <c r="J39" s="6">
        <f>IF(ISNUMBER(G39),G39-F39,"")</f>
        <v/>
      </c>
    </row>
    <row r="40">
      <c r="A40" s="4" t="n">
        <v>2025</v>
      </c>
      <c r="B40" s="4" t="inlineStr">
        <is>
          <t>ccaa</t>
        </is>
      </c>
      <c r="C40" s="4" t="inlineStr">
        <is>
          <t>02</t>
        </is>
      </c>
      <c r="D40" s="4" t="inlineStr">
        <is>
          <t>tenencia_4</t>
        </is>
      </c>
      <c r="E40" s="4" t="n">
        <v>1.5417</v>
      </c>
      <c r="F40" s="4" t="n">
        <v>0.6568000000000001</v>
      </c>
      <c r="G40" s="4" t="n">
        <v>2.4267</v>
      </c>
      <c r="H40" s="4" t="n">
        <v>2826</v>
      </c>
      <c r="I40" s="4" t="inlineStr">
        <is>
          <t>C4</t>
        </is>
      </c>
      <c r="J40" s="6">
        <f>IF(ISNUMBER(G40),G40-F40,"")</f>
        <v/>
      </c>
    </row>
    <row r="41">
      <c r="A41" s="4" t="n">
        <v>2025</v>
      </c>
      <c r="B41" s="4" t="inlineStr">
        <is>
          <t>ccaa</t>
        </is>
      </c>
      <c r="C41" s="4" t="inlineStr">
        <is>
          <t>02</t>
        </is>
      </c>
      <c r="D41" s="4" t="inlineStr">
        <is>
          <t>tenencia_5</t>
        </is>
      </c>
      <c r="E41" s="4" t="n">
        <v>3.6971</v>
      </c>
      <c r="F41" s="4" t="n">
        <v>2.5265</v>
      </c>
      <c r="G41" s="4" t="n">
        <v>4.8677</v>
      </c>
      <c r="H41" s="4" t="n">
        <v>2826</v>
      </c>
      <c r="I41" s="4" t="inlineStr">
        <is>
          <t>C4</t>
        </is>
      </c>
      <c r="J41" s="6">
        <f>IF(ISNUMBER(G41),G41-F41,"")</f>
        <v/>
      </c>
    </row>
    <row r="42">
      <c r="A42" s="4" t="n">
        <v>2025</v>
      </c>
      <c r="B42" s="4" t="inlineStr">
        <is>
          <t>ccaa</t>
        </is>
      </c>
      <c r="C42" s="4" t="inlineStr">
        <is>
          <t>02</t>
        </is>
      </c>
      <c r="D42" s="4" t="inlineStr">
        <is>
          <t>esfuerzo_alquiler_mediana</t>
        </is>
      </c>
      <c r="E42" s="4" t="n">
        <v>18.1637</v>
      </c>
      <c r="F42" s="4" t="n">
        <v>17.3556</v>
      </c>
      <c r="G42" s="4" t="n">
        <v>20.8813</v>
      </c>
      <c r="H42" s="4" t="n">
        <v>335</v>
      </c>
      <c r="I42" s="4" t="inlineStr">
        <is>
          <t>C4</t>
        </is>
      </c>
      <c r="J42" s="6">
        <f>IF(ISNUMBER(G42),G42-F42,"")</f>
        <v/>
      </c>
    </row>
    <row r="43">
      <c r="A43" s="4" t="n">
        <v>2025</v>
      </c>
      <c r="B43" s="4" t="inlineStr">
        <is>
          <t>ccaa</t>
        </is>
      </c>
      <c r="C43" s="4" t="inlineStr">
        <is>
          <t>02</t>
        </is>
      </c>
      <c r="D43" s="4" t="inlineStr">
        <is>
          <t>esfuerzo_hipoteca_mediana</t>
        </is>
      </c>
      <c r="E43" s="4" t="n">
        <v>12.9655</v>
      </c>
      <c r="F43" s="4" t="n">
        <v>11.9354</v>
      </c>
      <c r="G43" s="4" t="n">
        <v>14.0104</v>
      </c>
      <c r="H43" s="4" t="n">
        <v>767</v>
      </c>
      <c r="I43" s="4" t="inlineStr">
        <is>
          <t>C4</t>
        </is>
      </c>
      <c r="J43" s="6">
        <f>IF(ISNUMBER(G43),G43-F43,"")</f>
        <v/>
      </c>
    </row>
    <row r="44">
      <c r="A44" s="4" t="n">
        <v>2025</v>
      </c>
      <c r="B44" s="4" t="inlineStr">
        <is>
          <t>ccaa</t>
        </is>
      </c>
      <c r="C44" s="4" t="inlineStr">
        <is>
          <t>03</t>
        </is>
      </c>
      <c r="D44" s="4" t="inlineStr">
        <is>
          <t>sobrecarga_30</t>
        </is>
      </c>
      <c r="E44" s="4" t="n">
        <v>8.8276</v>
      </c>
      <c r="F44" s="4" t="n">
        <v>6.7132</v>
      </c>
      <c r="G44" s="4" t="n">
        <v>10.9419</v>
      </c>
      <c r="H44" s="4" t="n">
        <v>2267</v>
      </c>
      <c r="I44" s="4" t="inlineStr">
        <is>
          <t>C4</t>
        </is>
      </c>
      <c r="J44" s="6">
        <f>IF(ISNUMBER(G44),G44-F44,"")</f>
        <v/>
      </c>
    </row>
    <row r="45">
      <c r="A45" s="4" t="n">
        <v>2025</v>
      </c>
      <c r="B45" s="4" t="inlineStr">
        <is>
          <t>ccaa</t>
        </is>
      </c>
      <c r="C45" s="4" t="inlineStr">
        <is>
          <t>03</t>
        </is>
      </c>
      <c r="D45" s="4" t="inlineStr">
        <is>
          <t>sobrecarga_40</t>
        </is>
      </c>
      <c r="E45" s="4" t="n">
        <v>5.3556</v>
      </c>
      <c r="F45" s="4" t="n">
        <v>3.599</v>
      </c>
      <c r="G45" s="4" t="n">
        <v>7.1122</v>
      </c>
      <c r="H45" s="4" t="n">
        <v>2267</v>
      </c>
      <c r="I45" s="4" t="inlineStr">
        <is>
          <t>C4</t>
        </is>
      </c>
      <c r="J45" s="6">
        <f>IF(ISNUMBER(G45),G45-F45,"")</f>
        <v/>
      </c>
    </row>
    <row r="46">
      <c r="A46" s="4" t="n">
        <v>2025</v>
      </c>
      <c r="B46" s="4" t="inlineStr">
        <is>
          <t>ccaa</t>
        </is>
      </c>
      <c r="C46" s="4" t="inlineStr">
        <is>
          <t>03</t>
        </is>
      </c>
      <c r="D46" s="4" t="inlineStr">
        <is>
          <t>esfuerzo_alquiler_30</t>
        </is>
      </c>
      <c r="E46" s="4" t="n">
        <v>24.3591</v>
      </c>
      <c r="F46" s="4" t="n">
        <v>12.4758</v>
      </c>
      <c r="G46" s="4" t="n">
        <v>36.2424</v>
      </c>
      <c r="H46" s="4" t="n">
        <v>196</v>
      </c>
      <c r="I46" s="4" t="inlineStr">
        <is>
          <t>C4</t>
        </is>
      </c>
      <c r="J46" s="6">
        <f>IF(ISNUMBER(G46),G46-F46,"")</f>
        <v/>
      </c>
    </row>
    <row r="47">
      <c r="A47" s="4" t="n">
        <v>2025</v>
      </c>
      <c r="B47" s="4" t="inlineStr">
        <is>
          <t>ccaa</t>
        </is>
      </c>
      <c r="C47" s="4" t="inlineStr">
        <is>
          <t>03</t>
        </is>
      </c>
      <c r="D47" s="4" t="inlineStr">
        <is>
          <t>esfuerzo_alquiler_40</t>
        </is>
      </c>
      <c r="E47" s="4" t="n">
        <v>16.3401</v>
      </c>
      <c r="F47" s="4" t="n">
        <v>5.2576</v>
      </c>
      <c r="G47" s="4" t="n">
        <v>27.4226</v>
      </c>
      <c r="H47" s="4" t="n">
        <v>196</v>
      </c>
      <c r="I47" s="4" t="inlineStr">
        <is>
          <t>C4</t>
        </is>
      </c>
      <c r="J47" s="6">
        <f>IF(ISNUMBER(G47),G47-F47,"")</f>
        <v/>
      </c>
    </row>
    <row r="48">
      <c r="A48" s="4" t="n">
        <v>2025</v>
      </c>
      <c r="B48" s="4" t="inlineStr">
        <is>
          <t>ccaa</t>
        </is>
      </c>
      <c r="C48" s="4" t="inlineStr">
        <is>
          <t>03</t>
        </is>
      </c>
      <c r="D48" s="4" t="inlineStr">
        <is>
          <t>esfuerzo_hipoteca_30</t>
        </is>
      </c>
      <c r="E48" s="4" t="n">
        <v>11.3749</v>
      </c>
      <c r="F48" s="4" t="n">
        <v>6.4245</v>
      </c>
      <c r="G48" s="4" t="n">
        <v>16.3254</v>
      </c>
      <c r="H48" s="4" t="n">
        <v>561</v>
      </c>
      <c r="I48" s="4" t="inlineStr">
        <is>
          <t>C4</t>
        </is>
      </c>
      <c r="J48" s="6">
        <f>IF(ISNUMBER(G48),G48-F48,"")</f>
        <v/>
      </c>
    </row>
    <row r="49">
      <c r="A49" s="4" t="n">
        <v>2025</v>
      </c>
      <c r="B49" s="4" t="inlineStr">
        <is>
          <t>ccaa</t>
        </is>
      </c>
      <c r="C49" s="4" t="inlineStr">
        <is>
          <t>03</t>
        </is>
      </c>
      <c r="D49" s="4" t="inlineStr">
        <is>
          <t>hacinamiento</t>
        </is>
      </c>
      <c r="E49" s="4" t="n">
        <v>4.7836</v>
      </c>
      <c r="F49" s="4" t="n">
        <v>1.6737</v>
      </c>
      <c r="G49" s="4" t="n">
        <v>7.8936</v>
      </c>
      <c r="H49" s="4" t="n">
        <v>2273</v>
      </c>
      <c r="I49" s="4" t="inlineStr">
        <is>
          <t>C4</t>
        </is>
      </c>
      <c r="J49" s="6">
        <f>IF(ISNUMBER(G49),G49-F49,"")</f>
        <v/>
      </c>
    </row>
    <row r="50">
      <c r="A50" s="4" t="n">
        <v>2025</v>
      </c>
      <c r="B50" s="4" t="inlineStr">
        <is>
          <t>ccaa</t>
        </is>
      </c>
      <c r="C50" s="4" t="inlineStr">
        <is>
          <t>03</t>
        </is>
      </c>
      <c r="D50" s="4" t="inlineStr">
        <is>
          <t>tenencia_1</t>
        </is>
      </c>
      <c r="E50" s="4" t="n">
        <v>54.0971</v>
      </c>
      <c r="F50" s="4" t="n">
        <v>49.5869</v>
      </c>
      <c r="G50" s="4" t="n">
        <v>58.6073</v>
      </c>
      <c r="H50" s="4" t="n">
        <v>2277</v>
      </c>
      <c r="I50" s="4" t="inlineStr">
        <is>
          <t>C4</t>
        </is>
      </c>
      <c r="J50" s="6">
        <f>IF(ISNUMBER(G50),G50-F50,"")</f>
        <v/>
      </c>
    </row>
    <row r="51">
      <c r="A51" s="4" t="n">
        <v>2025</v>
      </c>
      <c r="B51" s="4" t="inlineStr">
        <is>
          <t>ccaa</t>
        </is>
      </c>
      <c r="C51" s="4" t="inlineStr">
        <is>
          <t>03</t>
        </is>
      </c>
      <c r="D51" s="4" t="inlineStr">
        <is>
          <t>tenencia_2</t>
        </is>
      </c>
      <c r="E51" s="4" t="n">
        <v>24.1889</v>
      </c>
      <c r="F51" s="4" t="n">
        <v>20.2381</v>
      </c>
      <c r="G51" s="4" t="n">
        <v>28.1398</v>
      </c>
      <c r="H51" s="4" t="n">
        <v>2277</v>
      </c>
      <c r="I51" s="4" t="inlineStr">
        <is>
          <t>C4</t>
        </is>
      </c>
      <c r="J51" s="6">
        <f>IF(ISNUMBER(G51),G51-F51,"")</f>
        <v/>
      </c>
    </row>
    <row r="52">
      <c r="A52" s="4" t="n">
        <v>2025</v>
      </c>
      <c r="B52" s="4" t="inlineStr">
        <is>
          <t>ccaa</t>
        </is>
      </c>
      <c r="C52" s="4" t="inlineStr">
        <is>
          <t>03</t>
        </is>
      </c>
      <c r="D52" s="4" t="inlineStr">
        <is>
          <t>tenencia_3</t>
        </is>
      </c>
      <c r="E52" s="4" t="n">
        <v>11.826</v>
      </c>
      <c r="F52" s="4" t="n">
        <v>8.569000000000001</v>
      </c>
      <c r="G52" s="4" t="n">
        <v>15.0829</v>
      </c>
      <c r="H52" s="4" t="n">
        <v>2277</v>
      </c>
      <c r="I52" s="4" t="inlineStr">
        <is>
          <t>C4</t>
        </is>
      </c>
      <c r="J52" s="6">
        <f>IF(ISNUMBER(G52),G52-F52,"")</f>
        <v/>
      </c>
    </row>
    <row r="53">
      <c r="A53" s="4" t="n">
        <v>2025</v>
      </c>
      <c r="B53" s="4" t="inlineStr">
        <is>
          <t>ccaa</t>
        </is>
      </c>
      <c r="C53" s="4" t="inlineStr">
        <is>
          <t>03</t>
        </is>
      </c>
      <c r="D53" s="4" t="inlineStr">
        <is>
          <t>tenencia_4</t>
        </is>
      </c>
      <c r="E53" s="4" t="n">
        <v>3.7649</v>
      </c>
      <c r="F53" s="4" t="n">
        <v>1.8721</v>
      </c>
      <c r="G53" s="4" t="n">
        <v>5.6577</v>
      </c>
      <c r="H53" s="4" t="n">
        <v>2277</v>
      </c>
      <c r="I53" s="4" t="inlineStr">
        <is>
          <t>C4</t>
        </is>
      </c>
      <c r="J53" s="6">
        <f>IF(ISNUMBER(G53),G53-F53,"")</f>
        <v/>
      </c>
    </row>
    <row r="54">
      <c r="A54" s="4" t="n">
        <v>2025</v>
      </c>
      <c r="B54" s="4" t="inlineStr">
        <is>
          <t>ccaa</t>
        </is>
      </c>
      <c r="C54" s="4" t="inlineStr">
        <is>
          <t>03</t>
        </is>
      </c>
      <c r="D54" s="4" t="inlineStr">
        <is>
          <t>tenencia_5</t>
        </is>
      </c>
      <c r="E54" s="4" t="n">
        <v>6.1231</v>
      </c>
      <c r="F54" s="4" t="n">
        <v>4.4049</v>
      </c>
      <c r="G54" s="4" t="n">
        <v>7.8414</v>
      </c>
      <c r="H54" s="4" t="n">
        <v>2277</v>
      </c>
      <c r="I54" s="4" t="inlineStr">
        <is>
          <t>C4</t>
        </is>
      </c>
      <c r="J54" s="6">
        <f>IF(ISNUMBER(G54),G54-F54,"")</f>
        <v/>
      </c>
    </row>
    <row r="55">
      <c r="A55" s="4" t="n">
        <v>2025</v>
      </c>
      <c r="B55" s="4" t="inlineStr">
        <is>
          <t>ccaa</t>
        </is>
      </c>
      <c r="C55" s="4" t="inlineStr">
        <is>
          <t>03</t>
        </is>
      </c>
      <c r="D55" s="4" t="inlineStr">
        <is>
          <t>esfuerzo_alquiler_mediana</t>
        </is>
      </c>
      <c r="E55" s="4" t="n">
        <v>20.4473</v>
      </c>
      <c r="F55" s="4" t="n">
        <v>17.4826</v>
      </c>
      <c r="G55" s="4" t="n">
        <v>23.1275</v>
      </c>
      <c r="H55" s="4" t="n">
        <v>196</v>
      </c>
      <c r="I55" s="4" t="inlineStr">
        <is>
          <t>C4</t>
        </is>
      </c>
      <c r="J55" s="6">
        <f>IF(ISNUMBER(G55),G55-F55,"")</f>
        <v/>
      </c>
    </row>
    <row r="56">
      <c r="A56" s="4" t="n">
        <v>2025</v>
      </c>
      <c r="B56" s="4" t="inlineStr">
        <is>
          <t>ccaa</t>
        </is>
      </c>
      <c r="C56" s="4" t="inlineStr">
        <is>
          <t>03</t>
        </is>
      </c>
      <c r="D56" s="4" t="inlineStr">
        <is>
          <t>esfuerzo_hipoteca_mediana</t>
        </is>
      </c>
      <c r="E56" s="4" t="n">
        <v>13.5843</v>
      </c>
      <c r="F56" s="4" t="n">
        <v>11.5928</v>
      </c>
      <c r="G56" s="4" t="n">
        <v>15.2524</v>
      </c>
      <c r="H56" s="4" t="n">
        <v>561</v>
      </c>
      <c r="I56" s="4" t="inlineStr">
        <is>
          <t>C4</t>
        </is>
      </c>
      <c r="J56" s="6">
        <f>IF(ISNUMBER(G56),G56-F56,"")</f>
        <v/>
      </c>
    </row>
    <row r="57">
      <c r="A57" s="4" t="n">
        <v>2025</v>
      </c>
      <c r="B57" s="4" t="inlineStr">
        <is>
          <t>ccaa</t>
        </is>
      </c>
      <c r="C57" s="4" t="inlineStr">
        <is>
          <t>04</t>
        </is>
      </c>
      <c r="D57" s="4" t="inlineStr">
        <is>
          <t>sobrecarga_30</t>
        </is>
      </c>
      <c r="E57" s="4" t="n">
        <v>11.3117</v>
      </c>
      <c r="F57" s="4" t="n">
        <v>7.8628</v>
      </c>
      <c r="G57" s="4" t="n">
        <v>14.7605</v>
      </c>
      <c r="H57" s="4" t="n">
        <v>2056</v>
      </c>
      <c r="I57" s="4" t="inlineStr">
        <is>
          <t>C4</t>
        </is>
      </c>
      <c r="J57" s="6">
        <f>IF(ISNUMBER(G57),G57-F57,"")</f>
        <v/>
      </c>
    </row>
    <row r="58">
      <c r="A58" s="4" t="n">
        <v>2025</v>
      </c>
      <c r="B58" s="4" t="inlineStr">
        <is>
          <t>ccaa</t>
        </is>
      </c>
      <c r="C58" s="4" t="inlineStr">
        <is>
          <t>04</t>
        </is>
      </c>
      <c r="D58" s="4" t="inlineStr">
        <is>
          <t>sobrecarga_40</t>
        </is>
      </c>
      <c r="E58" s="4" t="n">
        <v>6.3753</v>
      </c>
      <c r="F58" s="4" t="n">
        <v>3.6007</v>
      </c>
      <c r="G58" s="4" t="n">
        <v>9.149800000000001</v>
      </c>
      <c r="H58" s="4" t="n">
        <v>2056</v>
      </c>
      <c r="I58" s="4" t="inlineStr">
        <is>
          <t>C4</t>
        </is>
      </c>
      <c r="J58" s="6">
        <f>IF(ISNUMBER(G58),G58-F58,"")</f>
        <v/>
      </c>
    </row>
    <row r="59">
      <c r="A59" s="4" t="n">
        <v>2025</v>
      </c>
      <c r="B59" s="4" t="inlineStr">
        <is>
          <t>ccaa</t>
        </is>
      </c>
      <c r="C59" s="4" t="inlineStr">
        <is>
          <t>04</t>
        </is>
      </c>
      <c r="D59" s="4" t="inlineStr">
        <is>
          <t>esfuerzo_alquiler_30</t>
        </is>
      </c>
      <c r="E59" s="4" t="n">
        <v>22.1737</v>
      </c>
      <c r="F59" s="4" t="n">
        <v>12.6367</v>
      </c>
      <c r="G59" s="4" t="n">
        <v>31.7107</v>
      </c>
      <c r="H59" s="4" t="n">
        <v>326</v>
      </c>
      <c r="I59" s="4" t="inlineStr">
        <is>
          <t>C4</t>
        </is>
      </c>
      <c r="J59" s="6">
        <f>IF(ISNUMBER(G59),G59-F59,"")</f>
        <v/>
      </c>
    </row>
    <row r="60">
      <c r="A60" s="4" t="n">
        <v>2025</v>
      </c>
      <c r="B60" s="4" t="inlineStr">
        <is>
          <t>ccaa</t>
        </is>
      </c>
      <c r="C60" s="4" t="inlineStr">
        <is>
          <t>04</t>
        </is>
      </c>
      <c r="D60" s="4" t="inlineStr">
        <is>
          <t>esfuerzo_alquiler_40</t>
        </is>
      </c>
      <c r="E60" s="4" t="n">
        <v>10.3772</v>
      </c>
      <c r="F60" s="4" t="n">
        <v>4.8622</v>
      </c>
      <c r="G60" s="4" t="n">
        <v>15.8923</v>
      </c>
      <c r="H60" s="4" t="n">
        <v>326</v>
      </c>
      <c r="I60" s="4" t="inlineStr">
        <is>
          <t>C4</t>
        </is>
      </c>
      <c r="J60" s="6">
        <f>IF(ISNUMBER(G60),G60-F60,"")</f>
        <v/>
      </c>
    </row>
    <row r="61">
      <c r="A61" s="4" t="n">
        <v>2025</v>
      </c>
      <c r="B61" s="4" t="inlineStr">
        <is>
          <t>ccaa</t>
        </is>
      </c>
      <c r="C61" s="4" t="inlineStr">
        <is>
          <t>04</t>
        </is>
      </c>
      <c r="D61" s="4" t="inlineStr">
        <is>
          <t>esfuerzo_hipoteca_30</t>
        </is>
      </c>
      <c r="E61" s="4" t="n">
        <v>7.9398</v>
      </c>
      <c r="F61" s="4" t="n">
        <v>4.504</v>
      </c>
      <c r="G61" s="4" t="n">
        <v>11.3757</v>
      </c>
      <c r="H61" s="4" t="n">
        <v>627</v>
      </c>
      <c r="I61" s="4" t="inlineStr">
        <is>
          <t>C4</t>
        </is>
      </c>
      <c r="J61" s="6">
        <f>IF(ISNUMBER(G61),G61-F61,"")</f>
        <v/>
      </c>
    </row>
    <row r="62">
      <c r="A62" s="4" t="n">
        <v>2025</v>
      </c>
      <c r="B62" s="4" t="inlineStr">
        <is>
          <t>ccaa</t>
        </is>
      </c>
      <c r="C62" s="4" t="inlineStr">
        <is>
          <t>04</t>
        </is>
      </c>
      <c r="D62" s="4" t="inlineStr">
        <is>
          <t>hacinamiento</t>
        </is>
      </c>
      <c r="E62" s="4" t="n">
        <v>9.952299999999999</v>
      </c>
      <c r="F62" s="4" t="n">
        <v>6.2345</v>
      </c>
      <c r="G62" s="4" t="n">
        <v>13.6702</v>
      </c>
      <c r="H62" s="4" t="n">
        <v>2049</v>
      </c>
      <c r="I62" s="4" t="inlineStr">
        <is>
          <t>C4</t>
        </is>
      </c>
      <c r="J62" s="6">
        <f>IF(ISNUMBER(G62),G62-F62,"")</f>
        <v/>
      </c>
    </row>
    <row r="63">
      <c r="A63" s="4" t="n">
        <v>2025</v>
      </c>
      <c r="B63" s="4" t="inlineStr">
        <is>
          <t>ccaa</t>
        </is>
      </c>
      <c r="C63" s="4" t="inlineStr">
        <is>
          <t>04</t>
        </is>
      </c>
      <c r="D63" s="4" t="inlineStr">
        <is>
          <t>tenencia_1</t>
        </is>
      </c>
      <c r="E63" s="4" t="n">
        <v>40.1218</v>
      </c>
      <c r="F63" s="4" t="n">
        <v>33.9328</v>
      </c>
      <c r="G63" s="4" t="n">
        <v>46.3107</v>
      </c>
      <c r="H63" s="4" t="n">
        <v>2064</v>
      </c>
      <c r="I63" s="4" t="inlineStr">
        <is>
          <t>C4</t>
        </is>
      </c>
      <c r="J63" s="6">
        <f>IF(ISNUMBER(G63),G63-F63,"")</f>
        <v/>
      </c>
    </row>
    <row r="64">
      <c r="A64" s="4" t="n">
        <v>2025</v>
      </c>
      <c r="B64" s="4" t="inlineStr">
        <is>
          <t>ccaa</t>
        </is>
      </c>
      <c r="C64" s="4" t="inlineStr">
        <is>
          <t>04</t>
        </is>
      </c>
      <c r="D64" s="4" t="inlineStr">
        <is>
          <t>tenencia_2</t>
        </is>
      </c>
      <c r="E64" s="4" t="n">
        <v>27.0299</v>
      </c>
      <c r="F64" s="4" t="n">
        <v>22.3662</v>
      </c>
      <c r="G64" s="4" t="n">
        <v>31.6935</v>
      </c>
      <c r="H64" s="4" t="n">
        <v>2064</v>
      </c>
      <c r="I64" s="4" t="inlineStr">
        <is>
          <t>C4</t>
        </is>
      </c>
      <c r="J64" s="6">
        <f>IF(ISNUMBER(G64),G64-F64,"")</f>
        <v/>
      </c>
    </row>
    <row r="65">
      <c r="A65" s="4" t="n">
        <v>2025</v>
      </c>
      <c r="B65" s="4" t="inlineStr">
        <is>
          <t>ccaa</t>
        </is>
      </c>
      <c r="C65" s="4" t="inlineStr">
        <is>
          <t>04</t>
        </is>
      </c>
      <c r="D65" s="4" t="inlineStr">
        <is>
          <t>tenencia_3</t>
        </is>
      </c>
      <c r="E65" s="4" t="n">
        <v>22.5431</v>
      </c>
      <c r="F65" s="4" t="n">
        <v>16.706</v>
      </c>
      <c r="G65" s="4" t="n">
        <v>28.3802</v>
      </c>
      <c r="H65" s="4" t="n">
        <v>2064</v>
      </c>
      <c r="I65" s="4" t="inlineStr">
        <is>
          <t>C4</t>
        </is>
      </c>
      <c r="J65" s="6">
        <f>IF(ISNUMBER(G65),G65-F65,"")</f>
        <v/>
      </c>
    </row>
    <row r="66">
      <c r="A66" s="4" t="n">
        <v>2025</v>
      </c>
      <c r="B66" s="4" t="inlineStr">
        <is>
          <t>ccaa</t>
        </is>
      </c>
      <c r="C66" s="4" t="inlineStr">
        <is>
          <t>04</t>
        </is>
      </c>
      <c r="D66" s="4" t="inlineStr">
        <is>
          <t>tenencia_4</t>
        </is>
      </c>
      <c r="E66" s="4" t="n">
        <v>3.7883</v>
      </c>
      <c r="F66" s="4" t="n">
        <v>1.1878</v>
      </c>
      <c r="G66" s="4" t="n">
        <v>6.3888</v>
      </c>
      <c r="H66" s="4" t="n">
        <v>2064</v>
      </c>
      <c r="I66" s="4" t="inlineStr">
        <is>
          <t>C4</t>
        </is>
      </c>
      <c r="J66" s="6">
        <f>IF(ISNUMBER(G66),G66-F66,"")</f>
        <v/>
      </c>
    </row>
    <row r="67">
      <c r="A67" s="4" t="n">
        <v>2025</v>
      </c>
      <c r="B67" s="4" t="inlineStr">
        <is>
          <t>ccaa</t>
        </is>
      </c>
      <c r="C67" s="4" t="inlineStr">
        <is>
          <t>04</t>
        </is>
      </c>
      <c r="D67" s="4" t="inlineStr">
        <is>
          <t>tenencia_5</t>
        </is>
      </c>
      <c r="E67" s="4" t="n">
        <v>6.517</v>
      </c>
      <c r="F67" s="4" t="n">
        <v>4.1596</v>
      </c>
      <c r="G67" s="4" t="n">
        <v>8.8744</v>
      </c>
      <c r="H67" s="4" t="n">
        <v>2064</v>
      </c>
      <c r="I67" s="4" t="inlineStr">
        <is>
          <t>C4</t>
        </is>
      </c>
      <c r="J67" s="6">
        <f>IF(ISNUMBER(G67),G67-F67,"")</f>
        <v/>
      </c>
    </row>
    <row r="68">
      <c r="A68" s="4" t="n">
        <v>2025</v>
      </c>
      <c r="B68" s="4" t="inlineStr">
        <is>
          <t>ccaa</t>
        </is>
      </c>
      <c r="C68" s="4" t="inlineStr">
        <is>
          <t>04</t>
        </is>
      </c>
      <c r="D68" s="4" t="inlineStr">
        <is>
          <t>esfuerzo_alquiler_mediana</t>
        </is>
      </c>
      <c r="E68" s="4" t="n">
        <v>19.6621</v>
      </c>
      <c r="F68" s="4" t="n">
        <v>17.2715</v>
      </c>
      <c r="G68" s="4" t="n">
        <v>24.7875</v>
      </c>
      <c r="H68" s="4" t="n">
        <v>326</v>
      </c>
      <c r="I68" s="4" t="inlineStr">
        <is>
          <t>C4</t>
        </is>
      </c>
      <c r="J68" s="6">
        <f>IF(ISNUMBER(G68),G68-F68,"")</f>
        <v/>
      </c>
    </row>
    <row r="69">
      <c r="A69" s="4" t="n">
        <v>2025</v>
      </c>
      <c r="B69" s="4" t="inlineStr">
        <is>
          <t>ccaa</t>
        </is>
      </c>
      <c r="C69" s="4" t="inlineStr">
        <is>
          <t>04</t>
        </is>
      </c>
      <c r="D69" s="4" t="inlineStr">
        <is>
          <t>esfuerzo_hipoteca_mediana</t>
        </is>
      </c>
      <c r="E69" s="4" t="n">
        <v>14.439</v>
      </c>
      <c r="F69" s="4" t="n">
        <v>13.2787</v>
      </c>
      <c r="G69" s="4" t="n">
        <v>16.7435</v>
      </c>
      <c r="H69" s="4" t="n">
        <v>627</v>
      </c>
      <c r="I69" s="4" t="inlineStr">
        <is>
          <t>C4</t>
        </is>
      </c>
      <c r="J69" s="6">
        <f>IF(ISNUMBER(G69),G69-F69,"")</f>
        <v/>
      </c>
    </row>
    <row r="70">
      <c r="A70" s="4" t="n">
        <v>2025</v>
      </c>
      <c r="B70" s="4" t="inlineStr">
        <is>
          <t>ccaa</t>
        </is>
      </c>
      <c r="C70" s="4" t="inlineStr">
        <is>
          <t>05</t>
        </is>
      </c>
      <c r="D70" s="4" t="inlineStr">
        <is>
          <t>sobrecarga_30</t>
        </is>
      </c>
      <c r="E70" s="4" t="n">
        <v>8.088900000000001</v>
      </c>
      <c r="F70" s="4" t="n">
        <v>6.0281</v>
      </c>
      <c r="G70" s="4" t="n">
        <v>10.1498</v>
      </c>
      <c r="H70" s="4" t="n">
        <v>2487</v>
      </c>
      <c r="I70" s="4" t="inlineStr">
        <is>
          <t>C4</t>
        </is>
      </c>
      <c r="J70" s="6">
        <f>IF(ISNUMBER(G70),G70-F70,"")</f>
        <v/>
      </c>
    </row>
    <row r="71">
      <c r="A71" s="4" t="n">
        <v>2025</v>
      </c>
      <c r="B71" s="4" t="inlineStr">
        <is>
          <t>ccaa</t>
        </is>
      </c>
      <c r="C71" s="4" t="inlineStr">
        <is>
          <t>05</t>
        </is>
      </c>
      <c r="D71" s="4" t="inlineStr">
        <is>
          <t>sobrecarga_40</t>
        </is>
      </c>
      <c r="E71" s="4" t="n">
        <v>4.9627</v>
      </c>
      <c r="F71" s="4" t="n">
        <v>3.5104</v>
      </c>
      <c r="G71" s="4" t="n">
        <v>6.4149</v>
      </c>
      <c r="H71" s="4" t="n">
        <v>2487</v>
      </c>
      <c r="I71" s="4" t="inlineStr">
        <is>
          <t>C4</t>
        </is>
      </c>
      <c r="J71" s="6">
        <f>IF(ISNUMBER(G71),G71-F71,"")</f>
        <v/>
      </c>
    </row>
    <row r="72">
      <c r="A72" s="4" t="n">
        <v>2025</v>
      </c>
      <c r="B72" s="4" t="inlineStr">
        <is>
          <t>ccaa</t>
        </is>
      </c>
      <c r="C72" s="4" t="inlineStr">
        <is>
          <t>05</t>
        </is>
      </c>
      <c r="D72" s="4" t="inlineStr">
        <is>
          <t>esfuerzo_alquiler_30</t>
        </is>
      </c>
      <c r="E72" s="4" t="n">
        <v>24.6422</v>
      </c>
      <c r="F72" s="4" t="n">
        <v>14.7992</v>
      </c>
      <c r="G72" s="4" t="n">
        <v>34.4853</v>
      </c>
      <c r="H72" s="4" t="n">
        <v>329</v>
      </c>
      <c r="I72" s="4" t="inlineStr">
        <is>
          <t>C4</t>
        </is>
      </c>
      <c r="J72" s="6">
        <f>IF(ISNUMBER(G72),G72-F72,"")</f>
        <v/>
      </c>
    </row>
    <row r="73">
      <c r="A73" s="4" t="n">
        <v>2025</v>
      </c>
      <c r="B73" s="4" t="inlineStr">
        <is>
          <t>ccaa</t>
        </is>
      </c>
      <c r="C73" s="4" t="inlineStr">
        <is>
          <t>05</t>
        </is>
      </c>
      <c r="D73" s="4" t="inlineStr">
        <is>
          <t>esfuerzo_alquiler_40</t>
        </is>
      </c>
      <c r="E73" s="4" t="n">
        <v>14.3806</v>
      </c>
      <c r="F73" s="4" t="n">
        <v>7.7867</v>
      </c>
      <c r="G73" s="4" t="n">
        <v>20.9746</v>
      </c>
      <c r="H73" s="4" t="n">
        <v>329</v>
      </c>
      <c r="I73" s="4" t="inlineStr">
        <is>
          <t>C4</t>
        </is>
      </c>
      <c r="J73" s="6">
        <f>IF(ISNUMBER(G73),G73-F73,"")</f>
        <v/>
      </c>
    </row>
    <row r="74">
      <c r="A74" s="4" t="n">
        <v>2025</v>
      </c>
      <c r="B74" s="4" t="inlineStr">
        <is>
          <t>ccaa</t>
        </is>
      </c>
      <c r="C74" s="4" t="inlineStr">
        <is>
          <t>05</t>
        </is>
      </c>
      <c r="D74" s="4" t="inlineStr">
        <is>
          <t>esfuerzo_hipoteca_30</t>
        </is>
      </c>
      <c r="E74" s="4" t="n">
        <v>4.8826</v>
      </c>
      <c r="F74" s="4" t="n">
        <v>2.4117</v>
      </c>
      <c r="G74" s="4" t="n">
        <v>7.3534</v>
      </c>
      <c r="H74" s="4" t="n">
        <v>568</v>
      </c>
      <c r="I74" s="4" t="inlineStr">
        <is>
          <t>C4</t>
        </is>
      </c>
      <c r="J74" s="6">
        <f>IF(ISNUMBER(G74),G74-F74,"")</f>
        <v/>
      </c>
    </row>
    <row r="75">
      <c r="A75" s="4" t="n">
        <v>2025</v>
      </c>
      <c r="B75" s="4" t="inlineStr">
        <is>
          <t>ccaa</t>
        </is>
      </c>
      <c r="C75" s="4" t="inlineStr">
        <is>
          <t>05</t>
        </is>
      </c>
      <c r="D75" s="4" t="inlineStr">
        <is>
          <t>hacinamiento</t>
        </is>
      </c>
      <c r="E75" s="4" t="n">
        <v>16.0006</v>
      </c>
      <c r="F75" s="4" t="n">
        <v>11.3879</v>
      </c>
      <c r="G75" s="4" t="n">
        <v>20.6133</v>
      </c>
      <c r="H75" s="4" t="n">
        <v>2487</v>
      </c>
      <c r="I75" s="4" t="inlineStr">
        <is>
          <t>C4</t>
        </is>
      </c>
      <c r="J75" s="6">
        <f>IF(ISNUMBER(G75),G75-F75,"")</f>
        <v/>
      </c>
    </row>
    <row r="76">
      <c r="A76" s="4" t="n">
        <v>2025</v>
      </c>
      <c r="B76" s="4" t="inlineStr">
        <is>
          <t>ccaa</t>
        </is>
      </c>
      <c r="C76" s="4" t="inlineStr">
        <is>
          <t>05</t>
        </is>
      </c>
      <c r="D76" s="4" t="inlineStr">
        <is>
          <t>tenencia_1</t>
        </is>
      </c>
      <c r="E76" s="4" t="n">
        <v>49.5797</v>
      </c>
      <c r="F76" s="4" t="n">
        <v>43.9631</v>
      </c>
      <c r="G76" s="4" t="n">
        <v>55.1963</v>
      </c>
      <c r="H76" s="4" t="n">
        <v>2496</v>
      </c>
      <c r="I76" s="4" t="inlineStr">
        <is>
          <t>C4</t>
        </is>
      </c>
      <c r="J76" s="6">
        <f>IF(ISNUMBER(G76),G76-F76,"")</f>
        <v/>
      </c>
    </row>
    <row r="77">
      <c r="A77" s="4" t="n">
        <v>2025</v>
      </c>
      <c r="B77" s="4" t="inlineStr">
        <is>
          <t>ccaa</t>
        </is>
      </c>
      <c r="C77" s="4" t="inlineStr">
        <is>
          <t>05</t>
        </is>
      </c>
      <c r="D77" s="4" t="inlineStr">
        <is>
          <t>tenencia_2</t>
        </is>
      </c>
      <c r="E77" s="4" t="n">
        <v>19.3517</v>
      </c>
      <c r="F77" s="4" t="n">
        <v>15.7295</v>
      </c>
      <c r="G77" s="4" t="n">
        <v>22.974</v>
      </c>
      <c r="H77" s="4" t="n">
        <v>2496</v>
      </c>
      <c r="I77" s="4" t="inlineStr">
        <is>
          <t>C4</t>
        </is>
      </c>
      <c r="J77" s="6">
        <f>IF(ISNUMBER(G77),G77-F77,"")</f>
        <v/>
      </c>
    </row>
    <row r="78">
      <c r="A78" s="4" t="n">
        <v>2025</v>
      </c>
      <c r="B78" s="4" t="inlineStr">
        <is>
          <t>ccaa</t>
        </is>
      </c>
      <c r="C78" s="4" t="inlineStr">
        <is>
          <t>05</t>
        </is>
      </c>
      <c r="D78" s="4" t="inlineStr">
        <is>
          <t>tenencia_3</t>
        </is>
      </c>
      <c r="E78" s="4" t="n">
        <v>16.5214</v>
      </c>
      <c r="F78" s="4" t="n">
        <v>12.3034</v>
      </c>
      <c r="G78" s="4" t="n">
        <v>20.7394</v>
      </c>
      <c r="H78" s="4" t="n">
        <v>2496</v>
      </c>
      <c r="I78" s="4" t="inlineStr">
        <is>
          <t>C4</t>
        </is>
      </c>
      <c r="J78" s="6">
        <f>IF(ISNUMBER(G78),G78-F78,"")</f>
        <v/>
      </c>
    </row>
    <row r="79">
      <c r="A79" s="4" t="n">
        <v>2025</v>
      </c>
      <c r="B79" s="4" t="inlineStr">
        <is>
          <t>ccaa</t>
        </is>
      </c>
      <c r="C79" s="4" t="inlineStr">
        <is>
          <t>05</t>
        </is>
      </c>
      <c r="D79" s="4" t="inlineStr">
        <is>
          <t>tenencia_4</t>
        </is>
      </c>
      <c r="E79" s="4" t="n">
        <v>5.5298</v>
      </c>
      <c r="F79" s="4" t="n">
        <v>3.3042</v>
      </c>
      <c r="G79" s="4" t="n">
        <v>7.7554</v>
      </c>
      <c r="H79" s="4" t="n">
        <v>2496</v>
      </c>
      <c r="I79" s="4" t="inlineStr">
        <is>
          <t>C4</t>
        </is>
      </c>
      <c r="J79" s="6">
        <f>IF(ISNUMBER(G79),G79-F79,"")</f>
        <v/>
      </c>
    </row>
    <row r="80">
      <c r="A80" s="4" t="n">
        <v>2025</v>
      </c>
      <c r="B80" s="4" t="inlineStr">
        <is>
          <t>ccaa</t>
        </is>
      </c>
      <c r="C80" s="4" t="inlineStr">
        <is>
          <t>05</t>
        </is>
      </c>
      <c r="D80" s="4" t="inlineStr">
        <is>
          <t>tenencia_5</t>
        </is>
      </c>
      <c r="E80" s="4" t="n">
        <v>9.017300000000001</v>
      </c>
      <c r="F80" s="4" t="n">
        <v>6.2349</v>
      </c>
      <c r="G80" s="4" t="n">
        <v>11.7998</v>
      </c>
      <c r="H80" s="4" t="n">
        <v>2496</v>
      </c>
      <c r="I80" s="4" t="inlineStr">
        <is>
          <t>C4</t>
        </is>
      </c>
      <c r="J80" s="6">
        <f>IF(ISNUMBER(G80),G80-F80,"")</f>
        <v/>
      </c>
    </row>
    <row r="81">
      <c r="A81" s="4" t="n">
        <v>2025</v>
      </c>
      <c r="B81" s="4" t="inlineStr">
        <is>
          <t>ccaa</t>
        </is>
      </c>
      <c r="C81" s="4" t="inlineStr">
        <is>
          <t>05</t>
        </is>
      </c>
      <c r="D81" s="4" t="inlineStr">
        <is>
          <t>esfuerzo_alquiler_mediana</t>
        </is>
      </c>
      <c r="E81" s="4" t="n">
        <v>18.4666</v>
      </c>
      <c r="F81" s="4" t="n">
        <v>17.1844</v>
      </c>
      <c r="G81" s="4" t="n">
        <v>22.9133</v>
      </c>
      <c r="H81" s="4" t="n">
        <v>329</v>
      </c>
      <c r="I81" s="4" t="inlineStr">
        <is>
          <t>C4</t>
        </is>
      </c>
      <c r="J81" s="6">
        <f>IF(ISNUMBER(G81),G81-F81,"")</f>
        <v/>
      </c>
    </row>
    <row r="82">
      <c r="A82" s="4" t="n">
        <v>2025</v>
      </c>
      <c r="B82" s="4" t="inlineStr">
        <is>
          <t>ccaa</t>
        </is>
      </c>
      <c r="C82" s="4" t="inlineStr">
        <is>
          <t>05</t>
        </is>
      </c>
      <c r="D82" s="4" t="inlineStr">
        <is>
          <t>esfuerzo_hipoteca_mediana</t>
        </is>
      </c>
      <c r="E82" s="4" t="n">
        <v>12.0809</v>
      </c>
      <c r="F82" s="4" t="n">
        <v>10.6718</v>
      </c>
      <c r="G82" s="4" t="n">
        <v>14.8096</v>
      </c>
      <c r="H82" s="4" t="n">
        <v>568</v>
      </c>
      <c r="I82" s="4" t="inlineStr">
        <is>
          <t>C4</t>
        </is>
      </c>
      <c r="J82" s="6">
        <f>IF(ISNUMBER(G82),G82-F82,"")</f>
        <v/>
      </c>
    </row>
    <row r="83">
      <c r="A83" s="4" t="n">
        <v>2025</v>
      </c>
      <c r="B83" s="4" t="inlineStr">
        <is>
          <t>ccaa</t>
        </is>
      </c>
      <c r="C83" s="4" t="inlineStr">
        <is>
          <t>06</t>
        </is>
      </c>
      <c r="D83" s="4" t="inlineStr">
        <is>
          <t>sobrecarga_30</t>
        </is>
      </c>
      <c r="E83" s="4" t="n">
        <v>9.859400000000001</v>
      </c>
      <c r="F83" s="4" t="n">
        <v>7.1837</v>
      </c>
      <c r="G83" s="4" t="n">
        <v>12.5351</v>
      </c>
      <c r="H83" s="4" t="n">
        <v>2052</v>
      </c>
      <c r="I83" s="4" t="inlineStr">
        <is>
          <t>C4</t>
        </is>
      </c>
      <c r="J83" s="6">
        <f>IF(ISNUMBER(G83),G83-F83,"")</f>
        <v/>
      </c>
    </row>
    <row r="84">
      <c r="A84" s="4" t="n">
        <v>2025</v>
      </c>
      <c r="B84" s="4" t="inlineStr">
        <is>
          <t>ccaa</t>
        </is>
      </c>
      <c r="C84" s="4" t="inlineStr">
        <is>
          <t>06</t>
        </is>
      </c>
      <c r="D84" s="4" t="inlineStr">
        <is>
          <t>sobrecarga_40</t>
        </is>
      </c>
      <c r="E84" s="4" t="n">
        <v>6.7371</v>
      </c>
      <c r="F84" s="4" t="n">
        <v>4.3267</v>
      </c>
      <c r="G84" s="4" t="n">
        <v>9.147500000000001</v>
      </c>
      <c r="H84" s="4" t="n">
        <v>2052</v>
      </c>
      <c r="I84" s="4" t="inlineStr">
        <is>
          <t>C4</t>
        </is>
      </c>
      <c r="J84" s="6">
        <f>IF(ISNUMBER(G84),G84-F84,"")</f>
        <v/>
      </c>
    </row>
    <row r="85">
      <c r="A85" s="4" t="n">
        <v>2025</v>
      </c>
      <c r="B85" s="4" t="inlineStr">
        <is>
          <t>ccaa</t>
        </is>
      </c>
      <c r="C85" s="4" t="inlineStr">
        <is>
          <t>06</t>
        </is>
      </c>
      <c r="D85" s="4" t="inlineStr">
        <is>
          <t>esfuerzo_alquiler_30</t>
        </is>
      </c>
      <c r="E85" s="4" t="n">
        <v>34.9411</v>
      </c>
      <c r="F85" s="4" t="n">
        <v>17.8832</v>
      </c>
      <c r="G85" s="4" t="n">
        <v>51.9991</v>
      </c>
      <c r="H85" s="4" t="n">
        <v>171</v>
      </c>
      <c r="I85" s="4" t="inlineStr">
        <is>
          <t>C4</t>
        </is>
      </c>
      <c r="J85" s="6">
        <f>IF(ISNUMBER(G85),G85-F85,"")</f>
        <v/>
      </c>
    </row>
    <row r="86">
      <c r="A86" s="4" t="n">
        <v>2025</v>
      </c>
      <c r="B86" s="4" t="inlineStr">
        <is>
          <t>ccaa</t>
        </is>
      </c>
      <c r="C86" s="4" t="inlineStr">
        <is>
          <t>06</t>
        </is>
      </c>
      <c r="D86" s="4" t="inlineStr">
        <is>
          <t>esfuerzo_alquiler_40</t>
        </is>
      </c>
      <c r="E86" s="4" t="n">
        <v>29.587</v>
      </c>
      <c r="F86" s="4" t="n">
        <v>13.3127</v>
      </c>
      <c r="G86" s="4" t="n">
        <v>45.8613</v>
      </c>
      <c r="H86" s="4" t="n">
        <v>171</v>
      </c>
      <c r="I86" s="4" t="inlineStr">
        <is>
          <t>C4</t>
        </is>
      </c>
      <c r="J86" s="6">
        <f>IF(ISNUMBER(G86),G86-F86,"")</f>
        <v/>
      </c>
    </row>
    <row r="87">
      <c r="A87" s="4" t="n">
        <v>2025</v>
      </c>
      <c r="B87" s="4" t="inlineStr">
        <is>
          <t>ccaa</t>
        </is>
      </c>
      <c r="C87" s="4" t="inlineStr">
        <is>
          <t>06</t>
        </is>
      </c>
      <c r="D87" s="4" t="inlineStr">
        <is>
          <t>esfuerzo_hipoteca_30</t>
        </is>
      </c>
      <c r="E87" s="4" t="n">
        <v>9.8674</v>
      </c>
      <c r="F87" s="4" t="n">
        <v>4.9697</v>
      </c>
      <c r="G87" s="4" t="n">
        <v>14.7651</v>
      </c>
      <c r="H87" s="4" t="n">
        <v>562</v>
      </c>
      <c r="I87" s="4" t="inlineStr">
        <is>
          <t>C4</t>
        </is>
      </c>
      <c r="J87" s="6">
        <f>IF(ISNUMBER(G87),G87-F87,"")</f>
        <v/>
      </c>
    </row>
    <row r="88">
      <c r="A88" s="4" t="n">
        <v>2025</v>
      </c>
      <c r="B88" s="4" t="inlineStr">
        <is>
          <t>ccaa</t>
        </is>
      </c>
      <c r="C88" s="4" t="inlineStr">
        <is>
          <t>06</t>
        </is>
      </c>
      <c r="D88" s="4" t="inlineStr">
        <is>
          <t>hacinamiento</t>
        </is>
      </c>
      <c r="E88" s="4" t="n">
        <v>3.5289</v>
      </c>
      <c r="F88" s="4" t="n">
        <v>1.7289</v>
      </c>
      <c r="G88" s="4" t="n">
        <v>5.329</v>
      </c>
      <c r="H88" s="4" t="n">
        <v>2046</v>
      </c>
      <c r="I88" s="4" t="inlineStr">
        <is>
          <t>C4</t>
        </is>
      </c>
      <c r="J88" s="6">
        <f>IF(ISNUMBER(G88),G88-F88,"")</f>
        <v/>
      </c>
    </row>
    <row r="89">
      <c r="A89" s="4" t="n">
        <v>2025</v>
      </c>
      <c r="B89" s="4" t="inlineStr">
        <is>
          <t>ccaa</t>
        </is>
      </c>
      <c r="C89" s="4" t="inlineStr">
        <is>
          <t>06</t>
        </is>
      </c>
      <c r="D89" s="4" t="inlineStr">
        <is>
          <t>tenencia_1</t>
        </is>
      </c>
      <c r="E89" s="4" t="n">
        <v>52.9487</v>
      </c>
      <c r="F89" s="4" t="n">
        <v>48.0436</v>
      </c>
      <c r="G89" s="4" t="n">
        <v>57.8539</v>
      </c>
      <c r="H89" s="4" t="n">
        <v>2058</v>
      </c>
      <c r="I89" s="4" t="inlineStr">
        <is>
          <t>C4</t>
        </is>
      </c>
      <c r="J89" s="6">
        <f>IF(ISNUMBER(G89),G89-F89,"")</f>
        <v/>
      </c>
    </row>
    <row r="90">
      <c r="A90" s="4" t="n">
        <v>2025</v>
      </c>
      <c r="B90" s="4" t="inlineStr">
        <is>
          <t>ccaa</t>
        </is>
      </c>
      <c r="C90" s="4" t="inlineStr">
        <is>
          <t>06</t>
        </is>
      </c>
      <c r="D90" s="4" t="inlineStr">
        <is>
          <t>tenencia_2</t>
        </is>
      </c>
      <c r="E90" s="4" t="n">
        <v>29.1594</v>
      </c>
      <c r="F90" s="4" t="n">
        <v>24.9693</v>
      </c>
      <c r="G90" s="4" t="n">
        <v>33.3495</v>
      </c>
      <c r="H90" s="4" t="n">
        <v>2058</v>
      </c>
      <c r="I90" s="4" t="inlineStr">
        <is>
          <t>C4</t>
        </is>
      </c>
      <c r="J90" s="6">
        <f>IF(ISNUMBER(G90),G90-F90,"")</f>
        <v/>
      </c>
    </row>
    <row r="91">
      <c r="A91" s="4" t="n">
        <v>2025</v>
      </c>
      <c r="B91" s="4" t="inlineStr">
        <is>
          <t>ccaa</t>
        </is>
      </c>
      <c r="C91" s="4" t="inlineStr">
        <is>
          <t>06</t>
        </is>
      </c>
      <c r="D91" s="4" t="inlineStr">
        <is>
          <t>tenencia_3</t>
        </is>
      </c>
      <c r="E91" s="4" t="n">
        <v>11.9592</v>
      </c>
      <c r="F91" s="4" t="n">
        <v>7.7989</v>
      </c>
      <c r="G91" s="4" t="n">
        <v>16.1195</v>
      </c>
      <c r="H91" s="4" t="n">
        <v>2058</v>
      </c>
      <c r="I91" s="4" t="inlineStr">
        <is>
          <t>C4</t>
        </is>
      </c>
      <c r="J91" s="6">
        <f>IF(ISNUMBER(G91),G91-F91,"")</f>
        <v/>
      </c>
    </row>
    <row r="92">
      <c r="A92" s="4" t="n">
        <v>2025</v>
      </c>
      <c r="B92" s="4" t="inlineStr">
        <is>
          <t>ccaa</t>
        </is>
      </c>
      <c r="C92" s="4" t="inlineStr">
        <is>
          <t>06</t>
        </is>
      </c>
      <c r="D92" s="4" t="inlineStr">
        <is>
          <t>tenencia_4</t>
        </is>
      </c>
      <c r="E92" s="4" t="n">
        <v>1.7563</v>
      </c>
      <c r="F92" s="4" t="n">
        <v>0.5572</v>
      </c>
      <c r="G92" s="4" t="n">
        <v>2.9553</v>
      </c>
      <c r="H92" s="4" t="n">
        <v>2058</v>
      </c>
      <c r="I92" s="4" t="inlineStr">
        <is>
          <t>C4</t>
        </is>
      </c>
      <c r="J92" s="6">
        <f>IF(ISNUMBER(G92),G92-F92,"")</f>
        <v/>
      </c>
    </row>
    <row r="93">
      <c r="A93" s="4" t="n">
        <v>2025</v>
      </c>
      <c r="B93" s="4" t="inlineStr">
        <is>
          <t>ccaa</t>
        </is>
      </c>
      <c r="C93" s="4" t="inlineStr">
        <is>
          <t>06</t>
        </is>
      </c>
      <c r="D93" s="4" t="inlineStr">
        <is>
          <t>tenencia_5</t>
        </is>
      </c>
      <c r="E93" s="4" t="n">
        <v>4.1764</v>
      </c>
      <c r="F93" s="4" t="n">
        <v>2.6305</v>
      </c>
      <c r="G93" s="4" t="n">
        <v>5.7222</v>
      </c>
      <c r="H93" s="4" t="n">
        <v>2058</v>
      </c>
      <c r="I93" s="4" t="inlineStr">
        <is>
          <t>C4</t>
        </is>
      </c>
      <c r="J93" s="6">
        <f>IF(ISNUMBER(G93),G93-F93,"")</f>
        <v/>
      </c>
    </row>
    <row r="94">
      <c r="A94" s="4" t="n">
        <v>2025</v>
      </c>
      <c r="B94" s="4" t="inlineStr">
        <is>
          <t>ccaa</t>
        </is>
      </c>
      <c r="C94" s="4" t="inlineStr">
        <is>
          <t>06</t>
        </is>
      </c>
      <c r="D94" s="4" t="inlineStr">
        <is>
          <t>esfuerzo_alquiler_mediana</t>
        </is>
      </c>
      <c r="E94" s="4" t="n">
        <v>22.2656</v>
      </c>
      <c r="F94" s="4" t="n">
        <v>15.7687</v>
      </c>
      <c r="G94" s="4" t="n">
        <v>38.3823</v>
      </c>
      <c r="H94" s="4" t="n">
        <v>171</v>
      </c>
      <c r="I94" s="4" t="inlineStr">
        <is>
          <t>C4</t>
        </is>
      </c>
      <c r="J94" s="6">
        <f>IF(ISNUMBER(G94),G94-F94,"")</f>
        <v/>
      </c>
    </row>
    <row r="95">
      <c r="A95" s="4" t="n">
        <v>2025</v>
      </c>
      <c r="B95" s="4" t="inlineStr">
        <is>
          <t>ccaa</t>
        </is>
      </c>
      <c r="C95" s="4" t="inlineStr">
        <is>
          <t>06</t>
        </is>
      </c>
      <c r="D95" s="4" t="inlineStr">
        <is>
          <t>esfuerzo_hipoteca_mediana</t>
        </is>
      </c>
      <c r="E95" s="4" t="n">
        <v>14.4557</v>
      </c>
      <c r="F95" s="4" t="n">
        <v>12.7458</v>
      </c>
      <c r="G95" s="4" t="n">
        <v>16.0996</v>
      </c>
      <c r="H95" s="4" t="n">
        <v>562</v>
      </c>
      <c r="I95" s="4" t="inlineStr">
        <is>
          <t>C4</t>
        </is>
      </c>
      <c r="J95" s="6">
        <f>IF(ISNUMBER(G95),G95-F95,"")</f>
        <v/>
      </c>
    </row>
    <row r="96">
      <c r="A96" s="4" t="n">
        <v>2025</v>
      </c>
      <c r="B96" s="4" t="inlineStr">
        <is>
          <t>ccaa</t>
        </is>
      </c>
      <c r="C96" s="4" t="inlineStr">
        <is>
          <t>07</t>
        </is>
      </c>
      <c r="D96" s="4" t="inlineStr">
        <is>
          <t>sobrecarga_30</t>
        </is>
      </c>
      <c r="E96" s="4" t="n">
        <v>11.0629</v>
      </c>
      <c r="F96" s="4" t="n">
        <v>8.5661</v>
      </c>
      <c r="G96" s="4" t="n">
        <v>13.5598</v>
      </c>
      <c r="H96" s="4" t="n">
        <v>3820</v>
      </c>
      <c r="I96" s="4" t="inlineStr">
        <is>
          <t>C4</t>
        </is>
      </c>
      <c r="J96" s="6">
        <f>IF(ISNUMBER(G96),G96-F96,"")</f>
        <v/>
      </c>
    </row>
    <row r="97">
      <c r="A97" s="4" t="n">
        <v>2025</v>
      </c>
      <c r="B97" s="4" t="inlineStr">
        <is>
          <t>ccaa</t>
        </is>
      </c>
      <c r="C97" s="4" t="inlineStr">
        <is>
          <t>07</t>
        </is>
      </c>
      <c r="D97" s="4" t="inlineStr">
        <is>
          <t>sobrecarga_40</t>
        </is>
      </c>
      <c r="E97" s="4" t="n">
        <v>7.5521</v>
      </c>
      <c r="F97" s="4" t="n">
        <v>5.3624</v>
      </c>
      <c r="G97" s="4" t="n">
        <v>9.7418</v>
      </c>
      <c r="H97" s="4" t="n">
        <v>3820</v>
      </c>
      <c r="I97" s="4" t="inlineStr">
        <is>
          <t>C4</t>
        </is>
      </c>
      <c r="J97" s="6">
        <f>IF(ISNUMBER(G97),G97-F97,"")</f>
        <v/>
      </c>
    </row>
    <row r="98">
      <c r="A98" s="4" t="n">
        <v>2025</v>
      </c>
      <c r="B98" s="4" t="inlineStr">
        <is>
          <t>ccaa</t>
        </is>
      </c>
      <c r="C98" s="4" t="inlineStr">
        <is>
          <t>07</t>
        </is>
      </c>
      <c r="D98" s="4" t="inlineStr">
        <is>
          <t>esfuerzo_alquiler_30</t>
        </is>
      </c>
      <c r="E98" s="4" t="n">
        <v>24.4601</v>
      </c>
      <c r="F98" s="4" t="n">
        <v>15.5123</v>
      </c>
      <c r="G98" s="4" t="n">
        <v>33.4079</v>
      </c>
      <c r="H98" s="4" t="n">
        <v>375</v>
      </c>
      <c r="I98" s="4" t="inlineStr">
        <is>
          <t>C4</t>
        </is>
      </c>
      <c r="J98" s="6">
        <f>IF(ISNUMBER(G98),G98-F98,"")</f>
        <v/>
      </c>
    </row>
    <row r="99">
      <c r="A99" s="4" t="n">
        <v>2025</v>
      </c>
      <c r="B99" s="4" t="inlineStr">
        <is>
          <t>ccaa</t>
        </is>
      </c>
      <c r="C99" s="4" t="inlineStr">
        <is>
          <t>07</t>
        </is>
      </c>
      <c r="D99" s="4" t="inlineStr">
        <is>
          <t>esfuerzo_alquiler_40</t>
        </is>
      </c>
      <c r="E99" s="4" t="n">
        <v>12.4861</v>
      </c>
      <c r="F99" s="4" t="n">
        <v>5.617</v>
      </c>
      <c r="G99" s="4" t="n">
        <v>19.3551</v>
      </c>
      <c r="H99" s="4" t="n">
        <v>375</v>
      </c>
      <c r="I99" s="4" t="inlineStr">
        <is>
          <t>C4</t>
        </is>
      </c>
      <c r="J99" s="6">
        <f>IF(ISNUMBER(G99),G99-F99,"")</f>
        <v/>
      </c>
    </row>
    <row r="100">
      <c r="A100" s="4" t="n">
        <v>2025</v>
      </c>
      <c r="B100" s="4" t="inlineStr">
        <is>
          <t>ccaa</t>
        </is>
      </c>
      <c r="C100" s="4" t="inlineStr">
        <is>
          <t>07</t>
        </is>
      </c>
      <c r="D100" s="4" t="inlineStr">
        <is>
          <t>esfuerzo_hipoteca_30</t>
        </is>
      </c>
      <c r="E100" s="4" t="n">
        <v>9.6282</v>
      </c>
      <c r="F100" s="4" t="n">
        <v>5.6944</v>
      </c>
      <c r="G100" s="4" t="n">
        <v>13.562</v>
      </c>
      <c r="H100" s="4" t="n">
        <v>969</v>
      </c>
      <c r="I100" s="4" t="inlineStr">
        <is>
          <t>C4</t>
        </is>
      </c>
      <c r="J100" s="6">
        <f>IF(ISNUMBER(G100),G100-F100,"")</f>
        <v/>
      </c>
    </row>
    <row r="101">
      <c r="A101" s="4" t="n">
        <v>2025</v>
      </c>
      <c r="B101" s="4" t="inlineStr">
        <is>
          <t>ccaa</t>
        </is>
      </c>
      <c r="C101" s="4" t="inlineStr">
        <is>
          <t>07</t>
        </is>
      </c>
      <c r="D101" s="4" t="inlineStr">
        <is>
          <t>hacinamiento</t>
        </is>
      </c>
      <c r="E101" s="4" t="n">
        <v>5.6846</v>
      </c>
      <c r="F101" s="4" t="n">
        <v>3.1112</v>
      </c>
      <c r="G101" s="4" t="n">
        <v>8.257999999999999</v>
      </c>
      <c r="H101" s="4" t="n">
        <v>3807</v>
      </c>
      <c r="I101" s="4" t="inlineStr">
        <is>
          <t>C4</t>
        </is>
      </c>
      <c r="J101" s="6">
        <f>IF(ISNUMBER(G101),G101-F101,"")</f>
        <v/>
      </c>
    </row>
    <row r="102">
      <c r="A102" s="4" t="n">
        <v>2025</v>
      </c>
      <c r="B102" s="4" t="inlineStr">
        <is>
          <t>ccaa</t>
        </is>
      </c>
      <c r="C102" s="4" t="inlineStr">
        <is>
          <t>07</t>
        </is>
      </c>
      <c r="D102" s="4" t="inlineStr">
        <is>
          <t>tenencia_1</t>
        </is>
      </c>
      <c r="E102" s="4" t="n">
        <v>54.7114</v>
      </c>
      <c r="F102" s="4" t="n">
        <v>51.4272</v>
      </c>
      <c r="G102" s="4" t="n">
        <v>57.9957</v>
      </c>
      <c r="H102" s="4" t="n">
        <v>3824</v>
      </c>
      <c r="I102" s="4" t="inlineStr">
        <is>
          <t>C4</t>
        </is>
      </c>
      <c r="J102" s="6">
        <f>IF(ISNUMBER(G102),G102-F102,"")</f>
        <v/>
      </c>
    </row>
    <row r="103">
      <c r="A103" s="4" t="n">
        <v>2025</v>
      </c>
      <c r="B103" s="4" t="inlineStr">
        <is>
          <t>ccaa</t>
        </is>
      </c>
      <c r="C103" s="4" t="inlineStr">
        <is>
          <t>07</t>
        </is>
      </c>
      <c r="D103" s="4" t="inlineStr">
        <is>
          <t>tenencia_2</t>
        </is>
      </c>
      <c r="E103" s="4" t="n">
        <v>26.2705</v>
      </c>
      <c r="F103" s="4" t="n">
        <v>23.3736</v>
      </c>
      <c r="G103" s="4" t="n">
        <v>29.1674</v>
      </c>
      <c r="H103" s="4" t="n">
        <v>3824</v>
      </c>
      <c r="I103" s="4" t="inlineStr">
        <is>
          <t>C4</t>
        </is>
      </c>
      <c r="J103" s="6">
        <f>IF(ISNUMBER(G103),G103-F103,"")</f>
        <v/>
      </c>
    </row>
    <row r="104">
      <c r="A104" s="4" t="n">
        <v>2025</v>
      </c>
      <c r="B104" s="4" t="inlineStr">
        <is>
          <t>ccaa</t>
        </is>
      </c>
      <c r="C104" s="4" t="inlineStr">
        <is>
          <t>07</t>
        </is>
      </c>
      <c r="D104" s="4" t="inlineStr">
        <is>
          <t>tenencia_3</t>
        </is>
      </c>
      <c r="E104" s="4" t="n">
        <v>12.6641</v>
      </c>
      <c r="F104" s="4" t="n">
        <v>9.8429</v>
      </c>
      <c r="G104" s="4" t="n">
        <v>15.4853</v>
      </c>
      <c r="H104" s="4" t="n">
        <v>3824</v>
      </c>
      <c r="I104" s="4" t="inlineStr">
        <is>
          <t>C4</t>
        </is>
      </c>
      <c r="J104" s="6">
        <f>IF(ISNUMBER(G104),G104-F104,"")</f>
        <v/>
      </c>
    </row>
    <row r="105">
      <c r="A105" s="4" t="n">
        <v>2025</v>
      </c>
      <c r="B105" s="4" t="inlineStr">
        <is>
          <t>ccaa</t>
        </is>
      </c>
      <c r="C105" s="4" t="inlineStr">
        <is>
          <t>07</t>
        </is>
      </c>
      <c r="D105" s="4" t="inlineStr">
        <is>
          <t>tenencia_4</t>
        </is>
      </c>
      <c r="E105" s="4" t="n">
        <v>1.9115</v>
      </c>
      <c r="F105" s="4" t="n">
        <v>0.8090000000000001</v>
      </c>
      <c r="G105" s="4" t="n">
        <v>3.0141</v>
      </c>
      <c r="H105" s="4" t="n">
        <v>3824</v>
      </c>
      <c r="I105" s="4" t="inlineStr">
        <is>
          <t>C4</t>
        </is>
      </c>
      <c r="J105" s="6">
        <f>IF(ISNUMBER(G105),G105-F105,"")</f>
        <v/>
      </c>
    </row>
    <row r="106">
      <c r="A106" s="4" t="n">
        <v>2025</v>
      </c>
      <c r="B106" s="4" t="inlineStr">
        <is>
          <t>ccaa</t>
        </is>
      </c>
      <c r="C106" s="4" t="inlineStr">
        <is>
          <t>07</t>
        </is>
      </c>
      <c r="D106" s="4" t="inlineStr">
        <is>
          <t>tenencia_5</t>
        </is>
      </c>
      <c r="E106" s="4" t="n">
        <v>4.4424</v>
      </c>
      <c r="F106" s="4" t="n">
        <v>3.3255</v>
      </c>
      <c r="G106" s="4" t="n">
        <v>5.5593</v>
      </c>
      <c r="H106" s="4" t="n">
        <v>3824</v>
      </c>
      <c r="I106" s="4" t="inlineStr">
        <is>
          <t>C4</t>
        </is>
      </c>
      <c r="J106" s="6">
        <f>IF(ISNUMBER(G106),G106-F106,"")</f>
        <v/>
      </c>
    </row>
    <row r="107">
      <c r="A107" s="4" t="n">
        <v>2025</v>
      </c>
      <c r="B107" s="4" t="inlineStr">
        <is>
          <t>ccaa</t>
        </is>
      </c>
      <c r="C107" s="4" t="inlineStr">
        <is>
          <t>07</t>
        </is>
      </c>
      <c r="D107" s="4" t="inlineStr">
        <is>
          <t>esfuerzo_alquiler_mediana</t>
        </is>
      </c>
      <c r="E107" s="4" t="n">
        <v>21.2638</v>
      </c>
      <c r="F107" s="4" t="n">
        <v>18.3072</v>
      </c>
      <c r="G107" s="4" t="n">
        <v>25.7614</v>
      </c>
      <c r="H107" s="4" t="n">
        <v>375</v>
      </c>
      <c r="I107" s="4" t="inlineStr">
        <is>
          <t>C4</t>
        </is>
      </c>
      <c r="J107" s="6">
        <f>IF(ISNUMBER(G107),G107-F107,"")</f>
        <v/>
      </c>
    </row>
    <row r="108">
      <c r="A108" s="4" t="n">
        <v>2025</v>
      </c>
      <c r="B108" s="4" t="inlineStr">
        <is>
          <t>ccaa</t>
        </is>
      </c>
      <c r="C108" s="4" t="inlineStr">
        <is>
          <t>07</t>
        </is>
      </c>
      <c r="D108" s="4" t="inlineStr">
        <is>
          <t>esfuerzo_hipoteca_mediana</t>
        </is>
      </c>
      <c r="E108" s="4" t="n">
        <v>13.1035</v>
      </c>
      <c r="F108" s="4" t="n">
        <v>12.1624</v>
      </c>
      <c r="G108" s="4" t="n">
        <v>14.557</v>
      </c>
      <c r="H108" s="4" t="n">
        <v>969</v>
      </c>
      <c r="I108" s="4" t="inlineStr">
        <is>
          <t>C4</t>
        </is>
      </c>
      <c r="J108" s="6">
        <f>IF(ISNUMBER(G108),G108-F108,"")</f>
        <v/>
      </c>
    </row>
    <row r="109">
      <c r="A109" s="4" t="n">
        <v>2025</v>
      </c>
      <c r="B109" s="4" t="inlineStr">
        <is>
          <t>ccaa</t>
        </is>
      </c>
      <c r="C109" s="4" t="inlineStr">
        <is>
          <t>08</t>
        </is>
      </c>
      <c r="D109" s="4" t="inlineStr">
        <is>
          <t>sobrecarga_30</t>
        </is>
      </c>
      <c r="E109" s="4" t="n">
        <v>13.866</v>
      </c>
      <c r="F109" s="4" t="n">
        <v>10.5474</v>
      </c>
      <c r="G109" s="4" t="n">
        <v>17.1847</v>
      </c>
      <c r="H109" s="4" t="n">
        <v>2976</v>
      </c>
      <c r="I109" s="4" t="inlineStr">
        <is>
          <t>C4</t>
        </is>
      </c>
      <c r="J109" s="6">
        <f>IF(ISNUMBER(G109),G109-F109,"")</f>
        <v/>
      </c>
    </row>
    <row r="110">
      <c r="A110" s="4" t="n">
        <v>2025</v>
      </c>
      <c r="B110" s="4" t="inlineStr">
        <is>
          <t>ccaa</t>
        </is>
      </c>
      <c r="C110" s="4" t="inlineStr">
        <is>
          <t>08</t>
        </is>
      </c>
      <c r="D110" s="4" t="inlineStr">
        <is>
          <t>sobrecarga_40</t>
        </is>
      </c>
      <c r="E110" s="4" t="n">
        <v>6.6717</v>
      </c>
      <c r="F110" s="4" t="n">
        <v>4.4815</v>
      </c>
      <c r="G110" s="4" t="n">
        <v>8.8619</v>
      </c>
      <c r="H110" s="4" t="n">
        <v>2976</v>
      </c>
      <c r="I110" s="4" t="inlineStr">
        <is>
          <t>C4</t>
        </is>
      </c>
      <c r="J110" s="6">
        <f>IF(ISNUMBER(G110),G110-F110,"")</f>
        <v/>
      </c>
    </row>
    <row r="111">
      <c r="A111" s="4" t="n">
        <v>2025</v>
      </c>
      <c r="B111" s="4" t="inlineStr">
        <is>
          <t>ccaa</t>
        </is>
      </c>
      <c r="C111" s="4" t="inlineStr">
        <is>
          <t>08</t>
        </is>
      </c>
      <c r="D111" s="4" t="inlineStr">
        <is>
          <t>esfuerzo_alquiler_30</t>
        </is>
      </c>
      <c r="E111" s="4" t="n">
        <v>24.8686</v>
      </c>
      <c r="F111" s="4" t="n">
        <v>13.4645</v>
      </c>
      <c r="G111" s="4" t="n">
        <v>36.2728</v>
      </c>
      <c r="H111" s="4" t="n">
        <v>252</v>
      </c>
      <c r="I111" s="4" t="inlineStr">
        <is>
          <t>C4</t>
        </is>
      </c>
      <c r="J111" s="6">
        <f>IF(ISNUMBER(G111),G111-F111,"")</f>
        <v/>
      </c>
    </row>
    <row r="112">
      <c r="A112" s="4" t="n">
        <v>2025</v>
      </c>
      <c r="B112" s="4" t="inlineStr">
        <is>
          <t>ccaa</t>
        </is>
      </c>
      <c r="C112" s="4" t="inlineStr">
        <is>
          <t>08</t>
        </is>
      </c>
      <c r="D112" s="4" t="inlineStr">
        <is>
          <t>esfuerzo_alquiler_40</t>
        </is>
      </c>
      <c r="E112" s="4" t="n">
        <v>19.6601</v>
      </c>
      <c r="F112" s="4" t="n">
        <v>8.9175</v>
      </c>
      <c r="G112" s="4" t="n">
        <v>30.4026</v>
      </c>
      <c r="H112" s="4" t="n">
        <v>252</v>
      </c>
      <c r="I112" s="4" t="inlineStr">
        <is>
          <t>C4</t>
        </is>
      </c>
      <c r="J112" s="6">
        <f>IF(ISNUMBER(G112),G112-F112,"")</f>
        <v/>
      </c>
    </row>
    <row r="113">
      <c r="A113" s="4" t="n">
        <v>2025</v>
      </c>
      <c r="B113" s="4" t="inlineStr">
        <is>
          <t>ccaa</t>
        </is>
      </c>
      <c r="C113" s="4" t="inlineStr">
        <is>
          <t>08</t>
        </is>
      </c>
      <c r="D113" s="4" t="inlineStr">
        <is>
          <t>esfuerzo_hipoteca_30</t>
        </is>
      </c>
      <c r="E113" s="4" t="n">
        <v>12.1406</v>
      </c>
      <c r="F113" s="4" t="n">
        <v>7.4782</v>
      </c>
      <c r="G113" s="4" t="n">
        <v>16.8031</v>
      </c>
      <c r="H113" s="4" t="n">
        <v>827</v>
      </c>
      <c r="I113" s="4" t="inlineStr">
        <is>
          <t>C4</t>
        </is>
      </c>
      <c r="J113" s="6">
        <f>IF(ISNUMBER(G113),G113-F113,"")</f>
        <v/>
      </c>
    </row>
    <row r="114">
      <c r="A114" s="4" t="n">
        <v>2025</v>
      </c>
      <c r="B114" s="4" t="inlineStr">
        <is>
          <t>ccaa</t>
        </is>
      </c>
      <c r="C114" s="4" t="inlineStr">
        <is>
          <t>08</t>
        </is>
      </c>
      <c r="D114" s="4" t="inlineStr">
        <is>
          <t>hacinamiento</t>
        </is>
      </c>
      <c r="E114" s="4" t="n">
        <v>7.6284</v>
      </c>
      <c r="F114" s="4" t="n">
        <v>3.8666</v>
      </c>
      <c r="G114" s="4" t="n">
        <v>11.3902</v>
      </c>
      <c r="H114" s="4" t="n">
        <v>2968</v>
      </c>
      <c r="I114" s="4" t="inlineStr">
        <is>
          <t>C4</t>
        </is>
      </c>
      <c r="J114" s="6">
        <f>IF(ISNUMBER(G114),G114-F114,"")</f>
        <v/>
      </c>
    </row>
    <row r="115">
      <c r="A115" s="4" t="n">
        <v>2025</v>
      </c>
      <c r="B115" s="4" t="inlineStr">
        <is>
          <t>ccaa</t>
        </is>
      </c>
      <c r="C115" s="4" t="inlineStr">
        <is>
          <t>08</t>
        </is>
      </c>
      <c r="D115" s="4" t="inlineStr">
        <is>
          <t>tenencia_1</t>
        </is>
      </c>
      <c r="E115" s="4" t="n">
        <v>47.2563</v>
      </c>
      <c r="F115" s="4" t="n">
        <v>43.0081</v>
      </c>
      <c r="G115" s="4" t="n">
        <v>51.5045</v>
      </c>
      <c r="H115" s="4" t="n">
        <v>2977</v>
      </c>
      <c r="I115" s="4" t="inlineStr">
        <is>
          <t>C4</t>
        </is>
      </c>
      <c r="J115" s="6">
        <f>IF(ISNUMBER(G115),G115-F115,"")</f>
        <v/>
      </c>
    </row>
    <row r="116">
      <c r="A116" s="4" t="n">
        <v>2025</v>
      </c>
      <c r="B116" s="4" t="inlineStr">
        <is>
          <t>ccaa</t>
        </is>
      </c>
      <c r="C116" s="4" t="inlineStr">
        <is>
          <t>08</t>
        </is>
      </c>
      <c r="D116" s="4" t="inlineStr">
        <is>
          <t>tenencia_2</t>
        </is>
      </c>
      <c r="E116" s="4" t="n">
        <v>26.9424</v>
      </c>
      <c r="F116" s="4" t="n">
        <v>22.7787</v>
      </c>
      <c r="G116" s="4" t="n">
        <v>31.1062</v>
      </c>
      <c r="H116" s="4" t="n">
        <v>2977</v>
      </c>
      <c r="I116" s="4" t="inlineStr">
        <is>
          <t>C4</t>
        </is>
      </c>
      <c r="J116" s="6">
        <f>IF(ISNUMBER(G116),G116-F116,"")</f>
        <v/>
      </c>
    </row>
    <row r="117">
      <c r="A117" s="4" t="n">
        <v>2025</v>
      </c>
      <c r="B117" s="4" t="inlineStr">
        <is>
          <t>ccaa</t>
        </is>
      </c>
      <c r="C117" s="4" t="inlineStr">
        <is>
          <t>08</t>
        </is>
      </c>
      <c r="D117" s="4" t="inlineStr">
        <is>
          <t>tenencia_3</t>
        </is>
      </c>
      <c r="E117" s="4" t="n">
        <v>12.7646</v>
      </c>
      <c r="F117" s="4" t="n">
        <v>9.3881</v>
      </c>
      <c r="G117" s="4" t="n">
        <v>16.141</v>
      </c>
      <c r="H117" s="4" t="n">
        <v>2977</v>
      </c>
      <c r="I117" s="4" t="inlineStr">
        <is>
          <t>C4</t>
        </is>
      </c>
      <c r="J117" s="6">
        <f>IF(ISNUMBER(G117),G117-F117,"")</f>
        <v/>
      </c>
    </row>
    <row r="118">
      <c r="A118" s="4" t="n">
        <v>2025</v>
      </c>
      <c r="B118" s="4" t="inlineStr">
        <is>
          <t>ccaa</t>
        </is>
      </c>
      <c r="C118" s="4" t="inlineStr">
        <is>
          <t>08</t>
        </is>
      </c>
      <c r="D118" s="4" t="inlineStr">
        <is>
          <t>tenencia_4</t>
        </is>
      </c>
      <c r="E118" s="4" t="n">
        <v>4.6574</v>
      </c>
      <c r="F118" s="4" t="n">
        <v>2.1274</v>
      </c>
      <c r="G118" s="4" t="n">
        <v>7.1873</v>
      </c>
      <c r="H118" s="4" t="n">
        <v>2977</v>
      </c>
      <c r="I118" s="4" t="inlineStr">
        <is>
          <t>C4</t>
        </is>
      </c>
      <c r="J118" s="6">
        <f>IF(ISNUMBER(G118),G118-F118,"")</f>
        <v/>
      </c>
    </row>
    <row r="119">
      <c r="A119" s="4" t="n">
        <v>2025</v>
      </c>
      <c r="B119" s="4" t="inlineStr">
        <is>
          <t>ccaa</t>
        </is>
      </c>
      <c r="C119" s="4" t="inlineStr">
        <is>
          <t>08</t>
        </is>
      </c>
      <c r="D119" s="4" t="inlineStr">
        <is>
          <t>tenencia_5</t>
        </is>
      </c>
      <c r="E119" s="4" t="n">
        <v>8.379300000000001</v>
      </c>
      <c r="F119" s="4" t="n">
        <v>6.2346</v>
      </c>
      <c r="G119" s="4" t="n">
        <v>10.524</v>
      </c>
      <c r="H119" s="4" t="n">
        <v>2977</v>
      </c>
      <c r="I119" s="4" t="inlineStr">
        <is>
          <t>C4</t>
        </is>
      </c>
      <c r="J119" s="6">
        <f>IF(ISNUMBER(G119),G119-F119,"")</f>
        <v/>
      </c>
    </row>
    <row r="120">
      <c r="A120" s="4" t="n">
        <v>2025</v>
      </c>
      <c r="B120" s="4" t="inlineStr">
        <is>
          <t>ccaa</t>
        </is>
      </c>
      <c r="C120" s="4" t="inlineStr">
        <is>
          <t>08</t>
        </is>
      </c>
      <c r="D120" s="4" t="inlineStr">
        <is>
          <t>esfuerzo_alquiler_mediana</t>
        </is>
      </c>
      <c r="E120" s="4" t="n">
        <v>25.1299</v>
      </c>
      <c r="F120" s="4" t="n">
        <v>22.371</v>
      </c>
      <c r="G120" s="4" t="n">
        <v>26.6301</v>
      </c>
      <c r="H120" s="4" t="n">
        <v>252</v>
      </c>
      <c r="I120" s="4" t="inlineStr">
        <is>
          <t>C4</t>
        </is>
      </c>
      <c r="J120" s="6">
        <f>IF(ISNUMBER(G120),G120-F120,"")</f>
        <v/>
      </c>
    </row>
    <row r="121">
      <c r="A121" s="4" t="n">
        <v>2025</v>
      </c>
      <c r="B121" s="4" t="inlineStr">
        <is>
          <t>ccaa</t>
        </is>
      </c>
      <c r="C121" s="4" t="inlineStr">
        <is>
          <t>08</t>
        </is>
      </c>
      <c r="D121" s="4" t="inlineStr">
        <is>
          <t>esfuerzo_hipoteca_mediana</t>
        </is>
      </c>
      <c r="E121" s="4" t="n">
        <v>12.9122</v>
      </c>
      <c r="F121" s="4" t="n">
        <v>11.6228</v>
      </c>
      <c r="G121" s="4" t="n">
        <v>15.1597</v>
      </c>
      <c r="H121" s="4" t="n">
        <v>827</v>
      </c>
      <c r="I121" s="4" t="inlineStr">
        <is>
          <t>C4</t>
        </is>
      </c>
      <c r="J121" s="6">
        <f>IF(ISNUMBER(G121),G121-F121,"")</f>
        <v/>
      </c>
    </row>
    <row r="122">
      <c r="A122" s="4" t="n">
        <v>2025</v>
      </c>
      <c r="B122" s="4" t="inlineStr">
        <is>
          <t>ccaa</t>
        </is>
      </c>
      <c r="C122" s="4" t="inlineStr">
        <is>
          <t>09</t>
        </is>
      </c>
      <c r="D122" s="4" t="inlineStr">
        <is>
          <t>sobrecarga_30</t>
        </is>
      </c>
      <c r="E122" s="4" t="n">
        <v>14.4532</v>
      </c>
      <c r="F122" s="4" t="n">
        <v>12.861</v>
      </c>
      <c r="G122" s="4" t="n">
        <v>16.0454</v>
      </c>
      <c r="H122" s="4" t="n">
        <v>14504</v>
      </c>
      <c r="I122" s="4" t="inlineStr">
        <is>
          <t>C4</t>
        </is>
      </c>
      <c r="J122" s="6">
        <f>IF(ISNUMBER(G122),G122-F122,"")</f>
        <v/>
      </c>
    </row>
    <row r="123">
      <c r="A123" s="4" t="n">
        <v>2025</v>
      </c>
      <c r="B123" s="4" t="inlineStr">
        <is>
          <t>ccaa</t>
        </is>
      </c>
      <c r="C123" s="4" t="inlineStr">
        <is>
          <t>09</t>
        </is>
      </c>
      <c r="D123" s="4" t="inlineStr">
        <is>
          <t>sobrecarga_40</t>
        </is>
      </c>
      <c r="E123" s="4" t="n">
        <v>7.7986</v>
      </c>
      <c r="F123" s="4" t="n">
        <v>6.7093</v>
      </c>
      <c r="G123" s="4" t="n">
        <v>8.8878</v>
      </c>
      <c r="H123" s="4" t="n">
        <v>14504</v>
      </c>
      <c r="I123" s="4" t="inlineStr">
        <is>
          <t>C4</t>
        </is>
      </c>
      <c r="J123" s="6">
        <f>IF(ISNUMBER(G123),G123-F123,"")</f>
        <v/>
      </c>
    </row>
    <row r="124">
      <c r="A124" s="4" t="n">
        <v>2025</v>
      </c>
      <c r="B124" s="4" t="inlineStr">
        <is>
          <t>ccaa</t>
        </is>
      </c>
      <c r="C124" s="4" t="inlineStr">
        <is>
          <t>09</t>
        </is>
      </c>
      <c r="D124" s="4" t="inlineStr">
        <is>
          <t>esfuerzo_alquiler_30</t>
        </is>
      </c>
      <c r="E124" s="4" t="n">
        <v>27.8801</v>
      </c>
      <c r="F124" s="4" t="n">
        <v>23.4092</v>
      </c>
      <c r="G124" s="4" t="n">
        <v>32.351</v>
      </c>
      <c r="H124" s="4" t="n">
        <v>2457</v>
      </c>
      <c r="I124" s="4" t="inlineStr">
        <is>
          <t>C4</t>
        </is>
      </c>
      <c r="J124" s="6">
        <f>IF(ISNUMBER(G124),G124-F124,"")</f>
        <v/>
      </c>
    </row>
    <row r="125">
      <c r="A125" s="4" t="n">
        <v>2025</v>
      </c>
      <c r="B125" s="4" t="inlineStr">
        <is>
          <t>ccaa</t>
        </is>
      </c>
      <c r="C125" s="4" t="inlineStr">
        <is>
          <t>09</t>
        </is>
      </c>
      <c r="D125" s="4" t="inlineStr">
        <is>
          <t>esfuerzo_alquiler_40</t>
        </is>
      </c>
      <c r="E125" s="4" t="n">
        <v>14.8371</v>
      </c>
      <c r="F125" s="4" t="n">
        <v>11.4527</v>
      </c>
      <c r="G125" s="4" t="n">
        <v>18.2215</v>
      </c>
      <c r="H125" s="4" t="n">
        <v>2457</v>
      </c>
      <c r="I125" s="4" t="inlineStr">
        <is>
          <t>C4</t>
        </is>
      </c>
      <c r="J125" s="6">
        <f>IF(ISNUMBER(G125),G125-F125,"")</f>
        <v/>
      </c>
    </row>
    <row r="126">
      <c r="A126" s="4" t="n">
        <v>2025</v>
      </c>
      <c r="B126" s="4" t="inlineStr">
        <is>
          <t>ccaa</t>
        </is>
      </c>
      <c r="C126" s="4" t="inlineStr">
        <is>
          <t>09</t>
        </is>
      </c>
      <c r="D126" s="4" t="inlineStr">
        <is>
          <t>esfuerzo_hipoteca_30</t>
        </is>
      </c>
      <c r="E126" s="4" t="n">
        <v>8.381399999999999</v>
      </c>
      <c r="F126" s="4" t="n">
        <v>6.8368</v>
      </c>
      <c r="G126" s="4" t="n">
        <v>9.926</v>
      </c>
      <c r="H126" s="4" t="n">
        <v>4394</v>
      </c>
      <c r="I126" s="4" t="inlineStr">
        <is>
          <t>C4</t>
        </is>
      </c>
      <c r="J126" s="6">
        <f>IF(ISNUMBER(G126),G126-F126,"")</f>
        <v/>
      </c>
    </row>
    <row r="127">
      <c r="A127" s="4" t="n">
        <v>2025</v>
      </c>
      <c r="B127" s="4" t="inlineStr">
        <is>
          <t>ccaa</t>
        </is>
      </c>
      <c r="C127" s="4" t="inlineStr">
        <is>
          <t>09</t>
        </is>
      </c>
      <c r="D127" s="4" t="inlineStr">
        <is>
          <t>hacinamiento</t>
        </is>
      </c>
      <c r="E127" s="4" t="n">
        <v>11.9632</v>
      </c>
      <c r="F127" s="4" t="n">
        <v>9.8691</v>
      </c>
      <c r="G127" s="4" t="n">
        <v>14.0573</v>
      </c>
      <c r="H127" s="4" t="n">
        <v>14531</v>
      </c>
      <c r="I127" s="4" t="inlineStr">
        <is>
          <t>C4</t>
        </is>
      </c>
      <c r="J127" s="6">
        <f>IF(ISNUMBER(G127),G127-F127,"")</f>
        <v/>
      </c>
    </row>
    <row r="128">
      <c r="A128" s="4" t="n">
        <v>2025</v>
      </c>
      <c r="B128" s="4" t="inlineStr">
        <is>
          <t>ccaa</t>
        </is>
      </c>
      <c r="C128" s="4" t="inlineStr">
        <is>
          <t>09</t>
        </is>
      </c>
      <c r="D128" s="4" t="inlineStr">
        <is>
          <t>tenencia_1</t>
        </is>
      </c>
      <c r="E128" s="4" t="n">
        <v>36.684</v>
      </c>
      <c r="F128" s="4" t="n">
        <v>34.7568</v>
      </c>
      <c r="G128" s="4" t="n">
        <v>38.6112</v>
      </c>
      <c r="H128" s="4" t="n">
        <v>14562</v>
      </c>
      <c r="I128" s="4" t="inlineStr">
        <is>
          <t>C4</t>
        </is>
      </c>
      <c r="J128" s="6">
        <f>IF(ISNUMBER(G128),G128-F128,"")</f>
        <v/>
      </c>
    </row>
    <row r="129">
      <c r="A129" s="4" t="n">
        <v>2025</v>
      </c>
      <c r="B129" s="4" t="inlineStr">
        <is>
          <t>ccaa</t>
        </is>
      </c>
      <c r="C129" s="4" t="inlineStr">
        <is>
          <t>09</t>
        </is>
      </c>
      <c r="D129" s="4" t="inlineStr">
        <is>
          <t>tenencia_2</t>
        </is>
      </c>
      <c r="E129" s="4" t="n">
        <v>30.0708</v>
      </c>
      <c r="F129" s="4" t="n">
        <v>28.1897</v>
      </c>
      <c r="G129" s="4" t="n">
        <v>31.952</v>
      </c>
      <c r="H129" s="4" t="n">
        <v>14562</v>
      </c>
      <c r="I129" s="4" t="inlineStr">
        <is>
          <t>C4</t>
        </is>
      </c>
      <c r="J129" s="6">
        <f>IF(ISNUMBER(G129),G129-F129,"")</f>
        <v/>
      </c>
    </row>
    <row r="130">
      <c r="A130" s="4" t="n">
        <v>2025</v>
      </c>
      <c r="B130" s="4" t="inlineStr">
        <is>
          <t>ccaa</t>
        </is>
      </c>
      <c r="C130" s="4" t="inlineStr">
        <is>
          <t>09</t>
        </is>
      </c>
      <c r="D130" s="4" t="inlineStr">
        <is>
          <t>tenencia_3</t>
        </is>
      </c>
      <c r="E130" s="4" t="n">
        <v>24.8601</v>
      </c>
      <c r="F130" s="4" t="n">
        <v>22.5857</v>
      </c>
      <c r="G130" s="4" t="n">
        <v>27.1345</v>
      </c>
      <c r="H130" s="4" t="n">
        <v>14562</v>
      </c>
      <c r="I130" s="4" t="inlineStr">
        <is>
          <t>C4</t>
        </is>
      </c>
      <c r="J130" s="6">
        <f>IF(ISNUMBER(G130),G130-F130,"")</f>
        <v/>
      </c>
    </row>
    <row r="131">
      <c r="A131" s="4" t="n">
        <v>2025</v>
      </c>
      <c r="B131" s="4" t="inlineStr">
        <is>
          <t>ccaa</t>
        </is>
      </c>
      <c r="C131" s="4" t="inlineStr">
        <is>
          <t>09</t>
        </is>
      </c>
      <c r="D131" s="4" t="inlineStr">
        <is>
          <t>tenencia_4</t>
        </is>
      </c>
      <c r="E131" s="4" t="n">
        <v>4.0758</v>
      </c>
      <c r="F131" s="4" t="n">
        <v>3.158</v>
      </c>
      <c r="G131" s="4" t="n">
        <v>4.9936</v>
      </c>
      <c r="H131" s="4" t="n">
        <v>14562</v>
      </c>
      <c r="I131" s="4" t="inlineStr">
        <is>
          <t>C4</t>
        </is>
      </c>
      <c r="J131" s="6">
        <f>IF(ISNUMBER(G131),G131-F131,"")</f>
        <v/>
      </c>
    </row>
    <row r="132">
      <c r="A132" s="4" t="n">
        <v>2025</v>
      </c>
      <c r="B132" s="4" t="inlineStr">
        <is>
          <t>ccaa</t>
        </is>
      </c>
      <c r="C132" s="4" t="inlineStr">
        <is>
          <t>09</t>
        </is>
      </c>
      <c r="D132" s="4" t="inlineStr">
        <is>
          <t>tenencia_5</t>
        </is>
      </c>
      <c r="E132" s="4" t="n">
        <v>4.3093</v>
      </c>
      <c r="F132" s="4" t="n">
        <v>3.5901</v>
      </c>
      <c r="G132" s="4" t="n">
        <v>5.0285</v>
      </c>
      <c r="H132" s="4" t="n">
        <v>14562</v>
      </c>
      <c r="I132" s="4" t="inlineStr">
        <is>
          <t>C4</t>
        </is>
      </c>
      <c r="J132" s="6">
        <f>IF(ISNUMBER(G132),G132-F132,"")</f>
        <v/>
      </c>
    </row>
    <row r="133">
      <c r="A133" s="4" t="n">
        <v>2025</v>
      </c>
      <c r="B133" s="4" t="inlineStr">
        <is>
          <t>ccaa</t>
        </is>
      </c>
      <c r="C133" s="4" t="inlineStr">
        <is>
          <t>09</t>
        </is>
      </c>
      <c r="D133" s="4" t="inlineStr">
        <is>
          <t>esfuerzo_alquiler_mediana</t>
        </is>
      </c>
      <c r="E133" s="4" t="n">
        <v>21.7913</v>
      </c>
      <c r="F133" s="4" t="n">
        <v>20.6718</v>
      </c>
      <c r="G133" s="4" t="n">
        <v>23.283</v>
      </c>
      <c r="H133" s="4" t="n">
        <v>2457</v>
      </c>
      <c r="I133" s="4" t="inlineStr">
        <is>
          <t>C4</t>
        </is>
      </c>
      <c r="J133" s="6">
        <f>IF(ISNUMBER(G133),G133-F133,"")</f>
        <v/>
      </c>
    </row>
    <row r="134">
      <c r="A134" s="4" t="n">
        <v>2025</v>
      </c>
      <c r="B134" s="4" t="inlineStr">
        <is>
          <t>ccaa</t>
        </is>
      </c>
      <c r="C134" s="4" t="inlineStr">
        <is>
          <t>09</t>
        </is>
      </c>
      <c r="D134" s="4" t="inlineStr">
        <is>
          <t>esfuerzo_hipoteca_mediana</t>
        </is>
      </c>
      <c r="E134" s="4" t="n">
        <v>14.2499</v>
      </c>
      <c r="F134" s="4" t="n">
        <v>13.5139</v>
      </c>
      <c r="G134" s="4" t="n">
        <v>14.9272</v>
      </c>
      <c r="H134" s="4" t="n">
        <v>4394</v>
      </c>
      <c r="I134" s="4" t="inlineStr">
        <is>
          <t>C4</t>
        </is>
      </c>
      <c r="J134" s="6">
        <f>IF(ISNUMBER(G134),G134-F134,"")</f>
        <v/>
      </c>
    </row>
    <row r="135">
      <c r="A135" s="4" t="n">
        <v>2025</v>
      </c>
      <c r="B135" s="4" t="inlineStr">
        <is>
          <t>ccaa</t>
        </is>
      </c>
      <c r="C135" s="4" t="inlineStr">
        <is>
          <t>10</t>
        </is>
      </c>
      <c r="D135" s="4" t="inlineStr">
        <is>
          <t>sobrecarga_30</t>
        </is>
      </c>
      <c r="E135" s="4" t="n">
        <v>14.1673</v>
      </c>
      <c r="F135" s="4" t="n">
        <v>11.9338</v>
      </c>
      <c r="G135" s="4" t="n">
        <v>16.4007</v>
      </c>
      <c r="H135" s="4" t="n">
        <v>5665</v>
      </c>
      <c r="I135" s="4" t="inlineStr">
        <is>
          <t>C4</t>
        </is>
      </c>
      <c r="J135" s="6">
        <f>IF(ISNUMBER(G135),G135-F135,"")</f>
        <v/>
      </c>
    </row>
    <row r="136">
      <c r="A136" s="4" t="n">
        <v>2025</v>
      </c>
      <c r="B136" s="4" t="inlineStr">
        <is>
          <t>ccaa</t>
        </is>
      </c>
      <c r="C136" s="4" t="inlineStr">
        <is>
          <t>10</t>
        </is>
      </c>
      <c r="D136" s="4" t="inlineStr">
        <is>
          <t>sobrecarga_40</t>
        </is>
      </c>
      <c r="E136" s="4" t="n">
        <v>8.491099999999999</v>
      </c>
      <c r="F136" s="4" t="n">
        <v>7.0258</v>
      </c>
      <c r="G136" s="4" t="n">
        <v>9.9565</v>
      </c>
      <c r="H136" s="4" t="n">
        <v>5665</v>
      </c>
      <c r="I136" s="4" t="inlineStr">
        <is>
          <t>C4</t>
        </is>
      </c>
      <c r="J136" s="6">
        <f>IF(ISNUMBER(G136),G136-F136,"")</f>
        <v/>
      </c>
    </row>
    <row r="137">
      <c r="A137" s="4" t="n">
        <v>2025</v>
      </c>
      <c r="B137" s="4" t="inlineStr">
        <is>
          <t>ccaa</t>
        </is>
      </c>
      <c r="C137" s="4" t="inlineStr">
        <is>
          <t>10</t>
        </is>
      </c>
      <c r="D137" s="4" t="inlineStr">
        <is>
          <t>esfuerzo_alquiler_30</t>
        </is>
      </c>
      <c r="E137" s="4" t="n">
        <v>31.3713</v>
      </c>
      <c r="F137" s="4" t="n">
        <v>23.8623</v>
      </c>
      <c r="G137" s="4" t="n">
        <v>38.8804</v>
      </c>
      <c r="H137" s="4" t="n">
        <v>742</v>
      </c>
      <c r="I137" s="4" t="inlineStr">
        <is>
          <t>C4</t>
        </is>
      </c>
      <c r="J137" s="6">
        <f>IF(ISNUMBER(G137),G137-F137,"")</f>
        <v/>
      </c>
    </row>
    <row r="138">
      <c r="A138" s="4" t="n">
        <v>2025</v>
      </c>
      <c r="B138" s="4" t="inlineStr">
        <is>
          <t>ccaa</t>
        </is>
      </c>
      <c r="C138" s="4" t="inlineStr">
        <is>
          <t>10</t>
        </is>
      </c>
      <c r="D138" s="4" t="inlineStr">
        <is>
          <t>esfuerzo_alquiler_40</t>
        </is>
      </c>
      <c r="E138" s="4" t="n">
        <v>23.1058</v>
      </c>
      <c r="F138" s="4" t="n">
        <v>16.5853</v>
      </c>
      <c r="G138" s="4" t="n">
        <v>29.6263</v>
      </c>
      <c r="H138" s="4" t="n">
        <v>742</v>
      </c>
      <c r="I138" s="4" t="inlineStr">
        <is>
          <t>C4</t>
        </is>
      </c>
      <c r="J138" s="6">
        <f>IF(ISNUMBER(G138),G138-F138,"")</f>
        <v/>
      </c>
    </row>
    <row r="139">
      <c r="A139" s="4" t="n">
        <v>2025</v>
      </c>
      <c r="B139" s="4" t="inlineStr">
        <is>
          <t>ccaa</t>
        </is>
      </c>
      <c r="C139" s="4" t="inlineStr">
        <is>
          <t>10</t>
        </is>
      </c>
      <c r="D139" s="4" t="inlineStr">
        <is>
          <t>esfuerzo_hipoteca_30</t>
        </is>
      </c>
      <c r="E139" s="4" t="n">
        <v>9.2537</v>
      </c>
      <c r="F139" s="4" t="n">
        <v>5.2754</v>
      </c>
      <c r="G139" s="4" t="n">
        <v>13.232</v>
      </c>
      <c r="H139" s="4" t="n">
        <v>1611</v>
      </c>
      <c r="I139" s="4" t="inlineStr">
        <is>
          <t>C4</t>
        </is>
      </c>
      <c r="J139" s="6">
        <f>IF(ISNUMBER(G139),G139-F139,"")</f>
        <v/>
      </c>
    </row>
    <row r="140">
      <c r="A140" s="4" t="n">
        <v>2025</v>
      </c>
      <c r="B140" s="4" t="inlineStr">
        <is>
          <t>ccaa</t>
        </is>
      </c>
      <c r="C140" s="4" t="inlineStr">
        <is>
          <t>10</t>
        </is>
      </c>
      <c r="D140" s="4" t="inlineStr">
        <is>
          <t>hacinamiento</t>
        </is>
      </c>
      <c r="E140" s="4" t="n">
        <v>6.7836</v>
      </c>
      <c r="F140" s="4" t="n">
        <v>4.3931</v>
      </c>
      <c r="G140" s="4" t="n">
        <v>9.174099999999999</v>
      </c>
      <c r="H140" s="4" t="n">
        <v>5674</v>
      </c>
      <c r="I140" s="4" t="inlineStr">
        <is>
          <t>C4</t>
        </is>
      </c>
      <c r="J140" s="6">
        <f>IF(ISNUMBER(G140),G140-F140,"")</f>
        <v/>
      </c>
    </row>
    <row r="141">
      <c r="A141" s="4" t="n">
        <v>2025</v>
      </c>
      <c r="B141" s="4" t="inlineStr">
        <is>
          <t>ccaa</t>
        </is>
      </c>
      <c r="C141" s="4" t="inlineStr">
        <is>
          <t>10</t>
        </is>
      </c>
      <c r="D141" s="4" t="inlineStr">
        <is>
          <t>tenencia_1</t>
        </is>
      </c>
      <c r="E141" s="4" t="n">
        <v>46.1509</v>
      </c>
      <c r="F141" s="4" t="n">
        <v>43.1992</v>
      </c>
      <c r="G141" s="4" t="n">
        <v>49.1027</v>
      </c>
      <c r="H141" s="4" t="n">
        <v>5691</v>
      </c>
      <c r="I141" s="4" t="inlineStr">
        <is>
          <t>C4</t>
        </is>
      </c>
      <c r="J141" s="6">
        <f>IF(ISNUMBER(G141),G141-F141,"")</f>
        <v/>
      </c>
    </row>
    <row r="142">
      <c r="A142" s="4" t="n">
        <v>2025</v>
      </c>
      <c r="B142" s="4" t="inlineStr">
        <is>
          <t>ccaa</t>
        </is>
      </c>
      <c r="C142" s="4" t="inlineStr">
        <is>
          <t>10</t>
        </is>
      </c>
      <c r="D142" s="4" t="inlineStr">
        <is>
          <t>tenencia_2</t>
        </is>
      </c>
      <c r="E142" s="4" t="n">
        <v>27.8848</v>
      </c>
      <c r="F142" s="4" t="n">
        <v>25.0659</v>
      </c>
      <c r="G142" s="4" t="n">
        <v>30.7037</v>
      </c>
      <c r="H142" s="4" t="n">
        <v>5691</v>
      </c>
      <c r="I142" s="4" t="inlineStr">
        <is>
          <t>C4</t>
        </is>
      </c>
      <c r="J142" s="6">
        <f>IF(ISNUMBER(G142),G142-F142,"")</f>
        <v/>
      </c>
    </row>
    <row r="143">
      <c r="A143" s="4" t="n">
        <v>2025</v>
      </c>
      <c r="B143" s="4" t="inlineStr">
        <is>
          <t>ccaa</t>
        </is>
      </c>
      <c r="C143" s="4" t="inlineStr">
        <is>
          <t>10</t>
        </is>
      </c>
      <c r="D143" s="4" t="inlineStr">
        <is>
          <t>tenencia_3</t>
        </is>
      </c>
      <c r="E143" s="4" t="n">
        <v>18.5779</v>
      </c>
      <c r="F143" s="4" t="n">
        <v>15.5789</v>
      </c>
      <c r="G143" s="4" t="n">
        <v>21.577</v>
      </c>
      <c r="H143" s="4" t="n">
        <v>5691</v>
      </c>
      <c r="I143" s="4" t="inlineStr">
        <is>
          <t>C4</t>
        </is>
      </c>
      <c r="J143" s="6">
        <f>IF(ISNUMBER(G143),G143-F143,"")</f>
        <v/>
      </c>
    </row>
    <row r="144">
      <c r="A144" s="4" t="n">
        <v>2025</v>
      </c>
      <c r="B144" s="4" t="inlineStr">
        <is>
          <t>ccaa</t>
        </is>
      </c>
      <c r="C144" s="4" t="inlineStr">
        <is>
          <t>10</t>
        </is>
      </c>
      <c r="D144" s="4" t="inlineStr">
        <is>
          <t>tenencia_4</t>
        </is>
      </c>
      <c r="E144" s="4" t="n">
        <v>2.4577</v>
      </c>
      <c r="F144" s="4" t="n">
        <v>1.5312</v>
      </c>
      <c r="G144" s="4" t="n">
        <v>3.3842</v>
      </c>
      <c r="H144" s="4" t="n">
        <v>5691</v>
      </c>
      <c r="I144" s="4" t="inlineStr">
        <is>
          <t>C4</t>
        </is>
      </c>
      <c r="J144" s="6">
        <f>IF(ISNUMBER(G144),G144-F144,"")</f>
        <v/>
      </c>
    </row>
    <row r="145">
      <c r="A145" s="4" t="n">
        <v>2025</v>
      </c>
      <c r="B145" s="4" t="inlineStr">
        <is>
          <t>ccaa</t>
        </is>
      </c>
      <c r="C145" s="4" t="inlineStr">
        <is>
          <t>10</t>
        </is>
      </c>
      <c r="D145" s="4" t="inlineStr">
        <is>
          <t>tenencia_5</t>
        </is>
      </c>
      <c r="E145" s="4" t="n">
        <v>4.9287</v>
      </c>
      <c r="F145" s="4" t="n">
        <v>3.9515</v>
      </c>
      <c r="G145" s="4" t="n">
        <v>5.9058</v>
      </c>
      <c r="H145" s="4" t="n">
        <v>5691</v>
      </c>
      <c r="I145" s="4" t="inlineStr">
        <is>
          <t>C4</t>
        </is>
      </c>
      <c r="J145" s="6">
        <f>IF(ISNUMBER(G145),G145-F145,"")</f>
        <v/>
      </c>
    </row>
    <row r="146">
      <c r="A146" s="4" t="n">
        <v>2025</v>
      </c>
      <c r="B146" s="4" t="inlineStr">
        <is>
          <t>ccaa</t>
        </is>
      </c>
      <c r="C146" s="4" t="inlineStr">
        <is>
          <t>10</t>
        </is>
      </c>
      <c r="D146" s="4" t="inlineStr">
        <is>
          <t>esfuerzo_alquiler_mediana</t>
        </is>
      </c>
      <c r="E146" s="4" t="n">
        <v>21.4351</v>
      </c>
      <c r="F146" s="4" t="n">
        <v>18.8124</v>
      </c>
      <c r="G146" s="4" t="n">
        <v>25.0686</v>
      </c>
      <c r="H146" s="4" t="n">
        <v>742</v>
      </c>
      <c r="I146" s="4" t="inlineStr">
        <is>
          <t>C4</t>
        </is>
      </c>
      <c r="J146" s="6">
        <f>IF(ISNUMBER(G146),G146-F146,"")</f>
        <v/>
      </c>
    </row>
    <row r="147">
      <c r="A147" s="4" t="n">
        <v>2025</v>
      </c>
      <c r="B147" s="4" t="inlineStr">
        <is>
          <t>ccaa</t>
        </is>
      </c>
      <c r="C147" s="4" t="inlineStr">
        <is>
          <t>10</t>
        </is>
      </c>
      <c r="D147" s="4" t="inlineStr">
        <is>
          <t>esfuerzo_hipoteca_mediana</t>
        </is>
      </c>
      <c r="E147" s="4" t="n">
        <v>13.6564</v>
      </c>
      <c r="F147" s="4" t="n">
        <v>12.6215</v>
      </c>
      <c r="G147" s="4" t="n">
        <v>14.3142</v>
      </c>
      <c r="H147" s="4" t="n">
        <v>1611</v>
      </c>
      <c r="I147" s="4" t="inlineStr">
        <is>
          <t>C4</t>
        </is>
      </c>
      <c r="J147" s="6">
        <f>IF(ISNUMBER(G147),G147-F147,"")</f>
        <v/>
      </c>
    </row>
    <row r="148">
      <c r="A148" s="4" t="n">
        <v>2025</v>
      </c>
      <c r="B148" s="4" t="inlineStr">
        <is>
          <t>ccaa</t>
        </is>
      </c>
      <c r="C148" s="4" t="inlineStr">
        <is>
          <t>11</t>
        </is>
      </c>
      <c r="D148" s="4" t="inlineStr">
        <is>
          <t>sobrecarga_30</t>
        </is>
      </c>
      <c r="E148" s="4" t="n">
        <v>7.3623</v>
      </c>
      <c r="F148" s="4" t="n">
        <v>5.6355</v>
      </c>
      <c r="G148" s="4" t="n">
        <v>9.089</v>
      </c>
      <c r="H148" s="4" t="n">
        <v>2375</v>
      </c>
      <c r="I148" s="4" t="inlineStr">
        <is>
          <t>C4</t>
        </is>
      </c>
      <c r="J148" s="6">
        <f>IF(ISNUMBER(G148),G148-F148,"")</f>
        <v/>
      </c>
    </row>
    <row r="149">
      <c r="A149" s="4" t="n">
        <v>2025</v>
      </c>
      <c r="B149" s="4" t="inlineStr">
        <is>
          <t>ccaa</t>
        </is>
      </c>
      <c r="C149" s="4" t="inlineStr">
        <is>
          <t>11</t>
        </is>
      </c>
      <c r="D149" s="4" t="inlineStr">
        <is>
          <t>sobrecarga_40</t>
        </is>
      </c>
      <c r="E149" s="4" t="n">
        <v>4.1675</v>
      </c>
      <c r="F149" s="4" t="n">
        <v>2.8904</v>
      </c>
      <c r="G149" s="4" t="n">
        <v>5.4447</v>
      </c>
      <c r="H149" s="4" t="n">
        <v>2375</v>
      </c>
      <c r="I149" s="4" t="inlineStr">
        <is>
          <t>C4</t>
        </is>
      </c>
      <c r="J149" s="6">
        <f>IF(ISNUMBER(G149),G149-F149,"")</f>
        <v/>
      </c>
    </row>
    <row r="150">
      <c r="A150" s="4" t="n">
        <v>2025</v>
      </c>
      <c r="B150" s="4" t="inlineStr">
        <is>
          <t>ccaa</t>
        </is>
      </c>
      <c r="C150" s="4" t="inlineStr">
        <is>
          <t>11</t>
        </is>
      </c>
      <c r="D150" s="4" t="inlineStr">
        <is>
          <t>esfuerzo_alquiler_30</t>
        </is>
      </c>
      <c r="E150" s="4" t="n">
        <v>24.0373</v>
      </c>
      <c r="F150" s="4" t="n">
        <v>13.8699</v>
      </c>
      <c r="G150" s="4" t="n">
        <v>34.2047</v>
      </c>
      <c r="H150" s="4" t="n">
        <v>240</v>
      </c>
      <c r="I150" s="4" t="inlineStr">
        <is>
          <t>C4</t>
        </is>
      </c>
      <c r="J150" s="6">
        <f>IF(ISNUMBER(G150),G150-F150,"")</f>
        <v/>
      </c>
    </row>
    <row r="151">
      <c r="A151" s="4" t="n">
        <v>2025</v>
      </c>
      <c r="B151" s="4" t="inlineStr">
        <is>
          <t>ccaa</t>
        </is>
      </c>
      <c r="C151" s="4" t="inlineStr">
        <is>
          <t>11</t>
        </is>
      </c>
      <c r="D151" s="4" t="inlineStr">
        <is>
          <t>esfuerzo_alquiler_40</t>
        </is>
      </c>
      <c r="E151" s="4" t="n">
        <v>12.2485</v>
      </c>
      <c r="F151" s="4" t="n">
        <v>4.1492</v>
      </c>
      <c r="G151" s="4" t="n">
        <v>20.3479</v>
      </c>
      <c r="H151" s="4" t="n">
        <v>240</v>
      </c>
      <c r="I151" s="4" t="inlineStr">
        <is>
          <t>C4</t>
        </is>
      </c>
      <c r="J151" s="6">
        <f>IF(ISNUMBER(G151),G151-F151,"")</f>
        <v/>
      </c>
    </row>
    <row r="152">
      <c r="A152" s="4" t="n">
        <v>2025</v>
      </c>
      <c r="B152" s="4" t="inlineStr">
        <is>
          <t>ccaa</t>
        </is>
      </c>
      <c r="C152" s="4" t="inlineStr">
        <is>
          <t>11</t>
        </is>
      </c>
      <c r="D152" s="4" t="inlineStr">
        <is>
          <t>esfuerzo_hipoteca_30</t>
        </is>
      </c>
      <c r="E152" s="4" t="n">
        <v>5.5075</v>
      </c>
      <c r="F152" s="4" t="n">
        <v>2.8965</v>
      </c>
      <c r="G152" s="4" t="n">
        <v>8.118499999999999</v>
      </c>
      <c r="H152" s="4" t="n">
        <v>624</v>
      </c>
      <c r="I152" s="4" t="inlineStr">
        <is>
          <t>C4</t>
        </is>
      </c>
      <c r="J152" s="6">
        <f>IF(ISNUMBER(G152),G152-F152,"")</f>
        <v/>
      </c>
    </row>
    <row r="153">
      <c r="A153" s="4" t="n">
        <v>2025</v>
      </c>
      <c r="B153" s="4" t="inlineStr">
        <is>
          <t>ccaa</t>
        </is>
      </c>
      <c r="C153" s="4" t="inlineStr">
        <is>
          <t>11</t>
        </is>
      </c>
      <c r="D153" s="4" t="inlineStr">
        <is>
          <t>hacinamiento</t>
        </is>
      </c>
      <c r="E153" s="4" t="n">
        <v>5.5506</v>
      </c>
      <c r="F153" s="4" t="n">
        <v>1.8324</v>
      </c>
      <c r="G153" s="4" t="n">
        <v>9.268700000000001</v>
      </c>
      <c r="H153" s="4" t="n">
        <v>2380</v>
      </c>
      <c r="I153" s="4" t="inlineStr">
        <is>
          <t>C4</t>
        </is>
      </c>
      <c r="J153" s="6">
        <f>IF(ISNUMBER(G153),G153-F153,"")</f>
        <v/>
      </c>
    </row>
    <row r="154">
      <c r="A154" s="4" t="n">
        <v>2025</v>
      </c>
      <c r="B154" s="4" t="inlineStr">
        <is>
          <t>ccaa</t>
        </is>
      </c>
      <c r="C154" s="4" t="inlineStr">
        <is>
          <t>11</t>
        </is>
      </c>
      <c r="D154" s="4" t="inlineStr">
        <is>
          <t>tenencia_1</t>
        </is>
      </c>
      <c r="E154" s="4" t="n">
        <v>55.2011</v>
      </c>
      <c r="F154" s="4" t="n">
        <v>50.6953</v>
      </c>
      <c r="G154" s="4" t="n">
        <v>59.7068</v>
      </c>
      <c r="H154" s="4" t="n">
        <v>2382</v>
      </c>
      <c r="I154" s="4" t="inlineStr">
        <is>
          <t>C4</t>
        </is>
      </c>
      <c r="J154" s="6">
        <f>IF(ISNUMBER(G154),G154-F154,"")</f>
        <v/>
      </c>
    </row>
    <row r="155">
      <c r="A155" s="4" t="n">
        <v>2025</v>
      </c>
      <c r="B155" s="4" t="inlineStr">
        <is>
          <t>ccaa</t>
        </is>
      </c>
      <c r="C155" s="4" t="inlineStr">
        <is>
          <t>11</t>
        </is>
      </c>
      <c r="D155" s="4" t="inlineStr">
        <is>
          <t>tenencia_2</t>
        </is>
      </c>
      <c r="E155" s="4" t="n">
        <v>24.4076</v>
      </c>
      <c r="F155" s="4" t="n">
        <v>20.686</v>
      </c>
      <c r="G155" s="4" t="n">
        <v>28.1292</v>
      </c>
      <c r="H155" s="4" t="n">
        <v>2382</v>
      </c>
      <c r="I155" s="4" t="inlineStr">
        <is>
          <t>C4</t>
        </is>
      </c>
      <c r="J155" s="6">
        <f>IF(ISNUMBER(G155),G155-F155,"")</f>
        <v/>
      </c>
    </row>
    <row r="156">
      <c r="A156" s="4" t="n">
        <v>2025</v>
      </c>
      <c r="B156" s="4" t="inlineStr">
        <is>
          <t>ccaa</t>
        </is>
      </c>
      <c r="C156" s="4" t="inlineStr">
        <is>
          <t>11</t>
        </is>
      </c>
      <c r="D156" s="4" t="inlineStr">
        <is>
          <t>tenencia_3</t>
        </is>
      </c>
      <c r="E156" s="4" t="n">
        <v>10.7758</v>
      </c>
      <c r="F156" s="4" t="n">
        <v>7.8969</v>
      </c>
      <c r="G156" s="4" t="n">
        <v>13.6546</v>
      </c>
      <c r="H156" s="4" t="n">
        <v>2382</v>
      </c>
      <c r="I156" s="4" t="inlineStr">
        <is>
          <t>C4</t>
        </is>
      </c>
      <c r="J156" s="6">
        <f>IF(ISNUMBER(G156),G156-F156,"")</f>
        <v/>
      </c>
    </row>
    <row r="157">
      <c r="A157" s="4" t="n">
        <v>2025</v>
      </c>
      <c r="B157" s="4" t="inlineStr">
        <is>
          <t>ccaa</t>
        </is>
      </c>
      <c r="C157" s="4" t="inlineStr">
        <is>
          <t>11</t>
        </is>
      </c>
      <c r="D157" s="4" t="inlineStr">
        <is>
          <t>tenencia_4</t>
        </is>
      </c>
      <c r="E157" s="4" t="n">
        <v>2.2571</v>
      </c>
      <c r="F157" s="4" t="n">
        <v>0.8938</v>
      </c>
      <c r="G157" s="4" t="n">
        <v>3.6205</v>
      </c>
      <c r="H157" s="4" t="n">
        <v>2382</v>
      </c>
      <c r="I157" s="4" t="inlineStr">
        <is>
          <t>C4</t>
        </is>
      </c>
      <c r="J157" s="6">
        <f>IF(ISNUMBER(G157),G157-F157,"")</f>
        <v/>
      </c>
    </row>
    <row r="158">
      <c r="A158" s="4" t="n">
        <v>2025</v>
      </c>
      <c r="B158" s="4" t="inlineStr">
        <is>
          <t>ccaa</t>
        </is>
      </c>
      <c r="C158" s="4" t="inlineStr">
        <is>
          <t>11</t>
        </is>
      </c>
      <c r="D158" s="4" t="inlineStr">
        <is>
          <t>tenencia_5</t>
        </is>
      </c>
      <c r="E158" s="4" t="n">
        <v>7.3584</v>
      </c>
      <c r="F158" s="4" t="n">
        <v>5.3038</v>
      </c>
      <c r="G158" s="4" t="n">
        <v>9.4131</v>
      </c>
      <c r="H158" s="4" t="n">
        <v>2382</v>
      </c>
      <c r="I158" s="4" t="inlineStr">
        <is>
          <t>C4</t>
        </is>
      </c>
      <c r="J158" s="6">
        <f>IF(ISNUMBER(G158),G158-F158,"")</f>
        <v/>
      </c>
    </row>
    <row r="159">
      <c r="A159" s="4" t="n">
        <v>2025</v>
      </c>
      <c r="B159" s="4" t="inlineStr">
        <is>
          <t>ccaa</t>
        </is>
      </c>
      <c r="C159" s="4" t="inlineStr">
        <is>
          <t>11</t>
        </is>
      </c>
      <c r="D159" s="4" t="inlineStr">
        <is>
          <t>esfuerzo_alquiler_mediana</t>
        </is>
      </c>
      <c r="E159" s="4" t="n">
        <v>17.6716</v>
      </c>
      <c r="F159" s="4" t="n">
        <v>12.6698</v>
      </c>
      <c r="G159" s="4" t="n">
        <v>23.7181</v>
      </c>
      <c r="H159" s="4" t="n">
        <v>240</v>
      </c>
      <c r="I159" s="4" t="inlineStr">
        <is>
          <t>C4</t>
        </is>
      </c>
      <c r="J159" s="6">
        <f>IF(ISNUMBER(G159),G159-F159,"")</f>
        <v/>
      </c>
    </row>
    <row r="160">
      <c r="A160" s="4" t="n">
        <v>2025</v>
      </c>
      <c r="B160" s="4" t="inlineStr">
        <is>
          <t>ccaa</t>
        </is>
      </c>
      <c r="C160" s="4" t="inlineStr">
        <is>
          <t>11</t>
        </is>
      </c>
      <c r="D160" s="4" t="inlineStr">
        <is>
          <t>esfuerzo_hipoteca_mediana</t>
        </is>
      </c>
      <c r="E160" s="4" t="n">
        <v>11.7894</v>
      </c>
      <c r="F160" s="4" t="n">
        <v>10.5773</v>
      </c>
      <c r="G160" s="4" t="n">
        <v>13.3683</v>
      </c>
      <c r="H160" s="4" t="n">
        <v>624</v>
      </c>
      <c r="I160" s="4" t="inlineStr">
        <is>
          <t>C4</t>
        </is>
      </c>
      <c r="J160" s="6">
        <f>IF(ISNUMBER(G160),G160-F160,"")</f>
        <v/>
      </c>
    </row>
    <row r="161">
      <c r="A161" s="4" t="n">
        <v>2025</v>
      </c>
      <c r="B161" s="4" t="inlineStr">
        <is>
          <t>ccaa</t>
        </is>
      </c>
      <c r="C161" s="4" t="inlineStr">
        <is>
          <t>12</t>
        </is>
      </c>
      <c r="D161" s="4" t="inlineStr">
        <is>
          <t>sobrecarga_30</t>
        </is>
      </c>
      <c r="E161" s="4" t="n">
        <v>7.9293</v>
      </c>
      <c r="F161" s="4" t="n">
        <v>6.1585</v>
      </c>
      <c r="G161" s="4" t="n">
        <v>9.700100000000001</v>
      </c>
      <c r="H161" s="4" t="n">
        <v>3861</v>
      </c>
      <c r="I161" s="4" t="inlineStr">
        <is>
          <t>C4</t>
        </is>
      </c>
      <c r="J161" s="6">
        <f>IF(ISNUMBER(G161),G161-F161,"")</f>
        <v/>
      </c>
    </row>
    <row r="162">
      <c r="A162" s="4" t="n">
        <v>2025</v>
      </c>
      <c r="B162" s="4" t="inlineStr">
        <is>
          <t>ccaa</t>
        </is>
      </c>
      <c r="C162" s="4" t="inlineStr">
        <is>
          <t>12</t>
        </is>
      </c>
      <c r="D162" s="4" t="inlineStr">
        <is>
          <t>sobrecarga_40</t>
        </is>
      </c>
      <c r="E162" s="4" t="n">
        <v>4.6954</v>
      </c>
      <c r="F162" s="4" t="n">
        <v>3.3197</v>
      </c>
      <c r="G162" s="4" t="n">
        <v>6.0712</v>
      </c>
      <c r="H162" s="4" t="n">
        <v>3861</v>
      </c>
      <c r="I162" s="4" t="inlineStr">
        <is>
          <t>C4</t>
        </is>
      </c>
      <c r="J162" s="6">
        <f>IF(ISNUMBER(G162),G162-F162,"")</f>
        <v/>
      </c>
    </row>
    <row r="163">
      <c r="A163" s="4" t="n">
        <v>2025</v>
      </c>
      <c r="B163" s="4" t="inlineStr">
        <is>
          <t>ccaa</t>
        </is>
      </c>
      <c r="C163" s="4" t="inlineStr">
        <is>
          <t>12</t>
        </is>
      </c>
      <c r="D163" s="4" t="inlineStr">
        <is>
          <t>esfuerzo_alquiler_30</t>
        </is>
      </c>
      <c r="E163" s="4" t="n">
        <v>27.272</v>
      </c>
      <c r="F163" s="4" t="n">
        <v>18.1308</v>
      </c>
      <c r="G163" s="4" t="n">
        <v>36.4133</v>
      </c>
      <c r="H163" s="4" t="n">
        <v>414</v>
      </c>
      <c r="I163" s="4" t="inlineStr">
        <is>
          <t>C4</t>
        </is>
      </c>
      <c r="J163" s="6">
        <f>IF(ISNUMBER(G163),G163-F163,"")</f>
        <v/>
      </c>
    </row>
    <row r="164">
      <c r="A164" s="4" t="n">
        <v>2025</v>
      </c>
      <c r="B164" s="4" t="inlineStr">
        <is>
          <t>ccaa</t>
        </is>
      </c>
      <c r="C164" s="4" t="inlineStr">
        <is>
          <t>12</t>
        </is>
      </c>
      <c r="D164" s="4" t="inlineStr">
        <is>
          <t>esfuerzo_alquiler_40</t>
        </is>
      </c>
      <c r="E164" s="4" t="n">
        <v>16.5078</v>
      </c>
      <c r="F164" s="4" t="n">
        <v>8.7148</v>
      </c>
      <c r="G164" s="4" t="n">
        <v>24.3007</v>
      </c>
      <c r="H164" s="4" t="n">
        <v>414</v>
      </c>
      <c r="I164" s="4" t="inlineStr">
        <is>
          <t>C4</t>
        </is>
      </c>
      <c r="J164" s="6">
        <f>IF(ISNUMBER(G164),G164-F164,"")</f>
        <v/>
      </c>
    </row>
    <row r="165">
      <c r="A165" s="4" t="n">
        <v>2025</v>
      </c>
      <c r="B165" s="4" t="inlineStr">
        <is>
          <t>ccaa</t>
        </is>
      </c>
      <c r="C165" s="4" t="inlineStr">
        <is>
          <t>12</t>
        </is>
      </c>
      <c r="D165" s="4" t="inlineStr">
        <is>
          <t>esfuerzo_hipoteca_30</t>
        </is>
      </c>
      <c r="E165" s="4" t="n">
        <v>4.2381</v>
      </c>
      <c r="F165" s="4" t="n">
        <v>1.9892</v>
      </c>
      <c r="G165" s="4" t="n">
        <v>6.487</v>
      </c>
      <c r="H165" s="4" t="n">
        <v>754</v>
      </c>
      <c r="I165" s="4" t="inlineStr">
        <is>
          <t>C4</t>
        </is>
      </c>
      <c r="J165" s="6">
        <f>IF(ISNUMBER(G165),G165-F165,"")</f>
        <v/>
      </c>
    </row>
    <row r="166">
      <c r="A166" s="4" t="n">
        <v>2025</v>
      </c>
      <c r="B166" s="4" t="inlineStr">
        <is>
          <t>ccaa</t>
        </is>
      </c>
      <c r="C166" s="4" t="inlineStr">
        <is>
          <t>12</t>
        </is>
      </c>
      <c r="D166" s="4" t="inlineStr">
        <is>
          <t>hacinamiento</t>
        </is>
      </c>
      <c r="E166" s="4" t="n">
        <v>5.6743</v>
      </c>
      <c r="F166" s="4" t="n">
        <v>3.3771</v>
      </c>
      <c r="G166" s="4" t="n">
        <v>7.9714</v>
      </c>
      <c r="H166" s="4" t="n">
        <v>3845</v>
      </c>
      <c r="I166" s="4" t="inlineStr">
        <is>
          <t>C4</t>
        </is>
      </c>
      <c r="J166" s="6">
        <f>IF(ISNUMBER(G166),G166-F166,"")</f>
        <v/>
      </c>
    </row>
    <row r="167">
      <c r="A167" s="4" t="n">
        <v>2025</v>
      </c>
      <c r="B167" s="4" t="inlineStr">
        <is>
          <t>ccaa</t>
        </is>
      </c>
      <c r="C167" s="4" t="inlineStr">
        <is>
          <t>12</t>
        </is>
      </c>
      <c r="D167" s="4" t="inlineStr">
        <is>
          <t>tenencia_1</t>
        </is>
      </c>
      <c r="E167" s="4" t="n">
        <v>54.1684</v>
      </c>
      <c r="F167" s="4" t="n">
        <v>50.5333</v>
      </c>
      <c r="G167" s="4" t="n">
        <v>57.8036</v>
      </c>
      <c r="H167" s="4" t="n">
        <v>3862</v>
      </c>
      <c r="I167" s="4" t="inlineStr">
        <is>
          <t>C4</t>
        </is>
      </c>
      <c r="J167" s="6">
        <f>IF(ISNUMBER(G167),G167-F167,"")</f>
        <v/>
      </c>
    </row>
    <row r="168">
      <c r="A168" s="4" t="n">
        <v>2025</v>
      </c>
      <c r="B168" s="4" t="inlineStr">
        <is>
          <t>ccaa</t>
        </is>
      </c>
      <c r="C168" s="4" t="inlineStr">
        <is>
          <t>12</t>
        </is>
      </c>
      <c r="D168" s="4" t="inlineStr">
        <is>
          <t>tenencia_2</t>
        </is>
      </c>
      <c r="E168" s="4" t="n">
        <v>21.4253</v>
      </c>
      <c r="F168" s="4" t="n">
        <v>17.8501</v>
      </c>
      <c r="G168" s="4" t="n">
        <v>25.0006</v>
      </c>
      <c r="H168" s="4" t="n">
        <v>3862</v>
      </c>
      <c r="I168" s="4" t="inlineStr">
        <is>
          <t>C4</t>
        </is>
      </c>
      <c r="J168" s="6">
        <f>IF(ISNUMBER(G168),G168-F168,"")</f>
        <v/>
      </c>
    </row>
    <row r="169">
      <c r="A169" s="4" t="n">
        <v>2025</v>
      </c>
      <c r="B169" s="4" t="inlineStr">
        <is>
          <t>ccaa</t>
        </is>
      </c>
      <c r="C169" s="4" t="inlineStr">
        <is>
          <t>12</t>
        </is>
      </c>
      <c r="D169" s="4" t="inlineStr">
        <is>
          <t>tenencia_3</t>
        </is>
      </c>
      <c r="E169" s="4" t="n">
        <v>13.0001</v>
      </c>
      <c r="F169" s="4" t="n">
        <v>10.3814</v>
      </c>
      <c r="G169" s="4" t="n">
        <v>15.6189</v>
      </c>
      <c r="H169" s="4" t="n">
        <v>3862</v>
      </c>
      <c r="I169" s="4" t="inlineStr">
        <is>
          <t>C4</t>
        </is>
      </c>
      <c r="J169" s="6">
        <f>IF(ISNUMBER(G169),G169-F169,"")</f>
        <v/>
      </c>
    </row>
    <row r="170">
      <c r="A170" s="4" t="n">
        <v>2025</v>
      </c>
      <c r="B170" s="4" t="inlineStr">
        <is>
          <t>ccaa</t>
        </is>
      </c>
      <c r="C170" s="4" t="inlineStr">
        <is>
          <t>12</t>
        </is>
      </c>
      <c r="D170" s="4" t="inlineStr">
        <is>
          <t>tenencia_4</t>
        </is>
      </c>
      <c r="E170" s="4" t="n">
        <v>2.2113</v>
      </c>
      <c r="F170" s="4" t="n">
        <v>1.1252</v>
      </c>
      <c r="G170" s="4" t="n">
        <v>3.2973</v>
      </c>
      <c r="H170" s="4" t="n">
        <v>3862</v>
      </c>
      <c r="I170" s="4" t="inlineStr">
        <is>
          <t>C4</t>
        </is>
      </c>
      <c r="J170" s="6">
        <f>IF(ISNUMBER(G170),G170-F170,"")</f>
        <v/>
      </c>
    </row>
    <row r="171">
      <c r="A171" s="4" t="n">
        <v>2025</v>
      </c>
      <c r="B171" s="4" t="inlineStr">
        <is>
          <t>ccaa</t>
        </is>
      </c>
      <c r="C171" s="4" t="inlineStr">
        <is>
          <t>12</t>
        </is>
      </c>
      <c r="D171" s="4" t="inlineStr">
        <is>
          <t>tenencia_5</t>
        </is>
      </c>
      <c r="E171" s="4" t="n">
        <v>9.194800000000001</v>
      </c>
      <c r="F171" s="4" t="n">
        <v>7.5324</v>
      </c>
      <c r="G171" s="4" t="n">
        <v>10.8572</v>
      </c>
      <c r="H171" s="4" t="n">
        <v>3862</v>
      </c>
      <c r="I171" s="4" t="inlineStr">
        <is>
          <t>C4</t>
        </is>
      </c>
      <c r="J171" s="6">
        <f>IF(ISNUMBER(G171),G171-F171,"")</f>
        <v/>
      </c>
    </row>
    <row r="172">
      <c r="A172" s="4" t="n">
        <v>2025</v>
      </c>
      <c r="B172" s="4" t="inlineStr">
        <is>
          <t>ccaa</t>
        </is>
      </c>
      <c r="C172" s="4" t="inlineStr">
        <is>
          <t>12</t>
        </is>
      </c>
      <c r="D172" s="4" t="inlineStr">
        <is>
          <t>esfuerzo_alquiler_mediana</t>
        </is>
      </c>
      <c r="E172" s="4" t="n">
        <v>19.2016</v>
      </c>
      <c r="F172" s="4" t="n">
        <v>15.7895</v>
      </c>
      <c r="G172" s="4" t="n">
        <v>24.316</v>
      </c>
      <c r="H172" s="4" t="n">
        <v>414</v>
      </c>
      <c r="I172" s="4" t="inlineStr">
        <is>
          <t>C4</t>
        </is>
      </c>
      <c r="J172" s="6">
        <f>IF(ISNUMBER(G172),G172-F172,"")</f>
        <v/>
      </c>
    </row>
    <row r="173">
      <c r="A173" s="4" t="n">
        <v>2025</v>
      </c>
      <c r="B173" s="4" t="inlineStr">
        <is>
          <t>ccaa</t>
        </is>
      </c>
      <c r="C173" s="4" t="inlineStr">
        <is>
          <t>12</t>
        </is>
      </c>
      <c r="D173" s="4" t="inlineStr">
        <is>
          <t>esfuerzo_hipoteca_mediana</t>
        </is>
      </c>
      <c r="E173" s="4" t="n">
        <v>11.5832</v>
      </c>
      <c r="F173" s="4" t="n">
        <v>9.6539</v>
      </c>
      <c r="G173" s="4" t="n">
        <v>13.2404</v>
      </c>
      <c r="H173" s="4" t="n">
        <v>754</v>
      </c>
      <c r="I173" s="4" t="inlineStr">
        <is>
          <t>C4</t>
        </is>
      </c>
      <c r="J173" s="6">
        <f>IF(ISNUMBER(G173),G173-F173,"")</f>
        <v/>
      </c>
    </row>
    <row r="174">
      <c r="A174" s="4" t="n">
        <v>2025</v>
      </c>
      <c r="B174" s="4" t="inlineStr">
        <is>
          <t>ccaa</t>
        </is>
      </c>
      <c r="C174" s="4" t="inlineStr">
        <is>
          <t>13</t>
        </is>
      </c>
      <c r="D174" s="4" t="inlineStr">
        <is>
          <t>sobrecarga_30</t>
        </is>
      </c>
      <c r="E174" s="4" t="n">
        <v>16.0338</v>
      </c>
      <c r="F174" s="4" t="n">
        <v>13.6815</v>
      </c>
      <c r="G174" s="4" t="n">
        <v>18.3861</v>
      </c>
      <c r="H174" s="4" t="n">
        <v>7089</v>
      </c>
      <c r="I174" s="4" t="inlineStr">
        <is>
          <t>C4</t>
        </is>
      </c>
      <c r="J174" s="6">
        <f>IF(ISNUMBER(G174),G174-F174,"")</f>
        <v/>
      </c>
    </row>
    <row r="175">
      <c r="A175" s="4" t="n">
        <v>2025</v>
      </c>
      <c r="B175" s="4" t="inlineStr">
        <is>
          <t>ccaa</t>
        </is>
      </c>
      <c r="C175" s="4" t="inlineStr">
        <is>
          <t>13</t>
        </is>
      </c>
      <c r="D175" s="4" t="inlineStr">
        <is>
          <t>sobrecarga_40</t>
        </is>
      </c>
      <c r="E175" s="4" t="n">
        <v>9.904999999999999</v>
      </c>
      <c r="F175" s="4" t="n">
        <v>7.9007</v>
      </c>
      <c r="G175" s="4" t="n">
        <v>11.9094</v>
      </c>
      <c r="H175" s="4" t="n">
        <v>7089</v>
      </c>
      <c r="I175" s="4" t="inlineStr">
        <is>
          <t>C4</t>
        </is>
      </c>
      <c r="J175" s="6">
        <f>IF(ISNUMBER(G175),G175-F175,"")</f>
        <v/>
      </c>
    </row>
    <row r="176">
      <c r="A176" s="4" t="n">
        <v>2025</v>
      </c>
      <c r="B176" s="4" t="inlineStr">
        <is>
          <t>ccaa</t>
        </is>
      </c>
      <c r="C176" s="4" t="inlineStr">
        <is>
          <t>13</t>
        </is>
      </c>
      <c r="D176" s="4" t="inlineStr">
        <is>
          <t>esfuerzo_alquiler_30</t>
        </is>
      </c>
      <c r="E176" s="4" t="n">
        <v>34.199</v>
      </c>
      <c r="F176" s="4" t="n">
        <v>26.5995</v>
      </c>
      <c r="G176" s="4" t="n">
        <v>41.7985</v>
      </c>
      <c r="H176" s="4" t="n">
        <v>1133</v>
      </c>
      <c r="I176" s="4" t="inlineStr">
        <is>
          <t>C4</t>
        </is>
      </c>
      <c r="J176" s="6">
        <f>IF(ISNUMBER(G176),G176-F176,"")</f>
        <v/>
      </c>
    </row>
    <row r="177">
      <c r="A177" s="4" t="n">
        <v>2025</v>
      </c>
      <c r="B177" s="4" t="inlineStr">
        <is>
          <t>ccaa</t>
        </is>
      </c>
      <c r="C177" s="4" t="inlineStr">
        <is>
          <t>13</t>
        </is>
      </c>
      <c r="D177" s="4" t="inlineStr">
        <is>
          <t>esfuerzo_alquiler_40</t>
        </is>
      </c>
      <c r="E177" s="4" t="n">
        <v>21.9473</v>
      </c>
      <c r="F177" s="4" t="n">
        <v>15.4587</v>
      </c>
      <c r="G177" s="4" t="n">
        <v>28.4358</v>
      </c>
      <c r="H177" s="4" t="n">
        <v>1133</v>
      </c>
      <c r="I177" s="4" t="inlineStr">
        <is>
          <t>C4</t>
        </is>
      </c>
      <c r="J177" s="6">
        <f>IF(ISNUMBER(G177),G177-F177,"")</f>
        <v/>
      </c>
    </row>
    <row r="178">
      <c r="A178" s="4" t="n">
        <v>2025</v>
      </c>
      <c r="B178" s="4" t="inlineStr">
        <is>
          <t>ccaa</t>
        </is>
      </c>
      <c r="C178" s="4" t="inlineStr">
        <is>
          <t>13</t>
        </is>
      </c>
      <c r="D178" s="4" t="inlineStr">
        <is>
          <t>esfuerzo_hipoteca_30</t>
        </is>
      </c>
      <c r="E178" s="4" t="n">
        <v>8.799899999999999</v>
      </c>
      <c r="F178" s="4" t="n">
        <v>6.2657</v>
      </c>
      <c r="G178" s="4" t="n">
        <v>11.334</v>
      </c>
      <c r="H178" s="4" t="n">
        <v>2156</v>
      </c>
      <c r="I178" s="4" t="inlineStr">
        <is>
          <t>C4</t>
        </is>
      </c>
      <c r="J178" s="6">
        <f>IF(ISNUMBER(G178),G178-F178,"")</f>
        <v/>
      </c>
    </row>
    <row r="179">
      <c r="A179" s="4" t="n">
        <v>2025</v>
      </c>
      <c r="B179" s="4" t="inlineStr">
        <is>
          <t>ccaa</t>
        </is>
      </c>
      <c r="C179" s="4" t="inlineStr">
        <is>
          <t>13</t>
        </is>
      </c>
      <c r="D179" s="4" t="inlineStr">
        <is>
          <t>hacinamiento</t>
        </is>
      </c>
      <c r="E179" s="4" t="n">
        <v>10.2702</v>
      </c>
      <c r="F179" s="4" t="n">
        <v>7.452</v>
      </c>
      <c r="G179" s="4" t="n">
        <v>13.0884</v>
      </c>
      <c r="H179" s="4" t="n">
        <v>7116</v>
      </c>
      <c r="I179" s="4" t="inlineStr">
        <is>
          <t>C4</t>
        </is>
      </c>
      <c r="J179" s="6">
        <f>IF(ISNUMBER(G179),G179-F179,"")</f>
        <v/>
      </c>
    </row>
    <row r="180">
      <c r="A180" s="4" t="n">
        <v>2025</v>
      </c>
      <c r="B180" s="4" t="inlineStr">
        <is>
          <t>ccaa</t>
        </is>
      </c>
      <c r="C180" s="4" t="inlineStr">
        <is>
          <t>13</t>
        </is>
      </c>
      <c r="D180" s="4" t="inlineStr">
        <is>
          <t>tenencia_1</t>
        </is>
      </c>
      <c r="E180" s="4" t="n">
        <v>39.6612</v>
      </c>
      <c r="F180" s="4" t="n">
        <v>36.9875</v>
      </c>
      <c r="G180" s="4" t="n">
        <v>42.3349</v>
      </c>
      <c r="H180" s="4" t="n">
        <v>7135</v>
      </c>
      <c r="I180" s="4" t="inlineStr">
        <is>
          <t>C4</t>
        </is>
      </c>
      <c r="J180" s="6">
        <f>IF(ISNUMBER(G180),G180-F180,"")</f>
        <v/>
      </c>
    </row>
    <row r="181">
      <c r="A181" s="4" t="n">
        <v>2025</v>
      </c>
      <c r="B181" s="4" t="inlineStr">
        <is>
          <t>ccaa</t>
        </is>
      </c>
      <c r="C181" s="4" t="inlineStr">
        <is>
          <t>13</t>
        </is>
      </c>
      <c r="D181" s="4" t="inlineStr">
        <is>
          <t>tenencia_2</t>
        </is>
      </c>
      <c r="E181" s="4" t="n">
        <v>28.7324</v>
      </c>
      <c r="F181" s="4" t="n">
        <v>26.3038</v>
      </c>
      <c r="G181" s="4" t="n">
        <v>31.161</v>
      </c>
      <c r="H181" s="4" t="n">
        <v>7135</v>
      </c>
      <c r="I181" s="4" t="inlineStr">
        <is>
          <t>C4</t>
        </is>
      </c>
      <c r="J181" s="6">
        <f>IF(ISNUMBER(G181),G181-F181,"")</f>
        <v/>
      </c>
    </row>
    <row r="182">
      <c r="A182" s="4" t="n">
        <v>2025</v>
      </c>
      <c r="B182" s="4" t="inlineStr">
        <is>
          <t>ccaa</t>
        </is>
      </c>
      <c r="C182" s="4" t="inlineStr">
        <is>
          <t>13</t>
        </is>
      </c>
      <c r="D182" s="4" t="inlineStr">
        <is>
          <t>tenencia_3</t>
        </is>
      </c>
      <c r="E182" s="4" t="n">
        <v>24.1016</v>
      </c>
      <c r="F182" s="4" t="n">
        <v>20.8068</v>
      </c>
      <c r="G182" s="4" t="n">
        <v>27.3964</v>
      </c>
      <c r="H182" s="4" t="n">
        <v>7135</v>
      </c>
      <c r="I182" s="4" t="inlineStr">
        <is>
          <t>C4</t>
        </is>
      </c>
      <c r="J182" s="6">
        <f>IF(ISNUMBER(G182),G182-F182,"")</f>
        <v/>
      </c>
    </row>
    <row r="183">
      <c r="A183" s="4" t="n">
        <v>2025</v>
      </c>
      <c r="B183" s="4" t="inlineStr">
        <is>
          <t>ccaa</t>
        </is>
      </c>
      <c r="C183" s="4" t="inlineStr">
        <is>
          <t>13</t>
        </is>
      </c>
      <c r="D183" s="4" t="inlineStr">
        <is>
          <t>tenencia_4</t>
        </is>
      </c>
      <c r="E183" s="4" t="n">
        <v>4.0726</v>
      </c>
      <c r="F183" s="4" t="n">
        <v>3.026</v>
      </c>
      <c r="G183" s="4" t="n">
        <v>5.1192</v>
      </c>
      <c r="H183" s="4" t="n">
        <v>7135</v>
      </c>
      <c r="I183" s="4" t="inlineStr">
        <is>
          <t>C4</t>
        </is>
      </c>
      <c r="J183" s="6">
        <f>IF(ISNUMBER(G183),G183-F183,"")</f>
        <v/>
      </c>
    </row>
    <row r="184">
      <c r="A184" s="4" t="n">
        <v>2025</v>
      </c>
      <c r="B184" s="4" t="inlineStr">
        <is>
          <t>ccaa</t>
        </is>
      </c>
      <c r="C184" s="4" t="inlineStr">
        <is>
          <t>13</t>
        </is>
      </c>
      <c r="D184" s="4" t="inlineStr">
        <is>
          <t>tenencia_5</t>
        </is>
      </c>
      <c r="E184" s="4" t="n">
        <v>3.4323</v>
      </c>
      <c r="F184" s="4" t="n">
        <v>2.4811</v>
      </c>
      <c r="G184" s="4" t="n">
        <v>4.3834</v>
      </c>
      <c r="H184" s="4" t="n">
        <v>7135</v>
      </c>
      <c r="I184" s="4" t="inlineStr">
        <is>
          <t>C4</t>
        </is>
      </c>
      <c r="J184" s="6">
        <f>IF(ISNUMBER(G184),G184-F184,"")</f>
        <v/>
      </c>
    </row>
    <row r="185">
      <c r="A185" s="4" t="n">
        <v>2025</v>
      </c>
      <c r="B185" s="4" t="inlineStr">
        <is>
          <t>ccaa</t>
        </is>
      </c>
      <c r="C185" s="4" t="inlineStr">
        <is>
          <t>13</t>
        </is>
      </c>
      <c r="D185" s="4" t="inlineStr">
        <is>
          <t>esfuerzo_alquiler_mediana</t>
        </is>
      </c>
      <c r="E185" s="4" t="n">
        <v>24.307</v>
      </c>
      <c r="F185" s="4" t="n">
        <v>22.8688</v>
      </c>
      <c r="G185" s="4" t="n">
        <v>27.0136</v>
      </c>
      <c r="H185" s="4" t="n">
        <v>1133</v>
      </c>
      <c r="I185" s="4" t="inlineStr">
        <is>
          <t>C4</t>
        </is>
      </c>
      <c r="J185" s="6">
        <f>IF(ISNUMBER(G185),G185-F185,"")</f>
        <v/>
      </c>
    </row>
    <row r="186">
      <c r="A186" s="4" t="n">
        <v>2025</v>
      </c>
      <c r="B186" s="4" t="inlineStr">
        <is>
          <t>ccaa</t>
        </is>
      </c>
      <c r="C186" s="4" t="inlineStr">
        <is>
          <t>13</t>
        </is>
      </c>
      <c r="D186" s="4" t="inlineStr">
        <is>
          <t>esfuerzo_hipoteca_mediana</t>
        </is>
      </c>
      <c r="E186" s="4" t="n">
        <v>15.2198</v>
      </c>
      <c r="F186" s="4" t="n">
        <v>14.0826</v>
      </c>
      <c r="G186" s="4" t="n">
        <v>16.2709</v>
      </c>
      <c r="H186" s="4" t="n">
        <v>2156</v>
      </c>
      <c r="I186" s="4" t="inlineStr">
        <is>
          <t>C4</t>
        </is>
      </c>
      <c r="J186" s="6">
        <f>IF(ISNUMBER(G186),G186-F186,"")</f>
        <v/>
      </c>
    </row>
    <row r="187">
      <c r="A187" s="4" t="n">
        <v>2025</v>
      </c>
      <c r="B187" s="4" t="inlineStr">
        <is>
          <t>ccaa</t>
        </is>
      </c>
      <c r="C187" s="4" t="inlineStr">
        <is>
          <t>14</t>
        </is>
      </c>
      <c r="D187" s="4" t="inlineStr">
        <is>
          <t>sobrecarga_30</t>
        </is>
      </c>
      <c r="E187" s="4" t="n">
        <v>11.0947</v>
      </c>
      <c r="F187" s="4" t="n">
        <v>8.4124</v>
      </c>
      <c r="G187" s="4" t="n">
        <v>13.777</v>
      </c>
      <c r="H187" s="4" t="n">
        <v>3014</v>
      </c>
      <c r="I187" s="4" t="inlineStr">
        <is>
          <t>C4</t>
        </is>
      </c>
      <c r="J187" s="6">
        <f>IF(ISNUMBER(G187),G187-F187,"")</f>
        <v/>
      </c>
    </row>
    <row r="188">
      <c r="A188" s="4" t="n">
        <v>2025</v>
      </c>
      <c r="B188" s="4" t="inlineStr">
        <is>
          <t>ccaa</t>
        </is>
      </c>
      <c r="C188" s="4" t="inlineStr">
        <is>
          <t>14</t>
        </is>
      </c>
      <c r="D188" s="4" t="inlineStr">
        <is>
          <t>sobrecarga_40</t>
        </is>
      </c>
      <c r="E188" s="4" t="n">
        <v>6.7696</v>
      </c>
      <c r="F188" s="4" t="n">
        <v>4.5981</v>
      </c>
      <c r="G188" s="4" t="n">
        <v>8.9411</v>
      </c>
      <c r="H188" s="4" t="n">
        <v>3014</v>
      </c>
      <c r="I188" s="4" t="inlineStr">
        <is>
          <t>C4</t>
        </is>
      </c>
      <c r="J188" s="6">
        <f>IF(ISNUMBER(G188),G188-F188,"")</f>
        <v/>
      </c>
    </row>
    <row r="189">
      <c r="A189" s="4" t="n">
        <v>2025</v>
      </c>
      <c r="B189" s="4" t="inlineStr">
        <is>
          <t>ccaa</t>
        </is>
      </c>
      <c r="C189" s="4" t="inlineStr">
        <is>
          <t>14</t>
        </is>
      </c>
      <c r="D189" s="4" t="inlineStr">
        <is>
          <t>esfuerzo_alquiler_30</t>
        </is>
      </c>
      <c r="E189" s="4" t="n">
        <v>22.6101</v>
      </c>
      <c r="F189" s="4" t="n">
        <v>13.1167</v>
      </c>
      <c r="G189" s="4" t="n">
        <v>32.1035</v>
      </c>
      <c r="H189" s="4" t="n">
        <v>374</v>
      </c>
      <c r="I189" s="4" t="inlineStr">
        <is>
          <t>C4</t>
        </is>
      </c>
      <c r="J189" s="6">
        <f>IF(ISNUMBER(G189),G189-F189,"")</f>
        <v/>
      </c>
    </row>
    <row r="190">
      <c r="A190" s="4" t="n">
        <v>2025</v>
      </c>
      <c r="B190" s="4" t="inlineStr">
        <is>
          <t>ccaa</t>
        </is>
      </c>
      <c r="C190" s="4" t="inlineStr">
        <is>
          <t>14</t>
        </is>
      </c>
      <c r="D190" s="4" t="inlineStr">
        <is>
          <t>esfuerzo_alquiler_40</t>
        </is>
      </c>
      <c r="E190" s="4" t="n">
        <v>9.882099999999999</v>
      </c>
      <c r="F190" s="4" t="n">
        <v>3.3155</v>
      </c>
      <c r="G190" s="4" t="n">
        <v>16.4486</v>
      </c>
      <c r="H190" s="4" t="n">
        <v>374</v>
      </c>
      <c r="I190" s="4" t="inlineStr">
        <is>
          <t>C4</t>
        </is>
      </c>
      <c r="J190" s="6">
        <f>IF(ISNUMBER(G190),G190-F190,"")</f>
        <v/>
      </c>
    </row>
    <row r="191">
      <c r="A191" s="4" t="n">
        <v>2025</v>
      </c>
      <c r="B191" s="4" t="inlineStr">
        <is>
          <t>ccaa</t>
        </is>
      </c>
      <c r="C191" s="4" t="inlineStr">
        <is>
          <t>14</t>
        </is>
      </c>
      <c r="D191" s="4" t="inlineStr">
        <is>
          <t>esfuerzo_hipoteca_30</t>
        </is>
      </c>
      <c r="E191" s="4" t="n">
        <v>8.5373</v>
      </c>
      <c r="F191" s="4" t="n">
        <v>4.9149</v>
      </c>
      <c r="G191" s="4" t="n">
        <v>12.1598</v>
      </c>
      <c r="H191" s="4" t="n">
        <v>857</v>
      </c>
      <c r="I191" s="4" t="inlineStr">
        <is>
          <t>C4</t>
        </is>
      </c>
      <c r="J191" s="6">
        <f>IF(ISNUMBER(G191),G191-F191,"")</f>
        <v/>
      </c>
    </row>
    <row r="192">
      <c r="A192" s="4" t="n">
        <v>2025</v>
      </c>
      <c r="B192" s="4" t="inlineStr">
        <is>
          <t>ccaa</t>
        </is>
      </c>
      <c r="C192" s="4" t="inlineStr">
        <is>
          <t>14</t>
        </is>
      </c>
      <c r="D192" s="4" t="inlineStr">
        <is>
          <t>hacinamiento</t>
        </is>
      </c>
      <c r="E192" s="4" t="n">
        <v>8.916</v>
      </c>
      <c r="F192" s="4" t="n">
        <v>5.2815</v>
      </c>
      <c r="G192" s="4" t="n">
        <v>12.5504</v>
      </c>
      <c r="H192" s="4" t="n">
        <v>3019</v>
      </c>
      <c r="I192" s="4" t="inlineStr">
        <is>
          <t>C4</t>
        </is>
      </c>
      <c r="J192" s="6">
        <f>IF(ISNUMBER(G192),G192-F192,"")</f>
        <v/>
      </c>
    </row>
    <row r="193">
      <c r="A193" s="4" t="n">
        <v>2025</v>
      </c>
      <c r="B193" s="4" t="inlineStr">
        <is>
          <t>ccaa</t>
        </is>
      </c>
      <c r="C193" s="4" t="inlineStr">
        <is>
          <t>14</t>
        </is>
      </c>
      <c r="D193" s="4" t="inlineStr">
        <is>
          <t>tenencia_1</t>
        </is>
      </c>
      <c r="E193" s="4" t="n">
        <v>47.7104</v>
      </c>
      <c r="F193" s="4" t="n">
        <v>43.4417</v>
      </c>
      <c r="G193" s="4" t="n">
        <v>51.9791</v>
      </c>
      <c r="H193" s="4" t="n">
        <v>3021</v>
      </c>
      <c r="I193" s="4" t="inlineStr">
        <is>
          <t>C4</t>
        </is>
      </c>
      <c r="J193" s="6">
        <f>IF(ISNUMBER(G193),G193-F193,"")</f>
        <v/>
      </c>
    </row>
    <row r="194">
      <c r="A194" s="4" t="n">
        <v>2025</v>
      </c>
      <c r="B194" s="4" t="inlineStr">
        <is>
          <t>ccaa</t>
        </is>
      </c>
      <c r="C194" s="4" t="inlineStr">
        <is>
          <t>14</t>
        </is>
      </c>
      <c r="D194" s="4" t="inlineStr">
        <is>
          <t>tenencia_2</t>
        </is>
      </c>
      <c r="E194" s="4" t="n">
        <v>28.8417</v>
      </c>
      <c r="F194" s="4" t="n">
        <v>24.9211</v>
      </c>
      <c r="G194" s="4" t="n">
        <v>32.7623</v>
      </c>
      <c r="H194" s="4" t="n">
        <v>3021</v>
      </c>
      <c r="I194" s="4" t="inlineStr">
        <is>
          <t>C4</t>
        </is>
      </c>
      <c r="J194" s="6">
        <f>IF(ISNUMBER(G194),G194-F194,"")</f>
        <v/>
      </c>
    </row>
    <row r="195">
      <c r="A195" s="4" t="n">
        <v>2025</v>
      </c>
      <c r="B195" s="4" t="inlineStr">
        <is>
          <t>ccaa</t>
        </is>
      </c>
      <c r="C195" s="4" t="inlineStr">
        <is>
          <t>14</t>
        </is>
      </c>
      <c r="D195" s="4" t="inlineStr">
        <is>
          <t>tenencia_3</t>
        </is>
      </c>
      <c r="E195" s="4" t="n">
        <v>16.7521</v>
      </c>
      <c r="F195" s="4" t="n">
        <v>13.4539</v>
      </c>
      <c r="G195" s="4" t="n">
        <v>20.0503</v>
      </c>
      <c r="H195" s="4" t="n">
        <v>3021</v>
      </c>
      <c r="I195" s="4" t="inlineStr">
        <is>
          <t>C4</t>
        </is>
      </c>
      <c r="J195" s="6">
        <f>IF(ISNUMBER(G195),G195-F195,"")</f>
        <v/>
      </c>
    </row>
    <row r="196">
      <c r="A196" s="4" t="n">
        <v>2025</v>
      </c>
      <c r="B196" s="4" t="inlineStr">
        <is>
          <t>ccaa</t>
        </is>
      </c>
      <c r="C196" s="4" t="inlineStr">
        <is>
          <t>14</t>
        </is>
      </c>
      <c r="D196" s="4" t="inlineStr">
        <is>
          <t>tenencia_4</t>
        </is>
      </c>
      <c r="E196" s="4" t="n">
        <v>1.6729</v>
      </c>
      <c r="F196" s="4" t="n">
        <v>0.6706</v>
      </c>
      <c r="G196" s="4" t="n">
        <v>2.6753</v>
      </c>
      <c r="H196" s="4" t="n">
        <v>3021</v>
      </c>
      <c r="I196" s="4" t="inlineStr">
        <is>
          <t>C4</t>
        </is>
      </c>
      <c r="J196" s="6">
        <f>IF(ISNUMBER(G196),G196-F196,"")</f>
        <v/>
      </c>
    </row>
    <row r="197">
      <c r="A197" s="4" t="n">
        <v>2025</v>
      </c>
      <c r="B197" s="4" t="inlineStr">
        <is>
          <t>ccaa</t>
        </is>
      </c>
      <c r="C197" s="4" t="inlineStr">
        <is>
          <t>14</t>
        </is>
      </c>
      <c r="D197" s="4" t="inlineStr">
        <is>
          <t>tenencia_5</t>
        </is>
      </c>
      <c r="E197" s="4" t="n">
        <v>5.0229</v>
      </c>
      <c r="F197" s="4" t="n">
        <v>3.4038</v>
      </c>
      <c r="G197" s="4" t="n">
        <v>6.6421</v>
      </c>
      <c r="H197" s="4" t="n">
        <v>3021</v>
      </c>
      <c r="I197" s="4" t="inlineStr">
        <is>
          <t>C4</t>
        </is>
      </c>
      <c r="J197" s="6">
        <f>IF(ISNUMBER(G197),G197-F197,"")</f>
        <v/>
      </c>
    </row>
    <row r="198">
      <c r="A198" s="4" t="n">
        <v>2025</v>
      </c>
      <c r="B198" s="4" t="inlineStr">
        <is>
          <t>ccaa</t>
        </is>
      </c>
      <c r="C198" s="4" t="inlineStr">
        <is>
          <t>14</t>
        </is>
      </c>
      <c r="D198" s="4" t="inlineStr">
        <is>
          <t>esfuerzo_alquiler_mediana</t>
        </is>
      </c>
      <c r="E198" s="4" t="n">
        <v>20.2111</v>
      </c>
      <c r="F198" s="4" t="n">
        <v>17.3367</v>
      </c>
      <c r="G198" s="4" t="n">
        <v>22.6021</v>
      </c>
      <c r="H198" s="4" t="n">
        <v>374</v>
      </c>
      <c r="I198" s="4" t="inlineStr">
        <is>
          <t>C4</t>
        </is>
      </c>
      <c r="J198" s="6">
        <f>IF(ISNUMBER(G198),G198-F198,"")</f>
        <v/>
      </c>
    </row>
    <row r="199">
      <c r="A199" s="4" t="n">
        <v>2025</v>
      </c>
      <c r="B199" s="4" t="inlineStr">
        <is>
          <t>ccaa</t>
        </is>
      </c>
      <c r="C199" s="4" t="inlineStr">
        <is>
          <t>14</t>
        </is>
      </c>
      <c r="D199" s="4" t="inlineStr">
        <is>
          <t>esfuerzo_hipoteca_mediana</t>
        </is>
      </c>
      <c r="E199" s="4" t="n">
        <v>13.2059</v>
      </c>
      <c r="F199" s="4" t="n">
        <v>12.0052</v>
      </c>
      <c r="G199" s="4" t="n">
        <v>14.9686</v>
      </c>
      <c r="H199" s="4" t="n">
        <v>857</v>
      </c>
      <c r="I199" s="4" t="inlineStr">
        <is>
          <t>C4</t>
        </is>
      </c>
      <c r="J199" s="6">
        <f>IF(ISNUMBER(G199),G199-F199,"")</f>
        <v/>
      </c>
    </row>
    <row r="200">
      <c r="A200" s="4" t="n">
        <v>2025</v>
      </c>
      <c r="B200" s="4" t="inlineStr">
        <is>
          <t>ccaa</t>
        </is>
      </c>
      <c r="C200" s="4" t="inlineStr">
        <is>
          <t>15</t>
        </is>
      </c>
      <c r="D200" s="4" t="inlineStr">
        <is>
          <t>sobrecarga_30</t>
        </is>
      </c>
      <c r="E200" s="4" t="n">
        <v>8.4016</v>
      </c>
      <c r="F200" s="4" t="n">
        <v>4.4085</v>
      </c>
      <c r="G200" s="4" t="n">
        <v>12.3947</v>
      </c>
      <c r="H200" s="4" t="n">
        <v>1965</v>
      </c>
      <c r="I200" s="4" t="inlineStr">
        <is>
          <t>C4</t>
        </is>
      </c>
      <c r="J200" s="6">
        <f>IF(ISNUMBER(G200),G200-F200,"")</f>
        <v/>
      </c>
    </row>
    <row r="201">
      <c r="A201" s="4" t="n">
        <v>2025</v>
      </c>
      <c r="B201" s="4" t="inlineStr">
        <is>
          <t>ccaa</t>
        </is>
      </c>
      <c r="C201" s="4" t="inlineStr">
        <is>
          <t>15</t>
        </is>
      </c>
      <c r="D201" s="4" t="inlineStr">
        <is>
          <t>sobrecarga_40</t>
        </is>
      </c>
      <c r="E201" s="4" t="n">
        <v>3.4782</v>
      </c>
      <c r="F201" s="4" t="n">
        <v>2.0938</v>
      </c>
      <c r="G201" s="4" t="n">
        <v>4.8625</v>
      </c>
      <c r="H201" s="4" t="n">
        <v>1965</v>
      </c>
      <c r="I201" s="4" t="inlineStr">
        <is>
          <t>C4</t>
        </is>
      </c>
      <c r="J201" s="6">
        <f>IF(ISNUMBER(G201),G201-F201,"")</f>
        <v/>
      </c>
    </row>
    <row r="202">
      <c r="A202" s="4" t="n">
        <v>2025</v>
      </c>
      <c r="B202" s="4" t="inlineStr">
        <is>
          <t>ccaa</t>
        </is>
      </c>
      <c r="C202" s="4" t="inlineStr">
        <is>
          <t>15</t>
        </is>
      </c>
      <c r="D202" s="4" t="inlineStr">
        <is>
          <t>esfuerzo_alquiler_30</t>
        </is>
      </c>
      <c r="E202" s="4" t="n">
        <v>21.9727</v>
      </c>
      <c r="F202" s="4" t="n">
        <v>10.1552</v>
      </c>
      <c r="G202" s="4" t="n">
        <v>33.7902</v>
      </c>
      <c r="H202" s="4" t="n">
        <v>175</v>
      </c>
      <c r="I202" s="4" t="inlineStr">
        <is>
          <t>C4</t>
        </is>
      </c>
      <c r="J202" s="6">
        <f>IF(ISNUMBER(G202),G202-F202,"")</f>
        <v/>
      </c>
    </row>
    <row r="203">
      <c r="A203" s="4" t="n">
        <v>2025</v>
      </c>
      <c r="B203" s="4" t="inlineStr">
        <is>
          <t>ccaa</t>
        </is>
      </c>
      <c r="C203" s="4" t="inlineStr">
        <is>
          <t>15</t>
        </is>
      </c>
      <c r="D203" s="4" t="inlineStr">
        <is>
          <t>esfuerzo_alquiler_40</t>
        </is>
      </c>
      <c r="E203" s="4" t="n">
        <v>10.6124</v>
      </c>
      <c r="F203" s="4" t="n">
        <v>2.5272</v>
      </c>
      <c r="G203" s="4" t="n">
        <v>18.6975</v>
      </c>
      <c r="H203" s="4" t="n">
        <v>175</v>
      </c>
      <c r="I203" s="4" t="inlineStr">
        <is>
          <t>C4</t>
        </is>
      </c>
      <c r="J203" s="6">
        <f>IF(ISNUMBER(G203),G203-F203,"")</f>
        <v/>
      </c>
    </row>
    <row r="204">
      <c r="A204" s="4" t="n">
        <v>2025</v>
      </c>
      <c r="B204" s="4" t="inlineStr">
        <is>
          <t>ccaa</t>
        </is>
      </c>
      <c r="C204" s="4" t="inlineStr">
        <is>
          <t>15</t>
        </is>
      </c>
      <c r="D204" s="4" t="inlineStr">
        <is>
          <t>esfuerzo_hipoteca_30</t>
        </is>
      </c>
      <c r="E204" s="4" t="n">
        <v>4.0097</v>
      </c>
      <c r="F204" s="4" t="n">
        <v>1.0372</v>
      </c>
      <c r="G204" s="4" t="n">
        <v>6.9821</v>
      </c>
      <c r="H204" s="4" t="n">
        <v>570</v>
      </c>
      <c r="I204" s="4" t="inlineStr">
        <is>
          <t>C4</t>
        </is>
      </c>
      <c r="J204" s="6">
        <f>IF(ISNUMBER(G204),G204-F204,"")</f>
        <v/>
      </c>
    </row>
    <row r="205">
      <c r="A205" s="4" t="n">
        <v>2025</v>
      </c>
      <c r="B205" s="4" t="inlineStr">
        <is>
          <t>ccaa</t>
        </is>
      </c>
      <c r="C205" s="4" t="inlineStr">
        <is>
          <t>15</t>
        </is>
      </c>
      <c r="D205" s="4" t="inlineStr">
        <is>
          <t>hacinamiento</t>
        </is>
      </c>
      <c r="E205" s="4" t="n">
        <v>6.1275</v>
      </c>
      <c r="F205" s="4" t="n">
        <v>2.0559</v>
      </c>
      <c r="G205" s="4" t="n">
        <v>10.1991</v>
      </c>
      <c r="H205" s="4" t="n">
        <v>1964</v>
      </c>
      <c r="I205" s="4" t="inlineStr">
        <is>
          <t>C4</t>
        </is>
      </c>
      <c r="J205" s="6">
        <f>IF(ISNUMBER(G205),G205-F205,"")</f>
        <v/>
      </c>
    </row>
    <row r="206">
      <c r="A206" s="4" t="n">
        <v>2025</v>
      </c>
      <c r="B206" s="4" t="inlineStr">
        <is>
          <t>ccaa</t>
        </is>
      </c>
      <c r="C206" s="4" t="inlineStr">
        <is>
          <t>15</t>
        </is>
      </c>
      <c r="D206" s="4" t="inlineStr">
        <is>
          <t>tenencia_1</t>
        </is>
      </c>
      <c r="E206" s="4" t="n">
        <v>50.1061</v>
      </c>
      <c r="F206" s="4" t="n">
        <v>44.5543</v>
      </c>
      <c r="G206" s="4" t="n">
        <v>55.6579</v>
      </c>
      <c r="H206" s="4" t="n">
        <v>1965</v>
      </c>
      <c r="I206" s="4" t="inlineStr">
        <is>
          <t>C4</t>
        </is>
      </c>
      <c r="J206" s="6">
        <f>IF(ISNUMBER(G206),G206-F206,"")</f>
        <v/>
      </c>
    </row>
    <row r="207">
      <c r="A207" s="4" t="n">
        <v>2025</v>
      </c>
      <c r="B207" s="4" t="inlineStr">
        <is>
          <t>ccaa</t>
        </is>
      </c>
      <c r="C207" s="4" t="inlineStr">
        <is>
          <t>15</t>
        </is>
      </c>
      <c r="D207" s="4" t="inlineStr">
        <is>
          <t>tenencia_2</t>
        </is>
      </c>
      <c r="E207" s="4" t="n">
        <v>29.6805</v>
      </c>
      <c r="F207" s="4" t="n">
        <v>24.224</v>
      </c>
      <c r="G207" s="4" t="n">
        <v>35.137</v>
      </c>
      <c r="H207" s="4" t="n">
        <v>1965</v>
      </c>
      <c r="I207" s="4" t="inlineStr">
        <is>
          <t>C4</t>
        </is>
      </c>
      <c r="J207" s="6">
        <f>IF(ISNUMBER(G207),G207-F207,"")</f>
        <v/>
      </c>
    </row>
    <row r="208">
      <c r="A208" s="4" t="n">
        <v>2025</v>
      </c>
      <c r="B208" s="4" t="inlineStr">
        <is>
          <t>ccaa</t>
        </is>
      </c>
      <c r="C208" s="4" t="inlineStr">
        <is>
          <t>15</t>
        </is>
      </c>
      <c r="D208" s="4" t="inlineStr">
        <is>
          <t>tenencia_3</t>
        </is>
      </c>
      <c r="E208" s="4" t="n">
        <v>9.168799999999999</v>
      </c>
      <c r="F208" s="4" t="n">
        <v>6.0694</v>
      </c>
      <c r="G208" s="4" t="n">
        <v>12.2683</v>
      </c>
      <c r="H208" s="4" t="n">
        <v>1965</v>
      </c>
      <c r="I208" s="4" t="inlineStr">
        <is>
          <t>C4</t>
        </is>
      </c>
      <c r="J208" s="6">
        <f>IF(ISNUMBER(G208),G208-F208,"")</f>
        <v/>
      </c>
    </row>
    <row r="209">
      <c r="A209" s="4" t="n">
        <v>2025</v>
      </c>
      <c r="B209" s="4" t="inlineStr">
        <is>
          <t>ccaa</t>
        </is>
      </c>
      <c r="C209" s="4" t="inlineStr">
        <is>
          <t>15</t>
        </is>
      </c>
      <c r="D209" s="4" t="inlineStr">
        <is>
          <t>tenencia_4</t>
        </is>
      </c>
      <c r="E209" s="4" t="n">
        <v>6.2561</v>
      </c>
      <c r="F209" s="4" t="n">
        <v>2.3559</v>
      </c>
      <c r="G209" s="4" t="n">
        <v>10.1564</v>
      </c>
      <c r="H209" s="4" t="n">
        <v>1965</v>
      </c>
      <c r="I209" s="4" t="inlineStr">
        <is>
          <t>C4</t>
        </is>
      </c>
      <c r="J209" s="6">
        <f>IF(ISNUMBER(G209),G209-F209,"")</f>
        <v/>
      </c>
    </row>
    <row r="210">
      <c r="A210" s="4" t="n">
        <v>2025</v>
      </c>
      <c r="B210" s="4" t="inlineStr">
        <is>
          <t>ccaa</t>
        </is>
      </c>
      <c r="C210" s="4" t="inlineStr">
        <is>
          <t>15</t>
        </is>
      </c>
      <c r="D210" s="4" t="inlineStr">
        <is>
          <t>tenencia_5</t>
        </is>
      </c>
      <c r="E210" s="4" t="n">
        <v>4.7884</v>
      </c>
      <c r="F210" s="4" t="n">
        <v>3.0453</v>
      </c>
      <c r="G210" s="4" t="n">
        <v>6.5315</v>
      </c>
      <c r="H210" s="4" t="n">
        <v>1965</v>
      </c>
      <c r="I210" s="4" t="inlineStr">
        <is>
          <t>C4</t>
        </is>
      </c>
      <c r="J210" s="6">
        <f>IF(ISNUMBER(G210),G210-F210,"")</f>
        <v/>
      </c>
    </row>
    <row r="211">
      <c r="A211" s="4" t="n">
        <v>2025</v>
      </c>
      <c r="B211" s="4" t="inlineStr">
        <is>
          <t>ccaa</t>
        </is>
      </c>
      <c r="C211" s="4" t="inlineStr">
        <is>
          <t>15</t>
        </is>
      </c>
      <c r="D211" s="4" t="inlineStr">
        <is>
          <t>esfuerzo_alquiler_mediana</t>
        </is>
      </c>
      <c r="E211" s="4" t="n">
        <v>24.5659</v>
      </c>
      <c r="F211" s="4" t="n">
        <v>18.0304</v>
      </c>
      <c r="G211" s="4" t="n">
        <v>28.4724</v>
      </c>
      <c r="H211" s="4" t="n">
        <v>175</v>
      </c>
      <c r="I211" s="4" t="inlineStr">
        <is>
          <t>C4</t>
        </is>
      </c>
      <c r="J211" s="6">
        <f>IF(ISNUMBER(G211),G211-F211,"")</f>
        <v/>
      </c>
    </row>
    <row r="212">
      <c r="A212" s="4" t="n">
        <v>2025</v>
      </c>
      <c r="B212" s="4" t="inlineStr">
        <is>
          <t>ccaa</t>
        </is>
      </c>
      <c r="C212" s="4" t="inlineStr">
        <is>
          <t>15</t>
        </is>
      </c>
      <c r="D212" s="4" t="inlineStr">
        <is>
          <t>esfuerzo_hipoteca_mediana</t>
        </is>
      </c>
      <c r="E212" s="4" t="n">
        <v>11.3292</v>
      </c>
      <c r="F212" s="4" t="n">
        <v>10.1603</v>
      </c>
      <c r="G212" s="4" t="n">
        <v>14.1796</v>
      </c>
      <c r="H212" s="4" t="n">
        <v>570</v>
      </c>
      <c r="I212" s="4" t="inlineStr">
        <is>
          <t>C4</t>
        </is>
      </c>
      <c r="J212" s="6">
        <f>IF(ISNUMBER(G212),G212-F212,"")</f>
        <v/>
      </c>
    </row>
    <row r="213">
      <c r="A213" s="4" t="n">
        <v>2025</v>
      </c>
      <c r="B213" s="4" t="inlineStr">
        <is>
          <t>ccaa</t>
        </is>
      </c>
      <c r="C213" s="4" t="inlineStr">
        <is>
          <t>16</t>
        </is>
      </c>
      <c r="D213" s="4" t="inlineStr">
        <is>
          <t>sobrecarga_30</t>
        </is>
      </c>
      <c r="E213" s="4" t="n">
        <v>8.870100000000001</v>
      </c>
      <c r="F213" s="4" t="n">
        <v>6.7405</v>
      </c>
      <c r="G213" s="4" t="n">
        <v>10.9997</v>
      </c>
      <c r="H213" s="4" t="n">
        <v>3317</v>
      </c>
      <c r="I213" s="4" t="inlineStr">
        <is>
          <t>C4</t>
        </is>
      </c>
      <c r="J213" s="6">
        <f>IF(ISNUMBER(G213),G213-F213,"")</f>
        <v/>
      </c>
    </row>
    <row r="214">
      <c r="A214" s="4" t="n">
        <v>2025</v>
      </c>
      <c r="B214" s="4" t="inlineStr">
        <is>
          <t>ccaa</t>
        </is>
      </c>
      <c r="C214" s="4" t="inlineStr">
        <is>
          <t>16</t>
        </is>
      </c>
      <c r="D214" s="4" t="inlineStr">
        <is>
          <t>sobrecarga_40</t>
        </is>
      </c>
      <c r="E214" s="4" t="n">
        <v>4.9178</v>
      </c>
      <c r="F214" s="4" t="n">
        <v>3.4938</v>
      </c>
      <c r="G214" s="4" t="n">
        <v>6.3419</v>
      </c>
      <c r="H214" s="4" t="n">
        <v>3317</v>
      </c>
      <c r="I214" s="4" t="inlineStr">
        <is>
          <t>C4</t>
        </is>
      </c>
      <c r="J214" s="6">
        <f>IF(ISNUMBER(G214),G214-F214,"")</f>
        <v/>
      </c>
    </row>
    <row r="215">
      <c r="A215" s="4" t="n">
        <v>2025</v>
      </c>
      <c r="B215" s="4" t="inlineStr">
        <is>
          <t>ccaa</t>
        </is>
      </c>
      <c r="C215" s="4" t="inlineStr">
        <is>
          <t>16</t>
        </is>
      </c>
      <c r="D215" s="4" t="inlineStr">
        <is>
          <t>esfuerzo_alquiler_30</t>
        </is>
      </c>
      <c r="E215" s="4" t="n">
        <v>24.0239</v>
      </c>
      <c r="F215" s="4" t="n">
        <v>14.8978</v>
      </c>
      <c r="G215" s="4" t="n">
        <v>33.1501</v>
      </c>
      <c r="H215" s="4" t="n">
        <v>312</v>
      </c>
      <c r="I215" s="4" t="inlineStr">
        <is>
          <t>C4</t>
        </is>
      </c>
      <c r="J215" s="6">
        <f>IF(ISNUMBER(G215),G215-F215,"")</f>
        <v/>
      </c>
    </row>
    <row r="216">
      <c r="A216" s="4" t="n">
        <v>2025</v>
      </c>
      <c r="B216" s="4" t="inlineStr">
        <is>
          <t>ccaa</t>
        </is>
      </c>
      <c r="C216" s="4" t="inlineStr">
        <is>
          <t>16</t>
        </is>
      </c>
      <c r="D216" s="4" t="inlineStr">
        <is>
          <t>esfuerzo_alquiler_40</t>
        </is>
      </c>
      <c r="E216" s="4" t="n">
        <v>14.0639</v>
      </c>
      <c r="F216" s="4" t="n">
        <v>7.1316</v>
      </c>
      <c r="G216" s="4" t="n">
        <v>20.9962</v>
      </c>
      <c r="H216" s="4" t="n">
        <v>312</v>
      </c>
      <c r="I216" s="4" t="inlineStr">
        <is>
          <t>C4</t>
        </is>
      </c>
      <c r="J216" s="6">
        <f>IF(ISNUMBER(G216),G216-F216,"")</f>
        <v/>
      </c>
    </row>
    <row r="217">
      <c r="A217" s="4" t="n">
        <v>2025</v>
      </c>
      <c r="B217" s="4" t="inlineStr">
        <is>
          <t>ccaa</t>
        </is>
      </c>
      <c r="C217" s="4" t="inlineStr">
        <is>
          <t>16</t>
        </is>
      </c>
      <c r="D217" s="4" t="inlineStr">
        <is>
          <t>esfuerzo_hipoteca_30</t>
        </is>
      </c>
      <c r="E217" s="4" t="n">
        <v>7.4588</v>
      </c>
      <c r="F217" s="4" t="n">
        <v>4.2747</v>
      </c>
      <c r="G217" s="4" t="n">
        <v>10.6429</v>
      </c>
      <c r="H217" s="4" t="n">
        <v>1032</v>
      </c>
      <c r="I217" s="4" t="inlineStr">
        <is>
          <t>C4</t>
        </is>
      </c>
      <c r="J217" s="6">
        <f>IF(ISNUMBER(G217),G217-F217,"")</f>
        <v/>
      </c>
    </row>
    <row r="218">
      <c r="A218" s="4" t="n">
        <v>2025</v>
      </c>
      <c r="B218" s="4" t="inlineStr">
        <is>
          <t>ccaa</t>
        </is>
      </c>
      <c r="C218" s="4" t="inlineStr">
        <is>
          <t>16</t>
        </is>
      </c>
      <c r="D218" s="4" t="inlineStr">
        <is>
          <t>hacinamiento</t>
        </is>
      </c>
      <c r="E218" s="4" t="n">
        <v>4.569</v>
      </c>
      <c r="F218" s="4" t="n">
        <v>2.2548</v>
      </c>
      <c r="G218" s="4" t="n">
        <v>6.8831</v>
      </c>
      <c r="H218" s="4" t="n">
        <v>3312</v>
      </c>
      <c r="I218" s="4" t="inlineStr">
        <is>
          <t>C4</t>
        </is>
      </c>
      <c r="J218" s="6">
        <f>IF(ISNUMBER(G218),G218-F218,"")</f>
        <v/>
      </c>
    </row>
    <row r="219">
      <c r="A219" s="4" t="n">
        <v>2025</v>
      </c>
      <c r="B219" s="4" t="inlineStr">
        <is>
          <t>ccaa</t>
        </is>
      </c>
      <c r="C219" s="4" t="inlineStr">
        <is>
          <t>16</t>
        </is>
      </c>
      <c r="D219" s="4" t="inlineStr">
        <is>
          <t>tenencia_1</t>
        </is>
      </c>
      <c r="E219" s="4" t="n">
        <v>48.6325</v>
      </c>
      <c r="F219" s="4" t="n">
        <v>45.0794</v>
      </c>
      <c r="G219" s="4" t="n">
        <v>52.1856</v>
      </c>
      <c r="H219" s="4" t="n">
        <v>3329</v>
      </c>
      <c r="I219" s="4" t="inlineStr">
        <is>
          <t>C4</t>
        </is>
      </c>
      <c r="J219" s="6">
        <f>IF(ISNUMBER(G219),G219-F219,"")</f>
        <v/>
      </c>
    </row>
    <row r="220">
      <c r="A220" s="4" t="n">
        <v>2025</v>
      </c>
      <c r="B220" s="4" t="inlineStr">
        <is>
          <t>ccaa</t>
        </is>
      </c>
      <c r="C220" s="4" t="inlineStr">
        <is>
          <t>16</t>
        </is>
      </c>
      <c r="D220" s="4" t="inlineStr">
        <is>
          <t>tenencia_2</t>
        </is>
      </c>
      <c r="E220" s="4" t="n">
        <v>30.1972</v>
      </c>
      <c r="F220" s="4" t="n">
        <v>26.9382</v>
      </c>
      <c r="G220" s="4" t="n">
        <v>33.4563</v>
      </c>
      <c r="H220" s="4" t="n">
        <v>3329</v>
      </c>
      <c r="I220" s="4" t="inlineStr">
        <is>
          <t>C4</t>
        </is>
      </c>
      <c r="J220" s="6">
        <f>IF(ISNUMBER(G220),G220-F220,"")</f>
        <v/>
      </c>
    </row>
    <row r="221">
      <c r="A221" s="4" t="n">
        <v>2025</v>
      </c>
      <c r="B221" s="4" t="inlineStr">
        <is>
          <t>ccaa</t>
        </is>
      </c>
      <c r="C221" s="4" t="inlineStr">
        <is>
          <t>16</t>
        </is>
      </c>
      <c r="D221" s="4" t="inlineStr">
        <is>
          <t>tenencia_3</t>
        </is>
      </c>
      <c r="E221" s="4" t="n">
        <v>12.8734</v>
      </c>
      <c r="F221" s="4" t="n">
        <v>9.7042</v>
      </c>
      <c r="G221" s="4" t="n">
        <v>16.0427</v>
      </c>
      <c r="H221" s="4" t="n">
        <v>3329</v>
      </c>
      <c r="I221" s="4" t="inlineStr">
        <is>
          <t>C4</t>
        </is>
      </c>
      <c r="J221" s="6">
        <f>IF(ISNUMBER(G221),G221-F221,"")</f>
        <v/>
      </c>
    </row>
    <row r="222">
      <c r="A222" s="4" t="n">
        <v>2025</v>
      </c>
      <c r="B222" s="4" t="inlineStr">
        <is>
          <t>ccaa</t>
        </is>
      </c>
      <c r="C222" s="4" t="inlineStr">
        <is>
          <t>16</t>
        </is>
      </c>
      <c r="D222" s="4" t="inlineStr">
        <is>
          <t>tenencia_4</t>
        </is>
      </c>
      <c r="E222" s="4" t="n">
        <v>4.5744</v>
      </c>
      <c r="F222" s="4" t="n">
        <v>2.831</v>
      </c>
      <c r="G222" s="4" t="n">
        <v>6.3179</v>
      </c>
      <c r="H222" s="4" t="n">
        <v>3329</v>
      </c>
      <c r="I222" s="4" t="inlineStr">
        <is>
          <t>C4</t>
        </is>
      </c>
      <c r="J222" s="6">
        <f>IF(ISNUMBER(G222),G222-F222,"")</f>
        <v/>
      </c>
    </row>
    <row r="223">
      <c r="A223" s="4" t="n">
        <v>2025</v>
      </c>
      <c r="B223" s="4" t="inlineStr">
        <is>
          <t>ccaa</t>
        </is>
      </c>
      <c r="C223" s="4" t="inlineStr">
        <is>
          <t>16</t>
        </is>
      </c>
      <c r="D223" s="4" t="inlineStr">
        <is>
          <t>tenencia_5</t>
        </is>
      </c>
      <c r="E223" s="4" t="n">
        <v>3.7224</v>
      </c>
      <c r="F223" s="4" t="n">
        <v>2.5012</v>
      </c>
      <c r="G223" s="4" t="n">
        <v>4.9435</v>
      </c>
      <c r="H223" s="4" t="n">
        <v>3329</v>
      </c>
      <c r="I223" s="4" t="inlineStr">
        <is>
          <t>C4</t>
        </is>
      </c>
      <c r="J223" s="6">
        <f>IF(ISNUMBER(G223),G223-F223,"")</f>
        <v/>
      </c>
    </row>
    <row r="224">
      <c r="A224" s="4" t="n">
        <v>2025</v>
      </c>
      <c r="B224" s="4" t="inlineStr">
        <is>
          <t>ccaa</t>
        </is>
      </c>
      <c r="C224" s="4" t="inlineStr">
        <is>
          <t>16</t>
        </is>
      </c>
      <c r="D224" s="4" t="inlineStr">
        <is>
          <t>esfuerzo_alquiler_mediana</t>
        </is>
      </c>
      <c r="E224" s="4" t="n">
        <v>23.8042</v>
      </c>
      <c r="F224" s="4" t="n">
        <v>21.2734</v>
      </c>
      <c r="G224" s="4" t="n">
        <v>25.3337</v>
      </c>
      <c r="H224" s="4" t="n">
        <v>312</v>
      </c>
      <c r="I224" s="4" t="inlineStr">
        <is>
          <t>C4</t>
        </is>
      </c>
      <c r="J224" s="6">
        <f>IF(ISNUMBER(G224),G224-F224,"")</f>
        <v/>
      </c>
    </row>
    <row r="225">
      <c r="A225" s="4" t="n">
        <v>2025</v>
      </c>
      <c r="B225" s="4" t="inlineStr">
        <is>
          <t>ccaa</t>
        </is>
      </c>
      <c r="C225" s="4" t="inlineStr">
        <is>
          <t>16</t>
        </is>
      </c>
      <c r="D225" s="4" t="inlineStr">
        <is>
          <t>esfuerzo_hipoteca_mediana</t>
        </is>
      </c>
      <c r="E225" s="4" t="n">
        <v>13.8027</v>
      </c>
      <c r="F225" s="4" t="n">
        <v>12.5005</v>
      </c>
      <c r="G225" s="4" t="n">
        <v>15.4369</v>
      </c>
      <c r="H225" s="4" t="n">
        <v>1032</v>
      </c>
      <c r="I225" s="4" t="inlineStr">
        <is>
          <t>C4</t>
        </is>
      </c>
      <c r="J225" s="6">
        <f>IF(ISNUMBER(G225),G225-F225,"")</f>
        <v/>
      </c>
    </row>
    <row r="226">
      <c r="A226" s="4" t="n">
        <v>2025</v>
      </c>
      <c r="B226" s="4" t="inlineStr">
        <is>
          <t>ccaa</t>
        </is>
      </c>
      <c r="C226" s="4" t="inlineStr">
        <is>
          <t>17</t>
        </is>
      </c>
      <c r="D226" s="4" t="inlineStr">
        <is>
          <t>sobrecarga_30</t>
        </is>
      </c>
      <c r="E226" s="4" t="n">
        <v>9.729900000000001</v>
      </c>
      <c r="F226" s="4" t="n">
        <v>6.2007</v>
      </c>
      <c r="G226" s="4" t="n">
        <v>13.2592</v>
      </c>
      <c r="H226" s="4" t="n">
        <v>1726</v>
      </c>
      <c r="I226" s="4" t="inlineStr">
        <is>
          <t>C4</t>
        </is>
      </c>
      <c r="J226" s="6">
        <f>IF(ISNUMBER(G226),G226-F226,"")</f>
        <v/>
      </c>
    </row>
    <row r="227">
      <c r="A227" s="4" t="n">
        <v>2025</v>
      </c>
      <c r="B227" s="4" t="inlineStr">
        <is>
          <t>ccaa</t>
        </is>
      </c>
      <c r="C227" s="4" t="inlineStr">
        <is>
          <t>17</t>
        </is>
      </c>
      <c r="D227" s="4" t="inlineStr">
        <is>
          <t>sobrecarga_40</t>
        </is>
      </c>
      <c r="E227" s="4" t="n">
        <v>6.7533</v>
      </c>
      <c r="F227" s="4" t="n">
        <v>3.3644</v>
      </c>
      <c r="G227" s="4" t="n">
        <v>10.1421</v>
      </c>
      <c r="H227" s="4" t="n">
        <v>1726</v>
      </c>
      <c r="I227" s="4" t="inlineStr">
        <is>
          <t>C4</t>
        </is>
      </c>
      <c r="J227" s="6">
        <f>IF(ISNUMBER(G227),G227-F227,"")</f>
        <v/>
      </c>
    </row>
    <row r="228">
      <c r="A228" s="4" t="n">
        <v>2025</v>
      </c>
      <c r="B228" s="4" t="inlineStr">
        <is>
          <t>ccaa</t>
        </is>
      </c>
      <c r="C228" s="4" t="inlineStr">
        <is>
          <t>17</t>
        </is>
      </c>
      <c r="D228" s="4" t="inlineStr">
        <is>
          <t>esfuerzo_alquiler_30</t>
        </is>
      </c>
      <c r="E228" s="4" t="n">
        <v>22.1853</v>
      </c>
      <c r="F228" s="4" t="n">
        <v>9.3878</v>
      </c>
      <c r="G228" s="4" t="n">
        <v>34.9829</v>
      </c>
      <c r="H228" s="4" t="n">
        <v>162</v>
      </c>
      <c r="I228" s="4" t="inlineStr">
        <is>
          <t>C4</t>
        </is>
      </c>
      <c r="J228" s="6">
        <f>IF(ISNUMBER(G228),G228-F228,"")</f>
        <v/>
      </c>
    </row>
    <row r="229">
      <c r="A229" s="4" t="n">
        <v>2025</v>
      </c>
      <c r="B229" s="4" t="inlineStr">
        <is>
          <t>ccaa</t>
        </is>
      </c>
      <c r="C229" s="4" t="inlineStr">
        <is>
          <t>17</t>
        </is>
      </c>
      <c r="D229" s="4" t="inlineStr">
        <is>
          <t>esfuerzo_alquiler_40</t>
        </is>
      </c>
      <c r="E229" s="4" t="n">
        <v>8.7265</v>
      </c>
      <c r="F229" s="4" t="n">
        <v>0.9441000000000001</v>
      </c>
      <c r="G229" s="4" t="n">
        <v>16.5089</v>
      </c>
      <c r="H229" s="4" t="n">
        <v>162</v>
      </c>
      <c r="I229" s="4" t="inlineStr">
        <is>
          <t>C4</t>
        </is>
      </c>
      <c r="J229" s="6">
        <f>IF(ISNUMBER(G229),G229-F229,"")</f>
        <v/>
      </c>
    </row>
    <row r="230">
      <c r="A230" s="4" t="n">
        <v>2025</v>
      </c>
      <c r="B230" s="4" t="inlineStr">
        <is>
          <t>ccaa</t>
        </is>
      </c>
      <c r="C230" s="4" t="inlineStr">
        <is>
          <t>17</t>
        </is>
      </c>
      <c r="D230" s="4" t="inlineStr">
        <is>
          <t>esfuerzo_hipoteca_30</t>
        </is>
      </c>
      <c r="E230" s="4" t="n">
        <v>9.084899999999999</v>
      </c>
      <c r="F230" s="4" t="n">
        <v>3.729</v>
      </c>
      <c r="G230" s="4" t="n">
        <v>14.4408</v>
      </c>
      <c r="H230" s="4" t="n">
        <v>481</v>
      </c>
      <c r="I230" s="4" t="inlineStr">
        <is>
          <t>C4</t>
        </is>
      </c>
      <c r="J230" s="6">
        <f>IF(ISNUMBER(G230),G230-F230,"")</f>
        <v/>
      </c>
    </row>
    <row r="231">
      <c r="A231" s="4" t="n">
        <v>2025</v>
      </c>
      <c r="B231" s="4" t="inlineStr">
        <is>
          <t>ccaa</t>
        </is>
      </c>
      <c r="C231" s="4" t="inlineStr">
        <is>
          <t>17</t>
        </is>
      </c>
      <c r="D231" s="4" t="inlineStr">
        <is>
          <t>hacinamiento</t>
        </is>
      </c>
      <c r="E231" s="4" t="n">
        <v>4.15</v>
      </c>
      <c r="F231" s="4" t="n">
        <v>1.3826</v>
      </c>
      <c r="G231" s="4" t="n">
        <v>6.9174</v>
      </c>
      <c r="H231" s="4" t="n">
        <v>1727</v>
      </c>
      <c r="I231" s="4" t="inlineStr">
        <is>
          <t>C4</t>
        </is>
      </c>
      <c r="J231" s="6">
        <f>IF(ISNUMBER(G231),G231-F231,"")</f>
        <v/>
      </c>
    </row>
    <row r="232">
      <c r="A232" s="4" t="n">
        <v>2025</v>
      </c>
      <c r="B232" s="4" t="inlineStr">
        <is>
          <t>ccaa</t>
        </is>
      </c>
      <c r="C232" s="4" t="inlineStr">
        <is>
          <t>17</t>
        </is>
      </c>
      <c r="D232" s="4" t="inlineStr">
        <is>
          <t>tenencia_1</t>
        </is>
      </c>
      <c r="E232" s="4" t="n">
        <v>51.5982</v>
      </c>
      <c r="F232" s="4" t="n">
        <v>46.6042</v>
      </c>
      <c r="G232" s="4" t="n">
        <v>56.5922</v>
      </c>
      <c r="H232" s="4" t="n">
        <v>1727</v>
      </c>
      <c r="I232" s="4" t="inlineStr">
        <is>
          <t>C4</t>
        </is>
      </c>
      <c r="J232" s="6">
        <f>IF(ISNUMBER(G232),G232-F232,"")</f>
        <v/>
      </c>
    </row>
    <row r="233">
      <c r="A233" s="4" t="n">
        <v>2025</v>
      </c>
      <c r="B233" s="4" t="inlineStr">
        <is>
          <t>ccaa</t>
        </is>
      </c>
      <c r="C233" s="4" t="inlineStr">
        <is>
          <t>17</t>
        </is>
      </c>
      <c r="D233" s="4" t="inlineStr">
        <is>
          <t>tenencia_2</t>
        </is>
      </c>
      <c r="E233" s="4" t="n">
        <v>27.4904</v>
      </c>
      <c r="F233" s="4" t="n">
        <v>23.27</v>
      </c>
      <c r="G233" s="4" t="n">
        <v>31.7108</v>
      </c>
      <c r="H233" s="4" t="n">
        <v>1727</v>
      </c>
      <c r="I233" s="4" t="inlineStr">
        <is>
          <t>C4</t>
        </is>
      </c>
      <c r="J233" s="6">
        <f>IF(ISNUMBER(G233),G233-F233,"")</f>
        <v/>
      </c>
    </row>
    <row r="234">
      <c r="A234" s="4" t="n">
        <v>2025</v>
      </c>
      <c r="B234" s="4" t="inlineStr">
        <is>
          <t>ccaa</t>
        </is>
      </c>
      <c r="C234" s="4" t="inlineStr">
        <is>
          <t>17</t>
        </is>
      </c>
      <c r="D234" s="4" t="inlineStr">
        <is>
          <t>tenencia_3</t>
        </is>
      </c>
      <c r="E234" s="4" t="n">
        <v>15.2398</v>
      </c>
      <c r="F234" s="4" t="n">
        <v>10.1717</v>
      </c>
      <c r="G234" s="4" t="n">
        <v>20.3079</v>
      </c>
      <c r="H234" s="4" t="n">
        <v>1727</v>
      </c>
      <c r="I234" s="4" t="inlineStr">
        <is>
          <t>C4</t>
        </is>
      </c>
      <c r="J234" s="6">
        <f>IF(ISNUMBER(G234),G234-F234,"")</f>
        <v/>
      </c>
    </row>
    <row r="235">
      <c r="A235" s="4" t="n">
        <v>2025</v>
      </c>
      <c r="B235" s="4" t="inlineStr">
        <is>
          <t>ccaa</t>
        </is>
      </c>
      <c r="C235" s="4" t="inlineStr">
        <is>
          <t>17</t>
        </is>
      </c>
      <c r="D235" s="4" t="inlineStr">
        <is>
          <t>tenencia_4</t>
        </is>
      </c>
      <c r="E235" s="4" t="n">
        <v>1.0596</v>
      </c>
      <c r="F235" s="4" t="n">
        <v>0.2343</v>
      </c>
      <c r="G235" s="4" t="n">
        <v>1.8849</v>
      </c>
      <c r="H235" s="4" t="n">
        <v>1727</v>
      </c>
      <c r="I235" s="4" t="inlineStr">
        <is>
          <t>C4</t>
        </is>
      </c>
      <c r="J235" s="6">
        <f>IF(ISNUMBER(G235),G235-F235,"")</f>
        <v/>
      </c>
    </row>
    <row r="236">
      <c r="A236" s="4" t="n">
        <v>2025</v>
      </c>
      <c r="B236" s="4" t="inlineStr">
        <is>
          <t>ccaa</t>
        </is>
      </c>
      <c r="C236" s="4" t="inlineStr">
        <is>
          <t>17</t>
        </is>
      </c>
      <c r="D236" s="4" t="inlineStr">
        <is>
          <t>tenencia_5</t>
        </is>
      </c>
      <c r="E236" s="4" t="n">
        <v>4.612</v>
      </c>
      <c r="F236" s="4" t="n">
        <v>2.7795</v>
      </c>
      <c r="G236" s="4" t="n">
        <v>6.4445</v>
      </c>
      <c r="H236" s="4" t="n">
        <v>1727</v>
      </c>
      <c r="I236" s="4" t="inlineStr">
        <is>
          <t>C4</t>
        </is>
      </c>
      <c r="J236" s="6">
        <f>IF(ISNUMBER(G236),G236-F236,"")</f>
        <v/>
      </c>
    </row>
    <row r="237">
      <c r="A237" s="4" t="n">
        <v>2025</v>
      </c>
      <c r="B237" s="4" t="inlineStr">
        <is>
          <t>ccaa</t>
        </is>
      </c>
      <c r="C237" s="4" t="inlineStr">
        <is>
          <t>17</t>
        </is>
      </c>
      <c r="D237" s="4" t="inlineStr">
        <is>
          <t>esfuerzo_alquiler_mediana</t>
        </is>
      </c>
      <c r="E237" s="4" t="n">
        <v>19.2643</v>
      </c>
      <c r="F237" s="4" t="n">
        <v>14.5246</v>
      </c>
      <c r="G237" s="4" t="n">
        <v>26.4445</v>
      </c>
      <c r="H237" s="4" t="n">
        <v>162</v>
      </c>
      <c r="I237" s="4" t="inlineStr">
        <is>
          <t>C4</t>
        </is>
      </c>
      <c r="J237" s="6">
        <f>IF(ISNUMBER(G237),G237-F237,"")</f>
        <v/>
      </c>
    </row>
    <row r="238">
      <c r="A238" s="4" t="n">
        <v>2025</v>
      </c>
      <c r="B238" s="4" t="inlineStr">
        <is>
          <t>ccaa</t>
        </is>
      </c>
      <c r="C238" s="4" t="inlineStr">
        <is>
          <t>17</t>
        </is>
      </c>
      <c r="D238" s="4" t="inlineStr">
        <is>
          <t>esfuerzo_hipoteca_mediana</t>
        </is>
      </c>
      <c r="E238" s="4" t="n">
        <v>13.1775</v>
      </c>
      <c r="F238" s="4" t="n">
        <v>12.0977</v>
      </c>
      <c r="G238" s="4" t="n">
        <v>15.3577</v>
      </c>
      <c r="H238" s="4" t="n">
        <v>481</v>
      </c>
      <c r="I238" s="4" t="inlineStr">
        <is>
          <t>C4</t>
        </is>
      </c>
      <c r="J238" s="6">
        <f>IF(ISNUMBER(G238),G238-F238,"")</f>
        <v/>
      </c>
    </row>
    <row r="239">
      <c r="A239" s="4" t="n">
        <v>2025</v>
      </c>
      <c r="B239" s="4" t="inlineStr">
        <is>
          <t>ccaa</t>
        </is>
      </c>
      <c r="C239" s="4" t="inlineStr">
        <is>
          <t>18</t>
        </is>
      </c>
      <c r="D239" s="4" t="inlineStr">
        <is>
          <t>sobrecarga_30</t>
        </is>
      </c>
      <c r="E239" s="4" t="n">
        <v>9.9231</v>
      </c>
      <c r="F239" s="4" t="n">
        <v>5.0823</v>
      </c>
      <c r="G239" s="4" t="n">
        <v>14.7638</v>
      </c>
      <c r="H239" s="4" t="n">
        <v>592</v>
      </c>
      <c r="I239" s="4" t="inlineStr">
        <is>
          <t>C4</t>
        </is>
      </c>
      <c r="J239" s="6">
        <f>IF(ISNUMBER(G239),G239-F239,"")</f>
        <v/>
      </c>
    </row>
    <row r="240">
      <c r="A240" s="4" t="n">
        <v>2025</v>
      </c>
      <c r="B240" s="4" t="inlineStr">
        <is>
          <t>ccaa</t>
        </is>
      </c>
      <c r="C240" s="4" t="inlineStr">
        <is>
          <t>18</t>
        </is>
      </c>
      <c r="D240" s="4" t="inlineStr">
        <is>
          <t>sobrecarga_40</t>
        </is>
      </c>
      <c r="E240" s="4" t="n">
        <v>7.3139</v>
      </c>
      <c r="F240" s="4" t="n">
        <v>3.0847</v>
      </c>
      <c r="G240" s="4" t="n">
        <v>11.5431</v>
      </c>
      <c r="H240" s="4" t="n">
        <v>592</v>
      </c>
      <c r="I240" s="4" t="inlineStr">
        <is>
          <t>C4</t>
        </is>
      </c>
      <c r="J240" s="6">
        <f>IF(ISNUMBER(G240),G240-F240,"")</f>
        <v/>
      </c>
    </row>
    <row r="241">
      <c r="A241" s="4" t="n">
        <v>2025</v>
      </c>
      <c r="B241" s="4" t="inlineStr">
        <is>
          <t>ccaa</t>
        </is>
      </c>
      <c r="C241" s="4" t="inlineStr">
        <is>
          <t>18</t>
        </is>
      </c>
      <c r="D241" s="4" t="inlineStr">
        <is>
          <t>esfuerzo_alquiler_30</t>
        </is>
      </c>
      <c r="E241" s="4" t="n">
        <v>22.0291</v>
      </c>
      <c r="F241" s="4" t="n">
        <v>3.3925</v>
      </c>
      <c r="G241" s="4" t="n">
        <v>40.6657</v>
      </c>
      <c r="H241" s="4" t="n">
        <v>84</v>
      </c>
      <c r="I241" s="4" t="inlineStr">
        <is>
          <t>C4</t>
        </is>
      </c>
      <c r="J241" s="6">
        <f>IF(ISNUMBER(G241),G241-F241,"")</f>
        <v/>
      </c>
    </row>
    <row r="242">
      <c r="A242" s="4" t="n">
        <v>2025</v>
      </c>
      <c r="B242" s="4" t="inlineStr">
        <is>
          <t>ccaa</t>
        </is>
      </c>
      <c r="C242" s="4" t="inlineStr">
        <is>
          <t>18</t>
        </is>
      </c>
      <c r="D242" s="4" t="inlineStr">
        <is>
          <t>esfuerzo_alquiler_40</t>
        </is>
      </c>
      <c r="E242" s="4" t="n">
        <v>15.1452</v>
      </c>
      <c r="F242" s="4" t="n">
        <v>0.8943</v>
      </c>
      <c r="G242" s="4" t="n">
        <v>29.3962</v>
      </c>
      <c r="H242" s="4" t="n">
        <v>84</v>
      </c>
      <c r="I242" s="4" t="inlineStr">
        <is>
          <t>C4</t>
        </is>
      </c>
      <c r="J242" s="6">
        <f>IF(ISNUMBER(G242),G242-F242,"")</f>
        <v/>
      </c>
    </row>
    <row r="243">
      <c r="A243" s="4" t="n">
        <v>2025</v>
      </c>
      <c r="B243" s="4" t="inlineStr">
        <is>
          <t>ccaa</t>
        </is>
      </c>
      <c r="C243" s="4" t="inlineStr">
        <is>
          <t>18</t>
        </is>
      </c>
      <c r="D243" s="4" t="inlineStr">
        <is>
          <t>esfuerzo_hipoteca_30</t>
        </is>
      </c>
      <c r="E243" s="4" t="n">
        <v>9.404400000000001</v>
      </c>
      <c r="F243" s="4" t="n">
        <v>-0.0857</v>
      </c>
      <c r="G243" s="4" t="n">
        <v>18.8946</v>
      </c>
      <c r="H243" s="4" t="n">
        <v>165</v>
      </c>
      <c r="I243" s="4" t="inlineStr">
        <is>
          <t>C4</t>
        </is>
      </c>
      <c r="J243" s="6">
        <f>IF(ISNUMBER(G243),G243-F243,"")</f>
        <v/>
      </c>
    </row>
    <row r="244">
      <c r="A244" s="4" t="n">
        <v>2025</v>
      </c>
      <c r="B244" s="4" t="inlineStr">
        <is>
          <t>ccaa</t>
        </is>
      </c>
      <c r="C244" s="4" t="inlineStr">
        <is>
          <t>18</t>
        </is>
      </c>
      <c r="D244" s="4" t="inlineStr">
        <is>
          <t>hacinamiento</t>
        </is>
      </c>
      <c r="E244" s="4" t="n">
        <v>17.481</v>
      </c>
      <c r="F244" s="4" t="n">
        <v>3.6297</v>
      </c>
      <c r="G244" s="4" t="n">
        <v>31.3322</v>
      </c>
      <c r="H244" s="4" t="n">
        <v>596</v>
      </c>
      <c r="I244" s="4" t="inlineStr">
        <is>
          <t>C4</t>
        </is>
      </c>
      <c r="J244" s="6">
        <f>IF(ISNUMBER(G244),G244-F244,"")</f>
        <v/>
      </c>
    </row>
    <row r="245">
      <c r="A245" s="4" t="n">
        <v>2025</v>
      </c>
      <c r="B245" s="4" t="inlineStr">
        <is>
          <t>ccaa</t>
        </is>
      </c>
      <c r="C245" s="4" t="inlineStr">
        <is>
          <t>18</t>
        </is>
      </c>
      <c r="D245" s="4" t="inlineStr">
        <is>
          <t>tenencia_1</t>
        </is>
      </c>
      <c r="E245" s="4" t="n">
        <v>42.1389</v>
      </c>
      <c r="F245" s="4" t="n">
        <v>29.5059</v>
      </c>
      <c r="G245" s="4" t="n">
        <v>54.7719</v>
      </c>
      <c r="H245" s="4" t="n">
        <v>596</v>
      </c>
      <c r="I245" s="4" t="inlineStr">
        <is>
          <t>C4</t>
        </is>
      </c>
      <c r="J245" s="6">
        <f>IF(ISNUMBER(G245),G245-F245,"")</f>
        <v/>
      </c>
    </row>
    <row r="246">
      <c r="A246" s="4" t="n">
        <v>2025</v>
      </c>
      <c r="B246" s="4" t="inlineStr">
        <is>
          <t>ccaa</t>
        </is>
      </c>
      <c r="C246" s="4" t="inlineStr">
        <is>
          <t>18</t>
        </is>
      </c>
      <c r="D246" s="4" t="inlineStr">
        <is>
          <t>tenencia_2</t>
        </is>
      </c>
      <c r="E246" s="4" t="n">
        <v>21.5108</v>
      </c>
      <c r="F246" s="4" t="n">
        <v>13.925</v>
      </c>
      <c r="G246" s="4" t="n">
        <v>29.0965</v>
      </c>
      <c r="H246" s="4" t="n">
        <v>596</v>
      </c>
      <c r="I246" s="4" t="inlineStr">
        <is>
          <t>C4</t>
        </is>
      </c>
      <c r="J246" s="6">
        <f>IF(ISNUMBER(G246),G246-F246,"")</f>
        <v/>
      </c>
    </row>
    <row r="247">
      <c r="A247" s="4" t="n">
        <v>2025</v>
      </c>
      <c r="B247" s="4" t="inlineStr">
        <is>
          <t>ccaa</t>
        </is>
      </c>
      <c r="C247" s="4" t="inlineStr">
        <is>
          <t>18</t>
        </is>
      </c>
      <c r="D247" s="4" t="inlineStr">
        <is>
          <t>tenencia_3</t>
        </is>
      </c>
      <c r="E247" s="4" t="n">
        <v>18.0245</v>
      </c>
      <c r="F247" s="4" t="n">
        <v>7.2279</v>
      </c>
      <c r="G247" s="4" t="n">
        <v>28.8211</v>
      </c>
      <c r="H247" s="4" t="n">
        <v>596</v>
      </c>
      <c r="I247" s="4" t="inlineStr">
        <is>
          <t>C4</t>
        </is>
      </c>
      <c r="J247" s="6">
        <f>IF(ISNUMBER(G247),G247-F247,"")</f>
        <v/>
      </c>
    </row>
    <row r="248">
      <c r="A248" s="4" t="n">
        <v>2025</v>
      </c>
      <c r="B248" s="4" t="inlineStr">
        <is>
          <t>ccaa</t>
        </is>
      </c>
      <c r="C248" s="4" t="inlineStr">
        <is>
          <t>18</t>
        </is>
      </c>
      <c r="D248" s="4" t="inlineStr">
        <is>
          <t>tenencia_4</t>
        </is>
      </c>
      <c r="E248" s="4" t="n">
        <v>11.0247</v>
      </c>
      <c r="F248" s="4" t="n">
        <v>4.4155</v>
      </c>
      <c r="G248" s="4" t="n">
        <v>17.6339</v>
      </c>
      <c r="H248" s="4" t="n">
        <v>596</v>
      </c>
      <c r="I248" s="4" t="inlineStr">
        <is>
          <t>C4</t>
        </is>
      </c>
      <c r="J248" s="6">
        <f>IF(ISNUMBER(G248),G248-F248,"")</f>
        <v/>
      </c>
    </row>
    <row r="249">
      <c r="A249" s="4" t="n">
        <v>2025</v>
      </c>
      <c r="B249" s="4" t="inlineStr">
        <is>
          <t>ccaa</t>
        </is>
      </c>
      <c r="C249" s="4" t="inlineStr">
        <is>
          <t>18</t>
        </is>
      </c>
      <c r="D249" s="4" t="inlineStr">
        <is>
          <t>tenencia_5</t>
        </is>
      </c>
      <c r="E249" s="4" t="n">
        <v>7.3011</v>
      </c>
      <c r="F249" s="4" t="n">
        <v>2.9542</v>
      </c>
      <c r="G249" s="4" t="n">
        <v>11.648</v>
      </c>
      <c r="H249" s="4" t="n">
        <v>596</v>
      </c>
      <c r="I249" s="4" t="inlineStr">
        <is>
          <t>C4</t>
        </is>
      </c>
      <c r="J249" s="6">
        <f>IF(ISNUMBER(G249),G249-F249,"")</f>
        <v/>
      </c>
    </row>
    <row r="250">
      <c r="A250" s="4" t="n">
        <v>2025</v>
      </c>
      <c r="B250" s="4" t="inlineStr">
        <is>
          <t>ccaa</t>
        </is>
      </c>
      <c r="C250" s="4" t="inlineStr">
        <is>
          <t>18</t>
        </is>
      </c>
      <c r="D250" s="4" t="inlineStr">
        <is>
          <t>esfuerzo_alquiler_mediana</t>
        </is>
      </c>
      <c r="E250" s="4" t="n">
        <v>17.2857</v>
      </c>
      <c r="F250" s="4" t="n">
        <v>15.8128</v>
      </c>
      <c r="G250" s="4" t="n">
        <v>33.7359</v>
      </c>
      <c r="H250" s="4" t="n">
        <v>84</v>
      </c>
      <c r="I250" s="4" t="inlineStr">
        <is>
          <t>C4</t>
        </is>
      </c>
      <c r="J250" s="6">
        <f>IF(ISNUMBER(G250),G250-F250,"")</f>
        <v/>
      </c>
    </row>
    <row r="251">
      <c r="A251" s="4" t="n">
        <v>2025</v>
      </c>
      <c r="B251" s="4" t="inlineStr">
        <is>
          <t>ccaa</t>
        </is>
      </c>
      <c r="C251" s="4" t="inlineStr">
        <is>
          <t>18</t>
        </is>
      </c>
      <c r="D251" s="4" t="inlineStr">
        <is>
          <t>esfuerzo_hipoteca_mediana</t>
        </is>
      </c>
      <c r="E251" s="4" t="n">
        <v>13.564</v>
      </c>
      <c r="F251" s="4" t="n">
        <v>11.3296</v>
      </c>
      <c r="G251" s="4" t="n">
        <v>16.8303</v>
      </c>
      <c r="H251" s="4" t="n">
        <v>165</v>
      </c>
      <c r="I251" s="4" t="inlineStr">
        <is>
          <t>C4</t>
        </is>
      </c>
      <c r="J251" s="6">
        <f>IF(ISNUMBER(G251),G251-F251,"")</f>
        <v/>
      </c>
    </row>
    <row r="252">
      <c r="A252" s="4" t="n">
        <v>2025</v>
      </c>
      <c r="B252" s="4" t="inlineStr">
        <is>
          <t>ccaa</t>
        </is>
      </c>
      <c r="C252" s="4" t="inlineStr">
        <is>
          <t>19</t>
        </is>
      </c>
      <c r="D252" s="4" t="inlineStr">
        <is>
          <t>sobrecarga_30</t>
        </is>
      </c>
      <c r="E252" s="4" t="n">
        <v>21.253</v>
      </c>
      <c r="F252" s="4" t="n">
        <v>12.3417</v>
      </c>
      <c r="G252" s="4" t="n">
        <v>30.1642</v>
      </c>
      <c r="H252" s="4" t="n">
        <v>558</v>
      </c>
      <c r="I252" s="4" t="inlineStr">
        <is>
          <t>C4</t>
        </is>
      </c>
      <c r="J252" s="6">
        <f>IF(ISNUMBER(G252),G252-F252,"")</f>
        <v/>
      </c>
    </row>
    <row r="253">
      <c r="A253" s="4" t="n">
        <v>2025</v>
      </c>
      <c r="B253" s="4" t="inlineStr">
        <is>
          <t>ccaa</t>
        </is>
      </c>
      <c r="C253" s="4" t="inlineStr">
        <is>
          <t>19</t>
        </is>
      </c>
      <c r="D253" s="4" t="inlineStr">
        <is>
          <t>sobrecarga_40</t>
        </is>
      </c>
      <c r="E253" s="4" t="n">
        <v>13.8129</v>
      </c>
      <c r="F253" s="4" t="n">
        <v>5.9366</v>
      </c>
      <c r="G253" s="4" t="n">
        <v>21.6893</v>
      </c>
      <c r="H253" s="4" t="n">
        <v>558</v>
      </c>
      <c r="I253" s="4" t="inlineStr">
        <is>
          <t>C4</t>
        </is>
      </c>
      <c r="J253" s="6">
        <f>IF(ISNUMBER(G253),G253-F253,"")</f>
        <v/>
      </c>
    </row>
    <row r="254">
      <c r="A254" s="4" t="n">
        <v>2025</v>
      </c>
      <c r="B254" s="4" t="inlineStr">
        <is>
          <t>ccaa</t>
        </is>
      </c>
      <c r="C254" s="4" t="inlineStr">
        <is>
          <t>19</t>
        </is>
      </c>
      <c r="D254" s="4" t="inlineStr">
        <is>
          <t>esfuerzo_alquiler_30</t>
        </is>
      </c>
      <c r="E254" s="4" t="n">
        <v>46.1773</v>
      </c>
      <c r="F254" s="4" t="n">
        <v>24.3688</v>
      </c>
      <c r="G254" s="4" t="n">
        <v>67.9858</v>
      </c>
      <c r="H254" s="4" t="n">
        <v>125</v>
      </c>
      <c r="I254" s="4" t="inlineStr">
        <is>
          <t>C4</t>
        </is>
      </c>
      <c r="J254" s="6">
        <f>IF(ISNUMBER(G254),G254-F254,"")</f>
        <v/>
      </c>
    </row>
    <row r="255">
      <c r="A255" s="4" t="n">
        <v>2025</v>
      </c>
      <c r="B255" s="4" t="inlineStr">
        <is>
          <t>ccaa</t>
        </is>
      </c>
      <c r="C255" s="4" t="inlineStr">
        <is>
          <t>19</t>
        </is>
      </c>
      <c r="D255" s="4" t="inlineStr">
        <is>
          <t>esfuerzo_alquiler_40</t>
        </is>
      </c>
      <c r="E255" s="4" t="n">
        <v>28.206</v>
      </c>
      <c r="F255" s="4" t="n">
        <v>8.2643</v>
      </c>
      <c r="G255" s="4" t="n">
        <v>48.1476</v>
      </c>
      <c r="H255" s="4" t="n">
        <v>125</v>
      </c>
      <c r="I255" s="4" t="inlineStr">
        <is>
          <t>C4</t>
        </is>
      </c>
      <c r="J255" s="6">
        <f>IF(ISNUMBER(G255),G255-F255,"")</f>
        <v/>
      </c>
    </row>
    <row r="256">
      <c r="A256" s="4" t="n">
        <v>2025</v>
      </c>
      <c r="B256" s="4" t="inlineStr">
        <is>
          <t>ccaa</t>
        </is>
      </c>
      <c r="C256" s="4" t="inlineStr">
        <is>
          <t>19</t>
        </is>
      </c>
      <c r="D256" s="4" t="inlineStr">
        <is>
          <t>esfuerzo_hipoteca_30</t>
        </is>
      </c>
      <c r="E256" s="4" t="n">
        <v>7.1672</v>
      </c>
      <c r="F256" s="4" t="n">
        <v>-0.8215</v>
      </c>
      <c r="G256" s="4" t="n">
        <v>15.1559</v>
      </c>
      <c r="H256" s="4" t="n">
        <v>123</v>
      </c>
      <c r="I256" s="4" t="inlineStr">
        <is>
          <t>C4</t>
        </is>
      </c>
      <c r="J256" s="6">
        <f>IF(ISNUMBER(G256),G256-F256,"")</f>
        <v/>
      </c>
    </row>
    <row r="257">
      <c r="A257" s="4" t="n">
        <v>2025</v>
      </c>
      <c r="B257" s="4" t="inlineStr">
        <is>
          <t>ccaa</t>
        </is>
      </c>
      <c r="C257" s="4" t="inlineStr">
        <is>
          <t>19</t>
        </is>
      </c>
      <c r="D257" s="4" t="inlineStr">
        <is>
          <t>hacinamiento</t>
        </is>
      </c>
      <c r="E257" s="4" t="n">
        <v>27.4151</v>
      </c>
      <c r="F257" s="4" t="n">
        <v>16.447</v>
      </c>
      <c r="G257" s="4" t="n">
        <v>38.3831</v>
      </c>
      <c r="H257" s="4" t="n">
        <v>560</v>
      </c>
      <c r="I257" s="4" t="inlineStr">
        <is>
          <t>C4</t>
        </is>
      </c>
      <c r="J257" s="6">
        <f>IF(ISNUMBER(G257),G257-F257,"")</f>
        <v/>
      </c>
    </row>
    <row r="258">
      <c r="A258" s="4" t="n">
        <v>2025</v>
      </c>
      <c r="B258" s="4" t="inlineStr">
        <is>
          <t>ccaa</t>
        </is>
      </c>
      <c r="C258" s="4" t="inlineStr">
        <is>
          <t>19</t>
        </is>
      </c>
      <c r="D258" s="4" t="inlineStr">
        <is>
          <t>tenencia_1</t>
        </is>
      </c>
      <c r="E258" s="4" t="n">
        <v>41.9034</v>
      </c>
      <c r="F258" s="4" t="n">
        <v>31.4132</v>
      </c>
      <c r="G258" s="4" t="n">
        <v>52.3936</v>
      </c>
      <c r="H258" s="4" t="n">
        <v>560</v>
      </c>
      <c r="I258" s="4" t="inlineStr">
        <is>
          <t>C4</t>
        </is>
      </c>
      <c r="J258" s="6">
        <f>IF(ISNUMBER(G258),G258-F258,"")</f>
        <v/>
      </c>
    </row>
    <row r="259">
      <c r="A259" s="4" t="n">
        <v>2025</v>
      </c>
      <c r="B259" s="4" t="inlineStr">
        <is>
          <t>ccaa</t>
        </is>
      </c>
      <c r="C259" s="4" t="inlineStr">
        <is>
          <t>19</t>
        </is>
      </c>
      <c r="D259" s="4" t="inlineStr">
        <is>
          <t>tenencia_2</t>
        </is>
      </c>
      <c r="E259" s="4" t="n">
        <v>20.5714</v>
      </c>
      <c r="F259" s="4" t="n">
        <v>13.5609</v>
      </c>
      <c r="G259" s="4" t="n">
        <v>27.5819</v>
      </c>
      <c r="H259" s="4" t="n">
        <v>560</v>
      </c>
      <c r="I259" s="4" t="inlineStr">
        <is>
          <t>C4</t>
        </is>
      </c>
      <c r="J259" s="6">
        <f>IF(ISNUMBER(G259),G259-F259,"")</f>
        <v/>
      </c>
    </row>
    <row r="260">
      <c r="A260" s="4" t="n">
        <v>2025</v>
      </c>
      <c r="B260" s="4" t="inlineStr">
        <is>
          <t>ccaa</t>
        </is>
      </c>
      <c r="C260" s="4" t="inlineStr">
        <is>
          <t>19</t>
        </is>
      </c>
      <c r="D260" s="4" t="inlineStr">
        <is>
          <t>tenencia_3</t>
        </is>
      </c>
      <c r="E260" s="4" t="n">
        <v>18.0703</v>
      </c>
      <c r="F260" s="4" t="n">
        <v>10.7714</v>
      </c>
      <c r="G260" s="4" t="n">
        <v>25.3691</v>
      </c>
      <c r="H260" s="4" t="n">
        <v>560</v>
      </c>
      <c r="I260" s="4" t="inlineStr">
        <is>
          <t>C4</t>
        </is>
      </c>
      <c r="J260" s="6">
        <f>IF(ISNUMBER(G260),G260-F260,"")</f>
        <v/>
      </c>
    </row>
    <row r="261">
      <c r="A261" s="4" t="n">
        <v>2025</v>
      </c>
      <c r="B261" s="4" t="inlineStr">
        <is>
          <t>ccaa</t>
        </is>
      </c>
      <c r="C261" s="4" t="inlineStr">
        <is>
          <t>19</t>
        </is>
      </c>
      <c r="D261" s="4" t="inlineStr">
        <is>
          <t>tenencia_4</t>
        </is>
      </c>
      <c r="E261" s="4" t="n">
        <v>14.3529</v>
      </c>
      <c r="F261" s="4" t="n">
        <v>6.2741</v>
      </c>
      <c r="G261" s="4" t="n">
        <v>22.4317</v>
      </c>
      <c r="H261" s="4" t="n">
        <v>560</v>
      </c>
      <c r="I261" s="4" t="inlineStr">
        <is>
          <t>C4</t>
        </is>
      </c>
      <c r="J261" s="6">
        <f>IF(ISNUMBER(G261),G261-F261,"")</f>
        <v/>
      </c>
    </row>
    <row r="262">
      <c r="A262" s="4" t="n">
        <v>2025</v>
      </c>
      <c r="B262" s="4" t="inlineStr">
        <is>
          <t>ccaa</t>
        </is>
      </c>
      <c r="C262" s="4" t="inlineStr">
        <is>
          <t>19</t>
        </is>
      </c>
      <c r="D262" s="4" t="inlineStr">
        <is>
          <t>tenencia_5</t>
        </is>
      </c>
      <c r="E262" s="4" t="n">
        <v>5.102</v>
      </c>
      <c r="F262" s="4" t="n">
        <v>0.8575</v>
      </c>
      <c r="G262" s="4" t="n">
        <v>9.346500000000001</v>
      </c>
      <c r="H262" s="4" t="n">
        <v>560</v>
      </c>
      <c r="I262" s="4" t="inlineStr">
        <is>
          <t>C4</t>
        </is>
      </c>
      <c r="J262" s="6">
        <f>IF(ISNUMBER(G262),G262-F262,"")</f>
        <v/>
      </c>
    </row>
    <row r="263">
      <c r="A263" s="4" t="n">
        <v>2025</v>
      </c>
      <c r="B263" s="4" t="inlineStr">
        <is>
          <t>ccaa</t>
        </is>
      </c>
      <c r="C263" s="4" t="inlineStr">
        <is>
          <t>19</t>
        </is>
      </c>
      <c r="D263" s="4" t="inlineStr">
        <is>
          <t>esfuerzo_alquiler_mediana</t>
        </is>
      </c>
      <c r="E263" s="4" t="n">
        <v>29.2193</v>
      </c>
      <c r="F263" s="4" t="n">
        <v>19.2524</v>
      </c>
      <c r="G263" s="4" t="n">
        <v>48.179</v>
      </c>
      <c r="H263" s="4" t="n">
        <v>125</v>
      </c>
      <c r="I263" s="4" t="inlineStr">
        <is>
          <t>C4</t>
        </is>
      </c>
      <c r="J263" s="6">
        <f>IF(ISNUMBER(G263),G263-F263,"")</f>
        <v/>
      </c>
    </row>
    <row r="264">
      <c r="A264" s="4" t="n">
        <v>2025</v>
      </c>
      <c r="B264" s="4" t="inlineStr">
        <is>
          <t>ccaa</t>
        </is>
      </c>
      <c r="C264" s="4" t="inlineStr">
        <is>
          <t>19</t>
        </is>
      </c>
      <c r="D264" s="4" t="inlineStr">
        <is>
          <t>esfuerzo_hipoteca_mediana</t>
        </is>
      </c>
      <c r="E264" s="4" t="n">
        <v>12.6683</v>
      </c>
      <c r="F264" s="4" t="n">
        <v>8.8728</v>
      </c>
      <c r="G264" s="4" t="n">
        <v>16.955</v>
      </c>
      <c r="H264" s="4" t="n">
        <v>123</v>
      </c>
      <c r="I264" s="4" t="inlineStr">
        <is>
          <t>C4</t>
        </is>
      </c>
      <c r="J264" s="6">
        <f>IF(ISNUMBER(G264),G264-F264,"")</f>
        <v/>
      </c>
    </row>
    <row r="265">
      <c r="A265" s="4" t="n">
        <v>2025</v>
      </c>
      <c r="B265" s="4" t="inlineStr">
        <is>
          <t>decil_renta</t>
        </is>
      </c>
      <c r="C265" s="4" t="inlineStr">
        <is>
          <t>1</t>
        </is>
      </c>
      <c r="D265" s="4" t="inlineStr">
        <is>
          <t>sobrecarga_30</t>
        </is>
      </c>
      <c r="E265" s="4" t="n">
        <v>56.1869</v>
      </c>
      <c r="F265" s="4" t="n">
        <v>52.5589</v>
      </c>
      <c r="G265" s="4" t="n">
        <v>59.8148</v>
      </c>
      <c r="H265" s="4" t="n">
        <v>5860</v>
      </c>
      <c r="I265" s="4" t="inlineStr">
        <is>
          <t>C4</t>
        </is>
      </c>
      <c r="J265" s="6">
        <f>IF(ISNUMBER(G265),G265-F265,"")</f>
        <v/>
      </c>
    </row>
    <row r="266">
      <c r="A266" s="4" t="n">
        <v>2025</v>
      </c>
      <c r="B266" s="4" t="inlineStr">
        <is>
          <t>decil_renta</t>
        </is>
      </c>
      <c r="C266" s="4" t="inlineStr">
        <is>
          <t>1</t>
        </is>
      </c>
      <c r="D266" s="4" t="inlineStr">
        <is>
          <t>sobrecarga_40</t>
        </is>
      </c>
      <c r="E266" s="4" t="n">
        <v>43.8489</v>
      </c>
      <c r="F266" s="4" t="n">
        <v>40.275</v>
      </c>
      <c r="G266" s="4" t="n">
        <v>47.4228</v>
      </c>
      <c r="H266" s="4" t="n">
        <v>5860</v>
      </c>
      <c r="I266" s="4" t="inlineStr">
        <is>
          <t>C4</t>
        </is>
      </c>
      <c r="J266" s="6">
        <f>IF(ISNUMBER(G266),G266-F266,"")</f>
        <v/>
      </c>
    </row>
    <row r="267">
      <c r="A267" s="4" t="n">
        <v>2025</v>
      </c>
      <c r="B267" s="4" t="inlineStr">
        <is>
          <t>decil_renta</t>
        </is>
      </c>
      <c r="C267" s="4" t="inlineStr">
        <is>
          <t>1</t>
        </is>
      </c>
      <c r="D267" s="4" t="inlineStr">
        <is>
          <t>esfuerzo_alquiler_30</t>
        </is>
      </c>
      <c r="E267" s="4" t="n">
        <v>67.86620000000001</v>
      </c>
      <c r="F267" s="4" t="n">
        <v>60.2733</v>
      </c>
      <c r="G267" s="4" t="n">
        <v>75.459</v>
      </c>
      <c r="H267" s="4" t="n">
        <v>1432</v>
      </c>
      <c r="I267" s="4" t="inlineStr">
        <is>
          <t>C4</t>
        </is>
      </c>
      <c r="J267" s="6">
        <f>IF(ISNUMBER(G267),G267-F267,"")</f>
        <v/>
      </c>
    </row>
    <row r="268">
      <c r="A268" s="4" t="n">
        <v>2025</v>
      </c>
      <c r="B268" s="4" t="inlineStr">
        <is>
          <t>decil_renta</t>
        </is>
      </c>
      <c r="C268" s="4" t="inlineStr">
        <is>
          <t>1</t>
        </is>
      </c>
      <c r="D268" s="4" t="inlineStr">
        <is>
          <t>esfuerzo_alquiler_40</t>
        </is>
      </c>
      <c r="E268" s="4" t="n">
        <v>56.9786</v>
      </c>
      <c r="F268" s="4" t="n">
        <v>49.3011</v>
      </c>
      <c r="G268" s="4" t="n">
        <v>64.65600000000001</v>
      </c>
      <c r="H268" s="4" t="n">
        <v>1432</v>
      </c>
      <c r="I268" s="4" t="inlineStr">
        <is>
          <t>C4</t>
        </is>
      </c>
      <c r="J268" s="6">
        <f>IF(ISNUMBER(G268),G268-F268,"")</f>
        <v/>
      </c>
    </row>
    <row r="269">
      <c r="A269" s="4" t="n">
        <v>2025</v>
      </c>
      <c r="B269" s="4" t="inlineStr">
        <is>
          <t>decil_renta</t>
        </is>
      </c>
      <c r="C269" s="4" t="inlineStr">
        <is>
          <t>1</t>
        </is>
      </c>
      <c r="D269" s="4" t="inlineStr">
        <is>
          <t>esfuerzo_hipoteca_30</t>
        </is>
      </c>
      <c r="E269" s="4" t="n">
        <v>64.0056</v>
      </c>
      <c r="F269" s="4" t="n">
        <v>54.2744</v>
      </c>
      <c r="G269" s="4" t="n">
        <v>73.7368</v>
      </c>
      <c r="H269" s="4" t="n">
        <v>895</v>
      </c>
      <c r="I269" s="4" t="inlineStr">
        <is>
          <t>C4</t>
        </is>
      </c>
      <c r="J269" s="6">
        <f>IF(ISNUMBER(G269),G269-F269,"")</f>
        <v/>
      </c>
    </row>
    <row r="270">
      <c r="A270" s="4" t="n">
        <v>2025</v>
      </c>
      <c r="B270" s="4" t="inlineStr">
        <is>
          <t>decil_renta</t>
        </is>
      </c>
      <c r="C270" s="4" t="inlineStr">
        <is>
          <t>1</t>
        </is>
      </c>
      <c r="D270" s="4" t="inlineStr">
        <is>
          <t>hacinamiento</t>
        </is>
      </c>
      <c r="E270" s="4" t="n">
        <v>16.8287</v>
      </c>
      <c r="F270" s="4" t="n">
        <v>13.4338</v>
      </c>
      <c r="G270" s="4" t="n">
        <v>20.2237</v>
      </c>
      <c r="H270" s="4" t="n">
        <v>5862</v>
      </c>
      <c r="I270" s="4" t="inlineStr">
        <is>
          <t>C4</t>
        </is>
      </c>
      <c r="J270" s="6">
        <f>IF(ISNUMBER(G270),G270-F270,"")</f>
        <v/>
      </c>
    </row>
    <row r="271">
      <c r="A271" s="4" t="n">
        <v>2025</v>
      </c>
      <c r="B271" s="4" t="inlineStr">
        <is>
          <t>decil_renta</t>
        </is>
      </c>
      <c r="C271" s="4" t="inlineStr">
        <is>
          <t>1</t>
        </is>
      </c>
      <c r="D271" s="4" t="inlineStr">
        <is>
          <t>tenencia_1</t>
        </is>
      </c>
      <c r="E271" s="4" t="n">
        <v>34.6597</v>
      </c>
      <c r="F271" s="4" t="n">
        <v>31.3248</v>
      </c>
      <c r="G271" s="4" t="n">
        <v>37.9947</v>
      </c>
      <c r="H271" s="4" t="n">
        <v>5901</v>
      </c>
      <c r="I271" s="4" t="inlineStr">
        <is>
          <t>C4</t>
        </is>
      </c>
      <c r="J271" s="6">
        <f>IF(ISNUMBER(G271),G271-F271,"")</f>
        <v/>
      </c>
    </row>
    <row r="272">
      <c r="A272" s="4" t="n">
        <v>2025</v>
      </c>
      <c r="B272" s="4" t="inlineStr">
        <is>
          <t>decil_renta</t>
        </is>
      </c>
      <c r="C272" s="4" t="inlineStr">
        <is>
          <t>1</t>
        </is>
      </c>
      <c r="D272" s="4" t="inlineStr">
        <is>
          <t>tenencia_2</t>
        </is>
      </c>
      <c r="E272" s="4" t="n">
        <v>16.5158</v>
      </c>
      <c r="F272" s="4" t="n">
        <v>13.7532</v>
      </c>
      <c r="G272" s="4" t="n">
        <v>19.2783</v>
      </c>
      <c r="H272" s="4" t="n">
        <v>5901</v>
      </c>
      <c r="I272" s="4" t="inlineStr">
        <is>
          <t>C4</t>
        </is>
      </c>
      <c r="J272" s="6">
        <f>IF(ISNUMBER(G272),G272-F272,"")</f>
        <v/>
      </c>
    </row>
    <row r="273">
      <c r="A273" s="4" t="n">
        <v>2025</v>
      </c>
      <c r="B273" s="4" t="inlineStr">
        <is>
          <t>decil_renta</t>
        </is>
      </c>
      <c r="C273" s="4" t="inlineStr">
        <is>
          <t>1</t>
        </is>
      </c>
      <c r="D273" s="4" t="inlineStr">
        <is>
          <t>tenencia_3</t>
        </is>
      </c>
      <c r="E273" s="4" t="n">
        <v>31.0922</v>
      </c>
      <c r="F273" s="4" t="n">
        <v>27.4928</v>
      </c>
      <c r="G273" s="4" t="n">
        <v>34.6916</v>
      </c>
      <c r="H273" s="4" t="n">
        <v>5901</v>
      </c>
      <c r="I273" s="4" t="inlineStr">
        <is>
          <t>C4</t>
        </is>
      </c>
      <c r="J273" s="6">
        <f>IF(ISNUMBER(G273),G273-F273,"")</f>
        <v/>
      </c>
    </row>
    <row r="274">
      <c r="A274" s="4" t="n">
        <v>2025</v>
      </c>
      <c r="B274" s="4" t="inlineStr">
        <is>
          <t>decil_renta</t>
        </is>
      </c>
      <c r="C274" s="4" t="inlineStr">
        <is>
          <t>1</t>
        </is>
      </c>
      <c r="D274" s="4" t="inlineStr">
        <is>
          <t>tenencia_4</t>
        </is>
      </c>
      <c r="E274" s="4" t="n">
        <v>8.011100000000001</v>
      </c>
      <c r="F274" s="4" t="n">
        <v>6.2019</v>
      </c>
      <c r="G274" s="4" t="n">
        <v>9.820399999999999</v>
      </c>
      <c r="H274" s="4" t="n">
        <v>5901</v>
      </c>
      <c r="I274" s="4" t="inlineStr">
        <is>
          <t>C4</t>
        </is>
      </c>
      <c r="J274" s="6">
        <f>IF(ISNUMBER(G274),G274-F274,"")</f>
        <v/>
      </c>
    </row>
    <row r="275">
      <c r="A275" s="4" t="n">
        <v>2025</v>
      </c>
      <c r="B275" s="4" t="inlineStr">
        <is>
          <t>decil_renta</t>
        </is>
      </c>
      <c r="C275" s="4" t="inlineStr">
        <is>
          <t>1</t>
        </is>
      </c>
      <c r="D275" s="4" t="inlineStr">
        <is>
          <t>tenencia_5</t>
        </is>
      </c>
      <c r="E275" s="4" t="n">
        <v>9.7212</v>
      </c>
      <c r="F275" s="4" t="n">
        <v>7.986</v>
      </c>
      <c r="G275" s="4" t="n">
        <v>11.4564</v>
      </c>
      <c r="H275" s="4" t="n">
        <v>5901</v>
      </c>
      <c r="I275" s="4" t="inlineStr">
        <is>
          <t>C4</t>
        </is>
      </c>
      <c r="J275" s="6">
        <f>IF(ISNUMBER(G275),G275-F275,"")</f>
        <v/>
      </c>
    </row>
    <row r="276">
      <c r="A276" s="4" t="n">
        <v>2025</v>
      </c>
      <c r="B276" s="4" t="inlineStr">
        <is>
          <t>decil_renta</t>
        </is>
      </c>
      <c r="C276" s="4" t="inlineStr">
        <is>
          <t>1</t>
        </is>
      </c>
      <c r="D276" s="4" t="inlineStr">
        <is>
          <t>esfuerzo_alquiler_mediana</t>
        </is>
      </c>
      <c r="E276" s="4" t="n">
        <v>44.5618</v>
      </c>
      <c r="F276" s="4" t="n">
        <v>38.6716</v>
      </c>
      <c r="G276" s="4" t="n">
        <v>49.6206</v>
      </c>
      <c r="H276" s="4" t="n">
        <v>1432</v>
      </c>
      <c r="I276" s="4" t="inlineStr">
        <is>
          <t>C4</t>
        </is>
      </c>
      <c r="J276" s="6">
        <f>IF(ISNUMBER(G276),G276-F276,"")</f>
        <v/>
      </c>
    </row>
    <row r="277">
      <c r="A277" s="4" t="n">
        <v>2025</v>
      </c>
      <c r="B277" s="4" t="inlineStr">
        <is>
          <t>decil_renta</t>
        </is>
      </c>
      <c r="C277" s="4" t="inlineStr">
        <is>
          <t>1</t>
        </is>
      </c>
      <c r="D277" s="4" t="inlineStr">
        <is>
          <t>esfuerzo_hipoteca_mediana</t>
        </is>
      </c>
      <c r="E277" s="4" t="n">
        <v>38.9368</v>
      </c>
      <c r="F277" s="4" t="n">
        <v>33.8205</v>
      </c>
      <c r="G277" s="4" t="n">
        <v>44.6382</v>
      </c>
      <c r="H277" s="4" t="n">
        <v>895</v>
      </c>
      <c r="I277" s="4" t="inlineStr">
        <is>
          <t>C4</t>
        </is>
      </c>
      <c r="J277" s="6">
        <f>IF(ISNUMBER(G277),G277-F277,"")</f>
        <v/>
      </c>
    </row>
    <row r="278">
      <c r="A278" s="4" t="n">
        <v>2025</v>
      </c>
      <c r="B278" s="4" t="inlineStr">
        <is>
          <t>decil_renta</t>
        </is>
      </c>
      <c r="C278" s="4" t="inlineStr">
        <is>
          <t>2</t>
        </is>
      </c>
      <c r="D278" s="4" t="inlineStr">
        <is>
          <t>sobrecarga_30</t>
        </is>
      </c>
      <c r="E278" s="4" t="n">
        <v>22.8946</v>
      </c>
      <c r="F278" s="4" t="n">
        <v>20.1091</v>
      </c>
      <c r="G278" s="4" t="n">
        <v>25.6801</v>
      </c>
      <c r="H278" s="4" t="n">
        <v>6145</v>
      </c>
      <c r="I278" s="4" t="inlineStr">
        <is>
          <t>C4</t>
        </is>
      </c>
      <c r="J278" s="6">
        <f>IF(ISNUMBER(G278),G278-F278,"")</f>
        <v/>
      </c>
    </row>
    <row r="279">
      <c r="A279" s="4" t="n">
        <v>2025</v>
      </c>
      <c r="B279" s="4" t="inlineStr">
        <is>
          <t>decil_renta</t>
        </is>
      </c>
      <c r="C279" s="4" t="inlineStr">
        <is>
          <t>2</t>
        </is>
      </c>
      <c r="D279" s="4" t="inlineStr">
        <is>
          <t>sobrecarga_40</t>
        </is>
      </c>
      <c r="E279" s="4" t="n">
        <v>11.6034</v>
      </c>
      <c r="F279" s="4" t="n">
        <v>9.8474</v>
      </c>
      <c r="G279" s="4" t="n">
        <v>13.3593</v>
      </c>
      <c r="H279" s="4" t="n">
        <v>6145</v>
      </c>
      <c r="I279" s="4" t="inlineStr">
        <is>
          <t>C4</t>
        </is>
      </c>
      <c r="J279" s="6">
        <f>IF(ISNUMBER(G279),G279-F279,"")</f>
        <v/>
      </c>
    </row>
    <row r="280">
      <c r="A280" s="4" t="n">
        <v>2025</v>
      </c>
      <c r="B280" s="4" t="inlineStr">
        <is>
          <t>decil_renta</t>
        </is>
      </c>
      <c r="C280" s="4" t="inlineStr">
        <is>
          <t>2</t>
        </is>
      </c>
      <c r="D280" s="4" t="inlineStr">
        <is>
          <t>esfuerzo_alquiler_30</t>
        </is>
      </c>
      <c r="E280" s="4" t="n">
        <v>35.5008</v>
      </c>
      <c r="F280" s="4" t="n">
        <v>28.679</v>
      </c>
      <c r="G280" s="4" t="n">
        <v>42.3226</v>
      </c>
      <c r="H280" s="4" t="n">
        <v>1266</v>
      </c>
      <c r="I280" s="4" t="inlineStr">
        <is>
          <t>C4</t>
        </is>
      </c>
      <c r="J280" s="6">
        <f>IF(ISNUMBER(G280),G280-F280,"")</f>
        <v/>
      </c>
    </row>
    <row r="281">
      <c r="A281" s="4" t="n">
        <v>2025</v>
      </c>
      <c r="B281" s="4" t="inlineStr">
        <is>
          <t>decil_renta</t>
        </is>
      </c>
      <c r="C281" s="4" t="inlineStr">
        <is>
          <t>2</t>
        </is>
      </c>
      <c r="D281" s="4" t="inlineStr">
        <is>
          <t>esfuerzo_alquiler_40</t>
        </is>
      </c>
      <c r="E281" s="4" t="n">
        <v>20.1464</v>
      </c>
      <c r="F281" s="4" t="n">
        <v>15.3313</v>
      </c>
      <c r="G281" s="4" t="n">
        <v>24.9615</v>
      </c>
      <c r="H281" s="4" t="n">
        <v>1266</v>
      </c>
      <c r="I281" s="4" t="inlineStr">
        <is>
          <t>C4</t>
        </is>
      </c>
      <c r="J281" s="6">
        <f>IF(ISNUMBER(G281),G281-F281,"")</f>
        <v/>
      </c>
    </row>
    <row r="282">
      <c r="A282" s="4" t="n">
        <v>2025</v>
      </c>
      <c r="B282" s="4" t="inlineStr">
        <is>
          <t>decil_renta</t>
        </is>
      </c>
      <c r="C282" s="4" t="inlineStr">
        <is>
          <t>2</t>
        </is>
      </c>
      <c r="D282" s="4" t="inlineStr">
        <is>
          <t>esfuerzo_hipoteca_30</t>
        </is>
      </c>
      <c r="E282" s="4" t="n">
        <v>21.2257</v>
      </c>
      <c r="F282" s="4" t="n">
        <v>15.9419</v>
      </c>
      <c r="G282" s="4" t="n">
        <v>26.5095</v>
      </c>
      <c r="H282" s="4" t="n">
        <v>1197</v>
      </c>
      <c r="I282" s="4" t="inlineStr">
        <is>
          <t>C4</t>
        </is>
      </c>
      <c r="J282" s="6">
        <f>IF(ISNUMBER(G282),G282-F282,"")</f>
        <v/>
      </c>
    </row>
    <row r="283">
      <c r="A283" s="4" t="n">
        <v>2025</v>
      </c>
      <c r="B283" s="4" t="inlineStr">
        <is>
          <t>decil_renta</t>
        </is>
      </c>
      <c r="C283" s="4" t="inlineStr">
        <is>
          <t>2</t>
        </is>
      </c>
      <c r="D283" s="4" t="inlineStr">
        <is>
          <t>hacinamiento</t>
        </is>
      </c>
      <c r="E283" s="4" t="n">
        <v>15.3086</v>
      </c>
      <c r="F283" s="4" t="n">
        <v>11.6486</v>
      </c>
      <c r="G283" s="4" t="n">
        <v>18.9685</v>
      </c>
      <c r="H283" s="4" t="n">
        <v>6175</v>
      </c>
      <c r="I283" s="4" t="inlineStr">
        <is>
          <t>C4</t>
        </is>
      </c>
      <c r="J283" s="6">
        <f>IF(ISNUMBER(G283),G283-F283,"")</f>
        <v/>
      </c>
    </row>
    <row r="284">
      <c r="A284" s="4" t="n">
        <v>2025</v>
      </c>
      <c r="B284" s="4" t="inlineStr">
        <is>
          <t>decil_renta</t>
        </is>
      </c>
      <c r="C284" s="4" t="inlineStr">
        <is>
          <t>2</t>
        </is>
      </c>
      <c r="D284" s="4" t="inlineStr">
        <is>
          <t>tenencia_1</t>
        </is>
      </c>
      <c r="E284" s="4" t="n">
        <v>38.2541</v>
      </c>
      <c r="F284" s="4" t="n">
        <v>35.214</v>
      </c>
      <c r="G284" s="4" t="n">
        <v>41.2941</v>
      </c>
      <c r="H284" s="4" t="n">
        <v>6189</v>
      </c>
      <c r="I284" s="4" t="inlineStr">
        <is>
          <t>C4</t>
        </is>
      </c>
      <c r="J284" s="6">
        <f>IF(ISNUMBER(G284),G284-F284,"")</f>
        <v/>
      </c>
    </row>
    <row r="285">
      <c r="A285" s="4" t="n">
        <v>2025</v>
      </c>
      <c r="B285" s="4" t="inlineStr">
        <is>
          <t>decil_renta</t>
        </is>
      </c>
      <c r="C285" s="4" t="inlineStr">
        <is>
          <t>2</t>
        </is>
      </c>
      <c r="D285" s="4" t="inlineStr">
        <is>
          <t>tenencia_2</t>
        </is>
      </c>
      <c r="E285" s="4" t="n">
        <v>20.5809</v>
      </c>
      <c r="F285" s="4" t="n">
        <v>17.3288</v>
      </c>
      <c r="G285" s="4" t="n">
        <v>23.833</v>
      </c>
      <c r="H285" s="4" t="n">
        <v>6189</v>
      </c>
      <c r="I285" s="4" t="inlineStr">
        <is>
          <t>C4</t>
        </is>
      </c>
      <c r="J285" s="6">
        <f>IF(ISNUMBER(G285),G285-F285,"")</f>
        <v/>
      </c>
    </row>
    <row r="286">
      <c r="A286" s="4" t="n">
        <v>2025</v>
      </c>
      <c r="B286" s="4" t="inlineStr">
        <is>
          <t>decil_renta</t>
        </is>
      </c>
      <c r="C286" s="4" t="inlineStr">
        <is>
          <t>2</t>
        </is>
      </c>
      <c r="D286" s="4" t="inlineStr">
        <is>
          <t>tenencia_3</t>
        </is>
      </c>
      <c r="E286" s="4" t="n">
        <v>27.0712</v>
      </c>
      <c r="F286" s="4" t="n">
        <v>23.5247</v>
      </c>
      <c r="G286" s="4" t="n">
        <v>30.6177</v>
      </c>
      <c r="H286" s="4" t="n">
        <v>6189</v>
      </c>
      <c r="I286" s="4" t="inlineStr">
        <is>
          <t>C4</t>
        </is>
      </c>
      <c r="J286" s="6">
        <f>IF(ISNUMBER(G286),G286-F286,"")</f>
        <v/>
      </c>
    </row>
    <row r="287">
      <c r="A287" s="4" t="n">
        <v>2025</v>
      </c>
      <c r="B287" s="4" t="inlineStr">
        <is>
          <t>decil_renta</t>
        </is>
      </c>
      <c r="C287" s="4" t="inlineStr">
        <is>
          <t>2</t>
        </is>
      </c>
      <c r="D287" s="4" t="inlineStr">
        <is>
          <t>tenencia_4</t>
        </is>
      </c>
      <c r="E287" s="4" t="n">
        <v>6.0614</v>
      </c>
      <c r="F287" s="4" t="n">
        <v>4.3181</v>
      </c>
      <c r="G287" s="4" t="n">
        <v>7.8048</v>
      </c>
      <c r="H287" s="4" t="n">
        <v>6189</v>
      </c>
      <c r="I287" s="4" t="inlineStr">
        <is>
          <t>C4</t>
        </is>
      </c>
      <c r="J287" s="6">
        <f>IF(ISNUMBER(G287),G287-F287,"")</f>
        <v/>
      </c>
    </row>
    <row r="288">
      <c r="A288" s="4" t="n">
        <v>2025</v>
      </c>
      <c r="B288" s="4" t="inlineStr">
        <is>
          <t>decil_renta</t>
        </is>
      </c>
      <c r="C288" s="4" t="inlineStr">
        <is>
          <t>2</t>
        </is>
      </c>
      <c r="D288" s="4" t="inlineStr">
        <is>
          <t>tenencia_5</t>
        </is>
      </c>
      <c r="E288" s="4" t="n">
        <v>8.032400000000001</v>
      </c>
      <c r="F288" s="4" t="n">
        <v>6.5292</v>
      </c>
      <c r="G288" s="4" t="n">
        <v>9.535500000000001</v>
      </c>
      <c r="H288" s="4" t="n">
        <v>6189</v>
      </c>
      <c r="I288" s="4" t="inlineStr">
        <is>
          <t>C4</t>
        </is>
      </c>
      <c r="J288" s="6">
        <f>IF(ISNUMBER(G288),G288-F288,"")</f>
        <v/>
      </c>
    </row>
    <row r="289">
      <c r="A289" s="4" t="n">
        <v>2025</v>
      </c>
      <c r="B289" s="4" t="inlineStr">
        <is>
          <t>decil_renta</t>
        </is>
      </c>
      <c r="C289" s="4" t="inlineStr">
        <is>
          <t>2</t>
        </is>
      </c>
      <c r="D289" s="4" t="inlineStr">
        <is>
          <t>esfuerzo_alquiler_mediana</t>
        </is>
      </c>
      <c r="E289" s="4" t="n">
        <v>25.2501</v>
      </c>
      <c r="F289" s="4" t="n">
        <v>23.916</v>
      </c>
      <c r="G289" s="4" t="n">
        <v>27.3362</v>
      </c>
      <c r="H289" s="4" t="n">
        <v>1266</v>
      </c>
      <c r="I289" s="4" t="inlineStr">
        <is>
          <t>C4</t>
        </is>
      </c>
      <c r="J289" s="6">
        <f>IF(ISNUMBER(G289),G289-F289,"")</f>
        <v/>
      </c>
    </row>
    <row r="290">
      <c r="A290" s="4" t="n">
        <v>2025</v>
      </c>
      <c r="B290" s="4" t="inlineStr">
        <is>
          <t>decil_renta</t>
        </is>
      </c>
      <c r="C290" s="4" t="inlineStr">
        <is>
          <t>2</t>
        </is>
      </c>
      <c r="D290" s="4" t="inlineStr">
        <is>
          <t>esfuerzo_hipoteca_mediana</t>
        </is>
      </c>
      <c r="E290" s="4" t="n">
        <v>19.3652</v>
      </c>
      <c r="F290" s="4" t="n">
        <v>17.9178</v>
      </c>
      <c r="G290" s="4" t="n">
        <v>22.3349</v>
      </c>
      <c r="H290" s="4" t="n">
        <v>1197</v>
      </c>
      <c r="I290" s="4" t="inlineStr">
        <is>
          <t>C4</t>
        </is>
      </c>
      <c r="J290" s="6">
        <f>IF(ISNUMBER(G290),G290-F290,"")</f>
        <v/>
      </c>
    </row>
    <row r="291">
      <c r="A291" s="4" t="n">
        <v>2025</v>
      </c>
      <c r="B291" s="4" t="inlineStr">
        <is>
          <t>decil_renta</t>
        </is>
      </c>
      <c r="C291" s="4" t="inlineStr">
        <is>
          <t>3</t>
        </is>
      </c>
      <c r="D291" s="4" t="inlineStr">
        <is>
          <t>sobrecarga_30</t>
        </is>
      </c>
      <c r="E291" s="4" t="n">
        <v>12.4038</v>
      </c>
      <c r="F291" s="4" t="n">
        <v>10.6776</v>
      </c>
      <c r="G291" s="4" t="n">
        <v>14.1299</v>
      </c>
      <c r="H291" s="4" t="n">
        <v>6465</v>
      </c>
      <c r="I291" s="4" t="inlineStr">
        <is>
          <t>C4</t>
        </is>
      </c>
      <c r="J291" s="6">
        <f>IF(ISNUMBER(G291),G291-F291,"")</f>
        <v/>
      </c>
    </row>
    <row r="292">
      <c r="A292" s="4" t="n">
        <v>2025</v>
      </c>
      <c r="B292" s="4" t="inlineStr">
        <is>
          <t>decil_renta</t>
        </is>
      </c>
      <c r="C292" s="4" t="inlineStr">
        <is>
          <t>3</t>
        </is>
      </c>
      <c r="D292" s="4" t="inlineStr">
        <is>
          <t>sobrecarga_40</t>
        </is>
      </c>
      <c r="E292" s="4" t="n">
        <v>6.2871</v>
      </c>
      <c r="F292" s="4" t="n">
        <v>5.1685</v>
      </c>
      <c r="G292" s="4" t="n">
        <v>7.4057</v>
      </c>
      <c r="H292" s="4" t="n">
        <v>6465</v>
      </c>
      <c r="I292" s="4" t="inlineStr">
        <is>
          <t>C4</t>
        </is>
      </c>
      <c r="J292" s="6">
        <f>IF(ISNUMBER(G292),G292-F292,"")</f>
        <v/>
      </c>
    </row>
    <row r="293">
      <c r="A293" s="4" t="n">
        <v>2025</v>
      </c>
      <c r="B293" s="4" t="inlineStr">
        <is>
          <t>decil_renta</t>
        </is>
      </c>
      <c r="C293" s="4" t="inlineStr">
        <is>
          <t>3</t>
        </is>
      </c>
      <c r="D293" s="4" t="inlineStr">
        <is>
          <t>esfuerzo_alquiler_30</t>
        </is>
      </c>
      <c r="E293" s="4" t="n">
        <v>25.8431</v>
      </c>
      <c r="F293" s="4" t="n">
        <v>19.443</v>
      </c>
      <c r="G293" s="4" t="n">
        <v>32.2433</v>
      </c>
      <c r="H293" s="4" t="n">
        <v>1142</v>
      </c>
      <c r="I293" s="4" t="inlineStr">
        <is>
          <t>C4</t>
        </is>
      </c>
      <c r="J293" s="6">
        <f>IF(ISNUMBER(G293),G293-F293,"")</f>
        <v/>
      </c>
    </row>
    <row r="294">
      <c r="A294" s="4" t="n">
        <v>2025</v>
      </c>
      <c r="B294" s="4" t="inlineStr">
        <is>
          <t>decil_renta</t>
        </is>
      </c>
      <c r="C294" s="4" t="inlineStr">
        <is>
          <t>3</t>
        </is>
      </c>
      <c r="D294" s="4" t="inlineStr">
        <is>
          <t>esfuerzo_alquiler_40</t>
        </is>
      </c>
      <c r="E294" s="4" t="n">
        <v>10.0982</v>
      </c>
      <c r="F294" s="4" t="n">
        <v>6.8821</v>
      </c>
      <c r="G294" s="4" t="n">
        <v>13.3142</v>
      </c>
      <c r="H294" s="4" t="n">
        <v>1142</v>
      </c>
      <c r="I294" s="4" t="inlineStr">
        <is>
          <t>C4</t>
        </is>
      </c>
      <c r="J294" s="6">
        <f>IF(ISNUMBER(G294),G294-F294,"")</f>
        <v/>
      </c>
    </row>
    <row r="295">
      <c r="A295" s="4" t="n">
        <v>2025</v>
      </c>
      <c r="B295" s="4" t="inlineStr">
        <is>
          <t>decil_renta</t>
        </is>
      </c>
      <c r="C295" s="4" t="inlineStr">
        <is>
          <t>3</t>
        </is>
      </c>
      <c r="D295" s="4" t="inlineStr">
        <is>
          <t>esfuerzo_hipoteca_30</t>
        </is>
      </c>
      <c r="E295" s="4" t="n">
        <v>13.9074</v>
      </c>
      <c r="F295" s="4" t="n">
        <v>10.2924</v>
      </c>
      <c r="G295" s="4" t="n">
        <v>17.5223</v>
      </c>
      <c r="H295" s="4" t="n">
        <v>1660</v>
      </c>
      <c r="I295" s="4" t="inlineStr">
        <is>
          <t>C4</t>
        </is>
      </c>
      <c r="J295" s="6">
        <f>IF(ISNUMBER(G295),G295-F295,"")</f>
        <v/>
      </c>
    </row>
    <row r="296">
      <c r="A296" s="4" t="n">
        <v>2025</v>
      </c>
      <c r="B296" s="4" t="inlineStr">
        <is>
          <t>decil_renta</t>
        </is>
      </c>
      <c r="C296" s="4" t="inlineStr">
        <is>
          <t>3</t>
        </is>
      </c>
      <c r="D296" s="4" t="inlineStr">
        <is>
          <t>hacinamiento</t>
        </is>
      </c>
      <c r="E296" s="4" t="n">
        <v>11.1022</v>
      </c>
      <c r="F296" s="4" t="n">
        <v>7.852</v>
      </c>
      <c r="G296" s="4" t="n">
        <v>14.3523</v>
      </c>
      <c r="H296" s="4" t="n">
        <v>6470</v>
      </c>
      <c r="I296" s="4" t="inlineStr">
        <is>
          <t>C4</t>
        </is>
      </c>
      <c r="J296" s="6">
        <f>IF(ISNUMBER(G296),G296-F296,"")</f>
        <v/>
      </c>
    </row>
    <row r="297">
      <c r="A297" s="4" t="n">
        <v>2025</v>
      </c>
      <c r="B297" s="4" t="inlineStr">
        <is>
          <t>decil_renta</t>
        </is>
      </c>
      <c r="C297" s="4" t="inlineStr">
        <is>
          <t>3</t>
        </is>
      </c>
      <c r="D297" s="4" t="inlineStr">
        <is>
          <t>tenencia_1</t>
        </is>
      </c>
      <c r="E297" s="4" t="n">
        <v>41.7254</v>
      </c>
      <c r="F297" s="4" t="n">
        <v>38.3991</v>
      </c>
      <c r="G297" s="4" t="n">
        <v>45.0517</v>
      </c>
      <c r="H297" s="4" t="n">
        <v>6489</v>
      </c>
      <c r="I297" s="4" t="inlineStr">
        <is>
          <t>C4</t>
        </is>
      </c>
      <c r="J297" s="6">
        <f>IF(ISNUMBER(G297),G297-F297,"")</f>
        <v/>
      </c>
    </row>
    <row r="298">
      <c r="A298" s="4" t="n">
        <v>2025</v>
      </c>
      <c r="B298" s="4" t="inlineStr">
        <is>
          <t>decil_renta</t>
        </is>
      </c>
      <c r="C298" s="4" t="inlineStr">
        <is>
          <t>3</t>
        </is>
      </c>
      <c r="D298" s="4" t="inlineStr">
        <is>
          <t>tenencia_2</t>
        </is>
      </c>
      <c r="E298" s="4" t="n">
        <v>24.7112</v>
      </c>
      <c r="F298" s="4" t="n">
        <v>22.0004</v>
      </c>
      <c r="G298" s="4" t="n">
        <v>27.422</v>
      </c>
      <c r="H298" s="4" t="n">
        <v>6489</v>
      </c>
      <c r="I298" s="4" t="inlineStr">
        <is>
          <t>C4</t>
        </is>
      </c>
      <c r="J298" s="6">
        <f>IF(ISNUMBER(G298),G298-F298,"")</f>
        <v/>
      </c>
    </row>
    <row r="299">
      <c r="A299" s="4" t="n">
        <v>2025</v>
      </c>
      <c r="B299" s="4" t="inlineStr">
        <is>
          <t>decil_renta</t>
        </is>
      </c>
      <c r="C299" s="4" t="inlineStr">
        <is>
          <t>3</t>
        </is>
      </c>
      <c r="D299" s="4" t="inlineStr">
        <is>
          <t>tenencia_3</t>
        </is>
      </c>
      <c r="E299" s="4" t="n">
        <v>23.29</v>
      </c>
      <c r="F299" s="4" t="n">
        <v>19.4942</v>
      </c>
      <c r="G299" s="4" t="n">
        <v>27.0858</v>
      </c>
      <c r="H299" s="4" t="n">
        <v>6489</v>
      </c>
      <c r="I299" s="4" t="inlineStr">
        <is>
          <t>C4</t>
        </is>
      </c>
      <c r="J299" s="6">
        <f>IF(ISNUMBER(G299),G299-F299,"")</f>
        <v/>
      </c>
    </row>
    <row r="300">
      <c r="A300" s="4" t="n">
        <v>2025</v>
      </c>
      <c r="B300" s="4" t="inlineStr">
        <is>
          <t>decil_renta</t>
        </is>
      </c>
      <c r="C300" s="4" t="inlineStr">
        <is>
          <t>3</t>
        </is>
      </c>
      <c r="D300" s="4" t="inlineStr">
        <is>
          <t>tenencia_4</t>
        </is>
      </c>
      <c r="E300" s="4" t="n">
        <v>4.1426</v>
      </c>
      <c r="F300" s="4" t="n">
        <v>3.0228</v>
      </c>
      <c r="G300" s="4" t="n">
        <v>5.2624</v>
      </c>
      <c r="H300" s="4" t="n">
        <v>6489</v>
      </c>
      <c r="I300" s="4" t="inlineStr">
        <is>
          <t>C4</t>
        </is>
      </c>
      <c r="J300" s="6">
        <f>IF(ISNUMBER(G300),G300-F300,"")</f>
        <v/>
      </c>
    </row>
    <row r="301">
      <c r="A301" s="4" t="n">
        <v>2025</v>
      </c>
      <c r="B301" s="4" t="inlineStr">
        <is>
          <t>decil_renta</t>
        </is>
      </c>
      <c r="C301" s="4" t="inlineStr">
        <is>
          <t>3</t>
        </is>
      </c>
      <c r="D301" s="4" t="inlineStr">
        <is>
          <t>tenencia_5</t>
        </is>
      </c>
      <c r="E301" s="4" t="n">
        <v>6.1308</v>
      </c>
      <c r="F301" s="4" t="n">
        <v>4.9846</v>
      </c>
      <c r="G301" s="4" t="n">
        <v>7.277</v>
      </c>
      <c r="H301" s="4" t="n">
        <v>6489</v>
      </c>
      <c r="I301" s="4" t="inlineStr">
        <is>
          <t>C4</t>
        </is>
      </c>
      <c r="J301" s="6">
        <f>IF(ISNUMBER(G301),G301-F301,"")</f>
        <v/>
      </c>
    </row>
    <row r="302">
      <c r="A302" s="4" t="n">
        <v>2025</v>
      </c>
      <c r="B302" s="4" t="inlineStr">
        <is>
          <t>decil_renta</t>
        </is>
      </c>
      <c r="C302" s="4" t="inlineStr">
        <is>
          <t>3</t>
        </is>
      </c>
      <c r="D302" s="4" t="inlineStr">
        <is>
          <t>esfuerzo_alquiler_mediana</t>
        </is>
      </c>
      <c r="E302" s="4" t="n">
        <v>21.1744</v>
      </c>
      <c r="F302" s="4" t="n">
        <v>18.4941</v>
      </c>
      <c r="G302" s="4" t="n">
        <v>22.9795</v>
      </c>
      <c r="H302" s="4" t="n">
        <v>1142</v>
      </c>
      <c r="I302" s="4" t="inlineStr">
        <is>
          <t>C4</t>
        </is>
      </c>
      <c r="J302" s="6">
        <f>IF(ISNUMBER(G302),G302-F302,"")</f>
        <v/>
      </c>
    </row>
    <row r="303">
      <c r="A303" s="4" t="n">
        <v>2025</v>
      </c>
      <c r="B303" s="4" t="inlineStr">
        <is>
          <t>decil_renta</t>
        </is>
      </c>
      <c r="C303" s="4" t="inlineStr">
        <is>
          <t>3</t>
        </is>
      </c>
      <c r="D303" s="4" t="inlineStr">
        <is>
          <t>esfuerzo_hipoteca_mediana</t>
        </is>
      </c>
      <c r="E303" s="4" t="n">
        <v>16.5111</v>
      </c>
      <c r="F303" s="4" t="n">
        <v>15.5519</v>
      </c>
      <c r="G303" s="4" t="n">
        <v>17.7188</v>
      </c>
      <c r="H303" s="4" t="n">
        <v>1660</v>
      </c>
      <c r="I303" s="4" t="inlineStr">
        <is>
          <t>C4</t>
        </is>
      </c>
      <c r="J303" s="6">
        <f>IF(ISNUMBER(G303),G303-F303,"")</f>
        <v/>
      </c>
    </row>
    <row r="304">
      <c r="A304" s="4" t="n">
        <v>2025</v>
      </c>
      <c r="B304" s="4" t="inlineStr">
        <is>
          <t>decil_renta</t>
        </is>
      </c>
      <c r="C304" s="4" t="inlineStr">
        <is>
          <t>4</t>
        </is>
      </c>
      <c r="D304" s="4" t="inlineStr">
        <is>
          <t>sobrecarga_30</t>
        </is>
      </c>
      <c r="E304" s="4" t="n">
        <v>9.4795</v>
      </c>
      <c r="F304" s="4" t="n">
        <v>8.078900000000001</v>
      </c>
      <c r="G304" s="4" t="n">
        <v>10.8802</v>
      </c>
      <c r="H304" s="4" t="n">
        <v>6832</v>
      </c>
      <c r="I304" s="4" t="inlineStr">
        <is>
          <t>C4</t>
        </is>
      </c>
      <c r="J304" s="6">
        <f>IF(ISNUMBER(G304),G304-F304,"")</f>
        <v/>
      </c>
    </row>
    <row r="305">
      <c r="A305" s="4" t="n">
        <v>2025</v>
      </c>
      <c r="B305" s="4" t="inlineStr">
        <is>
          <t>decil_renta</t>
        </is>
      </c>
      <c r="C305" s="4" t="inlineStr">
        <is>
          <t>4</t>
        </is>
      </c>
      <c r="D305" s="4" t="inlineStr">
        <is>
          <t>sobrecarga_40</t>
        </is>
      </c>
      <c r="E305" s="4" t="n">
        <v>4.1595</v>
      </c>
      <c r="F305" s="4" t="n">
        <v>3.2574</v>
      </c>
      <c r="G305" s="4" t="n">
        <v>5.0617</v>
      </c>
      <c r="H305" s="4" t="n">
        <v>6832</v>
      </c>
      <c r="I305" s="4" t="inlineStr">
        <is>
          <t>C4</t>
        </is>
      </c>
      <c r="J305" s="6">
        <f>IF(ISNUMBER(G305),G305-F305,"")</f>
        <v/>
      </c>
    </row>
    <row r="306">
      <c r="A306" s="4" t="n">
        <v>2025</v>
      </c>
      <c r="B306" s="4" t="inlineStr">
        <is>
          <t>decil_renta</t>
        </is>
      </c>
      <c r="C306" s="4" t="inlineStr">
        <is>
          <t>4</t>
        </is>
      </c>
      <c r="D306" s="4" t="inlineStr">
        <is>
          <t>esfuerzo_alquiler_30</t>
        </is>
      </c>
      <c r="E306" s="4" t="n">
        <v>21.6983</v>
      </c>
      <c r="F306" s="4" t="n">
        <v>16.2039</v>
      </c>
      <c r="G306" s="4" t="n">
        <v>27.1927</v>
      </c>
      <c r="H306" s="4" t="n">
        <v>1014</v>
      </c>
      <c r="I306" s="4" t="inlineStr">
        <is>
          <t>C4</t>
        </is>
      </c>
      <c r="J306" s="6">
        <f>IF(ISNUMBER(G306),G306-F306,"")</f>
        <v/>
      </c>
    </row>
    <row r="307">
      <c r="A307" s="4" t="n">
        <v>2025</v>
      </c>
      <c r="B307" s="4" t="inlineStr">
        <is>
          <t>decil_renta</t>
        </is>
      </c>
      <c r="C307" s="4" t="inlineStr">
        <is>
          <t>4</t>
        </is>
      </c>
      <c r="D307" s="4" t="inlineStr">
        <is>
          <t>esfuerzo_alquiler_40</t>
        </is>
      </c>
      <c r="E307" s="4" t="n">
        <v>9.331799999999999</v>
      </c>
      <c r="F307" s="4" t="n">
        <v>5.8961</v>
      </c>
      <c r="G307" s="4" t="n">
        <v>12.7675</v>
      </c>
      <c r="H307" s="4" t="n">
        <v>1014</v>
      </c>
      <c r="I307" s="4" t="inlineStr">
        <is>
          <t>C4</t>
        </is>
      </c>
      <c r="J307" s="6">
        <f>IF(ISNUMBER(G307),G307-F307,"")</f>
        <v/>
      </c>
    </row>
    <row r="308">
      <c r="A308" s="4" t="n">
        <v>2025</v>
      </c>
      <c r="B308" s="4" t="inlineStr">
        <is>
          <t>decil_renta</t>
        </is>
      </c>
      <c r="C308" s="4" t="inlineStr">
        <is>
          <t>4</t>
        </is>
      </c>
      <c r="D308" s="4" t="inlineStr">
        <is>
          <t>esfuerzo_hipoteca_30</t>
        </is>
      </c>
      <c r="E308" s="4" t="n">
        <v>8.1767</v>
      </c>
      <c r="F308" s="4" t="n">
        <v>5.8744</v>
      </c>
      <c r="G308" s="4" t="n">
        <v>10.479</v>
      </c>
      <c r="H308" s="4" t="n">
        <v>1805</v>
      </c>
      <c r="I308" s="4" t="inlineStr">
        <is>
          <t>C4</t>
        </is>
      </c>
      <c r="J308" s="6">
        <f>IF(ISNUMBER(G308),G308-F308,"")</f>
        <v/>
      </c>
    </row>
    <row r="309">
      <c r="A309" s="4" t="n">
        <v>2025</v>
      </c>
      <c r="B309" s="4" t="inlineStr">
        <is>
          <t>decil_renta</t>
        </is>
      </c>
      <c r="C309" s="4" t="inlineStr">
        <is>
          <t>4</t>
        </is>
      </c>
      <c r="D309" s="4" t="inlineStr">
        <is>
          <t>hacinamiento</t>
        </is>
      </c>
      <c r="E309" s="4" t="n">
        <v>10.8339</v>
      </c>
      <c r="F309" s="4" t="n">
        <v>8.2906</v>
      </c>
      <c r="G309" s="4" t="n">
        <v>13.3772</v>
      </c>
      <c r="H309" s="4" t="n">
        <v>6833</v>
      </c>
      <c r="I309" s="4" t="inlineStr">
        <is>
          <t>C4</t>
        </is>
      </c>
      <c r="J309" s="6">
        <f>IF(ISNUMBER(G309),G309-F309,"")</f>
        <v/>
      </c>
    </row>
    <row r="310">
      <c r="A310" s="4" t="n">
        <v>2025</v>
      </c>
      <c r="B310" s="4" t="inlineStr">
        <is>
          <t>decil_renta</t>
        </is>
      </c>
      <c r="C310" s="4" t="inlineStr">
        <is>
          <t>4</t>
        </is>
      </c>
      <c r="D310" s="4" t="inlineStr">
        <is>
          <t>tenencia_1</t>
        </is>
      </c>
      <c r="E310" s="4" t="n">
        <v>44.5456</v>
      </c>
      <c r="F310" s="4" t="n">
        <v>41.5293</v>
      </c>
      <c r="G310" s="4" t="n">
        <v>47.5619</v>
      </c>
      <c r="H310" s="4" t="n">
        <v>6850</v>
      </c>
      <c r="I310" s="4" t="inlineStr">
        <is>
          <t>C4</t>
        </is>
      </c>
      <c r="J310" s="6">
        <f>IF(ISNUMBER(G310),G310-F310,"")</f>
        <v/>
      </c>
    </row>
    <row r="311">
      <c r="A311" s="4" t="n">
        <v>2025</v>
      </c>
      <c r="B311" s="4" t="inlineStr">
        <is>
          <t>decil_renta</t>
        </is>
      </c>
      <c r="C311" s="4" t="inlineStr">
        <is>
          <t>4</t>
        </is>
      </c>
      <c r="D311" s="4" t="inlineStr">
        <is>
          <t>tenencia_2</t>
        </is>
      </c>
      <c r="E311" s="4" t="n">
        <v>24.766</v>
      </c>
      <c r="F311" s="4" t="n">
        <v>22.3223</v>
      </c>
      <c r="G311" s="4" t="n">
        <v>27.2097</v>
      </c>
      <c r="H311" s="4" t="n">
        <v>6850</v>
      </c>
      <c r="I311" s="4" t="inlineStr">
        <is>
          <t>C4</t>
        </is>
      </c>
      <c r="J311" s="6">
        <f>IF(ISNUMBER(G311),G311-F311,"")</f>
        <v/>
      </c>
    </row>
    <row r="312">
      <c r="A312" s="4" t="n">
        <v>2025</v>
      </c>
      <c r="B312" s="4" t="inlineStr">
        <is>
          <t>decil_renta</t>
        </is>
      </c>
      <c r="C312" s="4" t="inlineStr">
        <is>
          <t>4</t>
        </is>
      </c>
      <c r="D312" s="4" t="inlineStr">
        <is>
          <t>tenencia_3</t>
        </is>
      </c>
      <c r="E312" s="4" t="n">
        <v>20.1721</v>
      </c>
      <c r="F312" s="4" t="n">
        <v>16.9531</v>
      </c>
      <c r="G312" s="4" t="n">
        <v>23.3911</v>
      </c>
      <c r="H312" s="4" t="n">
        <v>6850</v>
      </c>
      <c r="I312" s="4" t="inlineStr">
        <is>
          <t>C4</t>
        </is>
      </c>
      <c r="J312" s="6">
        <f>IF(ISNUMBER(G312),G312-F312,"")</f>
        <v/>
      </c>
    </row>
    <row r="313">
      <c r="A313" s="4" t="n">
        <v>2025</v>
      </c>
      <c r="B313" s="4" t="inlineStr">
        <is>
          <t>decil_renta</t>
        </is>
      </c>
      <c r="C313" s="4" t="inlineStr">
        <is>
          <t>4</t>
        </is>
      </c>
      <c r="D313" s="4" t="inlineStr">
        <is>
          <t>tenencia_4</t>
        </is>
      </c>
      <c r="E313" s="4" t="n">
        <v>4.2294</v>
      </c>
      <c r="F313" s="4" t="n">
        <v>2.988</v>
      </c>
      <c r="G313" s="4" t="n">
        <v>5.4707</v>
      </c>
      <c r="H313" s="4" t="n">
        <v>6850</v>
      </c>
      <c r="I313" s="4" t="inlineStr">
        <is>
          <t>C4</t>
        </is>
      </c>
      <c r="J313" s="6">
        <f>IF(ISNUMBER(G313),G313-F313,"")</f>
        <v/>
      </c>
    </row>
    <row r="314">
      <c r="A314" s="4" t="n">
        <v>2025</v>
      </c>
      <c r="B314" s="4" t="inlineStr">
        <is>
          <t>decil_renta</t>
        </is>
      </c>
      <c r="C314" s="4" t="inlineStr">
        <is>
          <t>4</t>
        </is>
      </c>
      <c r="D314" s="4" t="inlineStr">
        <is>
          <t>tenencia_5</t>
        </is>
      </c>
      <c r="E314" s="4" t="n">
        <v>6.2869</v>
      </c>
      <c r="F314" s="4" t="n">
        <v>4.945</v>
      </c>
      <c r="G314" s="4" t="n">
        <v>7.6289</v>
      </c>
      <c r="H314" s="4" t="n">
        <v>6850</v>
      </c>
      <c r="I314" s="4" t="inlineStr">
        <is>
          <t>C4</t>
        </is>
      </c>
      <c r="J314" s="6">
        <f>IF(ISNUMBER(G314),G314-F314,"")</f>
        <v/>
      </c>
    </row>
    <row r="315">
      <c r="A315" s="4" t="n">
        <v>2025</v>
      </c>
      <c r="B315" s="4" t="inlineStr">
        <is>
          <t>decil_renta</t>
        </is>
      </c>
      <c r="C315" s="4" t="inlineStr">
        <is>
          <t>4</t>
        </is>
      </c>
      <c r="D315" s="4" t="inlineStr">
        <is>
          <t>esfuerzo_alquiler_mediana</t>
        </is>
      </c>
      <c r="E315" s="4" t="n">
        <v>20.9814</v>
      </c>
      <c r="F315" s="4" t="n">
        <v>19.0025</v>
      </c>
      <c r="G315" s="4" t="n">
        <v>22.8688</v>
      </c>
      <c r="H315" s="4" t="n">
        <v>1014</v>
      </c>
      <c r="I315" s="4" t="inlineStr">
        <is>
          <t>C4</t>
        </is>
      </c>
      <c r="J315" s="6">
        <f>IF(ISNUMBER(G315),G315-F315,"")</f>
        <v/>
      </c>
    </row>
    <row r="316">
      <c r="A316" s="4" t="n">
        <v>2025</v>
      </c>
      <c r="B316" s="4" t="inlineStr">
        <is>
          <t>decil_renta</t>
        </is>
      </c>
      <c r="C316" s="4" t="inlineStr">
        <is>
          <t>4</t>
        </is>
      </c>
      <c r="D316" s="4" t="inlineStr">
        <is>
          <t>esfuerzo_hipoteca_mediana</t>
        </is>
      </c>
      <c r="E316" s="4" t="n">
        <v>15.5722</v>
      </c>
      <c r="F316" s="4" t="n">
        <v>14.7415</v>
      </c>
      <c r="G316" s="4" t="n">
        <v>17.2384</v>
      </c>
      <c r="H316" s="4" t="n">
        <v>1805</v>
      </c>
      <c r="I316" s="4" t="inlineStr">
        <is>
          <t>C4</t>
        </is>
      </c>
      <c r="J316" s="6">
        <f>IF(ISNUMBER(G316),G316-F316,"")</f>
        <v/>
      </c>
    </row>
    <row r="317">
      <c r="A317" s="4" t="n">
        <v>2025</v>
      </c>
      <c r="B317" s="4" t="inlineStr">
        <is>
          <t>decil_renta</t>
        </is>
      </c>
      <c r="C317" s="4" t="inlineStr">
        <is>
          <t>5</t>
        </is>
      </c>
      <c r="D317" s="4" t="inlineStr">
        <is>
          <t>sobrecarga_30</t>
        </is>
      </c>
      <c r="E317" s="4" t="n">
        <v>7.9612</v>
      </c>
      <c r="F317" s="4" t="n">
        <v>6.2173</v>
      </c>
      <c r="G317" s="4" t="n">
        <v>9.705</v>
      </c>
      <c r="H317" s="4" t="n">
        <v>7103</v>
      </c>
      <c r="I317" s="4" t="inlineStr">
        <is>
          <t>C4</t>
        </is>
      </c>
      <c r="J317" s="6">
        <f>IF(ISNUMBER(G317),G317-F317,"")</f>
        <v/>
      </c>
    </row>
    <row r="318">
      <c r="A318" s="4" t="n">
        <v>2025</v>
      </c>
      <c r="B318" s="4" t="inlineStr">
        <is>
          <t>decil_renta</t>
        </is>
      </c>
      <c r="C318" s="4" t="inlineStr">
        <is>
          <t>5</t>
        </is>
      </c>
      <c r="D318" s="4" t="inlineStr">
        <is>
          <t>sobrecarga_40</t>
        </is>
      </c>
      <c r="E318" s="4" t="n">
        <v>2.2791</v>
      </c>
      <c r="F318" s="4" t="n">
        <v>1.6098</v>
      </c>
      <c r="G318" s="4" t="n">
        <v>2.9484</v>
      </c>
      <c r="H318" s="4" t="n">
        <v>7103</v>
      </c>
      <c r="I318" s="4" t="inlineStr">
        <is>
          <t>C4</t>
        </is>
      </c>
      <c r="J318" s="6">
        <f>IF(ISNUMBER(G318),G318-F318,"")</f>
        <v/>
      </c>
    </row>
    <row r="319">
      <c r="A319" s="4" t="n">
        <v>2025</v>
      </c>
      <c r="B319" s="4" t="inlineStr">
        <is>
          <t>decil_renta</t>
        </is>
      </c>
      <c r="C319" s="4" t="inlineStr">
        <is>
          <t>5</t>
        </is>
      </c>
      <c r="D319" s="4" t="inlineStr">
        <is>
          <t>esfuerzo_alquiler_30</t>
        </is>
      </c>
      <c r="E319" s="4" t="n">
        <v>15.7956</v>
      </c>
      <c r="F319" s="4" t="n">
        <v>10.9018</v>
      </c>
      <c r="G319" s="4" t="n">
        <v>20.6894</v>
      </c>
      <c r="H319" s="4" t="n">
        <v>894</v>
      </c>
      <c r="I319" s="4" t="inlineStr">
        <is>
          <t>C4</t>
        </is>
      </c>
      <c r="J319" s="6">
        <f>IF(ISNUMBER(G319),G319-F319,"")</f>
        <v/>
      </c>
    </row>
    <row r="320">
      <c r="A320" s="4" t="n">
        <v>2025</v>
      </c>
      <c r="B320" s="4" t="inlineStr">
        <is>
          <t>decil_renta</t>
        </is>
      </c>
      <c r="C320" s="4" t="inlineStr">
        <is>
          <t>5</t>
        </is>
      </c>
      <c r="D320" s="4" t="inlineStr">
        <is>
          <t>esfuerzo_alquiler_40</t>
        </is>
      </c>
      <c r="E320" s="4" t="n">
        <v>4.0765</v>
      </c>
      <c r="F320" s="4" t="n">
        <v>2.0698</v>
      </c>
      <c r="G320" s="4" t="n">
        <v>6.0832</v>
      </c>
      <c r="H320" s="4" t="n">
        <v>894</v>
      </c>
      <c r="I320" s="4" t="inlineStr">
        <is>
          <t>C4</t>
        </is>
      </c>
      <c r="J320" s="6">
        <f>IF(ISNUMBER(G320),G320-F320,"")</f>
        <v/>
      </c>
    </row>
    <row r="321">
      <c r="A321" s="4" t="n">
        <v>2025</v>
      </c>
      <c r="B321" s="4" t="inlineStr">
        <is>
          <t>decil_renta</t>
        </is>
      </c>
      <c r="C321" s="4" t="inlineStr">
        <is>
          <t>5</t>
        </is>
      </c>
      <c r="D321" s="4" t="inlineStr">
        <is>
          <t>esfuerzo_hipoteca_30</t>
        </is>
      </c>
      <c r="E321" s="4" t="n">
        <v>5.4187</v>
      </c>
      <c r="F321" s="4" t="n">
        <v>3.8446</v>
      </c>
      <c r="G321" s="4" t="n">
        <v>6.9928</v>
      </c>
      <c r="H321" s="4" t="n">
        <v>2041</v>
      </c>
      <c r="I321" s="4" t="inlineStr">
        <is>
          <t>C4</t>
        </is>
      </c>
      <c r="J321" s="6">
        <f>IF(ISNUMBER(G321),G321-F321,"")</f>
        <v/>
      </c>
    </row>
    <row r="322">
      <c r="A322" s="4" t="n">
        <v>2025</v>
      </c>
      <c r="B322" s="4" t="inlineStr">
        <is>
          <t>decil_renta</t>
        </is>
      </c>
      <c r="C322" s="4" t="inlineStr">
        <is>
          <t>5</t>
        </is>
      </c>
      <c r="D322" s="4" t="inlineStr">
        <is>
          <t>hacinamiento</t>
        </is>
      </c>
      <c r="E322" s="4" t="n">
        <v>10.545</v>
      </c>
      <c r="F322" s="4" t="n">
        <v>7.8337</v>
      </c>
      <c r="G322" s="4" t="n">
        <v>13.2563</v>
      </c>
      <c r="H322" s="4" t="n">
        <v>7115</v>
      </c>
      <c r="I322" s="4" t="inlineStr">
        <is>
          <t>C4</t>
        </is>
      </c>
      <c r="J322" s="6">
        <f>IF(ISNUMBER(G322),G322-F322,"")</f>
        <v/>
      </c>
    </row>
    <row r="323">
      <c r="A323" s="4" t="n">
        <v>2025</v>
      </c>
      <c r="B323" s="4" t="inlineStr">
        <is>
          <t>decil_renta</t>
        </is>
      </c>
      <c r="C323" s="4" t="inlineStr">
        <is>
          <t>5</t>
        </is>
      </c>
      <c r="D323" s="4" t="inlineStr">
        <is>
          <t>tenencia_1</t>
        </is>
      </c>
      <c r="E323" s="4" t="n">
        <v>44.4299</v>
      </c>
      <c r="F323" s="4" t="n">
        <v>41.6512</v>
      </c>
      <c r="G323" s="4" t="n">
        <v>47.2087</v>
      </c>
      <c r="H323" s="4" t="n">
        <v>7130</v>
      </c>
      <c r="I323" s="4" t="inlineStr">
        <is>
          <t>C4</t>
        </is>
      </c>
      <c r="J323" s="6">
        <f>IF(ISNUMBER(G323),G323-F323,"")</f>
        <v/>
      </c>
    </row>
    <row r="324">
      <c r="A324" s="4" t="n">
        <v>2025</v>
      </c>
      <c r="B324" s="4" t="inlineStr">
        <is>
          <t>decil_renta</t>
        </is>
      </c>
      <c r="C324" s="4" t="inlineStr">
        <is>
          <t>5</t>
        </is>
      </c>
      <c r="D324" s="4" t="inlineStr">
        <is>
          <t>tenencia_2</t>
        </is>
      </c>
      <c r="E324" s="4" t="n">
        <v>27.5345</v>
      </c>
      <c r="F324" s="4" t="n">
        <v>25.0859</v>
      </c>
      <c r="G324" s="4" t="n">
        <v>29.9832</v>
      </c>
      <c r="H324" s="4" t="n">
        <v>7130</v>
      </c>
      <c r="I324" s="4" t="inlineStr">
        <is>
          <t>C4</t>
        </is>
      </c>
      <c r="J324" s="6">
        <f>IF(ISNUMBER(G324),G324-F324,"")</f>
        <v/>
      </c>
    </row>
    <row r="325">
      <c r="A325" s="4" t="n">
        <v>2025</v>
      </c>
      <c r="B325" s="4" t="inlineStr">
        <is>
          <t>decil_renta</t>
        </is>
      </c>
      <c r="C325" s="4" t="inlineStr">
        <is>
          <t>5</t>
        </is>
      </c>
      <c r="D325" s="4" t="inlineStr">
        <is>
          <t>tenencia_3</t>
        </is>
      </c>
      <c r="E325" s="4" t="n">
        <v>18.6941</v>
      </c>
      <c r="F325" s="4" t="n">
        <v>15.919</v>
      </c>
      <c r="G325" s="4" t="n">
        <v>21.4693</v>
      </c>
      <c r="H325" s="4" t="n">
        <v>7130</v>
      </c>
      <c r="I325" s="4" t="inlineStr">
        <is>
          <t>C4</t>
        </is>
      </c>
      <c r="J325" s="6">
        <f>IF(ISNUMBER(G325),G325-F325,"")</f>
        <v/>
      </c>
    </row>
    <row r="326">
      <c r="A326" s="4" t="n">
        <v>2025</v>
      </c>
      <c r="B326" s="4" t="inlineStr">
        <is>
          <t>decil_renta</t>
        </is>
      </c>
      <c r="C326" s="4" t="inlineStr">
        <is>
          <t>5</t>
        </is>
      </c>
      <c r="D326" s="4" t="inlineStr">
        <is>
          <t>tenencia_4</t>
        </is>
      </c>
      <c r="E326" s="4" t="n">
        <v>2.974</v>
      </c>
      <c r="F326" s="4" t="n">
        <v>2.1423</v>
      </c>
      <c r="G326" s="4" t="n">
        <v>3.8056</v>
      </c>
      <c r="H326" s="4" t="n">
        <v>7130</v>
      </c>
      <c r="I326" s="4" t="inlineStr">
        <is>
          <t>C4</t>
        </is>
      </c>
      <c r="J326" s="6">
        <f>IF(ISNUMBER(G326),G326-F326,"")</f>
        <v/>
      </c>
    </row>
    <row r="327">
      <c r="A327" s="4" t="n">
        <v>2025</v>
      </c>
      <c r="B327" s="4" t="inlineStr">
        <is>
          <t>decil_renta</t>
        </is>
      </c>
      <c r="C327" s="4" t="inlineStr">
        <is>
          <t>5</t>
        </is>
      </c>
      <c r="D327" s="4" t="inlineStr">
        <is>
          <t>tenencia_5</t>
        </is>
      </c>
      <c r="E327" s="4" t="n">
        <v>6.3674</v>
      </c>
      <c r="F327" s="4" t="n">
        <v>5.2509</v>
      </c>
      <c r="G327" s="4" t="n">
        <v>7.484</v>
      </c>
      <c r="H327" s="4" t="n">
        <v>7130</v>
      </c>
      <c r="I327" s="4" t="inlineStr">
        <is>
          <t>C4</t>
        </is>
      </c>
      <c r="J327" s="6">
        <f>IF(ISNUMBER(G327),G327-F327,"")</f>
        <v/>
      </c>
    </row>
    <row r="328">
      <c r="A328" s="4" t="n">
        <v>2025</v>
      </c>
      <c r="B328" s="4" t="inlineStr">
        <is>
          <t>decil_renta</t>
        </is>
      </c>
      <c r="C328" s="4" t="inlineStr">
        <is>
          <t>5</t>
        </is>
      </c>
      <c r="D328" s="4" t="inlineStr">
        <is>
          <t>esfuerzo_alquiler_mediana</t>
        </is>
      </c>
      <c r="E328" s="4" t="n">
        <v>20.5288</v>
      </c>
      <c r="F328" s="4" t="n">
        <v>18.8293</v>
      </c>
      <c r="G328" s="4" t="n">
        <v>23.2131</v>
      </c>
      <c r="H328" s="4" t="n">
        <v>894</v>
      </c>
      <c r="I328" s="4" t="inlineStr">
        <is>
          <t>C4</t>
        </is>
      </c>
      <c r="J328" s="6">
        <f>IF(ISNUMBER(G328),G328-F328,"")</f>
        <v/>
      </c>
    </row>
    <row r="329">
      <c r="A329" s="4" t="n">
        <v>2025</v>
      </c>
      <c r="B329" s="4" t="inlineStr">
        <is>
          <t>decil_renta</t>
        </is>
      </c>
      <c r="C329" s="4" t="inlineStr">
        <is>
          <t>5</t>
        </is>
      </c>
      <c r="D329" s="4" t="inlineStr">
        <is>
          <t>esfuerzo_hipoteca_mediana</t>
        </is>
      </c>
      <c r="E329" s="4" t="n">
        <v>15.179</v>
      </c>
      <c r="F329" s="4" t="n">
        <v>14.4095</v>
      </c>
      <c r="G329" s="4" t="n">
        <v>15.9314</v>
      </c>
      <c r="H329" s="4" t="n">
        <v>2041</v>
      </c>
      <c r="I329" s="4" t="inlineStr">
        <is>
          <t>C4</t>
        </is>
      </c>
      <c r="J329" s="6">
        <f>IF(ISNUMBER(G329),G329-F329,"")</f>
        <v/>
      </c>
    </row>
    <row r="330">
      <c r="A330" s="4" t="n">
        <v>2025</v>
      </c>
      <c r="B330" s="4" t="inlineStr">
        <is>
          <t>decil_renta</t>
        </is>
      </c>
      <c r="C330" s="4" t="inlineStr">
        <is>
          <t>6</t>
        </is>
      </c>
      <c r="D330" s="4" t="inlineStr">
        <is>
          <t>sobrecarga_30</t>
        </is>
      </c>
      <c r="E330" s="4" t="n">
        <v>3.7539</v>
      </c>
      <c r="F330" s="4" t="n">
        <v>3.0021</v>
      </c>
      <c r="G330" s="4" t="n">
        <v>4.5057</v>
      </c>
      <c r="H330" s="4" t="n">
        <v>7564</v>
      </c>
      <c r="I330" s="4" t="inlineStr">
        <is>
          <t>C4</t>
        </is>
      </c>
      <c r="J330" s="6">
        <f>IF(ISNUMBER(G330),G330-F330,"")</f>
        <v/>
      </c>
    </row>
    <row r="331">
      <c r="A331" s="4" t="n">
        <v>2025</v>
      </c>
      <c r="B331" s="4" t="inlineStr">
        <is>
          <t>decil_renta</t>
        </is>
      </c>
      <c r="C331" s="4" t="inlineStr">
        <is>
          <t>6</t>
        </is>
      </c>
      <c r="D331" s="4" t="inlineStr">
        <is>
          <t>sobrecarga_40</t>
        </is>
      </c>
      <c r="E331" s="4" t="n">
        <v>1.5</v>
      </c>
      <c r="F331" s="4" t="n">
        <v>1.0777</v>
      </c>
      <c r="G331" s="4" t="n">
        <v>1.9223</v>
      </c>
      <c r="H331" s="4" t="n">
        <v>7564</v>
      </c>
      <c r="I331" s="4" t="inlineStr">
        <is>
          <t>C4</t>
        </is>
      </c>
      <c r="J331" s="6">
        <f>IF(ISNUMBER(G331),G331-F331,"")</f>
        <v/>
      </c>
    </row>
    <row r="332">
      <c r="A332" s="4" t="n">
        <v>2025</v>
      </c>
      <c r="B332" s="4" t="inlineStr">
        <is>
          <t>decil_renta</t>
        </is>
      </c>
      <c r="C332" s="4" t="inlineStr">
        <is>
          <t>6</t>
        </is>
      </c>
      <c r="D332" s="4" t="inlineStr">
        <is>
          <t>esfuerzo_alquiler_30</t>
        </is>
      </c>
      <c r="E332" s="4" t="n">
        <v>12.7115</v>
      </c>
      <c r="F332" s="4" t="n">
        <v>9.0174</v>
      </c>
      <c r="G332" s="4" t="n">
        <v>16.4056</v>
      </c>
      <c r="H332" s="4" t="n">
        <v>842</v>
      </c>
      <c r="I332" s="4" t="inlineStr">
        <is>
          <t>C4</t>
        </is>
      </c>
      <c r="J332" s="6">
        <f>IF(ISNUMBER(G332),G332-F332,"")</f>
        <v/>
      </c>
    </row>
    <row r="333">
      <c r="A333" s="4" t="n">
        <v>2025</v>
      </c>
      <c r="B333" s="4" t="inlineStr">
        <is>
          <t>decil_renta</t>
        </is>
      </c>
      <c r="C333" s="4" t="inlineStr">
        <is>
          <t>6</t>
        </is>
      </c>
      <c r="D333" s="4" t="inlineStr">
        <is>
          <t>esfuerzo_alquiler_40</t>
        </is>
      </c>
      <c r="E333" s="4" t="n">
        <v>4.7973</v>
      </c>
      <c r="F333" s="4" t="n">
        <v>2.7942</v>
      </c>
      <c r="G333" s="4" t="n">
        <v>6.8005</v>
      </c>
      <c r="H333" s="4" t="n">
        <v>842</v>
      </c>
      <c r="I333" s="4" t="inlineStr">
        <is>
          <t>C4</t>
        </is>
      </c>
      <c r="J333" s="6">
        <f>IF(ISNUMBER(G333),G333-F333,"")</f>
        <v/>
      </c>
    </row>
    <row r="334">
      <c r="A334" s="4" t="n">
        <v>2025</v>
      </c>
      <c r="B334" s="4" t="inlineStr">
        <is>
          <t>decil_renta</t>
        </is>
      </c>
      <c r="C334" s="4" t="inlineStr">
        <is>
          <t>6</t>
        </is>
      </c>
      <c r="D334" s="4" t="inlineStr">
        <is>
          <t>esfuerzo_hipoteca_30</t>
        </is>
      </c>
      <c r="E334" s="4" t="n">
        <v>3.4014</v>
      </c>
      <c r="F334" s="4" t="n">
        <v>2.2579</v>
      </c>
      <c r="G334" s="4" t="n">
        <v>4.5449</v>
      </c>
      <c r="H334" s="4" t="n">
        <v>2517</v>
      </c>
      <c r="I334" s="4" t="inlineStr">
        <is>
          <t>C4</t>
        </is>
      </c>
      <c r="J334" s="6">
        <f>IF(ISNUMBER(G334),G334-F334,"")</f>
        <v/>
      </c>
    </row>
    <row r="335">
      <c r="A335" s="4" t="n">
        <v>2025</v>
      </c>
      <c r="B335" s="4" t="inlineStr">
        <is>
          <t>decil_renta</t>
        </is>
      </c>
      <c r="C335" s="4" t="inlineStr">
        <is>
          <t>6</t>
        </is>
      </c>
      <c r="D335" s="4" t="inlineStr">
        <is>
          <t>hacinamiento</t>
        </is>
      </c>
      <c r="E335" s="4" t="n">
        <v>5.6156</v>
      </c>
      <c r="F335" s="4" t="n">
        <v>4.0595</v>
      </c>
      <c r="G335" s="4" t="n">
        <v>7.1717</v>
      </c>
      <c r="H335" s="4" t="n">
        <v>7556</v>
      </c>
      <c r="I335" s="4" t="inlineStr">
        <is>
          <t>C4</t>
        </is>
      </c>
      <c r="J335" s="6">
        <f>IF(ISNUMBER(G335),G335-F335,"")</f>
        <v/>
      </c>
    </row>
    <row r="336">
      <c r="A336" s="4" t="n">
        <v>2025</v>
      </c>
      <c r="B336" s="4" t="inlineStr">
        <is>
          <t>decil_renta</t>
        </is>
      </c>
      <c r="C336" s="4" t="inlineStr">
        <is>
          <t>6</t>
        </is>
      </c>
      <c r="D336" s="4" t="inlineStr">
        <is>
          <t>tenencia_1</t>
        </is>
      </c>
      <c r="E336" s="4" t="n">
        <v>44.5741</v>
      </c>
      <c r="F336" s="4" t="n">
        <v>41.9406</v>
      </c>
      <c r="G336" s="4" t="n">
        <v>47.2075</v>
      </c>
      <c r="H336" s="4" t="n">
        <v>7577</v>
      </c>
      <c r="I336" s="4" t="inlineStr">
        <is>
          <t>C4</t>
        </is>
      </c>
      <c r="J336" s="6">
        <f>IF(ISNUMBER(G336),G336-F336,"")</f>
        <v/>
      </c>
    </row>
    <row r="337">
      <c r="A337" s="4" t="n">
        <v>2025</v>
      </c>
      <c r="B337" s="4" t="inlineStr">
        <is>
          <t>decil_renta</t>
        </is>
      </c>
      <c r="C337" s="4" t="inlineStr">
        <is>
          <t>6</t>
        </is>
      </c>
      <c r="D337" s="4" t="inlineStr">
        <is>
          <t>tenencia_2</t>
        </is>
      </c>
      <c r="E337" s="4" t="n">
        <v>33.5877</v>
      </c>
      <c r="F337" s="4" t="n">
        <v>30.8949</v>
      </c>
      <c r="G337" s="4" t="n">
        <v>36.2806</v>
      </c>
      <c r="H337" s="4" t="n">
        <v>7577</v>
      </c>
      <c r="I337" s="4" t="inlineStr">
        <is>
          <t>C4</t>
        </is>
      </c>
      <c r="J337" s="6">
        <f>IF(ISNUMBER(G337),G337-F337,"")</f>
        <v/>
      </c>
    </row>
    <row r="338">
      <c r="A338" s="4" t="n">
        <v>2025</v>
      </c>
      <c r="B338" s="4" t="inlineStr">
        <is>
          <t>decil_renta</t>
        </is>
      </c>
      <c r="C338" s="4" t="inlineStr">
        <is>
          <t>6</t>
        </is>
      </c>
      <c r="D338" s="4" t="inlineStr">
        <is>
          <t>tenencia_3</t>
        </is>
      </c>
      <c r="E338" s="4" t="n">
        <v>15.1948</v>
      </c>
      <c r="F338" s="4" t="n">
        <v>12.8442</v>
      </c>
      <c r="G338" s="4" t="n">
        <v>17.5455</v>
      </c>
      <c r="H338" s="4" t="n">
        <v>7577</v>
      </c>
      <c r="I338" s="4" t="inlineStr">
        <is>
          <t>C4</t>
        </is>
      </c>
      <c r="J338" s="6">
        <f>IF(ISNUMBER(G338),G338-F338,"")</f>
        <v/>
      </c>
    </row>
    <row r="339">
      <c r="A339" s="4" t="n">
        <v>2025</v>
      </c>
      <c r="B339" s="4" t="inlineStr">
        <is>
          <t>decil_renta</t>
        </is>
      </c>
      <c r="C339" s="4" t="inlineStr">
        <is>
          <t>6</t>
        </is>
      </c>
      <c r="D339" s="4" t="inlineStr">
        <is>
          <t>tenencia_4</t>
        </is>
      </c>
      <c r="E339" s="4" t="n">
        <v>2.0537</v>
      </c>
      <c r="F339" s="4" t="n">
        <v>1.1282</v>
      </c>
      <c r="G339" s="4" t="n">
        <v>2.9792</v>
      </c>
      <c r="H339" s="4" t="n">
        <v>7577</v>
      </c>
      <c r="I339" s="4" t="inlineStr">
        <is>
          <t>C4</t>
        </is>
      </c>
      <c r="J339" s="6">
        <f>IF(ISNUMBER(G339),G339-F339,"")</f>
        <v/>
      </c>
    </row>
    <row r="340">
      <c r="A340" s="4" t="n">
        <v>2025</v>
      </c>
      <c r="B340" s="4" t="inlineStr">
        <is>
          <t>decil_renta</t>
        </is>
      </c>
      <c r="C340" s="4" t="inlineStr">
        <is>
          <t>6</t>
        </is>
      </c>
      <c r="D340" s="4" t="inlineStr">
        <is>
          <t>tenencia_5</t>
        </is>
      </c>
      <c r="E340" s="4" t="n">
        <v>4.5897</v>
      </c>
      <c r="F340" s="4" t="n">
        <v>3.5837</v>
      </c>
      <c r="G340" s="4" t="n">
        <v>5.5956</v>
      </c>
      <c r="H340" s="4" t="n">
        <v>7577</v>
      </c>
      <c r="I340" s="4" t="inlineStr">
        <is>
          <t>C4</t>
        </is>
      </c>
      <c r="J340" s="6">
        <f>IF(ISNUMBER(G340),G340-F340,"")</f>
        <v/>
      </c>
    </row>
    <row r="341">
      <c r="A341" s="4" t="n">
        <v>2025</v>
      </c>
      <c r="B341" s="4" t="inlineStr">
        <is>
          <t>decil_renta</t>
        </is>
      </c>
      <c r="C341" s="4" t="inlineStr">
        <is>
          <t>6</t>
        </is>
      </c>
      <c r="D341" s="4" t="inlineStr">
        <is>
          <t>esfuerzo_alquiler_mediana</t>
        </is>
      </c>
      <c r="E341" s="4" t="n">
        <v>17.6156</v>
      </c>
      <c r="F341" s="4" t="n">
        <v>15.8342</v>
      </c>
      <c r="G341" s="4" t="n">
        <v>18.9382</v>
      </c>
      <c r="H341" s="4" t="n">
        <v>842</v>
      </c>
      <c r="I341" s="4" t="inlineStr">
        <is>
          <t>C4</t>
        </is>
      </c>
      <c r="J341" s="6">
        <f>IF(ISNUMBER(G341),G341-F341,"")</f>
        <v/>
      </c>
    </row>
    <row r="342">
      <c r="A342" s="4" t="n">
        <v>2025</v>
      </c>
      <c r="B342" s="4" t="inlineStr">
        <is>
          <t>decil_renta</t>
        </is>
      </c>
      <c r="C342" s="4" t="inlineStr">
        <is>
          <t>6</t>
        </is>
      </c>
      <c r="D342" s="4" t="inlineStr">
        <is>
          <t>esfuerzo_hipoteca_mediana</t>
        </is>
      </c>
      <c r="E342" s="4" t="n">
        <v>13.0747</v>
      </c>
      <c r="F342" s="4" t="n">
        <v>12.3172</v>
      </c>
      <c r="G342" s="4" t="n">
        <v>13.7593</v>
      </c>
      <c r="H342" s="4" t="n">
        <v>2517</v>
      </c>
      <c r="I342" s="4" t="inlineStr">
        <is>
          <t>C4</t>
        </is>
      </c>
      <c r="J342" s="6">
        <f>IF(ISNUMBER(G342),G342-F342,"")</f>
        <v/>
      </c>
    </row>
    <row r="343">
      <c r="A343" s="4" t="n">
        <v>2025</v>
      </c>
      <c r="B343" s="4" t="inlineStr">
        <is>
          <t>decil_renta</t>
        </is>
      </c>
      <c r="C343" s="4" t="inlineStr">
        <is>
          <t>7</t>
        </is>
      </c>
      <c r="D343" s="4" t="inlineStr">
        <is>
          <t>sobrecarga_30</t>
        </is>
      </c>
      <c r="E343" s="4" t="n">
        <v>3.4531</v>
      </c>
      <c r="F343" s="4" t="n">
        <v>2.4995</v>
      </c>
      <c r="G343" s="4" t="n">
        <v>4.4067</v>
      </c>
      <c r="H343" s="4" t="n">
        <v>7633</v>
      </c>
      <c r="I343" s="4" t="inlineStr">
        <is>
          <t>C4</t>
        </is>
      </c>
      <c r="J343" s="6">
        <f>IF(ISNUMBER(G343),G343-F343,"")</f>
        <v/>
      </c>
    </row>
    <row r="344">
      <c r="A344" s="4" t="n">
        <v>2025</v>
      </c>
      <c r="B344" s="4" t="inlineStr">
        <is>
          <t>decil_renta</t>
        </is>
      </c>
      <c r="C344" s="4" t="inlineStr">
        <is>
          <t>7</t>
        </is>
      </c>
      <c r="D344" s="4" t="inlineStr">
        <is>
          <t>sobrecarga_40</t>
        </is>
      </c>
      <c r="E344" s="4" t="n">
        <v>1.0655</v>
      </c>
      <c r="F344" s="4" t="n">
        <v>0.5065</v>
      </c>
      <c r="G344" s="4" t="n">
        <v>1.6246</v>
      </c>
      <c r="H344" s="4" t="n">
        <v>7633</v>
      </c>
      <c r="I344" s="4" t="inlineStr">
        <is>
          <t>C4</t>
        </is>
      </c>
      <c r="J344" s="6">
        <f>IF(ISNUMBER(G344),G344-F344,"")</f>
        <v/>
      </c>
    </row>
    <row r="345">
      <c r="A345" s="4" t="n">
        <v>2025</v>
      </c>
      <c r="B345" s="4" t="inlineStr">
        <is>
          <t>decil_renta</t>
        </is>
      </c>
      <c r="C345" s="4" t="inlineStr">
        <is>
          <t>7</t>
        </is>
      </c>
      <c r="D345" s="4" t="inlineStr">
        <is>
          <t>esfuerzo_alquiler_30</t>
        </is>
      </c>
      <c r="E345" s="4" t="n">
        <v>13.3021</v>
      </c>
      <c r="F345" s="4" t="n">
        <v>7.7441</v>
      </c>
      <c r="G345" s="4" t="n">
        <v>18.8602</v>
      </c>
      <c r="H345" s="4" t="n">
        <v>672</v>
      </c>
      <c r="I345" s="4" t="inlineStr">
        <is>
          <t>C4</t>
        </is>
      </c>
      <c r="J345" s="6">
        <f>IF(ISNUMBER(G345),G345-F345,"")</f>
        <v/>
      </c>
    </row>
    <row r="346">
      <c r="A346" s="4" t="n">
        <v>2025</v>
      </c>
      <c r="B346" s="4" t="inlineStr">
        <is>
          <t>decil_renta</t>
        </is>
      </c>
      <c r="C346" s="4" t="inlineStr">
        <is>
          <t>7</t>
        </is>
      </c>
      <c r="D346" s="4" t="inlineStr">
        <is>
          <t>esfuerzo_alquiler_40</t>
        </is>
      </c>
      <c r="E346" s="4" t="n">
        <v>6.283</v>
      </c>
      <c r="F346" s="4" t="n">
        <v>1.8715</v>
      </c>
      <c r="G346" s="4" t="n">
        <v>10.6945</v>
      </c>
      <c r="H346" s="4" t="n">
        <v>672</v>
      </c>
      <c r="I346" s="4" t="inlineStr">
        <is>
          <t>C4</t>
        </is>
      </c>
      <c r="J346" s="6">
        <f>IF(ISNUMBER(G346),G346-F346,"")</f>
        <v/>
      </c>
    </row>
    <row r="347">
      <c r="A347" s="4" t="n">
        <v>2025</v>
      </c>
      <c r="B347" s="4" t="inlineStr">
        <is>
          <t>decil_renta</t>
        </is>
      </c>
      <c r="C347" s="4" t="inlineStr">
        <is>
          <t>7</t>
        </is>
      </c>
      <c r="D347" s="4" t="inlineStr">
        <is>
          <t>esfuerzo_hipoteca_30</t>
        </is>
      </c>
      <c r="E347" s="4" t="n">
        <v>2.7749</v>
      </c>
      <c r="F347" s="4" t="n">
        <v>1.3282</v>
      </c>
      <c r="G347" s="4" t="n">
        <v>4.2217</v>
      </c>
      <c r="H347" s="4" t="n">
        <v>2411</v>
      </c>
      <c r="I347" s="4" t="inlineStr">
        <is>
          <t>C4</t>
        </is>
      </c>
      <c r="J347" s="6">
        <f>IF(ISNUMBER(G347),G347-F347,"")</f>
        <v/>
      </c>
    </row>
    <row r="348">
      <c r="A348" s="4" t="n">
        <v>2025</v>
      </c>
      <c r="B348" s="4" t="inlineStr">
        <is>
          <t>decil_renta</t>
        </is>
      </c>
      <c r="C348" s="4" t="inlineStr">
        <is>
          <t>7</t>
        </is>
      </c>
      <c r="D348" s="4" t="inlineStr">
        <is>
          <t>hacinamiento</t>
        </is>
      </c>
      <c r="E348" s="4" t="n">
        <v>6.5592</v>
      </c>
      <c r="F348" s="4" t="n">
        <v>4.2053</v>
      </c>
      <c r="G348" s="4" t="n">
        <v>8.9131</v>
      </c>
      <c r="H348" s="4" t="n">
        <v>7616</v>
      </c>
      <c r="I348" s="4" t="inlineStr">
        <is>
          <t>C4</t>
        </is>
      </c>
      <c r="J348" s="6">
        <f>IF(ISNUMBER(G348),G348-F348,"")</f>
        <v/>
      </c>
    </row>
    <row r="349">
      <c r="A349" s="4" t="n">
        <v>2025</v>
      </c>
      <c r="B349" s="4" t="inlineStr">
        <is>
          <t>decil_renta</t>
        </is>
      </c>
      <c r="C349" s="4" t="inlineStr">
        <is>
          <t>7</t>
        </is>
      </c>
      <c r="D349" s="4" t="inlineStr">
        <is>
          <t>tenencia_1</t>
        </is>
      </c>
      <c r="E349" s="4" t="n">
        <v>50.0788</v>
      </c>
      <c r="F349" s="4" t="n">
        <v>47.3587</v>
      </c>
      <c r="G349" s="4" t="n">
        <v>52.7989</v>
      </c>
      <c r="H349" s="4" t="n">
        <v>7648</v>
      </c>
      <c r="I349" s="4" t="inlineStr">
        <is>
          <t>C4</t>
        </is>
      </c>
      <c r="J349" s="6">
        <f>IF(ISNUMBER(G349),G349-F349,"")</f>
        <v/>
      </c>
    </row>
    <row r="350">
      <c r="A350" s="4" t="n">
        <v>2025</v>
      </c>
      <c r="B350" s="4" t="inlineStr">
        <is>
          <t>decil_renta</t>
        </is>
      </c>
      <c r="C350" s="4" t="inlineStr">
        <is>
          <t>7</t>
        </is>
      </c>
      <c r="D350" s="4" t="inlineStr">
        <is>
          <t>tenencia_2</t>
        </is>
      </c>
      <c r="E350" s="4" t="n">
        <v>31.7745</v>
      </c>
      <c r="F350" s="4" t="n">
        <v>29.3513</v>
      </c>
      <c r="G350" s="4" t="n">
        <v>34.1978</v>
      </c>
      <c r="H350" s="4" t="n">
        <v>7648</v>
      </c>
      <c r="I350" s="4" t="inlineStr">
        <is>
          <t>C4</t>
        </is>
      </c>
      <c r="J350" s="6">
        <f>IF(ISNUMBER(G350),G350-F350,"")</f>
        <v/>
      </c>
    </row>
    <row r="351">
      <c r="A351" s="4" t="n">
        <v>2025</v>
      </c>
      <c r="B351" s="4" t="inlineStr">
        <is>
          <t>decil_renta</t>
        </is>
      </c>
      <c r="C351" s="4" t="inlineStr">
        <is>
          <t>7</t>
        </is>
      </c>
      <c r="D351" s="4" t="inlineStr">
        <is>
          <t>tenencia_3</t>
        </is>
      </c>
      <c r="E351" s="4" t="n">
        <v>11.8413</v>
      </c>
      <c r="F351" s="4" t="n">
        <v>9.491099999999999</v>
      </c>
      <c r="G351" s="4" t="n">
        <v>14.1914</v>
      </c>
      <c r="H351" s="4" t="n">
        <v>7648</v>
      </c>
      <c r="I351" s="4" t="inlineStr">
        <is>
          <t>C4</t>
        </is>
      </c>
      <c r="J351" s="6">
        <f>IF(ISNUMBER(G351),G351-F351,"")</f>
        <v/>
      </c>
    </row>
    <row r="352">
      <c r="A352" s="4" t="n">
        <v>2025</v>
      </c>
      <c r="B352" s="4" t="inlineStr">
        <is>
          <t>decil_renta</t>
        </is>
      </c>
      <c r="C352" s="4" t="inlineStr">
        <is>
          <t>7</t>
        </is>
      </c>
      <c r="D352" s="4" t="inlineStr">
        <is>
          <t>tenencia_4</t>
        </is>
      </c>
      <c r="E352" s="4" t="n">
        <v>2.2832</v>
      </c>
      <c r="F352" s="4" t="n">
        <v>1.3328</v>
      </c>
      <c r="G352" s="4" t="n">
        <v>3.2336</v>
      </c>
      <c r="H352" s="4" t="n">
        <v>7648</v>
      </c>
      <c r="I352" s="4" t="inlineStr">
        <is>
          <t>C4</t>
        </is>
      </c>
      <c r="J352" s="6">
        <f>IF(ISNUMBER(G352),G352-F352,"")</f>
        <v/>
      </c>
    </row>
    <row r="353">
      <c r="A353" s="4" t="n">
        <v>2025</v>
      </c>
      <c r="B353" s="4" t="inlineStr">
        <is>
          <t>decil_renta</t>
        </is>
      </c>
      <c r="C353" s="4" t="inlineStr">
        <is>
          <t>7</t>
        </is>
      </c>
      <c r="D353" s="4" t="inlineStr">
        <is>
          <t>tenencia_5</t>
        </is>
      </c>
      <c r="E353" s="4" t="n">
        <v>4.0223</v>
      </c>
      <c r="F353" s="4" t="n">
        <v>3.052</v>
      </c>
      <c r="G353" s="4" t="n">
        <v>4.9925</v>
      </c>
      <c r="H353" s="4" t="n">
        <v>7648</v>
      </c>
      <c r="I353" s="4" t="inlineStr">
        <is>
          <t>C4</t>
        </is>
      </c>
      <c r="J353" s="6">
        <f>IF(ISNUMBER(G353),G353-F353,"")</f>
        <v/>
      </c>
    </row>
    <row r="354">
      <c r="A354" s="4" t="n">
        <v>2025</v>
      </c>
      <c r="B354" s="4" t="inlineStr">
        <is>
          <t>decil_renta</t>
        </is>
      </c>
      <c r="C354" s="4" t="inlineStr">
        <is>
          <t>7</t>
        </is>
      </c>
      <c r="D354" s="4" t="inlineStr">
        <is>
          <t>esfuerzo_alquiler_mediana</t>
        </is>
      </c>
      <c r="E354" s="4" t="n">
        <v>17.785</v>
      </c>
      <c r="F354" s="4" t="n">
        <v>15.0436</v>
      </c>
      <c r="G354" s="4" t="n">
        <v>20.0692</v>
      </c>
      <c r="H354" s="4" t="n">
        <v>672</v>
      </c>
      <c r="I354" s="4" t="inlineStr">
        <is>
          <t>C4</t>
        </is>
      </c>
      <c r="J354" s="6">
        <f>IF(ISNUMBER(G354),G354-F354,"")</f>
        <v/>
      </c>
    </row>
    <row r="355">
      <c r="A355" s="4" t="n">
        <v>2025</v>
      </c>
      <c r="B355" s="4" t="inlineStr">
        <is>
          <t>decil_renta</t>
        </is>
      </c>
      <c r="C355" s="4" t="inlineStr">
        <is>
          <t>7</t>
        </is>
      </c>
      <c r="D355" s="4" t="inlineStr">
        <is>
          <t>esfuerzo_hipoteca_mediana</t>
        </is>
      </c>
      <c r="E355" s="4" t="n">
        <v>12.8579</v>
      </c>
      <c r="F355" s="4" t="n">
        <v>12.2731</v>
      </c>
      <c r="G355" s="4" t="n">
        <v>13.4434</v>
      </c>
      <c r="H355" s="4" t="n">
        <v>2411</v>
      </c>
      <c r="I355" s="4" t="inlineStr">
        <is>
          <t>C4</t>
        </is>
      </c>
      <c r="J355" s="6">
        <f>IF(ISNUMBER(G355),G355-F355,"")</f>
        <v/>
      </c>
    </row>
    <row r="356">
      <c r="A356" s="4" t="n">
        <v>2025</v>
      </c>
      <c r="B356" s="4" t="inlineStr">
        <is>
          <t>decil_renta</t>
        </is>
      </c>
      <c r="C356" s="4" t="inlineStr">
        <is>
          <t>8</t>
        </is>
      </c>
      <c r="D356" s="4" t="inlineStr">
        <is>
          <t>sobrecarga_30</t>
        </is>
      </c>
      <c r="E356" s="4" t="n">
        <v>2.0651</v>
      </c>
      <c r="F356" s="4" t="n">
        <v>1.5115</v>
      </c>
      <c r="G356" s="4" t="n">
        <v>2.6188</v>
      </c>
      <c r="H356" s="4" t="n">
        <v>7712</v>
      </c>
      <c r="I356" s="4" t="inlineStr">
        <is>
          <t>C4</t>
        </is>
      </c>
      <c r="J356" s="6">
        <f>IF(ISNUMBER(G356),G356-F356,"")</f>
        <v/>
      </c>
    </row>
    <row r="357">
      <c r="A357" s="4" t="n">
        <v>2025</v>
      </c>
      <c r="B357" s="4" t="inlineStr">
        <is>
          <t>decil_renta</t>
        </is>
      </c>
      <c r="C357" s="4" t="inlineStr">
        <is>
          <t>8</t>
        </is>
      </c>
      <c r="D357" s="4" t="inlineStr">
        <is>
          <t>sobrecarga_40</t>
        </is>
      </c>
      <c r="E357" s="4" t="n">
        <v>0.7081</v>
      </c>
      <c r="F357" s="4" t="n">
        <v>0.3485</v>
      </c>
      <c r="G357" s="4" t="n">
        <v>1.0678</v>
      </c>
      <c r="H357" s="4" t="n">
        <v>7712</v>
      </c>
      <c r="I357" s="4" t="inlineStr">
        <is>
          <t>C4</t>
        </is>
      </c>
      <c r="J357" s="6">
        <f>IF(ISNUMBER(G357),G357-F357,"")</f>
        <v/>
      </c>
    </row>
    <row r="358">
      <c r="A358" s="4" t="n">
        <v>2025</v>
      </c>
      <c r="B358" s="4" t="inlineStr">
        <is>
          <t>decil_renta</t>
        </is>
      </c>
      <c r="C358" s="4" t="inlineStr">
        <is>
          <t>8</t>
        </is>
      </c>
      <c r="D358" s="4" t="inlineStr">
        <is>
          <t>esfuerzo_alquiler_30</t>
        </is>
      </c>
      <c r="E358" s="4" t="n">
        <v>14.3375</v>
      </c>
      <c r="F358" s="4" t="n">
        <v>9.1898</v>
      </c>
      <c r="G358" s="4" t="n">
        <v>19.4853</v>
      </c>
      <c r="H358" s="4" t="n">
        <v>563</v>
      </c>
      <c r="I358" s="4" t="inlineStr">
        <is>
          <t>C4</t>
        </is>
      </c>
      <c r="J358" s="6">
        <f>IF(ISNUMBER(G358),G358-F358,"")</f>
        <v/>
      </c>
    </row>
    <row r="359">
      <c r="A359" s="4" t="n">
        <v>2025</v>
      </c>
      <c r="B359" s="4" t="inlineStr">
        <is>
          <t>decil_renta</t>
        </is>
      </c>
      <c r="C359" s="4" t="inlineStr">
        <is>
          <t>8</t>
        </is>
      </c>
      <c r="D359" s="4" t="inlineStr">
        <is>
          <t>esfuerzo_alquiler_40</t>
        </is>
      </c>
      <c r="E359" s="4" t="n">
        <v>2.5918</v>
      </c>
      <c r="F359" s="4" t="n">
        <v>0.3401</v>
      </c>
      <c r="G359" s="4" t="n">
        <v>4.8434</v>
      </c>
      <c r="H359" s="4" t="n">
        <v>563</v>
      </c>
      <c r="I359" s="4" t="inlineStr">
        <is>
          <t>C4</t>
        </is>
      </c>
      <c r="J359" s="6">
        <f>IF(ISNUMBER(G359),G359-F359,"")</f>
        <v/>
      </c>
    </row>
    <row r="360">
      <c r="A360" s="4" t="n">
        <v>2025</v>
      </c>
      <c r="B360" s="4" t="inlineStr">
        <is>
          <t>decil_renta</t>
        </is>
      </c>
      <c r="C360" s="4" t="inlineStr">
        <is>
          <t>8</t>
        </is>
      </c>
      <c r="D360" s="4" t="inlineStr">
        <is>
          <t>esfuerzo_hipoteca_30</t>
        </is>
      </c>
      <c r="E360" s="4" t="n">
        <v>1.4117</v>
      </c>
      <c r="F360" s="4" t="n">
        <v>0.7341</v>
      </c>
      <c r="G360" s="4" t="n">
        <v>2.0892</v>
      </c>
      <c r="H360" s="4" t="n">
        <v>2639</v>
      </c>
      <c r="I360" s="4" t="inlineStr">
        <is>
          <t>C4</t>
        </is>
      </c>
      <c r="J360" s="6">
        <f>IF(ISNUMBER(G360),G360-F360,"")</f>
        <v/>
      </c>
    </row>
    <row r="361">
      <c r="A361" s="4" t="n">
        <v>2025</v>
      </c>
      <c r="B361" s="4" t="inlineStr">
        <is>
          <t>decil_renta</t>
        </is>
      </c>
      <c r="C361" s="4" t="inlineStr">
        <is>
          <t>8</t>
        </is>
      </c>
      <c r="D361" s="4" t="inlineStr">
        <is>
          <t>hacinamiento</t>
        </is>
      </c>
      <c r="E361" s="4" t="n">
        <v>4.7604</v>
      </c>
      <c r="F361" s="4" t="n">
        <v>3.4842</v>
      </c>
      <c r="G361" s="4" t="n">
        <v>6.0366</v>
      </c>
      <c r="H361" s="4" t="n">
        <v>7719</v>
      </c>
      <c r="I361" s="4" t="inlineStr">
        <is>
          <t>C4</t>
        </is>
      </c>
      <c r="J361" s="6">
        <f>IF(ISNUMBER(G361),G361-F361,"")</f>
        <v/>
      </c>
    </row>
    <row r="362">
      <c r="A362" s="4" t="n">
        <v>2025</v>
      </c>
      <c r="B362" s="4" t="inlineStr">
        <is>
          <t>decil_renta</t>
        </is>
      </c>
      <c r="C362" s="4" t="inlineStr">
        <is>
          <t>8</t>
        </is>
      </c>
      <c r="D362" s="4" t="inlineStr">
        <is>
          <t>tenencia_1</t>
        </is>
      </c>
      <c r="E362" s="4" t="n">
        <v>47.894</v>
      </c>
      <c r="F362" s="4" t="n">
        <v>45.4083</v>
      </c>
      <c r="G362" s="4" t="n">
        <v>50.3797</v>
      </c>
      <c r="H362" s="4" t="n">
        <v>7731</v>
      </c>
      <c r="I362" s="4" t="inlineStr">
        <is>
          <t>C4</t>
        </is>
      </c>
      <c r="J362" s="6">
        <f>IF(ISNUMBER(G362),G362-F362,"")</f>
        <v/>
      </c>
    </row>
    <row r="363">
      <c r="A363" s="4" t="n">
        <v>2025</v>
      </c>
      <c r="B363" s="4" t="inlineStr">
        <is>
          <t>decil_renta</t>
        </is>
      </c>
      <c r="C363" s="4" t="inlineStr">
        <is>
          <t>8</t>
        </is>
      </c>
      <c r="D363" s="4" t="inlineStr">
        <is>
          <t>tenencia_2</t>
        </is>
      </c>
      <c r="E363" s="4" t="n">
        <v>36.9688</v>
      </c>
      <c r="F363" s="4" t="n">
        <v>34.4758</v>
      </c>
      <c r="G363" s="4" t="n">
        <v>39.4619</v>
      </c>
      <c r="H363" s="4" t="n">
        <v>7731</v>
      </c>
      <c r="I363" s="4" t="inlineStr">
        <is>
          <t>C4</t>
        </is>
      </c>
      <c r="J363" s="6">
        <f>IF(ISNUMBER(G363),G363-F363,"")</f>
        <v/>
      </c>
    </row>
    <row r="364">
      <c r="A364" s="4" t="n">
        <v>2025</v>
      </c>
      <c r="B364" s="4" t="inlineStr">
        <is>
          <t>decil_renta</t>
        </is>
      </c>
      <c r="C364" s="4" t="inlineStr">
        <is>
          <t>8</t>
        </is>
      </c>
      <c r="D364" s="4" t="inlineStr">
        <is>
          <t>tenencia_3</t>
        </is>
      </c>
      <c r="E364" s="4" t="n">
        <v>9.150399999999999</v>
      </c>
      <c r="F364" s="4" t="n">
        <v>7.7184</v>
      </c>
      <c r="G364" s="4" t="n">
        <v>10.5824</v>
      </c>
      <c r="H364" s="4" t="n">
        <v>7731</v>
      </c>
      <c r="I364" s="4" t="inlineStr">
        <is>
          <t>C4</t>
        </is>
      </c>
      <c r="J364" s="6">
        <f>IF(ISNUMBER(G364),G364-F364,"")</f>
        <v/>
      </c>
    </row>
    <row r="365">
      <c r="A365" s="4" t="n">
        <v>2025</v>
      </c>
      <c r="B365" s="4" t="inlineStr">
        <is>
          <t>decil_renta</t>
        </is>
      </c>
      <c r="C365" s="4" t="inlineStr">
        <is>
          <t>8</t>
        </is>
      </c>
      <c r="D365" s="4" t="inlineStr">
        <is>
          <t>tenencia_4</t>
        </is>
      </c>
      <c r="E365" s="4" t="n">
        <v>1.3138</v>
      </c>
      <c r="F365" s="4" t="n">
        <v>0.8823</v>
      </c>
      <c r="G365" s="4" t="n">
        <v>1.7452</v>
      </c>
      <c r="H365" s="4" t="n">
        <v>7731</v>
      </c>
      <c r="I365" s="4" t="inlineStr">
        <is>
          <t>C4</t>
        </is>
      </c>
      <c r="J365" s="6">
        <f>IF(ISNUMBER(G365),G365-F365,"")</f>
        <v/>
      </c>
    </row>
    <row r="366">
      <c r="A366" s="4" t="n">
        <v>2025</v>
      </c>
      <c r="B366" s="4" t="inlineStr">
        <is>
          <t>decil_renta</t>
        </is>
      </c>
      <c r="C366" s="4" t="inlineStr">
        <is>
          <t>8</t>
        </is>
      </c>
      <c r="D366" s="4" t="inlineStr">
        <is>
          <t>tenencia_5</t>
        </is>
      </c>
      <c r="E366" s="4" t="n">
        <v>4.6729</v>
      </c>
      <c r="F366" s="4" t="n">
        <v>3.6594</v>
      </c>
      <c r="G366" s="4" t="n">
        <v>5.6865</v>
      </c>
      <c r="H366" s="4" t="n">
        <v>7731</v>
      </c>
      <c r="I366" s="4" t="inlineStr">
        <is>
          <t>C4</t>
        </is>
      </c>
      <c r="J366" s="6">
        <f>IF(ISNUMBER(G366),G366-F366,"")</f>
        <v/>
      </c>
    </row>
    <row r="367">
      <c r="A367" s="4" t="n">
        <v>2025</v>
      </c>
      <c r="B367" s="4" t="inlineStr">
        <is>
          <t>decil_renta</t>
        </is>
      </c>
      <c r="C367" s="4" t="inlineStr">
        <is>
          <t>8</t>
        </is>
      </c>
      <c r="D367" s="4" t="inlineStr">
        <is>
          <t>esfuerzo_alquiler_mediana</t>
        </is>
      </c>
      <c r="E367" s="4" t="n">
        <v>19.2011</v>
      </c>
      <c r="F367" s="4" t="n">
        <v>17.8636</v>
      </c>
      <c r="G367" s="4" t="n">
        <v>19.8243</v>
      </c>
      <c r="H367" s="4" t="n">
        <v>563</v>
      </c>
      <c r="I367" s="4" t="inlineStr">
        <is>
          <t>C4</t>
        </is>
      </c>
      <c r="J367" s="6">
        <f>IF(ISNUMBER(G367),G367-F367,"")</f>
        <v/>
      </c>
    </row>
    <row r="368">
      <c r="A368" s="4" t="n">
        <v>2025</v>
      </c>
      <c r="B368" s="4" t="inlineStr">
        <is>
          <t>decil_renta</t>
        </is>
      </c>
      <c r="C368" s="4" t="inlineStr">
        <is>
          <t>8</t>
        </is>
      </c>
      <c r="D368" s="4" t="inlineStr">
        <is>
          <t>esfuerzo_hipoteca_mediana</t>
        </is>
      </c>
      <c r="E368" s="4" t="n">
        <v>11.9354</v>
      </c>
      <c r="F368" s="4" t="n">
        <v>11.255</v>
      </c>
      <c r="G368" s="4" t="n">
        <v>12.677</v>
      </c>
      <c r="H368" s="4" t="n">
        <v>2639</v>
      </c>
      <c r="I368" s="4" t="inlineStr">
        <is>
          <t>C4</t>
        </is>
      </c>
      <c r="J368" s="6">
        <f>IF(ISNUMBER(G368),G368-F368,"")</f>
        <v/>
      </c>
    </row>
    <row r="369">
      <c r="A369" s="4" t="n">
        <v>2025</v>
      </c>
      <c r="B369" s="4" t="inlineStr">
        <is>
          <t>decil_renta</t>
        </is>
      </c>
      <c r="C369" s="4" t="inlineStr">
        <is>
          <t>9</t>
        </is>
      </c>
      <c r="D369" s="4" t="inlineStr">
        <is>
          <t>sobrecarga_30</t>
        </is>
      </c>
      <c r="E369" s="4" t="n">
        <v>1.6662</v>
      </c>
      <c r="F369" s="4" t="n">
        <v>1.0653</v>
      </c>
      <c r="G369" s="4" t="n">
        <v>2.2671</v>
      </c>
      <c r="H369" s="4" t="n">
        <v>7930</v>
      </c>
      <c r="I369" s="4" t="inlineStr">
        <is>
          <t>C4</t>
        </is>
      </c>
      <c r="J369" s="6">
        <f>IF(ISNUMBER(G369),G369-F369,"")</f>
        <v/>
      </c>
    </row>
    <row r="370">
      <c r="A370" s="4" t="n">
        <v>2025</v>
      </c>
      <c r="B370" s="4" t="inlineStr">
        <is>
          <t>decil_renta</t>
        </is>
      </c>
      <c r="C370" s="4" t="inlineStr">
        <is>
          <t>9</t>
        </is>
      </c>
      <c r="D370" s="4" t="inlineStr">
        <is>
          <t>sobrecarga_40</t>
        </is>
      </c>
      <c r="E370" s="4" t="n">
        <v>0.3562</v>
      </c>
      <c r="F370" s="4" t="n">
        <v>0.0241</v>
      </c>
      <c r="G370" s="4" t="n">
        <v>0.6883</v>
      </c>
      <c r="H370" s="4" t="n">
        <v>7930</v>
      </c>
      <c r="I370" s="4" t="inlineStr">
        <is>
          <t>C4</t>
        </is>
      </c>
      <c r="J370" s="6">
        <f>IF(ISNUMBER(G370),G370-F370,"")</f>
        <v/>
      </c>
    </row>
    <row r="371">
      <c r="A371" s="4" t="n">
        <v>2025</v>
      </c>
      <c r="B371" s="4" t="inlineStr">
        <is>
          <t>decil_renta</t>
        </is>
      </c>
      <c r="C371" s="4" t="inlineStr">
        <is>
          <t>9</t>
        </is>
      </c>
      <c r="D371" s="4" t="inlineStr">
        <is>
          <t>esfuerzo_alquiler_30</t>
        </is>
      </c>
      <c r="E371" s="4" t="n">
        <v>6.8298</v>
      </c>
      <c r="F371" s="4" t="n">
        <v>2.6137</v>
      </c>
      <c r="G371" s="4" t="n">
        <v>11.0458</v>
      </c>
      <c r="H371" s="4" t="n">
        <v>513</v>
      </c>
      <c r="I371" s="4" t="inlineStr">
        <is>
          <t>C4</t>
        </is>
      </c>
      <c r="J371" s="6">
        <f>IF(ISNUMBER(G371),G371-F371,"")</f>
        <v/>
      </c>
    </row>
    <row r="372">
      <c r="A372" s="4" t="n">
        <v>2025</v>
      </c>
      <c r="B372" s="4" t="inlineStr">
        <is>
          <t>decil_renta</t>
        </is>
      </c>
      <c r="C372" s="4" t="inlineStr">
        <is>
          <t>9</t>
        </is>
      </c>
      <c r="D372" s="4" t="inlineStr">
        <is>
          <t>esfuerzo_alquiler_40</t>
        </is>
      </c>
      <c r="E372" s="4" t="n">
        <v>1.0616</v>
      </c>
      <c r="F372" s="4" t="n">
        <v>0.014</v>
      </c>
      <c r="G372" s="4" t="n">
        <v>2.1093</v>
      </c>
      <c r="H372" s="4" t="n">
        <v>513</v>
      </c>
      <c r="I372" s="4" t="inlineStr">
        <is>
          <t>C4</t>
        </is>
      </c>
      <c r="J372" s="6">
        <f>IF(ISNUMBER(G372),G372-F372,"")</f>
        <v/>
      </c>
    </row>
    <row r="373">
      <c r="A373" s="4" t="n">
        <v>2025</v>
      </c>
      <c r="B373" s="4" t="inlineStr">
        <is>
          <t>decil_renta</t>
        </is>
      </c>
      <c r="C373" s="4" t="inlineStr">
        <is>
          <t>9</t>
        </is>
      </c>
      <c r="D373" s="4" t="inlineStr">
        <is>
          <t>esfuerzo_hipoteca_30</t>
        </is>
      </c>
      <c r="E373" s="4" t="n">
        <v>1.646</v>
      </c>
      <c r="F373" s="4" t="n">
        <v>0.5052</v>
      </c>
      <c r="G373" s="4" t="n">
        <v>2.7868</v>
      </c>
      <c r="H373" s="4" t="n">
        <v>2643</v>
      </c>
      <c r="I373" s="4" t="inlineStr">
        <is>
          <t>C4</t>
        </is>
      </c>
      <c r="J373" s="6">
        <f>IF(ISNUMBER(G373),G373-F373,"")</f>
        <v/>
      </c>
    </row>
    <row r="374">
      <c r="A374" s="4" t="n">
        <v>2025</v>
      </c>
      <c r="B374" s="4" t="inlineStr">
        <is>
          <t>decil_renta</t>
        </is>
      </c>
      <c r="C374" s="4" t="inlineStr">
        <is>
          <t>9</t>
        </is>
      </c>
      <c r="D374" s="4" t="inlineStr">
        <is>
          <t>hacinamiento</t>
        </is>
      </c>
      <c r="E374" s="4" t="n">
        <v>3.0421</v>
      </c>
      <c r="F374" s="4" t="n">
        <v>2.0437</v>
      </c>
      <c r="G374" s="4" t="n">
        <v>4.0404</v>
      </c>
      <c r="H374" s="4" t="n">
        <v>7934</v>
      </c>
      <c r="I374" s="4" t="inlineStr">
        <is>
          <t>C4</t>
        </is>
      </c>
      <c r="J374" s="6">
        <f>IF(ISNUMBER(G374),G374-F374,"")</f>
        <v/>
      </c>
    </row>
    <row r="375">
      <c r="A375" s="4" t="n">
        <v>2025</v>
      </c>
      <c r="B375" s="4" t="inlineStr">
        <is>
          <t>decil_renta</t>
        </is>
      </c>
      <c r="C375" s="4" t="inlineStr">
        <is>
          <t>9</t>
        </is>
      </c>
      <c r="D375" s="4" t="inlineStr">
        <is>
          <t>tenencia_1</t>
        </is>
      </c>
      <c r="E375" s="4" t="n">
        <v>53.0492</v>
      </c>
      <c r="F375" s="4" t="n">
        <v>50.6272</v>
      </c>
      <c r="G375" s="4" t="n">
        <v>55.4712</v>
      </c>
      <c r="H375" s="4" t="n">
        <v>7954</v>
      </c>
      <c r="I375" s="4" t="inlineStr">
        <is>
          <t>C4</t>
        </is>
      </c>
      <c r="J375" s="6">
        <f>IF(ISNUMBER(G375),G375-F375,"")</f>
        <v/>
      </c>
    </row>
    <row r="376">
      <c r="A376" s="4" t="n">
        <v>2025</v>
      </c>
      <c r="B376" s="4" t="inlineStr">
        <is>
          <t>decil_renta</t>
        </is>
      </c>
      <c r="C376" s="4" t="inlineStr">
        <is>
          <t>9</t>
        </is>
      </c>
      <c r="D376" s="4" t="inlineStr">
        <is>
          <t>tenencia_2</t>
        </is>
      </c>
      <c r="E376" s="4" t="n">
        <v>32.5283</v>
      </c>
      <c r="F376" s="4" t="n">
        <v>30.3096</v>
      </c>
      <c r="G376" s="4" t="n">
        <v>34.747</v>
      </c>
      <c r="H376" s="4" t="n">
        <v>7954</v>
      </c>
      <c r="I376" s="4" t="inlineStr">
        <is>
          <t>C4</t>
        </is>
      </c>
      <c r="J376" s="6">
        <f>IF(ISNUMBER(G376),G376-F376,"")</f>
        <v/>
      </c>
    </row>
    <row r="377">
      <c r="A377" s="4" t="n">
        <v>2025</v>
      </c>
      <c r="B377" s="4" t="inlineStr">
        <is>
          <t>decil_renta</t>
        </is>
      </c>
      <c r="C377" s="4" t="inlineStr">
        <is>
          <t>9</t>
        </is>
      </c>
      <c r="D377" s="4" t="inlineStr">
        <is>
          <t>tenencia_3</t>
        </is>
      </c>
      <c r="E377" s="4" t="n">
        <v>8.846500000000001</v>
      </c>
      <c r="F377" s="4" t="n">
        <v>7.2573</v>
      </c>
      <c r="G377" s="4" t="n">
        <v>10.4358</v>
      </c>
      <c r="H377" s="4" t="n">
        <v>7954</v>
      </c>
      <c r="I377" s="4" t="inlineStr">
        <is>
          <t>C4</t>
        </is>
      </c>
      <c r="J377" s="6">
        <f>IF(ISNUMBER(G377),G377-F377,"")</f>
        <v/>
      </c>
    </row>
    <row r="378">
      <c r="A378" s="4" t="n">
        <v>2025</v>
      </c>
      <c r="B378" s="4" t="inlineStr">
        <is>
          <t>decil_renta</t>
        </is>
      </c>
      <c r="C378" s="4" t="inlineStr">
        <is>
          <t>9</t>
        </is>
      </c>
      <c r="D378" s="4" t="inlineStr">
        <is>
          <t>tenencia_4</t>
        </is>
      </c>
      <c r="E378" s="4" t="n">
        <v>2.1075</v>
      </c>
      <c r="F378" s="4" t="n">
        <v>1.2163</v>
      </c>
      <c r="G378" s="4" t="n">
        <v>2.9988</v>
      </c>
      <c r="H378" s="4" t="n">
        <v>7954</v>
      </c>
      <c r="I378" s="4" t="inlineStr">
        <is>
          <t>C4</t>
        </is>
      </c>
      <c r="J378" s="6">
        <f>IF(ISNUMBER(G378),G378-F378,"")</f>
        <v/>
      </c>
    </row>
    <row r="379">
      <c r="A379" s="4" t="n">
        <v>2025</v>
      </c>
      <c r="B379" s="4" t="inlineStr">
        <is>
          <t>decil_renta</t>
        </is>
      </c>
      <c r="C379" s="4" t="inlineStr">
        <is>
          <t>9</t>
        </is>
      </c>
      <c r="D379" s="4" t="inlineStr">
        <is>
          <t>tenencia_5</t>
        </is>
      </c>
      <c r="E379" s="4" t="n">
        <v>3.4685</v>
      </c>
      <c r="F379" s="4" t="n">
        <v>2.6939</v>
      </c>
      <c r="G379" s="4" t="n">
        <v>4.243</v>
      </c>
      <c r="H379" s="4" t="n">
        <v>7954</v>
      </c>
      <c r="I379" s="4" t="inlineStr">
        <is>
          <t>C4</t>
        </is>
      </c>
      <c r="J379" s="6">
        <f>IF(ISNUMBER(G379),G379-F379,"")</f>
        <v/>
      </c>
    </row>
    <row r="380">
      <c r="A380" s="4" t="n">
        <v>2025</v>
      </c>
      <c r="B380" s="4" t="inlineStr">
        <is>
          <t>decil_renta</t>
        </is>
      </c>
      <c r="C380" s="4" t="inlineStr">
        <is>
          <t>9</t>
        </is>
      </c>
      <c r="D380" s="4" t="inlineStr">
        <is>
          <t>esfuerzo_alquiler_mediana</t>
        </is>
      </c>
      <c r="E380" s="4" t="n">
        <v>17.5947</v>
      </c>
      <c r="F380" s="4" t="n">
        <v>15.8223</v>
      </c>
      <c r="G380" s="4" t="n">
        <v>19.8593</v>
      </c>
      <c r="H380" s="4" t="n">
        <v>513</v>
      </c>
      <c r="I380" s="4" t="inlineStr">
        <is>
          <t>C4</t>
        </is>
      </c>
      <c r="J380" s="6">
        <f>IF(ISNUMBER(G380),G380-F380,"")</f>
        <v/>
      </c>
    </row>
    <row r="381">
      <c r="A381" s="4" t="n">
        <v>2025</v>
      </c>
      <c r="B381" s="4" t="inlineStr">
        <is>
          <t>decil_renta</t>
        </is>
      </c>
      <c r="C381" s="4" t="inlineStr">
        <is>
          <t>9</t>
        </is>
      </c>
      <c r="D381" s="4" t="inlineStr">
        <is>
          <t>esfuerzo_hipoteca_mediana</t>
        </is>
      </c>
      <c r="E381" s="4" t="n">
        <v>11.5989</v>
      </c>
      <c r="F381" s="4" t="n">
        <v>11.103</v>
      </c>
      <c r="G381" s="4" t="n">
        <v>12.0838</v>
      </c>
      <c r="H381" s="4" t="n">
        <v>2643</v>
      </c>
      <c r="I381" s="4" t="inlineStr">
        <is>
          <t>C4</t>
        </is>
      </c>
      <c r="J381" s="6">
        <f>IF(ISNUMBER(G381),G381-F381,"")</f>
        <v/>
      </c>
    </row>
    <row r="382">
      <c r="A382" s="4" t="n">
        <v>2025</v>
      </c>
      <c r="B382" s="4" t="inlineStr">
        <is>
          <t>decil_renta</t>
        </is>
      </c>
      <c r="C382" s="4" t="inlineStr">
        <is>
          <t>10</t>
        </is>
      </c>
      <c r="D382" s="4" t="inlineStr">
        <is>
          <t>sobrecarga_30</t>
        </is>
      </c>
      <c r="E382" s="4" t="n">
        <v>0.456</v>
      </c>
      <c r="F382" s="4" t="n">
        <v>0.1882</v>
      </c>
      <c r="G382" s="4" t="n">
        <v>0.7237</v>
      </c>
      <c r="H382" s="4" t="n">
        <v>7917</v>
      </c>
      <c r="I382" s="4" t="inlineStr">
        <is>
          <t>C4</t>
        </is>
      </c>
      <c r="J382" s="6">
        <f>IF(ISNUMBER(G382),G382-F382,"")</f>
        <v/>
      </c>
    </row>
    <row r="383">
      <c r="A383" s="4" t="n">
        <v>2025</v>
      </c>
      <c r="B383" s="4" t="inlineStr">
        <is>
          <t>decil_renta</t>
        </is>
      </c>
      <c r="C383" s="4" t="inlineStr">
        <is>
          <t>10</t>
        </is>
      </c>
      <c r="D383" s="4" t="inlineStr">
        <is>
          <t>sobrecarga_40</t>
        </is>
      </c>
      <c r="E383" s="4" t="n">
        <v>0.0567</v>
      </c>
      <c r="F383" s="4" t="n">
        <v>-0.008999999999999999</v>
      </c>
      <c r="G383" s="4" t="n">
        <v>0.1224</v>
      </c>
      <c r="H383" s="4" t="n">
        <v>7917</v>
      </c>
      <c r="I383" s="4" t="inlineStr">
        <is>
          <t>C4</t>
        </is>
      </c>
      <c r="J383" s="6">
        <f>IF(ISNUMBER(G383),G383-F383,"")</f>
        <v/>
      </c>
    </row>
    <row r="384">
      <c r="A384" s="4" t="n">
        <v>2025</v>
      </c>
      <c r="B384" s="4" t="inlineStr">
        <is>
          <t>decil_renta</t>
        </is>
      </c>
      <c r="C384" s="4" t="inlineStr">
        <is>
          <t>10</t>
        </is>
      </c>
      <c r="D384" s="4" t="inlineStr">
        <is>
          <t>esfuerzo_alquiler_30</t>
        </is>
      </c>
      <c r="E384" s="4" t="n">
        <v>2.8457</v>
      </c>
      <c r="F384" s="4" t="n">
        <v>0.6197</v>
      </c>
      <c r="G384" s="4" t="n">
        <v>5.0717</v>
      </c>
      <c r="H384" s="4" t="n">
        <v>518</v>
      </c>
      <c r="I384" s="4" t="inlineStr">
        <is>
          <t>C4</t>
        </is>
      </c>
      <c r="J384" s="6">
        <f>IF(ISNUMBER(G384),G384-F384,"")</f>
        <v/>
      </c>
    </row>
    <row r="385">
      <c r="A385" s="4" t="n">
        <v>2025</v>
      </c>
      <c r="B385" s="4" t="inlineStr">
        <is>
          <t>decil_renta</t>
        </is>
      </c>
      <c r="C385" s="4" t="inlineStr">
        <is>
          <t>10</t>
        </is>
      </c>
      <c r="D385" s="4" t="inlineStr">
        <is>
          <t>esfuerzo_alquiler_40</t>
        </is>
      </c>
      <c r="E385" s="4" t="n">
        <v>0.4839</v>
      </c>
      <c r="F385" s="4" t="n">
        <v>-0.2117</v>
      </c>
      <c r="G385" s="4" t="n">
        <v>1.1795</v>
      </c>
      <c r="H385" s="4" t="n">
        <v>518</v>
      </c>
      <c r="I385" s="4" t="inlineStr">
        <is>
          <t>C4</t>
        </is>
      </c>
      <c r="J385" s="6">
        <f>IF(ISNUMBER(G385),G385-F385,"")</f>
        <v/>
      </c>
    </row>
    <row r="386">
      <c r="A386" s="4" t="n">
        <v>2025</v>
      </c>
      <c r="B386" s="4" t="inlineStr">
        <is>
          <t>decil_renta</t>
        </is>
      </c>
      <c r="C386" s="4" t="inlineStr">
        <is>
          <t>10</t>
        </is>
      </c>
      <c r="D386" s="4" t="inlineStr">
        <is>
          <t>esfuerzo_hipoteca_30</t>
        </is>
      </c>
      <c r="E386" s="4" t="n">
        <v>1.157</v>
      </c>
      <c r="F386" s="4" t="n">
        <v>-0.0406</v>
      </c>
      <c r="G386" s="4" t="n">
        <v>2.3545</v>
      </c>
      <c r="H386" s="4" t="n">
        <v>2308</v>
      </c>
      <c r="I386" s="4" t="inlineStr">
        <is>
          <t>C4</t>
        </is>
      </c>
      <c r="J386" s="6">
        <f>IF(ISNUMBER(G386),G386-F386,"")</f>
        <v/>
      </c>
    </row>
    <row r="387">
      <c r="A387" s="4" t="n">
        <v>2025</v>
      </c>
      <c r="B387" s="4" t="inlineStr">
        <is>
          <t>decil_renta</t>
        </is>
      </c>
      <c r="C387" s="4" t="inlineStr">
        <is>
          <t>10</t>
        </is>
      </c>
      <c r="D387" s="4" t="inlineStr">
        <is>
          <t>hacinamiento</t>
        </is>
      </c>
      <c r="E387" s="4" t="n">
        <v>1.6962</v>
      </c>
      <c r="F387" s="4" t="n">
        <v>1.0386</v>
      </c>
      <c r="G387" s="4" t="n">
        <v>2.3537</v>
      </c>
      <c r="H387" s="4" t="n">
        <v>7911</v>
      </c>
      <c r="I387" s="4" t="inlineStr">
        <is>
          <t>C4</t>
        </is>
      </c>
      <c r="J387" s="6">
        <f>IF(ISNUMBER(G387),G387-F387,"")</f>
        <v/>
      </c>
    </row>
    <row r="388">
      <c r="A388" s="4" t="n">
        <v>2025</v>
      </c>
      <c r="B388" s="4" t="inlineStr">
        <is>
          <t>decil_renta</t>
        </is>
      </c>
      <c r="C388" s="4" t="inlineStr">
        <is>
          <t>10</t>
        </is>
      </c>
      <c r="D388" s="4" t="inlineStr">
        <is>
          <t>tenencia_1</t>
        </is>
      </c>
      <c r="E388" s="4" t="n">
        <v>56.0094</v>
      </c>
      <c r="F388" s="4" t="n">
        <v>53.5609</v>
      </c>
      <c r="G388" s="4" t="n">
        <v>58.4579</v>
      </c>
      <c r="H388" s="4" t="n">
        <v>7929</v>
      </c>
      <c r="I388" s="4" t="inlineStr">
        <is>
          <t>C4</t>
        </is>
      </c>
      <c r="J388" s="6">
        <f>IF(ISNUMBER(G388),G388-F388,"")</f>
        <v/>
      </c>
    </row>
    <row r="389">
      <c r="A389" s="4" t="n">
        <v>2025</v>
      </c>
      <c r="B389" s="4" t="inlineStr">
        <is>
          <t>decil_renta</t>
        </is>
      </c>
      <c r="C389" s="4" t="inlineStr">
        <is>
          <t>10</t>
        </is>
      </c>
      <c r="D389" s="4" t="inlineStr">
        <is>
          <t>tenencia_2</t>
        </is>
      </c>
      <c r="E389" s="4" t="n">
        <v>32.363</v>
      </c>
      <c r="F389" s="4" t="n">
        <v>29.9822</v>
      </c>
      <c r="G389" s="4" t="n">
        <v>34.7437</v>
      </c>
      <c r="H389" s="4" t="n">
        <v>7929</v>
      </c>
      <c r="I389" s="4" t="inlineStr">
        <is>
          <t>C4</t>
        </is>
      </c>
      <c r="J389" s="6">
        <f>IF(ISNUMBER(G389),G389-F389,"")</f>
        <v/>
      </c>
    </row>
    <row r="390">
      <c r="A390" s="4" t="n">
        <v>2025</v>
      </c>
      <c r="B390" s="4" t="inlineStr">
        <is>
          <t>decil_renta</t>
        </is>
      </c>
      <c r="C390" s="4" t="inlineStr">
        <is>
          <t>10</t>
        </is>
      </c>
      <c r="D390" s="4" t="inlineStr">
        <is>
          <t>tenencia_3</t>
        </is>
      </c>
      <c r="E390" s="4" t="n">
        <v>8.154</v>
      </c>
      <c r="F390" s="4" t="n">
        <v>6.7736</v>
      </c>
      <c r="G390" s="4" t="n">
        <v>9.5344</v>
      </c>
      <c r="H390" s="4" t="n">
        <v>7929</v>
      </c>
      <c r="I390" s="4" t="inlineStr">
        <is>
          <t>C4</t>
        </is>
      </c>
      <c r="J390" s="6">
        <f>IF(ISNUMBER(G390),G390-F390,"")</f>
        <v/>
      </c>
    </row>
    <row r="391">
      <c r="A391" s="4" t="n">
        <v>2025</v>
      </c>
      <c r="B391" s="4" t="inlineStr">
        <is>
          <t>decil_renta</t>
        </is>
      </c>
      <c r="C391" s="4" t="inlineStr">
        <is>
          <t>10</t>
        </is>
      </c>
      <c r="D391" s="4" t="inlineStr">
        <is>
          <t>tenencia_4</t>
        </is>
      </c>
      <c r="E391" s="4" t="n">
        <v>1.3238</v>
      </c>
      <c r="F391" s="4" t="n">
        <v>0.7702</v>
      </c>
      <c r="G391" s="4" t="n">
        <v>1.8774</v>
      </c>
      <c r="H391" s="4" t="n">
        <v>7929</v>
      </c>
      <c r="I391" s="4" t="inlineStr">
        <is>
          <t>C4</t>
        </is>
      </c>
      <c r="J391" s="6">
        <f>IF(ISNUMBER(G391),G391-F391,"")</f>
        <v/>
      </c>
    </row>
    <row r="392">
      <c r="A392" s="4" t="n">
        <v>2025</v>
      </c>
      <c r="B392" s="4" t="inlineStr">
        <is>
          <t>decil_renta</t>
        </is>
      </c>
      <c r="C392" s="4" t="inlineStr">
        <is>
          <t>10</t>
        </is>
      </c>
      <c r="D392" s="4" t="inlineStr">
        <is>
          <t>tenencia_5</t>
        </is>
      </c>
      <c r="E392" s="4" t="n">
        <v>2.1498</v>
      </c>
      <c r="F392" s="4" t="n">
        <v>1.5501</v>
      </c>
      <c r="G392" s="4" t="n">
        <v>2.7494</v>
      </c>
      <c r="H392" s="4" t="n">
        <v>7929</v>
      </c>
      <c r="I392" s="4" t="inlineStr">
        <is>
          <t>C4</t>
        </is>
      </c>
      <c r="J392" s="6">
        <f>IF(ISNUMBER(G392),G392-F392,"")</f>
        <v/>
      </c>
    </row>
    <row r="393">
      <c r="A393" s="4" t="n">
        <v>2025</v>
      </c>
      <c r="B393" s="4" t="inlineStr">
        <is>
          <t>decil_renta</t>
        </is>
      </c>
      <c r="C393" s="4" t="inlineStr">
        <is>
          <t>10</t>
        </is>
      </c>
      <c r="D393" s="4" t="inlineStr">
        <is>
          <t>esfuerzo_alquiler_mediana</t>
        </is>
      </c>
      <c r="E393" s="4" t="n">
        <v>14.5888</v>
      </c>
      <c r="F393" s="4" t="n">
        <v>12.7245</v>
      </c>
      <c r="G393" s="4" t="n">
        <v>16.5351</v>
      </c>
      <c r="H393" s="4" t="n">
        <v>518</v>
      </c>
      <c r="I393" s="4" t="inlineStr">
        <is>
          <t>C4</t>
        </is>
      </c>
      <c r="J393" s="6">
        <f>IF(ISNUMBER(G393),G393-F393,"")</f>
        <v/>
      </c>
    </row>
    <row r="394">
      <c r="A394" s="4" t="n">
        <v>2025</v>
      </c>
      <c r="B394" s="4" t="inlineStr">
        <is>
          <t>decil_renta</t>
        </is>
      </c>
      <c r="C394" s="4" t="inlineStr">
        <is>
          <t>10</t>
        </is>
      </c>
      <c r="D394" s="4" t="inlineStr">
        <is>
          <t>esfuerzo_hipoteca_mediana</t>
        </is>
      </c>
      <c r="E394" s="4" t="n">
        <v>9.918699999999999</v>
      </c>
      <c r="F394" s="4" t="n">
        <v>9.514900000000001</v>
      </c>
      <c r="G394" s="4" t="n">
        <v>10.542</v>
      </c>
      <c r="H394" s="4" t="n">
        <v>2308</v>
      </c>
      <c r="I394" s="4" t="inlineStr">
        <is>
          <t>C4</t>
        </is>
      </c>
      <c r="J394" s="6">
        <f>IF(ISNUMBER(G394),G394-F394,"")</f>
        <v/>
      </c>
    </row>
    <row r="395">
      <c r="A395" s="4" t="n">
        <v>2025</v>
      </c>
      <c r="B395" s="4" t="inlineStr">
        <is>
          <t>edad</t>
        </is>
      </c>
      <c r="C395" s="4" t="inlineStr">
        <is>
          <t>0-17</t>
        </is>
      </c>
      <c r="D395" s="4" t="inlineStr">
        <is>
          <t>sobrecarga_30</t>
        </is>
      </c>
      <c r="E395" s="4" t="n">
        <v>14.907</v>
      </c>
      <c r="F395" s="4" t="n">
        <v>13.4528</v>
      </c>
      <c r="G395" s="4" t="n">
        <v>16.3611</v>
      </c>
      <c r="H395" s="4" t="n">
        <v>12196</v>
      </c>
      <c r="I395" s="4" t="inlineStr">
        <is>
          <t>C4</t>
        </is>
      </c>
      <c r="J395" s="6">
        <f>IF(ISNUMBER(G395),G395-F395,"")</f>
        <v/>
      </c>
    </row>
    <row r="396">
      <c r="A396" s="4" t="n">
        <v>2025</v>
      </c>
      <c r="B396" s="4" t="inlineStr">
        <is>
          <t>edad</t>
        </is>
      </c>
      <c r="C396" s="4" t="inlineStr">
        <is>
          <t>0-17</t>
        </is>
      </c>
      <c r="D396" s="4" t="inlineStr">
        <is>
          <t>sobrecarga_40</t>
        </is>
      </c>
      <c r="E396" s="4" t="n">
        <v>8.6546</v>
      </c>
      <c r="F396" s="4" t="n">
        <v>7.4641</v>
      </c>
      <c r="G396" s="4" t="n">
        <v>9.8451</v>
      </c>
      <c r="H396" s="4" t="n">
        <v>12196</v>
      </c>
      <c r="I396" s="4" t="inlineStr">
        <is>
          <t>C4</t>
        </is>
      </c>
      <c r="J396" s="6">
        <f>IF(ISNUMBER(G396),G396-F396,"")</f>
        <v/>
      </c>
    </row>
    <row r="397">
      <c r="A397" s="4" t="n">
        <v>2025</v>
      </c>
      <c r="B397" s="4" t="inlineStr">
        <is>
          <t>edad</t>
        </is>
      </c>
      <c r="C397" s="4" t="inlineStr">
        <is>
          <t>0-17</t>
        </is>
      </c>
      <c r="D397" s="4" t="inlineStr">
        <is>
          <t>esfuerzo_alquiler_30</t>
        </is>
      </c>
      <c r="E397" s="4" t="n">
        <v>26.0452</v>
      </c>
      <c r="F397" s="4" t="n">
        <v>22.2778</v>
      </c>
      <c r="G397" s="4" t="n">
        <v>29.8127</v>
      </c>
      <c r="H397" s="4" t="n">
        <v>2017</v>
      </c>
      <c r="I397" s="4" t="inlineStr">
        <is>
          <t>C4</t>
        </is>
      </c>
      <c r="J397" s="6">
        <f>IF(ISNUMBER(G397),G397-F397,"")</f>
        <v/>
      </c>
    </row>
    <row r="398">
      <c r="A398" s="4" t="n">
        <v>2025</v>
      </c>
      <c r="B398" s="4" t="inlineStr">
        <is>
          <t>edad</t>
        </is>
      </c>
      <c r="C398" s="4" t="inlineStr">
        <is>
          <t>0-17</t>
        </is>
      </c>
      <c r="D398" s="4" t="inlineStr">
        <is>
          <t>esfuerzo_alquiler_40</t>
        </is>
      </c>
      <c r="E398" s="4" t="n">
        <v>16.6084</v>
      </c>
      <c r="F398" s="4" t="n">
        <v>13.542</v>
      </c>
      <c r="G398" s="4" t="n">
        <v>19.6748</v>
      </c>
      <c r="H398" s="4" t="n">
        <v>2017</v>
      </c>
      <c r="I398" s="4" t="inlineStr">
        <is>
          <t>C4</t>
        </is>
      </c>
      <c r="J398" s="6">
        <f>IF(ISNUMBER(G398),G398-F398,"")</f>
        <v/>
      </c>
    </row>
    <row r="399">
      <c r="A399" s="4" t="n">
        <v>2025</v>
      </c>
      <c r="B399" s="4" t="inlineStr">
        <is>
          <t>edad</t>
        </is>
      </c>
      <c r="C399" s="4" t="inlineStr">
        <is>
          <t>0-17</t>
        </is>
      </c>
      <c r="D399" s="4" t="inlineStr">
        <is>
          <t>esfuerzo_hipoteca_30</t>
        </is>
      </c>
      <c r="E399" s="4" t="n">
        <v>7.809</v>
      </c>
      <c r="F399" s="4" t="n">
        <v>6.0237</v>
      </c>
      <c r="G399" s="4" t="n">
        <v>9.5944</v>
      </c>
      <c r="H399" s="4" t="n">
        <v>5270</v>
      </c>
      <c r="I399" s="4" t="inlineStr">
        <is>
          <t>C4</t>
        </is>
      </c>
      <c r="J399" s="6">
        <f>IF(ISNUMBER(G399),G399-F399,"")</f>
        <v/>
      </c>
    </row>
    <row r="400">
      <c r="A400" s="4" t="n">
        <v>2025</v>
      </c>
      <c r="B400" s="4" t="inlineStr">
        <is>
          <t>edad</t>
        </is>
      </c>
      <c r="C400" s="4" t="inlineStr">
        <is>
          <t>0-17</t>
        </is>
      </c>
      <c r="D400" s="4" t="inlineStr">
        <is>
          <t>hacinamiento</t>
        </is>
      </c>
      <c r="E400" s="4" t="n">
        <v>12.4233</v>
      </c>
      <c r="F400" s="4" t="n">
        <v>10.9179</v>
      </c>
      <c r="G400" s="4" t="n">
        <v>13.9287</v>
      </c>
      <c r="H400" s="4" t="n">
        <v>12210</v>
      </c>
      <c r="I400" s="4" t="inlineStr">
        <is>
          <t>C4</t>
        </is>
      </c>
      <c r="J400" s="6">
        <f>IF(ISNUMBER(G400),G400-F400,"")</f>
        <v/>
      </c>
    </row>
    <row r="401">
      <c r="A401" s="4" t="n">
        <v>2025</v>
      </c>
      <c r="B401" s="4" t="inlineStr">
        <is>
          <t>edad</t>
        </is>
      </c>
      <c r="C401" s="4" t="inlineStr">
        <is>
          <t>0-17</t>
        </is>
      </c>
      <c r="D401" s="4" t="inlineStr">
        <is>
          <t>tenencia_1</t>
        </is>
      </c>
      <c r="E401" s="4" t="n">
        <v>24.125</v>
      </c>
      <c r="F401" s="4" t="n">
        <v>22.7031</v>
      </c>
      <c r="G401" s="4" t="n">
        <v>25.5468</v>
      </c>
      <c r="H401" s="4" t="n">
        <v>12236</v>
      </c>
      <c r="I401" s="4" t="inlineStr">
        <is>
          <t>C4</t>
        </is>
      </c>
      <c r="J401" s="6">
        <f>IF(ISNUMBER(G401),G401-F401,"")</f>
        <v/>
      </c>
    </row>
    <row r="402">
      <c r="A402" s="4" t="n">
        <v>2025</v>
      </c>
      <c r="B402" s="4" t="inlineStr">
        <is>
          <t>edad</t>
        </is>
      </c>
      <c r="C402" s="4" t="inlineStr">
        <is>
          <t>0-17</t>
        </is>
      </c>
      <c r="D402" s="4" t="inlineStr">
        <is>
          <t>tenencia_2</t>
        </is>
      </c>
      <c r="E402" s="4" t="n">
        <v>42.6479</v>
      </c>
      <c r="F402" s="4" t="n">
        <v>40.8968</v>
      </c>
      <c r="G402" s="4" t="n">
        <v>44.399</v>
      </c>
      <c r="H402" s="4" t="n">
        <v>12236</v>
      </c>
      <c r="I402" s="4" t="inlineStr">
        <is>
          <t>C4</t>
        </is>
      </c>
      <c r="J402" s="6">
        <f>IF(ISNUMBER(G402),G402-F402,"")</f>
        <v/>
      </c>
    </row>
    <row r="403">
      <c r="A403" s="4" t="n">
        <v>2025</v>
      </c>
      <c r="B403" s="4" t="inlineStr">
        <is>
          <t>edad</t>
        </is>
      </c>
      <c r="C403" s="4" t="inlineStr">
        <is>
          <t>0-17</t>
        </is>
      </c>
      <c r="D403" s="4" t="inlineStr">
        <is>
          <t>tenencia_3</t>
        </is>
      </c>
      <c r="E403" s="4" t="n">
        <v>22.7696</v>
      </c>
      <c r="F403" s="4" t="n">
        <v>21.0662</v>
      </c>
      <c r="G403" s="4" t="n">
        <v>24.473</v>
      </c>
      <c r="H403" s="4" t="n">
        <v>12236</v>
      </c>
      <c r="I403" s="4" t="inlineStr">
        <is>
          <t>C4</t>
        </is>
      </c>
      <c r="J403" s="6">
        <f>IF(ISNUMBER(G403),G403-F403,"")</f>
        <v/>
      </c>
    </row>
    <row r="404">
      <c r="A404" s="4" t="n">
        <v>2025</v>
      </c>
      <c r="B404" s="4" t="inlineStr">
        <is>
          <t>edad</t>
        </is>
      </c>
      <c r="C404" s="4" t="inlineStr">
        <is>
          <t>0-17</t>
        </is>
      </c>
      <c r="D404" s="4" t="inlineStr">
        <is>
          <t>tenencia_4</t>
        </is>
      </c>
      <c r="E404" s="4" t="n">
        <v>4.2574</v>
      </c>
      <c r="F404" s="4" t="n">
        <v>3.5081</v>
      </c>
      <c r="G404" s="4" t="n">
        <v>5.0067</v>
      </c>
      <c r="H404" s="4" t="n">
        <v>12236</v>
      </c>
      <c r="I404" s="4" t="inlineStr">
        <is>
          <t>C4</t>
        </is>
      </c>
      <c r="J404" s="6">
        <f>IF(ISNUMBER(G404),G404-F404,"")</f>
        <v/>
      </c>
    </row>
    <row r="405">
      <c r="A405" s="4" t="n">
        <v>2025</v>
      </c>
      <c r="B405" s="4" t="inlineStr">
        <is>
          <t>edad</t>
        </is>
      </c>
      <c r="C405" s="4" t="inlineStr">
        <is>
          <t>0-17</t>
        </is>
      </c>
      <c r="D405" s="4" t="inlineStr">
        <is>
          <t>tenencia_5</t>
        </is>
      </c>
      <c r="E405" s="4" t="n">
        <v>6.2001</v>
      </c>
      <c r="F405" s="4" t="n">
        <v>5.4732</v>
      </c>
      <c r="G405" s="4" t="n">
        <v>6.9271</v>
      </c>
      <c r="H405" s="4" t="n">
        <v>12236</v>
      </c>
      <c r="I405" s="4" t="inlineStr">
        <is>
          <t>C4</t>
        </is>
      </c>
      <c r="J405" s="6">
        <f>IF(ISNUMBER(G405),G405-F405,"")</f>
        <v/>
      </c>
    </row>
    <row r="406">
      <c r="A406" s="4" t="n">
        <v>2025</v>
      </c>
      <c r="B406" s="4" t="inlineStr">
        <is>
          <t>edad</t>
        </is>
      </c>
      <c r="C406" s="4" t="inlineStr">
        <is>
          <t>0-17</t>
        </is>
      </c>
      <c r="D406" s="4" t="inlineStr">
        <is>
          <t>esfuerzo_alquiler_mediana</t>
        </is>
      </c>
      <c r="E406" s="4" t="n">
        <v>21.9256</v>
      </c>
      <c r="F406" s="4" t="n">
        <v>20.7948</v>
      </c>
      <c r="G406" s="4" t="n">
        <v>23.4374</v>
      </c>
      <c r="H406" s="4" t="n">
        <v>2017</v>
      </c>
      <c r="I406" s="4" t="inlineStr">
        <is>
          <t>C4</t>
        </is>
      </c>
      <c r="J406" s="6">
        <f>IF(ISNUMBER(G406),G406-F406,"")</f>
        <v/>
      </c>
    </row>
    <row r="407">
      <c r="A407" s="4" t="n">
        <v>2025</v>
      </c>
      <c r="B407" s="4" t="inlineStr">
        <is>
          <t>edad</t>
        </is>
      </c>
      <c r="C407" s="4" t="inlineStr">
        <is>
          <t>0-17</t>
        </is>
      </c>
      <c r="D407" s="4" t="inlineStr">
        <is>
          <t>esfuerzo_hipoteca_mediana</t>
        </is>
      </c>
      <c r="E407" s="4" t="n">
        <v>14.127</v>
      </c>
      <c r="F407" s="4" t="n">
        <v>13.5065</v>
      </c>
      <c r="G407" s="4" t="n">
        <v>14.6261</v>
      </c>
      <c r="H407" s="4" t="n">
        <v>5270</v>
      </c>
      <c r="I407" s="4" t="inlineStr">
        <is>
          <t>C4</t>
        </is>
      </c>
      <c r="J407" s="6">
        <f>IF(ISNUMBER(G407),G407-F407,"")</f>
        <v/>
      </c>
    </row>
    <row r="408">
      <c r="A408" s="4" t="n">
        <v>2025</v>
      </c>
      <c r="B408" s="4" t="inlineStr">
        <is>
          <t>edad</t>
        </is>
      </c>
      <c r="C408" s="4" t="inlineStr">
        <is>
          <t>18-29</t>
        </is>
      </c>
      <c r="D408" s="4" t="inlineStr">
        <is>
          <t>sobrecarga_30</t>
        </is>
      </c>
      <c r="E408" s="4" t="n">
        <v>12.1457</v>
      </c>
      <c r="F408" s="4" t="n">
        <v>10.7668</v>
      </c>
      <c r="G408" s="4" t="n">
        <v>13.5245</v>
      </c>
      <c r="H408" s="4" t="n">
        <v>8123</v>
      </c>
      <c r="I408" s="4" t="inlineStr">
        <is>
          <t>C4</t>
        </is>
      </c>
      <c r="J408" s="6">
        <f>IF(ISNUMBER(G408),G408-F408,"")</f>
        <v/>
      </c>
    </row>
    <row r="409">
      <c r="A409" s="4" t="n">
        <v>2025</v>
      </c>
      <c r="B409" s="4" t="inlineStr">
        <is>
          <t>edad</t>
        </is>
      </c>
      <c r="C409" s="4" t="inlineStr">
        <is>
          <t>18-29</t>
        </is>
      </c>
      <c r="D409" s="4" t="inlineStr">
        <is>
          <t>sobrecarga_40</t>
        </is>
      </c>
      <c r="E409" s="4" t="n">
        <v>6.9873</v>
      </c>
      <c r="F409" s="4" t="n">
        <v>5.973</v>
      </c>
      <c r="G409" s="4" t="n">
        <v>8.0015</v>
      </c>
      <c r="H409" s="4" t="n">
        <v>8123</v>
      </c>
      <c r="I409" s="4" t="inlineStr">
        <is>
          <t>C4</t>
        </is>
      </c>
      <c r="J409" s="6">
        <f>IF(ISNUMBER(G409),G409-F409,"")</f>
        <v/>
      </c>
    </row>
    <row r="410">
      <c r="A410" s="4" t="n">
        <v>2025</v>
      </c>
      <c r="B410" s="4" t="inlineStr">
        <is>
          <t>edad</t>
        </is>
      </c>
      <c r="C410" s="4" t="inlineStr">
        <is>
          <t>18-29</t>
        </is>
      </c>
      <c r="D410" s="4" t="inlineStr">
        <is>
          <t>esfuerzo_alquiler_30</t>
        </is>
      </c>
      <c r="E410" s="4" t="n">
        <v>27.0862</v>
      </c>
      <c r="F410" s="4" t="n">
        <v>22.6983</v>
      </c>
      <c r="G410" s="4" t="n">
        <v>31.4741</v>
      </c>
      <c r="H410" s="4" t="n">
        <v>1238</v>
      </c>
      <c r="I410" s="4" t="inlineStr">
        <is>
          <t>C4</t>
        </is>
      </c>
      <c r="J410" s="6">
        <f>IF(ISNUMBER(G410),G410-F410,"")</f>
        <v/>
      </c>
    </row>
    <row r="411">
      <c r="A411" s="4" t="n">
        <v>2025</v>
      </c>
      <c r="B411" s="4" t="inlineStr">
        <is>
          <t>edad</t>
        </is>
      </c>
      <c r="C411" s="4" t="inlineStr">
        <is>
          <t>18-29</t>
        </is>
      </c>
      <c r="D411" s="4" t="inlineStr">
        <is>
          <t>esfuerzo_alquiler_40</t>
        </is>
      </c>
      <c r="E411" s="4" t="n">
        <v>16.4568</v>
      </c>
      <c r="F411" s="4" t="n">
        <v>12.7971</v>
      </c>
      <c r="G411" s="4" t="n">
        <v>20.1165</v>
      </c>
      <c r="H411" s="4" t="n">
        <v>1238</v>
      </c>
      <c r="I411" s="4" t="inlineStr">
        <is>
          <t>C4</t>
        </is>
      </c>
      <c r="J411" s="6">
        <f>IF(ISNUMBER(G411),G411-F411,"")</f>
        <v/>
      </c>
    </row>
    <row r="412">
      <c r="A412" s="4" t="n">
        <v>2025</v>
      </c>
      <c r="B412" s="4" t="inlineStr">
        <is>
          <t>edad</t>
        </is>
      </c>
      <c r="C412" s="4" t="inlineStr">
        <is>
          <t>18-29</t>
        </is>
      </c>
      <c r="D412" s="4" t="inlineStr">
        <is>
          <t>esfuerzo_hipoteca_30</t>
        </is>
      </c>
      <c r="E412" s="4" t="n">
        <v>6.3926</v>
      </c>
      <c r="F412" s="4" t="n">
        <v>4.9671</v>
      </c>
      <c r="G412" s="4" t="n">
        <v>7.8181</v>
      </c>
      <c r="H412" s="4" t="n">
        <v>2319</v>
      </c>
      <c r="I412" s="4" t="inlineStr">
        <is>
          <t>C4</t>
        </is>
      </c>
      <c r="J412" s="6">
        <f>IF(ISNUMBER(G412),G412-F412,"")</f>
        <v/>
      </c>
    </row>
    <row r="413">
      <c r="A413" s="4" t="n">
        <v>2025</v>
      </c>
      <c r="B413" s="4" t="inlineStr">
        <is>
          <t>edad</t>
        </is>
      </c>
      <c r="C413" s="4" t="inlineStr">
        <is>
          <t>18-29</t>
        </is>
      </c>
      <c r="D413" s="4" t="inlineStr">
        <is>
          <t>hacinamiento</t>
        </is>
      </c>
      <c r="E413" s="4" t="n">
        <v>15.3882</v>
      </c>
      <c r="F413" s="4" t="n">
        <v>13.3619</v>
      </c>
      <c r="G413" s="4" t="n">
        <v>17.4144</v>
      </c>
      <c r="H413" s="4" t="n">
        <v>8128</v>
      </c>
      <c r="I413" s="4" t="inlineStr">
        <is>
          <t>C4</t>
        </is>
      </c>
      <c r="J413" s="6">
        <f>IF(ISNUMBER(G413),G413-F413,"")</f>
        <v/>
      </c>
    </row>
    <row r="414">
      <c r="A414" s="4" t="n">
        <v>2025</v>
      </c>
      <c r="B414" s="4" t="inlineStr">
        <is>
          <t>edad</t>
        </is>
      </c>
      <c r="C414" s="4" t="inlineStr">
        <is>
          <t>18-29</t>
        </is>
      </c>
      <c r="D414" s="4" t="inlineStr">
        <is>
          <t>tenencia_1</t>
        </is>
      </c>
      <c r="E414" s="4" t="n">
        <v>40.8252</v>
      </c>
      <c r="F414" s="4" t="n">
        <v>38.9487</v>
      </c>
      <c r="G414" s="4" t="n">
        <v>42.7017</v>
      </c>
      <c r="H414" s="4" t="n">
        <v>8147</v>
      </c>
      <c r="I414" s="4" t="inlineStr">
        <is>
          <t>C4</t>
        </is>
      </c>
      <c r="J414" s="6">
        <f>IF(ISNUMBER(G414),G414-F414,"")</f>
        <v/>
      </c>
    </row>
    <row r="415">
      <c r="A415" s="4" t="n">
        <v>2025</v>
      </c>
      <c r="B415" s="4" t="inlineStr">
        <is>
          <t>edad</t>
        </is>
      </c>
      <c r="C415" s="4" t="inlineStr">
        <is>
          <t>18-29</t>
        </is>
      </c>
      <c r="D415" s="4" t="inlineStr">
        <is>
          <t>tenencia_2</t>
        </is>
      </c>
      <c r="E415" s="4" t="n">
        <v>27.769</v>
      </c>
      <c r="F415" s="4" t="n">
        <v>26.0719</v>
      </c>
      <c r="G415" s="4" t="n">
        <v>29.4661</v>
      </c>
      <c r="H415" s="4" t="n">
        <v>8147</v>
      </c>
      <c r="I415" s="4" t="inlineStr">
        <is>
          <t>C4</t>
        </is>
      </c>
      <c r="J415" s="6">
        <f>IF(ISNUMBER(G415),G415-F415,"")</f>
        <v/>
      </c>
    </row>
    <row r="416">
      <c r="A416" s="4" t="n">
        <v>2025</v>
      </c>
      <c r="B416" s="4" t="inlineStr">
        <is>
          <t>edad</t>
        </is>
      </c>
      <c r="C416" s="4" t="inlineStr">
        <is>
          <t>18-29</t>
        </is>
      </c>
      <c r="D416" s="4" t="inlineStr">
        <is>
          <t>tenencia_3</t>
        </is>
      </c>
      <c r="E416" s="4" t="n">
        <v>21.9398</v>
      </c>
      <c r="F416" s="4" t="n">
        <v>19.9113</v>
      </c>
      <c r="G416" s="4" t="n">
        <v>23.9683</v>
      </c>
      <c r="H416" s="4" t="n">
        <v>8147</v>
      </c>
      <c r="I416" s="4" t="inlineStr">
        <is>
          <t>C4</t>
        </is>
      </c>
      <c r="J416" s="6">
        <f>IF(ISNUMBER(G416),G416-F416,"")</f>
        <v/>
      </c>
    </row>
    <row r="417">
      <c r="A417" s="4" t="n">
        <v>2025</v>
      </c>
      <c r="B417" s="4" t="inlineStr">
        <is>
          <t>edad</t>
        </is>
      </c>
      <c r="C417" s="4" t="inlineStr">
        <is>
          <t>18-29</t>
        </is>
      </c>
      <c r="D417" s="4" t="inlineStr">
        <is>
          <t>tenencia_4</t>
        </is>
      </c>
      <c r="E417" s="4" t="n">
        <v>3.9092</v>
      </c>
      <c r="F417" s="4" t="n">
        <v>3.0589</v>
      </c>
      <c r="G417" s="4" t="n">
        <v>4.7594</v>
      </c>
      <c r="H417" s="4" t="n">
        <v>8147</v>
      </c>
      <c r="I417" s="4" t="inlineStr">
        <is>
          <t>C4</t>
        </is>
      </c>
      <c r="J417" s="6">
        <f>IF(ISNUMBER(G417),G417-F417,"")</f>
        <v/>
      </c>
    </row>
    <row r="418">
      <c r="A418" s="4" t="n">
        <v>2025</v>
      </c>
      <c r="B418" s="4" t="inlineStr">
        <is>
          <t>edad</t>
        </is>
      </c>
      <c r="C418" s="4" t="inlineStr">
        <is>
          <t>18-29</t>
        </is>
      </c>
      <c r="D418" s="4" t="inlineStr">
        <is>
          <t>tenencia_5</t>
        </is>
      </c>
      <c r="E418" s="4" t="n">
        <v>5.5568</v>
      </c>
      <c r="F418" s="4" t="n">
        <v>4.7287</v>
      </c>
      <c r="G418" s="4" t="n">
        <v>6.385</v>
      </c>
      <c r="H418" s="4" t="n">
        <v>8147</v>
      </c>
      <c r="I418" s="4" t="inlineStr">
        <is>
          <t>C4</t>
        </is>
      </c>
      <c r="J418" s="6">
        <f>IF(ISNUMBER(G418),G418-F418,"")</f>
        <v/>
      </c>
    </row>
    <row r="419">
      <c r="A419" s="4" t="n">
        <v>2025</v>
      </c>
      <c r="B419" s="4" t="inlineStr">
        <is>
          <t>edad</t>
        </is>
      </c>
      <c r="C419" s="4" t="inlineStr">
        <is>
          <t>18-29</t>
        </is>
      </c>
      <c r="D419" s="4" t="inlineStr">
        <is>
          <t>esfuerzo_alquiler_mediana</t>
        </is>
      </c>
      <c r="E419" s="4" t="n">
        <v>21.1352</v>
      </c>
      <c r="F419" s="4" t="n">
        <v>19.8103</v>
      </c>
      <c r="G419" s="4" t="n">
        <v>23.1608</v>
      </c>
      <c r="H419" s="4" t="n">
        <v>1238</v>
      </c>
      <c r="I419" s="4" t="inlineStr">
        <is>
          <t>C4</t>
        </is>
      </c>
      <c r="J419" s="6">
        <f>IF(ISNUMBER(G419),G419-F419,"")</f>
        <v/>
      </c>
    </row>
    <row r="420">
      <c r="A420" s="4" t="n">
        <v>2025</v>
      </c>
      <c r="B420" s="4" t="inlineStr">
        <is>
          <t>edad</t>
        </is>
      </c>
      <c r="C420" s="4" t="inlineStr">
        <is>
          <t>18-29</t>
        </is>
      </c>
      <c r="D420" s="4" t="inlineStr">
        <is>
          <t>esfuerzo_hipoteca_mediana</t>
        </is>
      </c>
      <c r="E420" s="4" t="n">
        <v>12.1807</v>
      </c>
      <c r="F420" s="4" t="n">
        <v>11.7624</v>
      </c>
      <c r="G420" s="4" t="n">
        <v>12.7552</v>
      </c>
      <c r="H420" s="4" t="n">
        <v>2319</v>
      </c>
      <c r="I420" s="4" t="inlineStr">
        <is>
          <t>C4</t>
        </is>
      </c>
      <c r="J420" s="6">
        <f>IF(ISNUMBER(G420),G420-F420,"")</f>
        <v/>
      </c>
    </row>
    <row r="421">
      <c r="A421" s="4" t="n">
        <v>2025</v>
      </c>
      <c r="B421" s="4" t="inlineStr">
        <is>
          <t>edad</t>
        </is>
      </c>
      <c r="C421" s="4" t="inlineStr">
        <is>
          <t>30-34</t>
        </is>
      </c>
      <c r="D421" s="4" t="inlineStr">
        <is>
          <t>sobrecarga_30</t>
        </is>
      </c>
      <c r="E421" s="4" t="n">
        <v>17.9525</v>
      </c>
      <c r="F421" s="4" t="n">
        <v>15.7103</v>
      </c>
      <c r="G421" s="4" t="n">
        <v>20.1947</v>
      </c>
      <c r="H421" s="4" t="n">
        <v>2898</v>
      </c>
      <c r="I421" s="4" t="inlineStr">
        <is>
          <t>C4</t>
        </is>
      </c>
      <c r="J421" s="6">
        <f>IF(ISNUMBER(G421),G421-F421,"")</f>
        <v/>
      </c>
    </row>
    <row r="422">
      <c r="A422" s="4" t="n">
        <v>2025</v>
      </c>
      <c r="B422" s="4" t="inlineStr">
        <is>
          <t>edad</t>
        </is>
      </c>
      <c r="C422" s="4" t="inlineStr">
        <is>
          <t>30-34</t>
        </is>
      </c>
      <c r="D422" s="4" t="inlineStr">
        <is>
          <t>sobrecarga_40</t>
        </is>
      </c>
      <c r="E422" s="4" t="n">
        <v>10.0511</v>
      </c>
      <c r="F422" s="4" t="n">
        <v>8.326700000000001</v>
      </c>
      <c r="G422" s="4" t="n">
        <v>11.7755</v>
      </c>
      <c r="H422" s="4" t="n">
        <v>2898</v>
      </c>
      <c r="I422" s="4" t="inlineStr">
        <is>
          <t>C4</t>
        </is>
      </c>
      <c r="J422" s="6">
        <f>IF(ISNUMBER(G422),G422-F422,"")</f>
        <v/>
      </c>
    </row>
    <row r="423">
      <c r="A423" s="4" t="n">
        <v>2025</v>
      </c>
      <c r="B423" s="4" t="inlineStr">
        <is>
          <t>edad</t>
        </is>
      </c>
      <c r="C423" s="4" t="inlineStr">
        <is>
          <t>30-34</t>
        </is>
      </c>
      <c r="D423" s="4" t="inlineStr">
        <is>
          <t>esfuerzo_alquiler_30</t>
        </is>
      </c>
      <c r="E423" s="4" t="n">
        <v>28.5601</v>
      </c>
      <c r="F423" s="4" t="n">
        <v>23.4936</v>
      </c>
      <c r="G423" s="4" t="n">
        <v>33.6265</v>
      </c>
      <c r="H423" s="4" t="n">
        <v>723</v>
      </c>
      <c r="I423" s="4" t="inlineStr">
        <is>
          <t>C4</t>
        </is>
      </c>
      <c r="J423" s="6">
        <f>IF(ISNUMBER(G423),G423-F423,"")</f>
        <v/>
      </c>
    </row>
    <row r="424">
      <c r="A424" s="4" t="n">
        <v>2025</v>
      </c>
      <c r="B424" s="4" t="inlineStr">
        <is>
          <t>edad</t>
        </is>
      </c>
      <c r="C424" s="4" t="inlineStr">
        <is>
          <t>30-34</t>
        </is>
      </c>
      <c r="D424" s="4" t="inlineStr">
        <is>
          <t>esfuerzo_alquiler_40</t>
        </is>
      </c>
      <c r="E424" s="4" t="n">
        <v>15.0741</v>
      </c>
      <c r="F424" s="4" t="n">
        <v>11.2853</v>
      </c>
      <c r="G424" s="4" t="n">
        <v>18.8628</v>
      </c>
      <c r="H424" s="4" t="n">
        <v>723</v>
      </c>
      <c r="I424" s="4" t="inlineStr">
        <is>
          <t>C4</t>
        </is>
      </c>
      <c r="J424" s="6">
        <f>IF(ISNUMBER(G424),G424-F424,"")</f>
        <v/>
      </c>
    </row>
    <row r="425">
      <c r="A425" s="4" t="n">
        <v>2025</v>
      </c>
      <c r="B425" s="4" t="inlineStr">
        <is>
          <t>edad</t>
        </is>
      </c>
      <c r="C425" s="4" t="inlineStr">
        <is>
          <t>30-34</t>
        </is>
      </c>
      <c r="D425" s="4" t="inlineStr">
        <is>
          <t>esfuerzo_hipoteca_30</t>
        </is>
      </c>
      <c r="E425" s="4" t="n">
        <v>6.3255</v>
      </c>
      <c r="F425" s="4" t="n">
        <v>4.1039</v>
      </c>
      <c r="G425" s="4" t="n">
        <v>8.5472</v>
      </c>
      <c r="H425" s="4" t="n">
        <v>875</v>
      </c>
      <c r="I425" s="4" t="inlineStr">
        <is>
          <t>C4</t>
        </is>
      </c>
      <c r="J425" s="6">
        <f>IF(ISNUMBER(G425),G425-F425,"")</f>
        <v/>
      </c>
    </row>
    <row r="426">
      <c r="A426" s="4" t="n">
        <v>2025</v>
      </c>
      <c r="B426" s="4" t="inlineStr">
        <is>
          <t>edad</t>
        </is>
      </c>
      <c r="C426" s="4" t="inlineStr">
        <is>
          <t>30-34</t>
        </is>
      </c>
      <c r="D426" s="4" t="inlineStr">
        <is>
          <t>hacinamiento</t>
        </is>
      </c>
      <c r="E426" s="4" t="n">
        <v>8.3248</v>
      </c>
      <c r="F426" s="4" t="n">
        <v>6.6135</v>
      </c>
      <c r="G426" s="4" t="n">
        <v>10.0361</v>
      </c>
      <c r="H426" s="4" t="n">
        <v>2893</v>
      </c>
      <c r="I426" s="4" t="inlineStr">
        <is>
          <t>C4</t>
        </is>
      </c>
      <c r="J426" s="6">
        <f>IF(ISNUMBER(G426),G426-F426,"")</f>
        <v/>
      </c>
    </row>
    <row r="427">
      <c r="A427" s="4" t="n">
        <v>2025</v>
      </c>
      <c r="B427" s="4" t="inlineStr">
        <is>
          <t>edad</t>
        </is>
      </c>
      <c r="C427" s="4" t="inlineStr">
        <is>
          <t>30-34</t>
        </is>
      </c>
      <c r="D427" s="4" t="inlineStr">
        <is>
          <t>tenencia_1</t>
        </is>
      </c>
      <c r="E427" s="4" t="n">
        <v>25.4052</v>
      </c>
      <c r="F427" s="4" t="n">
        <v>23.2052</v>
      </c>
      <c r="G427" s="4" t="n">
        <v>27.6052</v>
      </c>
      <c r="H427" s="4" t="n">
        <v>2908</v>
      </c>
      <c r="I427" s="4" t="inlineStr">
        <is>
          <t>C4</t>
        </is>
      </c>
      <c r="J427" s="6">
        <f>IF(ISNUMBER(G427),G427-F427,"")</f>
        <v/>
      </c>
    </row>
    <row r="428">
      <c r="A428" s="4" t="n">
        <v>2025</v>
      </c>
      <c r="B428" s="4" t="inlineStr">
        <is>
          <t>edad</t>
        </is>
      </c>
      <c r="C428" s="4" t="inlineStr">
        <is>
          <t>30-34</t>
        </is>
      </c>
      <c r="D428" s="4" t="inlineStr">
        <is>
          <t>tenencia_2</t>
        </is>
      </c>
      <c r="E428" s="4" t="n">
        <v>29.791</v>
      </c>
      <c r="F428" s="4" t="n">
        <v>27.3011</v>
      </c>
      <c r="G428" s="4" t="n">
        <v>32.2809</v>
      </c>
      <c r="H428" s="4" t="n">
        <v>2908</v>
      </c>
      <c r="I428" s="4" t="inlineStr">
        <is>
          <t>C4</t>
        </is>
      </c>
      <c r="J428" s="6">
        <f>IF(ISNUMBER(G428),G428-F428,"")</f>
        <v/>
      </c>
    </row>
    <row r="429">
      <c r="A429" s="4" t="n">
        <v>2025</v>
      </c>
      <c r="B429" s="4" t="inlineStr">
        <is>
          <t>edad</t>
        </is>
      </c>
      <c r="C429" s="4" t="inlineStr">
        <is>
          <t>30-34</t>
        </is>
      </c>
      <c r="D429" s="4" t="inlineStr">
        <is>
          <t>tenencia_3</t>
        </is>
      </c>
      <c r="E429" s="4" t="n">
        <v>31.9552</v>
      </c>
      <c r="F429" s="4" t="n">
        <v>29.0813</v>
      </c>
      <c r="G429" s="4" t="n">
        <v>34.8292</v>
      </c>
      <c r="H429" s="4" t="n">
        <v>2908</v>
      </c>
      <c r="I429" s="4" t="inlineStr">
        <is>
          <t>C4</t>
        </is>
      </c>
      <c r="J429" s="6">
        <f>IF(ISNUMBER(G429),G429-F429,"")</f>
        <v/>
      </c>
    </row>
    <row r="430">
      <c r="A430" s="4" t="n">
        <v>2025</v>
      </c>
      <c r="B430" s="4" t="inlineStr">
        <is>
          <t>edad</t>
        </is>
      </c>
      <c r="C430" s="4" t="inlineStr">
        <is>
          <t>30-34</t>
        </is>
      </c>
      <c r="D430" s="4" t="inlineStr">
        <is>
          <t>tenencia_4</t>
        </is>
      </c>
      <c r="E430" s="4" t="n">
        <v>5.0712</v>
      </c>
      <c r="F430" s="4" t="n">
        <v>3.755</v>
      </c>
      <c r="G430" s="4" t="n">
        <v>6.3875</v>
      </c>
      <c r="H430" s="4" t="n">
        <v>2908</v>
      </c>
      <c r="I430" s="4" t="inlineStr">
        <is>
          <t>C4</t>
        </is>
      </c>
      <c r="J430" s="6">
        <f>IF(ISNUMBER(G430),G430-F430,"")</f>
        <v/>
      </c>
    </row>
    <row r="431">
      <c r="A431" s="4" t="n">
        <v>2025</v>
      </c>
      <c r="B431" s="4" t="inlineStr">
        <is>
          <t>edad</t>
        </is>
      </c>
      <c r="C431" s="4" t="inlineStr">
        <is>
          <t>30-34</t>
        </is>
      </c>
      <c r="D431" s="4" t="inlineStr">
        <is>
          <t>tenencia_5</t>
        </is>
      </c>
      <c r="E431" s="4" t="n">
        <v>7.7773</v>
      </c>
      <c r="F431" s="4" t="n">
        <v>6.3766</v>
      </c>
      <c r="G431" s="4" t="n">
        <v>9.177899999999999</v>
      </c>
      <c r="H431" s="4" t="n">
        <v>2908</v>
      </c>
      <c r="I431" s="4" t="inlineStr">
        <is>
          <t>C4</t>
        </is>
      </c>
      <c r="J431" s="6">
        <f>IF(ISNUMBER(G431),G431-F431,"")</f>
        <v/>
      </c>
    </row>
    <row r="432">
      <c r="A432" s="4" t="n">
        <v>2025</v>
      </c>
      <c r="B432" s="4" t="inlineStr">
        <is>
          <t>edad</t>
        </is>
      </c>
      <c r="C432" s="4" t="inlineStr">
        <is>
          <t>30-34</t>
        </is>
      </c>
      <c r="D432" s="4" t="inlineStr">
        <is>
          <t>esfuerzo_alquiler_mediana</t>
        </is>
      </c>
      <c r="E432" s="4" t="n">
        <v>22.1998</v>
      </c>
      <c r="F432" s="4" t="n">
        <v>20.896</v>
      </c>
      <c r="G432" s="4" t="n">
        <v>24.0191</v>
      </c>
      <c r="H432" s="4" t="n">
        <v>723</v>
      </c>
      <c r="I432" s="4" t="inlineStr">
        <is>
          <t>C4</t>
        </is>
      </c>
      <c r="J432" s="6">
        <f>IF(ISNUMBER(G432),G432-F432,"")</f>
        <v/>
      </c>
    </row>
    <row r="433">
      <c r="A433" s="4" t="n">
        <v>2025</v>
      </c>
      <c r="B433" s="4" t="inlineStr">
        <is>
          <t>edad</t>
        </is>
      </c>
      <c r="C433" s="4" t="inlineStr">
        <is>
          <t>30-34</t>
        </is>
      </c>
      <c r="D433" s="4" t="inlineStr">
        <is>
          <t>esfuerzo_hipoteca_mediana</t>
        </is>
      </c>
      <c r="E433" s="4" t="n">
        <v>13.7584</v>
      </c>
      <c r="F433" s="4" t="n">
        <v>13.1738</v>
      </c>
      <c r="G433" s="4" t="n">
        <v>14.6565</v>
      </c>
      <c r="H433" s="4" t="n">
        <v>875</v>
      </c>
      <c r="I433" s="4" t="inlineStr">
        <is>
          <t>C4</t>
        </is>
      </c>
      <c r="J433" s="6">
        <f>IF(ISNUMBER(G433),G433-F433,"")</f>
        <v/>
      </c>
    </row>
    <row r="434">
      <c r="A434" s="4" t="n">
        <v>2025</v>
      </c>
      <c r="B434" s="4" t="inlineStr">
        <is>
          <t>edad</t>
        </is>
      </c>
      <c r="C434" s="4" t="inlineStr">
        <is>
          <t>35-44</t>
        </is>
      </c>
      <c r="D434" s="4" t="inlineStr">
        <is>
          <t>sobrecarga_30</t>
        </is>
      </c>
      <c r="E434" s="4" t="n">
        <v>16.1381</v>
      </c>
      <c r="F434" s="4" t="n">
        <v>14.8751</v>
      </c>
      <c r="G434" s="4" t="n">
        <v>17.4011</v>
      </c>
      <c r="H434" s="4" t="n">
        <v>8953</v>
      </c>
      <c r="I434" s="4" t="inlineStr">
        <is>
          <t>C4</t>
        </is>
      </c>
      <c r="J434" s="6">
        <f>IF(ISNUMBER(G434),G434-F434,"")</f>
        <v/>
      </c>
    </row>
    <row r="435">
      <c r="A435" s="4" t="n">
        <v>2025</v>
      </c>
      <c r="B435" s="4" t="inlineStr">
        <is>
          <t>edad</t>
        </is>
      </c>
      <c r="C435" s="4" t="inlineStr">
        <is>
          <t>35-44</t>
        </is>
      </c>
      <c r="D435" s="4" t="inlineStr">
        <is>
          <t>sobrecarga_40</t>
        </is>
      </c>
      <c r="E435" s="4" t="n">
        <v>9.3287</v>
      </c>
      <c r="F435" s="4" t="n">
        <v>8.3437</v>
      </c>
      <c r="G435" s="4" t="n">
        <v>10.3137</v>
      </c>
      <c r="H435" s="4" t="n">
        <v>8953</v>
      </c>
      <c r="I435" s="4" t="inlineStr">
        <is>
          <t>C4</t>
        </is>
      </c>
      <c r="J435" s="6">
        <f>IF(ISNUMBER(G435),G435-F435,"")</f>
        <v/>
      </c>
    </row>
    <row r="436">
      <c r="A436" s="4" t="n">
        <v>2025</v>
      </c>
      <c r="B436" s="4" t="inlineStr">
        <is>
          <t>edad</t>
        </is>
      </c>
      <c r="C436" s="4" t="inlineStr">
        <is>
          <t>35-44</t>
        </is>
      </c>
      <c r="D436" s="4" t="inlineStr">
        <is>
          <t>esfuerzo_alquiler_30</t>
        </is>
      </c>
      <c r="E436" s="4" t="n">
        <v>29.1424</v>
      </c>
      <c r="F436" s="4" t="n">
        <v>25.8591</v>
      </c>
      <c r="G436" s="4" t="n">
        <v>32.4258</v>
      </c>
      <c r="H436" s="4" t="n">
        <v>1711</v>
      </c>
      <c r="I436" s="4" t="inlineStr">
        <is>
          <t>C4</t>
        </is>
      </c>
      <c r="J436" s="6">
        <f>IF(ISNUMBER(G436),G436-F436,"")</f>
        <v/>
      </c>
    </row>
    <row r="437">
      <c r="A437" s="4" t="n">
        <v>2025</v>
      </c>
      <c r="B437" s="4" t="inlineStr">
        <is>
          <t>edad</t>
        </is>
      </c>
      <c r="C437" s="4" t="inlineStr">
        <is>
          <t>35-44</t>
        </is>
      </c>
      <c r="D437" s="4" t="inlineStr">
        <is>
          <t>esfuerzo_alquiler_40</t>
        </is>
      </c>
      <c r="E437" s="4" t="n">
        <v>18.6421</v>
      </c>
      <c r="F437" s="4" t="n">
        <v>15.7943</v>
      </c>
      <c r="G437" s="4" t="n">
        <v>21.4899</v>
      </c>
      <c r="H437" s="4" t="n">
        <v>1711</v>
      </c>
      <c r="I437" s="4" t="inlineStr">
        <is>
          <t>C4</t>
        </is>
      </c>
      <c r="J437" s="6">
        <f>IF(ISNUMBER(G437),G437-F437,"")</f>
        <v/>
      </c>
    </row>
    <row r="438">
      <c r="A438" s="4" t="n">
        <v>2025</v>
      </c>
      <c r="B438" s="4" t="inlineStr">
        <is>
          <t>edad</t>
        </is>
      </c>
      <c r="C438" s="4" t="inlineStr">
        <is>
          <t>35-44</t>
        </is>
      </c>
      <c r="D438" s="4" t="inlineStr">
        <is>
          <t>esfuerzo_hipoteca_30</t>
        </is>
      </c>
      <c r="E438" s="4" t="n">
        <v>8.2887</v>
      </c>
      <c r="F438" s="4" t="n">
        <v>6.8619</v>
      </c>
      <c r="G438" s="4" t="n">
        <v>9.7155</v>
      </c>
      <c r="H438" s="4" t="n">
        <v>3562</v>
      </c>
      <c r="I438" s="4" t="inlineStr">
        <is>
          <t>C4</t>
        </is>
      </c>
      <c r="J438" s="6">
        <f>IF(ISNUMBER(G438),G438-F438,"")</f>
        <v/>
      </c>
    </row>
    <row r="439">
      <c r="A439" s="4" t="n">
        <v>2025</v>
      </c>
      <c r="B439" s="4" t="inlineStr">
        <is>
          <t>edad</t>
        </is>
      </c>
      <c r="C439" s="4" t="inlineStr">
        <is>
          <t>35-44</t>
        </is>
      </c>
      <c r="D439" s="4" t="inlineStr">
        <is>
          <t>hacinamiento</t>
        </is>
      </c>
      <c r="E439" s="4" t="n">
        <v>8.6073</v>
      </c>
      <c r="F439" s="4" t="n">
        <v>7.4</v>
      </c>
      <c r="G439" s="4" t="n">
        <v>9.814500000000001</v>
      </c>
      <c r="H439" s="4" t="n">
        <v>8970</v>
      </c>
      <c r="I439" s="4" t="inlineStr">
        <is>
          <t>C4</t>
        </is>
      </c>
      <c r="J439" s="6">
        <f>IF(ISNUMBER(G439),G439-F439,"")</f>
        <v/>
      </c>
    </row>
    <row r="440">
      <c r="A440" s="4" t="n">
        <v>2025</v>
      </c>
      <c r="B440" s="4" t="inlineStr">
        <is>
          <t>edad</t>
        </is>
      </c>
      <c r="C440" s="4" t="inlineStr">
        <is>
          <t>35-44</t>
        </is>
      </c>
      <c r="D440" s="4" t="inlineStr">
        <is>
          <t>tenencia_1</t>
        </is>
      </c>
      <c r="E440" s="4" t="n">
        <v>25.581</v>
      </c>
      <c r="F440" s="4" t="n">
        <v>24.146</v>
      </c>
      <c r="G440" s="4" t="n">
        <v>27.016</v>
      </c>
      <c r="H440" s="4" t="n">
        <v>8987</v>
      </c>
      <c r="I440" s="4" t="inlineStr">
        <is>
          <t>C4</t>
        </is>
      </c>
      <c r="J440" s="6">
        <f>IF(ISNUMBER(G440),G440-F440,"")</f>
        <v/>
      </c>
    </row>
    <row r="441">
      <c r="A441" s="4" t="n">
        <v>2025</v>
      </c>
      <c r="B441" s="4" t="inlineStr">
        <is>
          <t>edad</t>
        </is>
      </c>
      <c r="C441" s="4" t="inlineStr">
        <is>
          <t>35-44</t>
        </is>
      </c>
      <c r="D441" s="4" t="inlineStr">
        <is>
          <t>tenencia_2</t>
        </is>
      </c>
      <c r="E441" s="4" t="n">
        <v>38.1138</v>
      </c>
      <c r="F441" s="4" t="n">
        <v>36.4927</v>
      </c>
      <c r="G441" s="4" t="n">
        <v>39.7349</v>
      </c>
      <c r="H441" s="4" t="n">
        <v>8987</v>
      </c>
      <c r="I441" s="4" t="inlineStr">
        <is>
          <t>C4</t>
        </is>
      </c>
      <c r="J441" s="6">
        <f>IF(ISNUMBER(G441),G441-F441,"")</f>
        <v/>
      </c>
    </row>
    <row r="442">
      <c r="A442" s="4" t="n">
        <v>2025</v>
      </c>
      <c r="B442" s="4" t="inlineStr">
        <is>
          <t>edad</t>
        </is>
      </c>
      <c r="C442" s="4" t="inlineStr">
        <is>
          <t>35-44</t>
        </is>
      </c>
      <c r="D442" s="4" t="inlineStr">
        <is>
          <t>tenencia_3</t>
        </is>
      </c>
      <c r="E442" s="4" t="n">
        <v>24.6913</v>
      </c>
      <c r="F442" s="4" t="n">
        <v>23.0882</v>
      </c>
      <c r="G442" s="4" t="n">
        <v>26.2943</v>
      </c>
      <c r="H442" s="4" t="n">
        <v>8987</v>
      </c>
      <c r="I442" s="4" t="inlineStr">
        <is>
          <t>C4</t>
        </is>
      </c>
      <c r="J442" s="6">
        <f>IF(ISNUMBER(G442),G442-F442,"")</f>
        <v/>
      </c>
    </row>
    <row r="443">
      <c r="A443" s="4" t="n">
        <v>2025</v>
      </c>
      <c r="B443" s="4" t="inlineStr">
        <is>
          <t>edad</t>
        </is>
      </c>
      <c r="C443" s="4" t="inlineStr">
        <is>
          <t>35-44</t>
        </is>
      </c>
      <c r="D443" s="4" t="inlineStr">
        <is>
          <t>tenencia_4</t>
        </is>
      </c>
      <c r="E443" s="4" t="n">
        <v>4.0985</v>
      </c>
      <c r="F443" s="4" t="n">
        <v>3.4103</v>
      </c>
      <c r="G443" s="4" t="n">
        <v>4.7866</v>
      </c>
      <c r="H443" s="4" t="n">
        <v>8987</v>
      </c>
      <c r="I443" s="4" t="inlineStr">
        <is>
          <t>C4</t>
        </is>
      </c>
      <c r="J443" s="6">
        <f>IF(ISNUMBER(G443),G443-F443,"")</f>
        <v/>
      </c>
    </row>
    <row r="444">
      <c r="A444" s="4" t="n">
        <v>2025</v>
      </c>
      <c r="B444" s="4" t="inlineStr">
        <is>
          <t>edad</t>
        </is>
      </c>
      <c r="C444" s="4" t="inlineStr">
        <is>
          <t>35-44</t>
        </is>
      </c>
      <c r="D444" s="4" t="inlineStr">
        <is>
          <t>tenencia_5</t>
        </is>
      </c>
      <c r="E444" s="4" t="n">
        <v>7.5155</v>
      </c>
      <c r="F444" s="4" t="n">
        <v>6.7174</v>
      </c>
      <c r="G444" s="4" t="n">
        <v>8.313599999999999</v>
      </c>
      <c r="H444" s="4" t="n">
        <v>8987</v>
      </c>
      <c r="I444" s="4" t="inlineStr">
        <is>
          <t>C4</t>
        </is>
      </c>
      <c r="J444" s="6">
        <f>IF(ISNUMBER(G444),G444-F444,"")</f>
        <v/>
      </c>
    </row>
    <row r="445">
      <c r="A445" s="4" t="n">
        <v>2025</v>
      </c>
      <c r="B445" s="4" t="inlineStr">
        <is>
          <t>edad</t>
        </is>
      </c>
      <c r="C445" s="4" t="inlineStr">
        <is>
          <t>35-44</t>
        </is>
      </c>
      <c r="D445" s="4" t="inlineStr">
        <is>
          <t>esfuerzo_alquiler_mediana</t>
        </is>
      </c>
      <c r="E445" s="4" t="n">
        <v>22.8688</v>
      </c>
      <c r="F445" s="4" t="n">
        <v>21.778</v>
      </c>
      <c r="G445" s="4" t="n">
        <v>23.6518</v>
      </c>
      <c r="H445" s="4" t="n">
        <v>1711</v>
      </c>
      <c r="I445" s="4" t="inlineStr">
        <is>
          <t>C4</t>
        </is>
      </c>
      <c r="J445" s="6">
        <f>IF(ISNUMBER(G445),G445-F445,"")</f>
        <v/>
      </c>
    </row>
    <row r="446">
      <c r="A446" s="4" t="n">
        <v>2025</v>
      </c>
      <c r="B446" s="4" t="inlineStr">
        <is>
          <t>edad</t>
        </is>
      </c>
      <c r="C446" s="4" t="inlineStr">
        <is>
          <t>35-44</t>
        </is>
      </c>
      <c r="D446" s="4" t="inlineStr">
        <is>
          <t>esfuerzo_hipoteca_mediana</t>
        </is>
      </c>
      <c r="E446" s="4" t="n">
        <v>14.4095</v>
      </c>
      <c r="F446" s="4" t="n">
        <v>14.0117</v>
      </c>
      <c r="G446" s="4" t="n">
        <v>14.9343</v>
      </c>
      <c r="H446" s="4" t="n">
        <v>3562</v>
      </c>
      <c r="I446" s="4" t="inlineStr">
        <is>
          <t>C4</t>
        </is>
      </c>
      <c r="J446" s="6">
        <f>IF(ISNUMBER(G446),G446-F446,"")</f>
        <v/>
      </c>
    </row>
    <row r="447">
      <c r="A447" s="4" t="n">
        <v>2025</v>
      </c>
      <c r="B447" s="4" t="inlineStr">
        <is>
          <t>edad</t>
        </is>
      </c>
      <c r="C447" s="4" t="inlineStr">
        <is>
          <t>45-64</t>
        </is>
      </c>
      <c r="D447" s="4" t="inlineStr">
        <is>
          <t>sobrecarga_30</t>
        </is>
      </c>
      <c r="E447" s="4" t="n">
        <v>10.6491</v>
      </c>
      <c r="F447" s="4" t="n">
        <v>9.9481</v>
      </c>
      <c r="G447" s="4" t="n">
        <v>11.3501</v>
      </c>
      <c r="H447" s="4" t="n">
        <v>24027</v>
      </c>
      <c r="I447" s="4" t="inlineStr">
        <is>
          <t>C4</t>
        </is>
      </c>
      <c r="J447" s="6">
        <f>IF(ISNUMBER(G447),G447-F447,"")</f>
        <v/>
      </c>
    </row>
    <row r="448">
      <c r="A448" s="4" t="n">
        <v>2025</v>
      </c>
      <c r="B448" s="4" t="inlineStr">
        <is>
          <t>edad</t>
        </is>
      </c>
      <c r="C448" s="4" t="inlineStr">
        <is>
          <t>45-64</t>
        </is>
      </c>
      <c r="D448" s="4" t="inlineStr">
        <is>
          <t>sobrecarga_40</t>
        </is>
      </c>
      <c r="E448" s="4" t="n">
        <v>6.5613</v>
      </c>
      <c r="F448" s="4" t="n">
        <v>5.9926</v>
      </c>
      <c r="G448" s="4" t="n">
        <v>7.1301</v>
      </c>
      <c r="H448" s="4" t="n">
        <v>24027</v>
      </c>
      <c r="I448" s="4" t="inlineStr">
        <is>
          <t>C4</t>
        </is>
      </c>
      <c r="J448" s="6">
        <f>IF(ISNUMBER(G448),G448-F448,"")</f>
        <v/>
      </c>
    </row>
    <row r="449">
      <c r="A449" s="4" t="n">
        <v>2025</v>
      </c>
      <c r="B449" s="4" t="inlineStr">
        <is>
          <t>edad</t>
        </is>
      </c>
      <c r="C449" s="4" t="inlineStr">
        <is>
          <t>45-64</t>
        </is>
      </c>
      <c r="D449" s="4" t="inlineStr">
        <is>
          <t>esfuerzo_alquiler_30</t>
        </is>
      </c>
      <c r="E449" s="4" t="n">
        <v>29.3196</v>
      </c>
      <c r="F449" s="4" t="n">
        <v>26.0323</v>
      </c>
      <c r="G449" s="4" t="n">
        <v>32.6068</v>
      </c>
      <c r="H449" s="4" t="n">
        <v>2438</v>
      </c>
      <c r="I449" s="4" t="inlineStr">
        <is>
          <t>C4</t>
        </is>
      </c>
      <c r="J449" s="6">
        <f>IF(ISNUMBER(G449),G449-F449,"")</f>
        <v/>
      </c>
    </row>
    <row r="450">
      <c r="A450" s="4" t="n">
        <v>2025</v>
      </c>
      <c r="B450" s="4" t="inlineStr">
        <is>
          <t>edad</t>
        </is>
      </c>
      <c r="C450" s="4" t="inlineStr">
        <is>
          <t>45-64</t>
        </is>
      </c>
      <c r="D450" s="4" t="inlineStr">
        <is>
          <t>esfuerzo_alquiler_40</t>
        </is>
      </c>
      <c r="E450" s="4" t="n">
        <v>16.7155</v>
      </c>
      <c r="F450" s="4" t="n">
        <v>14.1047</v>
      </c>
      <c r="G450" s="4" t="n">
        <v>19.3264</v>
      </c>
      <c r="H450" s="4" t="n">
        <v>2438</v>
      </c>
      <c r="I450" s="4" t="inlineStr">
        <is>
          <t>C4</t>
        </is>
      </c>
      <c r="J450" s="6">
        <f>IF(ISNUMBER(G450),G450-F450,"")</f>
        <v/>
      </c>
    </row>
    <row r="451">
      <c r="A451" s="4" t="n">
        <v>2025</v>
      </c>
      <c r="B451" s="4" t="inlineStr">
        <is>
          <t>edad</t>
        </is>
      </c>
      <c r="C451" s="4" t="inlineStr">
        <is>
          <t>45-64</t>
        </is>
      </c>
      <c r="D451" s="4" t="inlineStr">
        <is>
          <t>esfuerzo_hipoteca_30</t>
        </is>
      </c>
      <c r="E451" s="4" t="n">
        <v>10.2846</v>
      </c>
      <c r="F451" s="4" t="n">
        <v>9.0901</v>
      </c>
      <c r="G451" s="4" t="n">
        <v>11.479</v>
      </c>
      <c r="H451" s="4" t="n">
        <v>7067</v>
      </c>
      <c r="I451" s="4" t="inlineStr">
        <is>
          <t>C4</t>
        </is>
      </c>
      <c r="J451" s="6">
        <f>IF(ISNUMBER(G451),G451-F451,"")</f>
        <v/>
      </c>
    </row>
    <row r="452">
      <c r="A452" s="4" t="n">
        <v>2025</v>
      </c>
      <c r="B452" s="4" t="inlineStr">
        <is>
          <t>edad</t>
        </is>
      </c>
      <c r="C452" s="4" t="inlineStr">
        <is>
          <t>45-64</t>
        </is>
      </c>
      <c r="D452" s="4" t="inlineStr">
        <is>
          <t>hacinamiento</t>
        </is>
      </c>
      <c r="E452" s="4" t="n">
        <v>7.665</v>
      </c>
      <c r="F452" s="4" t="n">
        <v>6.9075</v>
      </c>
      <c r="G452" s="4" t="n">
        <v>8.422499999999999</v>
      </c>
      <c r="H452" s="4" t="n">
        <v>24040</v>
      </c>
      <c r="I452" s="4" t="inlineStr">
        <is>
          <t>C4</t>
        </is>
      </c>
      <c r="J452" s="6">
        <f>IF(ISNUMBER(G452),G452-F452,"")</f>
        <v/>
      </c>
    </row>
    <row r="453">
      <c r="A453" s="4" t="n">
        <v>2025</v>
      </c>
      <c r="B453" s="4" t="inlineStr">
        <is>
          <t>edad</t>
        </is>
      </c>
      <c r="C453" s="4" t="inlineStr">
        <is>
          <t>45-64</t>
        </is>
      </c>
      <c r="D453" s="4" t="inlineStr">
        <is>
          <t>tenencia_1</t>
        </is>
      </c>
      <c r="E453" s="4" t="n">
        <v>47.8155</v>
      </c>
      <c r="F453" s="4" t="n">
        <v>46.7344</v>
      </c>
      <c r="G453" s="4" t="n">
        <v>48.8967</v>
      </c>
      <c r="H453" s="4" t="n">
        <v>24107</v>
      </c>
      <c r="I453" s="4" t="inlineStr">
        <is>
          <t>C4</t>
        </is>
      </c>
      <c r="J453" s="6">
        <f>IF(ISNUMBER(G453),G453-F453,"")</f>
        <v/>
      </c>
    </row>
    <row r="454">
      <c r="A454" s="4" t="n">
        <v>2025</v>
      </c>
      <c r="B454" s="4" t="inlineStr">
        <is>
          <t>edad</t>
        </is>
      </c>
      <c r="C454" s="4" t="inlineStr">
        <is>
          <t>45-64</t>
        </is>
      </c>
      <c r="D454" s="4" t="inlineStr">
        <is>
          <t>tenencia_2</t>
        </is>
      </c>
      <c r="E454" s="4" t="n">
        <v>29.7467</v>
      </c>
      <c r="F454" s="4" t="n">
        <v>28.7966</v>
      </c>
      <c r="G454" s="4" t="n">
        <v>30.6968</v>
      </c>
      <c r="H454" s="4" t="n">
        <v>24107</v>
      </c>
      <c r="I454" s="4" t="inlineStr">
        <is>
          <t>C4</t>
        </is>
      </c>
      <c r="J454" s="6">
        <f>IF(ISNUMBER(G454),G454-F454,"")</f>
        <v/>
      </c>
    </row>
    <row r="455">
      <c r="A455" s="4" t="n">
        <v>2025</v>
      </c>
      <c r="B455" s="4" t="inlineStr">
        <is>
          <t>edad</t>
        </is>
      </c>
      <c r="C455" s="4" t="inlineStr">
        <is>
          <t>45-64</t>
        </is>
      </c>
      <c r="D455" s="4" t="inlineStr">
        <is>
          <t>tenencia_3</t>
        </is>
      </c>
      <c r="E455" s="4" t="n">
        <v>14.0725</v>
      </c>
      <c r="F455" s="4" t="n">
        <v>13.0976</v>
      </c>
      <c r="G455" s="4" t="n">
        <v>15.0474</v>
      </c>
      <c r="H455" s="4" t="n">
        <v>24107</v>
      </c>
      <c r="I455" s="4" t="inlineStr">
        <is>
          <t>C4</t>
        </is>
      </c>
      <c r="J455" s="6">
        <f>IF(ISNUMBER(G455),G455-F455,"")</f>
        <v/>
      </c>
    </row>
    <row r="456">
      <c r="A456" s="4" t="n">
        <v>2025</v>
      </c>
      <c r="B456" s="4" t="inlineStr">
        <is>
          <t>edad</t>
        </is>
      </c>
      <c r="C456" s="4" t="inlineStr">
        <is>
          <t>45-64</t>
        </is>
      </c>
      <c r="D456" s="4" t="inlineStr">
        <is>
          <t>tenencia_4</t>
        </is>
      </c>
      <c r="E456" s="4" t="n">
        <v>3.1363</v>
      </c>
      <c r="F456" s="4" t="n">
        <v>2.7299</v>
      </c>
      <c r="G456" s="4" t="n">
        <v>3.5428</v>
      </c>
      <c r="H456" s="4" t="n">
        <v>24107</v>
      </c>
      <c r="I456" s="4" t="inlineStr">
        <is>
          <t>C4</t>
        </is>
      </c>
      <c r="J456" s="6">
        <f>IF(ISNUMBER(G456),G456-F456,"")</f>
        <v/>
      </c>
    </row>
    <row r="457">
      <c r="A457" s="4" t="n">
        <v>2025</v>
      </c>
      <c r="B457" s="4" t="inlineStr">
        <is>
          <t>edad</t>
        </is>
      </c>
      <c r="C457" s="4" t="inlineStr">
        <is>
          <t>45-64</t>
        </is>
      </c>
      <c r="D457" s="4" t="inlineStr">
        <is>
          <t>tenencia_5</t>
        </is>
      </c>
      <c r="E457" s="4" t="n">
        <v>5.2289</v>
      </c>
      <c r="F457" s="4" t="n">
        <v>4.7713</v>
      </c>
      <c r="G457" s="4" t="n">
        <v>5.6864</v>
      </c>
      <c r="H457" s="4" t="n">
        <v>24107</v>
      </c>
      <c r="I457" s="4" t="inlineStr">
        <is>
          <t>C4</t>
        </is>
      </c>
      <c r="J457" s="6">
        <f>IF(ISNUMBER(G457),G457-F457,"")</f>
        <v/>
      </c>
    </row>
    <row r="458">
      <c r="A458" s="4" t="n">
        <v>2025</v>
      </c>
      <c r="B458" s="4" t="inlineStr">
        <is>
          <t>edad</t>
        </is>
      </c>
      <c r="C458" s="4" t="inlineStr">
        <is>
          <t>45-64</t>
        </is>
      </c>
      <c r="D458" s="4" t="inlineStr">
        <is>
          <t>esfuerzo_alquiler_mediana</t>
        </is>
      </c>
      <c r="E458" s="4" t="n">
        <v>21.5002</v>
      </c>
      <c r="F458" s="4" t="n">
        <v>20.5335</v>
      </c>
      <c r="G458" s="4" t="n">
        <v>22.8688</v>
      </c>
      <c r="H458" s="4" t="n">
        <v>2438</v>
      </c>
      <c r="I458" s="4" t="inlineStr">
        <is>
          <t>C4</t>
        </is>
      </c>
      <c r="J458" s="6">
        <f>IF(ISNUMBER(G458),G458-F458,"")</f>
        <v/>
      </c>
    </row>
    <row r="459">
      <c r="A459" s="4" t="n">
        <v>2025</v>
      </c>
      <c r="B459" s="4" t="inlineStr">
        <is>
          <t>edad</t>
        </is>
      </c>
      <c r="C459" s="4" t="inlineStr">
        <is>
          <t>45-64</t>
        </is>
      </c>
      <c r="D459" s="4" t="inlineStr">
        <is>
          <t>esfuerzo_hipoteca_mediana</t>
        </is>
      </c>
      <c r="E459" s="4" t="n">
        <v>13.6328</v>
      </c>
      <c r="F459" s="4" t="n">
        <v>13.2862</v>
      </c>
      <c r="G459" s="4" t="n">
        <v>14.0314</v>
      </c>
      <c r="H459" s="4" t="n">
        <v>7067</v>
      </c>
      <c r="I459" s="4" t="inlineStr">
        <is>
          <t>C4</t>
        </is>
      </c>
      <c r="J459" s="6">
        <f>IF(ISNUMBER(G459),G459-F459,"")</f>
        <v/>
      </c>
    </row>
    <row r="460">
      <c r="A460" s="4" t="n">
        <v>2025</v>
      </c>
      <c r="B460" s="4" t="inlineStr">
        <is>
          <t>edad</t>
        </is>
      </c>
      <c r="C460" s="4" t="inlineStr">
        <is>
          <t>65+</t>
        </is>
      </c>
      <c r="D460" s="4" t="inlineStr">
        <is>
          <t>sobrecarga_30</t>
        </is>
      </c>
      <c r="E460" s="4" t="n">
        <v>7.1752</v>
      </c>
      <c r="F460" s="4" t="n">
        <v>6.5213</v>
      </c>
      <c r="G460" s="4" t="n">
        <v>7.8291</v>
      </c>
      <c r="H460" s="4" t="n">
        <v>14889</v>
      </c>
      <c r="I460" s="4" t="inlineStr">
        <is>
          <t>C4</t>
        </is>
      </c>
      <c r="J460" s="6">
        <f>IF(ISNUMBER(G460),G460-F460,"")</f>
        <v/>
      </c>
    </row>
    <row r="461">
      <c r="A461" s="4" t="n">
        <v>2025</v>
      </c>
      <c r="B461" s="4" t="inlineStr">
        <is>
          <t>edad</t>
        </is>
      </c>
      <c r="C461" s="4" t="inlineStr">
        <is>
          <t>65+</t>
        </is>
      </c>
      <c r="D461" s="4" t="inlineStr">
        <is>
          <t>sobrecarga_40</t>
        </is>
      </c>
      <c r="E461" s="4" t="n">
        <v>4.7929</v>
      </c>
      <c r="F461" s="4" t="n">
        <v>4.2239</v>
      </c>
      <c r="G461" s="4" t="n">
        <v>5.3618</v>
      </c>
      <c r="H461" s="4" t="n">
        <v>14889</v>
      </c>
      <c r="I461" s="4" t="inlineStr">
        <is>
          <t>C4</t>
        </is>
      </c>
      <c r="J461" s="6">
        <f>IF(ISNUMBER(G461),G461-F461,"")</f>
        <v/>
      </c>
    </row>
    <row r="462">
      <c r="A462" s="4" t="n">
        <v>2025</v>
      </c>
      <c r="B462" s="4" t="inlineStr">
        <is>
          <t>edad</t>
        </is>
      </c>
      <c r="C462" s="4" t="inlineStr">
        <is>
          <t>65+</t>
        </is>
      </c>
      <c r="D462" s="4" t="inlineStr">
        <is>
          <t>esfuerzo_alquiler_30</t>
        </is>
      </c>
      <c r="E462" s="4" t="n">
        <v>35.6482</v>
      </c>
      <c r="F462" s="4" t="n">
        <v>29.9407</v>
      </c>
      <c r="G462" s="4" t="n">
        <v>41.3557</v>
      </c>
      <c r="H462" s="4" t="n">
        <v>714</v>
      </c>
      <c r="I462" s="4" t="inlineStr">
        <is>
          <t>C4</t>
        </is>
      </c>
      <c r="J462" s="6">
        <f>IF(ISNUMBER(G462),G462-F462,"")</f>
        <v/>
      </c>
    </row>
    <row r="463">
      <c r="A463" s="4" t="n">
        <v>2025</v>
      </c>
      <c r="B463" s="4" t="inlineStr">
        <is>
          <t>edad</t>
        </is>
      </c>
      <c r="C463" s="4" t="inlineStr">
        <is>
          <t>65+</t>
        </is>
      </c>
      <c r="D463" s="4" t="inlineStr">
        <is>
          <t>esfuerzo_alquiler_40</t>
        </is>
      </c>
      <c r="E463" s="4" t="n">
        <v>22.2963</v>
      </c>
      <c r="F463" s="4" t="n">
        <v>17.2544</v>
      </c>
      <c r="G463" s="4" t="n">
        <v>27.3383</v>
      </c>
      <c r="H463" s="4" t="n">
        <v>714</v>
      </c>
      <c r="I463" s="4" t="inlineStr">
        <is>
          <t>C4</t>
        </is>
      </c>
      <c r="J463" s="6">
        <f>IF(ISNUMBER(G463),G463-F463,"")</f>
        <v/>
      </c>
    </row>
    <row r="464">
      <c r="A464" s="4" t="n">
        <v>2025</v>
      </c>
      <c r="B464" s="4" t="inlineStr">
        <is>
          <t>edad</t>
        </is>
      </c>
      <c r="C464" s="4" t="inlineStr">
        <is>
          <t>65+</t>
        </is>
      </c>
      <c r="D464" s="4" t="inlineStr">
        <is>
          <t>esfuerzo_hipoteca_30</t>
        </is>
      </c>
      <c r="E464" s="4" t="n">
        <v>14.998</v>
      </c>
      <c r="F464" s="4" t="n">
        <v>11.2741</v>
      </c>
      <c r="G464" s="4" t="n">
        <v>18.722</v>
      </c>
      <c r="H464" s="4" t="n">
        <v>988</v>
      </c>
      <c r="I464" s="4" t="inlineStr">
        <is>
          <t>C4</t>
        </is>
      </c>
      <c r="J464" s="6">
        <f>IF(ISNUMBER(G464),G464-F464,"")</f>
        <v/>
      </c>
    </row>
    <row r="465">
      <c r="A465" s="4" t="n">
        <v>2025</v>
      </c>
      <c r="B465" s="4" t="inlineStr">
        <is>
          <t>edad</t>
        </is>
      </c>
      <c r="C465" s="4" t="inlineStr">
        <is>
          <t>65+</t>
        </is>
      </c>
      <c r="D465" s="4" t="inlineStr">
        <is>
          <t>hacinamiento</t>
        </is>
      </c>
      <c r="E465" s="4" t="n">
        <v>2.826</v>
      </c>
      <c r="F465" s="4" t="n">
        <v>2.3626</v>
      </c>
      <c r="G465" s="4" t="n">
        <v>3.2895</v>
      </c>
      <c r="H465" s="4" t="n">
        <v>14875</v>
      </c>
      <c r="I465" s="4" t="inlineStr">
        <is>
          <t>C4</t>
        </is>
      </c>
      <c r="J465" s="6">
        <f>IF(ISNUMBER(G465),G465-F465,"")</f>
        <v/>
      </c>
    </row>
    <row r="466">
      <c r="A466" s="4" t="n">
        <v>2025</v>
      </c>
      <c r="B466" s="4" t="inlineStr">
        <is>
          <t>edad</t>
        </is>
      </c>
      <c r="C466" s="4" t="inlineStr">
        <is>
          <t>65+</t>
        </is>
      </c>
      <c r="D466" s="4" t="inlineStr">
        <is>
          <t>tenencia_1</t>
        </is>
      </c>
      <c r="E466" s="4" t="n">
        <v>80.91079999999999</v>
      </c>
      <c r="F466" s="4" t="n">
        <v>79.90689999999999</v>
      </c>
      <c r="G466" s="4" t="n">
        <v>81.9147</v>
      </c>
      <c r="H466" s="4" t="n">
        <v>14938</v>
      </c>
      <c r="I466" s="4" t="inlineStr">
        <is>
          <t>C4</t>
        </is>
      </c>
      <c r="J466" s="6">
        <f>IF(ISNUMBER(G466),G466-F466,"")</f>
        <v/>
      </c>
    </row>
    <row r="467">
      <c r="A467" s="4" t="n">
        <v>2025</v>
      </c>
      <c r="B467" s="4" t="inlineStr">
        <is>
          <t>edad</t>
        </is>
      </c>
      <c r="C467" s="4" t="inlineStr">
        <is>
          <t>65+</t>
        </is>
      </c>
      <c r="D467" s="4" t="inlineStr">
        <is>
          <t>tenencia_2</t>
        </is>
      </c>
      <c r="E467" s="4" t="n">
        <v>7.5744</v>
      </c>
      <c r="F467" s="4" t="n">
        <v>6.8991</v>
      </c>
      <c r="G467" s="4" t="n">
        <v>8.2498</v>
      </c>
      <c r="H467" s="4" t="n">
        <v>14938</v>
      </c>
      <c r="I467" s="4" t="inlineStr">
        <is>
          <t>C4</t>
        </is>
      </c>
      <c r="J467" s="6">
        <f>IF(ISNUMBER(G467),G467-F467,"")</f>
        <v/>
      </c>
    </row>
    <row r="468">
      <c r="A468" s="4" t="n">
        <v>2025</v>
      </c>
      <c r="B468" s="4" t="inlineStr">
        <is>
          <t>edad</t>
        </is>
      </c>
      <c r="C468" s="4" t="inlineStr">
        <is>
          <t>65+</t>
        </is>
      </c>
      <c r="D468" s="4" t="inlineStr">
        <is>
          <t>tenencia_3</t>
        </is>
      </c>
      <c r="E468" s="4" t="n">
        <v>5.963</v>
      </c>
      <c r="F468" s="4" t="n">
        <v>5.28</v>
      </c>
      <c r="G468" s="4" t="n">
        <v>6.6459</v>
      </c>
      <c r="H468" s="4" t="n">
        <v>14938</v>
      </c>
      <c r="I468" s="4" t="inlineStr">
        <is>
          <t>C4</t>
        </is>
      </c>
      <c r="J468" s="6">
        <f>IF(ISNUMBER(G468),G468-F468,"")</f>
        <v/>
      </c>
    </row>
    <row r="469">
      <c r="A469" s="4" t="n">
        <v>2025</v>
      </c>
      <c r="B469" s="4" t="inlineStr">
        <is>
          <t>edad</t>
        </is>
      </c>
      <c r="C469" s="4" t="inlineStr">
        <is>
          <t>65+</t>
        </is>
      </c>
      <c r="D469" s="4" t="inlineStr">
        <is>
          <t>tenencia_4</t>
        </is>
      </c>
      <c r="E469" s="4" t="n">
        <v>2.0206</v>
      </c>
      <c r="F469" s="4" t="n">
        <v>1.7028</v>
      </c>
      <c r="G469" s="4" t="n">
        <v>2.3383</v>
      </c>
      <c r="H469" s="4" t="n">
        <v>14938</v>
      </c>
      <c r="I469" s="4" t="inlineStr">
        <is>
          <t>C4</t>
        </is>
      </c>
      <c r="J469" s="6">
        <f>IF(ISNUMBER(G469),G469-F469,"")</f>
        <v/>
      </c>
    </row>
    <row r="470">
      <c r="A470" s="4" t="n">
        <v>2025</v>
      </c>
      <c r="B470" s="4" t="inlineStr">
        <is>
          <t>edad</t>
        </is>
      </c>
      <c r="C470" s="4" t="inlineStr">
        <is>
          <t>65+</t>
        </is>
      </c>
      <c r="D470" s="4" t="inlineStr">
        <is>
          <t>tenencia_5</t>
        </is>
      </c>
      <c r="E470" s="4" t="n">
        <v>3.5312</v>
      </c>
      <c r="F470" s="4" t="n">
        <v>3.1271</v>
      </c>
      <c r="G470" s="4" t="n">
        <v>3.9354</v>
      </c>
      <c r="H470" s="4" t="n">
        <v>14938</v>
      </c>
      <c r="I470" s="4" t="inlineStr">
        <is>
          <t>C4</t>
        </is>
      </c>
      <c r="J470" s="6">
        <f>IF(ISNUMBER(G470),G470-F470,"")</f>
        <v/>
      </c>
    </row>
    <row r="471">
      <c r="A471" s="4" t="n">
        <v>2025</v>
      </c>
      <c r="B471" s="4" t="inlineStr">
        <is>
          <t>edad</t>
        </is>
      </c>
      <c r="C471" s="4" t="inlineStr">
        <is>
          <t>65+</t>
        </is>
      </c>
      <c r="D471" s="4" t="inlineStr">
        <is>
          <t>esfuerzo_alquiler_mediana</t>
        </is>
      </c>
      <c r="E471" s="4" t="n">
        <v>24.0269</v>
      </c>
      <c r="F471" s="4" t="n">
        <v>21.191</v>
      </c>
      <c r="G471" s="4" t="n">
        <v>26.5033</v>
      </c>
      <c r="H471" s="4" t="n">
        <v>714</v>
      </c>
      <c r="I471" s="4" t="inlineStr">
        <is>
          <t>C4</t>
        </is>
      </c>
      <c r="J471" s="6">
        <f>IF(ISNUMBER(G471),G471-F471,"")</f>
        <v/>
      </c>
    </row>
    <row r="472">
      <c r="A472" s="4" t="n">
        <v>2025</v>
      </c>
      <c r="B472" s="4" t="inlineStr">
        <is>
          <t>edad</t>
        </is>
      </c>
      <c r="C472" s="4" t="inlineStr">
        <is>
          <t>65+</t>
        </is>
      </c>
      <c r="D472" s="4" t="inlineStr">
        <is>
          <t>esfuerzo_hipoteca_mediana</t>
        </is>
      </c>
      <c r="E472" s="4" t="n">
        <v>14.127</v>
      </c>
      <c r="F472" s="4" t="n">
        <v>13.2102</v>
      </c>
      <c r="G472" s="4" t="n">
        <v>15.072</v>
      </c>
      <c r="H472" s="4" t="n">
        <v>988</v>
      </c>
      <c r="I472" s="4" t="inlineStr">
        <is>
          <t>C4</t>
        </is>
      </c>
      <c r="J472" s="6">
        <f>IF(ISNUMBER(G472),G472-F472,"")</f>
        <v/>
      </c>
    </row>
    <row r="473">
      <c r="A473" s="4" t="n">
        <v>2025</v>
      </c>
      <c r="B473" s="4" t="inlineStr">
        <is>
          <t>nacionalidad</t>
        </is>
      </c>
      <c r="C473" s="4" t="inlineStr">
        <is>
          <t>España</t>
        </is>
      </c>
      <c r="D473" s="4" t="inlineStr">
        <is>
          <t>sobrecarga_30</t>
        </is>
      </c>
      <c r="E473" s="4" t="n">
        <v>8.244400000000001</v>
      </c>
      <c r="F473" s="4" t="n">
        <v>7.8076</v>
      </c>
      <c r="G473" s="4" t="n">
        <v>8.6812</v>
      </c>
      <c r="H473" s="4" t="n">
        <v>66434</v>
      </c>
      <c r="I473" s="4" t="inlineStr">
        <is>
          <t>C4</t>
        </is>
      </c>
      <c r="J473" s="6">
        <f>IF(ISNUMBER(G473),G473-F473,"")</f>
        <v/>
      </c>
    </row>
    <row r="474">
      <c r="A474" s="4" t="n">
        <v>2025</v>
      </c>
      <c r="B474" s="4" t="inlineStr">
        <is>
          <t>nacionalidad</t>
        </is>
      </c>
      <c r="C474" s="4" t="inlineStr">
        <is>
          <t>España</t>
        </is>
      </c>
      <c r="D474" s="4" t="inlineStr">
        <is>
          <t>sobrecarga_40</t>
        </is>
      </c>
      <c r="E474" s="4" t="n">
        <v>4.7123</v>
      </c>
      <c r="F474" s="4" t="n">
        <v>4.3818</v>
      </c>
      <c r="G474" s="4" t="n">
        <v>5.0428</v>
      </c>
      <c r="H474" s="4" t="n">
        <v>66434</v>
      </c>
      <c r="I474" s="4" t="inlineStr">
        <is>
          <t>C4</t>
        </is>
      </c>
      <c r="J474" s="6">
        <f>IF(ISNUMBER(G474),G474-F474,"")</f>
        <v/>
      </c>
    </row>
    <row r="475">
      <c r="A475" s="4" t="n">
        <v>2025</v>
      </c>
      <c r="B475" s="4" t="inlineStr">
        <is>
          <t>nacionalidad</t>
        </is>
      </c>
      <c r="C475" s="4" t="inlineStr">
        <is>
          <t>España</t>
        </is>
      </c>
      <c r="D475" s="4" t="inlineStr">
        <is>
          <t>esfuerzo_alquiler_30</t>
        </is>
      </c>
      <c r="E475" s="4" t="n">
        <v>25.372</v>
      </c>
      <c r="F475" s="4" t="n">
        <v>23.2874</v>
      </c>
      <c r="G475" s="4" t="n">
        <v>27.4567</v>
      </c>
      <c r="H475" s="4" t="n">
        <v>6420</v>
      </c>
      <c r="I475" s="4" t="inlineStr">
        <is>
          <t>C4</t>
        </is>
      </c>
      <c r="J475" s="6">
        <f>IF(ISNUMBER(G475),G475-F475,"")</f>
        <v/>
      </c>
    </row>
    <row r="476">
      <c r="A476" s="4" t="n">
        <v>2025</v>
      </c>
      <c r="B476" s="4" t="inlineStr">
        <is>
          <t>nacionalidad</t>
        </is>
      </c>
      <c r="C476" s="4" t="inlineStr">
        <is>
          <t>España</t>
        </is>
      </c>
      <c r="D476" s="4" t="inlineStr">
        <is>
          <t>esfuerzo_alquiler_40</t>
        </is>
      </c>
      <c r="E476" s="4" t="n">
        <v>13.7233</v>
      </c>
      <c r="F476" s="4" t="n">
        <v>12.2101</v>
      </c>
      <c r="G476" s="4" t="n">
        <v>15.2365</v>
      </c>
      <c r="H476" s="4" t="n">
        <v>6420</v>
      </c>
      <c r="I476" s="4" t="inlineStr">
        <is>
          <t>C4</t>
        </is>
      </c>
      <c r="J476" s="6">
        <f>IF(ISNUMBER(G476),G476-F476,"")</f>
        <v/>
      </c>
    </row>
    <row r="477">
      <c r="A477" s="4" t="n">
        <v>2025</v>
      </c>
      <c r="B477" s="4" t="inlineStr">
        <is>
          <t>nacionalidad</t>
        </is>
      </c>
      <c r="C477" s="4" t="inlineStr">
        <is>
          <t>España</t>
        </is>
      </c>
      <c r="D477" s="4" t="inlineStr">
        <is>
          <t>esfuerzo_hipoteca_30</t>
        </is>
      </c>
      <c r="E477" s="4" t="n">
        <v>8.2852</v>
      </c>
      <c r="F477" s="4" t="n">
        <v>7.3532</v>
      </c>
      <c r="G477" s="4" t="n">
        <v>9.2173</v>
      </c>
      <c r="H477" s="4" t="n">
        <v>19302</v>
      </c>
      <c r="I477" s="4" t="inlineStr">
        <is>
          <t>C4</t>
        </is>
      </c>
      <c r="J477" s="6">
        <f>IF(ISNUMBER(G477),G477-F477,"")</f>
        <v/>
      </c>
    </row>
    <row r="478">
      <c r="A478" s="4" t="n">
        <v>2025</v>
      </c>
      <c r="B478" s="4" t="inlineStr">
        <is>
          <t>nacionalidad</t>
        </is>
      </c>
      <c r="C478" s="4" t="inlineStr">
        <is>
          <t>España</t>
        </is>
      </c>
      <c r="D478" s="4" t="inlineStr">
        <is>
          <t>hacinamiento</t>
        </is>
      </c>
      <c r="E478" s="4" t="n">
        <v>7.077</v>
      </c>
      <c r="F478" s="4" t="n">
        <v>6.4277</v>
      </c>
      <c r="G478" s="4" t="n">
        <v>7.7263</v>
      </c>
      <c r="H478" s="4" t="n">
        <v>66446</v>
      </c>
      <c r="I478" s="4" t="inlineStr">
        <is>
          <t>C4</t>
        </is>
      </c>
      <c r="J478" s="6">
        <f>IF(ISNUMBER(G478),G478-F478,"")</f>
        <v/>
      </c>
    </row>
    <row r="479">
      <c r="A479" s="4" t="n">
        <v>2025</v>
      </c>
      <c r="B479" s="4" t="inlineStr">
        <is>
          <t>nacionalidad</t>
        </is>
      </c>
      <c r="C479" s="4" t="inlineStr">
        <is>
          <t>España</t>
        </is>
      </c>
      <c r="D479" s="4" t="inlineStr">
        <is>
          <t>tenencia_1</t>
        </is>
      </c>
      <c r="E479" s="4" t="n">
        <v>50.3525</v>
      </c>
      <c r="F479" s="4" t="n">
        <v>49.4861</v>
      </c>
      <c r="G479" s="4" t="n">
        <v>51.2189</v>
      </c>
      <c r="H479" s="4" t="n">
        <v>66627</v>
      </c>
      <c r="I479" s="4" t="inlineStr">
        <is>
          <t>C4</t>
        </is>
      </c>
      <c r="J479" s="6">
        <f>IF(ISNUMBER(G479),G479-F479,"")</f>
        <v/>
      </c>
    </row>
    <row r="480">
      <c r="A480" s="4" t="n">
        <v>2025</v>
      </c>
      <c r="B480" s="4" t="inlineStr">
        <is>
          <t>nacionalidad</t>
        </is>
      </c>
      <c r="C480" s="4" t="inlineStr">
        <is>
          <t>España</t>
        </is>
      </c>
      <c r="D480" s="4" t="inlineStr">
        <is>
          <t>tenencia_2</t>
        </is>
      </c>
      <c r="E480" s="4" t="n">
        <v>29.7847</v>
      </c>
      <c r="F480" s="4" t="n">
        <v>28.9836</v>
      </c>
      <c r="G480" s="4" t="n">
        <v>30.5858</v>
      </c>
      <c r="H480" s="4" t="n">
        <v>66627</v>
      </c>
      <c r="I480" s="4" t="inlineStr">
        <is>
          <t>C4</t>
        </is>
      </c>
      <c r="J480" s="6">
        <f>IF(ISNUMBER(G480),G480-F480,"")</f>
        <v/>
      </c>
    </row>
    <row r="481">
      <c r="A481" s="4" t="n">
        <v>2025</v>
      </c>
      <c r="B481" s="4" t="inlineStr">
        <is>
          <t>nacionalidad</t>
        </is>
      </c>
      <c r="C481" s="4" t="inlineStr">
        <is>
          <t>España</t>
        </is>
      </c>
      <c r="D481" s="4" t="inlineStr">
        <is>
          <t>tenencia_3</t>
        </is>
      </c>
      <c r="E481" s="4" t="n">
        <v>11.0998</v>
      </c>
      <c r="F481" s="4" t="n">
        <v>10.5078</v>
      </c>
      <c r="G481" s="4" t="n">
        <v>11.6919</v>
      </c>
      <c r="H481" s="4" t="n">
        <v>66627</v>
      </c>
      <c r="I481" s="4" t="inlineStr">
        <is>
          <t>C4</t>
        </is>
      </c>
      <c r="J481" s="6">
        <f>IF(ISNUMBER(G481),G481-F481,"")</f>
        <v/>
      </c>
    </row>
    <row r="482">
      <c r="A482" s="4" t="n">
        <v>2025</v>
      </c>
      <c r="B482" s="4" t="inlineStr">
        <is>
          <t>nacionalidad</t>
        </is>
      </c>
      <c r="C482" s="4" t="inlineStr">
        <is>
          <t>España</t>
        </is>
      </c>
      <c r="D482" s="4" t="inlineStr">
        <is>
          <t>tenencia_4</t>
        </is>
      </c>
      <c r="E482" s="4" t="n">
        <v>2.9603</v>
      </c>
      <c r="F482" s="4" t="n">
        <v>2.6555</v>
      </c>
      <c r="G482" s="4" t="n">
        <v>3.2651</v>
      </c>
      <c r="H482" s="4" t="n">
        <v>66627</v>
      </c>
      <c r="I482" s="4" t="inlineStr">
        <is>
          <t>C4</t>
        </is>
      </c>
      <c r="J482" s="6">
        <f>IF(ISNUMBER(G482),G482-F482,"")</f>
        <v/>
      </c>
    </row>
    <row r="483">
      <c r="A483" s="4" t="n">
        <v>2025</v>
      </c>
      <c r="B483" s="4" t="inlineStr">
        <is>
          <t>nacionalidad</t>
        </is>
      </c>
      <c r="C483" s="4" t="inlineStr">
        <is>
          <t>España</t>
        </is>
      </c>
      <c r="D483" s="4" t="inlineStr">
        <is>
          <t>tenencia_5</t>
        </is>
      </c>
      <c r="E483" s="4" t="n">
        <v>5.8027</v>
      </c>
      <c r="F483" s="4" t="n">
        <v>5.4314</v>
      </c>
      <c r="G483" s="4" t="n">
        <v>6.174</v>
      </c>
      <c r="H483" s="4" t="n">
        <v>66627</v>
      </c>
      <c r="I483" s="4" t="inlineStr">
        <is>
          <t>C4</t>
        </is>
      </c>
      <c r="J483" s="6">
        <f>IF(ISNUMBER(G483),G483-F483,"")</f>
        <v/>
      </c>
    </row>
    <row r="484">
      <c r="A484" s="4" t="n">
        <v>2025</v>
      </c>
      <c r="B484" s="4" t="inlineStr">
        <is>
          <t>nacionalidad</t>
        </is>
      </c>
      <c r="C484" s="4" t="inlineStr">
        <is>
          <t>España</t>
        </is>
      </c>
      <c r="D484" s="4" t="inlineStr">
        <is>
          <t>esfuerzo_alquiler_mediana</t>
        </is>
      </c>
      <c r="E484" s="4" t="n">
        <v>20.9305</v>
      </c>
      <c r="F484" s="4" t="n">
        <v>20.3077</v>
      </c>
      <c r="G484" s="4" t="n">
        <v>21.6713</v>
      </c>
      <c r="H484" s="4" t="n">
        <v>6420</v>
      </c>
      <c r="I484" s="4" t="inlineStr">
        <is>
          <t>C4</t>
        </is>
      </c>
      <c r="J484" s="6">
        <f>IF(ISNUMBER(G484),G484-F484,"")</f>
        <v/>
      </c>
    </row>
    <row r="485">
      <c r="A485" s="4" t="n">
        <v>2025</v>
      </c>
      <c r="B485" s="4" t="inlineStr">
        <is>
          <t>nacionalidad</t>
        </is>
      </c>
      <c r="C485" s="4" t="inlineStr">
        <is>
          <t>España</t>
        </is>
      </c>
      <c r="D485" s="4" t="inlineStr">
        <is>
          <t>esfuerzo_hipoteca_mediana</t>
        </is>
      </c>
      <c r="E485" s="4" t="n">
        <v>13.6207</v>
      </c>
      <c r="F485" s="4" t="n">
        <v>13.324</v>
      </c>
      <c r="G485" s="4" t="n">
        <v>13.9632</v>
      </c>
      <c r="H485" s="4" t="n">
        <v>19302</v>
      </c>
      <c r="I485" s="4" t="inlineStr">
        <is>
          <t>C4</t>
        </is>
      </c>
      <c r="J485" s="6">
        <f>IF(ISNUMBER(G485),G485-F485,"")</f>
        <v/>
      </c>
    </row>
    <row r="486">
      <c r="A486" s="4" t="n">
        <v>2025</v>
      </c>
      <c r="B486" s="4" t="inlineStr">
        <is>
          <t>nacionalidad</t>
        </is>
      </c>
      <c r="C486" s="4" t="inlineStr">
        <is>
          <t>resto de la UE</t>
        </is>
      </c>
      <c r="D486" s="4" t="inlineStr">
        <is>
          <t>sobrecarga_30</t>
        </is>
      </c>
      <c r="E486" s="4" t="n">
        <v>27.4914</v>
      </c>
      <c r="F486" s="4" t="n">
        <v>23.1784</v>
      </c>
      <c r="G486" s="4" t="n">
        <v>31.8044</v>
      </c>
      <c r="H486" s="4" t="n">
        <v>1521</v>
      </c>
      <c r="I486" s="4" t="inlineStr">
        <is>
          <t>C4</t>
        </is>
      </c>
      <c r="J486" s="6">
        <f>IF(ISNUMBER(G486),G486-F486,"")</f>
        <v/>
      </c>
    </row>
    <row r="487">
      <c r="A487" s="4" t="n">
        <v>2025</v>
      </c>
      <c r="B487" s="4" t="inlineStr">
        <is>
          <t>nacionalidad</t>
        </is>
      </c>
      <c r="C487" s="4" t="inlineStr">
        <is>
          <t>resto de la UE</t>
        </is>
      </c>
      <c r="D487" s="4" t="inlineStr">
        <is>
          <t>sobrecarga_40</t>
        </is>
      </c>
      <c r="E487" s="4" t="n">
        <v>19.1463</v>
      </c>
      <c r="F487" s="4" t="n">
        <v>15.5428</v>
      </c>
      <c r="G487" s="4" t="n">
        <v>22.7498</v>
      </c>
      <c r="H487" s="4" t="n">
        <v>1521</v>
      </c>
      <c r="I487" s="4" t="inlineStr">
        <is>
          <t>C4</t>
        </is>
      </c>
      <c r="J487" s="6">
        <f>IF(ISNUMBER(G487),G487-F487,"")</f>
        <v/>
      </c>
    </row>
    <row r="488">
      <c r="A488" s="4" t="n">
        <v>2025</v>
      </c>
      <c r="B488" s="4" t="inlineStr">
        <is>
          <t>nacionalidad</t>
        </is>
      </c>
      <c r="C488" s="4" t="inlineStr">
        <is>
          <t>resto de la UE</t>
        </is>
      </c>
      <c r="D488" s="4" t="inlineStr">
        <is>
          <t>esfuerzo_alquiler_30</t>
        </is>
      </c>
      <c r="E488" s="4" t="n">
        <v>33.3707</v>
      </c>
      <c r="F488" s="4" t="n">
        <v>26.026</v>
      </c>
      <c r="G488" s="4" t="n">
        <v>40.7154</v>
      </c>
      <c r="H488" s="4" t="n">
        <v>556</v>
      </c>
      <c r="I488" s="4" t="inlineStr">
        <is>
          <t>C4</t>
        </is>
      </c>
      <c r="J488" s="6">
        <f>IF(ISNUMBER(G488),G488-F488,"")</f>
        <v/>
      </c>
    </row>
    <row r="489">
      <c r="A489" s="4" t="n">
        <v>2025</v>
      </c>
      <c r="B489" s="4" t="inlineStr">
        <is>
          <t>nacionalidad</t>
        </is>
      </c>
      <c r="C489" s="4" t="inlineStr">
        <is>
          <t>resto de la UE</t>
        </is>
      </c>
      <c r="D489" s="4" t="inlineStr">
        <is>
          <t>esfuerzo_alquiler_40</t>
        </is>
      </c>
      <c r="E489" s="4" t="n">
        <v>20.8287</v>
      </c>
      <c r="F489" s="4" t="n">
        <v>14.8394</v>
      </c>
      <c r="G489" s="4" t="n">
        <v>26.8179</v>
      </c>
      <c r="H489" s="4" t="n">
        <v>556</v>
      </c>
      <c r="I489" s="4" t="inlineStr">
        <is>
          <t>C4</t>
        </is>
      </c>
      <c r="J489" s="6">
        <f>IF(ISNUMBER(G489),G489-F489,"")</f>
        <v/>
      </c>
    </row>
    <row r="490">
      <c r="A490" s="4" t="n">
        <v>2025</v>
      </c>
      <c r="B490" s="4" t="inlineStr">
        <is>
          <t>nacionalidad</t>
        </is>
      </c>
      <c r="C490" s="4" t="inlineStr">
        <is>
          <t>resto de la UE</t>
        </is>
      </c>
      <c r="D490" s="4" t="inlineStr">
        <is>
          <t>esfuerzo_hipoteca_30</t>
        </is>
      </c>
      <c r="E490" s="4" t="n">
        <v>15.3301</v>
      </c>
      <c r="F490" s="4" t="n">
        <v>8.3209</v>
      </c>
      <c r="G490" s="4" t="n">
        <v>22.3393</v>
      </c>
      <c r="H490" s="4" t="n">
        <v>397</v>
      </c>
      <c r="I490" s="4" t="inlineStr">
        <is>
          <t>C4</t>
        </is>
      </c>
      <c r="J490" s="6">
        <f>IF(ISNUMBER(G490),G490-F490,"")</f>
        <v/>
      </c>
    </row>
    <row r="491">
      <c r="A491" s="4" t="n">
        <v>2025</v>
      </c>
      <c r="B491" s="4" t="inlineStr">
        <is>
          <t>nacionalidad</t>
        </is>
      </c>
      <c r="C491" s="4" t="inlineStr">
        <is>
          <t>resto de la UE</t>
        </is>
      </c>
      <c r="D491" s="4" t="inlineStr">
        <is>
          <t>hacinamiento</t>
        </is>
      </c>
      <c r="E491" s="4" t="n">
        <v>10.4112</v>
      </c>
      <c r="F491" s="4" t="n">
        <v>6.2695</v>
      </c>
      <c r="G491" s="4" t="n">
        <v>14.5528</v>
      </c>
      <c r="H491" s="4" t="n">
        <v>1538</v>
      </c>
      <c r="I491" s="4" t="inlineStr">
        <is>
          <t>C4</t>
        </is>
      </c>
      <c r="J491" s="6">
        <f>IF(ISNUMBER(G491),G491-F491,"")</f>
        <v/>
      </c>
    </row>
    <row r="492">
      <c r="A492" s="4" t="n">
        <v>2025</v>
      </c>
      <c r="B492" s="4" t="inlineStr">
        <is>
          <t>nacionalidad</t>
        </is>
      </c>
      <c r="C492" s="4" t="inlineStr">
        <is>
          <t>resto de la UE</t>
        </is>
      </c>
      <c r="D492" s="4" t="inlineStr">
        <is>
          <t>tenencia_1</t>
        </is>
      </c>
      <c r="E492" s="4" t="n">
        <v>20.085</v>
      </c>
      <c r="F492" s="4" t="n">
        <v>15.3777</v>
      </c>
      <c r="G492" s="4" t="n">
        <v>24.7923</v>
      </c>
      <c r="H492" s="4" t="n">
        <v>1542</v>
      </c>
      <c r="I492" s="4" t="inlineStr">
        <is>
          <t>C4</t>
        </is>
      </c>
      <c r="J492" s="6">
        <f>IF(ISNUMBER(G492),G492-F492,"")</f>
        <v/>
      </c>
    </row>
    <row r="493">
      <c r="A493" s="4" t="n">
        <v>2025</v>
      </c>
      <c r="B493" s="4" t="inlineStr">
        <is>
          <t>nacionalidad</t>
        </is>
      </c>
      <c r="C493" s="4" t="inlineStr">
        <is>
          <t>resto de la UE</t>
        </is>
      </c>
      <c r="D493" s="4" t="inlineStr">
        <is>
          <t>tenencia_2</t>
        </is>
      </c>
      <c r="E493" s="4" t="n">
        <v>26.4741</v>
      </c>
      <c r="F493" s="4" t="n">
        <v>21.7808</v>
      </c>
      <c r="G493" s="4" t="n">
        <v>31.1674</v>
      </c>
      <c r="H493" s="4" t="n">
        <v>1542</v>
      </c>
      <c r="I493" s="4" t="inlineStr">
        <is>
          <t>C4</t>
        </is>
      </c>
      <c r="J493" s="6">
        <f>IF(ISNUMBER(G493),G493-F493,"")</f>
        <v/>
      </c>
    </row>
    <row r="494">
      <c r="A494" s="4" t="n">
        <v>2025</v>
      </c>
      <c r="B494" s="4" t="inlineStr">
        <is>
          <t>nacionalidad</t>
        </is>
      </c>
      <c r="C494" s="4" t="inlineStr">
        <is>
          <t>resto de la UE</t>
        </is>
      </c>
      <c r="D494" s="4" t="inlineStr">
        <is>
          <t>tenencia_3</t>
        </is>
      </c>
      <c r="E494" s="4" t="n">
        <v>42.625</v>
      </c>
      <c r="F494" s="4" t="n">
        <v>37.2005</v>
      </c>
      <c r="G494" s="4" t="n">
        <v>48.0496</v>
      </c>
      <c r="H494" s="4" t="n">
        <v>1542</v>
      </c>
      <c r="I494" s="4" t="inlineStr">
        <is>
          <t>C4</t>
        </is>
      </c>
      <c r="J494" s="6">
        <f>IF(ISNUMBER(G494),G494-F494,"")</f>
        <v/>
      </c>
    </row>
    <row r="495">
      <c r="A495" s="4" t="n">
        <v>2025</v>
      </c>
      <c r="B495" s="4" t="inlineStr">
        <is>
          <t>nacionalidad</t>
        </is>
      </c>
      <c r="C495" s="4" t="inlineStr">
        <is>
          <t>resto de la UE</t>
        </is>
      </c>
      <c r="D495" s="4" t="inlineStr">
        <is>
          <t>tenencia_4</t>
        </is>
      </c>
      <c r="E495" s="4" t="n">
        <v>6.298</v>
      </c>
      <c r="F495" s="4" t="n">
        <v>3.9548</v>
      </c>
      <c r="G495" s="4" t="n">
        <v>8.641299999999999</v>
      </c>
      <c r="H495" s="4" t="n">
        <v>1542</v>
      </c>
      <c r="I495" s="4" t="inlineStr">
        <is>
          <t>C4</t>
        </is>
      </c>
      <c r="J495" s="6">
        <f>IF(ISNUMBER(G495),G495-F495,"")</f>
        <v/>
      </c>
    </row>
    <row r="496">
      <c r="A496" s="4" t="n">
        <v>2025</v>
      </c>
      <c r="B496" s="4" t="inlineStr">
        <is>
          <t>nacionalidad</t>
        </is>
      </c>
      <c r="C496" s="4" t="inlineStr">
        <is>
          <t>resto de la UE</t>
        </is>
      </c>
      <c r="D496" s="4" t="inlineStr">
        <is>
          <t>tenencia_5</t>
        </is>
      </c>
      <c r="E496" s="4" t="n">
        <v>4.5179</v>
      </c>
      <c r="F496" s="4" t="n">
        <v>2.5413</v>
      </c>
      <c r="G496" s="4" t="n">
        <v>6.4944</v>
      </c>
      <c r="H496" s="4" t="n">
        <v>1542</v>
      </c>
      <c r="I496" s="4" t="inlineStr">
        <is>
          <t>C4</t>
        </is>
      </c>
      <c r="J496" s="6">
        <f>IF(ISNUMBER(G496),G496-F496,"")</f>
        <v/>
      </c>
    </row>
    <row r="497">
      <c r="A497" s="4" t="n">
        <v>2025</v>
      </c>
      <c r="B497" s="4" t="inlineStr">
        <is>
          <t>nacionalidad</t>
        </is>
      </c>
      <c r="C497" s="4" t="inlineStr">
        <is>
          <t>resto de la UE</t>
        </is>
      </c>
      <c r="D497" s="4" t="inlineStr">
        <is>
          <t>esfuerzo_alquiler_mediana</t>
        </is>
      </c>
      <c r="E497" s="4" t="n">
        <v>22.1486</v>
      </c>
      <c r="F497" s="4" t="n">
        <v>19.8243</v>
      </c>
      <c r="G497" s="4" t="n">
        <v>25.3454</v>
      </c>
      <c r="H497" s="4" t="n">
        <v>556</v>
      </c>
      <c r="I497" s="4" t="inlineStr">
        <is>
          <t>C4</t>
        </is>
      </c>
      <c r="J497" s="6">
        <f>IF(ISNUMBER(G497),G497-F497,"")</f>
        <v/>
      </c>
    </row>
    <row r="498">
      <c r="A498" s="4" t="n">
        <v>2025</v>
      </c>
      <c r="B498" s="4" t="inlineStr">
        <is>
          <t>nacionalidad</t>
        </is>
      </c>
      <c r="C498" s="4" t="inlineStr">
        <is>
          <t>resto de la UE</t>
        </is>
      </c>
      <c r="D498" s="4" t="inlineStr">
        <is>
          <t>esfuerzo_hipoteca_mediana</t>
        </is>
      </c>
      <c r="E498" s="4" t="n">
        <v>16.2964</v>
      </c>
      <c r="F498" s="4" t="n">
        <v>12.8939</v>
      </c>
      <c r="G498" s="4" t="n">
        <v>21.5431</v>
      </c>
      <c r="H498" s="4" t="n">
        <v>397</v>
      </c>
      <c r="I498" s="4" t="inlineStr">
        <is>
          <t>C4</t>
        </is>
      </c>
      <c r="J498" s="6">
        <f>IF(ISNUMBER(G498),G498-F498,"")</f>
        <v/>
      </c>
    </row>
    <row r="499">
      <c r="A499" s="4" t="n">
        <v>2025</v>
      </c>
      <c r="B499" s="4" t="inlineStr">
        <is>
          <t>nacionalidad</t>
        </is>
      </c>
      <c r="C499" s="4" t="inlineStr">
        <is>
          <t>resto del mundo</t>
        </is>
      </c>
      <c r="D499" s="4" t="inlineStr">
        <is>
          <t>sobrecarga_30</t>
        </is>
      </c>
      <c r="E499" s="4" t="n">
        <v>39.1052</v>
      </c>
      <c r="F499" s="4" t="n">
        <v>34.9843</v>
      </c>
      <c r="G499" s="4" t="n">
        <v>43.2262</v>
      </c>
      <c r="H499" s="4" t="n">
        <v>3206</v>
      </c>
      <c r="I499" s="4" t="inlineStr">
        <is>
          <t>C4</t>
        </is>
      </c>
      <c r="J499" s="6">
        <f>IF(ISNUMBER(G499),G499-F499,"")</f>
        <v/>
      </c>
    </row>
    <row r="500">
      <c r="A500" s="4" t="n">
        <v>2025</v>
      </c>
      <c r="B500" s="4" t="inlineStr">
        <is>
          <t>nacionalidad</t>
        </is>
      </c>
      <c r="C500" s="4" t="inlineStr">
        <is>
          <t>resto del mundo</t>
        </is>
      </c>
      <c r="D500" s="4" t="inlineStr">
        <is>
          <t>sobrecarga_40</t>
        </is>
      </c>
      <c r="E500" s="4" t="n">
        <v>24.0502</v>
      </c>
      <c r="F500" s="4" t="n">
        <v>20.642</v>
      </c>
      <c r="G500" s="4" t="n">
        <v>27.4584</v>
      </c>
      <c r="H500" s="4" t="n">
        <v>3206</v>
      </c>
      <c r="I500" s="4" t="inlineStr">
        <is>
          <t>C4</t>
        </is>
      </c>
      <c r="J500" s="6">
        <f>IF(ISNUMBER(G500),G500-F500,"")</f>
        <v/>
      </c>
    </row>
    <row r="501">
      <c r="A501" s="4" t="n">
        <v>2025</v>
      </c>
      <c r="B501" s="4" t="inlineStr">
        <is>
          <t>nacionalidad</t>
        </is>
      </c>
      <c r="C501" s="4" t="inlineStr">
        <is>
          <t>resto del mundo</t>
        </is>
      </c>
      <c r="D501" s="4" t="inlineStr">
        <is>
          <t>esfuerzo_alquiler_30</t>
        </is>
      </c>
      <c r="E501" s="4" t="n">
        <v>32.2556</v>
      </c>
      <c r="F501" s="4" t="n">
        <v>27.2655</v>
      </c>
      <c r="G501" s="4" t="n">
        <v>37.2458</v>
      </c>
      <c r="H501" s="4" t="n">
        <v>1880</v>
      </c>
      <c r="I501" s="4" t="inlineStr">
        <is>
          <t>C4</t>
        </is>
      </c>
      <c r="J501" s="6">
        <f>IF(ISNUMBER(G501),G501-F501,"")</f>
        <v/>
      </c>
    </row>
    <row r="502">
      <c r="A502" s="4" t="n">
        <v>2025</v>
      </c>
      <c r="B502" s="4" t="inlineStr">
        <is>
          <t>nacionalidad</t>
        </is>
      </c>
      <c r="C502" s="4" t="inlineStr">
        <is>
          <t>resto del mundo</t>
        </is>
      </c>
      <c r="D502" s="4" t="inlineStr">
        <is>
          <t>esfuerzo_alquiler_40</t>
        </is>
      </c>
      <c r="E502" s="4" t="n">
        <v>21.7007</v>
      </c>
      <c r="F502" s="4" t="n">
        <v>17.3441</v>
      </c>
      <c r="G502" s="4" t="n">
        <v>26.0574</v>
      </c>
      <c r="H502" s="4" t="n">
        <v>1880</v>
      </c>
      <c r="I502" s="4" t="inlineStr">
        <is>
          <t>C4</t>
        </is>
      </c>
      <c r="J502" s="6">
        <f>IF(ISNUMBER(G502),G502-F502,"")</f>
        <v/>
      </c>
    </row>
    <row r="503">
      <c r="A503" s="4" t="n">
        <v>2025</v>
      </c>
      <c r="B503" s="4" t="inlineStr">
        <is>
          <t>nacionalidad</t>
        </is>
      </c>
      <c r="C503" s="4" t="inlineStr">
        <is>
          <t>resto del mundo</t>
        </is>
      </c>
      <c r="D503" s="4" t="inlineStr">
        <is>
          <t>esfuerzo_hipoteca_30</t>
        </is>
      </c>
      <c r="E503" s="4" t="n">
        <v>13.6472</v>
      </c>
      <c r="F503" s="4" t="n">
        <v>7.3695</v>
      </c>
      <c r="G503" s="4" t="n">
        <v>19.9249</v>
      </c>
      <c r="H503" s="4" t="n">
        <v>417</v>
      </c>
      <c r="I503" s="4" t="inlineStr">
        <is>
          <t>C4</t>
        </is>
      </c>
      <c r="J503" s="6">
        <f>IF(ISNUMBER(G503),G503-F503,"")</f>
        <v/>
      </c>
    </row>
    <row r="504">
      <c r="A504" s="4" t="n">
        <v>2025</v>
      </c>
      <c r="B504" s="4" t="inlineStr">
        <is>
          <t>nacionalidad</t>
        </is>
      </c>
      <c r="C504" s="4" t="inlineStr">
        <is>
          <t>resto del mundo</t>
        </is>
      </c>
      <c r="D504" s="4" t="inlineStr">
        <is>
          <t>hacinamiento</t>
        </is>
      </c>
      <c r="E504" s="4" t="n">
        <v>21.7861</v>
      </c>
      <c r="F504" s="4" t="n">
        <v>17.8337</v>
      </c>
      <c r="G504" s="4" t="n">
        <v>25.7385</v>
      </c>
      <c r="H504" s="4" t="n">
        <v>3207</v>
      </c>
      <c r="I504" s="4" t="inlineStr">
        <is>
          <t>C4</t>
        </is>
      </c>
      <c r="J504" s="6">
        <f>IF(ISNUMBER(G504),G504-F504,"")</f>
        <v/>
      </c>
    </row>
    <row r="505">
      <c r="A505" s="4" t="n">
        <v>2025</v>
      </c>
      <c r="B505" s="4" t="inlineStr">
        <is>
          <t>nacionalidad</t>
        </is>
      </c>
      <c r="C505" s="4" t="inlineStr">
        <is>
          <t>resto del mundo</t>
        </is>
      </c>
      <c r="D505" s="4" t="inlineStr">
        <is>
          <t>tenencia_1</t>
        </is>
      </c>
      <c r="E505" s="4" t="n">
        <v>13.4505</v>
      </c>
      <c r="F505" s="4" t="n">
        <v>10.8283</v>
      </c>
      <c r="G505" s="4" t="n">
        <v>16.0727</v>
      </c>
      <c r="H505" s="4" t="n">
        <v>3229</v>
      </c>
      <c r="I505" s="4" t="inlineStr">
        <is>
          <t>C4</t>
        </is>
      </c>
      <c r="J505" s="6">
        <f>IF(ISNUMBER(G505),G505-F505,"")</f>
        <v/>
      </c>
    </row>
    <row r="506">
      <c r="A506" s="4" t="n">
        <v>2025</v>
      </c>
      <c r="B506" s="4" t="inlineStr">
        <is>
          <t>nacionalidad</t>
        </is>
      </c>
      <c r="C506" s="4" t="inlineStr">
        <is>
          <t>resto del mundo</t>
        </is>
      </c>
      <c r="D506" s="4" t="inlineStr">
        <is>
          <t>tenencia_2</t>
        </is>
      </c>
      <c r="E506" s="4" t="n">
        <v>14.0598</v>
      </c>
      <c r="F506" s="4" t="n">
        <v>10.9956</v>
      </c>
      <c r="G506" s="4" t="n">
        <v>17.124</v>
      </c>
      <c r="H506" s="4" t="n">
        <v>3229</v>
      </c>
      <c r="I506" s="4" t="inlineStr">
        <is>
          <t>C4</t>
        </is>
      </c>
      <c r="J506" s="6">
        <f>IF(ISNUMBER(G506),G506-F506,"")</f>
        <v/>
      </c>
    </row>
    <row r="507">
      <c r="A507" s="4" t="n">
        <v>2025</v>
      </c>
      <c r="B507" s="4" t="inlineStr">
        <is>
          <t>nacionalidad</t>
        </is>
      </c>
      <c r="C507" s="4" t="inlineStr">
        <is>
          <t>resto del mundo</t>
        </is>
      </c>
      <c r="D507" s="4" t="inlineStr">
        <is>
          <t>tenencia_3</t>
        </is>
      </c>
      <c r="E507" s="4" t="n">
        <v>62.2275</v>
      </c>
      <c r="F507" s="4" t="n">
        <v>58.1553</v>
      </c>
      <c r="G507" s="4" t="n">
        <v>66.2996</v>
      </c>
      <c r="H507" s="4" t="n">
        <v>3229</v>
      </c>
      <c r="I507" s="4" t="inlineStr">
        <is>
          <t>C4</t>
        </is>
      </c>
      <c r="J507" s="6">
        <f>IF(ISNUMBER(G507),G507-F507,"")</f>
        <v/>
      </c>
    </row>
    <row r="508">
      <c r="A508" s="4" t="n">
        <v>2025</v>
      </c>
      <c r="B508" s="4" t="inlineStr">
        <is>
          <t>nacionalidad</t>
        </is>
      </c>
      <c r="C508" s="4" t="inlineStr">
        <is>
          <t>resto del mundo</t>
        </is>
      </c>
      <c r="D508" s="4" t="inlineStr">
        <is>
          <t>tenencia_4</t>
        </is>
      </c>
      <c r="E508" s="4" t="n">
        <v>6.5829</v>
      </c>
      <c r="F508" s="4" t="n">
        <v>4.6253</v>
      </c>
      <c r="G508" s="4" t="n">
        <v>8.5404</v>
      </c>
      <c r="H508" s="4" t="n">
        <v>3229</v>
      </c>
      <c r="I508" s="4" t="inlineStr">
        <is>
          <t>C4</t>
        </is>
      </c>
      <c r="J508" s="6">
        <f>IF(ISNUMBER(G508),G508-F508,"")</f>
        <v/>
      </c>
    </row>
    <row r="509">
      <c r="A509" s="4" t="n">
        <v>2025</v>
      </c>
      <c r="B509" s="4" t="inlineStr">
        <is>
          <t>nacionalidad</t>
        </is>
      </c>
      <c r="C509" s="4" t="inlineStr">
        <is>
          <t>resto del mundo</t>
        </is>
      </c>
      <c r="D509" s="4" t="inlineStr">
        <is>
          <t>tenencia_5</t>
        </is>
      </c>
      <c r="E509" s="4" t="n">
        <v>3.6794</v>
      </c>
      <c r="F509" s="4" t="n">
        <v>2.3364</v>
      </c>
      <c r="G509" s="4" t="n">
        <v>5.0224</v>
      </c>
      <c r="H509" s="4" t="n">
        <v>3229</v>
      </c>
      <c r="I509" s="4" t="inlineStr">
        <is>
          <t>C4</t>
        </is>
      </c>
      <c r="J509" s="6">
        <f>IF(ISNUMBER(G509),G509-F509,"")</f>
        <v/>
      </c>
    </row>
    <row r="510">
      <c r="A510" s="4" t="n">
        <v>2025</v>
      </c>
      <c r="B510" s="4" t="inlineStr">
        <is>
          <t>nacionalidad</t>
        </is>
      </c>
      <c r="C510" s="4" t="inlineStr">
        <is>
          <t>resto del mundo</t>
        </is>
      </c>
      <c r="D510" s="4" t="inlineStr">
        <is>
          <t>esfuerzo_alquiler_mediana</t>
        </is>
      </c>
      <c r="E510" s="4" t="n">
        <v>24.0481</v>
      </c>
      <c r="F510" s="4" t="n">
        <v>22.3461</v>
      </c>
      <c r="G510" s="4" t="n">
        <v>25.3337</v>
      </c>
      <c r="H510" s="4" t="n">
        <v>1880</v>
      </c>
      <c r="I510" s="4" t="inlineStr">
        <is>
          <t>C4</t>
        </is>
      </c>
      <c r="J510" s="6">
        <f>IF(ISNUMBER(G510),G510-F510,"")</f>
        <v/>
      </c>
    </row>
    <row r="511">
      <c r="A511" s="4" t="n">
        <v>2025</v>
      </c>
      <c r="B511" s="4" t="inlineStr">
        <is>
          <t>nacionalidad</t>
        </is>
      </c>
      <c r="C511" s="4" t="inlineStr">
        <is>
          <t>resto del mundo</t>
        </is>
      </c>
      <c r="D511" s="4" t="inlineStr">
        <is>
          <t>esfuerzo_hipoteca_mediana</t>
        </is>
      </c>
      <c r="E511" s="4" t="n">
        <v>14.3142</v>
      </c>
      <c r="F511" s="4" t="n">
        <v>12.5311</v>
      </c>
      <c r="G511" s="4" t="n">
        <v>17.7616</v>
      </c>
      <c r="H511" s="4" t="n">
        <v>417</v>
      </c>
      <c r="I511" s="4" t="inlineStr">
        <is>
          <t>C4</t>
        </is>
      </c>
      <c r="J511" s="6">
        <f>IF(ISNUMBER(G511),G511-F511,"")</f>
        <v/>
      </c>
    </row>
    <row r="512">
      <c r="A512" s="4" t="n">
        <v>2025</v>
      </c>
      <c r="B512" s="4" t="inlineStr">
        <is>
          <t>tipo_hogar</t>
        </is>
      </c>
      <c r="C512" s="4" t="inlineStr">
        <is>
          <t>monoparental</t>
        </is>
      </c>
      <c r="D512" s="4" t="inlineStr">
        <is>
          <t>sobrecarga_30</t>
        </is>
      </c>
      <c r="E512" s="4" t="n">
        <v>33.0014</v>
      </c>
      <c r="F512" s="4" t="n">
        <v>29.5829</v>
      </c>
      <c r="G512" s="4" t="n">
        <v>36.4199</v>
      </c>
      <c r="H512" s="4" t="n">
        <v>3731</v>
      </c>
      <c r="I512" s="4" t="inlineStr">
        <is>
          <t>C4</t>
        </is>
      </c>
      <c r="J512" s="6">
        <f>IF(ISNUMBER(G512),G512-F512,"")</f>
        <v/>
      </c>
    </row>
    <row r="513">
      <c r="A513" s="4" t="n">
        <v>2025</v>
      </c>
      <c r="B513" s="4" t="inlineStr">
        <is>
          <t>tipo_hogar</t>
        </is>
      </c>
      <c r="C513" s="4" t="inlineStr">
        <is>
          <t>monoparental</t>
        </is>
      </c>
      <c r="D513" s="4" t="inlineStr">
        <is>
          <t>sobrecarga_40</t>
        </is>
      </c>
      <c r="E513" s="4" t="n">
        <v>22.5079</v>
      </c>
      <c r="F513" s="4" t="n">
        <v>19.3291</v>
      </c>
      <c r="G513" s="4" t="n">
        <v>25.6868</v>
      </c>
      <c r="H513" s="4" t="n">
        <v>3731</v>
      </c>
      <c r="I513" s="4" t="inlineStr">
        <is>
          <t>C4</t>
        </is>
      </c>
      <c r="J513" s="6">
        <f>IF(ISNUMBER(G513),G513-F513,"")</f>
        <v/>
      </c>
    </row>
    <row r="514">
      <c r="A514" s="4" t="n">
        <v>2025</v>
      </c>
      <c r="B514" s="4" t="inlineStr">
        <is>
          <t>tipo_hogar</t>
        </is>
      </c>
      <c r="C514" s="4" t="inlineStr">
        <is>
          <t>monoparental</t>
        </is>
      </c>
      <c r="D514" s="4" t="inlineStr">
        <is>
          <t>esfuerzo_alquiler_30</t>
        </is>
      </c>
      <c r="E514" s="4" t="n">
        <v>61.0079</v>
      </c>
      <c r="F514" s="4" t="n">
        <v>53.3359</v>
      </c>
      <c r="G514" s="4" t="n">
        <v>68.6798</v>
      </c>
      <c r="H514" s="4" t="n">
        <v>750</v>
      </c>
      <c r="I514" s="4" t="inlineStr">
        <is>
          <t>C4</t>
        </is>
      </c>
      <c r="J514" s="6">
        <f>IF(ISNUMBER(G514),G514-F514,"")</f>
        <v/>
      </c>
    </row>
    <row r="515">
      <c r="A515" s="4" t="n">
        <v>2025</v>
      </c>
      <c r="B515" s="4" t="inlineStr">
        <is>
          <t>tipo_hogar</t>
        </is>
      </c>
      <c r="C515" s="4" t="inlineStr">
        <is>
          <t>monoparental</t>
        </is>
      </c>
      <c r="D515" s="4" t="inlineStr">
        <is>
          <t>esfuerzo_alquiler_40</t>
        </is>
      </c>
      <c r="E515" s="4" t="n">
        <v>44.9681</v>
      </c>
      <c r="F515" s="4" t="n">
        <v>36.7343</v>
      </c>
      <c r="G515" s="4" t="n">
        <v>53.202</v>
      </c>
      <c r="H515" s="4" t="n">
        <v>750</v>
      </c>
      <c r="I515" s="4" t="inlineStr">
        <is>
          <t>C4</t>
        </is>
      </c>
      <c r="J515" s="6">
        <f>IF(ISNUMBER(G515),G515-F515,"")</f>
        <v/>
      </c>
    </row>
    <row r="516">
      <c r="A516" s="4" t="n">
        <v>2025</v>
      </c>
      <c r="B516" s="4" t="inlineStr">
        <is>
          <t>tipo_hogar</t>
        </is>
      </c>
      <c r="C516" s="4" t="inlineStr">
        <is>
          <t>monoparental</t>
        </is>
      </c>
      <c r="D516" s="4" t="inlineStr">
        <is>
          <t>esfuerzo_hipoteca_30</t>
        </is>
      </c>
      <c r="E516" s="4" t="n">
        <v>27.0412</v>
      </c>
      <c r="F516" s="4" t="n">
        <v>22.3811</v>
      </c>
      <c r="G516" s="4" t="n">
        <v>31.7013</v>
      </c>
      <c r="H516" s="4" t="n">
        <v>1385</v>
      </c>
      <c r="I516" s="4" t="inlineStr">
        <is>
          <t>C4</t>
        </is>
      </c>
      <c r="J516" s="6">
        <f>IF(ISNUMBER(G516),G516-F516,"")</f>
        <v/>
      </c>
    </row>
    <row r="517">
      <c r="A517" s="4" t="n">
        <v>2025</v>
      </c>
      <c r="B517" s="4" t="inlineStr">
        <is>
          <t>tipo_hogar</t>
        </is>
      </c>
      <c r="C517" s="4" t="inlineStr">
        <is>
          <t>monoparental</t>
        </is>
      </c>
      <c r="D517" s="4" t="inlineStr">
        <is>
          <t>hacinamiento</t>
        </is>
      </c>
      <c r="E517" s="4" t="n">
        <v>9.4832</v>
      </c>
      <c r="F517" s="4" t="n">
        <v>7.1679</v>
      </c>
      <c r="G517" s="4" t="n">
        <v>11.7984</v>
      </c>
      <c r="H517" s="4" t="n">
        <v>3741</v>
      </c>
      <c r="I517" s="4" t="inlineStr">
        <is>
          <t>C4</t>
        </is>
      </c>
      <c r="J517" s="6">
        <f>IF(ISNUMBER(G517),G517-F517,"")</f>
        <v/>
      </c>
    </row>
    <row r="518">
      <c r="A518" s="4" t="n">
        <v>2025</v>
      </c>
      <c r="B518" s="4" t="inlineStr">
        <is>
          <t>tipo_hogar</t>
        </is>
      </c>
      <c r="C518" s="4" t="inlineStr">
        <is>
          <t>monoparental</t>
        </is>
      </c>
      <c r="D518" s="4" t="inlineStr">
        <is>
          <t>tenencia_1</t>
        </is>
      </c>
      <c r="E518" s="4" t="n">
        <v>22.3629</v>
      </c>
      <c r="F518" s="4" t="n">
        <v>19.7446</v>
      </c>
      <c r="G518" s="4" t="n">
        <v>24.9811</v>
      </c>
      <c r="H518" s="4" t="n">
        <v>3754</v>
      </c>
      <c r="I518" s="4" t="inlineStr">
        <is>
          <t>C4</t>
        </is>
      </c>
      <c r="J518" s="6">
        <f>IF(ISNUMBER(G518),G518-F518,"")</f>
        <v/>
      </c>
    </row>
    <row r="519">
      <c r="A519" s="4" t="n">
        <v>2025</v>
      </c>
      <c r="B519" s="4" t="inlineStr">
        <is>
          <t>tipo_hogar</t>
        </is>
      </c>
      <c r="C519" s="4" t="inlineStr">
        <is>
          <t>monoparental</t>
        </is>
      </c>
      <c r="D519" s="4" t="inlineStr">
        <is>
          <t>tenencia_2</t>
        </is>
      </c>
      <c r="E519" s="4" t="n">
        <v>37.3419</v>
      </c>
      <c r="F519" s="4" t="n">
        <v>34.1499</v>
      </c>
      <c r="G519" s="4" t="n">
        <v>40.5338</v>
      </c>
      <c r="H519" s="4" t="n">
        <v>3754</v>
      </c>
      <c r="I519" s="4" t="inlineStr">
        <is>
          <t>C4</t>
        </is>
      </c>
      <c r="J519" s="6">
        <f>IF(ISNUMBER(G519),G519-F519,"")</f>
        <v/>
      </c>
    </row>
    <row r="520">
      <c r="A520" s="4" t="n">
        <v>2025</v>
      </c>
      <c r="B520" s="4" t="inlineStr">
        <is>
          <t>tipo_hogar</t>
        </is>
      </c>
      <c r="C520" s="4" t="inlineStr">
        <is>
          <t>monoparental</t>
        </is>
      </c>
      <c r="D520" s="4" t="inlineStr">
        <is>
          <t>tenencia_3</t>
        </is>
      </c>
      <c r="E520" s="4" t="n">
        <v>23.04</v>
      </c>
      <c r="F520" s="4" t="n">
        <v>19.9286</v>
      </c>
      <c r="G520" s="4" t="n">
        <v>26.1514</v>
      </c>
      <c r="H520" s="4" t="n">
        <v>3754</v>
      </c>
      <c r="I520" s="4" t="inlineStr">
        <is>
          <t>C4</t>
        </is>
      </c>
      <c r="J520" s="6">
        <f>IF(ISNUMBER(G520),G520-F520,"")</f>
        <v/>
      </c>
    </row>
    <row r="521">
      <c r="A521" s="4" t="n">
        <v>2025</v>
      </c>
      <c r="B521" s="4" t="inlineStr">
        <is>
          <t>tipo_hogar</t>
        </is>
      </c>
      <c r="C521" s="4" t="inlineStr">
        <is>
          <t>monoparental</t>
        </is>
      </c>
      <c r="D521" s="4" t="inlineStr">
        <is>
          <t>tenencia_4</t>
        </is>
      </c>
      <c r="E521" s="4" t="n">
        <v>6.7134</v>
      </c>
      <c r="F521" s="4" t="n">
        <v>4.6875</v>
      </c>
      <c r="G521" s="4" t="n">
        <v>8.7393</v>
      </c>
      <c r="H521" s="4" t="n">
        <v>3754</v>
      </c>
      <c r="I521" s="4" t="inlineStr">
        <is>
          <t>C4</t>
        </is>
      </c>
      <c r="J521" s="6">
        <f>IF(ISNUMBER(G521),G521-F521,"")</f>
        <v/>
      </c>
    </row>
    <row r="522">
      <c r="A522" s="4" t="n">
        <v>2025</v>
      </c>
      <c r="B522" s="4" t="inlineStr">
        <is>
          <t>tipo_hogar</t>
        </is>
      </c>
      <c r="C522" s="4" t="inlineStr">
        <is>
          <t>monoparental</t>
        </is>
      </c>
      <c r="D522" s="4" t="inlineStr">
        <is>
          <t>tenencia_5</t>
        </is>
      </c>
      <c r="E522" s="4" t="n">
        <v>10.5419</v>
      </c>
      <c r="F522" s="4" t="n">
        <v>8.2738</v>
      </c>
      <c r="G522" s="4" t="n">
        <v>12.8099</v>
      </c>
      <c r="H522" s="4" t="n">
        <v>3754</v>
      </c>
      <c r="I522" s="4" t="inlineStr">
        <is>
          <t>C4</t>
        </is>
      </c>
      <c r="J522" s="6">
        <f>IF(ISNUMBER(G522),G522-F522,"")</f>
        <v/>
      </c>
    </row>
    <row r="523">
      <c r="A523" s="4" t="n">
        <v>2025</v>
      </c>
      <c r="B523" s="4" t="inlineStr">
        <is>
          <t>tipo_hogar</t>
        </is>
      </c>
      <c r="C523" s="4" t="inlineStr">
        <is>
          <t>monoparental</t>
        </is>
      </c>
      <c r="D523" s="4" t="inlineStr">
        <is>
          <t>esfuerzo_alquiler_mediana</t>
        </is>
      </c>
      <c r="E523" s="4" t="n">
        <v>35.8232</v>
      </c>
      <c r="F523" s="4" t="n">
        <v>31.4934</v>
      </c>
      <c r="G523" s="4" t="n">
        <v>41.1585</v>
      </c>
      <c r="H523" s="4" t="n">
        <v>750</v>
      </c>
      <c r="I523" s="4" t="inlineStr">
        <is>
          <t>C4</t>
        </is>
      </c>
      <c r="J523" s="6">
        <f>IF(ISNUMBER(G523),G523-F523,"")</f>
        <v/>
      </c>
    </row>
    <row r="524">
      <c r="A524" s="4" t="n">
        <v>2025</v>
      </c>
      <c r="B524" s="4" t="inlineStr">
        <is>
          <t>tipo_hogar</t>
        </is>
      </c>
      <c r="C524" s="4" t="inlineStr">
        <is>
          <t>monoparental</t>
        </is>
      </c>
      <c r="D524" s="4" t="inlineStr">
        <is>
          <t>esfuerzo_hipoteca_mediana</t>
        </is>
      </c>
      <c r="E524" s="4" t="n">
        <v>21.2118</v>
      </c>
      <c r="F524" s="4" t="n">
        <v>19.5769</v>
      </c>
      <c r="G524" s="4" t="n">
        <v>22.7425</v>
      </c>
      <c r="H524" s="4" t="n">
        <v>1385</v>
      </c>
      <c r="I524" s="4" t="inlineStr">
        <is>
          <t>C4</t>
        </is>
      </c>
      <c r="J524" s="6">
        <f>IF(ISNUMBER(G524),G524-F524,"")</f>
        <v/>
      </c>
    </row>
    <row r="525">
      <c r="A525" s="4" t="n">
        <v>2025</v>
      </c>
      <c r="B525" s="4" t="inlineStr">
        <is>
          <t>tipo_hogar</t>
        </is>
      </c>
      <c r="C525" s="4" t="inlineStr">
        <is>
          <t>otros con hijos</t>
        </is>
      </c>
      <c r="D525" s="4" t="inlineStr">
        <is>
          <t>sobrecarga_30</t>
        </is>
      </c>
      <c r="E525" s="4" t="n">
        <v>9.0456</v>
      </c>
      <c r="F525" s="4" t="n">
        <v>6.4107</v>
      </c>
      <c r="G525" s="4" t="n">
        <v>11.6805</v>
      </c>
      <c r="H525" s="4" t="n">
        <v>6550</v>
      </c>
      <c r="I525" s="4" t="inlineStr">
        <is>
          <t>C4</t>
        </is>
      </c>
      <c r="J525" s="6">
        <f>IF(ISNUMBER(G525),G525-F525,"")</f>
        <v/>
      </c>
    </row>
    <row r="526">
      <c r="A526" s="4" t="n">
        <v>2025</v>
      </c>
      <c r="B526" s="4" t="inlineStr">
        <is>
          <t>tipo_hogar</t>
        </is>
      </c>
      <c r="C526" s="4" t="inlineStr">
        <is>
          <t>otros con hijos</t>
        </is>
      </c>
      <c r="D526" s="4" t="inlineStr">
        <is>
          <t>sobrecarga_40</t>
        </is>
      </c>
      <c r="E526" s="4" t="n">
        <v>5.2028</v>
      </c>
      <c r="F526" s="4" t="n">
        <v>3.1037</v>
      </c>
      <c r="G526" s="4" t="n">
        <v>7.3018</v>
      </c>
      <c r="H526" s="4" t="n">
        <v>6550</v>
      </c>
      <c r="I526" s="4" t="inlineStr">
        <is>
          <t>C4</t>
        </is>
      </c>
      <c r="J526" s="6">
        <f>IF(ISNUMBER(G526),G526-F526,"")</f>
        <v/>
      </c>
    </row>
    <row r="527">
      <c r="A527" s="4" t="n">
        <v>2025</v>
      </c>
      <c r="B527" s="4" t="inlineStr">
        <is>
          <t>tipo_hogar</t>
        </is>
      </c>
      <c r="C527" s="4" t="inlineStr">
        <is>
          <t>otros con hijos</t>
        </is>
      </c>
      <c r="D527" s="4" t="inlineStr">
        <is>
          <t>esfuerzo_alquiler_30</t>
        </is>
      </c>
      <c r="E527" s="4" t="n">
        <v>14.0517</v>
      </c>
      <c r="F527" s="4" t="n">
        <v>7.2134</v>
      </c>
      <c r="G527" s="4" t="n">
        <v>20.89</v>
      </c>
      <c r="H527" s="4" t="n">
        <v>1069</v>
      </c>
      <c r="I527" s="4" t="inlineStr">
        <is>
          <t>C4</t>
        </is>
      </c>
      <c r="J527" s="6">
        <f>IF(ISNUMBER(G527),G527-F527,"")</f>
        <v/>
      </c>
    </row>
    <row r="528">
      <c r="A528" s="4" t="n">
        <v>2025</v>
      </c>
      <c r="B528" s="4" t="inlineStr">
        <is>
          <t>tipo_hogar</t>
        </is>
      </c>
      <c r="C528" s="4" t="inlineStr">
        <is>
          <t>otros con hijos</t>
        </is>
      </c>
      <c r="D528" s="4" t="inlineStr">
        <is>
          <t>esfuerzo_alquiler_40</t>
        </is>
      </c>
      <c r="E528" s="4" t="n">
        <v>10.241</v>
      </c>
      <c r="F528" s="4" t="n">
        <v>4.2177</v>
      </c>
      <c r="G528" s="4" t="n">
        <v>16.2642</v>
      </c>
      <c r="H528" s="4" t="n">
        <v>1069</v>
      </c>
      <c r="I528" s="4" t="inlineStr">
        <is>
          <t>C4</t>
        </is>
      </c>
      <c r="J528" s="6">
        <f>IF(ISNUMBER(G528),G528-F528,"")</f>
        <v/>
      </c>
    </row>
    <row r="529">
      <c r="A529" s="4" t="n">
        <v>2025</v>
      </c>
      <c r="B529" s="4" t="inlineStr">
        <is>
          <t>tipo_hogar</t>
        </is>
      </c>
      <c r="C529" s="4" t="inlineStr">
        <is>
          <t>otros con hijos</t>
        </is>
      </c>
      <c r="D529" s="4" t="inlineStr">
        <is>
          <t>esfuerzo_hipoteca_30</t>
        </is>
      </c>
      <c r="E529" s="4" t="n">
        <v>5.6765</v>
      </c>
      <c r="F529" s="4" t="n">
        <v>1.3899</v>
      </c>
      <c r="G529" s="4" t="n">
        <v>9.963100000000001</v>
      </c>
      <c r="H529" s="4" t="n">
        <v>1754</v>
      </c>
      <c r="I529" s="4" t="inlineStr">
        <is>
          <t>C4</t>
        </is>
      </c>
      <c r="J529" s="6">
        <f>IF(ISNUMBER(G529),G529-F529,"")</f>
        <v/>
      </c>
    </row>
    <row r="530">
      <c r="A530" s="4" t="n">
        <v>2025</v>
      </c>
      <c r="B530" s="4" t="inlineStr">
        <is>
          <t>tipo_hogar</t>
        </is>
      </c>
      <c r="C530" s="4" t="inlineStr">
        <is>
          <t>otros con hijos</t>
        </is>
      </c>
      <c r="D530" s="4" t="inlineStr">
        <is>
          <t>hacinamiento</t>
        </is>
      </c>
      <c r="E530" s="4" t="n">
        <v>26.927</v>
      </c>
      <c r="F530" s="4" t="n">
        <v>22.8939</v>
      </c>
      <c r="G530" s="4" t="n">
        <v>30.96</v>
      </c>
      <c r="H530" s="4" t="n">
        <v>6529</v>
      </c>
      <c r="I530" s="4" t="inlineStr">
        <is>
          <t>C4</t>
        </is>
      </c>
      <c r="J530" s="6">
        <f>IF(ISNUMBER(G530),G530-F530,"")</f>
        <v/>
      </c>
    </row>
    <row r="531">
      <c r="A531" s="4" t="n">
        <v>2025</v>
      </c>
      <c r="B531" s="4" t="inlineStr">
        <is>
          <t>tipo_hogar</t>
        </is>
      </c>
      <c r="C531" s="4" t="inlineStr">
        <is>
          <t>otros con hijos</t>
        </is>
      </c>
      <c r="D531" s="4" t="inlineStr">
        <is>
          <t>tenencia_1</t>
        </is>
      </c>
      <c r="E531" s="4" t="n">
        <v>41.8718</v>
      </c>
      <c r="F531" s="4" t="n">
        <v>37.94</v>
      </c>
      <c r="G531" s="4" t="n">
        <v>45.8036</v>
      </c>
      <c r="H531" s="4" t="n">
        <v>6570</v>
      </c>
      <c r="I531" s="4" t="inlineStr">
        <is>
          <t>C4</t>
        </is>
      </c>
      <c r="J531" s="6">
        <f>IF(ISNUMBER(G531),G531-F531,"")</f>
        <v/>
      </c>
    </row>
    <row r="532">
      <c r="A532" s="4" t="n">
        <v>2025</v>
      </c>
      <c r="B532" s="4" t="inlineStr">
        <is>
          <t>tipo_hogar</t>
        </is>
      </c>
      <c r="C532" s="4" t="inlineStr">
        <is>
          <t>otros con hijos</t>
        </is>
      </c>
      <c r="D532" s="4" t="inlineStr">
        <is>
          <t>tenencia_2</t>
        </is>
      </c>
      <c r="E532" s="4" t="n">
        <v>25.6831</v>
      </c>
      <c r="F532" s="4" t="n">
        <v>22.3225</v>
      </c>
      <c r="G532" s="4" t="n">
        <v>29.0436</v>
      </c>
      <c r="H532" s="4" t="n">
        <v>6570</v>
      </c>
      <c r="I532" s="4" t="inlineStr">
        <is>
          <t>C4</t>
        </is>
      </c>
      <c r="J532" s="6">
        <f>IF(ISNUMBER(G532),G532-F532,"")</f>
        <v/>
      </c>
    </row>
    <row r="533">
      <c r="A533" s="4" t="n">
        <v>2025</v>
      </c>
      <c r="B533" s="4" t="inlineStr">
        <is>
          <t>tipo_hogar</t>
        </is>
      </c>
      <c r="C533" s="4" t="inlineStr">
        <is>
          <t>otros con hijos</t>
        </is>
      </c>
      <c r="D533" s="4" t="inlineStr">
        <is>
          <t>tenencia_3</t>
        </is>
      </c>
      <c r="E533" s="4" t="n">
        <v>25.4579</v>
      </c>
      <c r="F533" s="4" t="n">
        <v>21.3101</v>
      </c>
      <c r="G533" s="4" t="n">
        <v>29.6057</v>
      </c>
      <c r="H533" s="4" t="n">
        <v>6570</v>
      </c>
      <c r="I533" s="4" t="inlineStr">
        <is>
          <t>C4</t>
        </is>
      </c>
      <c r="J533" s="6">
        <f>IF(ISNUMBER(G533),G533-F533,"")</f>
        <v/>
      </c>
    </row>
    <row r="534">
      <c r="A534" s="4" t="n">
        <v>2025</v>
      </c>
      <c r="B534" s="4" t="inlineStr">
        <is>
          <t>tipo_hogar</t>
        </is>
      </c>
      <c r="C534" s="4" t="inlineStr">
        <is>
          <t>otros con hijos</t>
        </is>
      </c>
      <c r="D534" s="4" t="inlineStr">
        <is>
          <t>tenencia_4</t>
        </is>
      </c>
      <c r="E534" s="4" t="n">
        <v>2.9762</v>
      </c>
      <c r="F534" s="4" t="n">
        <v>1.7132</v>
      </c>
      <c r="G534" s="4" t="n">
        <v>4.2393</v>
      </c>
      <c r="H534" s="4" t="n">
        <v>6570</v>
      </c>
      <c r="I534" s="4" t="inlineStr">
        <is>
          <t>C4</t>
        </is>
      </c>
      <c r="J534" s="6">
        <f>IF(ISNUMBER(G534),G534-F534,"")</f>
        <v/>
      </c>
    </row>
    <row r="535">
      <c r="A535" s="4" t="n">
        <v>2025</v>
      </c>
      <c r="B535" s="4" t="inlineStr">
        <is>
          <t>tipo_hogar</t>
        </is>
      </c>
      <c r="C535" s="4" t="inlineStr">
        <is>
          <t>otros con hijos</t>
        </is>
      </c>
      <c r="D535" s="4" t="inlineStr">
        <is>
          <t>tenencia_5</t>
        </is>
      </c>
      <c r="E535" s="4" t="n">
        <v>4.011</v>
      </c>
      <c r="F535" s="4" t="n">
        <v>2.6827</v>
      </c>
      <c r="G535" s="4" t="n">
        <v>5.3393</v>
      </c>
      <c r="H535" s="4" t="n">
        <v>6570</v>
      </c>
      <c r="I535" s="4" t="inlineStr">
        <is>
          <t>C4</t>
        </is>
      </c>
      <c r="J535" s="6">
        <f>IF(ISNUMBER(G535),G535-F535,"")</f>
        <v/>
      </c>
    </row>
    <row r="536">
      <c r="A536" s="4" t="n">
        <v>2025</v>
      </c>
      <c r="B536" s="4" t="inlineStr">
        <is>
          <t>tipo_hogar</t>
        </is>
      </c>
      <c r="C536" s="4" t="inlineStr">
        <is>
          <t>otros con hijos</t>
        </is>
      </c>
      <c r="D536" s="4" t="inlineStr">
        <is>
          <t>esfuerzo_alquiler_mediana</t>
        </is>
      </c>
      <c r="E536" s="4" t="n">
        <v>17.2715</v>
      </c>
      <c r="F536" s="4" t="n">
        <v>15.1539</v>
      </c>
      <c r="G536" s="4" t="n">
        <v>19.3158</v>
      </c>
      <c r="H536" s="4" t="n">
        <v>1069</v>
      </c>
      <c r="I536" s="4" t="inlineStr">
        <is>
          <t>C4</t>
        </is>
      </c>
      <c r="J536" s="6">
        <f>IF(ISNUMBER(G536),G536-F536,"")</f>
        <v/>
      </c>
    </row>
    <row r="537">
      <c r="A537" s="4" t="n">
        <v>2025</v>
      </c>
      <c r="B537" s="4" t="inlineStr">
        <is>
          <t>tipo_hogar</t>
        </is>
      </c>
      <c r="C537" s="4" t="inlineStr">
        <is>
          <t>otros con hijos</t>
        </is>
      </c>
      <c r="D537" s="4" t="inlineStr">
        <is>
          <t>esfuerzo_hipoteca_mediana</t>
        </is>
      </c>
      <c r="E537" s="4" t="n">
        <v>11.7279</v>
      </c>
      <c r="F537" s="4" t="n">
        <v>10.3052</v>
      </c>
      <c r="G537" s="4" t="n">
        <v>12.5183</v>
      </c>
      <c r="H537" s="4" t="n">
        <v>1754</v>
      </c>
      <c r="I537" s="4" t="inlineStr">
        <is>
          <t>C4</t>
        </is>
      </c>
      <c r="J537" s="6">
        <f>IF(ISNUMBER(G537),G537-F537,"")</f>
        <v/>
      </c>
    </row>
    <row r="538">
      <c r="A538" s="4" t="n">
        <v>2025</v>
      </c>
      <c r="B538" s="4" t="inlineStr">
        <is>
          <t>tipo_hogar</t>
        </is>
      </c>
      <c r="C538" s="4" t="inlineStr">
        <is>
          <t>otros sin hijos</t>
        </is>
      </c>
      <c r="D538" s="4" t="inlineStr">
        <is>
          <t>sobrecarga_30</t>
        </is>
      </c>
      <c r="E538" s="4" t="n">
        <v>4.6392</v>
      </c>
      <c r="F538" s="4" t="n">
        <v>3.4643</v>
      </c>
      <c r="G538" s="4" t="n">
        <v>5.8142</v>
      </c>
      <c r="H538" s="4" t="n">
        <v>10022</v>
      </c>
      <c r="I538" s="4" t="inlineStr">
        <is>
          <t>C4</t>
        </is>
      </c>
      <c r="J538" s="6">
        <f>IF(ISNUMBER(G538),G538-F538,"")</f>
        <v/>
      </c>
    </row>
    <row r="539">
      <c r="A539" s="4" t="n">
        <v>2025</v>
      </c>
      <c r="B539" s="4" t="inlineStr">
        <is>
          <t>tipo_hogar</t>
        </is>
      </c>
      <c r="C539" s="4" t="inlineStr">
        <is>
          <t>otros sin hijos</t>
        </is>
      </c>
      <c r="D539" s="4" t="inlineStr">
        <is>
          <t>sobrecarga_40</t>
        </is>
      </c>
      <c r="E539" s="4" t="n">
        <v>1.7923</v>
      </c>
      <c r="F539" s="4" t="n">
        <v>1.1934</v>
      </c>
      <c r="G539" s="4" t="n">
        <v>2.3913</v>
      </c>
      <c r="H539" s="4" t="n">
        <v>10022</v>
      </c>
      <c r="I539" s="4" t="inlineStr">
        <is>
          <t>C4</t>
        </is>
      </c>
      <c r="J539" s="6">
        <f>IF(ISNUMBER(G539),G539-F539,"")</f>
        <v/>
      </c>
    </row>
    <row r="540">
      <c r="A540" s="4" t="n">
        <v>2025</v>
      </c>
      <c r="B540" s="4" t="inlineStr">
        <is>
          <t>tipo_hogar</t>
        </is>
      </c>
      <c r="C540" s="4" t="inlineStr">
        <is>
          <t>otros sin hijos</t>
        </is>
      </c>
      <c r="D540" s="4" t="inlineStr">
        <is>
          <t>esfuerzo_alquiler_30</t>
        </is>
      </c>
      <c r="E540" s="4" t="n">
        <v>13.8761</v>
      </c>
      <c r="F540" s="4" t="n">
        <v>8.5764</v>
      </c>
      <c r="G540" s="4" t="n">
        <v>19.1757</v>
      </c>
      <c r="H540" s="4" t="n">
        <v>736</v>
      </c>
      <c r="I540" s="4" t="inlineStr">
        <is>
          <t>C4</t>
        </is>
      </c>
      <c r="J540" s="6">
        <f>IF(ISNUMBER(G540),G540-F540,"")</f>
        <v/>
      </c>
    </row>
    <row r="541">
      <c r="A541" s="4" t="n">
        <v>2025</v>
      </c>
      <c r="B541" s="4" t="inlineStr">
        <is>
          <t>tipo_hogar</t>
        </is>
      </c>
      <c r="C541" s="4" t="inlineStr">
        <is>
          <t>otros sin hijos</t>
        </is>
      </c>
      <c r="D541" s="4" t="inlineStr">
        <is>
          <t>esfuerzo_alquiler_40</t>
        </is>
      </c>
      <c r="E541" s="4" t="n">
        <v>7.5225</v>
      </c>
      <c r="F541" s="4" t="n">
        <v>3.7999</v>
      </c>
      <c r="G541" s="4" t="n">
        <v>11.2451</v>
      </c>
      <c r="H541" s="4" t="n">
        <v>736</v>
      </c>
      <c r="I541" s="4" t="inlineStr">
        <is>
          <t>C4</t>
        </is>
      </c>
      <c r="J541" s="6">
        <f>IF(ISNUMBER(G541),G541-F541,"")</f>
        <v/>
      </c>
    </row>
    <row r="542">
      <c r="A542" s="4" t="n">
        <v>2025</v>
      </c>
      <c r="B542" s="4" t="inlineStr">
        <is>
          <t>tipo_hogar</t>
        </is>
      </c>
      <c r="C542" s="4" t="inlineStr">
        <is>
          <t>otros sin hijos</t>
        </is>
      </c>
      <c r="D542" s="4" t="inlineStr">
        <is>
          <t>esfuerzo_hipoteca_30</t>
        </is>
      </c>
      <c r="E542" s="4" t="n">
        <v>5.7097</v>
      </c>
      <c r="F542" s="4" t="n">
        <v>3.0786</v>
      </c>
      <c r="G542" s="4" t="n">
        <v>8.3408</v>
      </c>
      <c r="H542" s="4" t="n">
        <v>1630</v>
      </c>
      <c r="I542" s="4" t="inlineStr">
        <is>
          <t>C4</t>
        </is>
      </c>
      <c r="J542" s="6">
        <f>IF(ISNUMBER(G542),G542-F542,"")</f>
        <v/>
      </c>
    </row>
    <row r="543">
      <c r="A543" s="4" t="n">
        <v>2025</v>
      </c>
      <c r="B543" s="4" t="inlineStr">
        <is>
          <t>tipo_hogar</t>
        </is>
      </c>
      <c r="C543" s="4" t="inlineStr">
        <is>
          <t>otros sin hijos</t>
        </is>
      </c>
      <c r="D543" s="4" t="inlineStr">
        <is>
          <t>hacinamiento</t>
        </is>
      </c>
      <c r="E543" s="4" t="n">
        <v>6.4833</v>
      </c>
      <c r="F543" s="4" t="n">
        <v>5.169</v>
      </c>
      <c r="G543" s="4" t="n">
        <v>7.7975</v>
      </c>
      <c r="H543" s="4" t="n">
        <v>10032</v>
      </c>
      <c r="I543" s="4" t="inlineStr">
        <is>
          <t>C4</t>
        </is>
      </c>
      <c r="J543" s="6">
        <f>IF(ISNUMBER(G543),G543-F543,"")</f>
        <v/>
      </c>
    </row>
    <row r="544">
      <c r="A544" s="4" t="n">
        <v>2025</v>
      </c>
      <c r="B544" s="4" t="inlineStr">
        <is>
          <t>tipo_hogar</t>
        </is>
      </c>
      <c r="C544" s="4" t="inlineStr">
        <is>
          <t>otros sin hijos</t>
        </is>
      </c>
      <c r="D544" s="4" t="inlineStr">
        <is>
          <t>tenencia_1</t>
        </is>
      </c>
      <c r="E544" s="4" t="n">
        <v>64.42619999999999</v>
      </c>
      <c r="F544" s="4" t="n">
        <v>61.9396</v>
      </c>
      <c r="G544" s="4" t="n">
        <v>66.9128</v>
      </c>
      <c r="H544" s="4" t="n">
        <v>10062</v>
      </c>
      <c r="I544" s="4" t="inlineStr">
        <is>
          <t>C4</t>
        </is>
      </c>
      <c r="J544" s="6">
        <f>IF(ISNUMBER(G544),G544-F544,"")</f>
        <v/>
      </c>
    </row>
    <row r="545">
      <c r="A545" s="4" t="n">
        <v>2025</v>
      </c>
      <c r="B545" s="4" t="inlineStr">
        <is>
          <t>tipo_hogar</t>
        </is>
      </c>
      <c r="C545" s="4" t="inlineStr">
        <is>
          <t>otros sin hijos</t>
        </is>
      </c>
      <c r="D545" s="4" t="inlineStr">
        <is>
          <t>tenencia_2</t>
        </is>
      </c>
      <c r="E545" s="4" t="n">
        <v>18.1257</v>
      </c>
      <c r="F545" s="4" t="n">
        <v>16.2792</v>
      </c>
      <c r="G545" s="4" t="n">
        <v>19.9722</v>
      </c>
      <c r="H545" s="4" t="n">
        <v>10062</v>
      </c>
      <c r="I545" s="4" t="inlineStr">
        <is>
          <t>C4</t>
        </is>
      </c>
      <c r="J545" s="6">
        <f>IF(ISNUMBER(G545),G545-F545,"")</f>
        <v/>
      </c>
    </row>
    <row r="546">
      <c r="A546" s="4" t="n">
        <v>2025</v>
      </c>
      <c r="B546" s="4" t="inlineStr">
        <is>
          <t>tipo_hogar</t>
        </is>
      </c>
      <c r="C546" s="4" t="inlineStr">
        <is>
          <t>otros sin hijos</t>
        </is>
      </c>
      <c r="D546" s="4" t="inlineStr">
        <is>
          <t>tenencia_3</t>
        </is>
      </c>
      <c r="E546" s="4" t="n">
        <v>11.2461</v>
      </c>
      <c r="F546" s="4" t="n">
        <v>9.113300000000001</v>
      </c>
      <c r="G546" s="4" t="n">
        <v>13.3788</v>
      </c>
      <c r="H546" s="4" t="n">
        <v>10062</v>
      </c>
      <c r="I546" s="4" t="inlineStr">
        <is>
          <t>C4</t>
        </is>
      </c>
      <c r="J546" s="6">
        <f>IF(ISNUMBER(G546),G546-F546,"")</f>
        <v/>
      </c>
    </row>
    <row r="547">
      <c r="A547" s="4" t="n">
        <v>2025</v>
      </c>
      <c r="B547" s="4" t="inlineStr">
        <is>
          <t>tipo_hogar</t>
        </is>
      </c>
      <c r="C547" s="4" t="inlineStr">
        <is>
          <t>otros sin hijos</t>
        </is>
      </c>
      <c r="D547" s="4" t="inlineStr">
        <is>
          <t>tenencia_4</t>
        </is>
      </c>
      <c r="E547" s="4" t="n">
        <v>2.7359</v>
      </c>
      <c r="F547" s="4" t="n">
        <v>1.7633</v>
      </c>
      <c r="G547" s="4" t="n">
        <v>3.7085</v>
      </c>
      <c r="H547" s="4" t="n">
        <v>10062</v>
      </c>
      <c r="I547" s="4" t="inlineStr">
        <is>
          <t>C4</t>
        </is>
      </c>
      <c r="J547" s="6">
        <f>IF(ISNUMBER(G547),G547-F547,"")</f>
        <v/>
      </c>
    </row>
    <row r="548">
      <c r="A548" s="4" t="n">
        <v>2025</v>
      </c>
      <c r="B548" s="4" t="inlineStr">
        <is>
          <t>tipo_hogar</t>
        </is>
      </c>
      <c r="C548" s="4" t="inlineStr">
        <is>
          <t>otros sin hijos</t>
        </is>
      </c>
      <c r="D548" s="4" t="inlineStr">
        <is>
          <t>tenencia_5</t>
        </is>
      </c>
      <c r="E548" s="4" t="n">
        <v>3.4661</v>
      </c>
      <c r="F548" s="4" t="n">
        <v>2.6147</v>
      </c>
      <c r="G548" s="4" t="n">
        <v>4.3175</v>
      </c>
      <c r="H548" s="4" t="n">
        <v>10062</v>
      </c>
      <c r="I548" s="4" t="inlineStr">
        <is>
          <t>C4</t>
        </is>
      </c>
      <c r="J548" s="6">
        <f>IF(ISNUMBER(G548),G548-F548,"")</f>
        <v/>
      </c>
    </row>
    <row r="549">
      <c r="A549" s="4" t="n">
        <v>2025</v>
      </c>
      <c r="B549" s="4" t="inlineStr">
        <is>
          <t>tipo_hogar</t>
        </is>
      </c>
      <c r="C549" s="4" t="inlineStr">
        <is>
          <t>otros sin hijos</t>
        </is>
      </c>
      <c r="D549" s="4" t="inlineStr">
        <is>
          <t>esfuerzo_alquiler_mediana</t>
        </is>
      </c>
      <c r="E549" s="4" t="n">
        <v>17.6156</v>
      </c>
      <c r="F549" s="4" t="n">
        <v>15.5036</v>
      </c>
      <c r="G549" s="4" t="n">
        <v>20.4668</v>
      </c>
      <c r="H549" s="4" t="n">
        <v>736</v>
      </c>
      <c r="I549" s="4" t="inlineStr">
        <is>
          <t>C4</t>
        </is>
      </c>
      <c r="J549" s="6">
        <f>IF(ISNUMBER(G549),G549-F549,"")</f>
        <v/>
      </c>
    </row>
    <row r="550">
      <c r="A550" s="4" t="n">
        <v>2025</v>
      </c>
      <c r="B550" s="4" t="inlineStr">
        <is>
          <t>tipo_hogar</t>
        </is>
      </c>
      <c r="C550" s="4" t="inlineStr">
        <is>
          <t>otros sin hijos</t>
        </is>
      </c>
      <c r="D550" s="4" t="inlineStr">
        <is>
          <t>esfuerzo_hipoteca_mediana</t>
        </is>
      </c>
      <c r="E550" s="4" t="n">
        <v>10.6784</v>
      </c>
      <c r="F550" s="4" t="n">
        <v>9.363</v>
      </c>
      <c r="G550" s="4" t="n">
        <v>11.8508</v>
      </c>
      <c r="H550" s="4" t="n">
        <v>1630</v>
      </c>
      <c r="I550" s="4" t="inlineStr">
        <is>
          <t>C4</t>
        </is>
      </c>
      <c r="J550" s="6">
        <f>IF(ISNUMBER(G550),G550-F550,"")</f>
        <v/>
      </c>
    </row>
    <row r="551">
      <c r="A551" s="4" t="n">
        <v>2025</v>
      </c>
      <c r="B551" s="4" t="inlineStr">
        <is>
          <t>tipo_hogar</t>
        </is>
      </c>
      <c r="C551" s="4" t="inlineStr">
        <is>
          <t>pareja con hijos</t>
        </is>
      </c>
      <c r="D551" s="4" t="inlineStr">
        <is>
          <t>sobrecarga_30</t>
        </is>
      </c>
      <c r="E551" s="4" t="n">
        <v>11.2316</v>
      </c>
      <c r="F551" s="4" t="n">
        <v>10.0074</v>
      </c>
      <c r="G551" s="4" t="n">
        <v>12.4557</v>
      </c>
      <c r="H551" s="4" t="n">
        <v>25852</v>
      </c>
      <c r="I551" s="4" t="inlineStr">
        <is>
          <t>C4</t>
        </is>
      </c>
      <c r="J551" s="6">
        <f>IF(ISNUMBER(G551),G551-F551,"")</f>
        <v/>
      </c>
    </row>
    <row r="552">
      <c r="A552" s="4" t="n">
        <v>2025</v>
      </c>
      <c r="B552" s="4" t="inlineStr">
        <is>
          <t>tipo_hogar</t>
        </is>
      </c>
      <c r="C552" s="4" t="inlineStr">
        <is>
          <t>pareja con hijos</t>
        </is>
      </c>
      <c r="D552" s="4" t="inlineStr">
        <is>
          <t>sobrecarga_40</t>
        </is>
      </c>
      <c r="E552" s="4" t="n">
        <v>6.0772</v>
      </c>
      <c r="F552" s="4" t="n">
        <v>5.1509</v>
      </c>
      <c r="G552" s="4" t="n">
        <v>7.0035</v>
      </c>
      <c r="H552" s="4" t="n">
        <v>25852</v>
      </c>
      <c r="I552" s="4" t="inlineStr">
        <is>
          <t>C4</t>
        </is>
      </c>
      <c r="J552" s="6">
        <f>IF(ISNUMBER(G552),G552-F552,"")</f>
        <v/>
      </c>
    </row>
    <row r="553">
      <c r="A553" s="4" t="n">
        <v>2025</v>
      </c>
      <c r="B553" s="4" t="inlineStr">
        <is>
          <t>tipo_hogar</t>
        </is>
      </c>
      <c r="C553" s="4" t="inlineStr">
        <is>
          <t>pareja con hijos</t>
        </is>
      </c>
      <c r="D553" s="4" t="inlineStr">
        <is>
          <t>esfuerzo_alquiler_30</t>
        </is>
      </c>
      <c r="E553" s="4" t="n">
        <v>24.5249</v>
      </c>
      <c r="F553" s="4" t="n">
        <v>20.7271</v>
      </c>
      <c r="G553" s="4" t="n">
        <v>28.3228</v>
      </c>
      <c r="H553" s="4" t="n">
        <v>3479</v>
      </c>
      <c r="I553" s="4" t="inlineStr">
        <is>
          <t>C4</t>
        </is>
      </c>
      <c r="J553" s="6">
        <f>IF(ISNUMBER(G553),G553-F553,"")</f>
        <v/>
      </c>
    </row>
    <row r="554">
      <c r="A554" s="4" t="n">
        <v>2025</v>
      </c>
      <c r="B554" s="4" t="inlineStr">
        <is>
          <t>tipo_hogar</t>
        </is>
      </c>
      <c r="C554" s="4" t="inlineStr">
        <is>
          <t>pareja con hijos</t>
        </is>
      </c>
      <c r="D554" s="4" t="inlineStr">
        <is>
          <t>esfuerzo_alquiler_40</t>
        </is>
      </c>
      <c r="E554" s="4" t="n">
        <v>14.1975</v>
      </c>
      <c r="F554" s="4" t="n">
        <v>11.08</v>
      </c>
      <c r="G554" s="4" t="n">
        <v>17.315</v>
      </c>
      <c r="H554" s="4" t="n">
        <v>3479</v>
      </c>
      <c r="I554" s="4" t="inlineStr">
        <is>
          <t>C4</t>
        </is>
      </c>
      <c r="J554" s="6">
        <f>IF(ISNUMBER(G554),G554-F554,"")</f>
        <v/>
      </c>
    </row>
    <row r="555">
      <c r="A555" s="4" t="n">
        <v>2025</v>
      </c>
      <c r="B555" s="4" t="inlineStr">
        <is>
          <t>tipo_hogar</t>
        </is>
      </c>
      <c r="C555" s="4" t="inlineStr">
        <is>
          <t>pareja con hijos</t>
        </is>
      </c>
      <c r="D555" s="4" t="inlineStr">
        <is>
          <t>esfuerzo_hipoteca_30</t>
        </is>
      </c>
      <c r="E555" s="4" t="n">
        <v>5.6491</v>
      </c>
      <c r="F555" s="4" t="n">
        <v>4.3088</v>
      </c>
      <c r="G555" s="4" t="n">
        <v>6.9894</v>
      </c>
      <c r="H555" s="4" t="n">
        <v>11298</v>
      </c>
      <c r="I555" s="4" t="inlineStr">
        <is>
          <t>C4</t>
        </is>
      </c>
      <c r="J555" s="6">
        <f>IF(ISNUMBER(G555),G555-F555,"")</f>
        <v/>
      </c>
    </row>
    <row r="556">
      <c r="A556" s="4" t="n">
        <v>2025</v>
      </c>
      <c r="B556" s="4" t="inlineStr">
        <is>
          <t>tipo_hogar</t>
        </is>
      </c>
      <c r="C556" s="4" t="inlineStr">
        <is>
          <t>pareja con hijos</t>
        </is>
      </c>
      <c r="D556" s="4" t="inlineStr">
        <is>
          <t>hacinamiento</t>
        </is>
      </c>
      <c r="E556" s="4" t="n">
        <v>8.4313</v>
      </c>
      <c r="F556" s="4" t="n">
        <v>7.1508</v>
      </c>
      <c r="G556" s="4" t="n">
        <v>9.7118</v>
      </c>
      <c r="H556" s="4" t="n">
        <v>25893</v>
      </c>
      <c r="I556" s="4" t="inlineStr">
        <is>
          <t>C4</t>
        </is>
      </c>
      <c r="J556" s="6">
        <f>IF(ISNUMBER(G556),G556-F556,"")</f>
        <v/>
      </c>
    </row>
    <row r="557">
      <c r="A557" s="4" t="n">
        <v>2025</v>
      </c>
      <c r="B557" s="4" t="inlineStr">
        <is>
          <t>tipo_hogar</t>
        </is>
      </c>
      <c r="C557" s="4" t="inlineStr">
        <is>
          <t>pareja con hijos</t>
        </is>
      </c>
      <c r="D557" s="4" t="inlineStr">
        <is>
          <t>tenencia_1</t>
        </is>
      </c>
      <c r="E557" s="4" t="n">
        <v>27.7885</v>
      </c>
      <c r="F557" s="4" t="n">
        <v>26.4591</v>
      </c>
      <c r="G557" s="4" t="n">
        <v>29.1179</v>
      </c>
      <c r="H557" s="4" t="n">
        <v>25922</v>
      </c>
      <c r="I557" s="4" t="inlineStr">
        <is>
          <t>C4</t>
        </is>
      </c>
      <c r="J557" s="6">
        <f>IF(ISNUMBER(G557),G557-F557,"")</f>
        <v/>
      </c>
    </row>
    <row r="558">
      <c r="A558" s="4" t="n">
        <v>2025</v>
      </c>
      <c r="B558" s="4" t="inlineStr">
        <is>
          <t>tipo_hogar</t>
        </is>
      </c>
      <c r="C558" s="4" t="inlineStr">
        <is>
          <t>pareja con hijos</t>
        </is>
      </c>
      <c r="D558" s="4" t="inlineStr">
        <is>
          <t>tenencia_2</t>
        </is>
      </c>
      <c r="E558" s="4" t="n">
        <v>44.1887</v>
      </c>
      <c r="F558" s="4" t="n">
        <v>42.6102</v>
      </c>
      <c r="G558" s="4" t="n">
        <v>45.7672</v>
      </c>
      <c r="H558" s="4" t="n">
        <v>25922</v>
      </c>
      <c r="I558" s="4" t="inlineStr">
        <is>
          <t>C4</t>
        </is>
      </c>
      <c r="J558" s="6">
        <f>IF(ISNUMBER(G558),G558-F558,"")</f>
        <v/>
      </c>
    </row>
    <row r="559">
      <c r="A559" s="4" t="n">
        <v>2025</v>
      </c>
      <c r="B559" s="4" t="inlineStr">
        <is>
          <t>tipo_hogar</t>
        </is>
      </c>
      <c r="C559" s="4" t="inlineStr">
        <is>
          <t>pareja con hijos</t>
        </is>
      </c>
      <c r="D559" s="4" t="inlineStr">
        <is>
          <t>tenencia_3</t>
        </is>
      </c>
      <c r="E559" s="4" t="n">
        <v>18.575</v>
      </c>
      <c r="F559" s="4" t="n">
        <v>17.0967</v>
      </c>
      <c r="G559" s="4" t="n">
        <v>20.0534</v>
      </c>
      <c r="H559" s="4" t="n">
        <v>25922</v>
      </c>
      <c r="I559" s="4" t="inlineStr">
        <is>
          <t>C4</t>
        </is>
      </c>
      <c r="J559" s="6">
        <f>IF(ISNUMBER(G559),G559-F559,"")</f>
        <v/>
      </c>
    </row>
    <row r="560">
      <c r="A560" s="4" t="n">
        <v>2025</v>
      </c>
      <c r="B560" s="4" t="inlineStr">
        <is>
          <t>tipo_hogar</t>
        </is>
      </c>
      <c r="C560" s="4" t="inlineStr">
        <is>
          <t>pareja con hijos</t>
        </is>
      </c>
      <c r="D560" s="4" t="inlineStr">
        <is>
          <t>tenencia_4</t>
        </is>
      </c>
      <c r="E560" s="4" t="n">
        <v>3.7196</v>
      </c>
      <c r="F560" s="4" t="n">
        <v>3.034</v>
      </c>
      <c r="G560" s="4" t="n">
        <v>4.4052</v>
      </c>
      <c r="H560" s="4" t="n">
        <v>25922</v>
      </c>
      <c r="I560" s="4" t="inlineStr">
        <is>
          <t>C4</t>
        </is>
      </c>
      <c r="J560" s="6">
        <f>IF(ISNUMBER(G560),G560-F560,"")</f>
        <v/>
      </c>
    </row>
    <row r="561">
      <c r="A561" s="4" t="n">
        <v>2025</v>
      </c>
      <c r="B561" s="4" t="inlineStr">
        <is>
          <t>tipo_hogar</t>
        </is>
      </c>
      <c r="C561" s="4" t="inlineStr">
        <is>
          <t>pareja con hijos</t>
        </is>
      </c>
      <c r="D561" s="4" t="inlineStr">
        <is>
          <t>tenencia_5</t>
        </is>
      </c>
      <c r="E561" s="4" t="n">
        <v>5.7281</v>
      </c>
      <c r="F561" s="4" t="n">
        <v>5.0773</v>
      </c>
      <c r="G561" s="4" t="n">
        <v>6.3789</v>
      </c>
      <c r="H561" s="4" t="n">
        <v>25922</v>
      </c>
      <c r="I561" s="4" t="inlineStr">
        <is>
          <t>C4</t>
        </is>
      </c>
      <c r="J561" s="6">
        <f>IF(ISNUMBER(G561),G561-F561,"")</f>
        <v/>
      </c>
    </row>
    <row r="562">
      <c r="A562" s="4" t="n">
        <v>2025</v>
      </c>
      <c r="B562" s="4" t="inlineStr">
        <is>
          <t>tipo_hogar</t>
        </is>
      </c>
      <c r="C562" s="4" t="inlineStr">
        <is>
          <t>pareja con hijos</t>
        </is>
      </c>
      <c r="D562" s="4" t="inlineStr">
        <is>
          <t>esfuerzo_alquiler_mediana</t>
        </is>
      </c>
      <c r="E562" s="4" t="n">
        <v>21.8596</v>
      </c>
      <c r="F562" s="4" t="n">
        <v>20.6436</v>
      </c>
      <c r="G562" s="4" t="n">
        <v>23.2131</v>
      </c>
      <c r="H562" s="4" t="n">
        <v>3479</v>
      </c>
      <c r="I562" s="4" t="inlineStr">
        <is>
          <t>C4</t>
        </is>
      </c>
      <c r="J562" s="6">
        <f>IF(ISNUMBER(G562),G562-F562,"")</f>
        <v/>
      </c>
    </row>
    <row r="563">
      <c r="A563" s="4" t="n">
        <v>2025</v>
      </c>
      <c r="B563" s="4" t="inlineStr">
        <is>
          <t>tipo_hogar</t>
        </is>
      </c>
      <c r="C563" s="4" t="inlineStr">
        <is>
          <t>pareja con hijos</t>
        </is>
      </c>
      <c r="D563" s="4" t="inlineStr">
        <is>
          <t>esfuerzo_hipoteca_mediana</t>
        </is>
      </c>
      <c r="E563" s="4" t="n">
        <v>13.5413</v>
      </c>
      <c r="F563" s="4" t="n">
        <v>13.1765</v>
      </c>
      <c r="G563" s="4" t="n">
        <v>14.0773</v>
      </c>
      <c r="H563" s="4" t="n">
        <v>11298</v>
      </c>
      <c r="I563" s="4" t="inlineStr">
        <is>
          <t>C4</t>
        </is>
      </c>
      <c r="J563" s="6">
        <f>IF(ISNUMBER(G563),G563-F563,"")</f>
        <v/>
      </c>
    </row>
    <row r="564">
      <c r="A564" s="4" t="n">
        <v>2025</v>
      </c>
      <c r="B564" s="4" t="inlineStr">
        <is>
          <t>tipo_hogar</t>
        </is>
      </c>
      <c r="C564" s="4" t="inlineStr">
        <is>
          <t>pareja sin hijos</t>
        </is>
      </c>
      <c r="D564" s="4" t="inlineStr">
        <is>
          <t>sobrecarga_30</t>
        </is>
      </c>
      <c r="E564" s="4" t="n">
        <v>10.133</v>
      </c>
      <c r="F564" s="4" t="n">
        <v>9.1525</v>
      </c>
      <c r="G564" s="4" t="n">
        <v>11.1134</v>
      </c>
      <c r="H564" s="4" t="n">
        <v>17118</v>
      </c>
      <c r="I564" s="4" t="inlineStr">
        <is>
          <t>C4</t>
        </is>
      </c>
      <c r="J564" s="6">
        <f>IF(ISNUMBER(G564),G564-F564,"")</f>
        <v/>
      </c>
    </row>
    <row r="565">
      <c r="A565" s="4" t="n">
        <v>2025</v>
      </c>
      <c r="B565" s="4" t="inlineStr">
        <is>
          <t>tipo_hogar</t>
        </is>
      </c>
      <c r="C565" s="4" t="inlineStr">
        <is>
          <t>pareja sin hijos</t>
        </is>
      </c>
      <c r="D565" s="4" t="inlineStr">
        <is>
          <t>sobrecarga_40</t>
        </is>
      </c>
      <c r="E565" s="4" t="n">
        <v>6.0811</v>
      </c>
      <c r="F565" s="4" t="n">
        <v>5.2812</v>
      </c>
      <c r="G565" s="4" t="n">
        <v>6.8811</v>
      </c>
      <c r="H565" s="4" t="n">
        <v>17118</v>
      </c>
      <c r="I565" s="4" t="inlineStr">
        <is>
          <t>C4</t>
        </is>
      </c>
      <c r="J565" s="6">
        <f>IF(ISNUMBER(G565),G565-F565,"")</f>
        <v/>
      </c>
    </row>
    <row r="566">
      <c r="A566" s="4" t="n">
        <v>2025</v>
      </c>
      <c r="B566" s="4" t="inlineStr">
        <is>
          <t>tipo_hogar</t>
        </is>
      </c>
      <c r="C566" s="4" t="inlineStr">
        <is>
          <t>pareja sin hijos</t>
        </is>
      </c>
      <c r="D566" s="4" t="inlineStr">
        <is>
          <t>esfuerzo_alquiler_30</t>
        </is>
      </c>
      <c r="E566" s="4" t="n">
        <v>30.7874</v>
      </c>
      <c r="F566" s="4" t="n">
        <v>26.3007</v>
      </c>
      <c r="G566" s="4" t="n">
        <v>35.274</v>
      </c>
      <c r="H566" s="4" t="n">
        <v>1634</v>
      </c>
      <c r="I566" s="4" t="inlineStr">
        <is>
          <t>C4</t>
        </is>
      </c>
      <c r="J566" s="6">
        <f>IF(ISNUMBER(G566),G566-F566,"")</f>
        <v/>
      </c>
    </row>
    <row r="567">
      <c r="A567" s="4" t="n">
        <v>2025</v>
      </c>
      <c r="B567" s="4" t="inlineStr">
        <is>
          <t>tipo_hogar</t>
        </is>
      </c>
      <c r="C567" s="4" t="inlineStr">
        <is>
          <t>pareja sin hijos</t>
        </is>
      </c>
      <c r="D567" s="4" t="inlineStr">
        <is>
          <t>esfuerzo_alquiler_40</t>
        </is>
      </c>
      <c r="E567" s="4" t="n">
        <v>16.3603</v>
      </c>
      <c r="F567" s="4" t="n">
        <v>12.6973</v>
      </c>
      <c r="G567" s="4" t="n">
        <v>20.0233</v>
      </c>
      <c r="H567" s="4" t="n">
        <v>1634</v>
      </c>
      <c r="I567" s="4" t="inlineStr">
        <is>
          <t>C4</t>
        </is>
      </c>
      <c r="J567" s="6">
        <f>IF(ISNUMBER(G567),G567-F567,"")</f>
        <v/>
      </c>
    </row>
    <row r="568">
      <c r="A568" s="4" t="n">
        <v>2025</v>
      </c>
      <c r="B568" s="4" t="inlineStr">
        <is>
          <t>tipo_hogar</t>
        </is>
      </c>
      <c r="C568" s="4" t="inlineStr">
        <is>
          <t>pareja sin hijos</t>
        </is>
      </c>
      <c r="D568" s="4" t="inlineStr">
        <is>
          <t>esfuerzo_hipoteca_30</t>
        </is>
      </c>
      <c r="E568" s="4" t="n">
        <v>11.7725</v>
      </c>
      <c r="F568" s="4" t="n">
        <v>9.4313</v>
      </c>
      <c r="G568" s="4" t="n">
        <v>14.1137</v>
      </c>
      <c r="H568" s="4" t="n">
        <v>2798</v>
      </c>
      <c r="I568" s="4" t="inlineStr">
        <is>
          <t>C4</t>
        </is>
      </c>
      <c r="J568" s="6">
        <f>IF(ISNUMBER(G568),G568-F568,"")</f>
        <v/>
      </c>
    </row>
    <row r="569">
      <c r="A569" s="4" t="n">
        <v>2025</v>
      </c>
      <c r="B569" s="4" t="inlineStr">
        <is>
          <t>tipo_hogar</t>
        </is>
      </c>
      <c r="C569" s="4" t="inlineStr">
        <is>
          <t>pareja sin hijos</t>
        </is>
      </c>
      <c r="D569" s="4" t="inlineStr">
        <is>
          <t>hacinamiento</t>
        </is>
      </c>
      <c r="E569" s="4" t="n">
        <v>1.8011</v>
      </c>
      <c r="F569" s="4" t="n">
        <v>1.35</v>
      </c>
      <c r="G569" s="4" t="n">
        <v>2.2523</v>
      </c>
      <c r="H569" s="4" t="n">
        <v>17100</v>
      </c>
      <c r="I569" s="4" t="inlineStr">
        <is>
          <t>C4</t>
        </is>
      </c>
      <c r="J569" s="6">
        <f>IF(ISNUMBER(G569),G569-F569,"")</f>
        <v/>
      </c>
    </row>
    <row r="570">
      <c r="A570" s="4" t="n">
        <v>2025</v>
      </c>
      <c r="B570" s="4" t="inlineStr">
        <is>
          <t>tipo_hogar</t>
        </is>
      </c>
      <c r="C570" s="4" t="inlineStr">
        <is>
          <t>pareja sin hijos</t>
        </is>
      </c>
      <c r="D570" s="4" t="inlineStr">
        <is>
          <t>tenencia_1</t>
        </is>
      </c>
      <c r="E570" s="4" t="n">
        <v>60.5538</v>
      </c>
      <c r="F570" s="4" t="n">
        <v>59.1811</v>
      </c>
      <c r="G570" s="4" t="n">
        <v>61.9264</v>
      </c>
      <c r="H570" s="4" t="n">
        <v>17162</v>
      </c>
      <c r="I570" s="4" t="inlineStr">
        <is>
          <t>C4</t>
        </is>
      </c>
      <c r="J570" s="6">
        <f>IF(ISNUMBER(G570),G570-F570,"")</f>
        <v/>
      </c>
    </row>
    <row r="571">
      <c r="A571" s="4" t="n">
        <v>2025</v>
      </c>
      <c r="B571" s="4" t="inlineStr">
        <is>
          <t>tipo_hogar</t>
        </is>
      </c>
      <c r="C571" s="4" t="inlineStr">
        <is>
          <t>pareja sin hijos</t>
        </is>
      </c>
      <c r="D571" s="4" t="inlineStr">
        <is>
          <t>tenencia_2</t>
        </is>
      </c>
      <c r="E571" s="4" t="n">
        <v>18.222</v>
      </c>
      <c r="F571" s="4" t="n">
        <v>17.1514</v>
      </c>
      <c r="G571" s="4" t="n">
        <v>19.2925</v>
      </c>
      <c r="H571" s="4" t="n">
        <v>17162</v>
      </c>
      <c r="I571" s="4" t="inlineStr">
        <is>
          <t>C4</t>
        </is>
      </c>
      <c r="J571" s="6">
        <f>IF(ISNUMBER(G571),G571-F571,"")</f>
        <v/>
      </c>
    </row>
    <row r="572">
      <c r="A572" s="4" t="n">
        <v>2025</v>
      </c>
      <c r="B572" s="4" t="inlineStr">
        <is>
          <t>tipo_hogar</t>
        </is>
      </c>
      <c r="C572" s="4" t="inlineStr">
        <is>
          <t>pareja sin hijos</t>
        </is>
      </c>
      <c r="D572" s="4" t="inlineStr">
        <is>
          <t>tenencia_3</t>
        </is>
      </c>
      <c r="E572" s="4" t="n">
        <v>13.3336</v>
      </c>
      <c r="F572" s="4" t="n">
        <v>12.2041</v>
      </c>
      <c r="G572" s="4" t="n">
        <v>14.4632</v>
      </c>
      <c r="H572" s="4" t="n">
        <v>17162</v>
      </c>
      <c r="I572" s="4" t="inlineStr">
        <is>
          <t>C4</t>
        </is>
      </c>
      <c r="J572" s="6">
        <f>IF(ISNUMBER(G572),G572-F572,"")</f>
        <v/>
      </c>
    </row>
    <row r="573">
      <c r="A573" s="4" t="n">
        <v>2025</v>
      </c>
      <c r="B573" s="4" t="inlineStr">
        <is>
          <t>tipo_hogar</t>
        </is>
      </c>
      <c r="C573" s="4" t="inlineStr">
        <is>
          <t>pareja sin hijos</t>
        </is>
      </c>
      <c r="D573" s="4" t="inlineStr">
        <is>
          <t>tenencia_4</t>
        </is>
      </c>
      <c r="E573" s="4" t="n">
        <v>3.0456</v>
      </c>
      <c r="F573" s="4" t="n">
        <v>2.5456</v>
      </c>
      <c r="G573" s="4" t="n">
        <v>3.5455</v>
      </c>
      <c r="H573" s="4" t="n">
        <v>17162</v>
      </c>
      <c r="I573" s="4" t="inlineStr">
        <is>
          <t>C4</t>
        </is>
      </c>
      <c r="J573" s="6">
        <f>IF(ISNUMBER(G573),G573-F573,"")</f>
        <v/>
      </c>
    </row>
    <row r="574">
      <c r="A574" s="4" t="n">
        <v>2025</v>
      </c>
      <c r="B574" s="4" t="inlineStr">
        <is>
          <t>tipo_hogar</t>
        </is>
      </c>
      <c r="C574" s="4" t="inlineStr">
        <is>
          <t>pareja sin hijos</t>
        </is>
      </c>
      <c r="D574" s="4" t="inlineStr">
        <is>
          <t>tenencia_5</t>
        </is>
      </c>
      <c r="E574" s="4" t="n">
        <v>4.8451</v>
      </c>
      <c r="F574" s="4" t="n">
        <v>4.2365</v>
      </c>
      <c r="G574" s="4" t="n">
        <v>5.4536</v>
      </c>
      <c r="H574" s="4" t="n">
        <v>17162</v>
      </c>
      <c r="I574" s="4" t="inlineStr">
        <is>
          <t>C4</t>
        </is>
      </c>
      <c r="J574" s="6">
        <f>IF(ISNUMBER(G574),G574-F574,"")</f>
        <v/>
      </c>
    </row>
    <row r="575">
      <c r="A575" s="4" t="n">
        <v>2025</v>
      </c>
      <c r="B575" s="4" t="inlineStr">
        <is>
          <t>tipo_hogar</t>
        </is>
      </c>
      <c r="C575" s="4" t="inlineStr">
        <is>
          <t>pareja sin hijos</t>
        </is>
      </c>
      <c r="D575" s="4" t="inlineStr">
        <is>
          <t>esfuerzo_alquiler_mediana</t>
        </is>
      </c>
      <c r="E575" s="4" t="n">
        <v>23.1515</v>
      </c>
      <c r="F575" s="4" t="n">
        <v>21.672</v>
      </c>
      <c r="G575" s="4" t="n">
        <v>24.1468</v>
      </c>
      <c r="H575" s="4" t="n">
        <v>1634</v>
      </c>
      <c r="I575" s="4" t="inlineStr">
        <is>
          <t>C4</t>
        </is>
      </c>
      <c r="J575" s="6">
        <f>IF(ISNUMBER(G575),G575-F575,"")</f>
        <v/>
      </c>
    </row>
    <row r="576">
      <c r="A576" s="4" t="n">
        <v>2025</v>
      </c>
      <c r="B576" s="4" t="inlineStr">
        <is>
          <t>tipo_hogar</t>
        </is>
      </c>
      <c r="C576" s="4" t="inlineStr">
        <is>
          <t>pareja sin hijos</t>
        </is>
      </c>
      <c r="D576" s="4" t="inlineStr">
        <is>
          <t>esfuerzo_hipoteca_mediana</t>
        </is>
      </c>
      <c r="E576" s="4" t="n">
        <v>14.6579</v>
      </c>
      <c r="F576" s="4" t="n">
        <v>14.0206</v>
      </c>
      <c r="G576" s="4" t="n">
        <v>15.1853</v>
      </c>
      <c r="H576" s="4" t="n">
        <v>2798</v>
      </c>
      <c r="I576" s="4" t="inlineStr">
        <is>
          <t>C4</t>
        </is>
      </c>
      <c r="J576" s="6">
        <f>IF(ISNUMBER(G576),G576-F576,"")</f>
        <v/>
      </c>
    </row>
    <row r="577">
      <c r="A577" s="4" t="n">
        <v>2025</v>
      </c>
      <c r="B577" s="4" t="inlineStr">
        <is>
          <t>tipo_hogar</t>
        </is>
      </c>
      <c r="C577" s="4" t="inlineStr">
        <is>
          <t>unipersonal 65+</t>
        </is>
      </c>
      <c r="D577" s="4" t="inlineStr">
        <is>
          <t>sobrecarga_30</t>
        </is>
      </c>
      <c r="E577" s="4" t="n">
        <v>15.1269</v>
      </c>
      <c r="F577" s="4" t="n">
        <v>13.6289</v>
      </c>
      <c r="G577" s="4" t="n">
        <v>16.6249</v>
      </c>
      <c r="H577" s="4" t="n">
        <v>3266</v>
      </c>
      <c r="I577" s="4" t="inlineStr">
        <is>
          <t>C4</t>
        </is>
      </c>
      <c r="J577" s="6">
        <f>IF(ISNUMBER(G577),G577-F577,"")</f>
        <v/>
      </c>
    </row>
    <row r="578">
      <c r="A578" s="4" t="n">
        <v>2025</v>
      </c>
      <c r="B578" s="4" t="inlineStr">
        <is>
          <t>tipo_hogar</t>
        </is>
      </c>
      <c r="C578" s="4" t="inlineStr">
        <is>
          <t>unipersonal 65+</t>
        </is>
      </c>
      <c r="D578" s="4" t="inlineStr">
        <is>
          <t>sobrecarga_40</t>
        </is>
      </c>
      <c r="E578" s="4" t="n">
        <v>10.6358</v>
      </c>
      <c r="F578" s="4" t="n">
        <v>9.3024</v>
      </c>
      <c r="G578" s="4" t="n">
        <v>11.9691</v>
      </c>
      <c r="H578" s="4" t="n">
        <v>3266</v>
      </c>
      <c r="I578" s="4" t="inlineStr">
        <is>
          <t>C4</t>
        </is>
      </c>
      <c r="J578" s="6">
        <f>IF(ISNUMBER(G578),G578-F578,"")</f>
        <v/>
      </c>
    </row>
    <row r="579">
      <c r="A579" s="4" t="n">
        <v>2025</v>
      </c>
      <c r="B579" s="4" t="inlineStr">
        <is>
          <t>tipo_hogar</t>
        </is>
      </c>
      <c r="C579" s="4" t="inlineStr">
        <is>
          <t>unipersonal 65+</t>
        </is>
      </c>
      <c r="D579" s="4" t="inlineStr">
        <is>
          <t>esfuerzo_alquiler_30</t>
        </is>
      </c>
      <c r="E579" s="4" t="n">
        <v>65.10980000000001</v>
      </c>
      <c r="F579" s="4" t="n">
        <v>57.8166</v>
      </c>
      <c r="G579" s="4" t="n">
        <v>72.4029</v>
      </c>
      <c r="H579" s="4" t="n">
        <v>210</v>
      </c>
      <c r="I579" s="4" t="inlineStr">
        <is>
          <t>C4</t>
        </is>
      </c>
      <c r="J579" s="6">
        <f>IF(ISNUMBER(G579),G579-F579,"")</f>
        <v/>
      </c>
    </row>
    <row r="580">
      <c r="A580" s="4" t="n">
        <v>2025</v>
      </c>
      <c r="B580" s="4" t="inlineStr">
        <is>
          <t>tipo_hogar</t>
        </is>
      </c>
      <c r="C580" s="4" t="inlineStr">
        <is>
          <t>unipersonal 65+</t>
        </is>
      </c>
      <c r="D580" s="4" t="inlineStr">
        <is>
          <t>esfuerzo_alquiler_40</t>
        </is>
      </c>
      <c r="E580" s="4" t="n">
        <v>42.78</v>
      </c>
      <c r="F580" s="4" t="n">
        <v>34.6861</v>
      </c>
      <c r="G580" s="4" t="n">
        <v>50.874</v>
      </c>
      <c r="H580" s="4" t="n">
        <v>210</v>
      </c>
      <c r="I580" s="4" t="inlineStr">
        <is>
          <t>C4</t>
        </is>
      </c>
      <c r="J580" s="6">
        <f>IF(ISNUMBER(G580),G580-F580,"")</f>
        <v/>
      </c>
    </row>
    <row r="581">
      <c r="A581" s="4" t="n">
        <v>2025</v>
      </c>
      <c r="B581" s="4" t="inlineStr">
        <is>
          <t>tipo_hogar</t>
        </is>
      </c>
      <c r="C581" s="4" t="inlineStr">
        <is>
          <t>unipersonal 65+</t>
        </is>
      </c>
      <c r="D581" s="4" t="inlineStr">
        <is>
          <t>esfuerzo_hipoteca_30</t>
        </is>
      </c>
      <c r="E581" s="4" t="n">
        <v>35.6218</v>
      </c>
      <c r="F581" s="4" t="n">
        <v>25.8938</v>
      </c>
      <c r="G581" s="4" t="n">
        <v>45.3499</v>
      </c>
      <c r="H581" s="4" t="n">
        <v>133</v>
      </c>
      <c r="I581" s="4" t="inlineStr">
        <is>
          <t>C4</t>
        </is>
      </c>
      <c r="J581" s="6">
        <f>IF(ISNUMBER(G581),G581-F581,"")</f>
        <v/>
      </c>
    </row>
    <row r="582">
      <c r="A582" s="4" t="n">
        <v>2025</v>
      </c>
      <c r="B582" s="4" t="inlineStr">
        <is>
          <t>tipo_hogar</t>
        </is>
      </c>
      <c r="C582" s="4" t="inlineStr">
        <is>
          <t>unipersonal 65+</t>
        </is>
      </c>
      <c r="D582" s="4" t="inlineStr">
        <is>
          <t>hacinamiento</t>
        </is>
      </c>
      <c r="E582" s="4" t="n">
        <v>1.0381</v>
      </c>
      <c r="F582" s="4" t="n">
        <v>0.6262</v>
      </c>
      <c r="G582" s="4" t="n">
        <v>1.45</v>
      </c>
      <c r="H582" s="4" t="n">
        <v>3271</v>
      </c>
      <c r="I582" s="4" t="inlineStr">
        <is>
          <t>C4</t>
        </is>
      </c>
      <c r="J582" s="6">
        <f>IF(ISNUMBER(G582),G582-F582,"")</f>
        <v/>
      </c>
    </row>
    <row r="583">
      <c r="A583" s="4" t="n">
        <v>2025</v>
      </c>
      <c r="B583" s="4" t="inlineStr">
        <is>
          <t>tipo_hogar</t>
        </is>
      </c>
      <c r="C583" s="4" t="inlineStr">
        <is>
          <t>unipersonal 65+</t>
        </is>
      </c>
      <c r="D583" s="4" t="inlineStr">
        <is>
          <t>tenencia_1</t>
        </is>
      </c>
      <c r="E583" s="4" t="n">
        <v>79.6859</v>
      </c>
      <c r="F583" s="4" t="n">
        <v>78.0817</v>
      </c>
      <c r="G583" s="4" t="n">
        <v>81.29000000000001</v>
      </c>
      <c r="H583" s="4" t="n">
        <v>3286</v>
      </c>
      <c r="I583" s="4" t="inlineStr">
        <is>
          <t>C4</t>
        </is>
      </c>
      <c r="J583" s="6">
        <f>IF(ISNUMBER(G583),G583-F583,"")</f>
        <v/>
      </c>
    </row>
    <row r="584">
      <c r="A584" s="4" t="n">
        <v>2025</v>
      </c>
      <c r="B584" s="4" t="inlineStr">
        <is>
          <t>tipo_hogar</t>
        </is>
      </c>
      <c r="C584" s="4" t="inlineStr">
        <is>
          <t>unipersonal 65+</t>
        </is>
      </c>
      <c r="D584" s="4" t="inlineStr">
        <is>
          <t>tenencia_2</t>
        </is>
      </c>
      <c r="E584" s="4" t="n">
        <v>3.6974</v>
      </c>
      <c r="F584" s="4" t="n">
        <v>3.0197</v>
      </c>
      <c r="G584" s="4" t="n">
        <v>4.3751</v>
      </c>
      <c r="H584" s="4" t="n">
        <v>3286</v>
      </c>
      <c r="I584" s="4" t="inlineStr">
        <is>
          <t>C4</t>
        </is>
      </c>
      <c r="J584" s="6">
        <f>IF(ISNUMBER(G584),G584-F584,"")</f>
        <v/>
      </c>
    </row>
    <row r="585">
      <c r="A585" s="4" t="n">
        <v>2025</v>
      </c>
      <c r="B585" s="4" t="inlineStr">
        <is>
          <t>tipo_hogar</t>
        </is>
      </c>
      <c r="C585" s="4" t="inlineStr">
        <is>
          <t>unipersonal 65+</t>
        </is>
      </c>
      <c r="D585" s="4" t="inlineStr">
        <is>
          <t>tenencia_3</t>
        </is>
      </c>
      <c r="E585" s="4" t="n">
        <v>6.7774</v>
      </c>
      <c r="F585" s="4" t="n">
        <v>5.7448</v>
      </c>
      <c r="G585" s="4" t="n">
        <v>7.81</v>
      </c>
      <c r="H585" s="4" t="n">
        <v>3286</v>
      </c>
      <c r="I585" s="4" t="inlineStr">
        <is>
          <t>C4</t>
        </is>
      </c>
      <c r="J585" s="6">
        <f>IF(ISNUMBER(G585),G585-F585,"")</f>
        <v/>
      </c>
    </row>
    <row r="586">
      <c r="A586" s="4" t="n">
        <v>2025</v>
      </c>
      <c r="B586" s="4" t="inlineStr">
        <is>
          <t>tipo_hogar</t>
        </is>
      </c>
      <c r="C586" s="4" t="inlineStr">
        <is>
          <t>unipersonal 65+</t>
        </is>
      </c>
      <c r="D586" s="4" t="inlineStr">
        <is>
          <t>tenencia_4</t>
        </is>
      </c>
      <c r="E586" s="4" t="n">
        <v>2.8982</v>
      </c>
      <c r="F586" s="4" t="n">
        <v>2.2478</v>
      </c>
      <c r="G586" s="4" t="n">
        <v>3.5487</v>
      </c>
      <c r="H586" s="4" t="n">
        <v>3286</v>
      </c>
      <c r="I586" s="4" t="inlineStr">
        <is>
          <t>C4</t>
        </is>
      </c>
      <c r="J586" s="6">
        <f>IF(ISNUMBER(G586),G586-F586,"")</f>
        <v/>
      </c>
    </row>
    <row r="587">
      <c r="A587" s="4" t="n">
        <v>2025</v>
      </c>
      <c r="B587" s="4" t="inlineStr">
        <is>
          <t>tipo_hogar</t>
        </is>
      </c>
      <c r="C587" s="4" t="inlineStr">
        <is>
          <t>unipersonal 65+</t>
        </is>
      </c>
      <c r="D587" s="4" t="inlineStr">
        <is>
          <t>tenencia_5</t>
        </is>
      </c>
      <c r="E587" s="4" t="n">
        <v>6.9411</v>
      </c>
      <c r="F587" s="4" t="n">
        <v>5.897</v>
      </c>
      <c r="G587" s="4" t="n">
        <v>7.9852</v>
      </c>
      <c r="H587" s="4" t="n">
        <v>3286</v>
      </c>
      <c r="I587" s="4" t="inlineStr">
        <is>
          <t>C4</t>
        </is>
      </c>
      <c r="J587" s="6">
        <f>IF(ISNUMBER(G587),G587-F587,"")</f>
        <v/>
      </c>
    </row>
    <row r="588">
      <c r="A588" s="4" t="n">
        <v>2025</v>
      </c>
      <c r="B588" s="4" t="inlineStr">
        <is>
          <t>tipo_hogar</t>
        </is>
      </c>
      <c r="C588" s="4" t="inlineStr">
        <is>
          <t>unipersonal 65+</t>
        </is>
      </c>
      <c r="D588" s="4" t="inlineStr">
        <is>
          <t>esfuerzo_alquiler_mediana</t>
        </is>
      </c>
      <c r="E588" s="4" t="n">
        <v>36.7481</v>
      </c>
      <c r="F588" s="4" t="n">
        <v>32.8215</v>
      </c>
      <c r="G588" s="4" t="n">
        <v>41.1057</v>
      </c>
      <c r="H588" s="4" t="n">
        <v>210</v>
      </c>
      <c r="I588" s="4" t="inlineStr">
        <is>
          <t>C4</t>
        </is>
      </c>
      <c r="J588" s="6">
        <f>IF(ISNUMBER(G588),G588-F588,"")</f>
        <v/>
      </c>
    </row>
    <row r="589">
      <c r="A589" s="4" t="n">
        <v>2025</v>
      </c>
      <c r="B589" s="4" t="inlineStr">
        <is>
          <t>tipo_hogar</t>
        </is>
      </c>
      <c r="C589" s="4" t="inlineStr">
        <is>
          <t>unipersonal 65+</t>
        </is>
      </c>
      <c r="D589" s="4" t="inlineStr">
        <is>
          <t>esfuerzo_hipoteca_mediana</t>
        </is>
      </c>
      <c r="E589" s="4" t="n">
        <v>23.395</v>
      </c>
      <c r="F589" s="4" t="n">
        <v>19.9852</v>
      </c>
      <c r="G589" s="4" t="n">
        <v>26.5164</v>
      </c>
      <c r="H589" s="4" t="n">
        <v>133</v>
      </c>
      <c r="I589" s="4" t="inlineStr">
        <is>
          <t>C4</t>
        </is>
      </c>
      <c r="J589" s="6">
        <f>IF(ISNUMBER(G589),G589-F589,"")</f>
        <v/>
      </c>
    </row>
    <row r="590">
      <c r="A590" s="4" t="n">
        <v>2025</v>
      </c>
      <c r="B590" s="4" t="inlineStr">
        <is>
          <t>tipo_hogar</t>
        </is>
      </c>
      <c r="C590" s="4" t="inlineStr">
        <is>
          <t>unipersonal &lt;65</t>
        </is>
      </c>
      <c r="D590" s="4" t="inlineStr">
        <is>
          <t>sobrecarga_30</t>
        </is>
      </c>
      <c r="E590" s="4" t="n">
        <v>35.0721</v>
      </c>
      <c r="F590" s="4" t="n">
        <v>33.0997</v>
      </c>
      <c r="G590" s="4" t="n">
        <v>37.0445</v>
      </c>
      <c r="H590" s="4" t="n">
        <v>4410</v>
      </c>
      <c r="I590" s="4" t="inlineStr">
        <is>
          <t>C4</t>
        </is>
      </c>
      <c r="J590" s="6">
        <f>IF(ISNUMBER(G590),G590-F590,"")</f>
        <v/>
      </c>
    </row>
    <row r="591">
      <c r="A591" s="4" t="n">
        <v>2025</v>
      </c>
      <c r="B591" s="4" t="inlineStr">
        <is>
          <t>tipo_hogar</t>
        </is>
      </c>
      <c r="C591" s="4" t="inlineStr">
        <is>
          <t>unipersonal &lt;65</t>
        </is>
      </c>
      <c r="D591" s="4" t="inlineStr">
        <is>
          <t>sobrecarga_40</t>
        </is>
      </c>
      <c r="E591" s="4" t="n">
        <v>24.447</v>
      </c>
      <c r="F591" s="4" t="n">
        <v>22.606</v>
      </c>
      <c r="G591" s="4" t="n">
        <v>26.2881</v>
      </c>
      <c r="H591" s="4" t="n">
        <v>4410</v>
      </c>
      <c r="I591" s="4" t="inlineStr">
        <is>
          <t>C4</t>
        </is>
      </c>
      <c r="J591" s="6">
        <f>IF(ISNUMBER(G591),G591-F591,"")</f>
        <v/>
      </c>
    </row>
    <row r="592">
      <c r="A592" s="4" t="n">
        <v>2025</v>
      </c>
      <c r="B592" s="4" t="inlineStr">
        <is>
          <t>tipo_hogar</t>
        </is>
      </c>
      <c r="C592" s="4" t="inlineStr">
        <is>
          <t>unipersonal &lt;65</t>
        </is>
      </c>
      <c r="D592" s="4" t="inlineStr">
        <is>
          <t>esfuerzo_alquiler_30</t>
        </is>
      </c>
      <c r="E592" s="4" t="n">
        <v>62.1116</v>
      </c>
      <c r="F592" s="4" t="n">
        <v>58.0154</v>
      </c>
      <c r="G592" s="4" t="n">
        <v>66.20780000000001</v>
      </c>
      <c r="H592" s="4" t="n">
        <v>957</v>
      </c>
      <c r="I592" s="4" t="inlineStr">
        <is>
          <t>C4</t>
        </is>
      </c>
      <c r="J592" s="6">
        <f>IF(ISNUMBER(G592),G592-F592,"")</f>
        <v/>
      </c>
    </row>
    <row r="593">
      <c r="A593" s="4" t="n">
        <v>2025</v>
      </c>
      <c r="B593" s="4" t="inlineStr">
        <is>
          <t>tipo_hogar</t>
        </is>
      </c>
      <c r="C593" s="4" t="inlineStr">
        <is>
          <t>unipersonal &lt;65</t>
        </is>
      </c>
      <c r="D593" s="4" t="inlineStr">
        <is>
          <t>esfuerzo_alquiler_40</t>
        </is>
      </c>
      <c r="E593" s="4" t="n">
        <v>36.4054</v>
      </c>
      <c r="F593" s="4" t="n">
        <v>32.1019</v>
      </c>
      <c r="G593" s="4" t="n">
        <v>40.7088</v>
      </c>
      <c r="H593" s="4" t="n">
        <v>957</v>
      </c>
      <c r="I593" s="4" t="inlineStr">
        <is>
          <t>C4</t>
        </is>
      </c>
      <c r="J593" s="6">
        <f>IF(ISNUMBER(G593),G593-F593,"")</f>
        <v/>
      </c>
    </row>
    <row r="594">
      <c r="A594" s="4" t="n">
        <v>2025</v>
      </c>
      <c r="B594" s="4" t="inlineStr">
        <is>
          <t>tipo_hogar</t>
        </is>
      </c>
      <c r="C594" s="4" t="inlineStr">
        <is>
          <t>unipersonal &lt;65</t>
        </is>
      </c>
      <c r="D594" s="4" t="inlineStr">
        <is>
          <t>esfuerzo_hipoteca_30</t>
        </is>
      </c>
      <c r="E594" s="4" t="n">
        <v>25.8919</v>
      </c>
      <c r="F594" s="4" t="n">
        <v>22.6684</v>
      </c>
      <c r="G594" s="4" t="n">
        <v>29.1153</v>
      </c>
      <c r="H594" s="4" t="n">
        <v>1062</v>
      </c>
      <c r="I594" s="4" t="inlineStr">
        <is>
          <t>C4</t>
        </is>
      </c>
      <c r="J594" s="6">
        <f>IF(ISNUMBER(G594),G594-F594,"")</f>
        <v/>
      </c>
    </row>
    <row r="595">
      <c r="A595" s="4" t="n">
        <v>2025</v>
      </c>
      <c r="B595" s="4" t="inlineStr">
        <is>
          <t>tipo_hogar</t>
        </is>
      </c>
      <c r="C595" s="4" t="inlineStr">
        <is>
          <t>unipersonal &lt;65</t>
        </is>
      </c>
      <c r="D595" s="4" t="inlineStr">
        <is>
          <t>hacinamiento</t>
        </is>
      </c>
      <c r="E595" s="4" t="n">
        <v>3.8829</v>
      </c>
      <c r="F595" s="4" t="n">
        <v>3.027</v>
      </c>
      <c r="G595" s="4" t="n">
        <v>4.7389</v>
      </c>
      <c r="H595" s="4" t="n">
        <v>4413</v>
      </c>
      <c r="I595" s="4" t="inlineStr">
        <is>
          <t>C4</t>
        </is>
      </c>
      <c r="J595" s="6">
        <f>IF(ISNUMBER(G595),G595-F595,"")</f>
        <v/>
      </c>
    </row>
    <row r="596">
      <c r="A596" s="4" t="n">
        <v>2025</v>
      </c>
      <c r="B596" s="4" t="inlineStr">
        <is>
          <t>tipo_hogar</t>
        </is>
      </c>
      <c r="C596" s="4" t="inlineStr">
        <is>
          <t>unipersonal &lt;65</t>
        </is>
      </c>
      <c r="D596" s="4" t="inlineStr">
        <is>
          <t>tenencia_1</t>
        </is>
      </c>
      <c r="E596" s="4" t="n">
        <v>29.5813</v>
      </c>
      <c r="F596" s="4" t="n">
        <v>27.9611</v>
      </c>
      <c r="G596" s="4" t="n">
        <v>31.2015</v>
      </c>
      <c r="H596" s="4" t="n">
        <v>4430</v>
      </c>
      <c r="I596" s="4" t="inlineStr">
        <is>
          <t>C4</t>
        </is>
      </c>
      <c r="J596" s="6">
        <f>IF(ISNUMBER(G596),G596-F596,"")</f>
        <v/>
      </c>
    </row>
    <row r="597">
      <c r="A597" s="4" t="n">
        <v>2025</v>
      </c>
      <c r="B597" s="4" t="inlineStr">
        <is>
          <t>tipo_hogar</t>
        </is>
      </c>
      <c r="C597" s="4" t="inlineStr">
        <is>
          <t>unipersonal &lt;65</t>
        </is>
      </c>
      <c r="D597" s="4" t="inlineStr">
        <is>
          <t>tenencia_2</t>
        </is>
      </c>
      <c r="E597" s="4" t="n">
        <v>24.9603</v>
      </c>
      <c r="F597" s="4" t="n">
        <v>23.371</v>
      </c>
      <c r="G597" s="4" t="n">
        <v>26.5497</v>
      </c>
      <c r="H597" s="4" t="n">
        <v>4430</v>
      </c>
      <c r="I597" s="4" t="inlineStr">
        <is>
          <t>C4</t>
        </is>
      </c>
      <c r="J597" s="6">
        <f>IF(ISNUMBER(G597),G597-F597,"")</f>
        <v/>
      </c>
    </row>
    <row r="598">
      <c r="A598" s="4" t="n">
        <v>2025</v>
      </c>
      <c r="B598" s="4" t="inlineStr">
        <is>
          <t>tipo_hogar</t>
        </is>
      </c>
      <c r="C598" s="4" t="inlineStr">
        <is>
          <t>unipersonal &lt;65</t>
        </is>
      </c>
      <c r="D598" s="4" t="inlineStr">
        <is>
          <t>tenencia_3</t>
        </is>
      </c>
      <c r="E598" s="4" t="n">
        <v>28.363</v>
      </c>
      <c r="F598" s="4" t="n">
        <v>26.3971</v>
      </c>
      <c r="G598" s="4" t="n">
        <v>30.329</v>
      </c>
      <c r="H598" s="4" t="n">
        <v>4430</v>
      </c>
      <c r="I598" s="4" t="inlineStr">
        <is>
          <t>C4</t>
        </is>
      </c>
      <c r="J598" s="6">
        <f>IF(ISNUMBER(G598),G598-F598,"")</f>
        <v/>
      </c>
    </row>
    <row r="599">
      <c r="A599" s="4" t="n">
        <v>2025</v>
      </c>
      <c r="B599" s="4" t="inlineStr">
        <is>
          <t>tipo_hogar</t>
        </is>
      </c>
      <c r="C599" s="4" t="inlineStr">
        <is>
          <t>unipersonal &lt;65</t>
        </is>
      </c>
      <c r="D599" s="4" t="inlineStr">
        <is>
          <t>tenencia_4</t>
        </is>
      </c>
      <c r="E599" s="4" t="n">
        <v>4.9138</v>
      </c>
      <c r="F599" s="4" t="n">
        <v>3.9846</v>
      </c>
      <c r="G599" s="4" t="n">
        <v>5.843</v>
      </c>
      <c r="H599" s="4" t="n">
        <v>4430</v>
      </c>
      <c r="I599" s="4" t="inlineStr">
        <is>
          <t>C4</t>
        </is>
      </c>
      <c r="J599" s="6">
        <f>IF(ISNUMBER(G599),G599-F599,"")</f>
        <v/>
      </c>
    </row>
    <row r="600">
      <c r="A600" s="4" t="n">
        <v>2025</v>
      </c>
      <c r="B600" s="4" t="inlineStr">
        <is>
          <t>tipo_hogar</t>
        </is>
      </c>
      <c r="C600" s="4" t="inlineStr">
        <is>
          <t>unipersonal &lt;65</t>
        </is>
      </c>
      <c r="D600" s="4" t="inlineStr">
        <is>
          <t>tenencia_5</t>
        </is>
      </c>
      <c r="E600" s="4" t="n">
        <v>12.1816</v>
      </c>
      <c r="F600" s="4" t="n">
        <v>10.8276</v>
      </c>
      <c r="G600" s="4" t="n">
        <v>13.5355</v>
      </c>
      <c r="H600" s="4" t="n">
        <v>4430</v>
      </c>
      <c r="I600" s="4" t="inlineStr">
        <is>
          <t>C4</t>
        </is>
      </c>
      <c r="J600" s="6">
        <f>IF(ISNUMBER(G600),G600-F600,"")</f>
        <v/>
      </c>
    </row>
    <row r="601">
      <c r="A601" s="4" t="n">
        <v>2025</v>
      </c>
      <c r="B601" s="4" t="inlineStr">
        <is>
          <t>tipo_hogar</t>
        </is>
      </c>
      <c r="C601" s="4" t="inlineStr">
        <is>
          <t>unipersonal &lt;65</t>
        </is>
      </c>
      <c r="D601" s="4" t="inlineStr">
        <is>
          <t>esfuerzo_alquiler_mediana</t>
        </is>
      </c>
      <c r="E601" s="4" t="n">
        <v>34.5272</v>
      </c>
      <c r="F601" s="4" t="n">
        <v>32.503</v>
      </c>
      <c r="G601" s="4" t="n">
        <v>35.9377</v>
      </c>
      <c r="H601" s="4" t="n">
        <v>957</v>
      </c>
      <c r="I601" s="4" t="inlineStr">
        <is>
          <t>C4</t>
        </is>
      </c>
      <c r="J601" s="6">
        <f>IF(ISNUMBER(G601),G601-F601,"")</f>
        <v/>
      </c>
    </row>
    <row r="602">
      <c r="A602" s="4" t="n">
        <v>2025</v>
      </c>
      <c r="B602" s="4" t="inlineStr">
        <is>
          <t>tipo_hogar</t>
        </is>
      </c>
      <c r="C602" s="4" t="inlineStr">
        <is>
          <t>unipersonal &lt;65</t>
        </is>
      </c>
      <c r="D602" s="4" t="inlineStr">
        <is>
          <t>esfuerzo_hipoteca_mediana</t>
        </is>
      </c>
      <c r="E602" s="4" t="n">
        <v>21.3192</v>
      </c>
      <c r="F602" s="4" t="n">
        <v>20.6764</v>
      </c>
      <c r="G602" s="4" t="n">
        <v>22.4455</v>
      </c>
      <c r="H602" s="4" t="n">
        <v>1062</v>
      </c>
      <c r="I602" s="4" t="inlineStr">
        <is>
          <t>C4</t>
        </is>
      </c>
      <c r="J602" s="6">
        <f>IF(ISNUMBER(G602),G602-F602,"")</f>
        <v/>
      </c>
    </row>
    <row r="603">
      <c r="A603" s="4" t="n">
        <v>2025</v>
      </c>
      <c r="B603" s="4" t="inlineStr">
        <is>
          <t>tenencia</t>
        </is>
      </c>
      <c r="C603" s="4" t="inlineStr">
        <is>
          <t>alquiler de mercado</t>
        </is>
      </c>
      <c r="D603" s="4" t="inlineStr">
        <is>
          <t>sobrecarga_30</t>
        </is>
      </c>
      <c r="E603" s="4" t="n">
        <v>44.0162</v>
      </c>
      <c r="F603" s="4" t="n">
        <v>41.0951</v>
      </c>
      <c r="G603" s="4" t="n">
        <v>46.9374</v>
      </c>
      <c r="H603" s="4" t="n">
        <v>8891</v>
      </c>
      <c r="I603" s="4" t="inlineStr">
        <is>
          <t>C4</t>
        </is>
      </c>
      <c r="J603" s="6">
        <f>IF(ISNUMBER(G603),G603-F603,"")</f>
        <v/>
      </c>
    </row>
    <row r="604">
      <c r="A604" s="4" t="n">
        <v>2025</v>
      </c>
      <c r="B604" s="4" t="inlineStr">
        <is>
          <t>tenencia</t>
        </is>
      </c>
      <c r="C604" s="4" t="inlineStr">
        <is>
          <t>alquiler de mercado</t>
        </is>
      </c>
      <c r="D604" s="4" t="inlineStr">
        <is>
          <t>sobrecarga_40</t>
        </is>
      </c>
      <c r="E604" s="4" t="n">
        <v>26.7965</v>
      </c>
      <c r="F604" s="4" t="n">
        <v>24.4022</v>
      </c>
      <c r="G604" s="4" t="n">
        <v>29.1907</v>
      </c>
      <c r="H604" s="4" t="n">
        <v>8891</v>
      </c>
      <c r="I604" s="4" t="inlineStr">
        <is>
          <t>C1</t>
        </is>
      </c>
      <c r="J604" s="6">
        <f>IF(ISNUMBER(G604),G604-F604,"")</f>
        <v/>
      </c>
    </row>
    <row r="605">
      <c r="A605" s="4" t="n">
        <v>2025</v>
      </c>
      <c r="B605" s="4" t="inlineStr">
        <is>
          <t>tenencia</t>
        </is>
      </c>
      <c r="C605" s="4" t="inlineStr">
        <is>
          <t>alquiler de mercado</t>
        </is>
      </c>
      <c r="D605" s="4" t="inlineStr">
        <is>
          <t>esfuerzo_alquiler_30</t>
        </is>
      </c>
      <c r="E605" s="4" t="n">
        <v>28.584</v>
      </c>
      <c r="F605" s="4" t="n">
        <v>26.1628</v>
      </c>
      <c r="G605" s="4" t="n">
        <v>31.0051</v>
      </c>
      <c r="H605" s="4" t="n">
        <v>8856</v>
      </c>
      <c r="I605" s="4" t="inlineStr">
        <is>
          <t>C4</t>
        </is>
      </c>
      <c r="J605" s="6">
        <f>IF(ISNUMBER(G605),G605-F605,"")</f>
        <v/>
      </c>
    </row>
    <row r="606">
      <c r="A606" s="4" t="n">
        <v>2025</v>
      </c>
      <c r="B606" s="4" t="inlineStr">
        <is>
          <t>tenencia</t>
        </is>
      </c>
      <c r="C606" s="4" t="inlineStr">
        <is>
          <t>alquiler de mercado</t>
        </is>
      </c>
      <c r="D606" s="4" t="inlineStr">
        <is>
          <t>esfuerzo_alquiler_40</t>
        </is>
      </c>
      <c r="E606" s="4" t="n">
        <v>17.2252</v>
      </c>
      <c r="F606" s="4" t="n">
        <v>15.2426</v>
      </c>
      <c r="G606" s="4" t="n">
        <v>19.2079</v>
      </c>
      <c r="H606" s="4" t="n">
        <v>8856</v>
      </c>
      <c r="I606" s="4" t="inlineStr">
        <is>
          <t>C4</t>
        </is>
      </c>
      <c r="J606" s="6">
        <f>IF(ISNUMBER(G606),G606-F606,"")</f>
        <v/>
      </c>
    </row>
    <row r="607">
      <c r="A607" s="4" t="n">
        <v>2025</v>
      </c>
      <c r="B607" s="4" t="inlineStr">
        <is>
          <t>tenencia</t>
        </is>
      </c>
      <c r="C607" s="4" t="inlineStr">
        <is>
          <t>alquiler de mercado</t>
        </is>
      </c>
      <c r="D607" s="4" t="inlineStr">
        <is>
          <t>hacinamiento</t>
        </is>
      </c>
      <c r="E607" s="4" t="n">
        <v>18.5416</v>
      </c>
      <c r="F607" s="4" t="n">
        <v>15.5787</v>
      </c>
      <c r="G607" s="4" t="n">
        <v>21.5046</v>
      </c>
      <c r="H607" s="4" t="n">
        <v>9016</v>
      </c>
      <c r="I607" s="4" t="inlineStr">
        <is>
          <t>C4</t>
        </is>
      </c>
      <c r="J607" s="6">
        <f>IF(ISNUMBER(G607),G607-F607,"")</f>
        <v/>
      </c>
    </row>
    <row r="608">
      <c r="A608" s="4" t="n">
        <v>2025</v>
      </c>
      <c r="B608" s="4" t="inlineStr">
        <is>
          <t>tenencia</t>
        </is>
      </c>
      <c r="C608" s="4" t="inlineStr">
        <is>
          <t>alquiler de mercado</t>
        </is>
      </c>
      <c r="D608" s="4" t="inlineStr">
        <is>
          <t>esfuerzo_alquiler_mediana</t>
        </is>
      </c>
      <c r="E608" s="4" t="n">
        <v>22.0562</v>
      </c>
      <c r="F608" s="4" t="n">
        <v>21.1879</v>
      </c>
      <c r="G608" s="4" t="n">
        <v>23.0747</v>
      </c>
      <c r="H608" s="4" t="n">
        <v>8856</v>
      </c>
      <c r="I608" s="4" t="inlineStr">
        <is>
          <t>C4</t>
        </is>
      </c>
      <c r="J608" s="6">
        <f>IF(ISNUMBER(G608),G608-F608,"")</f>
        <v/>
      </c>
    </row>
    <row r="609">
      <c r="A609" s="4" t="n">
        <v>2025</v>
      </c>
      <c r="B609" s="4" t="inlineStr">
        <is>
          <t>tenencia</t>
        </is>
      </c>
      <c r="C609" s="4" t="inlineStr">
        <is>
          <t>alquiler inferior al de mercado</t>
        </is>
      </c>
      <c r="D609" s="4" t="inlineStr">
        <is>
          <t>sobrecarga_30</t>
        </is>
      </c>
      <c r="E609" s="4" t="n">
        <v>32.2334</v>
      </c>
      <c r="F609" s="4" t="n">
        <v>26.9205</v>
      </c>
      <c r="G609" s="4" t="n">
        <v>37.5464</v>
      </c>
      <c r="H609" s="4" t="n">
        <v>2112</v>
      </c>
      <c r="I609" s="4" t="inlineStr">
        <is>
          <t>C4</t>
        </is>
      </c>
      <c r="J609" s="6">
        <f>IF(ISNUMBER(G609),G609-F609,"")</f>
        <v/>
      </c>
    </row>
    <row r="610">
      <c r="A610" s="4" t="n">
        <v>2025</v>
      </c>
      <c r="B610" s="4" t="inlineStr">
        <is>
          <t>tenencia</t>
        </is>
      </c>
      <c r="C610" s="4" t="inlineStr">
        <is>
          <t>alquiler inferior al de mercado</t>
        </is>
      </c>
      <c r="D610" s="4" t="inlineStr">
        <is>
          <t>sobrecarga_40</t>
        </is>
      </c>
      <c r="E610" s="4" t="n">
        <v>16.8241</v>
      </c>
      <c r="F610" s="4" t="n">
        <v>12.9406</v>
      </c>
      <c r="G610" s="4" t="n">
        <v>20.7077</v>
      </c>
      <c r="H610" s="4" t="n">
        <v>2112</v>
      </c>
      <c r="I610" s="4" t="inlineStr">
        <is>
          <t>C4</t>
        </is>
      </c>
      <c r="J610" s="6">
        <f>IF(ISNUMBER(G610),G610-F610,"")</f>
        <v/>
      </c>
    </row>
    <row r="611">
      <c r="A611" s="4" t="n">
        <v>2025</v>
      </c>
      <c r="B611" s="4" t="inlineStr">
        <is>
          <t>tenencia</t>
        </is>
      </c>
      <c r="C611" s="4" t="inlineStr">
        <is>
          <t>alquiler inferior al de mercado</t>
        </is>
      </c>
      <c r="D611" s="4" t="inlineStr">
        <is>
          <t>hacinamiento</t>
        </is>
      </c>
      <c r="E611" s="4" t="n">
        <v>17.3228</v>
      </c>
      <c r="F611" s="4" t="n">
        <v>12.4745</v>
      </c>
      <c r="G611" s="4" t="n">
        <v>22.1712</v>
      </c>
      <c r="H611" s="4" t="n">
        <v>2181</v>
      </c>
      <c r="I611" s="4" t="inlineStr">
        <is>
          <t>C4</t>
        </is>
      </c>
      <c r="J611" s="6">
        <f>IF(ISNUMBER(G611),G611-F611,"")</f>
        <v/>
      </c>
    </row>
    <row r="612">
      <c r="A612" s="4" t="n">
        <v>2025</v>
      </c>
      <c r="B612" s="4" t="inlineStr">
        <is>
          <t>tenencia</t>
        </is>
      </c>
      <c r="C612" s="4" t="inlineStr">
        <is>
          <t>cesión gratuita</t>
        </is>
      </c>
      <c r="D612" s="4" t="inlineStr">
        <is>
          <t>sobrecarga_30</t>
        </is>
      </c>
      <c r="E612" s="4" t="n">
        <v>6.2135</v>
      </c>
      <c r="F612" s="4" t="n">
        <v>4.2593</v>
      </c>
      <c r="G612" s="4" t="n">
        <v>8.1678</v>
      </c>
      <c r="H612" s="4" t="n">
        <v>4017</v>
      </c>
      <c r="I612" s="4" t="inlineStr">
        <is>
          <t>C4</t>
        </is>
      </c>
      <c r="J612" s="6">
        <f>IF(ISNUMBER(G612),G612-F612,"")</f>
        <v/>
      </c>
    </row>
    <row r="613">
      <c r="A613" s="4" t="n">
        <v>2025</v>
      </c>
      <c r="B613" s="4" t="inlineStr">
        <is>
          <t>tenencia</t>
        </is>
      </c>
      <c r="C613" s="4" t="inlineStr">
        <is>
          <t>cesión gratuita</t>
        </is>
      </c>
      <c r="D613" s="4" t="inlineStr">
        <is>
          <t>sobrecarga_40</t>
        </is>
      </c>
      <c r="E613" s="4" t="n">
        <v>3.413</v>
      </c>
      <c r="F613" s="4" t="n">
        <v>2.4011</v>
      </c>
      <c r="G613" s="4" t="n">
        <v>4.425</v>
      </c>
      <c r="H613" s="4" t="n">
        <v>4017</v>
      </c>
      <c r="I613" s="4" t="inlineStr">
        <is>
          <t>C4</t>
        </is>
      </c>
      <c r="J613" s="6">
        <f>IF(ISNUMBER(G613),G613-F613,"")</f>
        <v/>
      </c>
    </row>
    <row r="614">
      <c r="A614" s="4" t="n">
        <v>2025</v>
      </c>
      <c r="B614" s="4" t="inlineStr">
        <is>
          <t>tenencia</t>
        </is>
      </c>
      <c r="C614" s="4" t="inlineStr">
        <is>
          <t>cesión gratuita</t>
        </is>
      </c>
      <c r="D614" s="4" t="inlineStr">
        <is>
          <t>hacinamiento</t>
        </is>
      </c>
      <c r="E614" s="4" t="n">
        <v>8.7841</v>
      </c>
      <c r="F614" s="4" t="n">
        <v>6.2866</v>
      </c>
      <c r="G614" s="4" t="n">
        <v>11.2817</v>
      </c>
      <c r="H614" s="4" t="n">
        <v>4011</v>
      </c>
      <c r="I614" s="4" t="inlineStr">
        <is>
          <t>C4</t>
        </is>
      </c>
      <c r="J614" s="6">
        <f>IF(ISNUMBER(G614),G614-F614,"")</f>
        <v/>
      </c>
    </row>
    <row r="615">
      <c r="A615" s="4" t="n">
        <v>2025</v>
      </c>
      <c r="B615" s="4" t="inlineStr">
        <is>
          <t>tenencia</t>
        </is>
      </c>
      <c r="C615" s="4" t="inlineStr">
        <is>
          <t>propiedad con hipoteca</t>
        </is>
      </c>
      <c r="D615" s="4" t="inlineStr">
        <is>
          <t>sobrecarga_30</t>
        </is>
      </c>
      <c r="E615" s="4" t="n">
        <v>6.1467</v>
      </c>
      <c r="F615" s="4" t="n">
        <v>5.2541</v>
      </c>
      <c r="G615" s="4" t="n">
        <v>7.0393</v>
      </c>
      <c r="H615" s="4" t="n">
        <v>21731</v>
      </c>
      <c r="I615" s="4" t="inlineStr">
        <is>
          <t>C4</t>
        </is>
      </c>
      <c r="J615" s="6">
        <f>IF(ISNUMBER(G615),G615-F615,"")</f>
        <v/>
      </c>
    </row>
    <row r="616">
      <c r="A616" s="4" t="n">
        <v>2025</v>
      </c>
      <c r="B616" s="4" t="inlineStr">
        <is>
          <t>tenencia</t>
        </is>
      </c>
      <c r="C616" s="4" t="inlineStr">
        <is>
          <t>propiedad con hipoteca</t>
        </is>
      </c>
      <c r="D616" s="4" t="inlineStr">
        <is>
          <t>sobrecarga_40</t>
        </is>
      </c>
      <c r="E616" s="4" t="n">
        <v>3.4494</v>
      </c>
      <c r="F616" s="4" t="n">
        <v>2.7303</v>
      </c>
      <c r="G616" s="4" t="n">
        <v>4.1685</v>
      </c>
      <c r="H616" s="4" t="n">
        <v>21731</v>
      </c>
      <c r="I616" s="4" t="inlineStr">
        <is>
          <t>C1</t>
        </is>
      </c>
      <c r="J616" s="6">
        <f>IF(ISNUMBER(G616),G616-F616,"")</f>
        <v/>
      </c>
    </row>
    <row r="617">
      <c r="A617" s="4" t="n">
        <v>2025</v>
      </c>
      <c r="B617" s="4" t="inlineStr">
        <is>
          <t>tenencia</t>
        </is>
      </c>
      <c r="C617" s="4" t="inlineStr">
        <is>
          <t>propiedad con hipoteca</t>
        </is>
      </c>
      <c r="D617" s="4" t="inlineStr">
        <is>
          <t>esfuerzo_hipoteca_30</t>
        </is>
      </c>
      <c r="E617" s="4" t="n">
        <v>8.8028</v>
      </c>
      <c r="F617" s="4" t="n">
        <v>7.7827</v>
      </c>
      <c r="G617" s="4" t="n">
        <v>9.822800000000001</v>
      </c>
      <c r="H617" s="4" t="n">
        <v>20116</v>
      </c>
      <c r="I617" s="4" t="inlineStr">
        <is>
          <t>C4</t>
        </is>
      </c>
      <c r="J617" s="6">
        <f>IF(ISNUMBER(G617),G617-F617,"")</f>
        <v/>
      </c>
    </row>
    <row r="618">
      <c r="A618" s="4" t="n">
        <v>2025</v>
      </c>
      <c r="B618" s="4" t="inlineStr">
        <is>
          <t>tenencia</t>
        </is>
      </c>
      <c r="C618" s="4" t="inlineStr">
        <is>
          <t>propiedad con hipoteca</t>
        </is>
      </c>
      <c r="D618" s="4" t="inlineStr">
        <is>
          <t>hacinamiento</t>
        </is>
      </c>
      <c r="E618" s="4" t="n">
        <v>6.9875</v>
      </c>
      <c r="F618" s="4" t="n">
        <v>5.5811</v>
      </c>
      <c r="G618" s="4" t="n">
        <v>8.3939</v>
      </c>
      <c r="H618" s="4" t="n">
        <v>21680</v>
      </c>
      <c r="I618" s="4" t="inlineStr">
        <is>
          <t>C4</t>
        </is>
      </c>
      <c r="J618" s="6">
        <f>IF(ISNUMBER(G618),G618-F618,"")</f>
        <v/>
      </c>
    </row>
    <row r="619">
      <c r="A619" s="4" t="n">
        <v>2025</v>
      </c>
      <c r="B619" s="4" t="inlineStr">
        <is>
          <t>tenencia</t>
        </is>
      </c>
      <c r="C619" s="4" t="inlineStr">
        <is>
          <t>propiedad con hipoteca</t>
        </is>
      </c>
      <c r="D619" s="4" t="inlineStr">
        <is>
          <t>esfuerzo_hipoteca_mediana</t>
        </is>
      </c>
      <c r="E619" s="4" t="n">
        <v>13.7424</v>
      </c>
      <c r="F619" s="4" t="n">
        <v>13.4185</v>
      </c>
      <c r="G619" s="4" t="n">
        <v>14.1263</v>
      </c>
      <c r="H619" s="4" t="n">
        <v>20116</v>
      </c>
      <c r="I619" s="4" t="inlineStr">
        <is>
          <t>C4</t>
        </is>
      </c>
      <c r="J619" s="6">
        <f>IF(ISNUMBER(G619),G619-F619,"")</f>
        <v/>
      </c>
    </row>
    <row r="620">
      <c r="A620" s="4" t="n">
        <v>2025</v>
      </c>
      <c r="B620" s="4" t="inlineStr">
        <is>
          <t>tenencia</t>
        </is>
      </c>
      <c r="C620" s="4" t="inlineStr">
        <is>
          <t>propiedad sin hipoteca</t>
        </is>
      </c>
      <c r="D620" s="4" t="inlineStr">
        <is>
          <t>sobrecarga_30</t>
        </is>
      </c>
      <c r="E620" s="4" t="n">
        <v>2.8682</v>
      </c>
      <c r="F620" s="4" t="n">
        <v>2.5614</v>
      </c>
      <c r="G620" s="4" t="n">
        <v>3.175</v>
      </c>
      <c r="H620" s="4" t="n">
        <v>34410</v>
      </c>
      <c r="I620" s="4" t="inlineStr">
        <is>
          <t>C4</t>
        </is>
      </c>
      <c r="J620" s="6">
        <f>IF(ISNUMBER(G620),G620-F620,"")</f>
        <v/>
      </c>
    </row>
    <row r="621">
      <c r="A621" s="4" t="n">
        <v>2025</v>
      </c>
      <c r="B621" s="4" t="inlineStr">
        <is>
          <t>tenencia</t>
        </is>
      </c>
      <c r="C621" s="4" t="inlineStr">
        <is>
          <t>propiedad sin hipoteca</t>
        </is>
      </c>
      <c r="D621" s="4" t="inlineStr">
        <is>
          <t>sobrecarga_40</t>
        </is>
      </c>
      <c r="E621" s="4" t="n">
        <v>1.87</v>
      </c>
      <c r="F621" s="4" t="n">
        <v>1.6292</v>
      </c>
      <c r="G621" s="4" t="n">
        <v>2.1108</v>
      </c>
      <c r="H621" s="4" t="n">
        <v>34410</v>
      </c>
      <c r="I621" s="4" t="inlineStr">
        <is>
          <t>C1</t>
        </is>
      </c>
      <c r="J621" s="6">
        <f>IF(ISNUMBER(G621),G621-F621,"")</f>
        <v/>
      </c>
    </row>
    <row r="622">
      <c r="A622" s="4" t="n">
        <v>2025</v>
      </c>
      <c r="B622" s="4" t="inlineStr">
        <is>
          <t>tenencia</t>
        </is>
      </c>
      <c r="C622" s="4" t="inlineStr">
        <is>
          <t>propiedad sin hipoteca</t>
        </is>
      </c>
      <c r="D622" s="4" t="inlineStr">
        <is>
          <t>hacinamiento</t>
        </is>
      </c>
      <c r="E622" s="4" t="n">
        <v>5.183</v>
      </c>
      <c r="F622" s="4" t="n">
        <v>4.3793</v>
      </c>
      <c r="G622" s="4" t="n">
        <v>5.9868</v>
      </c>
      <c r="H622" s="4" t="n">
        <v>34303</v>
      </c>
      <c r="I622" s="4" t="inlineStr">
        <is>
          <t>C4</t>
        </is>
      </c>
      <c r="J622" s="6">
        <f>IF(ISNUMBER(G622),G622-F622,"")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V10 (src/v10/tablas_excel.py)</dc:creator>
  <dc:title xmlns:dc="http://purl.org/dc/elements/1.1/">Tablas del atlas descriptivo (V10)</dc:title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