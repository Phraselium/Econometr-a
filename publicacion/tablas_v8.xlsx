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estacados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Votos_s9" sheetId="4" state="visible" r:id="rId4"/>
    <sheet xmlns:r="http://schemas.openxmlformats.org/officeDocument/2006/relationships" name="Atribucion" sheetId="5" state="visible" r:id="rId5"/>
    <sheet xmlns:r="http://schemas.openxmlformats.org/officeDocument/2006/relationships" name="Ranking" sheetId="6" state="visible" r:id="rId6"/>
    <sheet xmlns:r="http://schemas.openxmlformats.org/officeDocument/2006/relationships" name="Fuera_muestra" sheetId="7" state="visible" r:id="rId7"/>
    <sheet xmlns:r="http://schemas.openxmlformats.org/officeDocument/2006/relationships" name="Regional" sheetId="8" state="visible" r:id="rId8"/>
    <sheet xmlns:r="http://schemas.openxmlformats.org/officeDocument/2006/relationships" name="Multiver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  <font>
      <color rgb="00008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0" customWidth="1" min="1" max="1"/>
    <col width="14" customWidth="1" min="2" max="2"/>
  </cols>
  <sheetData>
    <row r="1">
      <c r="A1" s="1" t="inlineStr">
        <is>
          <t>Tablas V8 (F6). Generado por src/v8/f6_tablas.py a partir de salidas versionadas; no estima nada.</t>
        </is>
      </c>
    </row>
    <row r="2">
      <c r="A2" s="2" t="inlineStr">
        <is>
          <t>Capas: C3s (svar_hd, H8-1…H8-4) condicionada a las restricciones de signo; C4 (asociación) el resto: sin lectura causal.</t>
        </is>
      </c>
    </row>
    <row r="3">
      <c r="A3" s="2" t="inlineStr">
        <is>
          <t>Fuentes: output/v8/M0…M9 (coeficientes.csv, hipotesis_*.csv, resumen_multiverso.csv, fuera_muestra*), output/v8/F5 (regla_s9, ranking, atribucion_combinada, regional_ranking, fuera_muestra_comun).</t>
        </is>
      </c>
    </row>
    <row r="4">
      <c r="A4" s="2" t="inlineStr">
        <is>
          <t>Convenciones de color:</t>
        </is>
      </c>
    </row>
    <row r="5">
      <c r="A5" s="3" t="inlineStr">
        <is>
          <t>AZUL (0000FF): entrada tomada de un fichero de datos o salida; la columna «fuente» da la ruta del fichero.</t>
        </is>
      </c>
    </row>
    <row r="6">
      <c r="A6" s="2" t="inlineStr">
        <is>
          <t>NEGRO (000000): cálculo hecho en la hoja con fórmula de Excel (=SUM, =COUNTIF, =SUMIFS, cocientes).</t>
        </is>
      </c>
    </row>
    <row r="7">
      <c r="A7" s="4" t="inlineStr">
        <is>
          <t>VERDE (008000): vínculo a otra hoja del libro (=Hoja!A1).</t>
        </is>
      </c>
    </row>
    <row r="8">
      <c r="A8" s="2" t="inlineStr">
        <is>
          <t>Sin paneles inmovilizados. Estrellas (si las hay) basadas en el p AJUSTADO. Modelos destacados: véase tablas_modelos_destacados.md.</t>
        </is>
      </c>
    </row>
    <row r="9">
      <c r="A9" s="2" t="inlineStr">
        <is>
          <t>Hojas: Destacados, Hipotesis, Votos_s9, Atribucion, Ranking, Fuera_muestra, Regional, Multiverso.</t>
        </is>
      </c>
    </row>
    <row r="11">
      <c r="A11" s="5" t="inlineStr">
        <is>
          <t>Resumen enlazado (verde = vínculo a otra hoja)</t>
        </is>
      </c>
    </row>
    <row r="12">
      <c r="A12" t="inlineStr">
        <is>
          <t>Celdas designadas (hoja Votos_s9)</t>
        </is>
      </c>
      <c r="B12" s="4">
        <f>Votos_s9!B13</f>
        <v/>
      </c>
    </row>
    <row r="13">
      <c r="A13" t="inlineStr">
        <is>
          <t>Hipótesis tabuladas (hoja Hipotesis, filas)</t>
        </is>
      </c>
      <c r="B13" s="2">
        <f>COUNTA(Hipotesis!A2:A200)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8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18" customWidth="1" min="3" max="3"/>
    <col width="10" customWidth="1" min="4" max="4"/>
    <col width="10" customWidth="1" min="5" max="5"/>
    <col width="10" customWidth="1" min="6" max="6"/>
    <col width="25" customWidth="1" min="7" max="7"/>
    <col width="24" customWidth="1" min="8" max="8"/>
    <col width="40" customWidth="1" min="9" max="9"/>
    <col width="26" customWidth="1" min="10" max="10"/>
    <col width="21" customWidth="1" min="11" max="11"/>
    <col width="20" customWidth="1" min="12" max="12"/>
    <col width="28" customWidth="1" min="13" max="13"/>
    <col width="21" customWidth="1" min="14" max="14"/>
    <col width="24" customWidth="1" min="15" max="15"/>
    <col width="24" customWidth="1" min="16" max="16"/>
    <col width="15" customWidth="1" min="17" max="17"/>
    <col width="21" customWidth="1" min="18" max="18"/>
    <col width="21" customWidth="1" min="19" max="19"/>
    <col width="21" customWidth="1" min="20" max="20"/>
    <col width="21" customWidth="1" min="21" max="21"/>
    <col width="8" customWidth="1" min="22" max="22"/>
    <col width="20" customWidth="1" min="23" max="23"/>
    <col width="20" customWidth="1" min="24" max="24"/>
    <col width="21" customWidth="1" min="25" max="25"/>
    <col width="21" customWidth="1" min="26" max="26"/>
    <col width="21" customWidth="1" min="27" max="27"/>
    <col width="20" customWidth="1" min="28" max="28"/>
    <col width="20" customWidth="1" min="29" max="29"/>
    <col width="24" customWidth="1" min="30" max="30"/>
    <col width="20" customWidth="1" min="31" max="31"/>
    <col width="24" customWidth="1" min="32" max="32"/>
    <col width="24" customWidth="1" min="33" max="33"/>
    <col width="15" customWidth="1" min="34" max="34"/>
    <col width="20" customWidth="1" min="35" max="35"/>
    <col width="10" customWidth="1" min="36" max="36"/>
    <col width="8" customWidth="1" min="37" max="37"/>
    <col width="8" customWidth="1" min="38" max="38"/>
    <col width="8" customWidth="1" min="39" max="39"/>
    <col width="14" customWidth="1" min="40" max="40"/>
    <col width="20" customWidth="1" min="41" max="41"/>
    <col width="20" customWidth="1" min="42" max="42"/>
    <col width="17" customWidth="1" min="43" max="43"/>
    <col width="19" customWidth="1" min="44" max="44"/>
    <col width="11" customWidth="1" min="45" max="45"/>
    <col width="45" customWidth="1" min="46" max="46"/>
    <col width="27" customWidth="1" min="47" max="47"/>
    <col width="45" customWidth="1" min="48" max="48"/>
    <col width="24" customWidth="1" min="49" max="49"/>
    <col width="17" customWidth="1" min="50" max="50"/>
    <col width="31" customWidth="1" min="51" max="51"/>
    <col width="20" customWidth="1" min="52" max="52"/>
    <col width="24" customWidth="1" min="53" max="53"/>
    <col width="24" customWidth="1" min="54" max="54"/>
  </cols>
  <sheetData>
    <row r="1">
      <c r="A1" s="5" t="inlineStr">
        <is>
          <t>modelo_id</t>
        </is>
      </c>
      <c r="B1" s="5" t="inlineStr">
        <is>
          <t>modulo</t>
        </is>
      </c>
      <c r="C1" s="5" t="inlineStr">
        <is>
          <t>familia_modelo</t>
        </is>
      </c>
      <c r="D1" s="5" t="inlineStr">
        <is>
          <t>mercado</t>
        </is>
      </c>
      <c r="E1" s="5" t="inlineStr">
        <is>
          <t>ambito</t>
        </is>
      </c>
      <c r="F1" s="5" t="inlineStr">
        <is>
          <t>periodo</t>
        </is>
      </c>
      <c r="G1" s="5" t="inlineStr">
        <is>
          <t>dependiente</t>
        </is>
      </c>
      <c r="H1" s="5" t="inlineStr">
        <is>
          <t>transformacion</t>
        </is>
      </c>
      <c r="I1" s="5" t="inlineStr">
        <is>
          <t>medida_precio</t>
        </is>
      </c>
      <c r="J1" s="5" t="inlineStr">
        <is>
          <t>variable</t>
        </is>
      </c>
      <c r="K1" s="5" t="inlineStr">
        <is>
          <t>beta</t>
        </is>
      </c>
      <c r="L1" s="5" t="inlineStr">
        <is>
          <t>ee</t>
        </is>
      </c>
      <c r="M1" s="5" t="inlineStr">
        <is>
          <t>tipo_ee</t>
        </is>
      </c>
      <c r="N1" s="5" t="inlineStr">
        <is>
          <t>t</t>
        </is>
      </c>
      <c r="O1" s="5" t="inlineStr">
        <is>
          <t>p</t>
        </is>
      </c>
      <c r="P1" s="5" t="inlineStr">
        <is>
          <t>p_ajustado</t>
        </is>
      </c>
      <c r="Q1" s="5" t="inlineStr">
        <is>
          <t>metodo_ajuste</t>
        </is>
      </c>
      <c r="R1" s="5" t="inlineStr">
        <is>
          <t>ic95_lo</t>
        </is>
      </c>
      <c r="S1" s="5" t="inlineStr">
        <is>
          <t>ic95_hi</t>
        </is>
      </c>
      <c r="T1" s="5" t="inlineStr">
        <is>
          <t>beta_std</t>
        </is>
      </c>
      <c r="U1" s="5" t="inlineStr">
        <is>
          <t>elasticidad</t>
        </is>
      </c>
      <c r="V1" s="5" t="inlineStr">
        <is>
          <t>n</t>
        </is>
      </c>
      <c r="W1" s="5" t="inlineStr">
        <is>
          <t>r2</t>
        </is>
      </c>
      <c r="X1" s="5" t="inlineStr">
        <is>
          <t>r2_adj</t>
        </is>
      </c>
      <c r="Y1" s="5" t="inlineStr">
        <is>
          <t>aic</t>
        </is>
      </c>
      <c r="Z1" s="5" t="inlineStr">
        <is>
          <t>bic</t>
        </is>
      </c>
      <c r="AA1" s="5" t="inlineStr">
        <is>
          <t>vel_ajuste</t>
        </is>
      </c>
      <c r="AB1" s="5" t="inlineStr">
        <is>
          <t>semivida</t>
        </is>
      </c>
      <c r="AC1" s="5" t="inlineStr">
        <is>
          <t>coint_p</t>
        </is>
      </c>
      <c r="AD1" s="5" t="inlineStr">
        <is>
          <t>bg_p</t>
        </is>
      </c>
      <c r="AE1" s="5" t="inlineStr">
        <is>
          <t>bp_p</t>
        </is>
      </c>
      <c r="AF1" s="5" t="inlineStr">
        <is>
          <t>jb_p</t>
        </is>
      </c>
      <c r="AG1" s="5" t="inlineStr">
        <is>
          <t>reset_p</t>
        </is>
      </c>
      <c r="AH1" s="5" t="inlineStr">
        <is>
          <t>cusum_estable</t>
        </is>
      </c>
      <c r="AI1" s="5" t="inlineStr">
        <is>
          <t>vif_max</t>
        </is>
      </c>
      <c r="AJ1" s="5" t="inlineStr">
        <is>
          <t>f1_etapa</t>
        </is>
      </c>
      <c r="AK1" s="5" t="inlineStr">
        <is>
          <t>ar_lo</t>
        </is>
      </c>
      <c r="AL1" s="5" t="inlineStr">
        <is>
          <t>ar_hi</t>
        </is>
      </c>
      <c r="AM1" s="5" t="inlineStr">
        <is>
          <t>capa</t>
        </is>
      </c>
      <c r="AN1" s="5" t="inlineStr">
        <is>
          <t>n_multiverso</t>
        </is>
      </c>
      <c r="AO1" s="5" t="inlineStr">
        <is>
          <t>pct_mismo_signo</t>
        </is>
      </c>
      <c r="AP1" s="5" t="inlineStr">
        <is>
          <t>pct_sig_bh</t>
        </is>
      </c>
      <c r="AQ1" s="5" t="inlineStr">
        <is>
          <t>cumple_regla_m0</t>
        </is>
      </c>
      <c r="AR1" s="5" t="inlineStr">
        <is>
          <t>cumple_multiverso</t>
        </is>
      </c>
      <c r="AS1" s="5" t="inlineStr">
        <is>
          <t>destacado</t>
        </is>
      </c>
      <c r="AT1" s="5" t="inlineStr">
        <is>
          <t>motivo_destacado</t>
        </is>
      </c>
      <c r="AU1" s="5" t="inlineStr">
        <is>
          <t>script</t>
        </is>
      </c>
      <c r="AV1" s="5" t="inlineStr">
        <is>
          <t>criterio_destacado</t>
        </is>
      </c>
      <c r="AW1" s="5" t="inlineStr">
        <is>
          <t>oos_ref</t>
        </is>
      </c>
      <c r="AX1" s="5" t="inlineStr">
        <is>
          <t>no_cumple_regla</t>
        </is>
      </c>
      <c r="AY1" s="5" t="inlineStr">
        <is>
          <t>fuente</t>
        </is>
      </c>
      <c r="AZ1" s="5" t="inlineStr">
        <is>
          <t>rmse_oos (vínculo)</t>
        </is>
      </c>
      <c r="BA1" s="5" t="inlineStr">
        <is>
          <t>rmse_ar4_oos (vínculo)</t>
        </is>
      </c>
      <c r="BB1" s="5" t="inlineStr">
        <is>
          <t>ratio_rmse_vs_ar4_calc</t>
        </is>
      </c>
    </row>
    <row r="2">
      <c r="A2" s="3" t="inlineStr">
        <is>
          <t>M0_compra_base_P1</t>
        </is>
      </c>
      <c r="B2" s="3" t="inlineStr">
        <is>
          <t>M0</t>
        </is>
      </c>
      <c r="C2" s="3" t="inlineStr">
        <is>
          <t>ols_tramos_hac</t>
        </is>
      </c>
      <c r="D2" s="3" t="inlineStr">
        <is>
          <t>compra</t>
        </is>
      </c>
      <c r="E2" s="3" t="inlineStr">
        <is>
          <t>nacional</t>
        </is>
      </c>
      <c r="F2" s="3" t="inlineStr">
        <is>
          <t>P1</t>
        </is>
      </c>
      <c r="G2" s="3" t="inlineStr">
        <is>
          <t>d4_ln_p_tasado_real</t>
        </is>
      </c>
      <c r="H2" s="3" t="inlineStr">
        <is>
          <t>d4_ln*100</t>
        </is>
      </c>
      <c r="I2" s="3" t="inlineStr">
        <is>
          <t>valor tasado MIVAU, real (IPC general)</t>
        </is>
      </c>
      <c r="J2" s="3" t="inlineStr">
        <is>
          <t>d4_pob_total</t>
        </is>
      </c>
      <c r="K2" s="3" t="n">
        <v>-3.669546340597733</v>
      </c>
      <c r="L2" s="3" t="n">
        <v>1.511434923234409</v>
      </c>
      <c r="M2" s="3" t="inlineStr">
        <is>
          <t>HAC-NW(4), t(32)</t>
        </is>
      </c>
      <c r="N2" s="3" t="n">
        <v>-2.427855995774567</v>
      </c>
      <c r="O2" s="3" t="n">
        <v>0.0209908096371604</v>
      </c>
      <c r="P2" s="3" t="n">
        <v>0.0459173960812884</v>
      </c>
      <c r="Q2" s="3" t="inlineStr">
        <is>
          <t>BH</t>
        </is>
      </c>
      <c r="R2" s="3" t="n">
        <v>-6.748238532203961</v>
      </c>
      <c r="S2" s="3" t="n">
        <v>-0.5908541489915056</v>
      </c>
      <c r="T2" s="3" t="n">
        <v>-0.622157030301377</v>
      </c>
      <c r="U2" s="3" t="n"/>
      <c r="V2" s="3" t="n">
        <v>38</v>
      </c>
      <c r="W2" s="3" t="n">
        <v>0.6961167711425549</v>
      </c>
      <c r="X2" s="3" t="n">
        <v>0.648635016633579</v>
      </c>
      <c r="Y2" s="3" t="n">
        <v>173.7002614019248</v>
      </c>
      <c r="Z2" s="3" t="n">
        <v>183.5257783602832</v>
      </c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inlineStr">
        <is>
          <t>C4</t>
        </is>
      </c>
      <c r="AN2" s="3" t="n">
        <v>96</v>
      </c>
      <c r="AO2" s="3" t="n">
        <v>0.5</v>
      </c>
      <c r="AP2" s="3" t="n">
        <v>0.1354166666666666</v>
      </c>
      <c r="AQ2" s="3" t="inlineStr">
        <is>
          <t>no_evaluable</t>
        </is>
      </c>
      <c r="AR2" s="3" t="inlineStr">
        <is>
          <t>no</t>
        </is>
      </c>
      <c r="AS2" s="3" t="inlineStr">
        <is>
          <t>si</t>
        </is>
      </c>
      <c r="AT2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" s="3" t="inlineStr">
        <is>
          <t>src/v8/m0_periodos.py</t>
        </is>
      </c>
      <c r="AV2" s="3" t="inlineStr">
        <is>
          <t>(b) mejor de la familia ols_tramos_hac: ecuacion AR1+X por periodo; unico candidato con OOS en la familia</t>
        </is>
      </c>
      <c r="AW2" s="3" t="inlineStr">
        <is>
          <t>M0:AR1+X_por_periodo</t>
        </is>
      </c>
      <c r="AX2" s="3" t="inlineStr">
        <is>
          <t>si</t>
        </is>
      </c>
      <c r="AY2" s="3" t="inlineStr">
        <is>
          <t>output/v8/M0/coeficientes.csv</t>
        </is>
      </c>
      <c r="AZ2" s="4">
        <f>Fuera_muestra!F16</f>
        <v/>
      </c>
      <c r="BA2" s="4">
        <f>Fuera_muestra!G16</f>
        <v/>
      </c>
      <c r="BB2" s="2">
        <f>AZ2/BA2</f>
        <v/>
      </c>
    </row>
    <row r="3">
      <c r="A3" s="3" t="inlineStr">
        <is>
          <t>M0_compra_base_P1</t>
        </is>
      </c>
      <c r="B3" s="3" t="inlineStr">
        <is>
          <t>M0</t>
        </is>
      </c>
      <c r="C3" s="3" t="inlineStr">
        <is>
          <t>ols_tramos_hac</t>
        </is>
      </c>
      <c r="D3" s="3" t="inlineStr">
        <is>
          <t>compra</t>
        </is>
      </c>
      <c r="E3" s="3" t="inlineStr">
        <is>
          <t>nacional</t>
        </is>
      </c>
      <c r="F3" s="3" t="inlineStr">
        <is>
          <t>P1</t>
        </is>
      </c>
      <c r="G3" s="3" t="inlineStr">
        <is>
          <t>d4_ln_p_tasado_real</t>
        </is>
      </c>
      <c r="H3" s="3" t="inlineStr">
        <is>
          <t>d4_ln*100</t>
        </is>
      </c>
      <c r="I3" s="3" t="inlineStr">
        <is>
          <t>valor tasado MIVAU, real (IPC general)</t>
        </is>
      </c>
      <c r="J3" s="3" t="inlineStr">
        <is>
          <t>d4_pib_vol</t>
        </is>
      </c>
      <c r="K3" s="3" t="n">
        <v>-3.519576051499037</v>
      </c>
      <c r="L3" s="3" t="n">
        <v>0.8883123722699861</v>
      </c>
      <c r="M3" s="3" t="inlineStr">
        <is>
          <t>HAC-NW(4), t(32)</t>
        </is>
      </c>
      <c r="N3" s="3" t="n">
        <v>-3.962092796822296</v>
      </c>
      <c r="O3" s="3" t="n">
        <v>0.0003895503997753</v>
      </c>
      <c r="P3" s="3" t="n">
        <v>0.0015198920616136</v>
      </c>
      <c r="Q3" s="3" t="inlineStr">
        <is>
          <t>BH</t>
        </is>
      </c>
      <c r="R3" s="3" t="n">
        <v>-5.329009141983915</v>
      </c>
      <c r="S3" s="3" t="n">
        <v>-1.71014296101416</v>
      </c>
      <c r="T3" s="3" t="n">
        <v>-0.6891039882824527</v>
      </c>
      <c r="U3" s="3" t="n"/>
      <c r="V3" s="3" t="n">
        <v>38</v>
      </c>
      <c r="W3" s="3" t="n">
        <v>0.6961167711425549</v>
      </c>
      <c r="X3" s="3" t="n">
        <v>0.648635016633579</v>
      </c>
      <c r="Y3" s="3" t="n">
        <v>173.7002614019248</v>
      </c>
      <c r="Z3" s="3" t="n">
        <v>183.5257783602832</v>
      </c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inlineStr">
        <is>
          <t>C4</t>
        </is>
      </c>
      <c r="AN3" s="3" t="n">
        <v>96</v>
      </c>
      <c r="AO3" s="3" t="n">
        <v>0.875</v>
      </c>
      <c r="AP3" s="3" t="n">
        <v>0.03125</v>
      </c>
      <c r="AQ3" s="3" t="inlineStr">
        <is>
          <t>no_evaluable</t>
        </is>
      </c>
      <c r="AR3" s="3" t="inlineStr">
        <is>
          <t>no</t>
        </is>
      </c>
      <c r="AS3" s="3" t="inlineStr">
        <is>
          <t>si</t>
        </is>
      </c>
      <c r="AT3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3" s="3" t="inlineStr">
        <is>
          <t>src/v8/m0_periodos.py</t>
        </is>
      </c>
      <c r="AV3" s="3" t="inlineStr">
        <is>
          <t>(b) mejor de la familia ols_tramos_hac: ecuacion AR1+X por periodo; unico candidato con OOS en la familia</t>
        </is>
      </c>
      <c r="AW3" s="3" t="inlineStr">
        <is>
          <t>M0:AR1+X_por_periodo</t>
        </is>
      </c>
      <c r="AX3" s="3" t="inlineStr">
        <is>
          <t>si</t>
        </is>
      </c>
      <c r="AY3" s="3" t="inlineStr">
        <is>
          <t>output/v8/M0/coeficientes.csv</t>
        </is>
      </c>
      <c r="AZ3" s="4">
        <f>Fuera_muestra!F16</f>
        <v/>
      </c>
      <c r="BA3" s="4">
        <f>Fuera_muestra!G16</f>
        <v/>
      </c>
      <c r="BB3" s="2">
        <f>AZ3/BA3</f>
        <v/>
      </c>
    </row>
    <row r="4">
      <c r="A4" s="3" t="inlineStr">
        <is>
          <t>M0_compra_base_P1</t>
        </is>
      </c>
      <c r="B4" s="3" t="inlineStr">
        <is>
          <t>M0</t>
        </is>
      </c>
      <c r="C4" s="3" t="inlineStr">
        <is>
          <t>ols_tramos_hac</t>
        </is>
      </c>
      <c r="D4" s="3" t="inlineStr">
        <is>
          <t>compra</t>
        </is>
      </c>
      <c r="E4" s="3" t="inlineStr">
        <is>
          <t>nacional</t>
        </is>
      </c>
      <c r="F4" s="3" t="inlineStr">
        <is>
          <t>P1</t>
        </is>
      </c>
      <c r="G4" s="3" t="inlineStr">
        <is>
          <t>d4_ln_p_tasado_real</t>
        </is>
      </c>
      <c r="H4" s="3" t="inlineStr">
        <is>
          <t>d4_ln*100</t>
        </is>
      </c>
      <c r="I4" s="3" t="inlineStr">
        <is>
          <t>valor tasado MIVAU, real (IPC general)</t>
        </is>
      </c>
      <c r="J4" s="3" t="inlineStr">
        <is>
          <t>tipo_hip_real</t>
        </is>
      </c>
      <c r="K4" s="3" t="n">
        <v>-2.204011134345306</v>
      </c>
      <c r="L4" s="3" t="n">
        <v>0.4356850928902584</v>
      </c>
      <c r="M4" s="3" t="inlineStr">
        <is>
          <t>HAC-NW(4), t(32)</t>
        </is>
      </c>
      <c r="N4" s="3" t="n">
        <v>-5.058725144173016</v>
      </c>
      <c r="O4" s="3" t="n">
        <v>1.675276886135641e-05</v>
      </c>
      <c r="P4" s="3" t="n">
        <v>0.0001111590071318</v>
      </c>
      <c r="Q4" s="3" t="inlineStr">
        <is>
          <t>BH</t>
        </is>
      </c>
      <c r="R4" s="3" t="n">
        <v>-3.091472627301985</v>
      </c>
      <c r="S4" s="3" t="n">
        <v>-1.316549641388627</v>
      </c>
      <c r="T4" s="3" t="n">
        <v>-0.7344732936595878</v>
      </c>
      <c r="U4" s="3" t="n"/>
      <c r="V4" s="3" t="n">
        <v>38</v>
      </c>
      <c r="W4" s="3" t="n">
        <v>0.6961167711425549</v>
      </c>
      <c r="X4" s="3" t="n">
        <v>0.648635016633579</v>
      </c>
      <c r="Y4" s="3" t="n">
        <v>173.7002614019248</v>
      </c>
      <c r="Z4" s="3" t="n">
        <v>183.5257783602832</v>
      </c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inlineStr">
        <is>
          <t>C4</t>
        </is>
      </c>
      <c r="AN4" s="3" t="n">
        <v>96</v>
      </c>
      <c r="AO4" s="3" t="n">
        <v>0.9583333333333334</v>
      </c>
      <c r="AP4" s="3" t="n">
        <v>0.65625</v>
      </c>
      <c r="AQ4" s="3" t="inlineStr">
        <is>
          <t>no_evaluable</t>
        </is>
      </c>
      <c r="AR4" s="3" t="inlineStr">
        <is>
          <t>sí</t>
        </is>
      </c>
      <c r="AS4" s="3" t="inlineStr">
        <is>
          <t>si</t>
        </is>
      </c>
      <c r="AT4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4" s="3" t="inlineStr">
        <is>
          <t>src/v8/m0_periodos.py</t>
        </is>
      </c>
      <c r="AV4" s="3" t="inlineStr">
        <is>
          <t>(b) mejor de la familia ols_tramos_hac: ecuacion AR1+X por periodo; unico candidato con OOS en la familia</t>
        </is>
      </c>
      <c r="AW4" s="3" t="inlineStr">
        <is>
          <t>M0:AR1+X_por_periodo</t>
        </is>
      </c>
      <c r="AX4" s="3" t="inlineStr">
        <is>
          <t>si</t>
        </is>
      </c>
      <c r="AY4" s="3" t="inlineStr">
        <is>
          <t>output/v8/M0/coeficientes.csv</t>
        </is>
      </c>
      <c r="AZ4" s="4">
        <f>Fuera_muestra!F16</f>
        <v/>
      </c>
      <c r="BA4" s="4">
        <f>Fuera_muestra!G16</f>
        <v/>
      </c>
      <c r="BB4" s="2">
        <f>AZ4/BA4</f>
        <v/>
      </c>
    </row>
    <row r="5">
      <c r="A5" s="3" t="inlineStr">
        <is>
          <t>M0_compra_base_P1</t>
        </is>
      </c>
      <c r="B5" s="3" t="inlineStr">
        <is>
          <t>M0</t>
        </is>
      </c>
      <c r="C5" s="3" t="inlineStr">
        <is>
          <t>ols_tramos_hac</t>
        </is>
      </c>
      <c r="D5" s="3" t="inlineStr">
        <is>
          <t>compra</t>
        </is>
      </c>
      <c r="E5" s="3" t="inlineStr">
        <is>
          <t>nacional</t>
        </is>
      </c>
      <c r="F5" s="3" t="inlineStr">
        <is>
          <t>P1</t>
        </is>
      </c>
      <c r="G5" s="3" t="inlineStr">
        <is>
          <t>d4_ln_p_tasado_real</t>
        </is>
      </c>
      <c r="H5" s="3" t="inlineStr">
        <is>
          <t>d4_ln*100</t>
        </is>
      </c>
      <c r="I5" s="3" t="inlineStr">
        <is>
          <t>valor tasado MIVAU, real (IPC general)</t>
        </is>
      </c>
      <c r="J5" s="3" t="inlineStr">
        <is>
          <t>d4_credito_vivienda_real</t>
        </is>
      </c>
      <c r="K5" s="3" t="n">
        <v>-0.08677129798761921</v>
      </c>
      <c r="L5" s="3" t="n">
        <v>0.1104996778577269</v>
      </c>
      <c r="M5" s="3" t="inlineStr">
        <is>
          <t>HAC-NW(4), t(32)</t>
        </is>
      </c>
      <c r="N5" s="3" t="n">
        <v>-0.7852629045610525</v>
      </c>
      <c r="O5" s="3" t="n">
        <v>0.4380750788023757</v>
      </c>
      <c r="P5" s="3" t="n">
        <v>0.5379869388801105</v>
      </c>
      <c r="Q5" s="3" t="inlineStr">
        <is>
          <t>BH</t>
        </is>
      </c>
      <c r="R5" s="3" t="n">
        <v>-0.3118517762576231</v>
      </c>
      <c r="S5" s="3" t="n">
        <v>0.1383091802823846</v>
      </c>
      <c r="T5" s="3" t="n">
        <v>-0.1015747408499422</v>
      </c>
      <c r="U5" s="3" t="n"/>
      <c r="V5" s="3" t="n">
        <v>38</v>
      </c>
      <c r="W5" s="3" t="n">
        <v>0.6961167711425549</v>
      </c>
      <c r="X5" s="3" t="n">
        <v>0.648635016633579</v>
      </c>
      <c r="Y5" s="3" t="n">
        <v>173.7002614019248</v>
      </c>
      <c r="Z5" s="3" t="n">
        <v>183.5257783602832</v>
      </c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inlineStr">
        <is>
          <t>C4</t>
        </is>
      </c>
      <c r="AN5" s="3" t="n"/>
      <c r="AO5" s="3" t="n"/>
      <c r="AP5" s="3" t="n"/>
      <c r="AQ5" s="3" t="inlineStr">
        <is>
          <t>no_evaluable</t>
        </is>
      </c>
      <c r="AR5" s="3" t="inlineStr">
        <is>
          <t>no_evaluable</t>
        </is>
      </c>
      <c r="AS5" s="3" t="inlineStr">
        <is>
          <t>si</t>
        </is>
      </c>
      <c r="AT5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5" s="3" t="inlineStr">
        <is>
          <t>src/v8/m0_periodos.py</t>
        </is>
      </c>
      <c r="AV5" s="3" t="inlineStr">
        <is>
          <t>(b) mejor de la familia ols_tramos_hac: ecuacion AR1+X por periodo; unico candidato con OOS en la familia</t>
        </is>
      </c>
      <c r="AW5" s="3" t="inlineStr">
        <is>
          <t>M0:AR1+X_por_periodo</t>
        </is>
      </c>
      <c r="AX5" s="3" t="inlineStr">
        <is>
          <t>si</t>
        </is>
      </c>
      <c r="AY5" s="3" t="inlineStr">
        <is>
          <t>output/v8/M0/coeficientes.csv</t>
        </is>
      </c>
      <c r="AZ5" s="4">
        <f>Fuera_muestra!F16</f>
        <v/>
      </c>
      <c r="BA5" s="4">
        <f>Fuera_muestra!G16</f>
        <v/>
      </c>
      <c r="BB5" s="2">
        <f>AZ5/BA5</f>
        <v/>
      </c>
    </row>
    <row r="6">
      <c r="A6" s="3" t="inlineStr">
        <is>
          <t>M0_compra_base_P1</t>
        </is>
      </c>
      <c r="B6" s="3" t="inlineStr">
        <is>
          <t>M0</t>
        </is>
      </c>
      <c r="C6" s="3" t="inlineStr">
        <is>
          <t>ols_tramos_hac</t>
        </is>
      </c>
      <c r="D6" s="3" t="inlineStr">
        <is>
          <t>compra</t>
        </is>
      </c>
      <c r="E6" s="3" t="inlineStr">
        <is>
          <t>nacional</t>
        </is>
      </c>
      <c r="F6" s="3" t="inlineStr">
        <is>
          <t>P1</t>
        </is>
      </c>
      <c r="G6" s="3" t="inlineStr">
        <is>
          <t>d4_ln_p_tasado_real</t>
        </is>
      </c>
      <c r="H6" s="3" t="inlineStr">
        <is>
          <t>d4_ln*100</t>
        </is>
      </c>
      <c r="I6" s="3" t="inlineStr">
        <is>
          <t>valor tasado MIVAU, real (IPC general)</t>
        </is>
      </c>
      <c r="J6" s="3" t="inlineStr">
        <is>
          <t>d4_terminadas</t>
        </is>
      </c>
      <c r="K6" s="3" t="n">
        <v>-0.0430453331664384</v>
      </c>
      <c r="L6" s="3" t="n">
        <v>0.0472154233456855</v>
      </c>
      <c r="M6" s="3" t="inlineStr">
        <is>
          <t>HAC-NW(4), t(32)</t>
        </is>
      </c>
      <c r="N6" s="3" t="n">
        <v>-0.9116794919169529</v>
      </c>
      <c r="O6" s="3" t="n">
        <v>0.3687546812459052</v>
      </c>
      <c r="P6" s="3" t="n">
        <v>0.4780153275409883</v>
      </c>
      <c r="Q6" s="3" t="inlineStr">
        <is>
          <t>BH</t>
        </is>
      </c>
      <c r="R6" s="3" t="n">
        <v>-0.1392200033048497</v>
      </c>
      <c r="S6" s="3" t="n">
        <v>0.0531293369719729</v>
      </c>
      <c r="T6" s="3" t="n">
        <v>-0.1194273241793721</v>
      </c>
      <c r="U6" s="3" t="n"/>
      <c r="V6" s="3" t="n">
        <v>38</v>
      </c>
      <c r="W6" s="3" t="n">
        <v>0.6961167711425549</v>
      </c>
      <c r="X6" s="3" t="n">
        <v>0.648635016633579</v>
      </c>
      <c r="Y6" s="3" t="n">
        <v>173.7002614019248</v>
      </c>
      <c r="Z6" s="3" t="n">
        <v>183.5257783602832</v>
      </c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inlineStr">
        <is>
          <t>C4</t>
        </is>
      </c>
      <c r="AN6" s="3" t="n">
        <v>84</v>
      </c>
      <c r="AO6" s="3" t="n">
        <v>0.5238095238095238</v>
      </c>
      <c r="AP6" s="3" t="n">
        <v>0.1428571428571428</v>
      </c>
      <c r="AQ6" s="3" t="inlineStr">
        <is>
          <t>no_evaluable</t>
        </is>
      </c>
      <c r="AR6" s="3" t="inlineStr">
        <is>
          <t>no</t>
        </is>
      </c>
      <c r="AS6" s="3" t="inlineStr">
        <is>
          <t>si</t>
        </is>
      </c>
      <c r="AT6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6" s="3" t="inlineStr">
        <is>
          <t>src/v8/m0_periodos.py</t>
        </is>
      </c>
      <c r="AV6" s="3" t="inlineStr">
        <is>
          <t>(b) mejor de la familia ols_tramos_hac: ecuacion AR1+X por periodo; unico candidato con OOS en la familia</t>
        </is>
      </c>
      <c r="AW6" s="3" t="inlineStr">
        <is>
          <t>M0:AR1+X_por_periodo</t>
        </is>
      </c>
      <c r="AX6" s="3" t="inlineStr">
        <is>
          <t>si</t>
        </is>
      </c>
      <c r="AY6" s="3" t="inlineStr">
        <is>
          <t>output/v8/M0/coeficientes.csv</t>
        </is>
      </c>
      <c r="AZ6" s="4">
        <f>Fuera_muestra!F16</f>
        <v/>
      </c>
      <c r="BA6" s="4">
        <f>Fuera_muestra!G16</f>
        <v/>
      </c>
      <c r="BB6" s="2">
        <f>AZ6/BA6</f>
        <v/>
      </c>
    </row>
    <row r="7">
      <c r="A7" s="3" t="inlineStr">
        <is>
          <t>M0_compra_base_P2</t>
        </is>
      </c>
      <c r="B7" s="3" t="inlineStr">
        <is>
          <t>M0</t>
        </is>
      </c>
      <c r="C7" s="3" t="inlineStr">
        <is>
          <t>ols_tramos_hac</t>
        </is>
      </c>
      <c r="D7" s="3" t="inlineStr">
        <is>
          <t>compra</t>
        </is>
      </c>
      <c r="E7" s="3" t="inlineStr">
        <is>
          <t>nacional</t>
        </is>
      </c>
      <c r="F7" s="3" t="inlineStr">
        <is>
          <t>P2</t>
        </is>
      </c>
      <c r="G7" s="3" t="inlineStr">
        <is>
          <t>d4_ln_p_tasado_real</t>
        </is>
      </c>
      <c r="H7" s="3" t="inlineStr">
        <is>
          <t>d4_ln*100</t>
        </is>
      </c>
      <c r="I7" s="3" t="inlineStr">
        <is>
          <t>valor tasado MIVAU, real (IPC general)</t>
        </is>
      </c>
      <c r="J7" s="3" t="inlineStr">
        <is>
          <t>d4_pob_total</t>
        </is>
      </c>
      <c r="K7" s="3" t="n">
        <v>-1.897404960197537</v>
      </c>
      <c r="L7" s="3" t="n">
        <v>0.5438456675545081</v>
      </c>
      <c r="M7" s="3" t="inlineStr">
        <is>
          <t>HAC-NW(4), t(16)</t>
        </is>
      </c>
      <c r="N7" s="3" t="n">
        <v>-3.488866554236852</v>
      </c>
      <c r="O7" s="3" t="n">
        <v>0.0030340582802519</v>
      </c>
      <c r="P7" s="3" t="n">
        <v>0.0084953631847055</v>
      </c>
      <c r="Q7" s="3" t="inlineStr">
        <is>
          <t>BH</t>
        </is>
      </c>
      <c r="R7" s="3" t="n">
        <v>-3.05030627280486</v>
      </c>
      <c r="S7" s="3" t="n">
        <v>-0.7445036475902149</v>
      </c>
      <c r="T7" s="3" t="n">
        <v>-0.4183855907540995</v>
      </c>
      <c r="U7" s="3" t="n"/>
      <c r="V7" s="3" t="n">
        <v>22</v>
      </c>
      <c r="W7" s="3" t="n">
        <v>0.9372563972290162</v>
      </c>
      <c r="X7" s="3" t="n">
        <v>0.9176490213630838</v>
      </c>
      <c r="Y7" s="3" t="n">
        <v>53.42730781023189</v>
      </c>
      <c r="Z7" s="3" t="n">
        <v>59.97356253038178</v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inlineStr">
        <is>
          <t>C4</t>
        </is>
      </c>
      <c r="AN7" s="3" t="n">
        <v>192</v>
      </c>
      <c r="AO7" s="3" t="n">
        <v>0.7291666666666666</v>
      </c>
      <c r="AP7" s="3" t="n">
        <v>0.125</v>
      </c>
      <c r="AQ7" s="3" t="inlineStr">
        <is>
          <t>no</t>
        </is>
      </c>
      <c r="AR7" s="3" t="inlineStr">
        <is>
          <t>no</t>
        </is>
      </c>
      <c r="AS7" s="3" t="inlineStr">
        <is>
          <t>si</t>
        </is>
      </c>
      <c r="AT7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7" s="3" t="inlineStr">
        <is>
          <t>src/v8/m0_periodos.py</t>
        </is>
      </c>
      <c r="AV7" s="3" t="inlineStr">
        <is>
          <t>(b) mejor de la familia ols_tramos_hac: ecuacion AR1+X por periodo; unico candidato con OOS en la familia</t>
        </is>
      </c>
      <c r="AW7" s="3" t="inlineStr">
        <is>
          <t>M0:AR1+X_por_periodo</t>
        </is>
      </c>
      <c r="AX7" s="3" t="inlineStr">
        <is>
          <t>si</t>
        </is>
      </c>
      <c r="AY7" s="3" t="inlineStr">
        <is>
          <t>output/v8/M0/coeficientes.csv</t>
        </is>
      </c>
      <c r="AZ7" s="4">
        <f>Fuera_muestra!F16</f>
        <v/>
      </c>
      <c r="BA7" s="4">
        <f>Fuera_muestra!G16</f>
        <v/>
      </c>
      <c r="BB7" s="2">
        <f>AZ7/BA7</f>
        <v/>
      </c>
    </row>
    <row r="8">
      <c r="A8" s="3" t="inlineStr">
        <is>
          <t>M0_compra_base_P2</t>
        </is>
      </c>
      <c r="B8" s="3" t="inlineStr">
        <is>
          <t>M0</t>
        </is>
      </c>
      <c r="C8" s="3" t="inlineStr">
        <is>
          <t>ols_tramos_hac</t>
        </is>
      </c>
      <c r="D8" s="3" t="inlineStr">
        <is>
          <t>compra</t>
        </is>
      </c>
      <c r="E8" s="3" t="inlineStr">
        <is>
          <t>nacional</t>
        </is>
      </c>
      <c r="F8" s="3" t="inlineStr">
        <is>
          <t>P2</t>
        </is>
      </c>
      <c r="G8" s="3" t="inlineStr">
        <is>
          <t>d4_ln_p_tasado_real</t>
        </is>
      </c>
      <c r="H8" s="3" t="inlineStr">
        <is>
          <t>d4_ln*100</t>
        </is>
      </c>
      <c r="I8" s="3" t="inlineStr">
        <is>
          <t>valor tasado MIVAU, real (IPC general)</t>
        </is>
      </c>
      <c r="J8" s="3" t="inlineStr">
        <is>
          <t>d4_pib_vol</t>
        </is>
      </c>
      <c r="K8" s="3" t="n">
        <v>1.379256714576222</v>
      </c>
      <c r="L8" s="3" t="n">
        <v>0.135022591961034</v>
      </c>
      <c r="M8" s="3" t="inlineStr">
        <is>
          <t>HAC-NW(4), t(16)</t>
        </is>
      </c>
      <c r="N8" s="3" t="n">
        <v>10.21500694472122</v>
      </c>
      <c r="O8" s="3" t="n">
        <v>2.041455595286218e-08</v>
      </c>
      <c r="P8" s="3" t="n">
        <v>2.858037833400705e-07</v>
      </c>
      <c r="Q8" s="3" t="inlineStr">
        <is>
          <t>BH</t>
        </is>
      </c>
      <c r="R8" s="3" t="n">
        <v>1.093021606363436</v>
      </c>
      <c r="S8" s="3" t="n">
        <v>1.665491822789007</v>
      </c>
      <c r="T8" s="3" t="n">
        <v>0.8745511400868243</v>
      </c>
      <c r="U8" s="3" t="n"/>
      <c r="V8" s="3" t="n">
        <v>22</v>
      </c>
      <c r="W8" s="3" t="n">
        <v>0.9372563972290162</v>
      </c>
      <c r="X8" s="3" t="n">
        <v>0.9176490213630838</v>
      </c>
      <c r="Y8" s="3" t="n">
        <v>53.42730781023189</v>
      </c>
      <c r="Z8" s="3" t="n">
        <v>59.97356253038178</v>
      </c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inlineStr">
        <is>
          <t>C4</t>
        </is>
      </c>
      <c r="AN8" s="3" t="n">
        <v>192</v>
      </c>
      <c r="AO8" s="3" t="n">
        <v>0.75</v>
      </c>
      <c r="AP8" s="3" t="n">
        <v>0.3072916666666667</v>
      </c>
      <c r="AQ8" s="3" t="inlineStr">
        <is>
          <t>si</t>
        </is>
      </c>
      <c r="AR8" s="3" t="inlineStr">
        <is>
          <t>no</t>
        </is>
      </c>
      <c r="AS8" s="3" t="inlineStr">
        <is>
          <t>si</t>
        </is>
      </c>
      <c r="AT8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8" s="3" t="inlineStr">
        <is>
          <t>src/v8/m0_periodos.py</t>
        </is>
      </c>
      <c r="AV8" s="3" t="inlineStr">
        <is>
          <t>(b) mejor de la familia ols_tramos_hac: ecuacion AR1+X por periodo; unico candidato con OOS en la familia</t>
        </is>
      </c>
      <c r="AW8" s="3" t="inlineStr">
        <is>
          <t>M0:AR1+X_por_periodo</t>
        </is>
      </c>
      <c r="AX8" s="3" t="inlineStr">
        <is>
          <t>si</t>
        </is>
      </c>
      <c r="AY8" s="3" t="inlineStr">
        <is>
          <t>output/v8/M0/coeficientes.csv</t>
        </is>
      </c>
      <c r="AZ8" s="4">
        <f>Fuera_muestra!F16</f>
        <v/>
      </c>
      <c r="BA8" s="4">
        <f>Fuera_muestra!G16</f>
        <v/>
      </c>
      <c r="BB8" s="2">
        <f>AZ8/BA8</f>
        <v/>
      </c>
    </row>
    <row r="9">
      <c r="A9" s="3" t="inlineStr">
        <is>
          <t>M0_compra_base_P2</t>
        </is>
      </c>
      <c r="B9" s="3" t="inlineStr">
        <is>
          <t>M0</t>
        </is>
      </c>
      <c r="C9" s="3" t="inlineStr">
        <is>
          <t>ols_tramos_hac</t>
        </is>
      </c>
      <c r="D9" s="3" t="inlineStr">
        <is>
          <t>compra</t>
        </is>
      </c>
      <c r="E9" s="3" t="inlineStr">
        <is>
          <t>nacional</t>
        </is>
      </c>
      <c r="F9" s="3" t="inlineStr">
        <is>
          <t>P2</t>
        </is>
      </c>
      <c r="G9" s="3" t="inlineStr">
        <is>
          <t>d4_ln_p_tasado_real</t>
        </is>
      </c>
      <c r="H9" s="3" t="inlineStr">
        <is>
          <t>d4_ln*100</t>
        </is>
      </c>
      <c r="I9" s="3" t="inlineStr">
        <is>
          <t>valor tasado MIVAU, real (IPC general)</t>
        </is>
      </c>
      <c r="J9" s="3" t="inlineStr">
        <is>
          <t>tipo_hip_real</t>
        </is>
      </c>
      <c r="K9" s="3" t="n">
        <v>1.169579535700941</v>
      </c>
      <c r="L9" s="3" t="n">
        <v>0.1999083567244375</v>
      </c>
      <c r="M9" s="3" t="inlineStr">
        <is>
          <t>HAC-NW(4), t(16)</t>
        </is>
      </c>
      <c r="N9" s="3" t="n">
        <v>5.850578509397389</v>
      </c>
      <c r="O9" s="3" t="n">
        <v>2.460318246428914e-05</v>
      </c>
      <c r="P9" s="3" t="n">
        <v>0.0001324786748077</v>
      </c>
      <c r="Q9" s="3" t="inlineStr">
        <is>
          <t>BH</t>
        </is>
      </c>
      <c r="R9" s="3" t="n">
        <v>0.7457927509221932</v>
      </c>
      <c r="S9" s="3" t="n">
        <v>1.59336632047969</v>
      </c>
      <c r="T9" s="3" t="n">
        <v>0.6536324251750424</v>
      </c>
      <c r="U9" s="3" t="n"/>
      <c r="V9" s="3" t="n">
        <v>22</v>
      </c>
      <c r="W9" s="3" t="n">
        <v>0.9372563972290162</v>
      </c>
      <c r="X9" s="3" t="n">
        <v>0.9176490213630838</v>
      </c>
      <c r="Y9" s="3" t="n">
        <v>53.42730781023189</v>
      </c>
      <c r="Z9" s="3" t="n">
        <v>59.97356253038178</v>
      </c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inlineStr">
        <is>
          <t>C4</t>
        </is>
      </c>
      <c r="AN9" s="3" t="n">
        <v>192</v>
      </c>
      <c r="AO9" s="3" t="n">
        <v>0.6354166666666666</v>
      </c>
      <c r="AP9" s="3" t="n">
        <v>0.265625</v>
      </c>
      <c r="AQ9" s="3" t="inlineStr">
        <is>
          <t>no</t>
        </is>
      </c>
      <c r="AR9" s="3" t="inlineStr">
        <is>
          <t>no</t>
        </is>
      </c>
      <c r="AS9" s="3" t="inlineStr">
        <is>
          <t>si</t>
        </is>
      </c>
      <c r="AT9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9" s="3" t="inlineStr">
        <is>
          <t>src/v8/m0_periodos.py</t>
        </is>
      </c>
      <c r="AV9" s="3" t="inlineStr">
        <is>
          <t>(b) mejor de la familia ols_tramos_hac: ecuacion AR1+X por periodo; unico candidato con OOS en la familia</t>
        </is>
      </c>
      <c r="AW9" s="3" t="inlineStr">
        <is>
          <t>M0:AR1+X_por_periodo</t>
        </is>
      </c>
      <c r="AX9" s="3" t="inlineStr">
        <is>
          <t>si</t>
        </is>
      </c>
      <c r="AY9" s="3" t="inlineStr">
        <is>
          <t>output/v8/M0/coeficientes.csv</t>
        </is>
      </c>
      <c r="AZ9" s="4">
        <f>Fuera_muestra!F16</f>
        <v/>
      </c>
      <c r="BA9" s="4">
        <f>Fuera_muestra!G16</f>
        <v/>
      </c>
      <c r="BB9" s="2">
        <f>AZ9/BA9</f>
        <v/>
      </c>
    </row>
    <row r="10">
      <c r="A10" s="3" t="inlineStr">
        <is>
          <t>M0_compra_base_P2</t>
        </is>
      </c>
      <c r="B10" s="3" t="inlineStr">
        <is>
          <t>M0</t>
        </is>
      </c>
      <c r="C10" s="3" t="inlineStr">
        <is>
          <t>ols_tramos_hac</t>
        </is>
      </c>
      <c r="D10" s="3" t="inlineStr">
        <is>
          <t>compra</t>
        </is>
      </c>
      <c r="E10" s="3" t="inlineStr">
        <is>
          <t>nacional</t>
        </is>
      </c>
      <c r="F10" s="3" t="inlineStr">
        <is>
          <t>P2</t>
        </is>
      </c>
      <c r="G10" s="3" t="inlineStr">
        <is>
          <t>d4_ln_p_tasado_real</t>
        </is>
      </c>
      <c r="H10" s="3" t="inlineStr">
        <is>
          <t>d4_ln*100</t>
        </is>
      </c>
      <c r="I10" s="3" t="inlineStr">
        <is>
          <t>valor tasado MIVAU, real (IPC general)</t>
        </is>
      </c>
      <c r="J10" s="3" t="inlineStr">
        <is>
          <t>d4_credito_vivienda_real</t>
        </is>
      </c>
      <c r="K10" s="3" t="n">
        <v>0.5275016912081567</v>
      </c>
      <c r="L10" s="3" t="n">
        <v>0.1494502816471779</v>
      </c>
      <c r="M10" s="3" t="inlineStr">
        <is>
          <t>HAC-NW(4), t(16)</t>
        </is>
      </c>
      <c r="N10" s="3" t="n">
        <v>3.529613229190709</v>
      </c>
      <c r="O10" s="3" t="n">
        <v>0.0027838558501135</v>
      </c>
      <c r="P10" s="3" t="n">
        <v>0.0081221687849602</v>
      </c>
      <c r="Q10" s="3" t="inlineStr">
        <is>
          <t>BH</t>
        </is>
      </c>
      <c r="R10" s="3" t="n">
        <v>0.2106812471741951</v>
      </c>
      <c r="S10" s="3" t="n">
        <v>0.8443221352421182</v>
      </c>
      <c r="T10" s="3" t="n">
        <v>0.6224565154390963</v>
      </c>
      <c r="U10" s="3" t="n"/>
      <c r="V10" s="3" t="n">
        <v>22</v>
      </c>
      <c r="W10" s="3" t="n">
        <v>0.9372563972290162</v>
      </c>
      <c r="X10" s="3" t="n">
        <v>0.9176490213630838</v>
      </c>
      <c r="Y10" s="3" t="n">
        <v>53.42730781023189</v>
      </c>
      <c r="Z10" s="3" t="n">
        <v>59.97356253038178</v>
      </c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inlineStr">
        <is>
          <t>C4</t>
        </is>
      </c>
      <c r="AN10" s="3" t="n"/>
      <c r="AO10" s="3" t="n"/>
      <c r="AP10" s="3" t="n"/>
      <c r="AQ10" s="3" t="inlineStr">
        <is>
          <t>no</t>
        </is>
      </c>
      <c r="AR10" s="3" t="inlineStr">
        <is>
          <t>no_evaluable</t>
        </is>
      </c>
      <c r="AS10" s="3" t="inlineStr">
        <is>
          <t>si</t>
        </is>
      </c>
      <c r="AT10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0" s="3" t="inlineStr">
        <is>
          <t>src/v8/m0_periodos.py</t>
        </is>
      </c>
      <c r="AV10" s="3" t="inlineStr">
        <is>
          <t>(b) mejor de la familia ols_tramos_hac: ecuacion AR1+X por periodo; unico candidato con OOS en la familia</t>
        </is>
      </c>
      <c r="AW10" s="3" t="inlineStr">
        <is>
          <t>M0:AR1+X_por_periodo</t>
        </is>
      </c>
      <c r="AX10" s="3" t="inlineStr">
        <is>
          <t>si</t>
        </is>
      </c>
      <c r="AY10" s="3" t="inlineStr">
        <is>
          <t>output/v8/M0/coeficientes.csv</t>
        </is>
      </c>
      <c r="AZ10" s="4">
        <f>Fuera_muestra!F16</f>
        <v/>
      </c>
      <c r="BA10" s="4">
        <f>Fuera_muestra!G16</f>
        <v/>
      </c>
      <c r="BB10" s="2">
        <f>AZ10/BA10</f>
        <v/>
      </c>
    </row>
    <row r="11">
      <c r="A11" s="3" t="inlineStr">
        <is>
          <t>M0_compra_base_P2</t>
        </is>
      </c>
      <c r="B11" s="3" t="inlineStr">
        <is>
          <t>M0</t>
        </is>
      </c>
      <c r="C11" s="3" t="inlineStr">
        <is>
          <t>ols_tramos_hac</t>
        </is>
      </c>
      <c r="D11" s="3" t="inlineStr">
        <is>
          <t>compra</t>
        </is>
      </c>
      <c r="E11" s="3" t="inlineStr">
        <is>
          <t>nacional</t>
        </is>
      </c>
      <c r="F11" s="3" t="inlineStr">
        <is>
          <t>P2</t>
        </is>
      </c>
      <c r="G11" s="3" t="inlineStr">
        <is>
          <t>d4_ln_p_tasado_real</t>
        </is>
      </c>
      <c r="H11" s="3" t="inlineStr">
        <is>
          <t>d4_ln*100</t>
        </is>
      </c>
      <c r="I11" s="3" t="inlineStr">
        <is>
          <t>valor tasado MIVAU, real (IPC general)</t>
        </is>
      </c>
      <c r="J11" s="3" t="inlineStr">
        <is>
          <t>d4_terminadas</t>
        </is>
      </c>
      <c r="K11" s="3" t="n">
        <v>0.0042193886652502</v>
      </c>
      <c r="L11" s="3" t="n">
        <v>0.0075889185680682</v>
      </c>
      <c r="M11" s="3" t="inlineStr">
        <is>
          <t>HAC-NW(4), t(16)</t>
        </is>
      </c>
      <c r="N11" s="3" t="n">
        <v>0.5559934037247566</v>
      </c>
      <c r="O11" s="3" t="n">
        <v>0.5859072809404308</v>
      </c>
      <c r="P11" s="3" t="n">
        <v>0.6608791876954667</v>
      </c>
      <c r="Q11" s="3" t="inlineStr">
        <is>
          <t>BH</t>
        </is>
      </c>
      <c r="R11" s="3" t="n">
        <v>-0.0118684000225561</v>
      </c>
      <c r="S11" s="3" t="n">
        <v>0.0203071773530566</v>
      </c>
      <c r="T11" s="3" t="n">
        <v>0.0285972059522747</v>
      </c>
      <c r="U11" s="3" t="n"/>
      <c r="V11" s="3" t="n">
        <v>22</v>
      </c>
      <c r="W11" s="3" t="n">
        <v>0.9372563972290162</v>
      </c>
      <c r="X11" s="3" t="n">
        <v>0.9176490213630838</v>
      </c>
      <c r="Y11" s="3" t="n">
        <v>53.42730781023189</v>
      </c>
      <c r="Z11" s="3" t="n">
        <v>59.97356253038178</v>
      </c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inlineStr">
        <is>
          <t>C4</t>
        </is>
      </c>
      <c r="AN11" s="3" t="n">
        <v>192</v>
      </c>
      <c r="AO11" s="3" t="n">
        <v>0.59375</v>
      </c>
      <c r="AP11" s="3" t="n">
        <v>0.1041666666666666</v>
      </c>
      <c r="AQ11" s="3" t="inlineStr">
        <is>
          <t>no</t>
        </is>
      </c>
      <c r="AR11" s="3" t="inlineStr">
        <is>
          <t>no</t>
        </is>
      </c>
      <c r="AS11" s="3" t="inlineStr">
        <is>
          <t>si</t>
        </is>
      </c>
      <c r="AT11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1" s="3" t="inlineStr">
        <is>
          <t>src/v8/m0_periodos.py</t>
        </is>
      </c>
      <c r="AV11" s="3" t="inlineStr">
        <is>
          <t>(b) mejor de la familia ols_tramos_hac: ecuacion AR1+X por periodo; unico candidato con OOS en la familia</t>
        </is>
      </c>
      <c r="AW11" s="3" t="inlineStr">
        <is>
          <t>M0:AR1+X_por_periodo</t>
        </is>
      </c>
      <c r="AX11" s="3" t="inlineStr">
        <is>
          <t>si</t>
        </is>
      </c>
      <c r="AY11" s="3" t="inlineStr">
        <is>
          <t>output/v8/M0/coeficientes.csv</t>
        </is>
      </c>
      <c r="AZ11" s="4">
        <f>Fuera_muestra!F16</f>
        <v/>
      </c>
      <c r="BA11" s="4">
        <f>Fuera_muestra!G16</f>
        <v/>
      </c>
      <c r="BB11" s="2">
        <f>AZ11/BA11</f>
        <v/>
      </c>
    </row>
    <row r="12">
      <c r="A12" s="3" t="inlineStr">
        <is>
          <t>M0_compra_base_P3</t>
        </is>
      </c>
      <c r="B12" s="3" t="inlineStr">
        <is>
          <t>M0</t>
        </is>
      </c>
      <c r="C12" s="3" t="inlineStr">
        <is>
          <t>ols_tramos_hac</t>
        </is>
      </c>
      <c r="D12" s="3" t="inlineStr">
        <is>
          <t>compra</t>
        </is>
      </c>
      <c r="E12" s="3" t="inlineStr">
        <is>
          <t>nacional</t>
        </is>
      </c>
      <c r="F12" s="3" t="inlineStr">
        <is>
          <t>P3</t>
        </is>
      </c>
      <c r="G12" s="3" t="inlineStr">
        <is>
          <t>d4_ln_p_tasado_real</t>
        </is>
      </c>
      <c r="H12" s="3" t="inlineStr">
        <is>
          <t>d4_ln*100</t>
        </is>
      </c>
      <c r="I12" s="3" t="inlineStr">
        <is>
          <t>valor tasado MIVAU, real (IPC general)</t>
        </is>
      </c>
      <c r="J12" s="3" t="inlineStr">
        <is>
          <t>d4_pob_total</t>
        </is>
      </c>
      <c r="K12" s="3" t="n">
        <v>4.079180947383265</v>
      </c>
      <c r="L12" s="3" t="n">
        <v>0.8491791787573282</v>
      </c>
      <c r="M12" s="3" t="inlineStr">
        <is>
          <t>HAC-NW(4), t(18)</t>
        </is>
      </c>
      <c r="N12" s="3" t="n">
        <v>4.803675183549197</v>
      </c>
      <c r="O12" s="3" t="n">
        <v>0.0001422521491712</v>
      </c>
      <c r="P12" s="3" t="n">
        <v>0.0006638433627990001</v>
      </c>
      <c r="Q12" s="3" t="inlineStr">
        <is>
          <t>BH</t>
        </is>
      </c>
      <c r="R12" s="3" t="n">
        <v>2.29512169461821</v>
      </c>
      <c r="S12" s="3" t="n">
        <v>5.86324020014832</v>
      </c>
      <c r="T12" s="3" t="n">
        <v>0.7913606216461455</v>
      </c>
      <c r="U12" s="3" t="n"/>
      <c r="V12" s="3" t="n">
        <v>24</v>
      </c>
      <c r="W12" s="3" t="n">
        <v>0.8902503952831303</v>
      </c>
      <c r="X12" s="3" t="n">
        <v>0.8597643939728887</v>
      </c>
      <c r="Y12" s="3" t="n">
        <v>55.98107477424126</v>
      </c>
      <c r="Z12" s="3" t="n">
        <v>63.04939775632893</v>
      </c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inlineStr">
        <is>
          <t>C4</t>
        </is>
      </c>
      <c r="AN12" s="3" t="n">
        <v>192</v>
      </c>
      <c r="AO12" s="3" t="n">
        <v>0.71875</v>
      </c>
      <c r="AP12" s="3" t="n">
        <v>0.140625</v>
      </c>
      <c r="AQ12" s="3" t="inlineStr">
        <is>
          <t>no</t>
        </is>
      </c>
      <c r="AR12" s="3" t="inlineStr">
        <is>
          <t>no</t>
        </is>
      </c>
      <c r="AS12" s="3" t="inlineStr">
        <is>
          <t>si</t>
        </is>
      </c>
      <c r="AT12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2" s="3" t="inlineStr">
        <is>
          <t>src/v8/m0_periodos.py</t>
        </is>
      </c>
      <c r="AV12" s="3" t="inlineStr">
        <is>
          <t>(b) mejor de la familia ols_tramos_hac: ecuacion AR1+X por periodo; unico candidato con OOS en la familia</t>
        </is>
      </c>
      <c r="AW12" s="3" t="inlineStr">
        <is>
          <t>M0:AR1+X_por_periodo</t>
        </is>
      </c>
      <c r="AX12" s="3" t="inlineStr">
        <is>
          <t>si</t>
        </is>
      </c>
      <c r="AY12" s="3" t="inlineStr">
        <is>
          <t>output/v8/M0/coeficientes.csv</t>
        </is>
      </c>
      <c r="AZ12" s="4">
        <f>Fuera_muestra!F16</f>
        <v/>
      </c>
      <c r="BA12" s="4">
        <f>Fuera_muestra!G16</f>
        <v/>
      </c>
      <c r="BB12" s="2">
        <f>AZ12/BA12</f>
        <v/>
      </c>
    </row>
    <row r="13">
      <c r="A13" s="3" t="inlineStr">
        <is>
          <t>M0_compra_base_P3</t>
        </is>
      </c>
      <c r="B13" s="3" t="inlineStr">
        <is>
          <t>M0</t>
        </is>
      </c>
      <c r="C13" s="3" t="inlineStr">
        <is>
          <t>ols_tramos_hac</t>
        </is>
      </c>
      <c r="D13" s="3" t="inlineStr">
        <is>
          <t>compra</t>
        </is>
      </c>
      <c r="E13" s="3" t="inlineStr">
        <is>
          <t>nacional</t>
        </is>
      </c>
      <c r="F13" s="3" t="inlineStr">
        <is>
          <t>P3</t>
        </is>
      </c>
      <c r="G13" s="3" t="inlineStr">
        <is>
          <t>d4_ln_p_tasado_real</t>
        </is>
      </c>
      <c r="H13" s="3" t="inlineStr">
        <is>
          <t>d4_ln*100</t>
        </is>
      </c>
      <c r="I13" s="3" t="inlineStr">
        <is>
          <t>valor tasado MIVAU, real (IPC general)</t>
        </is>
      </c>
      <c r="J13" s="3" t="inlineStr">
        <is>
          <t>d4_pib_vol</t>
        </is>
      </c>
      <c r="K13" s="3" t="n">
        <v>1.453904291848481</v>
      </c>
      <c r="L13" s="3" t="n">
        <v>0.1936462014675437</v>
      </c>
      <c r="M13" s="3" t="inlineStr">
        <is>
          <t>HAC-NW(4), t(18)</t>
        </is>
      </c>
      <c r="N13" s="3" t="n">
        <v>7.508044468882415</v>
      </c>
      <c r="O13" s="3" t="n">
        <v>5.978350941202892e-07</v>
      </c>
      <c r="P13" s="3" t="n">
        <v>5.231057073552531e-06</v>
      </c>
      <c r="Q13" s="3" t="inlineStr">
        <is>
          <t>BH</t>
        </is>
      </c>
      <c r="R13" s="3" t="n">
        <v>1.047068719176362</v>
      </c>
      <c r="S13" s="3" t="n">
        <v>1.8607398645206</v>
      </c>
      <c r="T13" s="3" t="n">
        <v>0.7231769538709429</v>
      </c>
      <c r="U13" s="3" t="n"/>
      <c r="V13" s="3" t="n">
        <v>24</v>
      </c>
      <c r="W13" s="3" t="n">
        <v>0.8902503952831303</v>
      </c>
      <c r="X13" s="3" t="n">
        <v>0.8597643939728887</v>
      </c>
      <c r="Y13" s="3" t="n">
        <v>55.98107477424126</v>
      </c>
      <c r="Z13" s="3" t="n">
        <v>63.04939775632893</v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inlineStr">
        <is>
          <t>C4</t>
        </is>
      </c>
      <c r="AN13" s="3" t="n">
        <v>192</v>
      </c>
      <c r="AO13" s="3" t="n">
        <v>0.9479166666666666</v>
      </c>
      <c r="AP13" s="3" t="n">
        <v>0.4322916666666667</v>
      </c>
      <c r="AQ13" s="3" t="inlineStr">
        <is>
          <t>no</t>
        </is>
      </c>
      <c r="AR13" s="3" t="inlineStr">
        <is>
          <t>no</t>
        </is>
      </c>
      <c r="AS13" s="3" t="inlineStr">
        <is>
          <t>si</t>
        </is>
      </c>
      <c r="AT13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3" s="3" t="inlineStr">
        <is>
          <t>src/v8/m0_periodos.py</t>
        </is>
      </c>
      <c r="AV13" s="3" t="inlineStr">
        <is>
          <t>(b) mejor de la familia ols_tramos_hac: ecuacion AR1+X por periodo; unico candidato con OOS en la familia</t>
        </is>
      </c>
      <c r="AW13" s="3" t="inlineStr">
        <is>
          <t>M0:AR1+X_por_periodo</t>
        </is>
      </c>
      <c r="AX13" s="3" t="inlineStr">
        <is>
          <t>si</t>
        </is>
      </c>
      <c r="AY13" s="3" t="inlineStr">
        <is>
          <t>output/v8/M0/coeficientes.csv</t>
        </is>
      </c>
      <c r="AZ13" s="4">
        <f>Fuera_muestra!F16</f>
        <v/>
      </c>
      <c r="BA13" s="4">
        <f>Fuera_muestra!G16</f>
        <v/>
      </c>
      <c r="BB13" s="2">
        <f>AZ13/BA13</f>
        <v/>
      </c>
    </row>
    <row r="14">
      <c r="A14" s="3" t="inlineStr">
        <is>
          <t>M0_compra_base_P3</t>
        </is>
      </c>
      <c r="B14" s="3" t="inlineStr">
        <is>
          <t>M0</t>
        </is>
      </c>
      <c r="C14" s="3" t="inlineStr">
        <is>
          <t>ols_tramos_hac</t>
        </is>
      </c>
      <c r="D14" s="3" t="inlineStr">
        <is>
          <t>compra</t>
        </is>
      </c>
      <c r="E14" s="3" t="inlineStr">
        <is>
          <t>nacional</t>
        </is>
      </c>
      <c r="F14" s="3" t="inlineStr">
        <is>
          <t>P3</t>
        </is>
      </c>
      <c r="G14" s="3" t="inlineStr">
        <is>
          <t>d4_ln_p_tasado_real</t>
        </is>
      </c>
      <c r="H14" s="3" t="inlineStr">
        <is>
          <t>d4_ln*100</t>
        </is>
      </c>
      <c r="I14" s="3" t="inlineStr">
        <is>
          <t>valor tasado MIVAU, real (IPC general)</t>
        </is>
      </c>
      <c r="J14" s="3" t="inlineStr">
        <is>
          <t>tipo_hip_real</t>
        </is>
      </c>
      <c r="K14" s="3" t="n">
        <v>0.2191083921988592</v>
      </c>
      <c r="L14" s="3" t="n">
        <v>0.1698509656286773</v>
      </c>
      <c r="M14" s="3" t="inlineStr">
        <is>
          <t>HAC-NW(4), t(18)</t>
        </is>
      </c>
      <c r="N14" s="3" t="n">
        <v>1.29000380650097</v>
      </c>
      <c r="O14" s="3" t="n">
        <v>0.2133770045077722</v>
      </c>
      <c r="P14" s="3" t="n">
        <v>0.3048242921539603</v>
      </c>
      <c r="Q14" s="3" t="inlineStr">
        <is>
          <t>BH</t>
        </is>
      </c>
      <c r="R14" s="3" t="n">
        <v>-0.137735245046652</v>
      </c>
      <c r="S14" s="3" t="n">
        <v>0.5759520294443705</v>
      </c>
      <c r="T14" s="3" t="n">
        <v>0.1535817640728455</v>
      </c>
      <c r="U14" s="3" t="n"/>
      <c r="V14" s="3" t="n">
        <v>24</v>
      </c>
      <c r="W14" s="3" t="n">
        <v>0.8902503952831303</v>
      </c>
      <c r="X14" s="3" t="n">
        <v>0.8597643939728887</v>
      </c>
      <c r="Y14" s="3" t="n">
        <v>55.98107477424126</v>
      </c>
      <c r="Z14" s="3" t="n">
        <v>63.04939775632893</v>
      </c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inlineStr">
        <is>
          <t>C4</t>
        </is>
      </c>
      <c r="AN14" s="3" t="n">
        <v>192</v>
      </c>
      <c r="AO14" s="3" t="n">
        <v>0.78125</v>
      </c>
      <c r="AP14" s="3" t="n">
        <v>0.1927083333333333</v>
      </c>
      <c r="AQ14" s="3" t="inlineStr">
        <is>
          <t>no</t>
        </is>
      </c>
      <c r="AR14" s="3" t="inlineStr">
        <is>
          <t>no</t>
        </is>
      </c>
      <c r="AS14" s="3" t="inlineStr">
        <is>
          <t>si</t>
        </is>
      </c>
      <c r="AT14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4" s="3" t="inlineStr">
        <is>
          <t>src/v8/m0_periodos.py</t>
        </is>
      </c>
      <c r="AV14" s="3" t="inlineStr">
        <is>
          <t>(b) mejor de la familia ols_tramos_hac: ecuacion AR1+X por periodo; unico candidato con OOS en la familia</t>
        </is>
      </c>
      <c r="AW14" s="3" t="inlineStr">
        <is>
          <t>M0:AR1+X_por_periodo</t>
        </is>
      </c>
      <c r="AX14" s="3" t="inlineStr">
        <is>
          <t>si</t>
        </is>
      </c>
      <c r="AY14" s="3" t="inlineStr">
        <is>
          <t>output/v8/M0/coeficientes.csv</t>
        </is>
      </c>
      <c r="AZ14" s="4">
        <f>Fuera_muestra!F16</f>
        <v/>
      </c>
      <c r="BA14" s="4">
        <f>Fuera_muestra!G16</f>
        <v/>
      </c>
      <c r="BB14" s="2">
        <f>AZ14/BA14</f>
        <v/>
      </c>
    </row>
    <row r="15">
      <c r="A15" s="3" t="inlineStr">
        <is>
          <t>M0_compra_base_P3</t>
        </is>
      </c>
      <c r="B15" s="3" t="inlineStr">
        <is>
          <t>M0</t>
        </is>
      </c>
      <c r="C15" s="3" t="inlineStr">
        <is>
          <t>ols_tramos_hac</t>
        </is>
      </c>
      <c r="D15" s="3" t="inlineStr">
        <is>
          <t>compra</t>
        </is>
      </c>
      <c r="E15" s="3" t="inlineStr">
        <is>
          <t>nacional</t>
        </is>
      </c>
      <c r="F15" s="3" t="inlineStr">
        <is>
          <t>P3</t>
        </is>
      </c>
      <c r="G15" s="3" t="inlineStr">
        <is>
          <t>d4_ln_p_tasado_real</t>
        </is>
      </c>
      <c r="H15" s="3" t="inlineStr">
        <is>
          <t>d4_ln*100</t>
        </is>
      </c>
      <c r="I15" s="3" t="inlineStr">
        <is>
          <t>valor tasado MIVAU, real (IPC general)</t>
        </is>
      </c>
      <c r="J15" s="3" t="inlineStr">
        <is>
          <t>d4_credito_vivienda_real</t>
        </is>
      </c>
      <c r="K15" s="3" t="n">
        <v>0.2821948694505911</v>
      </c>
      <c r="L15" s="3" t="n">
        <v>0.2080152759975272</v>
      </c>
      <c r="M15" s="3" t="inlineStr">
        <is>
          <t>HAC-NW(4), t(18)</t>
        </is>
      </c>
      <c r="N15" s="3" t="n">
        <v>1.356606470834121</v>
      </c>
      <c r="O15" s="3" t="n">
        <v>0.1916783225670374</v>
      </c>
      <c r="P15" s="3" t="n">
        <v>0.2854783527594174</v>
      </c>
      <c r="Q15" s="3" t="inlineStr">
        <is>
          <t>BH</t>
        </is>
      </c>
      <c r="R15" s="3" t="n">
        <v>-0.1548290085994365</v>
      </c>
      <c r="S15" s="3" t="n">
        <v>0.7192187475006186</v>
      </c>
      <c r="T15" s="3" t="n">
        <v>0.1632785615485584</v>
      </c>
      <c r="U15" s="3" t="n"/>
      <c r="V15" s="3" t="n">
        <v>24</v>
      </c>
      <c r="W15" s="3" t="n">
        <v>0.8902503952831303</v>
      </c>
      <c r="X15" s="3" t="n">
        <v>0.8597643939728887</v>
      </c>
      <c r="Y15" s="3" t="n">
        <v>55.98107477424126</v>
      </c>
      <c r="Z15" s="3" t="n">
        <v>63.04939775632893</v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inlineStr">
        <is>
          <t>C4</t>
        </is>
      </c>
      <c r="AN15" s="3" t="n"/>
      <c r="AO15" s="3" t="n"/>
      <c r="AP15" s="3" t="n"/>
      <c r="AQ15" s="3" t="inlineStr">
        <is>
          <t>no</t>
        </is>
      </c>
      <c r="AR15" s="3" t="inlineStr">
        <is>
          <t>no_evaluable</t>
        </is>
      </c>
      <c r="AS15" s="3" t="inlineStr">
        <is>
          <t>si</t>
        </is>
      </c>
      <c r="AT15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5" s="3" t="inlineStr">
        <is>
          <t>src/v8/m0_periodos.py</t>
        </is>
      </c>
      <c r="AV15" s="3" t="inlineStr">
        <is>
          <t>(b) mejor de la familia ols_tramos_hac: ecuacion AR1+X por periodo; unico candidato con OOS en la familia</t>
        </is>
      </c>
      <c r="AW15" s="3" t="inlineStr">
        <is>
          <t>M0:AR1+X_por_periodo</t>
        </is>
      </c>
      <c r="AX15" s="3" t="inlineStr">
        <is>
          <t>si</t>
        </is>
      </c>
      <c r="AY15" s="3" t="inlineStr">
        <is>
          <t>output/v8/M0/coeficientes.csv</t>
        </is>
      </c>
      <c r="AZ15" s="4">
        <f>Fuera_muestra!F16</f>
        <v/>
      </c>
      <c r="BA15" s="4">
        <f>Fuera_muestra!G16</f>
        <v/>
      </c>
      <c r="BB15" s="2">
        <f>AZ15/BA15</f>
        <v/>
      </c>
    </row>
    <row r="16">
      <c r="A16" s="3" t="inlineStr">
        <is>
          <t>M0_compra_base_P3</t>
        </is>
      </c>
      <c r="B16" s="3" t="inlineStr">
        <is>
          <t>M0</t>
        </is>
      </c>
      <c r="C16" s="3" t="inlineStr">
        <is>
          <t>ols_tramos_hac</t>
        </is>
      </c>
      <c r="D16" s="3" t="inlineStr">
        <is>
          <t>compra</t>
        </is>
      </c>
      <c r="E16" s="3" t="inlineStr">
        <is>
          <t>nacional</t>
        </is>
      </c>
      <c r="F16" s="3" t="inlineStr">
        <is>
          <t>P3</t>
        </is>
      </c>
      <c r="G16" s="3" t="inlineStr">
        <is>
          <t>d4_ln_p_tasado_real</t>
        </is>
      </c>
      <c r="H16" s="3" t="inlineStr">
        <is>
          <t>d4_ln*100</t>
        </is>
      </c>
      <c r="I16" s="3" t="inlineStr">
        <is>
          <t>valor tasado MIVAU, real (IPC general)</t>
        </is>
      </c>
      <c r="J16" s="3" t="inlineStr">
        <is>
          <t>d4_terminadas</t>
        </is>
      </c>
      <c r="K16" s="3" t="n">
        <v>-0.0136741994317372</v>
      </c>
      <c r="L16" s="3" t="n">
        <v>0.008616283586097701</v>
      </c>
      <c r="M16" s="3" t="inlineStr">
        <is>
          <t>HAC-NW(4), t(18)</t>
        </is>
      </c>
      <c r="N16" s="3" t="n">
        <v>-1.587018265485172</v>
      </c>
      <c r="O16" s="3" t="n">
        <v>0.1299191329105073</v>
      </c>
      <c r="P16" s="3" t="n">
        <v>0.2114962628775701</v>
      </c>
      <c r="Q16" s="3" t="inlineStr">
        <is>
          <t>BH</t>
        </is>
      </c>
      <c r="R16" s="3" t="n">
        <v>-0.0317763395227371</v>
      </c>
      <c r="S16" s="3" t="n">
        <v>0.0044279406592626</v>
      </c>
      <c r="T16" s="3" t="n">
        <v>-0.1756548408953692</v>
      </c>
      <c r="U16" s="3" t="n"/>
      <c r="V16" s="3" t="n">
        <v>24</v>
      </c>
      <c r="W16" s="3" t="n">
        <v>0.8902503952831303</v>
      </c>
      <c r="X16" s="3" t="n">
        <v>0.8597643939728887</v>
      </c>
      <c r="Y16" s="3" t="n">
        <v>55.98107477424126</v>
      </c>
      <c r="Z16" s="3" t="n">
        <v>63.04939775632893</v>
      </c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inlineStr">
        <is>
          <t>C4</t>
        </is>
      </c>
      <c r="AN16" s="3" t="n">
        <v>192</v>
      </c>
      <c r="AO16" s="3" t="n">
        <v>0.5729166666666666</v>
      </c>
      <c r="AP16" s="3" t="n">
        <v>0.1875</v>
      </c>
      <c r="AQ16" s="3" t="inlineStr">
        <is>
          <t>no</t>
        </is>
      </c>
      <c r="AR16" s="3" t="inlineStr">
        <is>
          <t>no</t>
        </is>
      </c>
      <c r="AS16" s="3" t="inlineStr">
        <is>
          <t>si</t>
        </is>
      </c>
      <c r="AT16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6" s="3" t="inlineStr">
        <is>
          <t>src/v8/m0_periodos.py</t>
        </is>
      </c>
      <c r="AV16" s="3" t="inlineStr">
        <is>
          <t>(b) mejor de la familia ols_tramos_hac: ecuacion AR1+X por periodo; unico candidato con OOS en la familia</t>
        </is>
      </c>
      <c r="AW16" s="3" t="inlineStr">
        <is>
          <t>M0:AR1+X_por_periodo</t>
        </is>
      </c>
      <c r="AX16" s="3" t="inlineStr">
        <is>
          <t>si</t>
        </is>
      </c>
      <c r="AY16" s="3" t="inlineStr">
        <is>
          <t>output/v8/M0/coeficientes.csv</t>
        </is>
      </c>
      <c r="AZ16" s="4">
        <f>Fuera_muestra!F16</f>
        <v/>
      </c>
      <c r="BA16" s="4">
        <f>Fuera_muestra!G16</f>
        <v/>
      </c>
      <c r="BB16" s="2">
        <f>AZ16/BA16</f>
        <v/>
      </c>
    </row>
    <row r="17">
      <c r="A17" s="3" t="inlineStr">
        <is>
          <t>M0_compra_base_P4</t>
        </is>
      </c>
      <c r="B17" s="3" t="inlineStr">
        <is>
          <t>M0</t>
        </is>
      </c>
      <c r="C17" s="3" t="inlineStr">
        <is>
          <t>ols_tramos_hac</t>
        </is>
      </c>
      <c r="D17" s="3" t="inlineStr">
        <is>
          <t>compra</t>
        </is>
      </c>
      <c r="E17" s="3" t="inlineStr">
        <is>
          <t>nacional</t>
        </is>
      </c>
      <c r="F17" s="3" t="inlineStr">
        <is>
          <t>P4</t>
        </is>
      </c>
      <c r="G17" s="3" t="inlineStr">
        <is>
          <t>d4_ln_p_tasado_real</t>
        </is>
      </c>
      <c r="H17" s="3" t="inlineStr">
        <is>
          <t>d4_ln*100</t>
        </is>
      </c>
      <c r="I17" s="3" t="inlineStr">
        <is>
          <t>valor tasado MIVAU, real (IPC general)</t>
        </is>
      </c>
      <c r="J17" s="3" t="inlineStr">
        <is>
          <t>d4_pob_total</t>
        </is>
      </c>
      <c r="K17" s="3" t="n">
        <v>0.1955470186517353</v>
      </c>
      <c r="L17" s="3" t="n">
        <v>3.094337026910009</v>
      </c>
      <c r="M17" s="3" t="inlineStr">
        <is>
          <t>HAC-NW(4), t(3)</t>
        </is>
      </c>
      <c r="N17" s="3" t="n">
        <v>0.0631951261130103</v>
      </c>
      <c r="O17" s="3" t="n">
        <v>0.953586112803214</v>
      </c>
      <c r="P17" s="3" t="n">
        <v>0.953586112803214</v>
      </c>
      <c r="Q17" s="3" t="inlineStr">
        <is>
          <t>BH</t>
        </is>
      </c>
      <c r="R17" s="3" t="n">
        <v>-9.652014419940596</v>
      </c>
      <c r="S17" s="3" t="n">
        <v>10.04310845724407</v>
      </c>
      <c r="T17" s="3" t="n">
        <v>0.0547697033776923</v>
      </c>
      <c r="U17" s="3" t="n"/>
      <c r="V17" s="3" t="n">
        <v>9</v>
      </c>
      <c r="W17" s="3" t="n">
        <v>0.8926107229947866</v>
      </c>
      <c r="X17" s="3" t="n">
        <v>0.7136285946527643</v>
      </c>
      <c r="Y17" s="3" t="n">
        <v>14.15450995097398</v>
      </c>
      <c r="Z17" s="3" t="n">
        <v>15.3378574149913</v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inlineStr">
        <is>
          <t>C4</t>
        </is>
      </c>
      <c r="AN17" s="3" t="n">
        <v>240</v>
      </c>
      <c r="AO17" s="3" t="n">
        <v>0.6666666666666666</v>
      </c>
      <c r="AP17" s="3" t="n">
        <v>0.2416666666666666</v>
      </c>
      <c r="AQ17" s="3" t="inlineStr">
        <is>
          <t>no</t>
        </is>
      </c>
      <c r="AR17" s="3" t="inlineStr">
        <is>
          <t>no</t>
        </is>
      </c>
      <c r="AS17" s="3" t="inlineStr">
        <is>
          <t>si</t>
        </is>
      </c>
      <c r="AT17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7" s="3" t="inlineStr">
        <is>
          <t>src/v8/m0_periodos.py</t>
        </is>
      </c>
      <c r="AV17" s="3" t="inlineStr">
        <is>
          <t>(b) mejor de la familia ols_tramos_hac: ecuacion AR1+X por periodo; unico candidato con OOS en la familia</t>
        </is>
      </c>
      <c r="AW17" s="3" t="inlineStr">
        <is>
          <t>M0:AR1+X_por_periodo</t>
        </is>
      </c>
      <c r="AX17" s="3" t="inlineStr">
        <is>
          <t>si</t>
        </is>
      </c>
      <c r="AY17" s="3" t="inlineStr">
        <is>
          <t>output/v8/M0/coeficientes.csv</t>
        </is>
      </c>
      <c r="AZ17" s="4">
        <f>Fuera_muestra!F16</f>
        <v/>
      </c>
      <c r="BA17" s="4">
        <f>Fuera_muestra!G16</f>
        <v/>
      </c>
      <c r="BB17" s="2">
        <f>AZ17/BA17</f>
        <v/>
      </c>
    </row>
    <row r="18">
      <c r="A18" s="3" t="inlineStr">
        <is>
          <t>M0_compra_base_P4</t>
        </is>
      </c>
      <c r="B18" s="3" t="inlineStr">
        <is>
          <t>M0</t>
        </is>
      </c>
      <c r="C18" s="3" t="inlineStr">
        <is>
          <t>ols_tramos_hac</t>
        </is>
      </c>
      <c r="D18" s="3" t="inlineStr">
        <is>
          <t>compra</t>
        </is>
      </c>
      <c r="E18" s="3" t="inlineStr">
        <is>
          <t>nacional</t>
        </is>
      </c>
      <c r="F18" s="3" t="inlineStr">
        <is>
          <t>P4</t>
        </is>
      </c>
      <c r="G18" s="3" t="inlineStr">
        <is>
          <t>d4_ln_p_tasado_real</t>
        </is>
      </c>
      <c r="H18" s="3" t="inlineStr">
        <is>
          <t>d4_ln*100</t>
        </is>
      </c>
      <c r="I18" s="3" t="inlineStr">
        <is>
          <t>valor tasado MIVAU, real (IPC general)</t>
        </is>
      </c>
      <c r="J18" s="3" t="inlineStr">
        <is>
          <t>d4_pib_vol</t>
        </is>
      </c>
      <c r="K18" s="3" t="n">
        <v>-0.1470445644255602</v>
      </c>
      <c r="L18" s="3" t="n">
        <v>0.0288142887475132</v>
      </c>
      <c r="M18" s="3" t="inlineStr">
        <is>
          <t>HAC-NW(4), t(3)</t>
        </is>
      </c>
      <c r="N18" s="3" t="n">
        <v>-5.103182164725492</v>
      </c>
      <c r="O18" s="3" t="n">
        <v>0.0145528637914512</v>
      </c>
      <c r="P18" s="3" t="n">
        <v>0.0351276022552271</v>
      </c>
      <c r="Q18" s="3" t="inlineStr">
        <is>
          <t>BH</t>
        </is>
      </c>
      <c r="R18" s="3" t="n">
        <v>-0.2387444911894617</v>
      </c>
      <c r="S18" s="3" t="n">
        <v>-0.0553446376616586</v>
      </c>
      <c r="T18" s="3" t="n">
        <v>-2.095571340891892</v>
      </c>
      <c r="U18" s="3" t="n"/>
      <c r="V18" s="3" t="n">
        <v>9</v>
      </c>
      <c r="W18" s="3" t="n">
        <v>0.8926107229947866</v>
      </c>
      <c r="X18" s="3" t="n">
        <v>0.7136285946527643</v>
      </c>
      <c r="Y18" s="3" t="n">
        <v>14.15450995097398</v>
      </c>
      <c r="Z18" s="3" t="n">
        <v>15.3378574149913</v>
      </c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inlineStr">
        <is>
          <t>C4</t>
        </is>
      </c>
      <c r="AN18" s="3" t="n">
        <v>240</v>
      </c>
      <c r="AO18" s="3" t="n">
        <v>0.525</v>
      </c>
      <c r="AP18" s="3" t="n">
        <v>0.2625</v>
      </c>
      <c r="AQ18" s="3" t="inlineStr">
        <is>
          <t>no</t>
        </is>
      </c>
      <c r="AR18" s="3" t="inlineStr">
        <is>
          <t>no</t>
        </is>
      </c>
      <c r="AS18" s="3" t="inlineStr">
        <is>
          <t>si</t>
        </is>
      </c>
      <c r="AT18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8" s="3" t="inlineStr">
        <is>
          <t>src/v8/m0_periodos.py</t>
        </is>
      </c>
      <c r="AV18" s="3" t="inlineStr">
        <is>
          <t>(b) mejor de la familia ols_tramos_hac: ecuacion AR1+X por periodo; unico candidato con OOS en la familia</t>
        </is>
      </c>
      <c r="AW18" s="3" t="inlineStr">
        <is>
          <t>M0:AR1+X_por_periodo</t>
        </is>
      </c>
      <c r="AX18" s="3" t="inlineStr">
        <is>
          <t>si</t>
        </is>
      </c>
      <c r="AY18" s="3" t="inlineStr">
        <is>
          <t>output/v8/M0/coeficientes.csv</t>
        </is>
      </c>
      <c r="AZ18" s="4">
        <f>Fuera_muestra!F16</f>
        <v/>
      </c>
      <c r="BA18" s="4">
        <f>Fuera_muestra!G16</f>
        <v/>
      </c>
      <c r="BB18" s="2">
        <f>AZ18/BA18</f>
        <v/>
      </c>
    </row>
    <row r="19">
      <c r="A19" s="3" t="inlineStr">
        <is>
          <t>M0_compra_base_P4</t>
        </is>
      </c>
      <c r="B19" s="3" t="inlineStr">
        <is>
          <t>M0</t>
        </is>
      </c>
      <c r="C19" s="3" t="inlineStr">
        <is>
          <t>ols_tramos_hac</t>
        </is>
      </c>
      <c r="D19" s="3" t="inlineStr">
        <is>
          <t>compra</t>
        </is>
      </c>
      <c r="E19" s="3" t="inlineStr">
        <is>
          <t>nacional</t>
        </is>
      </c>
      <c r="F19" s="3" t="inlineStr">
        <is>
          <t>P4</t>
        </is>
      </c>
      <c r="G19" s="3" t="inlineStr">
        <is>
          <t>d4_ln_p_tasado_real</t>
        </is>
      </c>
      <c r="H19" s="3" t="inlineStr">
        <is>
          <t>d4_ln*100</t>
        </is>
      </c>
      <c r="I19" s="3" t="inlineStr">
        <is>
          <t>valor tasado MIVAU, real (IPC general)</t>
        </is>
      </c>
      <c r="J19" s="3" t="inlineStr">
        <is>
          <t>tipo_hip_real</t>
        </is>
      </c>
      <c r="K19" s="3" t="n">
        <v>-1.442338723691241</v>
      </c>
      <c r="L19" s="3" t="n">
        <v>0.8831068805892338</v>
      </c>
      <c r="M19" s="3" t="inlineStr">
        <is>
          <t>HAC-NW(4), t(3)</t>
        </is>
      </c>
      <c r="N19" s="3" t="n">
        <v>-1.633254994830152</v>
      </c>
      <c r="O19" s="3" t="n">
        <v>0.2009222881205077</v>
      </c>
      <c r="P19" s="3" t="n">
        <v>0.2930116701757405</v>
      </c>
      <c r="Q19" s="3" t="inlineStr">
        <is>
          <t>BH</t>
        </is>
      </c>
      <c r="R19" s="3" t="n">
        <v>-4.252778952993069</v>
      </c>
      <c r="S19" s="3" t="n">
        <v>1.368101505610586</v>
      </c>
      <c r="T19" s="3" t="n">
        <v>-6.042317503059598</v>
      </c>
      <c r="U19" s="3" t="n"/>
      <c r="V19" s="3" t="n">
        <v>9</v>
      </c>
      <c r="W19" s="3" t="n">
        <v>0.8926107229947866</v>
      </c>
      <c r="X19" s="3" t="n">
        <v>0.7136285946527643</v>
      </c>
      <c r="Y19" s="3" t="n">
        <v>14.15450995097398</v>
      </c>
      <c r="Z19" s="3" t="n">
        <v>15.3378574149913</v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inlineStr">
        <is>
          <t>C4</t>
        </is>
      </c>
      <c r="AN19" s="3" t="n">
        <v>240</v>
      </c>
      <c r="AO19" s="3" t="n">
        <v>0.525</v>
      </c>
      <c r="AP19" s="3" t="n">
        <v>0.225</v>
      </c>
      <c r="AQ19" s="3" t="inlineStr">
        <is>
          <t>no</t>
        </is>
      </c>
      <c r="AR19" s="3" t="inlineStr">
        <is>
          <t>no</t>
        </is>
      </c>
      <c r="AS19" s="3" t="inlineStr">
        <is>
          <t>si</t>
        </is>
      </c>
      <c r="AT19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9" s="3" t="inlineStr">
        <is>
          <t>src/v8/m0_periodos.py</t>
        </is>
      </c>
      <c r="AV19" s="3" t="inlineStr">
        <is>
          <t>(b) mejor de la familia ols_tramos_hac: ecuacion AR1+X por periodo; unico candidato con OOS en la familia</t>
        </is>
      </c>
      <c r="AW19" s="3" t="inlineStr">
        <is>
          <t>M0:AR1+X_por_periodo</t>
        </is>
      </c>
      <c r="AX19" s="3" t="inlineStr">
        <is>
          <t>si</t>
        </is>
      </c>
      <c r="AY19" s="3" t="inlineStr">
        <is>
          <t>output/v8/M0/coeficientes.csv</t>
        </is>
      </c>
      <c r="AZ19" s="4">
        <f>Fuera_muestra!F16</f>
        <v/>
      </c>
      <c r="BA19" s="4">
        <f>Fuera_muestra!G16</f>
        <v/>
      </c>
      <c r="BB19" s="2">
        <f>AZ19/BA19</f>
        <v/>
      </c>
    </row>
    <row r="20">
      <c r="A20" s="3" t="inlineStr">
        <is>
          <t>M0_compra_base_P4</t>
        </is>
      </c>
      <c r="B20" s="3" t="inlineStr">
        <is>
          <t>M0</t>
        </is>
      </c>
      <c r="C20" s="3" t="inlineStr">
        <is>
          <t>ols_tramos_hac</t>
        </is>
      </c>
      <c r="D20" s="3" t="inlineStr">
        <is>
          <t>compra</t>
        </is>
      </c>
      <c r="E20" s="3" t="inlineStr">
        <is>
          <t>nacional</t>
        </is>
      </c>
      <c r="F20" s="3" t="inlineStr">
        <is>
          <t>P4</t>
        </is>
      </c>
      <c r="G20" s="3" t="inlineStr">
        <is>
          <t>d4_ln_p_tasado_real</t>
        </is>
      </c>
      <c r="H20" s="3" t="inlineStr">
        <is>
          <t>d4_ln*100</t>
        </is>
      </c>
      <c r="I20" s="3" t="inlineStr">
        <is>
          <t>valor tasado MIVAU, real (IPC general)</t>
        </is>
      </c>
      <c r="J20" s="3" t="inlineStr">
        <is>
          <t>d4_credito_vivienda_real</t>
        </is>
      </c>
      <c r="K20" s="3" t="n">
        <v>1.785629698540284</v>
      </c>
      <c r="L20" s="3" t="n">
        <v>1.210728142957349</v>
      </c>
      <c r="M20" s="3" t="inlineStr">
        <is>
          <t>HAC-NW(4), t(3)</t>
        </is>
      </c>
      <c r="N20" s="3" t="n">
        <v>1.4748395078838</v>
      </c>
      <c r="O20" s="3" t="n">
        <v>0.236710843457054</v>
      </c>
      <c r="P20" s="3" t="n">
        <v>0.3239416258875565</v>
      </c>
      <c r="Q20" s="3" t="inlineStr">
        <is>
          <t>BH</t>
        </is>
      </c>
      <c r="R20" s="3" t="n">
        <v>-2.067447606717336</v>
      </c>
      <c r="S20" s="3" t="n">
        <v>5.638707003797903</v>
      </c>
      <c r="T20" s="3" t="n">
        <v>4.951331641577519</v>
      </c>
      <c r="U20" s="3" t="n"/>
      <c r="V20" s="3" t="n">
        <v>9</v>
      </c>
      <c r="W20" s="3" t="n">
        <v>0.8926107229947866</v>
      </c>
      <c r="X20" s="3" t="n">
        <v>0.7136285946527643</v>
      </c>
      <c r="Y20" s="3" t="n">
        <v>14.15450995097398</v>
      </c>
      <c r="Z20" s="3" t="n">
        <v>15.3378574149913</v>
      </c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inlineStr">
        <is>
          <t>C4</t>
        </is>
      </c>
      <c r="AN20" s="3" t="n"/>
      <c r="AO20" s="3" t="n"/>
      <c r="AP20" s="3" t="n"/>
      <c r="AQ20" s="3" t="inlineStr">
        <is>
          <t>no</t>
        </is>
      </c>
      <c r="AR20" s="3" t="inlineStr">
        <is>
          <t>no_evaluable</t>
        </is>
      </c>
      <c r="AS20" s="3" t="inlineStr">
        <is>
          <t>si</t>
        </is>
      </c>
      <c r="AT20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0" s="3" t="inlineStr">
        <is>
          <t>src/v8/m0_periodos.py</t>
        </is>
      </c>
      <c r="AV20" s="3" t="inlineStr">
        <is>
          <t>(b) mejor de la familia ols_tramos_hac: ecuacion AR1+X por periodo; unico candidato con OOS en la familia</t>
        </is>
      </c>
      <c r="AW20" s="3" t="inlineStr">
        <is>
          <t>M0:AR1+X_por_periodo</t>
        </is>
      </c>
      <c r="AX20" s="3" t="inlineStr">
        <is>
          <t>si</t>
        </is>
      </c>
      <c r="AY20" s="3" t="inlineStr">
        <is>
          <t>output/v8/M0/coeficientes.csv</t>
        </is>
      </c>
      <c r="AZ20" s="4">
        <f>Fuera_muestra!F16</f>
        <v/>
      </c>
      <c r="BA20" s="4">
        <f>Fuera_muestra!G16</f>
        <v/>
      </c>
      <c r="BB20" s="2">
        <f>AZ20/BA20</f>
        <v/>
      </c>
    </row>
    <row r="21">
      <c r="A21" s="3" t="inlineStr">
        <is>
          <t>M0_compra_base_P4</t>
        </is>
      </c>
      <c r="B21" s="3" t="inlineStr">
        <is>
          <t>M0</t>
        </is>
      </c>
      <c r="C21" s="3" t="inlineStr">
        <is>
          <t>ols_tramos_hac</t>
        </is>
      </c>
      <c r="D21" s="3" t="inlineStr">
        <is>
          <t>compra</t>
        </is>
      </c>
      <c r="E21" s="3" t="inlineStr">
        <is>
          <t>nacional</t>
        </is>
      </c>
      <c r="F21" s="3" t="inlineStr">
        <is>
          <t>P4</t>
        </is>
      </c>
      <c r="G21" s="3" t="inlineStr">
        <is>
          <t>d4_ln_p_tasado_real</t>
        </is>
      </c>
      <c r="H21" s="3" t="inlineStr">
        <is>
          <t>d4_ln*100</t>
        </is>
      </c>
      <c r="I21" s="3" t="inlineStr">
        <is>
          <t>valor tasado MIVAU, real (IPC general)</t>
        </is>
      </c>
      <c r="J21" s="3" t="inlineStr">
        <is>
          <t>d4_terminadas</t>
        </is>
      </c>
      <c r="K21" s="3" t="n">
        <v>0.06516769853391439</v>
      </c>
      <c r="L21" s="3" t="n">
        <v>0.0184700335497859</v>
      </c>
      <c r="M21" s="3" t="inlineStr">
        <is>
          <t>HAC-NW(4), t(3)</t>
        </is>
      </c>
      <c r="N21" s="3" t="n">
        <v>3.528293457521622</v>
      </c>
      <c r="O21" s="3" t="n">
        <v>0.0386864908971833</v>
      </c>
      <c r="P21" s="3" t="n">
        <v>0.0796486577294951</v>
      </c>
      <c r="Q21" s="3" t="inlineStr">
        <is>
          <t>BH</t>
        </is>
      </c>
      <c r="R21" s="3" t="n">
        <v>0.0063878085049321</v>
      </c>
      <c r="S21" s="3" t="n">
        <v>0.1239475885628968</v>
      </c>
      <c r="T21" s="3" t="n">
        <v>1.302260768566947</v>
      </c>
      <c r="U21" s="3" t="n"/>
      <c r="V21" s="3" t="n">
        <v>9</v>
      </c>
      <c r="W21" s="3" t="n">
        <v>0.8926107229947866</v>
      </c>
      <c r="X21" s="3" t="n">
        <v>0.7136285946527643</v>
      </c>
      <c r="Y21" s="3" t="n">
        <v>14.15450995097398</v>
      </c>
      <c r="Z21" s="3" t="n">
        <v>15.3378574149913</v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inlineStr">
        <is>
          <t>C4</t>
        </is>
      </c>
      <c r="AN21" s="3" t="n">
        <v>240</v>
      </c>
      <c r="AO21" s="3" t="n">
        <v>0.6166666666666667</v>
      </c>
      <c r="AP21" s="3" t="n">
        <v>0.1166666666666666</v>
      </c>
      <c r="AQ21" s="3" t="inlineStr">
        <is>
          <t>si</t>
        </is>
      </c>
      <c r="AR21" s="3" t="inlineStr">
        <is>
          <t>no</t>
        </is>
      </c>
      <c r="AS21" s="3" t="inlineStr">
        <is>
          <t>si</t>
        </is>
      </c>
      <c r="AT21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1" s="3" t="inlineStr">
        <is>
          <t>src/v8/m0_periodos.py</t>
        </is>
      </c>
      <c r="AV21" s="3" t="inlineStr">
        <is>
          <t>(b) mejor de la familia ols_tramos_hac: ecuacion AR1+X por periodo; unico candidato con OOS en la familia</t>
        </is>
      </c>
      <c r="AW21" s="3" t="inlineStr">
        <is>
          <t>M0:AR1+X_por_periodo</t>
        </is>
      </c>
      <c r="AX21" s="3" t="inlineStr">
        <is>
          <t>si</t>
        </is>
      </c>
      <c r="AY21" s="3" t="inlineStr">
        <is>
          <t>output/v8/M0/coeficientes.csv</t>
        </is>
      </c>
      <c r="AZ21" s="4">
        <f>Fuera_muestra!F16</f>
        <v/>
      </c>
      <c r="BA21" s="4">
        <f>Fuera_muestra!G16</f>
        <v/>
      </c>
      <c r="BB21" s="2">
        <f>AZ21/BA21</f>
        <v/>
      </c>
    </row>
    <row r="22">
      <c r="A22" s="3" t="inlineStr">
        <is>
          <t>M0_compra_base_P5</t>
        </is>
      </c>
      <c r="B22" s="3" t="inlineStr">
        <is>
          <t>M0</t>
        </is>
      </c>
      <c r="C22" s="3" t="inlineStr">
        <is>
          <t>ols_tramos_hac</t>
        </is>
      </c>
      <c r="D22" s="3" t="inlineStr">
        <is>
          <t>compra</t>
        </is>
      </c>
      <c r="E22" s="3" t="inlineStr">
        <is>
          <t>nacional</t>
        </is>
      </c>
      <c r="F22" s="3" t="inlineStr">
        <is>
          <t>P5</t>
        </is>
      </c>
      <c r="G22" s="3" t="inlineStr">
        <is>
          <t>d4_ln_p_tasado_real</t>
        </is>
      </c>
      <c r="H22" s="3" t="inlineStr">
        <is>
          <t>d4_ln*100</t>
        </is>
      </c>
      <c r="I22" s="3" t="inlineStr">
        <is>
          <t>valor tasado MIVAU, real (IPC general)</t>
        </is>
      </c>
      <c r="J22" s="3" t="inlineStr">
        <is>
          <t>d4_pob_total</t>
        </is>
      </c>
      <c r="K22" s="3" t="n">
        <v>-10.18218676484666</v>
      </c>
      <c r="L22" s="3" t="n">
        <v>2.024841498968637</v>
      </c>
      <c r="M22" s="3" t="inlineStr">
        <is>
          <t>HAC-NW(4), t(10)</t>
        </is>
      </c>
      <c r="N22" s="3" t="n">
        <v>-5.028633979515439</v>
      </c>
      <c r="O22" s="3" t="n">
        <v>0.0005151576757244</v>
      </c>
      <c r="P22" s="3" t="n">
        <v>0.0018979493316164</v>
      </c>
      <c r="Q22" s="3" t="inlineStr">
        <is>
          <t>BH</t>
        </is>
      </c>
      <c r="R22" s="3" t="n">
        <v>-14.69381477781281</v>
      </c>
      <c r="S22" s="3" t="n">
        <v>-5.670558751880518</v>
      </c>
      <c r="T22" s="3" t="n">
        <v>-0.2057342469821537</v>
      </c>
      <c r="U22" s="3" t="n"/>
      <c r="V22" s="3" t="n">
        <v>16</v>
      </c>
      <c r="W22" s="3" t="n">
        <v>0.9834913594253604</v>
      </c>
      <c r="X22" s="3" t="n">
        <v>0.9752370391380404</v>
      </c>
      <c r="Y22" s="3" t="n">
        <v>40.19501844780862</v>
      </c>
      <c r="Z22" s="3" t="n">
        <v>44.83055078124731</v>
      </c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inlineStr">
        <is>
          <t>C4</t>
        </is>
      </c>
      <c r="AN22" s="3" t="n">
        <v>192</v>
      </c>
      <c r="AO22" s="3" t="n">
        <v>0.59375</v>
      </c>
      <c r="AP22" s="3" t="n">
        <v>0.1979166666666666</v>
      </c>
      <c r="AQ22" s="3" t="inlineStr">
        <is>
          <t>no</t>
        </is>
      </c>
      <c r="AR22" s="3" t="inlineStr">
        <is>
          <t>no</t>
        </is>
      </c>
      <c r="AS22" s="3" t="inlineStr">
        <is>
          <t>si</t>
        </is>
      </c>
      <c r="AT22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2" s="3" t="inlineStr">
        <is>
          <t>src/v8/m0_periodos.py</t>
        </is>
      </c>
      <c r="AV22" s="3" t="inlineStr">
        <is>
          <t>(b) mejor de la familia ols_tramos_hac: ecuacion AR1+X por periodo; unico candidato con OOS en la familia</t>
        </is>
      </c>
      <c r="AW22" s="3" t="inlineStr">
        <is>
          <t>M0:AR1+X_por_periodo</t>
        </is>
      </c>
      <c r="AX22" s="3" t="inlineStr">
        <is>
          <t>si</t>
        </is>
      </c>
      <c r="AY22" s="3" t="inlineStr">
        <is>
          <t>output/v8/M0/coeficientes.csv</t>
        </is>
      </c>
      <c r="AZ22" s="4">
        <f>Fuera_muestra!F16</f>
        <v/>
      </c>
      <c r="BA22" s="4">
        <f>Fuera_muestra!G16</f>
        <v/>
      </c>
      <c r="BB22" s="2">
        <f>AZ22/BA22</f>
        <v/>
      </c>
    </row>
    <row r="23">
      <c r="A23" s="3" t="inlineStr">
        <is>
          <t>M0_compra_base_P5</t>
        </is>
      </c>
      <c r="B23" s="3" t="inlineStr">
        <is>
          <t>M0</t>
        </is>
      </c>
      <c r="C23" s="3" t="inlineStr">
        <is>
          <t>ols_tramos_hac</t>
        </is>
      </c>
      <c r="D23" s="3" t="inlineStr">
        <is>
          <t>compra</t>
        </is>
      </c>
      <c r="E23" s="3" t="inlineStr">
        <is>
          <t>nacional</t>
        </is>
      </c>
      <c r="F23" s="3" t="inlineStr">
        <is>
          <t>P5</t>
        </is>
      </c>
      <c r="G23" s="3" t="inlineStr">
        <is>
          <t>d4_ln_p_tasado_real</t>
        </is>
      </c>
      <c r="H23" s="3" t="inlineStr">
        <is>
          <t>d4_ln*100</t>
        </is>
      </c>
      <c r="I23" s="3" t="inlineStr">
        <is>
          <t>valor tasado MIVAU, real (IPC general)</t>
        </is>
      </c>
      <c r="J23" s="3" t="inlineStr">
        <is>
          <t>d4_pib_vol</t>
        </is>
      </c>
      <c r="K23" s="3" t="n">
        <v>-1.155328978387182</v>
      </c>
      <c r="L23" s="3" t="n">
        <v>0.2691765124226822</v>
      </c>
      <c r="M23" s="3" t="inlineStr">
        <is>
          <t>HAC-NW(4), t(10)</t>
        </is>
      </c>
      <c r="N23" s="3" t="n">
        <v>-4.292086883765672</v>
      </c>
      <c r="O23" s="3" t="n">
        <v>0.0015810058245006</v>
      </c>
      <c r="P23" s="3" t="n">
        <v>0.0050304730779565</v>
      </c>
      <c r="Q23" s="3" t="inlineStr">
        <is>
          <t>BH</t>
        </is>
      </c>
      <c r="R23" s="3" t="n">
        <v>-1.755091623758327</v>
      </c>
      <c r="S23" s="3" t="n">
        <v>-0.5555663330160379</v>
      </c>
      <c r="T23" s="3" t="n">
        <v>-0.2715188744948795</v>
      </c>
      <c r="U23" s="3" t="n"/>
      <c r="V23" s="3" t="n">
        <v>16</v>
      </c>
      <c r="W23" s="3" t="n">
        <v>0.9834913594253604</v>
      </c>
      <c r="X23" s="3" t="n">
        <v>0.9752370391380404</v>
      </c>
      <c r="Y23" s="3" t="n">
        <v>40.19501844780862</v>
      </c>
      <c r="Z23" s="3" t="n">
        <v>44.83055078124731</v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inlineStr">
        <is>
          <t>C4</t>
        </is>
      </c>
      <c r="AN23" s="3" t="n">
        <v>192</v>
      </c>
      <c r="AO23" s="3" t="n">
        <v>0.8541666666666666</v>
      </c>
      <c r="AP23" s="3" t="n">
        <v>0.2864583333333333</v>
      </c>
      <c r="AQ23" s="3" t="inlineStr">
        <is>
          <t>no</t>
        </is>
      </c>
      <c r="AR23" s="3" t="inlineStr">
        <is>
          <t>no</t>
        </is>
      </c>
      <c r="AS23" s="3" t="inlineStr">
        <is>
          <t>si</t>
        </is>
      </c>
      <c r="AT23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3" s="3" t="inlineStr">
        <is>
          <t>src/v8/m0_periodos.py</t>
        </is>
      </c>
      <c r="AV23" s="3" t="inlineStr">
        <is>
          <t>(b) mejor de la familia ols_tramos_hac: ecuacion AR1+X por periodo; unico candidato con OOS en la familia</t>
        </is>
      </c>
      <c r="AW23" s="3" t="inlineStr">
        <is>
          <t>M0:AR1+X_por_periodo</t>
        </is>
      </c>
      <c r="AX23" s="3" t="inlineStr">
        <is>
          <t>si</t>
        </is>
      </c>
      <c r="AY23" s="3" t="inlineStr">
        <is>
          <t>output/v8/M0/coeficientes.csv</t>
        </is>
      </c>
      <c r="AZ23" s="4">
        <f>Fuera_muestra!F16</f>
        <v/>
      </c>
      <c r="BA23" s="4">
        <f>Fuera_muestra!G16</f>
        <v/>
      </c>
      <c r="BB23" s="2">
        <f>AZ23/BA23</f>
        <v/>
      </c>
    </row>
    <row r="24">
      <c r="A24" s="3" t="inlineStr">
        <is>
          <t>M0_compra_base_P5</t>
        </is>
      </c>
      <c r="B24" s="3" t="inlineStr">
        <is>
          <t>M0</t>
        </is>
      </c>
      <c r="C24" s="3" t="inlineStr">
        <is>
          <t>ols_tramos_hac</t>
        </is>
      </c>
      <c r="D24" s="3" t="inlineStr">
        <is>
          <t>compra</t>
        </is>
      </c>
      <c r="E24" s="3" t="inlineStr">
        <is>
          <t>nacional</t>
        </is>
      </c>
      <c r="F24" s="3" t="inlineStr">
        <is>
          <t>P5</t>
        </is>
      </c>
      <c r="G24" s="3" t="inlineStr">
        <is>
          <t>d4_ln_p_tasado_real</t>
        </is>
      </c>
      <c r="H24" s="3" t="inlineStr">
        <is>
          <t>d4_ln*100</t>
        </is>
      </c>
      <c r="I24" s="3" t="inlineStr">
        <is>
          <t>valor tasado MIVAU, real (IPC general)</t>
        </is>
      </c>
      <c r="J24" s="3" t="inlineStr">
        <is>
          <t>tipo_hip_real</t>
        </is>
      </c>
      <c r="K24" s="3" t="n">
        <v>0.1963661560956818</v>
      </c>
      <c r="L24" s="3" t="n">
        <v>0.1265383768089998</v>
      </c>
      <c r="M24" s="3" t="inlineStr">
        <is>
          <t>HAC-NW(4), t(10)</t>
        </is>
      </c>
      <c r="N24" s="3" t="n">
        <v>1.551830844108913</v>
      </c>
      <c r="O24" s="3" t="n">
        <v>0.1517499441763332</v>
      </c>
      <c r="P24" s="3" t="n">
        <v>0.2360554687187405</v>
      </c>
      <c r="Q24" s="3" t="inlineStr">
        <is>
          <t>BH</t>
        </is>
      </c>
      <c r="R24" s="3" t="n">
        <v>-0.0855789175397295</v>
      </c>
      <c r="S24" s="3" t="n">
        <v>0.4783112297310932</v>
      </c>
      <c r="T24" s="3" t="n">
        <v>0.0943085098216727</v>
      </c>
      <c r="U24" s="3" t="n"/>
      <c r="V24" s="3" t="n">
        <v>16</v>
      </c>
      <c r="W24" s="3" t="n">
        <v>0.9834913594253604</v>
      </c>
      <c r="X24" s="3" t="n">
        <v>0.9752370391380404</v>
      </c>
      <c r="Y24" s="3" t="n">
        <v>40.19501844780862</v>
      </c>
      <c r="Z24" s="3" t="n">
        <v>44.83055078124731</v>
      </c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inlineStr">
        <is>
          <t>C4</t>
        </is>
      </c>
      <c r="AN24" s="3" t="n">
        <v>192</v>
      </c>
      <c r="AO24" s="3" t="n">
        <v>0.875</v>
      </c>
      <c r="AP24" s="3" t="n">
        <v>0.5</v>
      </c>
      <c r="AQ24" s="3" t="inlineStr">
        <is>
          <t>no</t>
        </is>
      </c>
      <c r="AR24" s="3" t="inlineStr">
        <is>
          <t>sí</t>
        </is>
      </c>
      <c r="AS24" s="3" t="inlineStr">
        <is>
          <t>si</t>
        </is>
      </c>
      <c r="AT24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4" s="3" t="inlineStr">
        <is>
          <t>src/v8/m0_periodos.py</t>
        </is>
      </c>
      <c r="AV24" s="3" t="inlineStr">
        <is>
          <t>(b) mejor de la familia ols_tramos_hac: ecuacion AR1+X por periodo; unico candidato con OOS en la familia</t>
        </is>
      </c>
      <c r="AW24" s="3" t="inlineStr">
        <is>
          <t>M0:AR1+X_por_periodo</t>
        </is>
      </c>
      <c r="AX24" s="3" t="inlineStr">
        <is>
          <t>si</t>
        </is>
      </c>
      <c r="AY24" s="3" t="inlineStr">
        <is>
          <t>output/v8/M0/coeficientes.csv</t>
        </is>
      </c>
      <c r="AZ24" s="4">
        <f>Fuera_muestra!F16</f>
        <v/>
      </c>
      <c r="BA24" s="4">
        <f>Fuera_muestra!G16</f>
        <v/>
      </c>
      <c r="BB24" s="2">
        <f>AZ24/BA24</f>
        <v/>
      </c>
    </row>
    <row r="25">
      <c r="A25" s="3" t="inlineStr">
        <is>
          <t>M0_compra_base_P5</t>
        </is>
      </c>
      <c r="B25" s="3" t="inlineStr">
        <is>
          <t>M0</t>
        </is>
      </c>
      <c r="C25" s="3" t="inlineStr">
        <is>
          <t>ols_tramos_hac</t>
        </is>
      </c>
      <c r="D25" s="3" t="inlineStr">
        <is>
          <t>compra</t>
        </is>
      </c>
      <c r="E25" s="3" t="inlineStr">
        <is>
          <t>nacional</t>
        </is>
      </c>
      <c r="F25" s="3" t="inlineStr">
        <is>
          <t>P5</t>
        </is>
      </c>
      <c r="G25" s="3" t="inlineStr">
        <is>
          <t>d4_ln_p_tasado_real</t>
        </is>
      </c>
      <c r="H25" s="3" t="inlineStr">
        <is>
          <t>d4_ln*100</t>
        </is>
      </c>
      <c r="I25" s="3" t="inlineStr">
        <is>
          <t>valor tasado MIVAU, real (IPC general)</t>
        </is>
      </c>
      <c r="J25" s="3" t="inlineStr">
        <is>
          <t>d4_credito_vivienda_real</t>
        </is>
      </c>
      <c r="K25" s="3" t="n">
        <v>1.046799833531326</v>
      </c>
      <c r="L25" s="3" t="n">
        <v>0.0802310137881334</v>
      </c>
      <c r="M25" s="3" t="inlineStr">
        <is>
          <t>HAC-NW(4), t(10)</t>
        </is>
      </c>
      <c r="N25" s="3" t="n">
        <v>13.04732152949753</v>
      </c>
      <c r="O25" s="3" t="n">
        <v>1.325025899406519e-07</v>
      </c>
      <c r="P25" s="3" t="n">
        <v>1.545863549307605e-06</v>
      </c>
      <c r="Q25" s="3" t="inlineStr">
        <is>
          <t>BH</t>
        </is>
      </c>
      <c r="R25" s="3" t="n">
        <v>0.8680339945757397</v>
      </c>
      <c r="S25" s="3" t="n">
        <v>1.225565672486913</v>
      </c>
      <c r="T25" s="3" t="n">
        <v>0.7265609938018696</v>
      </c>
      <c r="U25" s="3" t="n"/>
      <c r="V25" s="3" t="n">
        <v>16</v>
      </c>
      <c r="W25" s="3" t="n">
        <v>0.9834913594253604</v>
      </c>
      <c r="X25" s="3" t="n">
        <v>0.9752370391380404</v>
      </c>
      <c r="Y25" s="3" t="n">
        <v>40.19501844780862</v>
      </c>
      <c r="Z25" s="3" t="n">
        <v>44.83055078124731</v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inlineStr">
        <is>
          <t>C4</t>
        </is>
      </c>
      <c r="AN25" s="3" t="n"/>
      <c r="AO25" s="3" t="n"/>
      <c r="AP25" s="3" t="n"/>
      <c r="AQ25" s="3" t="inlineStr">
        <is>
          <t>no</t>
        </is>
      </c>
      <c r="AR25" s="3" t="inlineStr">
        <is>
          <t>no_evaluable</t>
        </is>
      </c>
      <c r="AS25" s="3" t="inlineStr">
        <is>
          <t>si</t>
        </is>
      </c>
      <c r="AT25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5" s="3" t="inlineStr">
        <is>
          <t>src/v8/m0_periodos.py</t>
        </is>
      </c>
      <c r="AV25" s="3" t="inlineStr">
        <is>
          <t>(b) mejor de la familia ols_tramos_hac: ecuacion AR1+X por periodo; unico candidato con OOS en la familia</t>
        </is>
      </c>
      <c r="AW25" s="3" t="inlineStr">
        <is>
          <t>M0:AR1+X_por_periodo</t>
        </is>
      </c>
      <c r="AX25" s="3" t="inlineStr">
        <is>
          <t>si</t>
        </is>
      </c>
      <c r="AY25" s="3" t="inlineStr">
        <is>
          <t>output/v8/M0/coeficientes.csv</t>
        </is>
      </c>
      <c r="AZ25" s="4">
        <f>Fuera_muestra!F16</f>
        <v/>
      </c>
      <c r="BA25" s="4">
        <f>Fuera_muestra!G16</f>
        <v/>
      </c>
      <c r="BB25" s="2">
        <f>AZ25/BA25</f>
        <v/>
      </c>
    </row>
    <row r="26">
      <c r="A26" s="3" t="inlineStr">
        <is>
          <t>M0_compra_base_P5</t>
        </is>
      </c>
      <c r="B26" s="3" t="inlineStr">
        <is>
          <t>M0</t>
        </is>
      </c>
      <c r="C26" s="3" t="inlineStr">
        <is>
          <t>ols_tramos_hac</t>
        </is>
      </c>
      <c r="D26" s="3" t="inlineStr">
        <is>
          <t>compra</t>
        </is>
      </c>
      <c r="E26" s="3" t="inlineStr">
        <is>
          <t>nacional</t>
        </is>
      </c>
      <c r="F26" s="3" t="inlineStr">
        <is>
          <t>P5</t>
        </is>
      </c>
      <c r="G26" s="3" t="inlineStr">
        <is>
          <t>d4_ln_p_tasado_real</t>
        </is>
      </c>
      <c r="H26" s="3" t="inlineStr">
        <is>
          <t>d4_ln*100</t>
        </is>
      </c>
      <c r="I26" s="3" t="inlineStr">
        <is>
          <t>valor tasado MIVAU, real (IPC general)</t>
        </is>
      </c>
      <c r="J26" s="3" t="inlineStr">
        <is>
          <t>d4_terminadas</t>
        </is>
      </c>
      <c r="K26" s="3" t="n">
        <v>-0.0059417540668484</v>
      </c>
      <c r="L26" s="3" t="n">
        <v>0.0169165145351162</v>
      </c>
      <c r="M26" s="3" t="inlineStr">
        <is>
          <t>HAC-NW(4), t(10)</t>
        </is>
      </c>
      <c r="N26" s="3" t="n">
        <v>-0.3512398523061133</v>
      </c>
      <c r="O26" s="3" t="n">
        <v>0.7326960863779898</v>
      </c>
      <c r="P26" s="3" t="n">
        <v>0.7771019097948376</v>
      </c>
      <c r="Q26" s="3" t="inlineStr">
        <is>
          <t>BH</t>
        </is>
      </c>
      <c r="R26" s="3" t="n">
        <v>-0.0436340973427314</v>
      </c>
      <c r="S26" s="3" t="n">
        <v>0.0317505892090345</v>
      </c>
      <c r="T26" s="3" t="n">
        <v>-0.0102233537020139</v>
      </c>
      <c r="U26" s="3" t="n"/>
      <c r="V26" s="3" t="n">
        <v>16</v>
      </c>
      <c r="W26" s="3" t="n">
        <v>0.9834913594253604</v>
      </c>
      <c r="X26" s="3" t="n">
        <v>0.9752370391380404</v>
      </c>
      <c r="Y26" s="3" t="n">
        <v>40.19501844780862</v>
      </c>
      <c r="Z26" s="3" t="n">
        <v>44.83055078124731</v>
      </c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inlineStr">
        <is>
          <t>C4</t>
        </is>
      </c>
      <c r="AN26" s="3" t="n">
        <v>192</v>
      </c>
      <c r="AO26" s="3" t="n">
        <v>0.5208333333333334</v>
      </c>
      <c r="AP26" s="3" t="n">
        <v>0.0989583333333333</v>
      </c>
      <c r="AQ26" s="3" t="inlineStr">
        <is>
          <t>no</t>
        </is>
      </c>
      <c r="AR26" s="3" t="inlineStr">
        <is>
          <t>no</t>
        </is>
      </c>
      <c r="AS26" s="3" t="inlineStr">
        <is>
          <t>si</t>
        </is>
      </c>
      <c r="AT26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6" s="3" t="inlineStr">
        <is>
          <t>src/v8/m0_periodos.py</t>
        </is>
      </c>
      <c r="AV26" s="3" t="inlineStr">
        <is>
          <t>(b) mejor de la familia ols_tramos_hac: ecuacion AR1+X por periodo; unico candidato con OOS en la familia</t>
        </is>
      </c>
      <c r="AW26" s="3" t="inlineStr">
        <is>
          <t>M0:AR1+X_por_periodo</t>
        </is>
      </c>
      <c r="AX26" s="3" t="inlineStr">
        <is>
          <t>si</t>
        </is>
      </c>
      <c r="AY26" s="3" t="inlineStr">
        <is>
          <t>output/v8/M0/coeficientes.csv</t>
        </is>
      </c>
      <c r="AZ26" s="4">
        <f>Fuera_muestra!F16</f>
        <v/>
      </c>
      <c r="BA26" s="4">
        <f>Fuera_muestra!G16</f>
        <v/>
      </c>
      <c r="BB26" s="2">
        <f>AZ26/BA26</f>
        <v/>
      </c>
    </row>
    <row r="27">
      <c r="A27" s="3" t="inlineStr">
        <is>
          <t>M4_compra_C1_sin_rupturas_ardl</t>
        </is>
      </c>
      <c r="B27" s="3" t="inlineStr">
        <is>
          <t>M4</t>
        </is>
      </c>
      <c r="C27" s="3" t="inlineStr">
        <is>
          <t>ardl_bounds_uecm</t>
        </is>
      </c>
      <c r="D27" s="3" t="inlineStr">
        <is>
          <t>compra</t>
        </is>
      </c>
      <c r="E27" s="3" t="inlineStr">
        <is>
          <t>nacional</t>
        </is>
      </c>
      <c r="F27" s="3" t="inlineStr">
        <is>
          <t>completo</t>
        </is>
      </c>
      <c r="G27" s="3" t="inlineStr">
        <is>
          <t>ln_p_tasado_real</t>
        </is>
      </c>
      <c r="H27" s="3" t="inlineStr">
        <is>
          <t>ln niveles; tipo en pp</t>
        </is>
      </c>
      <c r="I27" s="3" t="inlineStr">
        <is>
          <t>valor tasado MIVAU, real (IPC general)</t>
        </is>
      </c>
      <c r="J27" s="3" t="inlineStr">
        <is>
          <t>renta</t>
        </is>
      </c>
      <c r="K27" s="3" t="n">
        <v>-0.6905992458042969</v>
      </c>
      <c r="L27" s="3" t="n">
        <v>1.23405146073758</v>
      </c>
      <c r="M27" s="3" t="inlineStr">
        <is>
          <t>delta (OLS clasico)</t>
        </is>
      </c>
      <c r="N27" s="3" t="n">
        <v>-0.5596194873360731</v>
      </c>
      <c r="O27" s="3" t="n">
        <v>0.5757390098296491</v>
      </c>
      <c r="P27" s="3" t="n">
        <v>0.7405973400204847</v>
      </c>
      <c r="Q27" s="3" t="inlineStr">
        <is>
          <t>BH</t>
        </is>
      </c>
      <c r="R27" s="3" t="n">
        <v>-3.109340108849954</v>
      </c>
      <c r="S27" s="3" t="n">
        <v>1.72814161724136</v>
      </c>
      <c r="T27" s="3" t="n">
        <v>-0.4480816207556082</v>
      </c>
      <c r="U27" s="3" t="n">
        <v>-0.6905992458042969</v>
      </c>
      <c r="V27" s="3" t="n">
        <v>113</v>
      </c>
      <c r="W27" s="3" t="n">
        <v>0.3157567794511269</v>
      </c>
      <c r="X27" s="3" t="n">
        <v>0.2770260311181718</v>
      </c>
      <c r="Y27" s="3" t="n">
        <v>-582.9106514863182</v>
      </c>
      <c r="Z27" s="3" t="n">
        <v>-563.8189367553318</v>
      </c>
      <c r="AA27" s="3" t="n">
        <v>-0.017257219177405</v>
      </c>
      <c r="AB27" s="3" t="n">
        <v>39.81805670658424</v>
      </c>
      <c r="AC27" s="3" t="n">
        <v>0.1</v>
      </c>
      <c r="AD27" s="3" t="n">
        <v>1.666266488766637e-18</v>
      </c>
      <c r="AE27" s="3" t="n">
        <v>0.0346173963509954</v>
      </c>
      <c r="AF27" s="3" t="n">
        <v>0.3207851830549394</v>
      </c>
      <c r="AG27" s="3" t="n">
        <v>0.2154411428217964</v>
      </c>
      <c r="AH27" s="3" t="n">
        <v>1</v>
      </c>
      <c r="AI27" s="3" t="n">
        <v>1.267087770586089</v>
      </c>
      <c r="AJ27" s="3" t="n"/>
      <c r="AK27" s="3" t="n"/>
      <c r="AL27" s="3" t="n"/>
      <c r="AM27" s="3" t="inlineStr">
        <is>
          <t>C4</t>
        </is>
      </c>
      <c r="AN27" s="3" t="n"/>
      <c r="AO27" s="3" t="n"/>
      <c r="AP27" s="3" t="n"/>
      <c r="AQ27" s="3" t="inlineStr">
        <is>
          <t>no_evaluable</t>
        </is>
      </c>
      <c r="AR27" s="3" t="inlineStr">
        <is>
          <t>no_evaluable</t>
        </is>
      </c>
      <c r="AS27" s="3" t="inlineStr">
        <is>
          <t>si</t>
        </is>
      </c>
      <c r="AT27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27" s="3" t="inlineStr">
        <is>
          <t>src/v8/m4_largo_plazo.py</t>
        </is>
      </c>
      <c r="AV27" s="3" t="inlineStr">
        <is>
          <t>(b) mejor de la familia dols/fmols/ardl: especificacion C1 de menor RMSE (ECM); el OOS se hace con beta OLS estatico y es comun a los tres estimadores</t>
        </is>
      </c>
      <c r="AW27" s="3" t="inlineStr">
        <is>
          <t>M4:C1_sin_rupturas_ECM</t>
        </is>
      </c>
      <c r="AX27" s="3" t="inlineStr">
        <is>
          <t>si</t>
        </is>
      </c>
      <c r="AY27" s="3" t="inlineStr">
        <is>
          <t>output/v8/M4/coeficientes.csv</t>
        </is>
      </c>
      <c r="AZ27" s="4">
        <f>Fuera_muestra!F22</f>
        <v/>
      </c>
      <c r="BA27" s="4">
        <f>Fuera_muestra!G22</f>
        <v/>
      </c>
      <c r="BB27" s="2">
        <f>AZ27/BA27</f>
        <v/>
      </c>
    </row>
    <row r="28">
      <c r="A28" s="3" t="inlineStr">
        <is>
          <t>M4_compra_C1_sin_rupturas_ardl</t>
        </is>
      </c>
      <c r="B28" s="3" t="inlineStr">
        <is>
          <t>M4</t>
        </is>
      </c>
      <c r="C28" s="3" t="inlineStr">
        <is>
          <t>ardl_bounds_uecm</t>
        </is>
      </c>
      <c r="D28" s="3" t="inlineStr">
        <is>
          <t>compra</t>
        </is>
      </c>
      <c r="E28" s="3" t="inlineStr">
        <is>
          <t>nacional</t>
        </is>
      </c>
      <c r="F28" s="3" t="inlineStr">
        <is>
          <t>completo</t>
        </is>
      </c>
      <c r="G28" s="3" t="inlineStr">
        <is>
          <t>ln_p_tasado_real</t>
        </is>
      </c>
      <c r="H28" s="3" t="inlineStr">
        <is>
          <t>ln niveles; tipo en pp</t>
        </is>
      </c>
      <c r="I28" s="3" t="inlineStr">
        <is>
          <t>valor tasado MIVAU, real (IPC general)</t>
        </is>
      </c>
      <c r="J28" s="3" t="inlineStr">
        <is>
          <t>tipo</t>
        </is>
      </c>
      <c r="K28" s="3" t="n">
        <v>0.0006575391871222</v>
      </c>
      <c r="L28" s="3" t="n">
        <v>0.0570320154061627</v>
      </c>
      <c r="M28" s="3" t="inlineStr">
        <is>
          <t>delta (OLS clasico)</t>
        </is>
      </c>
      <c r="N28" s="3" t="n">
        <v>0.0115292995072943</v>
      </c>
      <c r="O28" s="3" t="n">
        <v>0.9908011537190952</v>
      </c>
      <c r="P28" s="3" t="n">
        <v>0.991895449910288</v>
      </c>
      <c r="Q28" s="3" t="inlineStr">
        <is>
          <t>BH</t>
        </is>
      </c>
      <c r="R28" s="3" t="n">
        <v>-0.1111252110089568</v>
      </c>
      <c r="S28" s="3" t="n">
        <v>0.1124402893832013</v>
      </c>
      <c r="T28" s="3" t="n">
        <v>0.0069807823823964</v>
      </c>
      <c r="U28" s="3" t="n"/>
      <c r="V28" s="3" t="n">
        <v>113</v>
      </c>
      <c r="W28" s="3" t="n">
        <v>0.3157567794511269</v>
      </c>
      <c r="X28" s="3" t="n">
        <v>0.2770260311181718</v>
      </c>
      <c r="Y28" s="3" t="n">
        <v>-582.9106514863182</v>
      </c>
      <c r="Z28" s="3" t="n">
        <v>-563.8189367553318</v>
      </c>
      <c r="AA28" s="3" t="n">
        <v>-0.017257219177405</v>
      </c>
      <c r="AB28" s="3" t="n">
        <v>39.81805670658424</v>
      </c>
      <c r="AC28" s="3" t="n">
        <v>0.1</v>
      </c>
      <c r="AD28" s="3" t="n">
        <v>1.666266488766637e-18</v>
      </c>
      <c r="AE28" s="3" t="n">
        <v>0.0346173963509954</v>
      </c>
      <c r="AF28" s="3" t="n">
        <v>0.3207851830549394</v>
      </c>
      <c r="AG28" s="3" t="n">
        <v>0.2154411428217964</v>
      </c>
      <c r="AH28" s="3" t="n">
        <v>1</v>
      </c>
      <c r="AI28" s="3" t="n">
        <v>1.267087770586089</v>
      </c>
      <c r="AJ28" s="3" t="n"/>
      <c r="AK28" s="3" t="n"/>
      <c r="AL28" s="3" t="n"/>
      <c r="AM28" s="3" t="inlineStr">
        <is>
          <t>C4</t>
        </is>
      </c>
      <c r="AN28" s="3" t="n"/>
      <c r="AO28" s="3" t="n"/>
      <c r="AP28" s="3" t="n"/>
      <c r="AQ28" s="3" t="inlineStr">
        <is>
          <t>no_evaluable</t>
        </is>
      </c>
      <c r="AR28" s="3" t="inlineStr">
        <is>
          <t>no_evaluable</t>
        </is>
      </c>
      <c r="AS28" s="3" t="inlineStr">
        <is>
          <t>si</t>
        </is>
      </c>
      <c r="AT28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28" s="3" t="inlineStr">
        <is>
          <t>src/v8/m4_largo_plazo.py</t>
        </is>
      </c>
      <c r="AV28" s="3" t="inlineStr">
        <is>
          <t>(b) mejor de la familia dols/fmols/ardl: especificacion C1 de menor RMSE (ECM); el OOS se hace con beta OLS estatico y es comun a los tres estimadores</t>
        </is>
      </c>
      <c r="AW28" s="3" t="inlineStr">
        <is>
          <t>M4:C1_sin_rupturas_ECM</t>
        </is>
      </c>
      <c r="AX28" s="3" t="inlineStr">
        <is>
          <t>si</t>
        </is>
      </c>
      <c r="AY28" s="3" t="inlineStr">
        <is>
          <t>output/v8/M4/coeficientes.csv</t>
        </is>
      </c>
      <c r="AZ28" s="4">
        <f>Fuera_muestra!F22</f>
        <v/>
      </c>
      <c r="BA28" s="4">
        <f>Fuera_muestra!G22</f>
        <v/>
      </c>
      <c r="BB28" s="2">
        <f>AZ28/BA28</f>
        <v/>
      </c>
    </row>
    <row r="29">
      <c r="A29" s="3" t="inlineStr">
        <is>
          <t>M4_compra_C1_sin_rupturas_dols</t>
        </is>
      </c>
      <c r="B29" s="3" t="inlineStr">
        <is>
          <t>M4</t>
        </is>
      </c>
      <c r="C29" s="3" t="inlineStr">
        <is>
          <t>dols</t>
        </is>
      </c>
      <c r="D29" s="3" t="inlineStr">
        <is>
          <t>compra</t>
        </is>
      </c>
      <c r="E29" s="3" t="inlineStr">
        <is>
          <t>nacional</t>
        </is>
      </c>
      <c r="F29" s="3" t="inlineStr">
        <is>
          <t>completo</t>
        </is>
      </c>
      <c r="G29" s="3" t="inlineStr">
        <is>
          <t>ln_p_tasado_real</t>
        </is>
      </c>
      <c r="H29" s="3" t="inlineStr">
        <is>
          <t>ln niveles; tipo en pp</t>
        </is>
      </c>
      <c r="I29" s="3" t="inlineStr">
        <is>
          <t>valor tasado MIVAU, real (IPC general)</t>
        </is>
      </c>
      <c r="J29" s="3" t="inlineStr">
        <is>
          <t>renta</t>
        </is>
      </c>
      <c r="K29" s="3" t="n">
        <v>0.6881574876816448</v>
      </c>
      <c r="L29" s="3" t="n">
        <v>0.3011211424660081</v>
      </c>
      <c r="M29" s="3" t="inlineStr">
        <is>
          <t>HAC-NW(4)</t>
        </is>
      </c>
      <c r="N29" s="3" t="n">
        <v>2.285317736396829</v>
      </c>
      <c r="O29" s="3" t="n">
        <v>0.022294203682561</v>
      </c>
      <c r="P29" s="3" t="n">
        <v>0.0639746714369141</v>
      </c>
      <c r="Q29" s="3" t="inlineStr">
        <is>
          <t>BH</t>
        </is>
      </c>
      <c r="R29" s="3" t="n">
        <v>0.0979708934647142</v>
      </c>
      <c r="S29" s="3" t="n">
        <v>1.278344081898575</v>
      </c>
      <c r="T29" s="3" t="n">
        <v>0.4464973344365334</v>
      </c>
      <c r="U29" s="3" t="n">
        <v>0.6881574876816448</v>
      </c>
      <c r="V29" s="3" t="n">
        <v>113</v>
      </c>
      <c r="W29" s="3" t="n">
        <v>0.200137564617313</v>
      </c>
      <c r="X29" s="3" t="n">
        <v>0.138609684972491</v>
      </c>
      <c r="Y29" s="3" t="n">
        <v>-65.1411985390084</v>
      </c>
      <c r="Z29" s="3" t="n">
        <v>-40.59470817059733</v>
      </c>
      <c r="AA29" s="3" t="n">
        <v>-0.0163587973222312</v>
      </c>
      <c r="AB29" s="3" t="n">
        <v>42.02399811936267</v>
      </c>
      <c r="AC29" s="3" t="n">
        <v>0.6251588605143985</v>
      </c>
      <c r="AD29" s="3" t="n">
        <v>1.130766146258362e-72</v>
      </c>
      <c r="AE29" s="3" t="n">
        <v>0.8096764209163245</v>
      </c>
      <c r="AF29" s="3" t="n">
        <v>0.000317533949699</v>
      </c>
      <c r="AG29" s="3" t="n">
        <v>3.433494702425078e-08</v>
      </c>
      <c r="AH29" s="3" t="n">
        <v>0</v>
      </c>
      <c r="AI29" s="3" t="n">
        <v>1.267087770586089</v>
      </c>
      <c r="AJ29" s="3" t="n"/>
      <c r="AK29" s="3" t="n"/>
      <c r="AL29" s="3" t="n"/>
      <c r="AM29" s="3" t="inlineStr">
        <is>
          <t>C4</t>
        </is>
      </c>
      <c r="AN29" s="3" t="n"/>
      <c r="AO29" s="3" t="n"/>
      <c r="AP29" s="3" t="n"/>
      <c r="AQ29" s="3" t="inlineStr">
        <is>
          <t>no_evaluable</t>
        </is>
      </c>
      <c r="AR29" s="3" t="inlineStr">
        <is>
          <t>no_evaluable</t>
        </is>
      </c>
      <c r="AS29" s="3" t="inlineStr">
        <is>
          <t>si</t>
        </is>
      </c>
      <c r="AT29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29" s="3" t="inlineStr">
        <is>
          <t>src/v8/m4_largo_plazo.py</t>
        </is>
      </c>
      <c r="AV29" s="3" t="inlineStr">
        <is>
          <t>(b) mejor de la familia dols/fmols/ardl: especificacion C1 de menor RMSE (ECM); el OOS se hace con beta OLS estatico y es comun a los tres estimadores</t>
        </is>
      </c>
      <c r="AW29" s="3" t="inlineStr">
        <is>
          <t>M4:C1_sin_rupturas_ECM</t>
        </is>
      </c>
      <c r="AX29" s="3" t="inlineStr">
        <is>
          <t>si</t>
        </is>
      </c>
      <c r="AY29" s="3" t="inlineStr">
        <is>
          <t>output/v8/M4/coeficientes.csv</t>
        </is>
      </c>
      <c r="AZ29" s="4">
        <f>Fuera_muestra!F22</f>
        <v/>
      </c>
      <c r="BA29" s="4">
        <f>Fuera_muestra!G22</f>
        <v/>
      </c>
      <c r="BB29" s="2">
        <f>AZ29/BA29</f>
        <v/>
      </c>
    </row>
    <row r="30">
      <c r="A30" s="3" t="inlineStr">
        <is>
          <t>M4_compra_C1_sin_rupturas_dols</t>
        </is>
      </c>
      <c r="B30" s="3" t="inlineStr">
        <is>
          <t>M4</t>
        </is>
      </c>
      <c r="C30" s="3" t="inlineStr">
        <is>
          <t>dols</t>
        </is>
      </c>
      <c r="D30" s="3" t="inlineStr">
        <is>
          <t>compra</t>
        </is>
      </c>
      <c r="E30" s="3" t="inlineStr">
        <is>
          <t>nacional</t>
        </is>
      </c>
      <c r="F30" s="3" t="inlineStr">
        <is>
          <t>completo</t>
        </is>
      </c>
      <c r="G30" s="3" t="inlineStr">
        <is>
          <t>ln_p_tasado_real</t>
        </is>
      </c>
      <c r="H30" s="3" t="inlineStr">
        <is>
          <t>ln niveles; tipo en pp</t>
        </is>
      </c>
      <c r="I30" s="3" t="inlineStr">
        <is>
          <t>valor tasado MIVAU, real (IPC general)</t>
        </is>
      </c>
      <c r="J30" s="3" t="inlineStr">
        <is>
          <t>tipo</t>
        </is>
      </c>
      <c r="K30" s="3" t="n">
        <v>0.0059963734219766</v>
      </c>
      <c r="L30" s="3" t="n">
        <v>0.0195824823326287</v>
      </c>
      <c r="M30" s="3" t="inlineStr">
        <is>
          <t>HAC-NW(4)</t>
        </is>
      </c>
      <c r="N30" s="3" t="n">
        <v>0.3062110982725294</v>
      </c>
      <c r="O30" s="3" t="n">
        <v>0.7594439228212431</v>
      </c>
      <c r="P30" s="3" t="n">
        <v>0.8553463977167585</v>
      </c>
      <c r="Q30" s="3" t="inlineStr">
        <is>
          <t>BH</t>
        </is>
      </c>
      <c r="R30" s="3" t="n">
        <v>-0.0323845866778675</v>
      </c>
      <c r="S30" s="3" t="n">
        <v>0.0443773335218208</v>
      </c>
      <c r="T30" s="3" t="n">
        <v>0.06366065895722919</v>
      </c>
      <c r="U30" s="3" t="n"/>
      <c r="V30" s="3" t="n">
        <v>113</v>
      </c>
      <c r="W30" s="3" t="n">
        <v>0.200137564617313</v>
      </c>
      <c r="X30" s="3" t="n">
        <v>0.138609684972491</v>
      </c>
      <c r="Y30" s="3" t="n">
        <v>-65.1411985390084</v>
      </c>
      <c r="Z30" s="3" t="n">
        <v>-40.59470817059733</v>
      </c>
      <c r="AA30" s="3" t="n">
        <v>-0.0163587973222312</v>
      </c>
      <c r="AB30" s="3" t="n">
        <v>42.02399811936267</v>
      </c>
      <c r="AC30" s="3" t="n">
        <v>0.6251588605143985</v>
      </c>
      <c r="AD30" s="3" t="n">
        <v>1.130766146258362e-72</v>
      </c>
      <c r="AE30" s="3" t="n">
        <v>0.8096764209163245</v>
      </c>
      <c r="AF30" s="3" t="n">
        <v>0.000317533949699</v>
      </c>
      <c r="AG30" s="3" t="n">
        <v>3.433494702425078e-08</v>
      </c>
      <c r="AH30" s="3" t="n">
        <v>0</v>
      </c>
      <c r="AI30" s="3" t="n">
        <v>1.267087770586089</v>
      </c>
      <c r="AJ30" s="3" t="n"/>
      <c r="AK30" s="3" t="n"/>
      <c r="AL30" s="3" t="n"/>
      <c r="AM30" s="3" t="inlineStr">
        <is>
          <t>C4</t>
        </is>
      </c>
      <c r="AN30" s="3" t="n"/>
      <c r="AO30" s="3" t="n"/>
      <c r="AP30" s="3" t="n"/>
      <c r="AQ30" s="3" t="inlineStr">
        <is>
          <t>no_evaluable</t>
        </is>
      </c>
      <c r="AR30" s="3" t="inlineStr">
        <is>
          <t>no_evaluable</t>
        </is>
      </c>
      <c r="AS30" s="3" t="inlineStr">
        <is>
          <t>si</t>
        </is>
      </c>
      <c r="AT30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30" s="3" t="inlineStr">
        <is>
          <t>src/v8/m4_largo_plazo.py</t>
        </is>
      </c>
      <c r="AV30" s="3" t="inlineStr">
        <is>
          <t>(b) mejor de la familia dols/fmols/ardl: especificacion C1 de menor RMSE (ECM); el OOS se hace con beta OLS estatico y es comun a los tres estimadores</t>
        </is>
      </c>
      <c r="AW30" s="3" t="inlineStr">
        <is>
          <t>M4:C1_sin_rupturas_ECM</t>
        </is>
      </c>
      <c r="AX30" s="3" t="inlineStr">
        <is>
          <t>si</t>
        </is>
      </c>
      <c r="AY30" s="3" t="inlineStr">
        <is>
          <t>output/v8/M4/coeficientes.csv</t>
        </is>
      </c>
      <c r="AZ30" s="4">
        <f>Fuera_muestra!F22</f>
        <v/>
      </c>
      <c r="BA30" s="4">
        <f>Fuera_muestra!G22</f>
        <v/>
      </c>
      <c r="BB30" s="2">
        <f>AZ30/BA30</f>
        <v/>
      </c>
    </row>
    <row r="31">
      <c r="A31" s="3" t="inlineStr">
        <is>
          <t>M4_compra_C1_sin_rupturas_fmols</t>
        </is>
      </c>
      <c r="B31" s="3" t="inlineStr">
        <is>
          <t>M4</t>
        </is>
      </c>
      <c r="C31" s="3" t="inlineStr">
        <is>
          <t>fmols</t>
        </is>
      </c>
      <c r="D31" s="3" t="inlineStr">
        <is>
          <t>compra</t>
        </is>
      </c>
      <c r="E31" s="3" t="inlineStr">
        <is>
          <t>nacional</t>
        </is>
      </c>
      <c r="F31" s="3" t="inlineStr">
        <is>
          <t>completo</t>
        </is>
      </c>
      <c r="G31" s="3" t="inlineStr">
        <is>
          <t>ln_p_tasado_real</t>
        </is>
      </c>
      <c r="H31" s="3" t="inlineStr">
        <is>
          <t>ln niveles; tipo en pp</t>
        </is>
      </c>
      <c r="I31" s="3" t="inlineStr">
        <is>
          <t>valor tasado MIVAU, real (IPC general)</t>
        </is>
      </c>
      <c r="J31" s="3" t="inlineStr">
        <is>
          <t>renta</t>
        </is>
      </c>
      <c r="K31" s="3" t="n">
        <v>0.6183727598114093</v>
      </c>
      <c r="L31" s="3" t="n">
        <v>0.325767801342146</v>
      </c>
      <c r="M31" s="3" t="inlineStr">
        <is>
          <t>FMOLS Omega_u.e (Bartlett)</t>
        </is>
      </c>
      <c r="N31" s="3" t="n">
        <v>1.898200980157481</v>
      </c>
      <c r="O31" s="3" t="n">
        <v>0.0576696117611447</v>
      </c>
      <c r="P31" s="3" t="n">
        <v>0.1378279565871646</v>
      </c>
      <c r="Q31" s="3" t="inlineStr">
        <is>
          <t>BH</t>
        </is>
      </c>
      <c r="R31" s="3" t="n">
        <v>-0.0201321308191969</v>
      </c>
      <c r="S31" s="3" t="n">
        <v>1.256877650442016</v>
      </c>
      <c r="T31" s="3" t="n">
        <v>0.4012188981247953</v>
      </c>
      <c r="U31" s="3" t="n">
        <v>0.6183727598114093</v>
      </c>
      <c r="V31" s="3" t="n">
        <v>112</v>
      </c>
      <c r="W31" s="3" t="n">
        <v>0.1572981966868678</v>
      </c>
      <c r="X31" s="3" t="n">
        <v>0.1418357782774525</v>
      </c>
      <c r="Y31" s="3" t="n">
        <v>-392.5046265439042</v>
      </c>
      <c r="Z31" s="3" t="n">
        <v>-384.3491299300189</v>
      </c>
      <c r="AA31" s="3" t="n">
        <v>-0.016724122883764</v>
      </c>
      <c r="AB31" s="3" t="n">
        <v>41.09840340143514</v>
      </c>
      <c r="AC31" s="3" t="n">
        <v>0.6251588605143985</v>
      </c>
      <c r="AD31" s="3" t="n">
        <v>6.650227942714317e-81</v>
      </c>
      <c r="AE31" s="3" t="n">
        <v>0.3743549735198686</v>
      </c>
      <c r="AF31" s="3" t="n">
        <v>0.0005378240694597</v>
      </c>
      <c r="AG31" s="3" t="n">
        <v>0.019327627122763</v>
      </c>
      <c r="AH31" s="3" t="n">
        <v>0</v>
      </c>
      <c r="AI31" s="3" t="n">
        <v>1.267087770586089</v>
      </c>
      <c r="AJ31" s="3" t="n"/>
      <c r="AK31" s="3" t="n"/>
      <c r="AL31" s="3" t="n"/>
      <c r="AM31" s="3" t="inlineStr">
        <is>
          <t>C4</t>
        </is>
      </c>
      <c r="AN31" s="3" t="n"/>
      <c r="AO31" s="3" t="n"/>
      <c r="AP31" s="3" t="n"/>
      <c r="AQ31" s="3" t="inlineStr">
        <is>
          <t>no_evaluable</t>
        </is>
      </c>
      <c r="AR31" s="3" t="inlineStr">
        <is>
          <t>no_evaluable</t>
        </is>
      </c>
      <c r="AS31" s="3" t="inlineStr">
        <is>
          <t>si</t>
        </is>
      </c>
      <c r="AT31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31" s="3" t="inlineStr">
        <is>
          <t>src/v8/m4_largo_plazo.py</t>
        </is>
      </c>
      <c r="AV31" s="3" t="inlineStr">
        <is>
          <t>(b) mejor de la familia dols/fmols/ardl: especificacion C1 de menor RMSE (ECM); el OOS se hace con beta OLS estatico y es comun a los tres estimadores</t>
        </is>
      </c>
      <c r="AW31" s="3" t="inlineStr">
        <is>
          <t>M4:C1_sin_rupturas_ECM</t>
        </is>
      </c>
      <c r="AX31" s="3" t="inlineStr">
        <is>
          <t>si</t>
        </is>
      </c>
      <c r="AY31" s="3" t="inlineStr">
        <is>
          <t>output/v8/M4/coeficientes.csv</t>
        </is>
      </c>
      <c r="AZ31" s="4">
        <f>Fuera_muestra!F22</f>
        <v/>
      </c>
      <c r="BA31" s="4">
        <f>Fuera_muestra!G22</f>
        <v/>
      </c>
      <c r="BB31" s="2">
        <f>AZ31/BA31</f>
        <v/>
      </c>
    </row>
    <row r="32">
      <c r="A32" s="3" t="inlineStr">
        <is>
          <t>M4_compra_C1_sin_rupturas_fmols</t>
        </is>
      </c>
      <c r="B32" s="3" t="inlineStr">
        <is>
          <t>M4</t>
        </is>
      </c>
      <c r="C32" s="3" t="inlineStr">
        <is>
          <t>fmols</t>
        </is>
      </c>
      <c r="D32" s="3" t="inlineStr">
        <is>
          <t>compra</t>
        </is>
      </c>
      <c r="E32" s="3" t="inlineStr">
        <is>
          <t>nacional</t>
        </is>
      </c>
      <c r="F32" s="3" t="inlineStr">
        <is>
          <t>completo</t>
        </is>
      </c>
      <c r="G32" s="3" t="inlineStr">
        <is>
          <t>ln_p_tasado_real</t>
        </is>
      </c>
      <c r="H32" s="3" t="inlineStr">
        <is>
          <t>ln niveles; tipo en pp</t>
        </is>
      </c>
      <c r="I32" s="3" t="inlineStr">
        <is>
          <t>valor tasado MIVAU, real (IPC general)</t>
        </is>
      </c>
      <c r="J32" s="3" t="inlineStr">
        <is>
          <t>tipo</t>
        </is>
      </c>
      <c r="K32" s="3" t="n">
        <v>0.004010142843929</v>
      </c>
      <c r="L32" s="3" t="n">
        <v>0.0195645748985641</v>
      </c>
      <c r="M32" s="3" t="inlineStr">
        <is>
          <t>FMOLS Omega_u.e (Bartlett)</t>
        </is>
      </c>
      <c r="N32" s="3" t="n">
        <v>0.2049695873649369</v>
      </c>
      <c r="O32" s="3" t="n">
        <v>0.837595886306257</v>
      </c>
      <c r="P32" s="3" t="n">
        <v>0.904799410569385</v>
      </c>
      <c r="Q32" s="3" t="inlineStr">
        <is>
          <t>BH</t>
        </is>
      </c>
      <c r="R32" s="3" t="n">
        <v>-0.0343364239572566</v>
      </c>
      <c r="S32" s="3" t="n">
        <v>0.0423567096451148</v>
      </c>
      <c r="T32" s="3" t="n">
        <v>0.0425737888540286</v>
      </c>
      <c r="U32" s="3" t="n"/>
      <c r="V32" s="3" t="n">
        <v>112</v>
      </c>
      <c r="W32" s="3" t="n">
        <v>0.1572981966868678</v>
      </c>
      <c r="X32" s="3" t="n">
        <v>0.1418357782774525</v>
      </c>
      <c r="Y32" s="3" t="n">
        <v>-392.5046265439042</v>
      </c>
      <c r="Z32" s="3" t="n">
        <v>-384.3491299300189</v>
      </c>
      <c r="AA32" s="3" t="n">
        <v>-0.016724122883764</v>
      </c>
      <c r="AB32" s="3" t="n">
        <v>41.09840340143514</v>
      </c>
      <c r="AC32" s="3" t="n">
        <v>0.6251588605143985</v>
      </c>
      <c r="AD32" s="3" t="n">
        <v>6.650227942714317e-81</v>
      </c>
      <c r="AE32" s="3" t="n">
        <v>0.3743549735198686</v>
      </c>
      <c r="AF32" s="3" t="n">
        <v>0.0005378240694597</v>
      </c>
      <c r="AG32" s="3" t="n">
        <v>0.019327627122763</v>
      </c>
      <c r="AH32" s="3" t="n">
        <v>0</v>
      </c>
      <c r="AI32" s="3" t="n">
        <v>1.267087770586089</v>
      </c>
      <c r="AJ32" s="3" t="n"/>
      <c r="AK32" s="3" t="n"/>
      <c r="AL32" s="3" t="n"/>
      <c r="AM32" s="3" t="inlineStr">
        <is>
          <t>C4</t>
        </is>
      </c>
      <c r="AN32" s="3" t="n"/>
      <c r="AO32" s="3" t="n"/>
      <c r="AP32" s="3" t="n"/>
      <c r="AQ32" s="3" t="inlineStr">
        <is>
          <t>no_evaluable</t>
        </is>
      </c>
      <c r="AR32" s="3" t="inlineStr">
        <is>
          <t>no_evaluable</t>
        </is>
      </c>
      <c r="AS32" s="3" t="inlineStr">
        <is>
          <t>si</t>
        </is>
      </c>
      <c r="AT32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32" s="3" t="inlineStr">
        <is>
          <t>src/v8/m4_largo_plazo.py</t>
        </is>
      </c>
      <c r="AV32" s="3" t="inlineStr">
        <is>
          <t>(b) mejor de la familia dols/fmols/ardl: especificacion C1 de menor RMSE (ECM); el OOS se hace con beta OLS estatico y es comun a los tres estimadores</t>
        </is>
      </c>
      <c r="AW32" s="3" t="inlineStr">
        <is>
          <t>M4:C1_sin_rupturas_ECM</t>
        </is>
      </c>
      <c r="AX32" s="3" t="inlineStr">
        <is>
          <t>si</t>
        </is>
      </c>
      <c r="AY32" s="3" t="inlineStr">
        <is>
          <t>output/v8/M4/coeficientes.csv</t>
        </is>
      </c>
      <c r="AZ32" s="4">
        <f>Fuera_muestra!F22</f>
        <v/>
      </c>
      <c r="BA32" s="4">
        <f>Fuera_muestra!G22</f>
        <v/>
      </c>
      <c r="BB32" s="2">
        <f>AZ32/BA32</f>
        <v/>
      </c>
    </row>
    <row r="33">
      <c r="A33" s="3" t="inlineStr">
        <is>
          <t>M6_ols_compra_trimestral_completo</t>
        </is>
      </c>
      <c r="B33" s="3" t="inlineStr">
        <is>
          <t>M6</t>
        </is>
      </c>
      <c r="C33" s="3" t="inlineStr">
        <is>
          <t>ols_familias</t>
        </is>
      </c>
      <c r="D33" s="3" t="inlineStr">
        <is>
          <t>compra</t>
        </is>
      </c>
      <c r="E33" s="3" t="inlineStr">
        <is>
          <t>nacional</t>
        </is>
      </c>
      <c r="F33" s="3" t="inlineStr">
        <is>
          <t>completo</t>
        </is>
      </c>
      <c r="G33" s="3" t="inlineStr">
        <is>
          <t>d_ln_tasado_real</t>
        </is>
      </c>
      <c r="H33" s="3" t="inlineStr">
        <is>
          <t>trimestral</t>
        </is>
      </c>
      <c r="I33" s="3" t="inlineStr">
        <is>
          <t>tasado</t>
        </is>
      </c>
      <c r="J33" s="3" t="inlineStr">
        <is>
          <t>const</t>
        </is>
      </c>
      <c r="K33" s="3" t="n">
        <v>-0.7033890944955787</v>
      </c>
      <c r="L33" s="3" t="n">
        <v>0.4722235784799747</v>
      </c>
      <c r="M33" s="3" t="inlineStr">
        <is>
          <t>EWC</t>
        </is>
      </c>
      <c r="N33" s="3" t="n">
        <v>-1.4895255691376</v>
      </c>
      <c r="O33" s="3" t="n">
        <v>0.1746773832579473</v>
      </c>
      <c r="P33" s="3" t="n">
        <v>0.2936066654761242</v>
      </c>
      <c r="Q33" s="3" t="inlineStr">
        <is>
          <t>BH</t>
        </is>
      </c>
      <c r="R33" s="3" t="n">
        <v>-1.79233861921131</v>
      </c>
      <c r="S33" s="3" t="n">
        <v>0.3855604302201521</v>
      </c>
      <c r="T33" s="3" t="n"/>
      <c r="U33" s="3" t="n"/>
      <c r="V33" s="3" t="n">
        <v>96</v>
      </c>
      <c r="W33" s="3" t="n">
        <v>0.4656830339290105</v>
      </c>
      <c r="X33" s="3" t="n">
        <v>0.4231805479915455</v>
      </c>
      <c r="Y33" s="3" t="n">
        <v>361.1679990864433</v>
      </c>
      <c r="Z33" s="3" t="n">
        <v>381.682784618186</v>
      </c>
      <c r="AA33" s="3" t="n"/>
      <c r="AB33" s="3" t="n"/>
      <c r="AC33" s="3" t="n"/>
      <c r="AD33" s="3" t="n">
        <v>1.162436084656877e-09</v>
      </c>
      <c r="AE33" s="3" t="n">
        <v>0.0270895528937564</v>
      </c>
      <c r="AF33" s="3" t="n">
        <v>0.006383504750384</v>
      </c>
      <c r="AG33" s="3" t="n">
        <v>0.1723265331131643</v>
      </c>
      <c r="AH33" s="3" t="n">
        <v>0</v>
      </c>
      <c r="AI33" s="3" t="n">
        <v>1.105762364117747</v>
      </c>
      <c r="AJ33" s="3" t="n"/>
      <c r="AK33" s="3" t="n"/>
      <c r="AL33" s="3" t="n"/>
      <c r="AM33" s="3" t="inlineStr">
        <is>
          <t>C4</t>
        </is>
      </c>
      <c r="AN33" s="3" t="n"/>
      <c r="AO33" s="3" t="n"/>
      <c r="AP33" s="3" t="n"/>
      <c r="AQ33" s="3" t="inlineStr">
        <is>
          <t>no_evaluable</t>
        </is>
      </c>
      <c r="AR33" s="3" t="inlineStr">
        <is>
          <t>no_evaluable</t>
        </is>
      </c>
      <c r="AS33" s="3" t="inlineStr">
        <is>
          <t>si</t>
        </is>
      </c>
      <c r="AT33" s="3" t="inlineStr">
        <is>
          <t>(b) mejor de la familia ols_familias: ols_factores trimestral, periodo completo; NO CUMPLE LA REGLA (§8 y multiverso) en ninguna variable; RMSE 2.830 vs AR(4) 1.038 (peor que AR(4))</t>
        </is>
      </c>
      <c r="AU33" s="3" t="inlineStr">
        <is>
          <t>src/v8/m6_colinealidad.py</t>
        </is>
      </c>
      <c r="AV33" s="3" t="inlineStr">
        <is>
          <t>(b) mejor de la familia ols_familias: ols_factores trimestral, periodo completo</t>
        </is>
      </c>
      <c r="AW33" s="3" t="inlineStr">
        <is>
          <t>M6:ols_factores</t>
        </is>
      </c>
      <c r="AX33" s="3" t="inlineStr">
        <is>
          <t>si</t>
        </is>
      </c>
      <c r="AY33" s="3" t="inlineStr">
        <is>
          <t>output/v8/M6/coeficientes.csv</t>
        </is>
      </c>
      <c r="AZ33" s="4">
        <f>Fuera_muestra!F49</f>
        <v/>
      </c>
      <c r="BA33" s="4">
        <f>Fuera_muestra!G49</f>
        <v/>
      </c>
      <c r="BB33" s="2">
        <f>AZ33/BA33</f>
        <v/>
      </c>
    </row>
    <row r="34">
      <c r="A34" s="3" t="inlineStr">
        <is>
          <t>M6_ols_compra_trimestral_completo</t>
        </is>
      </c>
      <c r="B34" s="3" t="inlineStr">
        <is>
          <t>M6</t>
        </is>
      </c>
      <c r="C34" s="3" t="inlineStr">
        <is>
          <t>ols_familias</t>
        </is>
      </c>
      <c r="D34" s="3" t="inlineStr">
        <is>
          <t>compra</t>
        </is>
      </c>
      <c r="E34" s="3" t="inlineStr">
        <is>
          <t>nacional</t>
        </is>
      </c>
      <c r="F34" s="3" t="inlineStr">
        <is>
          <t>completo</t>
        </is>
      </c>
      <c r="G34" s="3" t="inlineStr">
        <is>
          <t>d_ln_tasado_real</t>
        </is>
      </c>
      <c r="H34" s="3" t="inlineStr">
        <is>
          <t>trimestral</t>
        </is>
      </c>
      <c r="I34" s="3" t="inlineStr">
        <is>
          <t>tasado</t>
        </is>
      </c>
      <c r="J34" s="3" t="inlineStr">
        <is>
          <t>hogares_epa</t>
        </is>
      </c>
      <c r="K34" s="3" t="n">
        <v>1.979504502937791</v>
      </c>
      <c r="L34" s="3" t="n">
        <v>1.098770732578215</v>
      </c>
      <c r="M34" s="3" t="inlineStr">
        <is>
          <t>EWC</t>
        </is>
      </c>
      <c r="N34" s="3" t="n">
        <v>1.801562823113222</v>
      </c>
      <c r="O34" s="3" t="n">
        <v>0.1092916238317694</v>
      </c>
      <c r="P34" s="3" t="n">
        <v>0.2055723400645188</v>
      </c>
      <c r="Q34" s="3" t="inlineStr">
        <is>
          <t>BH</t>
        </is>
      </c>
      <c r="R34" s="3" t="n">
        <v>-0.5542653500288821</v>
      </c>
      <c r="S34" s="3" t="n">
        <v>4.513274355904464</v>
      </c>
      <c r="T34" s="3" t="n">
        <v>0.2776416310608358</v>
      </c>
      <c r="U34" s="3" t="n">
        <v>1.979504502937791</v>
      </c>
      <c r="V34" s="3" t="n">
        <v>96</v>
      </c>
      <c r="W34" s="3" t="n">
        <v>0.4656830339290105</v>
      </c>
      <c r="X34" s="3" t="n">
        <v>0.4231805479915455</v>
      </c>
      <c r="Y34" s="3" t="n">
        <v>361.1679990864433</v>
      </c>
      <c r="Z34" s="3" t="n">
        <v>381.682784618186</v>
      </c>
      <c r="AA34" s="3" t="n"/>
      <c r="AB34" s="3" t="n"/>
      <c r="AC34" s="3" t="n"/>
      <c r="AD34" s="3" t="n">
        <v>1.162436084656877e-09</v>
      </c>
      <c r="AE34" s="3" t="n">
        <v>0.0270895528937564</v>
      </c>
      <c r="AF34" s="3" t="n">
        <v>0.006383504750384</v>
      </c>
      <c r="AG34" s="3" t="n">
        <v>0.1723265331131643</v>
      </c>
      <c r="AH34" s="3" t="n">
        <v>0</v>
      </c>
      <c r="AI34" s="3" t="n">
        <v>1.105762364117747</v>
      </c>
      <c r="AJ34" s="3" t="n"/>
      <c r="AK34" s="3" t="n"/>
      <c r="AL34" s="3" t="n"/>
      <c r="AM34" s="3" t="inlineStr">
        <is>
          <t>C4</t>
        </is>
      </c>
      <c r="AN34" s="3" t="n">
        <v>1152</v>
      </c>
      <c r="AO34" s="3" t="n">
        <v>0.7222222222222222</v>
      </c>
      <c r="AP34" s="3" t="n">
        <v>0.2109375</v>
      </c>
      <c r="AQ34" s="3" t="inlineStr">
        <is>
          <t>no_evaluable</t>
        </is>
      </c>
      <c r="AR34" s="3" t="inlineStr">
        <is>
          <t>no</t>
        </is>
      </c>
      <c r="AS34" s="3" t="inlineStr">
        <is>
          <t>si</t>
        </is>
      </c>
      <c r="AT34" s="3" t="inlineStr">
        <is>
          <t>(b) mejor de la familia ols_familias: ols_factores trimestral, periodo completo; NO CUMPLE LA REGLA (§8 y multiverso) en ninguna variable; RMSE 2.830 vs AR(4) 1.038 (peor que AR(4))</t>
        </is>
      </c>
      <c r="AU34" s="3" t="inlineStr">
        <is>
          <t>src/v8/m6_colinealidad.py</t>
        </is>
      </c>
      <c r="AV34" s="3" t="inlineStr">
        <is>
          <t>(b) mejor de la familia ols_familias: ols_factores trimestral, periodo completo</t>
        </is>
      </c>
      <c r="AW34" s="3" t="inlineStr">
        <is>
          <t>M6:ols_factores</t>
        </is>
      </c>
      <c r="AX34" s="3" t="inlineStr">
        <is>
          <t>si</t>
        </is>
      </c>
      <c r="AY34" s="3" t="inlineStr">
        <is>
          <t>output/v8/M6/coeficientes.csv</t>
        </is>
      </c>
      <c r="AZ34" s="4">
        <f>Fuera_muestra!F49</f>
        <v/>
      </c>
      <c r="BA34" s="4">
        <f>Fuera_muestra!G49</f>
        <v/>
      </c>
      <c r="BB34" s="2">
        <f>AZ34/BA34</f>
        <v/>
      </c>
    </row>
    <row r="35">
      <c r="A35" s="3" t="inlineStr">
        <is>
          <t>M6_ols_compra_trimestral_completo</t>
        </is>
      </c>
      <c r="B35" s="3" t="inlineStr">
        <is>
          <t>M6</t>
        </is>
      </c>
      <c r="C35" s="3" t="inlineStr">
        <is>
          <t>ols_familias</t>
        </is>
      </c>
      <c r="D35" s="3" t="inlineStr">
        <is>
          <t>compra</t>
        </is>
      </c>
      <c r="E35" s="3" t="inlineStr">
        <is>
          <t>nacional</t>
        </is>
      </c>
      <c r="F35" s="3" t="inlineStr">
        <is>
          <t>completo</t>
        </is>
      </c>
      <c r="G35" s="3" t="inlineStr">
        <is>
          <t>d_ln_tasado_real</t>
        </is>
      </c>
      <c r="H35" s="3" t="inlineStr">
        <is>
          <t>trimestral</t>
        </is>
      </c>
      <c r="I35" s="3" t="inlineStr">
        <is>
          <t>tasado</t>
        </is>
      </c>
      <c r="J35" s="3" t="inlineStr">
        <is>
          <t>pib_vol</t>
        </is>
      </c>
      <c r="K35" s="3" t="n">
        <v>0.0802938910473765</v>
      </c>
      <c r="L35" s="3" t="n">
        <v>0.0300059188145781</v>
      </c>
      <c r="M35" s="3" t="inlineStr">
        <is>
          <t>EWC</t>
        </is>
      </c>
      <c r="N35" s="3" t="n">
        <v>2.675935089458627</v>
      </c>
      <c r="O35" s="3" t="n">
        <v>0.0281024983201946</v>
      </c>
      <c r="P35" s="3" t="n">
        <v>0.0762957723463864</v>
      </c>
      <c r="Q35" s="3" t="inlineStr">
        <is>
          <t>BH</t>
        </is>
      </c>
      <c r="R35" s="3" t="n">
        <v>0.0111001181803587</v>
      </c>
      <c r="S35" s="3" t="n">
        <v>0.1494876639143942</v>
      </c>
      <c r="T35" s="3" t="n">
        <v>0.1071829395946691</v>
      </c>
      <c r="U35" s="3" t="n">
        <v>0.0802938910473765</v>
      </c>
      <c r="V35" s="3" t="n">
        <v>96</v>
      </c>
      <c r="W35" s="3" t="n">
        <v>0.4656830339290105</v>
      </c>
      <c r="X35" s="3" t="n">
        <v>0.4231805479915455</v>
      </c>
      <c r="Y35" s="3" t="n">
        <v>361.1679990864433</v>
      </c>
      <c r="Z35" s="3" t="n">
        <v>381.682784618186</v>
      </c>
      <c r="AA35" s="3" t="n"/>
      <c r="AB35" s="3" t="n"/>
      <c r="AC35" s="3" t="n"/>
      <c r="AD35" s="3" t="n">
        <v>1.162436084656877e-09</v>
      </c>
      <c r="AE35" s="3" t="n">
        <v>0.0270895528937564</v>
      </c>
      <c r="AF35" s="3" t="n">
        <v>0.006383504750384</v>
      </c>
      <c r="AG35" s="3" t="n">
        <v>0.1723265331131643</v>
      </c>
      <c r="AH35" s="3" t="n">
        <v>0</v>
      </c>
      <c r="AI35" s="3" t="n">
        <v>1.105762364117747</v>
      </c>
      <c r="AJ35" s="3" t="n"/>
      <c r="AK35" s="3" t="n"/>
      <c r="AL35" s="3" t="n"/>
      <c r="AM35" s="3" t="inlineStr">
        <is>
          <t>C4</t>
        </is>
      </c>
      <c r="AN35" s="3" t="n">
        <v>1152</v>
      </c>
      <c r="AO35" s="3" t="n">
        <v>0.8871527777777778</v>
      </c>
      <c r="AP35" s="3" t="n">
        <v>0.2239583333333333</v>
      </c>
      <c r="AQ35" s="3" t="inlineStr">
        <is>
          <t>no_evaluable</t>
        </is>
      </c>
      <c r="AR35" s="3" t="inlineStr">
        <is>
          <t>no</t>
        </is>
      </c>
      <c r="AS35" s="3" t="inlineStr">
        <is>
          <t>si</t>
        </is>
      </c>
      <c r="AT35" s="3" t="inlineStr">
        <is>
          <t>(b) mejor de la familia ols_familias: ols_factores trimestral, periodo completo; NO CUMPLE LA REGLA (§8 y multiverso) en ninguna variable; RMSE 2.830 vs AR(4) 1.038 (peor que AR(4))</t>
        </is>
      </c>
      <c r="AU35" s="3" t="inlineStr">
        <is>
          <t>src/v8/m6_colinealidad.py</t>
        </is>
      </c>
      <c r="AV35" s="3" t="inlineStr">
        <is>
          <t>(b) mejor de la familia ols_familias: ols_factores trimestral, periodo completo</t>
        </is>
      </c>
      <c r="AW35" s="3" t="inlineStr">
        <is>
          <t>M6:ols_factores</t>
        </is>
      </c>
      <c r="AX35" s="3" t="inlineStr">
        <is>
          <t>si</t>
        </is>
      </c>
      <c r="AY35" s="3" t="inlineStr">
        <is>
          <t>output/v8/M6/coeficientes.csv</t>
        </is>
      </c>
      <c r="AZ35" s="4">
        <f>Fuera_muestra!F49</f>
        <v/>
      </c>
      <c r="BA35" s="4">
        <f>Fuera_muestra!G49</f>
        <v/>
      </c>
      <c r="BB35" s="2">
        <f>AZ35/BA35</f>
        <v/>
      </c>
    </row>
    <row r="36">
      <c r="A36" s="3" t="inlineStr">
        <is>
          <t>M6_ols_compra_trimestral_completo</t>
        </is>
      </c>
      <c r="B36" s="3" t="inlineStr">
        <is>
          <t>M6</t>
        </is>
      </c>
      <c r="C36" s="3" t="inlineStr">
        <is>
          <t>ols_familias</t>
        </is>
      </c>
      <c r="D36" s="3" t="inlineStr">
        <is>
          <t>compra</t>
        </is>
      </c>
      <c r="E36" s="3" t="inlineStr">
        <is>
          <t>nacional</t>
        </is>
      </c>
      <c r="F36" s="3" t="inlineStr">
        <is>
          <t>completo</t>
        </is>
      </c>
      <c r="G36" s="3" t="inlineStr">
        <is>
          <t>d_ln_tasado_real</t>
        </is>
      </c>
      <c r="H36" s="3" t="inlineStr">
        <is>
          <t>trimestral</t>
        </is>
      </c>
      <c r="I36" s="3" t="inlineStr">
        <is>
          <t>tasado</t>
        </is>
      </c>
      <c r="J36" s="3" t="inlineStr">
        <is>
          <t>tipo_hip_real</t>
        </is>
      </c>
      <c r="K36" s="3" t="n">
        <v>-0.0327044842226161</v>
      </c>
      <c r="L36" s="3" t="n">
        <v>0.09351586713643779</v>
      </c>
      <c r="M36" s="3" t="inlineStr">
        <is>
          <t>EWC</t>
        </is>
      </c>
      <c r="N36" s="3" t="n">
        <v>-0.3497212315306984</v>
      </c>
      <c r="O36" s="3" t="n">
        <v>0.7355759945333821</v>
      </c>
      <c r="P36" s="3" t="n">
        <v>0.796034295453934</v>
      </c>
      <c r="Q36" s="3" t="inlineStr">
        <is>
          <t>BH</t>
        </is>
      </c>
      <c r="R36" s="3" t="n">
        <v>-0.2483524605464451</v>
      </c>
      <c r="S36" s="3" t="n">
        <v>0.1829434921012127</v>
      </c>
      <c r="T36" s="3" t="n">
        <v>-0.0325469786578857</v>
      </c>
      <c r="U36" s="3" t="n"/>
      <c r="V36" s="3" t="n">
        <v>96</v>
      </c>
      <c r="W36" s="3" t="n">
        <v>0.4656830339290105</v>
      </c>
      <c r="X36" s="3" t="n">
        <v>0.4231805479915455</v>
      </c>
      <c r="Y36" s="3" t="n">
        <v>361.1679990864433</v>
      </c>
      <c r="Z36" s="3" t="n">
        <v>381.682784618186</v>
      </c>
      <c r="AA36" s="3" t="n"/>
      <c r="AB36" s="3" t="n"/>
      <c r="AC36" s="3" t="n"/>
      <c r="AD36" s="3" t="n">
        <v>1.162436084656877e-09</v>
      </c>
      <c r="AE36" s="3" t="n">
        <v>0.0270895528937564</v>
      </c>
      <c r="AF36" s="3" t="n">
        <v>0.006383504750384</v>
      </c>
      <c r="AG36" s="3" t="n">
        <v>0.1723265331131643</v>
      </c>
      <c r="AH36" s="3" t="n">
        <v>0</v>
      </c>
      <c r="AI36" s="3" t="n">
        <v>1.105762364117747</v>
      </c>
      <c r="AJ36" s="3" t="n"/>
      <c r="AK36" s="3" t="n"/>
      <c r="AL36" s="3" t="n"/>
      <c r="AM36" s="3" t="inlineStr">
        <is>
          <t>C4</t>
        </is>
      </c>
      <c r="AN36" s="3" t="n">
        <v>1152</v>
      </c>
      <c r="AO36" s="3" t="n">
        <v>0.7552083333333334</v>
      </c>
      <c r="AP36" s="3" t="n">
        <v>0.3637152777777778</v>
      </c>
      <c r="AQ36" s="3" t="inlineStr">
        <is>
          <t>no_evaluable</t>
        </is>
      </c>
      <c r="AR36" s="3" t="inlineStr">
        <is>
          <t>no</t>
        </is>
      </c>
      <c r="AS36" s="3" t="inlineStr">
        <is>
          <t>si</t>
        </is>
      </c>
      <c r="AT36" s="3" t="inlineStr">
        <is>
          <t>(b) mejor de la familia ols_familias: ols_factores trimestral, periodo completo; NO CUMPLE LA REGLA (§8 y multiverso) en ninguna variable; RMSE 2.830 vs AR(4) 1.038 (peor que AR(4))</t>
        </is>
      </c>
      <c r="AU36" s="3" t="inlineStr">
        <is>
          <t>src/v8/m6_colinealidad.py</t>
        </is>
      </c>
      <c r="AV36" s="3" t="inlineStr">
        <is>
          <t>(b) mejor de la familia ols_familias: ols_factores trimestral, periodo completo</t>
        </is>
      </c>
      <c r="AW36" s="3" t="inlineStr">
        <is>
          <t>M6:ols_factores</t>
        </is>
      </c>
      <c r="AX36" s="3" t="inlineStr">
        <is>
          <t>si</t>
        </is>
      </c>
      <c r="AY36" s="3" t="inlineStr">
        <is>
          <t>output/v8/M6/coeficientes.csv</t>
        </is>
      </c>
      <c r="AZ36" s="4">
        <f>Fuera_muestra!F49</f>
        <v/>
      </c>
      <c r="BA36" s="4">
        <f>Fuera_muestra!G49</f>
        <v/>
      </c>
      <c r="BB36" s="2">
        <f>AZ36/BA36</f>
        <v/>
      </c>
    </row>
    <row r="37">
      <c r="A37" s="3" t="inlineStr">
        <is>
          <t>M6_ols_compra_trimestral_completo</t>
        </is>
      </c>
      <c r="B37" s="3" t="inlineStr">
        <is>
          <t>M6</t>
        </is>
      </c>
      <c r="C37" s="3" t="inlineStr">
        <is>
          <t>ols_familias</t>
        </is>
      </c>
      <c r="D37" s="3" t="inlineStr">
        <is>
          <t>compra</t>
        </is>
      </c>
      <c r="E37" s="3" t="inlineStr">
        <is>
          <t>nacional</t>
        </is>
      </c>
      <c r="F37" s="3" t="inlineStr">
        <is>
          <t>completo</t>
        </is>
      </c>
      <c r="G37" s="3" t="inlineStr">
        <is>
          <t>d_ln_tasado_real</t>
        </is>
      </c>
      <c r="H37" s="3" t="inlineStr">
        <is>
          <t>trimestral</t>
        </is>
      </c>
      <c r="I37" s="3" t="inlineStr">
        <is>
          <t>tasado</t>
        </is>
      </c>
      <c r="J37" s="3" t="inlineStr">
        <is>
          <t>terminadas</t>
        </is>
      </c>
      <c r="K37" s="3" t="n">
        <v>0.0048216500598563</v>
      </c>
      <c r="L37" s="3" t="n">
        <v>0.0086248353769723</v>
      </c>
      <c r="M37" s="3" t="inlineStr">
        <is>
          <t>EWC</t>
        </is>
      </c>
      <c r="N37" s="3" t="n">
        <v>0.5590425612910599</v>
      </c>
      <c r="O37" s="3" t="n">
        <v>0.5914338972759476</v>
      </c>
      <c r="P37" s="3" t="n">
        <v>0.6973623564895503</v>
      </c>
      <c r="Q37" s="3" t="inlineStr">
        <is>
          <t>BH</t>
        </is>
      </c>
      <c r="R37" s="3" t="n">
        <v>-0.015067255984897</v>
      </c>
      <c r="S37" s="3" t="n">
        <v>0.0247105561046098</v>
      </c>
      <c r="T37" s="3" t="n">
        <v>0.0419181904703336</v>
      </c>
      <c r="U37" s="3" t="n">
        <v>0.0048216500598563</v>
      </c>
      <c r="V37" s="3" t="n">
        <v>96</v>
      </c>
      <c r="W37" s="3" t="n">
        <v>0.4656830339290105</v>
      </c>
      <c r="X37" s="3" t="n">
        <v>0.4231805479915455</v>
      </c>
      <c r="Y37" s="3" t="n">
        <v>361.1679990864433</v>
      </c>
      <c r="Z37" s="3" t="n">
        <v>381.682784618186</v>
      </c>
      <c r="AA37" s="3" t="n"/>
      <c r="AB37" s="3" t="n"/>
      <c r="AC37" s="3" t="n"/>
      <c r="AD37" s="3" t="n">
        <v>1.162436084656877e-09</v>
      </c>
      <c r="AE37" s="3" t="n">
        <v>0.0270895528937564</v>
      </c>
      <c r="AF37" s="3" t="n">
        <v>0.006383504750384</v>
      </c>
      <c r="AG37" s="3" t="n">
        <v>0.1723265331131643</v>
      </c>
      <c r="AH37" s="3" t="n">
        <v>0</v>
      </c>
      <c r="AI37" s="3" t="n">
        <v>1.105762364117747</v>
      </c>
      <c r="AJ37" s="3" t="n"/>
      <c r="AK37" s="3" t="n"/>
      <c r="AL37" s="3" t="n"/>
      <c r="AM37" s="3" t="inlineStr">
        <is>
          <t>C4</t>
        </is>
      </c>
      <c r="AN37" s="3" t="n">
        <v>1152</v>
      </c>
      <c r="AO37" s="3" t="n">
        <v>0.7673611111111112</v>
      </c>
      <c r="AP37" s="3" t="n">
        <v>0.4314236111111111</v>
      </c>
      <c r="AQ37" s="3" t="inlineStr">
        <is>
          <t>no_evaluable</t>
        </is>
      </c>
      <c r="AR37" s="3" t="inlineStr">
        <is>
          <t>no</t>
        </is>
      </c>
      <c r="AS37" s="3" t="inlineStr">
        <is>
          <t>si</t>
        </is>
      </c>
      <c r="AT37" s="3" t="inlineStr">
        <is>
          <t>(b) mejor de la familia ols_familias: ols_factores trimestral, periodo completo; NO CUMPLE LA REGLA (§8 y multiverso) en ninguna variable; RMSE 2.830 vs AR(4) 1.038 (peor que AR(4))</t>
        </is>
      </c>
      <c r="AU37" s="3" t="inlineStr">
        <is>
          <t>src/v8/m6_colinealidad.py</t>
        </is>
      </c>
      <c r="AV37" s="3" t="inlineStr">
        <is>
          <t>(b) mejor de la familia ols_familias: ols_factores trimestral, periodo completo</t>
        </is>
      </c>
      <c r="AW37" s="3" t="inlineStr">
        <is>
          <t>M6:ols_factores</t>
        </is>
      </c>
      <c r="AX37" s="3" t="inlineStr">
        <is>
          <t>si</t>
        </is>
      </c>
      <c r="AY37" s="3" t="inlineStr">
        <is>
          <t>output/v8/M6/coeficientes.csv</t>
        </is>
      </c>
      <c r="AZ37" s="4">
        <f>Fuera_muestra!F49</f>
        <v/>
      </c>
      <c r="BA37" s="4">
        <f>Fuera_muestra!G49</f>
        <v/>
      </c>
      <c r="BB37" s="2">
        <f>AZ37/BA37</f>
        <v/>
      </c>
    </row>
    <row r="38">
      <c r="A38" s="3" t="inlineStr">
        <is>
          <t>M6_ols_compra_trimestral_completo</t>
        </is>
      </c>
      <c r="B38" s="3" t="inlineStr">
        <is>
          <t>M6</t>
        </is>
      </c>
      <c r="C38" s="3" t="inlineStr">
        <is>
          <t>ols_familias</t>
        </is>
      </c>
      <c r="D38" s="3" t="inlineStr">
        <is>
          <t>compra</t>
        </is>
      </c>
      <c r="E38" s="3" t="inlineStr">
        <is>
          <t>nacional</t>
        </is>
      </c>
      <c r="F38" s="3" t="inlineStr">
        <is>
          <t>completo</t>
        </is>
      </c>
      <c r="G38" s="3" t="inlineStr">
        <is>
          <t>d_ln_tasado_real</t>
        </is>
      </c>
      <c r="H38" s="3" t="inlineStr">
        <is>
          <t>trimestral</t>
        </is>
      </c>
      <c r="I38" s="3" t="inlineStr">
        <is>
          <t>tasado</t>
        </is>
      </c>
      <c r="J38" s="3" t="inlineStr">
        <is>
          <t>bis_hpi_xm_real</t>
        </is>
      </c>
      <c r="K38" s="3" t="n">
        <v>1.085187542979349</v>
      </c>
      <c r="L38" s="3" t="n">
        <v>0.3520737120034223</v>
      </c>
      <c r="M38" s="3" t="inlineStr">
        <is>
          <t>EWC</t>
        </is>
      </c>
      <c r="N38" s="3" t="n">
        <v>3.082273700027909</v>
      </c>
      <c r="O38" s="3" t="n">
        <v>0.0150649023354565</v>
      </c>
      <c r="P38" s="3" t="n">
        <v>0.050231710756108</v>
      </c>
      <c r="Q38" s="3" t="inlineStr">
        <is>
          <t>BH</t>
        </is>
      </c>
      <c r="R38" s="3" t="n">
        <v>0.2733041072027765</v>
      </c>
      <c r="S38" s="3" t="n">
        <v>1.897070978755921</v>
      </c>
      <c r="T38" s="3" t="n">
        <v>0.5980877651163798</v>
      </c>
      <c r="U38" s="3" t="n">
        <v>1.085187542979349</v>
      </c>
      <c r="V38" s="3" t="n">
        <v>96</v>
      </c>
      <c r="W38" s="3" t="n">
        <v>0.4656830339290105</v>
      </c>
      <c r="X38" s="3" t="n">
        <v>0.4231805479915455</v>
      </c>
      <c r="Y38" s="3" t="n">
        <v>361.1679990864433</v>
      </c>
      <c r="Z38" s="3" t="n">
        <v>381.682784618186</v>
      </c>
      <c r="AA38" s="3" t="n"/>
      <c r="AB38" s="3" t="n"/>
      <c r="AC38" s="3" t="n"/>
      <c r="AD38" s="3" t="n">
        <v>1.162436084656877e-09</v>
      </c>
      <c r="AE38" s="3" t="n">
        <v>0.0270895528937564</v>
      </c>
      <c r="AF38" s="3" t="n">
        <v>0.006383504750384</v>
      </c>
      <c r="AG38" s="3" t="n">
        <v>0.1723265331131643</v>
      </c>
      <c r="AH38" s="3" t="n">
        <v>0</v>
      </c>
      <c r="AI38" s="3" t="n">
        <v>1.105762364117747</v>
      </c>
      <c r="AJ38" s="3" t="n"/>
      <c r="AK38" s="3" t="n"/>
      <c r="AL38" s="3" t="n"/>
      <c r="AM38" s="3" t="inlineStr">
        <is>
          <t>C4</t>
        </is>
      </c>
      <c r="AN38" s="3" t="n">
        <v>960</v>
      </c>
      <c r="AO38" s="3" t="n">
        <v>0.7145833333333333</v>
      </c>
      <c r="AP38" s="3" t="n">
        <v>0.346875</v>
      </c>
      <c r="AQ38" s="3" t="inlineStr">
        <is>
          <t>no_evaluable</t>
        </is>
      </c>
      <c r="AR38" s="3" t="inlineStr">
        <is>
          <t>no</t>
        </is>
      </c>
      <c r="AS38" s="3" t="inlineStr">
        <is>
          <t>si</t>
        </is>
      </c>
      <c r="AT38" s="3" t="inlineStr">
        <is>
          <t>(b) mejor de la familia ols_familias: ols_factores trimestral, periodo completo; NO CUMPLE LA REGLA (§8 y multiverso) en ninguna variable; RMSE 2.830 vs AR(4) 1.038 (peor que AR(4))</t>
        </is>
      </c>
      <c r="AU38" s="3" t="inlineStr">
        <is>
          <t>src/v8/m6_colinealidad.py</t>
        </is>
      </c>
      <c r="AV38" s="3" t="inlineStr">
        <is>
          <t>(b) mejor de la familia ols_familias: ols_factores trimestral, periodo completo</t>
        </is>
      </c>
      <c r="AW38" s="3" t="inlineStr">
        <is>
          <t>M6:ols_factores</t>
        </is>
      </c>
      <c r="AX38" s="3" t="inlineStr">
        <is>
          <t>si</t>
        </is>
      </c>
      <c r="AY38" s="3" t="inlineStr">
        <is>
          <t>output/v8/M6/coeficientes.csv</t>
        </is>
      </c>
      <c r="AZ38" s="4">
        <f>Fuera_muestra!F49</f>
        <v/>
      </c>
      <c r="BA38" s="4">
        <f>Fuera_muestra!G49</f>
        <v/>
      </c>
      <c r="BB38" s="2">
        <f>AZ38/BA38</f>
        <v/>
      </c>
    </row>
    <row r="39">
      <c r="A39" s="3" t="inlineStr">
        <is>
          <t>M6_ols_compra_trimestral_completo</t>
        </is>
      </c>
      <c r="B39" s="3" t="inlineStr">
        <is>
          <t>M6</t>
        </is>
      </c>
      <c r="C39" s="3" t="inlineStr">
        <is>
          <t>ols_familias</t>
        </is>
      </c>
      <c r="D39" s="3" t="inlineStr">
        <is>
          <t>compra</t>
        </is>
      </c>
      <c r="E39" s="3" t="inlineStr">
        <is>
          <t>nacional</t>
        </is>
      </c>
      <c r="F39" s="3" t="inlineStr">
        <is>
          <t>completo</t>
        </is>
      </c>
      <c r="G39" s="3" t="inlineStr">
        <is>
          <t>d_ln_tasado_real</t>
        </is>
      </c>
      <c r="H39" s="3" t="inlineStr">
        <is>
          <t>trimestral</t>
        </is>
      </c>
      <c r="I39" s="3" t="inlineStr">
        <is>
          <t>tasado</t>
        </is>
      </c>
      <c r="J39" s="3" t="inlineStr">
        <is>
          <t>covid</t>
        </is>
      </c>
      <c r="K39" s="3" t="n">
        <v>-1.375137936635344</v>
      </c>
      <c r="L39" s="3" t="n">
        <v>0.3766515768620509</v>
      </c>
      <c r="M39" s="3" t="inlineStr">
        <is>
          <t>EWC</t>
        </is>
      </c>
      <c r="N39" s="3" t="n">
        <v>-3.650954943802053</v>
      </c>
      <c r="O39" s="3" t="n">
        <v>0.0064854075284586</v>
      </c>
      <c r="P39" s="3" t="n">
        <v>0.0354386398609134</v>
      </c>
      <c r="Q39" s="3" t="inlineStr">
        <is>
          <t>BH</t>
        </is>
      </c>
      <c r="R39" s="3" t="n">
        <v>-2.243698030410403</v>
      </c>
      <c r="S39" s="3" t="n">
        <v>-0.5065778428602844</v>
      </c>
      <c r="T39" s="3" t="n">
        <v>-0.1197459645397175</v>
      </c>
      <c r="U39" s="3" t="n"/>
      <c r="V39" s="3" t="n">
        <v>96</v>
      </c>
      <c r="W39" s="3" t="n">
        <v>0.4656830339290105</v>
      </c>
      <c r="X39" s="3" t="n">
        <v>0.4231805479915455</v>
      </c>
      <c r="Y39" s="3" t="n">
        <v>361.1679990864433</v>
      </c>
      <c r="Z39" s="3" t="n">
        <v>381.682784618186</v>
      </c>
      <c r="AA39" s="3" t="n"/>
      <c r="AB39" s="3" t="n"/>
      <c r="AC39" s="3" t="n"/>
      <c r="AD39" s="3" t="n">
        <v>1.162436084656877e-09</v>
      </c>
      <c r="AE39" s="3" t="n">
        <v>0.0270895528937564</v>
      </c>
      <c r="AF39" s="3" t="n">
        <v>0.006383504750384</v>
      </c>
      <c r="AG39" s="3" t="n">
        <v>0.1723265331131643</v>
      </c>
      <c r="AH39" s="3" t="n">
        <v>0</v>
      </c>
      <c r="AI39" s="3" t="n">
        <v>1.105762364117747</v>
      </c>
      <c r="AJ39" s="3" t="n"/>
      <c r="AK39" s="3" t="n"/>
      <c r="AL39" s="3" t="n"/>
      <c r="AM39" s="3" t="inlineStr">
        <is>
          <t>C4</t>
        </is>
      </c>
      <c r="AN39" s="3" t="n"/>
      <c r="AO39" s="3" t="n"/>
      <c r="AP39" s="3" t="n"/>
      <c r="AQ39" s="3" t="inlineStr">
        <is>
          <t>no_evaluable</t>
        </is>
      </c>
      <c r="AR39" s="3" t="inlineStr">
        <is>
          <t>no_evaluable</t>
        </is>
      </c>
      <c r="AS39" s="3" t="inlineStr">
        <is>
          <t>si</t>
        </is>
      </c>
      <c r="AT39" s="3" t="inlineStr">
        <is>
          <t>(b) mejor de la familia ols_familias: ols_factores trimestral, periodo completo; NO CUMPLE LA REGLA (§8 y multiverso) en ninguna variable; RMSE 2.830 vs AR(4) 1.038 (peor que AR(4))</t>
        </is>
      </c>
      <c r="AU39" s="3" t="inlineStr">
        <is>
          <t>src/v8/m6_colinealidad.py</t>
        </is>
      </c>
      <c r="AV39" s="3" t="inlineStr">
        <is>
          <t>(b) mejor de la familia ols_familias: ols_factores trimestral, periodo completo</t>
        </is>
      </c>
      <c r="AW39" s="3" t="inlineStr">
        <is>
          <t>M6:ols_factores</t>
        </is>
      </c>
      <c r="AX39" s="3" t="inlineStr">
        <is>
          <t>si</t>
        </is>
      </c>
      <c r="AY39" s="3" t="inlineStr">
        <is>
          <t>output/v8/M6/coeficientes.csv</t>
        </is>
      </c>
      <c r="AZ39" s="4">
        <f>Fuera_muestra!F49</f>
        <v/>
      </c>
      <c r="BA39" s="4">
        <f>Fuera_muestra!G49</f>
        <v/>
      </c>
      <c r="BB39" s="2">
        <f>AZ39/BA39</f>
        <v/>
      </c>
    </row>
    <row r="40">
      <c r="A40" s="3" t="inlineStr">
        <is>
          <t>M6_ols_compra_trimestral_completo</t>
        </is>
      </c>
      <c r="B40" s="3" t="inlineStr">
        <is>
          <t>M6</t>
        </is>
      </c>
      <c r="C40" s="3" t="inlineStr">
        <is>
          <t>ols_familias</t>
        </is>
      </c>
      <c r="D40" s="3" t="inlineStr">
        <is>
          <t>compra</t>
        </is>
      </c>
      <c r="E40" s="3" t="inlineStr">
        <is>
          <t>nacional</t>
        </is>
      </c>
      <c r="F40" s="3" t="inlineStr">
        <is>
          <t>completo</t>
        </is>
      </c>
      <c r="G40" s="3" t="inlineStr">
        <is>
          <t>d_ln_tasado_real</t>
        </is>
      </c>
      <c r="H40" s="3" t="inlineStr">
        <is>
          <t>trimestral</t>
        </is>
      </c>
      <c r="I40" s="3" t="inlineStr">
        <is>
          <t>tasado</t>
        </is>
      </c>
      <c r="J40" s="3" t="inlineStr">
        <is>
          <t>epa2021_q</t>
        </is>
      </c>
      <c r="K40" s="3" t="n">
        <v>2.24821437772964</v>
      </c>
      <c r="L40" s="3" t="n">
        <v>1.555123555748155</v>
      </c>
      <c r="M40" s="3" t="inlineStr">
        <is>
          <t>EWC</t>
        </is>
      </c>
      <c r="N40" s="3" t="n">
        <v>1.445682157806455</v>
      </c>
      <c r="O40" s="3" t="n">
        <v>0.1862761808316142</v>
      </c>
      <c r="P40" s="3" t="n">
        <v>0.3086769513981507</v>
      </c>
      <c r="Q40" s="3" t="inlineStr">
        <is>
          <t>BH</t>
        </is>
      </c>
      <c r="R40" s="3" t="n">
        <v>-1.337906972579011</v>
      </c>
      <c r="S40" s="3" t="n">
        <v>5.83433572803829</v>
      </c>
      <c r="T40" s="3" t="n">
        <v>0.11423838243963</v>
      </c>
      <c r="U40" s="3" t="n"/>
      <c r="V40" s="3" t="n">
        <v>96</v>
      </c>
      <c r="W40" s="3" t="n">
        <v>0.4656830339290105</v>
      </c>
      <c r="X40" s="3" t="n">
        <v>0.4231805479915455</v>
      </c>
      <c r="Y40" s="3" t="n">
        <v>361.1679990864433</v>
      </c>
      <c r="Z40" s="3" t="n">
        <v>381.682784618186</v>
      </c>
      <c r="AA40" s="3" t="n"/>
      <c r="AB40" s="3" t="n"/>
      <c r="AC40" s="3" t="n"/>
      <c r="AD40" s="3" t="n">
        <v>1.162436084656877e-09</v>
      </c>
      <c r="AE40" s="3" t="n">
        <v>0.0270895528937564</v>
      </c>
      <c r="AF40" s="3" t="n">
        <v>0.006383504750384</v>
      </c>
      <c r="AG40" s="3" t="n">
        <v>0.1723265331131643</v>
      </c>
      <c r="AH40" s="3" t="n">
        <v>0</v>
      </c>
      <c r="AI40" s="3" t="n">
        <v>1.105762364117747</v>
      </c>
      <c r="AJ40" s="3" t="n"/>
      <c r="AK40" s="3" t="n"/>
      <c r="AL40" s="3" t="n"/>
      <c r="AM40" s="3" t="inlineStr">
        <is>
          <t>C4</t>
        </is>
      </c>
      <c r="AN40" s="3" t="n"/>
      <c r="AO40" s="3" t="n"/>
      <c r="AP40" s="3" t="n"/>
      <c r="AQ40" s="3" t="inlineStr">
        <is>
          <t>no_evaluable</t>
        </is>
      </c>
      <c r="AR40" s="3" t="inlineStr">
        <is>
          <t>no_evaluable</t>
        </is>
      </c>
      <c r="AS40" s="3" t="inlineStr">
        <is>
          <t>si</t>
        </is>
      </c>
      <c r="AT40" s="3" t="inlineStr">
        <is>
          <t>(b) mejor de la familia ols_familias: ols_factores trimestral, periodo completo; NO CUMPLE LA REGLA (§8 y multiverso) en ninguna variable; RMSE 2.830 vs AR(4) 1.038 (peor que AR(4))</t>
        </is>
      </c>
      <c r="AU40" s="3" t="inlineStr">
        <is>
          <t>src/v8/m6_colinealidad.py</t>
        </is>
      </c>
      <c r="AV40" s="3" t="inlineStr">
        <is>
          <t>(b) mejor de la familia ols_familias: ols_factores trimestral, periodo completo</t>
        </is>
      </c>
      <c r="AW40" s="3" t="inlineStr">
        <is>
          <t>M6:ols_factores</t>
        </is>
      </c>
      <c r="AX40" s="3" t="inlineStr">
        <is>
          <t>si</t>
        </is>
      </c>
      <c r="AY40" s="3" t="inlineStr">
        <is>
          <t>output/v8/M6/coeficientes.csv</t>
        </is>
      </c>
      <c r="AZ40" s="4">
        <f>Fuera_muestra!F49</f>
        <v/>
      </c>
      <c r="BA40" s="4">
        <f>Fuera_muestra!G49</f>
        <v/>
      </c>
      <c r="BB40" s="2">
        <f>AZ40/BA40</f>
        <v/>
      </c>
    </row>
    <row r="41">
      <c r="A41" s="3" t="inlineStr">
        <is>
          <t>M0_alquiler_base_P1</t>
        </is>
      </c>
      <c r="B41" s="3" t="inlineStr">
        <is>
          <t>M0</t>
        </is>
      </c>
      <c r="C41" s="3" t="inlineStr">
        <is>
          <t>ols_tramos_hac</t>
        </is>
      </c>
      <c r="D41" s="3" t="inlineStr">
        <is>
          <t>alquiler</t>
        </is>
      </c>
      <c r="E41" s="3" t="inlineStr">
        <is>
          <t>nacional</t>
        </is>
      </c>
      <c r="F41" s="3" t="inlineStr">
        <is>
          <t>P1</t>
        </is>
      </c>
      <c r="G41" s="3" t="inlineStr">
        <is>
          <t>d4_ln_ipc_alquiler_real</t>
        </is>
      </c>
      <c r="H41" s="3" t="inlineStr">
        <is>
          <t>d4_ln*100</t>
        </is>
      </c>
      <c r="I41" s="3" t="inlineStr">
        <is>
          <t>IPC alquiler, real (IPC general)</t>
        </is>
      </c>
      <c r="J41" s="3" t="inlineStr">
        <is>
          <t>d4_pob_total</t>
        </is>
      </c>
      <c r="K41" s="3" t="n">
        <v>-2.95841986417114</v>
      </c>
      <c r="L41" s="3" t="n">
        <v>1.156526222658883</v>
      </c>
      <c r="M41" s="3" t="inlineStr">
        <is>
          <t>HAC-NW(4), t(14)</t>
        </is>
      </c>
      <c r="N41" s="3" t="n">
        <v>-2.558022296606174</v>
      </c>
      <c r="O41" s="3" t="n">
        <v>0.0227604052755947</v>
      </c>
      <c r="P41" s="3" t="n">
        <v>0.0482796475542919</v>
      </c>
      <c r="Q41" s="3" t="inlineStr">
        <is>
          <t>BH</t>
        </is>
      </c>
      <c r="R41" s="3" t="n">
        <v>-5.438921910757776</v>
      </c>
      <c r="S41" s="3" t="n">
        <v>-0.4779178175845051</v>
      </c>
      <c r="T41" s="3" t="n">
        <v>-0.6330349470733875</v>
      </c>
      <c r="U41" s="3" t="n"/>
      <c r="V41" s="3" t="n">
        <v>20</v>
      </c>
      <c r="W41" s="3" t="n">
        <v>0.8438478776768492</v>
      </c>
      <c r="X41" s="3" t="n">
        <v>0.7880792625614382</v>
      </c>
      <c r="Y41" s="3" t="n">
        <v>8.624344229042073</v>
      </c>
      <c r="Z41" s="3" t="n">
        <v>14.59873787036602</v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inlineStr">
        <is>
          <t>C4</t>
        </is>
      </c>
      <c r="AN41" s="3" t="n">
        <v>96</v>
      </c>
      <c r="AO41" s="3" t="n">
        <v>0.6041666666666666</v>
      </c>
      <c r="AP41" s="3" t="n">
        <v>0.0416666666666666</v>
      </c>
      <c r="AQ41" s="3" t="inlineStr">
        <is>
          <t>no_evaluable</t>
        </is>
      </c>
      <c r="AR41" s="3" t="inlineStr">
        <is>
          <t>no</t>
        </is>
      </c>
      <c r="AS41" s="3" t="inlineStr">
        <is>
          <t>si</t>
        </is>
      </c>
      <c r="AT41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1" s="3" t="inlineStr">
        <is>
          <t>src/v8/m0_periodos.py</t>
        </is>
      </c>
      <c r="AV41" s="3" t="inlineStr">
        <is>
          <t>(b) mejor de la familia ols_tramos_hac: ecuacion AR1+X por periodo; unico candidato con OOS en la familia</t>
        </is>
      </c>
      <c r="AW41" s="3" t="inlineStr">
        <is>
          <t>M0:AR1+X_por_periodo</t>
        </is>
      </c>
      <c r="AX41" s="3" t="inlineStr">
        <is>
          <t>si</t>
        </is>
      </c>
      <c r="AY41" s="3" t="inlineStr">
        <is>
          <t>output/v8/M0/coeficientes.csv</t>
        </is>
      </c>
      <c r="AZ41" s="4">
        <f>Fuera_muestra!F19</f>
        <v/>
      </c>
      <c r="BA41" s="4">
        <f>Fuera_muestra!G19</f>
        <v/>
      </c>
      <c r="BB41" s="2">
        <f>AZ41/BA41</f>
        <v/>
      </c>
    </row>
    <row r="42">
      <c r="A42" s="3" t="inlineStr">
        <is>
          <t>M0_alquiler_base_P1</t>
        </is>
      </c>
      <c r="B42" s="3" t="inlineStr">
        <is>
          <t>M0</t>
        </is>
      </c>
      <c r="C42" s="3" t="inlineStr">
        <is>
          <t>ols_tramos_hac</t>
        </is>
      </c>
      <c r="D42" s="3" t="inlineStr">
        <is>
          <t>alquiler</t>
        </is>
      </c>
      <c r="E42" s="3" t="inlineStr">
        <is>
          <t>nacional</t>
        </is>
      </c>
      <c r="F42" s="3" t="inlineStr">
        <is>
          <t>P1</t>
        </is>
      </c>
      <c r="G42" s="3" t="inlineStr">
        <is>
          <t>d4_ln_ipc_alquiler_real</t>
        </is>
      </c>
      <c r="H42" s="3" t="inlineStr">
        <is>
          <t>d4_ln*100</t>
        </is>
      </c>
      <c r="I42" s="3" t="inlineStr">
        <is>
          <t>IPC alquiler, real (IPC general)</t>
        </is>
      </c>
      <c r="J42" s="3" t="inlineStr">
        <is>
          <t>d4_pib_vol</t>
        </is>
      </c>
      <c r="K42" s="3" t="n">
        <v>-0.9605497858264062</v>
      </c>
      <c r="L42" s="3" t="n">
        <v>0.1418291092827467</v>
      </c>
      <c r="M42" s="3" t="inlineStr">
        <is>
          <t>HAC-NW(4), t(14)</t>
        </is>
      </c>
      <c r="N42" s="3" t="n">
        <v>-6.772585618594556</v>
      </c>
      <c r="O42" s="3" t="n">
        <v>8.985491728036151e-06</v>
      </c>
      <c r="P42" s="3" t="n">
        <v>6.988715788472561e-05</v>
      </c>
      <c r="Q42" s="3" t="inlineStr">
        <is>
          <t>BH</t>
        </is>
      </c>
      <c r="R42" s="3" t="n">
        <v>-1.264742971375281</v>
      </c>
      <c r="S42" s="3" t="n">
        <v>-0.6563566002775316</v>
      </c>
      <c r="T42" s="3" t="n">
        <v>-0.7158301804173268</v>
      </c>
      <c r="U42" s="3" t="n"/>
      <c r="V42" s="3" t="n">
        <v>20</v>
      </c>
      <c r="W42" s="3" t="n">
        <v>0.8438478776768492</v>
      </c>
      <c r="X42" s="3" t="n">
        <v>0.7880792625614382</v>
      </c>
      <c r="Y42" s="3" t="n">
        <v>8.624344229042073</v>
      </c>
      <c r="Z42" s="3" t="n">
        <v>14.59873787036602</v>
      </c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inlineStr">
        <is>
          <t>C4</t>
        </is>
      </c>
      <c r="AN42" s="3" t="n">
        <v>96</v>
      </c>
      <c r="AO42" s="3" t="n">
        <v>0.5</v>
      </c>
      <c r="AP42" s="3" t="n">
        <v>0.0520833333333333</v>
      </c>
      <c r="AQ42" s="3" t="inlineStr">
        <is>
          <t>no_evaluable</t>
        </is>
      </c>
      <c r="AR42" s="3" t="inlineStr">
        <is>
          <t>no</t>
        </is>
      </c>
      <c r="AS42" s="3" t="inlineStr">
        <is>
          <t>si</t>
        </is>
      </c>
      <c r="AT42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2" s="3" t="inlineStr">
        <is>
          <t>src/v8/m0_periodos.py</t>
        </is>
      </c>
      <c r="AV42" s="3" t="inlineStr">
        <is>
          <t>(b) mejor de la familia ols_tramos_hac: ecuacion AR1+X por periodo; unico candidato con OOS en la familia</t>
        </is>
      </c>
      <c r="AW42" s="3" t="inlineStr">
        <is>
          <t>M0:AR1+X_por_periodo</t>
        </is>
      </c>
      <c r="AX42" s="3" t="inlineStr">
        <is>
          <t>si</t>
        </is>
      </c>
      <c r="AY42" s="3" t="inlineStr">
        <is>
          <t>output/v8/M0/coeficientes.csv</t>
        </is>
      </c>
      <c r="AZ42" s="4">
        <f>Fuera_muestra!F19</f>
        <v/>
      </c>
      <c r="BA42" s="4">
        <f>Fuera_muestra!G19</f>
        <v/>
      </c>
      <c r="BB42" s="2">
        <f>AZ42/BA42</f>
        <v/>
      </c>
    </row>
    <row r="43">
      <c r="A43" s="3" t="inlineStr">
        <is>
          <t>M0_alquiler_base_P1</t>
        </is>
      </c>
      <c r="B43" s="3" t="inlineStr">
        <is>
          <t>M0</t>
        </is>
      </c>
      <c r="C43" s="3" t="inlineStr">
        <is>
          <t>ols_tramos_hac</t>
        </is>
      </c>
      <c r="D43" s="3" t="inlineStr">
        <is>
          <t>alquiler</t>
        </is>
      </c>
      <c r="E43" s="3" t="inlineStr">
        <is>
          <t>nacional</t>
        </is>
      </c>
      <c r="F43" s="3" t="inlineStr">
        <is>
          <t>P1</t>
        </is>
      </c>
      <c r="G43" s="3" t="inlineStr">
        <is>
          <t>d4_ln_ipc_alquiler_real</t>
        </is>
      </c>
      <c r="H43" s="3" t="inlineStr">
        <is>
          <t>d4_ln*100</t>
        </is>
      </c>
      <c r="I43" s="3" t="inlineStr">
        <is>
          <t>IPC alquiler, real (IPC general)</t>
        </is>
      </c>
      <c r="J43" s="3" t="inlineStr">
        <is>
          <t>tipo_hip_real</t>
        </is>
      </c>
      <c r="K43" s="3" t="n">
        <v>0.6246275959422994</v>
      </c>
      <c r="L43" s="3" t="n">
        <v>0.0702712917516618</v>
      </c>
      <c r="M43" s="3" t="inlineStr">
        <is>
          <t>HAC-NW(4), t(14)</t>
        </is>
      </c>
      <c r="N43" s="3" t="n">
        <v>8.88880196125792</v>
      </c>
      <c r="O43" s="3" t="n">
        <v>3.935632726799985e-07</v>
      </c>
      <c r="P43" s="3" t="n">
        <v>3.935632726799985e-06</v>
      </c>
      <c r="Q43" s="3" t="inlineStr">
        <is>
          <t>BH</t>
        </is>
      </c>
      <c r="R43" s="3" t="n">
        <v>0.4739106648505469</v>
      </c>
      <c r="S43" s="3" t="n">
        <v>0.775344527034052</v>
      </c>
      <c r="T43" s="3" t="n">
        <v>1.12772448162535</v>
      </c>
      <c r="U43" s="3" t="n"/>
      <c r="V43" s="3" t="n">
        <v>20</v>
      </c>
      <c r="W43" s="3" t="n">
        <v>0.8438478776768492</v>
      </c>
      <c r="X43" s="3" t="n">
        <v>0.7880792625614382</v>
      </c>
      <c r="Y43" s="3" t="n">
        <v>8.624344229042073</v>
      </c>
      <c r="Z43" s="3" t="n">
        <v>14.59873787036602</v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inlineStr">
        <is>
          <t>C4</t>
        </is>
      </c>
      <c r="AN43" s="3" t="n">
        <v>96</v>
      </c>
      <c r="AO43" s="3" t="n">
        <v>0.6041666666666666</v>
      </c>
      <c r="AP43" s="3" t="n">
        <v>0.2604166666666667</v>
      </c>
      <c r="AQ43" s="3" t="inlineStr">
        <is>
          <t>no_evaluable</t>
        </is>
      </c>
      <c r="AR43" s="3" t="inlineStr">
        <is>
          <t>no</t>
        </is>
      </c>
      <c r="AS43" s="3" t="inlineStr">
        <is>
          <t>si</t>
        </is>
      </c>
      <c r="AT43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3" s="3" t="inlineStr">
        <is>
          <t>src/v8/m0_periodos.py</t>
        </is>
      </c>
      <c r="AV43" s="3" t="inlineStr">
        <is>
          <t>(b) mejor de la familia ols_tramos_hac: ecuacion AR1+X por periodo; unico candidato con OOS en la familia</t>
        </is>
      </c>
      <c r="AW43" s="3" t="inlineStr">
        <is>
          <t>M0:AR1+X_por_periodo</t>
        </is>
      </c>
      <c r="AX43" s="3" t="inlineStr">
        <is>
          <t>si</t>
        </is>
      </c>
      <c r="AY43" s="3" t="inlineStr">
        <is>
          <t>output/v8/M0/coeficientes.csv</t>
        </is>
      </c>
      <c r="AZ43" s="4">
        <f>Fuera_muestra!F19</f>
        <v/>
      </c>
      <c r="BA43" s="4">
        <f>Fuera_muestra!G19</f>
        <v/>
      </c>
      <c r="BB43" s="2">
        <f>AZ43/BA43</f>
        <v/>
      </c>
    </row>
    <row r="44">
      <c r="A44" s="3" t="inlineStr">
        <is>
          <t>M0_alquiler_base_P1</t>
        </is>
      </c>
      <c r="B44" s="3" t="inlineStr">
        <is>
          <t>M0</t>
        </is>
      </c>
      <c r="C44" s="3" t="inlineStr">
        <is>
          <t>ols_tramos_hac</t>
        </is>
      </c>
      <c r="D44" s="3" t="inlineStr">
        <is>
          <t>alquiler</t>
        </is>
      </c>
      <c r="E44" s="3" t="inlineStr">
        <is>
          <t>nacional</t>
        </is>
      </c>
      <c r="F44" s="3" t="inlineStr">
        <is>
          <t>P1</t>
        </is>
      </c>
      <c r="G44" s="3" t="inlineStr">
        <is>
          <t>d4_ln_ipc_alquiler_real</t>
        </is>
      </c>
      <c r="H44" s="3" t="inlineStr">
        <is>
          <t>d4_ln*100</t>
        </is>
      </c>
      <c r="I44" s="3" t="inlineStr">
        <is>
          <t>IPC alquiler, real (IPC general)</t>
        </is>
      </c>
      <c r="J44" s="3" t="inlineStr">
        <is>
          <t>d4_credito_vivienda_real</t>
        </is>
      </c>
      <c r="K44" s="3" t="n">
        <v>0.0653941603308428</v>
      </c>
      <c r="L44" s="3" t="n">
        <v>0.0180637912980829</v>
      </c>
      <c r="M44" s="3" t="inlineStr">
        <is>
          <t>HAC-NW(4), t(14)</t>
        </is>
      </c>
      <c r="N44" s="3" t="n">
        <v>3.620179133589905</v>
      </c>
      <c r="O44" s="3" t="n">
        <v>0.0027847435834149</v>
      </c>
      <c r="P44" s="3" t="n">
        <v>0.0081221687849602</v>
      </c>
      <c r="Q44" s="3" t="inlineStr">
        <is>
          <t>BH</t>
        </is>
      </c>
      <c r="R44" s="3" t="n">
        <v>0.026651181221389</v>
      </c>
      <c r="S44" s="3" t="n">
        <v>0.1041371394402966</v>
      </c>
      <c r="T44" s="3" t="n">
        <v>0.6281228725806628</v>
      </c>
      <c r="U44" s="3" t="n"/>
      <c r="V44" s="3" t="n">
        <v>20</v>
      </c>
      <c r="W44" s="3" t="n">
        <v>0.8438478776768492</v>
      </c>
      <c r="X44" s="3" t="n">
        <v>0.7880792625614382</v>
      </c>
      <c r="Y44" s="3" t="n">
        <v>8.624344229042073</v>
      </c>
      <c r="Z44" s="3" t="n">
        <v>14.59873787036602</v>
      </c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inlineStr">
        <is>
          <t>C4</t>
        </is>
      </c>
      <c r="AN44" s="3" t="n"/>
      <c r="AO44" s="3" t="n"/>
      <c r="AP44" s="3" t="n"/>
      <c r="AQ44" s="3" t="inlineStr">
        <is>
          <t>no_evaluable</t>
        </is>
      </c>
      <c r="AR44" s="3" t="inlineStr">
        <is>
          <t>no_evaluable</t>
        </is>
      </c>
      <c r="AS44" s="3" t="inlineStr">
        <is>
          <t>si</t>
        </is>
      </c>
      <c r="AT44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4" s="3" t="inlineStr">
        <is>
          <t>src/v8/m0_periodos.py</t>
        </is>
      </c>
      <c r="AV44" s="3" t="inlineStr">
        <is>
          <t>(b) mejor de la familia ols_tramos_hac: ecuacion AR1+X por periodo; unico candidato con OOS en la familia</t>
        </is>
      </c>
      <c r="AW44" s="3" t="inlineStr">
        <is>
          <t>M0:AR1+X_por_periodo</t>
        </is>
      </c>
      <c r="AX44" s="3" t="inlineStr">
        <is>
          <t>si</t>
        </is>
      </c>
      <c r="AY44" s="3" t="inlineStr">
        <is>
          <t>output/v8/M0/coeficientes.csv</t>
        </is>
      </c>
      <c r="AZ44" s="4">
        <f>Fuera_muestra!F19</f>
        <v/>
      </c>
      <c r="BA44" s="4">
        <f>Fuera_muestra!G19</f>
        <v/>
      </c>
      <c r="BB44" s="2">
        <f>AZ44/BA44</f>
        <v/>
      </c>
    </row>
    <row r="45">
      <c r="A45" s="3" t="inlineStr">
        <is>
          <t>M0_alquiler_base_P1</t>
        </is>
      </c>
      <c r="B45" s="3" t="inlineStr">
        <is>
          <t>M0</t>
        </is>
      </c>
      <c r="C45" s="3" t="inlineStr">
        <is>
          <t>ols_tramos_hac</t>
        </is>
      </c>
      <c r="D45" s="3" t="inlineStr">
        <is>
          <t>alquiler</t>
        </is>
      </c>
      <c r="E45" s="3" t="inlineStr">
        <is>
          <t>nacional</t>
        </is>
      </c>
      <c r="F45" s="3" t="inlineStr">
        <is>
          <t>P1</t>
        </is>
      </c>
      <c r="G45" s="3" t="inlineStr">
        <is>
          <t>d4_ln_ipc_alquiler_real</t>
        </is>
      </c>
      <c r="H45" s="3" t="inlineStr">
        <is>
          <t>d4_ln*100</t>
        </is>
      </c>
      <c r="I45" s="3" t="inlineStr">
        <is>
          <t>IPC alquiler, real (IPC general)</t>
        </is>
      </c>
      <c r="J45" s="3" t="inlineStr">
        <is>
          <t>d4_terminadas</t>
        </is>
      </c>
      <c r="K45" s="3" t="n">
        <v>-0.036619769129168</v>
      </c>
      <c r="L45" s="3" t="n">
        <v>0.0197143408684655</v>
      </c>
      <c r="M45" s="3" t="inlineStr">
        <is>
          <t>HAC-NW(4), t(14)</t>
        </is>
      </c>
      <c r="N45" s="3" t="n">
        <v>-1.857519324307922</v>
      </c>
      <c r="O45" s="3" t="n">
        <v>0.0843955750099798</v>
      </c>
      <c r="P45" s="3" t="n">
        <v>0.1440900061145996</v>
      </c>
      <c r="Q45" s="3" t="inlineStr">
        <is>
          <t>BH</t>
        </is>
      </c>
      <c r="R45" s="3" t="n">
        <v>-0.0789028249849268</v>
      </c>
      <c r="S45" s="3" t="n">
        <v>0.0056632867265906</v>
      </c>
      <c r="T45" s="3" t="n">
        <v>-0.4214655513878415</v>
      </c>
      <c r="U45" s="3" t="n"/>
      <c r="V45" s="3" t="n">
        <v>20</v>
      </c>
      <c r="W45" s="3" t="n">
        <v>0.8438478776768492</v>
      </c>
      <c r="X45" s="3" t="n">
        <v>0.7880792625614382</v>
      </c>
      <c r="Y45" s="3" t="n">
        <v>8.624344229042073</v>
      </c>
      <c r="Z45" s="3" t="n">
        <v>14.59873787036602</v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inlineStr">
        <is>
          <t>C4</t>
        </is>
      </c>
      <c r="AN45" s="3" t="n">
        <v>96</v>
      </c>
      <c r="AO45" s="3" t="n">
        <v>0.7083333333333334</v>
      </c>
      <c r="AP45" s="3" t="n">
        <v>0.0833333333333333</v>
      </c>
      <c r="AQ45" s="3" t="inlineStr">
        <is>
          <t>no_evaluable</t>
        </is>
      </c>
      <c r="AR45" s="3" t="inlineStr">
        <is>
          <t>no</t>
        </is>
      </c>
      <c r="AS45" s="3" t="inlineStr">
        <is>
          <t>si</t>
        </is>
      </c>
      <c r="AT45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5" s="3" t="inlineStr">
        <is>
          <t>src/v8/m0_periodos.py</t>
        </is>
      </c>
      <c r="AV45" s="3" t="inlineStr">
        <is>
          <t>(b) mejor de la familia ols_tramos_hac: ecuacion AR1+X por periodo; unico candidato con OOS en la familia</t>
        </is>
      </c>
      <c r="AW45" s="3" t="inlineStr">
        <is>
          <t>M0:AR1+X_por_periodo</t>
        </is>
      </c>
      <c r="AX45" s="3" t="inlineStr">
        <is>
          <t>si</t>
        </is>
      </c>
      <c r="AY45" s="3" t="inlineStr">
        <is>
          <t>output/v8/M0/coeficientes.csv</t>
        </is>
      </c>
      <c r="AZ45" s="4">
        <f>Fuera_muestra!F19</f>
        <v/>
      </c>
      <c r="BA45" s="4">
        <f>Fuera_muestra!G19</f>
        <v/>
      </c>
      <c r="BB45" s="2">
        <f>AZ45/BA45</f>
        <v/>
      </c>
    </row>
    <row r="46">
      <c r="A46" s="3" t="inlineStr">
        <is>
          <t>M0_alquiler_base_P2</t>
        </is>
      </c>
      <c r="B46" s="3" t="inlineStr">
        <is>
          <t>M0</t>
        </is>
      </c>
      <c r="C46" s="3" t="inlineStr">
        <is>
          <t>ols_tramos_hac</t>
        </is>
      </c>
      <c r="D46" s="3" t="inlineStr">
        <is>
          <t>alquiler</t>
        </is>
      </c>
      <c r="E46" s="3" t="inlineStr">
        <is>
          <t>nacional</t>
        </is>
      </c>
      <c r="F46" s="3" t="inlineStr">
        <is>
          <t>P2</t>
        </is>
      </c>
      <c r="G46" s="3" t="inlineStr">
        <is>
          <t>d4_ln_ipc_alquiler_real</t>
        </is>
      </c>
      <c r="H46" s="3" t="inlineStr">
        <is>
          <t>d4_ln*100</t>
        </is>
      </c>
      <c r="I46" s="3" t="inlineStr">
        <is>
          <t>IPC alquiler, real (IPC general)</t>
        </is>
      </c>
      <c r="J46" s="3" t="inlineStr">
        <is>
          <t>d4_pob_total</t>
        </is>
      </c>
      <c r="K46" s="3" t="n">
        <v>-1.452668040465075</v>
      </c>
      <c r="L46" s="3" t="n">
        <v>0.6951834337907633</v>
      </c>
      <c r="M46" s="3" t="inlineStr">
        <is>
          <t>HAC-NW(4), t(16)</t>
        </is>
      </c>
      <c r="N46" s="3" t="n">
        <v>-2.089618322093532</v>
      </c>
      <c r="O46" s="3" t="n">
        <v>0.0529798358358691</v>
      </c>
      <c r="P46" s="3" t="n">
        <v>0.1030163474586344</v>
      </c>
      <c r="Q46" s="3" t="inlineStr">
        <is>
          <t>BH</t>
        </is>
      </c>
      <c r="R46" s="3" t="n">
        <v>-2.926391085688942</v>
      </c>
      <c r="S46" s="3" t="n">
        <v>0.021055004758792</v>
      </c>
      <c r="T46" s="3" t="n">
        <v>-0.3833136699934023</v>
      </c>
      <c r="U46" s="3" t="n"/>
      <c r="V46" s="3" t="n">
        <v>22</v>
      </c>
      <c r="W46" s="3" t="n">
        <v>0.9752863310925244</v>
      </c>
      <c r="X46" s="3" t="n">
        <v>0.9675633095589384</v>
      </c>
      <c r="Y46" s="3" t="n">
        <v>25.03034670141922</v>
      </c>
      <c r="Z46" s="3" t="n">
        <v>31.57660142156912</v>
      </c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inlineStr">
        <is>
          <t>C4</t>
        </is>
      </c>
      <c r="AN46" s="3" t="n">
        <v>96</v>
      </c>
      <c r="AO46" s="3" t="n">
        <v>1</v>
      </c>
      <c r="AP46" s="3" t="n">
        <v>0.8229166666666666</v>
      </c>
      <c r="AQ46" s="3" t="inlineStr">
        <is>
          <t>no_evaluable</t>
        </is>
      </c>
      <c r="AR46" s="3" t="inlineStr">
        <is>
          <t>sí</t>
        </is>
      </c>
      <c r="AS46" s="3" t="inlineStr">
        <is>
          <t>si</t>
        </is>
      </c>
      <c r="AT46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6" s="3" t="inlineStr">
        <is>
          <t>src/v8/m0_periodos.py</t>
        </is>
      </c>
      <c r="AV46" s="3" t="inlineStr">
        <is>
          <t>(b) mejor de la familia ols_tramos_hac: ecuacion AR1+X por periodo; unico candidato con OOS en la familia</t>
        </is>
      </c>
      <c r="AW46" s="3" t="inlineStr">
        <is>
          <t>M0:AR1+X_por_periodo</t>
        </is>
      </c>
      <c r="AX46" s="3" t="inlineStr">
        <is>
          <t>si</t>
        </is>
      </c>
      <c r="AY46" s="3" t="inlineStr">
        <is>
          <t>output/v8/M0/coeficientes.csv</t>
        </is>
      </c>
      <c r="AZ46" s="4">
        <f>Fuera_muestra!F19</f>
        <v/>
      </c>
      <c r="BA46" s="4">
        <f>Fuera_muestra!G19</f>
        <v/>
      </c>
      <c r="BB46" s="2">
        <f>AZ46/BA46</f>
        <v/>
      </c>
    </row>
    <row r="47">
      <c r="A47" s="3" t="inlineStr">
        <is>
          <t>M0_alquiler_base_P2</t>
        </is>
      </c>
      <c r="B47" s="3" t="inlineStr">
        <is>
          <t>M0</t>
        </is>
      </c>
      <c r="C47" s="3" t="inlineStr">
        <is>
          <t>ols_tramos_hac</t>
        </is>
      </c>
      <c r="D47" s="3" t="inlineStr">
        <is>
          <t>alquiler</t>
        </is>
      </c>
      <c r="E47" s="3" t="inlineStr">
        <is>
          <t>nacional</t>
        </is>
      </c>
      <c r="F47" s="3" t="inlineStr">
        <is>
          <t>P2</t>
        </is>
      </c>
      <c r="G47" s="3" t="inlineStr">
        <is>
          <t>d4_ln_ipc_alquiler_real</t>
        </is>
      </c>
      <c r="H47" s="3" t="inlineStr">
        <is>
          <t>d4_ln*100</t>
        </is>
      </c>
      <c r="I47" s="3" t="inlineStr">
        <is>
          <t>IPC alquiler, real (IPC general)</t>
        </is>
      </c>
      <c r="J47" s="3" t="inlineStr">
        <is>
          <t>d4_pib_vol</t>
        </is>
      </c>
      <c r="K47" s="3" t="n">
        <v>-0.4127992012918373</v>
      </c>
      <c r="L47" s="3" t="n">
        <v>0.0694792965994446</v>
      </c>
      <c r="M47" s="3" t="inlineStr">
        <is>
          <t>HAC-NW(4), t(16)</t>
        </is>
      </c>
      <c r="N47" s="3" t="n">
        <v>-5.941326718830615</v>
      </c>
      <c r="O47" s="3" t="n">
        <v>2.069910917333126e-05</v>
      </c>
      <c r="P47" s="3" t="n">
        <v>0.000120744803511</v>
      </c>
      <c r="Q47" s="3" t="inlineStr">
        <is>
          <t>BH</t>
        </is>
      </c>
      <c r="R47" s="3" t="n">
        <v>-0.5600887303391653</v>
      </c>
      <c r="S47" s="3" t="n">
        <v>-0.2655096722445094</v>
      </c>
      <c r="T47" s="3" t="n">
        <v>-0.313220508331244</v>
      </c>
      <c r="U47" s="3" t="n"/>
      <c r="V47" s="3" t="n">
        <v>22</v>
      </c>
      <c r="W47" s="3" t="n">
        <v>0.9752863310925244</v>
      </c>
      <c r="X47" s="3" t="n">
        <v>0.9675633095589384</v>
      </c>
      <c r="Y47" s="3" t="n">
        <v>25.03034670141922</v>
      </c>
      <c r="Z47" s="3" t="n">
        <v>31.57660142156912</v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inlineStr">
        <is>
          <t>C4</t>
        </is>
      </c>
      <c r="AN47" s="3" t="n">
        <v>96</v>
      </c>
      <c r="AO47" s="3" t="n">
        <v>0.5625</v>
      </c>
      <c r="AP47" s="3" t="n">
        <v>0.1875</v>
      </c>
      <c r="AQ47" s="3" t="inlineStr">
        <is>
          <t>no_evaluable</t>
        </is>
      </c>
      <c r="AR47" s="3" t="inlineStr">
        <is>
          <t>no</t>
        </is>
      </c>
      <c r="AS47" s="3" t="inlineStr">
        <is>
          <t>si</t>
        </is>
      </c>
      <c r="AT47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7" s="3" t="inlineStr">
        <is>
          <t>src/v8/m0_periodos.py</t>
        </is>
      </c>
      <c r="AV47" s="3" t="inlineStr">
        <is>
          <t>(b) mejor de la familia ols_tramos_hac: ecuacion AR1+X por periodo; unico candidato con OOS en la familia</t>
        </is>
      </c>
      <c r="AW47" s="3" t="inlineStr">
        <is>
          <t>M0:AR1+X_por_periodo</t>
        </is>
      </c>
      <c r="AX47" s="3" t="inlineStr">
        <is>
          <t>si</t>
        </is>
      </c>
      <c r="AY47" s="3" t="inlineStr">
        <is>
          <t>output/v8/M0/coeficientes.csv</t>
        </is>
      </c>
      <c r="AZ47" s="4">
        <f>Fuera_muestra!F19</f>
        <v/>
      </c>
      <c r="BA47" s="4">
        <f>Fuera_muestra!G19</f>
        <v/>
      </c>
      <c r="BB47" s="2">
        <f>AZ47/BA47</f>
        <v/>
      </c>
    </row>
    <row r="48">
      <c r="A48" s="3" t="inlineStr">
        <is>
          <t>M0_alquiler_base_P2</t>
        </is>
      </c>
      <c r="B48" s="3" t="inlineStr">
        <is>
          <t>M0</t>
        </is>
      </c>
      <c r="C48" s="3" t="inlineStr">
        <is>
          <t>ols_tramos_hac</t>
        </is>
      </c>
      <c r="D48" s="3" t="inlineStr">
        <is>
          <t>alquiler</t>
        </is>
      </c>
      <c r="E48" s="3" t="inlineStr">
        <is>
          <t>nacional</t>
        </is>
      </c>
      <c r="F48" s="3" t="inlineStr">
        <is>
          <t>P2</t>
        </is>
      </c>
      <c r="G48" s="3" t="inlineStr">
        <is>
          <t>d4_ln_ipc_alquiler_real</t>
        </is>
      </c>
      <c r="H48" s="3" t="inlineStr">
        <is>
          <t>d4_ln*100</t>
        </is>
      </c>
      <c r="I48" s="3" t="inlineStr">
        <is>
          <t>IPC alquiler, real (IPC general)</t>
        </is>
      </c>
      <c r="J48" s="3" t="inlineStr">
        <is>
          <t>tipo_hip_real</t>
        </is>
      </c>
      <c r="K48" s="3" t="n">
        <v>0.5218282480390255</v>
      </c>
      <c r="L48" s="3" t="n">
        <v>0.0865237231032191</v>
      </c>
      <c r="M48" s="3" t="inlineStr">
        <is>
          <t>HAC-NW(4), t(16)</t>
        </is>
      </c>
      <c r="N48" s="3" t="n">
        <v>6.031042462383482</v>
      </c>
      <c r="O48" s="3" t="n">
        <v>1.746784397786056e-05</v>
      </c>
      <c r="P48" s="3" t="n">
        <v>0.0001111590071318</v>
      </c>
      <c r="Q48" s="3" t="inlineStr">
        <is>
          <t>BH</t>
        </is>
      </c>
      <c r="R48" s="3" t="n">
        <v>0.3384061489241586</v>
      </c>
      <c r="S48" s="3" t="n">
        <v>0.7052503471538923</v>
      </c>
      <c r="T48" s="3" t="n">
        <v>0.3489816976331811</v>
      </c>
      <c r="U48" s="3" t="n"/>
      <c r="V48" s="3" t="n">
        <v>22</v>
      </c>
      <c r="W48" s="3" t="n">
        <v>0.9752863310925244</v>
      </c>
      <c r="X48" s="3" t="n">
        <v>0.9675633095589384</v>
      </c>
      <c r="Y48" s="3" t="n">
        <v>25.03034670141922</v>
      </c>
      <c r="Z48" s="3" t="n">
        <v>31.57660142156912</v>
      </c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inlineStr">
        <is>
          <t>C4</t>
        </is>
      </c>
      <c r="AN48" s="3" t="n">
        <v>96</v>
      </c>
      <c r="AO48" s="3" t="n">
        <v>0.75</v>
      </c>
      <c r="AP48" s="3" t="n">
        <v>0.3125</v>
      </c>
      <c r="AQ48" s="3" t="inlineStr">
        <is>
          <t>no_evaluable</t>
        </is>
      </c>
      <c r="AR48" s="3" t="inlineStr">
        <is>
          <t>no</t>
        </is>
      </c>
      <c r="AS48" s="3" t="inlineStr">
        <is>
          <t>si</t>
        </is>
      </c>
      <c r="AT48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8" s="3" t="inlineStr">
        <is>
          <t>src/v8/m0_periodos.py</t>
        </is>
      </c>
      <c r="AV48" s="3" t="inlineStr">
        <is>
          <t>(b) mejor de la familia ols_tramos_hac: ecuacion AR1+X por periodo; unico candidato con OOS en la familia</t>
        </is>
      </c>
      <c r="AW48" s="3" t="inlineStr">
        <is>
          <t>M0:AR1+X_por_periodo</t>
        </is>
      </c>
      <c r="AX48" s="3" t="inlineStr">
        <is>
          <t>si</t>
        </is>
      </c>
      <c r="AY48" s="3" t="inlineStr">
        <is>
          <t>output/v8/M0/coeficientes.csv</t>
        </is>
      </c>
      <c r="AZ48" s="4">
        <f>Fuera_muestra!F19</f>
        <v/>
      </c>
      <c r="BA48" s="4">
        <f>Fuera_muestra!G19</f>
        <v/>
      </c>
      <c r="BB48" s="2">
        <f>AZ48/BA48</f>
        <v/>
      </c>
    </row>
    <row r="49">
      <c r="A49" s="3" t="inlineStr">
        <is>
          <t>M0_alquiler_base_P2</t>
        </is>
      </c>
      <c r="B49" s="3" t="inlineStr">
        <is>
          <t>M0</t>
        </is>
      </c>
      <c r="C49" s="3" t="inlineStr">
        <is>
          <t>ols_tramos_hac</t>
        </is>
      </c>
      <c r="D49" s="3" t="inlineStr">
        <is>
          <t>alquiler</t>
        </is>
      </c>
      <c r="E49" s="3" t="inlineStr">
        <is>
          <t>nacional</t>
        </is>
      </c>
      <c r="F49" s="3" t="inlineStr">
        <is>
          <t>P2</t>
        </is>
      </c>
      <c r="G49" s="3" t="inlineStr">
        <is>
          <t>d4_ln_ipc_alquiler_real</t>
        </is>
      </c>
      <c r="H49" s="3" t="inlineStr">
        <is>
          <t>d4_ln*100</t>
        </is>
      </c>
      <c r="I49" s="3" t="inlineStr">
        <is>
          <t>IPC alquiler, real (IPC general)</t>
        </is>
      </c>
      <c r="J49" s="3" t="inlineStr">
        <is>
          <t>d4_credito_vivienda_real</t>
        </is>
      </c>
      <c r="K49" s="3" t="n">
        <v>0.6780828104916</v>
      </c>
      <c r="L49" s="3" t="n">
        <v>0.132484638424814</v>
      </c>
      <c r="M49" s="3" t="inlineStr">
        <is>
          <t>HAC-NW(4), t(16)</t>
        </is>
      </c>
      <c r="N49" s="3" t="n">
        <v>5.118199502626991</v>
      </c>
      <c r="O49" s="3" t="n">
        <v>0.0001031922950694</v>
      </c>
      <c r="P49" s="3" t="n">
        <v>0.0005159614753474</v>
      </c>
      <c r="Q49" s="3" t="inlineStr">
        <is>
          <t>BH</t>
        </is>
      </c>
      <c r="R49" s="3" t="n">
        <v>0.3972279234294249</v>
      </c>
      <c r="S49" s="3" t="n">
        <v>0.9589376975537752</v>
      </c>
      <c r="T49" s="3" t="n">
        <v>0.9575007752313291</v>
      </c>
      <c r="U49" s="3" t="n"/>
      <c r="V49" s="3" t="n">
        <v>22</v>
      </c>
      <c r="W49" s="3" t="n">
        <v>0.9752863310925244</v>
      </c>
      <c r="X49" s="3" t="n">
        <v>0.9675633095589384</v>
      </c>
      <c r="Y49" s="3" t="n">
        <v>25.03034670141922</v>
      </c>
      <c r="Z49" s="3" t="n">
        <v>31.57660142156912</v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inlineStr">
        <is>
          <t>C4</t>
        </is>
      </c>
      <c r="AN49" s="3" t="n"/>
      <c r="AO49" s="3" t="n"/>
      <c r="AP49" s="3" t="n"/>
      <c r="AQ49" s="3" t="inlineStr">
        <is>
          <t>no_evaluable</t>
        </is>
      </c>
      <c r="AR49" s="3" t="inlineStr">
        <is>
          <t>no_evaluable</t>
        </is>
      </c>
      <c r="AS49" s="3" t="inlineStr">
        <is>
          <t>si</t>
        </is>
      </c>
      <c r="AT49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9" s="3" t="inlineStr">
        <is>
          <t>src/v8/m0_periodos.py</t>
        </is>
      </c>
      <c r="AV49" s="3" t="inlineStr">
        <is>
          <t>(b) mejor de la familia ols_tramos_hac: ecuacion AR1+X por periodo; unico candidato con OOS en la familia</t>
        </is>
      </c>
      <c r="AW49" s="3" t="inlineStr">
        <is>
          <t>M0:AR1+X_por_periodo</t>
        </is>
      </c>
      <c r="AX49" s="3" t="inlineStr">
        <is>
          <t>si</t>
        </is>
      </c>
      <c r="AY49" s="3" t="inlineStr">
        <is>
          <t>output/v8/M0/coeficientes.csv</t>
        </is>
      </c>
      <c r="AZ49" s="4">
        <f>Fuera_muestra!F19</f>
        <v/>
      </c>
      <c r="BA49" s="4">
        <f>Fuera_muestra!G19</f>
        <v/>
      </c>
      <c r="BB49" s="2">
        <f>AZ49/BA49</f>
        <v/>
      </c>
    </row>
    <row r="50">
      <c r="A50" s="3" t="inlineStr">
        <is>
          <t>M0_alquiler_base_P2</t>
        </is>
      </c>
      <c r="B50" s="3" t="inlineStr">
        <is>
          <t>M0</t>
        </is>
      </c>
      <c r="C50" s="3" t="inlineStr">
        <is>
          <t>ols_tramos_hac</t>
        </is>
      </c>
      <c r="D50" s="3" t="inlineStr">
        <is>
          <t>alquiler</t>
        </is>
      </c>
      <c r="E50" s="3" t="inlineStr">
        <is>
          <t>nacional</t>
        </is>
      </c>
      <c r="F50" s="3" t="inlineStr">
        <is>
          <t>P2</t>
        </is>
      </c>
      <c r="G50" s="3" t="inlineStr">
        <is>
          <t>d4_ln_ipc_alquiler_real</t>
        </is>
      </c>
      <c r="H50" s="3" t="inlineStr">
        <is>
          <t>d4_ln*100</t>
        </is>
      </c>
      <c r="I50" s="3" t="inlineStr">
        <is>
          <t>IPC alquiler, real (IPC general)</t>
        </is>
      </c>
      <c r="J50" s="3" t="inlineStr">
        <is>
          <t>d4_terminadas</t>
        </is>
      </c>
      <c r="K50" s="3" t="n">
        <v>-0.0039423585978175</v>
      </c>
      <c r="L50" s="3" t="n">
        <v>0.0072638506576906</v>
      </c>
      <c r="M50" s="3" t="inlineStr">
        <is>
          <t>HAC-NW(4), t(16)</t>
        </is>
      </c>
      <c r="N50" s="3" t="n">
        <v>-0.5427367361474484</v>
      </c>
      <c r="O50" s="3" t="n">
        <v>0.59479126892592</v>
      </c>
      <c r="P50" s="3" t="n">
        <v>0.6608791876954667</v>
      </c>
      <c r="Q50" s="3" t="inlineStr">
        <is>
          <t>BH</t>
        </is>
      </c>
      <c r="R50" s="3" t="n">
        <v>-0.0193410340998078</v>
      </c>
      <c r="S50" s="3" t="n">
        <v>0.0114563169041727</v>
      </c>
      <c r="T50" s="3" t="n">
        <v>-0.0319743286693228</v>
      </c>
      <c r="U50" s="3" t="n"/>
      <c r="V50" s="3" t="n">
        <v>22</v>
      </c>
      <c r="W50" s="3" t="n">
        <v>0.9752863310925244</v>
      </c>
      <c r="X50" s="3" t="n">
        <v>0.9675633095589384</v>
      </c>
      <c r="Y50" s="3" t="n">
        <v>25.03034670141922</v>
      </c>
      <c r="Z50" s="3" t="n">
        <v>31.57660142156912</v>
      </c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inlineStr">
        <is>
          <t>C4</t>
        </is>
      </c>
      <c r="AN50" s="3" t="n">
        <v>96</v>
      </c>
      <c r="AO50" s="3" t="n">
        <v>0.5833333333333334</v>
      </c>
      <c r="AP50" s="3" t="n">
        <v>0.125</v>
      </c>
      <c r="AQ50" s="3" t="inlineStr">
        <is>
          <t>no_evaluable</t>
        </is>
      </c>
      <c r="AR50" s="3" t="inlineStr">
        <is>
          <t>no</t>
        </is>
      </c>
      <c r="AS50" s="3" t="inlineStr">
        <is>
          <t>si</t>
        </is>
      </c>
      <c r="AT50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0" s="3" t="inlineStr">
        <is>
          <t>src/v8/m0_periodos.py</t>
        </is>
      </c>
      <c r="AV50" s="3" t="inlineStr">
        <is>
          <t>(b) mejor de la familia ols_tramos_hac: ecuacion AR1+X por periodo; unico candidato con OOS en la familia</t>
        </is>
      </c>
      <c r="AW50" s="3" t="inlineStr">
        <is>
          <t>M0:AR1+X_por_periodo</t>
        </is>
      </c>
      <c r="AX50" s="3" t="inlineStr">
        <is>
          <t>si</t>
        </is>
      </c>
      <c r="AY50" s="3" t="inlineStr">
        <is>
          <t>output/v8/M0/coeficientes.csv</t>
        </is>
      </c>
      <c r="AZ50" s="4">
        <f>Fuera_muestra!F19</f>
        <v/>
      </c>
      <c r="BA50" s="4">
        <f>Fuera_muestra!G19</f>
        <v/>
      </c>
      <c r="BB50" s="2">
        <f>AZ50/BA50</f>
        <v/>
      </c>
    </row>
    <row r="51">
      <c r="A51" s="3" t="inlineStr">
        <is>
          <t>M0_alquiler_base_P3</t>
        </is>
      </c>
      <c r="B51" s="3" t="inlineStr">
        <is>
          <t>M0</t>
        </is>
      </c>
      <c r="C51" s="3" t="inlineStr">
        <is>
          <t>ols_tramos_hac</t>
        </is>
      </c>
      <c r="D51" s="3" t="inlineStr">
        <is>
          <t>alquiler</t>
        </is>
      </c>
      <c r="E51" s="3" t="inlineStr">
        <is>
          <t>nacional</t>
        </is>
      </c>
      <c r="F51" s="3" t="inlineStr">
        <is>
          <t>P3</t>
        </is>
      </c>
      <c r="G51" s="3" t="inlineStr">
        <is>
          <t>d4_ln_ipc_alquiler_real</t>
        </is>
      </c>
      <c r="H51" s="3" t="inlineStr">
        <is>
          <t>d4_ln*100</t>
        </is>
      </c>
      <c r="I51" s="3" t="inlineStr">
        <is>
          <t>IPC alquiler, real (IPC general)</t>
        </is>
      </c>
      <c r="J51" s="3" t="inlineStr">
        <is>
          <t>d4_pob_total</t>
        </is>
      </c>
      <c r="K51" s="3" t="n">
        <v>1.834395549278845</v>
      </c>
      <c r="L51" s="3" t="n">
        <v>0.193060965766573</v>
      </c>
      <c r="M51" s="3" t="inlineStr">
        <is>
          <t>HAC-NW(4), t(18)</t>
        </is>
      </c>
      <c r="N51" s="3" t="n">
        <v>9.501638728445934</v>
      </c>
      <c r="O51" s="3" t="n">
        <v>1.949814040413807e-08</v>
      </c>
      <c r="P51" s="3" t="n">
        <v>2.858037833400705e-07</v>
      </c>
      <c r="Q51" s="3" t="inlineStr">
        <is>
          <t>BH</t>
        </is>
      </c>
      <c r="R51" s="3" t="n">
        <v>1.428789511189631</v>
      </c>
      <c r="S51" s="3" t="n">
        <v>2.240001587368059</v>
      </c>
      <c r="T51" s="3" t="n">
        <v>0.7576144592046854</v>
      </c>
      <c r="U51" s="3" t="n"/>
      <c r="V51" s="3" t="n">
        <v>24</v>
      </c>
      <c r="W51" s="3" t="n">
        <v>0.9669495904617004</v>
      </c>
      <c r="X51" s="3" t="n">
        <v>0.957768921145506</v>
      </c>
      <c r="Y51" s="3" t="n">
        <v>-9.091843501687642</v>
      </c>
      <c r="Z51" s="3" t="n">
        <v>-2.023520519599966</v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inlineStr">
        <is>
          <t>C4</t>
        </is>
      </c>
      <c r="AN51" s="3" t="n">
        <v>96</v>
      </c>
      <c r="AO51" s="3" t="n">
        <v>0.8958333333333334</v>
      </c>
      <c r="AP51" s="3" t="n">
        <v>0.2083333333333333</v>
      </c>
      <c r="AQ51" s="3" t="inlineStr">
        <is>
          <t>no_evaluable</t>
        </is>
      </c>
      <c r="AR51" s="3" t="inlineStr">
        <is>
          <t>no</t>
        </is>
      </c>
      <c r="AS51" s="3" t="inlineStr">
        <is>
          <t>si</t>
        </is>
      </c>
      <c r="AT51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1" s="3" t="inlineStr">
        <is>
          <t>src/v8/m0_periodos.py</t>
        </is>
      </c>
      <c r="AV51" s="3" t="inlineStr">
        <is>
          <t>(b) mejor de la familia ols_tramos_hac: ecuacion AR1+X por periodo; unico candidato con OOS en la familia</t>
        </is>
      </c>
      <c r="AW51" s="3" t="inlineStr">
        <is>
          <t>M0:AR1+X_por_periodo</t>
        </is>
      </c>
      <c r="AX51" s="3" t="inlineStr">
        <is>
          <t>si</t>
        </is>
      </c>
      <c r="AY51" s="3" t="inlineStr">
        <is>
          <t>output/v8/M0/coeficientes.csv</t>
        </is>
      </c>
      <c r="AZ51" s="4">
        <f>Fuera_muestra!F19</f>
        <v/>
      </c>
      <c r="BA51" s="4">
        <f>Fuera_muestra!G19</f>
        <v/>
      </c>
      <c r="BB51" s="2">
        <f>AZ51/BA51</f>
        <v/>
      </c>
    </row>
    <row r="52">
      <c r="A52" s="3" t="inlineStr">
        <is>
          <t>M0_alquiler_base_P3</t>
        </is>
      </c>
      <c r="B52" s="3" t="inlineStr">
        <is>
          <t>M0</t>
        </is>
      </c>
      <c r="C52" s="3" t="inlineStr">
        <is>
          <t>ols_tramos_hac</t>
        </is>
      </c>
      <c r="D52" s="3" t="inlineStr">
        <is>
          <t>alquiler</t>
        </is>
      </c>
      <c r="E52" s="3" t="inlineStr">
        <is>
          <t>nacional</t>
        </is>
      </c>
      <c r="F52" s="3" t="inlineStr">
        <is>
          <t>P3</t>
        </is>
      </c>
      <c r="G52" s="3" t="inlineStr">
        <is>
          <t>d4_ln_ipc_alquiler_real</t>
        </is>
      </c>
      <c r="H52" s="3" t="inlineStr">
        <is>
          <t>d4_ln*100</t>
        </is>
      </c>
      <c r="I52" s="3" t="inlineStr">
        <is>
          <t>IPC alquiler, real (IPC general)</t>
        </is>
      </c>
      <c r="J52" s="3" t="inlineStr">
        <is>
          <t>d4_pib_vol</t>
        </is>
      </c>
      <c r="K52" s="3" t="n">
        <v>0.1166464081992094</v>
      </c>
      <c r="L52" s="3" t="n">
        <v>0.0597621043094473</v>
      </c>
      <c r="M52" s="3" t="inlineStr">
        <is>
          <t>HAC-NW(4), t(18)</t>
        </is>
      </c>
      <c r="N52" s="3" t="n">
        <v>1.951845731455772</v>
      </c>
      <c r="O52" s="3" t="n">
        <v>0.0666924514744404</v>
      </c>
      <c r="P52" s="3" t="n">
        <v>0.1228545158739692</v>
      </c>
      <c r="Q52" s="3" t="inlineStr">
        <is>
          <t>BH</t>
        </is>
      </c>
      <c r="R52" s="3" t="n">
        <v>-0.008909113915692501</v>
      </c>
      <c r="S52" s="3" t="n">
        <v>0.2422019303141114</v>
      </c>
      <c r="T52" s="3" t="n">
        <v>0.123519046599428</v>
      </c>
      <c r="U52" s="3" t="n"/>
      <c r="V52" s="3" t="n">
        <v>24</v>
      </c>
      <c r="W52" s="3" t="n">
        <v>0.9669495904617004</v>
      </c>
      <c r="X52" s="3" t="n">
        <v>0.957768921145506</v>
      </c>
      <c r="Y52" s="3" t="n">
        <v>-9.091843501687642</v>
      </c>
      <c r="Z52" s="3" t="n">
        <v>-2.023520519599966</v>
      </c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inlineStr">
        <is>
          <t>C4</t>
        </is>
      </c>
      <c r="AN52" s="3" t="n">
        <v>96</v>
      </c>
      <c r="AO52" s="3" t="n">
        <v>0.5416666666666666</v>
      </c>
      <c r="AP52" s="3" t="n">
        <v>0.0208333333333333</v>
      </c>
      <c r="AQ52" s="3" t="inlineStr">
        <is>
          <t>no_evaluable</t>
        </is>
      </c>
      <c r="AR52" s="3" t="inlineStr">
        <is>
          <t>no</t>
        </is>
      </c>
      <c r="AS52" s="3" t="inlineStr">
        <is>
          <t>si</t>
        </is>
      </c>
      <c r="AT52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2" s="3" t="inlineStr">
        <is>
          <t>src/v8/m0_periodos.py</t>
        </is>
      </c>
      <c r="AV52" s="3" t="inlineStr">
        <is>
          <t>(b) mejor de la familia ols_tramos_hac: ecuacion AR1+X por periodo; unico candidato con OOS en la familia</t>
        </is>
      </c>
      <c r="AW52" s="3" t="inlineStr">
        <is>
          <t>M0:AR1+X_por_periodo</t>
        </is>
      </c>
      <c r="AX52" s="3" t="inlineStr">
        <is>
          <t>si</t>
        </is>
      </c>
      <c r="AY52" s="3" t="inlineStr">
        <is>
          <t>output/v8/M0/coeficientes.csv</t>
        </is>
      </c>
      <c r="AZ52" s="4">
        <f>Fuera_muestra!F19</f>
        <v/>
      </c>
      <c r="BA52" s="4">
        <f>Fuera_muestra!G19</f>
        <v/>
      </c>
      <c r="BB52" s="2">
        <f>AZ52/BA52</f>
        <v/>
      </c>
    </row>
    <row r="53">
      <c r="A53" s="3" t="inlineStr">
        <is>
          <t>M0_alquiler_base_P3</t>
        </is>
      </c>
      <c r="B53" s="3" t="inlineStr">
        <is>
          <t>M0</t>
        </is>
      </c>
      <c r="C53" s="3" t="inlineStr">
        <is>
          <t>ols_tramos_hac</t>
        </is>
      </c>
      <c r="D53" s="3" t="inlineStr">
        <is>
          <t>alquiler</t>
        </is>
      </c>
      <c r="E53" s="3" t="inlineStr">
        <is>
          <t>nacional</t>
        </is>
      </c>
      <c r="F53" s="3" t="inlineStr">
        <is>
          <t>P3</t>
        </is>
      </c>
      <c r="G53" s="3" t="inlineStr">
        <is>
          <t>d4_ln_ipc_alquiler_real</t>
        </is>
      </c>
      <c r="H53" s="3" t="inlineStr">
        <is>
          <t>d4_ln*100</t>
        </is>
      </c>
      <c r="I53" s="3" t="inlineStr">
        <is>
          <t>IPC alquiler, real (IPC general)</t>
        </is>
      </c>
      <c r="J53" s="3" t="inlineStr">
        <is>
          <t>tipo_hip_real</t>
        </is>
      </c>
      <c r="K53" s="3" t="n">
        <v>0.6901917200777659</v>
      </c>
      <c r="L53" s="3" t="n">
        <v>0.0420571993335619</v>
      </c>
      <c r="M53" s="3" t="inlineStr">
        <is>
          <t>HAC-NW(4), t(18)</t>
        </is>
      </c>
      <c r="N53" s="3" t="n">
        <v>16.41078652441289</v>
      </c>
      <c r="O53" s="3" t="n">
        <v>2.838741877061258e-12</v>
      </c>
      <c r="P53" s="3" t="n">
        <v>9.935596569714403e-11</v>
      </c>
      <c r="Q53" s="3" t="inlineStr">
        <is>
          <t>BH</t>
        </is>
      </c>
      <c r="R53" s="3" t="n">
        <v>0.6018328230470747</v>
      </c>
      <c r="S53" s="3" t="n">
        <v>0.778550617108457</v>
      </c>
      <c r="T53" s="3" t="n">
        <v>1.029921646083374</v>
      </c>
      <c r="U53" s="3" t="n"/>
      <c r="V53" s="3" t="n">
        <v>24</v>
      </c>
      <c r="W53" s="3" t="n">
        <v>0.9669495904617004</v>
      </c>
      <c r="X53" s="3" t="n">
        <v>0.957768921145506</v>
      </c>
      <c r="Y53" s="3" t="n">
        <v>-9.091843501687642</v>
      </c>
      <c r="Z53" s="3" t="n">
        <v>-2.023520519599966</v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inlineStr">
        <is>
          <t>C4</t>
        </is>
      </c>
      <c r="AN53" s="3" t="n">
        <v>96</v>
      </c>
      <c r="AO53" s="3" t="n">
        <v>0.5625</v>
      </c>
      <c r="AP53" s="3" t="n">
        <v>0.125</v>
      </c>
      <c r="AQ53" s="3" t="inlineStr">
        <is>
          <t>no_evaluable</t>
        </is>
      </c>
      <c r="AR53" s="3" t="inlineStr">
        <is>
          <t>no</t>
        </is>
      </c>
      <c r="AS53" s="3" t="inlineStr">
        <is>
          <t>si</t>
        </is>
      </c>
      <c r="AT53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3" s="3" t="inlineStr">
        <is>
          <t>src/v8/m0_periodos.py</t>
        </is>
      </c>
      <c r="AV53" s="3" t="inlineStr">
        <is>
          <t>(b) mejor de la familia ols_tramos_hac: ecuacion AR1+X por periodo; unico candidato con OOS en la familia</t>
        </is>
      </c>
      <c r="AW53" s="3" t="inlineStr">
        <is>
          <t>M0:AR1+X_por_periodo</t>
        </is>
      </c>
      <c r="AX53" s="3" t="inlineStr">
        <is>
          <t>si</t>
        </is>
      </c>
      <c r="AY53" s="3" t="inlineStr">
        <is>
          <t>output/v8/M0/coeficientes.csv</t>
        </is>
      </c>
      <c r="AZ53" s="4">
        <f>Fuera_muestra!F19</f>
        <v/>
      </c>
      <c r="BA53" s="4">
        <f>Fuera_muestra!G19</f>
        <v/>
      </c>
      <c r="BB53" s="2">
        <f>AZ53/BA53</f>
        <v/>
      </c>
    </row>
    <row r="54">
      <c r="A54" s="3" t="inlineStr">
        <is>
          <t>M0_alquiler_base_P3</t>
        </is>
      </c>
      <c r="B54" s="3" t="inlineStr">
        <is>
          <t>M0</t>
        </is>
      </c>
      <c r="C54" s="3" t="inlineStr">
        <is>
          <t>ols_tramos_hac</t>
        </is>
      </c>
      <c r="D54" s="3" t="inlineStr">
        <is>
          <t>alquiler</t>
        </is>
      </c>
      <c r="E54" s="3" t="inlineStr">
        <is>
          <t>nacional</t>
        </is>
      </c>
      <c r="F54" s="3" t="inlineStr">
        <is>
          <t>P3</t>
        </is>
      </c>
      <c r="G54" s="3" t="inlineStr">
        <is>
          <t>d4_ln_ipc_alquiler_real</t>
        </is>
      </c>
      <c r="H54" s="3" t="inlineStr">
        <is>
          <t>d4_ln*100</t>
        </is>
      </c>
      <c r="I54" s="3" t="inlineStr">
        <is>
          <t>IPC alquiler, real (IPC general)</t>
        </is>
      </c>
      <c r="J54" s="3" t="inlineStr">
        <is>
          <t>d4_credito_vivienda_real</t>
        </is>
      </c>
      <c r="K54" s="3" t="n">
        <v>0.2613978020427246</v>
      </c>
      <c r="L54" s="3" t="n">
        <v>0.0566355173220956</v>
      </c>
      <c r="M54" s="3" t="inlineStr">
        <is>
          <t>HAC-NW(4), t(18)</t>
        </is>
      </c>
      <c r="N54" s="3" t="n">
        <v>4.615439469831478</v>
      </c>
      <c r="O54" s="3" t="n">
        <v>0.0002148329491037</v>
      </c>
      <c r="P54" s="3" t="n">
        <v>0.0009398941523289</v>
      </c>
      <c r="Q54" s="3" t="inlineStr">
        <is>
          <t>BH</t>
        </is>
      </c>
      <c r="R54" s="3" t="n">
        <v>0.1424109954402808</v>
      </c>
      <c r="S54" s="3" t="n">
        <v>0.3803846086451685</v>
      </c>
      <c r="T54" s="3" t="n">
        <v>0.3219851073160522</v>
      </c>
      <c r="U54" s="3" t="n"/>
      <c r="V54" s="3" t="n">
        <v>24</v>
      </c>
      <c r="W54" s="3" t="n">
        <v>0.9669495904617004</v>
      </c>
      <c r="X54" s="3" t="n">
        <v>0.957768921145506</v>
      </c>
      <c r="Y54" s="3" t="n">
        <v>-9.091843501687642</v>
      </c>
      <c r="Z54" s="3" t="n">
        <v>-2.023520519599966</v>
      </c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inlineStr">
        <is>
          <t>C4</t>
        </is>
      </c>
      <c r="AN54" s="3" t="n"/>
      <c r="AO54" s="3" t="n"/>
      <c r="AP54" s="3" t="n"/>
      <c r="AQ54" s="3" t="inlineStr">
        <is>
          <t>no_evaluable</t>
        </is>
      </c>
      <c r="AR54" s="3" t="inlineStr">
        <is>
          <t>no_evaluable</t>
        </is>
      </c>
      <c r="AS54" s="3" t="inlineStr">
        <is>
          <t>si</t>
        </is>
      </c>
      <c r="AT54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4" s="3" t="inlineStr">
        <is>
          <t>src/v8/m0_periodos.py</t>
        </is>
      </c>
      <c r="AV54" s="3" t="inlineStr">
        <is>
          <t>(b) mejor de la familia ols_tramos_hac: ecuacion AR1+X por periodo; unico candidato con OOS en la familia</t>
        </is>
      </c>
      <c r="AW54" s="3" t="inlineStr">
        <is>
          <t>M0:AR1+X_por_periodo</t>
        </is>
      </c>
      <c r="AX54" s="3" t="inlineStr">
        <is>
          <t>si</t>
        </is>
      </c>
      <c r="AY54" s="3" t="inlineStr">
        <is>
          <t>output/v8/M0/coeficientes.csv</t>
        </is>
      </c>
      <c r="AZ54" s="4">
        <f>Fuera_muestra!F19</f>
        <v/>
      </c>
      <c r="BA54" s="4">
        <f>Fuera_muestra!G19</f>
        <v/>
      </c>
      <c r="BB54" s="2">
        <f>AZ54/BA54</f>
        <v/>
      </c>
    </row>
    <row r="55">
      <c r="A55" s="3" t="inlineStr">
        <is>
          <t>M0_alquiler_base_P3</t>
        </is>
      </c>
      <c r="B55" s="3" t="inlineStr">
        <is>
          <t>M0</t>
        </is>
      </c>
      <c r="C55" s="3" t="inlineStr">
        <is>
          <t>ols_tramos_hac</t>
        </is>
      </c>
      <c r="D55" s="3" t="inlineStr">
        <is>
          <t>alquiler</t>
        </is>
      </c>
      <c r="E55" s="3" t="inlineStr">
        <is>
          <t>nacional</t>
        </is>
      </c>
      <c r="F55" s="3" t="inlineStr">
        <is>
          <t>P3</t>
        </is>
      </c>
      <c r="G55" s="3" t="inlineStr">
        <is>
          <t>d4_ln_ipc_alquiler_real</t>
        </is>
      </c>
      <c r="H55" s="3" t="inlineStr">
        <is>
          <t>d4_ln*100</t>
        </is>
      </c>
      <c r="I55" s="3" t="inlineStr">
        <is>
          <t>IPC alquiler, real (IPC general)</t>
        </is>
      </c>
      <c r="J55" s="3" t="inlineStr">
        <is>
          <t>d4_terminadas</t>
        </is>
      </c>
      <c r="K55" s="3" t="n">
        <v>0.002697286155927</v>
      </c>
      <c r="L55" s="3" t="n">
        <v>0.0026806323431836</v>
      </c>
      <c r="M55" s="3" t="inlineStr">
        <is>
          <t>HAC-NW(4), t(18)</t>
        </is>
      </c>
      <c r="N55" s="3" t="n">
        <v>1.006212643365906</v>
      </c>
      <c r="O55" s="3" t="n">
        <v>0.3276490727841227</v>
      </c>
      <c r="P55" s="3" t="n">
        <v>0.4327440583941244</v>
      </c>
      <c r="Q55" s="3" t="inlineStr">
        <is>
          <t>BH</t>
        </is>
      </c>
      <c r="R55" s="3" t="n">
        <v>-0.0029345134156505</v>
      </c>
      <c r="S55" s="3" t="n">
        <v>0.0083290857275046</v>
      </c>
      <c r="T55" s="3" t="n">
        <v>0.0737630792545866</v>
      </c>
      <c r="U55" s="3" t="n"/>
      <c r="V55" s="3" t="n">
        <v>24</v>
      </c>
      <c r="W55" s="3" t="n">
        <v>0.9669495904617004</v>
      </c>
      <c r="X55" s="3" t="n">
        <v>0.957768921145506</v>
      </c>
      <c r="Y55" s="3" t="n">
        <v>-9.091843501687642</v>
      </c>
      <c r="Z55" s="3" t="n">
        <v>-2.023520519599966</v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inlineStr">
        <is>
          <t>C4</t>
        </is>
      </c>
      <c r="AN55" s="3" t="n">
        <v>96</v>
      </c>
      <c r="AO55" s="3" t="n">
        <v>0.5208333333333334</v>
      </c>
      <c r="AP55" s="3" t="n">
        <v>0.0833333333333333</v>
      </c>
      <c r="AQ55" s="3" t="inlineStr">
        <is>
          <t>no_evaluable</t>
        </is>
      </c>
      <c r="AR55" s="3" t="inlineStr">
        <is>
          <t>no</t>
        </is>
      </c>
      <c r="AS55" s="3" t="inlineStr">
        <is>
          <t>si</t>
        </is>
      </c>
      <c r="AT55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5" s="3" t="inlineStr">
        <is>
          <t>src/v8/m0_periodos.py</t>
        </is>
      </c>
      <c r="AV55" s="3" t="inlineStr">
        <is>
          <t>(b) mejor de la familia ols_tramos_hac: ecuacion AR1+X por periodo; unico candidato con OOS en la familia</t>
        </is>
      </c>
      <c r="AW55" s="3" t="inlineStr">
        <is>
          <t>M0:AR1+X_por_periodo</t>
        </is>
      </c>
      <c r="AX55" s="3" t="inlineStr">
        <is>
          <t>si</t>
        </is>
      </c>
      <c r="AY55" s="3" t="inlineStr">
        <is>
          <t>output/v8/M0/coeficientes.csv</t>
        </is>
      </c>
      <c r="AZ55" s="4">
        <f>Fuera_muestra!F19</f>
        <v/>
      </c>
      <c r="BA55" s="4">
        <f>Fuera_muestra!G19</f>
        <v/>
      </c>
      <c r="BB55" s="2">
        <f>AZ55/BA55</f>
        <v/>
      </c>
    </row>
    <row r="56">
      <c r="A56" s="3" t="inlineStr">
        <is>
          <t>M0_alquiler_base_P4</t>
        </is>
      </c>
      <c r="B56" s="3" t="inlineStr">
        <is>
          <t>M0</t>
        </is>
      </c>
      <c r="C56" s="3" t="inlineStr">
        <is>
          <t>ols_tramos_hac</t>
        </is>
      </c>
      <c r="D56" s="3" t="inlineStr">
        <is>
          <t>alquiler</t>
        </is>
      </c>
      <c r="E56" s="3" t="inlineStr">
        <is>
          <t>nacional</t>
        </is>
      </c>
      <c r="F56" s="3" t="inlineStr">
        <is>
          <t>P4</t>
        </is>
      </c>
      <c r="G56" s="3" t="inlineStr">
        <is>
          <t>d4_ln_ipc_alquiler_real</t>
        </is>
      </c>
      <c r="H56" s="3" t="inlineStr">
        <is>
          <t>d4_ln*100</t>
        </is>
      </c>
      <c r="I56" s="3" t="inlineStr">
        <is>
          <t>IPC alquiler, real (IPC general)</t>
        </is>
      </c>
      <c r="J56" s="3" t="inlineStr">
        <is>
          <t>d4_pob_total</t>
        </is>
      </c>
      <c r="K56" s="3" t="n">
        <v>0.1049199236823041</v>
      </c>
      <c r="L56" s="3" t="n">
        <v>0.6548835082162071</v>
      </c>
      <c r="M56" s="3" t="inlineStr">
        <is>
          <t>HAC-NW(4), t(3)</t>
        </is>
      </c>
      <c r="N56" s="3" t="n">
        <v>0.160211583229647</v>
      </c>
      <c r="O56" s="3" t="n">
        <v>0.8828942690984369</v>
      </c>
      <c r="P56" s="3" t="n">
        <v>0.8956898382158056</v>
      </c>
      <c r="Q56" s="3" t="inlineStr">
        <is>
          <t>BH</t>
        </is>
      </c>
      <c r="R56" s="3" t="n">
        <v>-1.979211677431597</v>
      </c>
      <c r="S56" s="3" t="n">
        <v>2.189051524796205</v>
      </c>
      <c r="T56" s="3" t="n">
        <v>0.0070355363716209</v>
      </c>
      <c r="U56" s="3" t="n"/>
      <c r="V56" s="3" t="n">
        <v>9</v>
      </c>
      <c r="W56" s="3" t="n">
        <v>0.9999213842049952</v>
      </c>
      <c r="X56" s="3" t="n">
        <v>0.9997903578799868</v>
      </c>
      <c r="Y56" s="3" t="n">
        <v>-25.09020003563625</v>
      </c>
      <c r="Z56" s="3" t="n">
        <v>-23.90685257161894</v>
      </c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inlineStr">
        <is>
          <t>C4</t>
        </is>
      </c>
      <c r="AN56" s="3" t="n">
        <v>120</v>
      </c>
      <c r="AO56" s="3" t="n">
        <v>0.6333333333333333</v>
      </c>
      <c r="AP56" s="3" t="n">
        <v>0.4583333333333333</v>
      </c>
      <c r="AQ56" s="3" t="inlineStr">
        <is>
          <t>no_evaluable</t>
        </is>
      </c>
      <c r="AR56" s="3" t="inlineStr">
        <is>
          <t>no</t>
        </is>
      </c>
      <c r="AS56" s="3" t="inlineStr">
        <is>
          <t>si</t>
        </is>
      </c>
      <c r="AT56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6" s="3" t="inlineStr">
        <is>
          <t>src/v8/m0_periodos.py</t>
        </is>
      </c>
      <c r="AV56" s="3" t="inlineStr">
        <is>
          <t>(b) mejor de la familia ols_tramos_hac: ecuacion AR1+X por periodo; unico candidato con OOS en la familia</t>
        </is>
      </c>
      <c r="AW56" s="3" t="inlineStr">
        <is>
          <t>M0:AR1+X_por_periodo</t>
        </is>
      </c>
      <c r="AX56" s="3" t="inlineStr">
        <is>
          <t>si</t>
        </is>
      </c>
      <c r="AY56" s="3" t="inlineStr">
        <is>
          <t>output/v8/M0/coeficientes.csv</t>
        </is>
      </c>
      <c r="AZ56" s="4">
        <f>Fuera_muestra!F19</f>
        <v/>
      </c>
      <c r="BA56" s="4">
        <f>Fuera_muestra!G19</f>
        <v/>
      </c>
      <c r="BB56" s="2">
        <f>AZ56/BA56</f>
        <v/>
      </c>
    </row>
    <row r="57">
      <c r="A57" s="3" t="inlineStr">
        <is>
          <t>M0_alquiler_base_P4</t>
        </is>
      </c>
      <c r="B57" s="3" t="inlineStr">
        <is>
          <t>M0</t>
        </is>
      </c>
      <c r="C57" s="3" t="inlineStr">
        <is>
          <t>ols_tramos_hac</t>
        </is>
      </c>
      <c r="D57" s="3" t="inlineStr">
        <is>
          <t>alquiler</t>
        </is>
      </c>
      <c r="E57" s="3" t="inlineStr">
        <is>
          <t>nacional</t>
        </is>
      </c>
      <c r="F57" s="3" t="inlineStr">
        <is>
          <t>P4</t>
        </is>
      </c>
      <c r="G57" s="3" t="inlineStr">
        <is>
          <t>d4_ln_ipc_alquiler_real</t>
        </is>
      </c>
      <c r="H57" s="3" t="inlineStr">
        <is>
          <t>d4_ln*100</t>
        </is>
      </c>
      <c r="I57" s="3" t="inlineStr">
        <is>
          <t>IPC alquiler, real (IPC general)</t>
        </is>
      </c>
      <c r="J57" s="3" t="inlineStr">
        <is>
          <t>d4_pib_vol</t>
        </is>
      </c>
      <c r="K57" s="3" t="n">
        <v>0.0161769393453815</v>
      </c>
      <c r="L57" s="3" t="n">
        <v>0.0021545192585357</v>
      </c>
      <c r="M57" s="3" t="inlineStr">
        <is>
          <t>HAC-NW(4), t(3)</t>
        </is>
      </c>
      <c r="N57" s="3" t="n">
        <v>7.508375374827633</v>
      </c>
      <c r="O57" s="3" t="n">
        <v>0.004895224245515</v>
      </c>
      <c r="P57" s="3" t="n">
        <v>0.0131794498917711</v>
      </c>
      <c r="Q57" s="3" t="inlineStr">
        <is>
          <t>BH</t>
        </is>
      </c>
      <c r="R57" s="3" t="n">
        <v>0.009320297491391899</v>
      </c>
      <c r="S57" s="3" t="n">
        <v>0.0230335811993711</v>
      </c>
      <c r="T57" s="3" t="n">
        <v>0.0551950192247915</v>
      </c>
      <c r="U57" s="3" t="n"/>
      <c r="V57" s="3" t="n">
        <v>9</v>
      </c>
      <c r="W57" s="3" t="n">
        <v>0.9999213842049952</v>
      </c>
      <c r="X57" s="3" t="n">
        <v>0.9997903578799868</v>
      </c>
      <c r="Y57" s="3" t="n">
        <v>-25.09020003563625</v>
      </c>
      <c r="Z57" s="3" t="n">
        <v>-23.90685257161894</v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inlineStr">
        <is>
          <t>C4</t>
        </is>
      </c>
      <c r="AN57" s="3" t="n">
        <v>120</v>
      </c>
      <c r="AO57" s="3" t="n">
        <v>0.75</v>
      </c>
      <c r="AP57" s="3" t="n">
        <v>0.475</v>
      </c>
      <c r="AQ57" s="3" t="inlineStr">
        <is>
          <t>no_evaluable</t>
        </is>
      </c>
      <c r="AR57" s="3" t="inlineStr">
        <is>
          <t>no</t>
        </is>
      </c>
      <c r="AS57" s="3" t="inlineStr">
        <is>
          <t>si</t>
        </is>
      </c>
      <c r="AT57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7" s="3" t="inlineStr">
        <is>
          <t>src/v8/m0_periodos.py</t>
        </is>
      </c>
      <c r="AV57" s="3" t="inlineStr">
        <is>
          <t>(b) mejor de la familia ols_tramos_hac: ecuacion AR1+X por periodo; unico candidato con OOS en la familia</t>
        </is>
      </c>
      <c r="AW57" s="3" t="inlineStr">
        <is>
          <t>M0:AR1+X_por_periodo</t>
        </is>
      </c>
      <c r="AX57" s="3" t="inlineStr">
        <is>
          <t>si</t>
        </is>
      </c>
      <c r="AY57" s="3" t="inlineStr">
        <is>
          <t>output/v8/M0/coeficientes.csv</t>
        </is>
      </c>
      <c r="AZ57" s="4">
        <f>Fuera_muestra!F19</f>
        <v/>
      </c>
      <c r="BA57" s="4">
        <f>Fuera_muestra!G19</f>
        <v/>
      </c>
      <c r="BB57" s="2">
        <f>AZ57/BA57</f>
        <v/>
      </c>
    </row>
    <row r="58">
      <c r="A58" s="3" t="inlineStr">
        <is>
          <t>M0_alquiler_base_P4</t>
        </is>
      </c>
      <c r="B58" s="3" t="inlineStr">
        <is>
          <t>M0</t>
        </is>
      </c>
      <c r="C58" s="3" t="inlineStr">
        <is>
          <t>ols_tramos_hac</t>
        </is>
      </c>
      <c r="D58" s="3" t="inlineStr">
        <is>
          <t>alquiler</t>
        </is>
      </c>
      <c r="E58" s="3" t="inlineStr">
        <is>
          <t>nacional</t>
        </is>
      </c>
      <c r="F58" s="3" t="inlineStr">
        <is>
          <t>P4</t>
        </is>
      </c>
      <c r="G58" s="3" t="inlineStr">
        <is>
          <t>d4_ln_ipc_alquiler_real</t>
        </is>
      </c>
      <c r="H58" s="3" t="inlineStr">
        <is>
          <t>d4_ln*100</t>
        </is>
      </c>
      <c r="I58" s="3" t="inlineStr">
        <is>
          <t>IPC alquiler, real (IPC general)</t>
        </is>
      </c>
      <c r="J58" s="3" t="inlineStr">
        <is>
          <t>tipo_hip_real</t>
        </is>
      </c>
      <c r="K58" s="3" t="n">
        <v>1.293497959111031</v>
      </c>
      <c r="L58" s="3" t="n">
        <v>0.1854860188310576</v>
      </c>
      <c r="M58" s="3" t="inlineStr">
        <is>
          <t>HAC-NW(4), t(3)</t>
        </is>
      </c>
      <c r="N58" s="3" t="n">
        <v>6.97356041853031</v>
      </c>
      <c r="O58" s="3" t="n">
        <v>0.0060514093067671</v>
      </c>
      <c r="P58" s="3" t="n">
        <v>0.0156888389434705</v>
      </c>
      <c r="Q58" s="3" t="inlineStr">
        <is>
          <t>BH</t>
        </is>
      </c>
      <c r="R58" s="3" t="n">
        <v>0.7031986638003475</v>
      </c>
      <c r="S58" s="3" t="n">
        <v>1.883797254421714</v>
      </c>
      <c r="T58" s="3" t="n">
        <v>1.297334845707341</v>
      </c>
      <c r="U58" s="3" t="n"/>
      <c r="V58" s="3" t="n">
        <v>9</v>
      </c>
      <c r="W58" s="3" t="n">
        <v>0.9999213842049952</v>
      </c>
      <c r="X58" s="3" t="n">
        <v>0.9997903578799868</v>
      </c>
      <c r="Y58" s="3" t="n">
        <v>-25.09020003563625</v>
      </c>
      <c r="Z58" s="3" t="n">
        <v>-23.90685257161894</v>
      </c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inlineStr">
        <is>
          <t>C4</t>
        </is>
      </c>
      <c r="AN58" s="3" t="n">
        <v>120</v>
      </c>
      <c r="AO58" s="3" t="n">
        <v>0.8333333333333334</v>
      </c>
      <c r="AP58" s="3" t="n">
        <v>0.5416666666666666</v>
      </c>
      <c r="AQ58" s="3" t="inlineStr">
        <is>
          <t>no_evaluable</t>
        </is>
      </c>
      <c r="AR58" s="3" t="inlineStr">
        <is>
          <t>sí</t>
        </is>
      </c>
      <c r="AS58" s="3" t="inlineStr">
        <is>
          <t>si</t>
        </is>
      </c>
      <c r="AT58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8" s="3" t="inlineStr">
        <is>
          <t>src/v8/m0_periodos.py</t>
        </is>
      </c>
      <c r="AV58" s="3" t="inlineStr">
        <is>
          <t>(b) mejor de la familia ols_tramos_hac: ecuacion AR1+X por periodo; unico candidato con OOS en la familia</t>
        </is>
      </c>
      <c r="AW58" s="3" t="inlineStr">
        <is>
          <t>M0:AR1+X_por_periodo</t>
        </is>
      </c>
      <c r="AX58" s="3" t="inlineStr">
        <is>
          <t>si</t>
        </is>
      </c>
      <c r="AY58" s="3" t="inlineStr">
        <is>
          <t>output/v8/M0/coeficientes.csv</t>
        </is>
      </c>
      <c r="AZ58" s="4">
        <f>Fuera_muestra!F19</f>
        <v/>
      </c>
      <c r="BA58" s="4">
        <f>Fuera_muestra!G19</f>
        <v/>
      </c>
      <c r="BB58" s="2">
        <f>AZ58/BA58</f>
        <v/>
      </c>
    </row>
    <row r="59">
      <c r="A59" s="3" t="inlineStr">
        <is>
          <t>M0_alquiler_base_P4</t>
        </is>
      </c>
      <c r="B59" s="3" t="inlineStr">
        <is>
          <t>M0</t>
        </is>
      </c>
      <c r="C59" s="3" t="inlineStr">
        <is>
          <t>ols_tramos_hac</t>
        </is>
      </c>
      <c r="D59" s="3" t="inlineStr">
        <is>
          <t>alquiler</t>
        </is>
      </c>
      <c r="E59" s="3" t="inlineStr">
        <is>
          <t>nacional</t>
        </is>
      </c>
      <c r="F59" s="3" t="inlineStr">
        <is>
          <t>P4</t>
        </is>
      </c>
      <c r="G59" s="3" t="inlineStr">
        <is>
          <t>d4_ln_ipc_alquiler_real</t>
        </is>
      </c>
      <c r="H59" s="3" t="inlineStr">
        <is>
          <t>d4_ln*100</t>
        </is>
      </c>
      <c r="I59" s="3" t="inlineStr">
        <is>
          <t>IPC alquiler, real (IPC general)</t>
        </is>
      </c>
      <c r="J59" s="3" t="inlineStr">
        <is>
          <t>d4_credito_vivienda_real</t>
        </is>
      </c>
      <c r="K59" s="3" t="n">
        <v>-0.4026714396786067</v>
      </c>
      <c r="L59" s="3" t="n">
        <v>0.2759787493326712</v>
      </c>
      <c r="M59" s="3" t="inlineStr">
        <is>
          <t>HAC-NW(4), t(3)</t>
        </is>
      </c>
      <c r="N59" s="3" t="n">
        <v>-1.45906683269014</v>
      </c>
      <c r="O59" s="3" t="n">
        <v>0.2406423506593276</v>
      </c>
      <c r="P59" s="3" t="n">
        <v>0.3239416258875565</v>
      </c>
      <c r="Q59" s="3" t="inlineStr">
        <is>
          <t>BH</t>
        </is>
      </c>
      <c r="R59" s="3" t="n">
        <v>-1.280958990829185</v>
      </c>
      <c r="S59" s="3" t="n">
        <v>0.4756161114719714</v>
      </c>
      <c r="T59" s="3" t="n">
        <v>-0.2673200293200037</v>
      </c>
      <c r="U59" s="3" t="n"/>
      <c r="V59" s="3" t="n">
        <v>9</v>
      </c>
      <c r="W59" s="3" t="n">
        <v>0.9999213842049952</v>
      </c>
      <c r="X59" s="3" t="n">
        <v>0.9997903578799868</v>
      </c>
      <c r="Y59" s="3" t="n">
        <v>-25.09020003563625</v>
      </c>
      <c r="Z59" s="3" t="n">
        <v>-23.90685257161894</v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inlineStr">
        <is>
          <t>C4</t>
        </is>
      </c>
      <c r="AN59" s="3" t="n"/>
      <c r="AO59" s="3" t="n"/>
      <c r="AP59" s="3" t="n"/>
      <c r="AQ59" s="3" t="inlineStr">
        <is>
          <t>no_evaluable</t>
        </is>
      </c>
      <c r="AR59" s="3" t="inlineStr">
        <is>
          <t>no_evaluable</t>
        </is>
      </c>
      <c r="AS59" s="3" t="inlineStr">
        <is>
          <t>si</t>
        </is>
      </c>
      <c r="AT59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9" s="3" t="inlineStr">
        <is>
          <t>src/v8/m0_periodos.py</t>
        </is>
      </c>
      <c r="AV59" s="3" t="inlineStr">
        <is>
          <t>(b) mejor de la familia ols_tramos_hac: ecuacion AR1+X por periodo; unico candidato con OOS en la familia</t>
        </is>
      </c>
      <c r="AW59" s="3" t="inlineStr">
        <is>
          <t>M0:AR1+X_por_periodo</t>
        </is>
      </c>
      <c r="AX59" s="3" t="inlineStr">
        <is>
          <t>si</t>
        </is>
      </c>
      <c r="AY59" s="3" t="inlineStr">
        <is>
          <t>output/v8/M0/coeficientes.csv</t>
        </is>
      </c>
      <c r="AZ59" s="4">
        <f>Fuera_muestra!F19</f>
        <v/>
      </c>
      <c r="BA59" s="4">
        <f>Fuera_muestra!G19</f>
        <v/>
      </c>
      <c r="BB59" s="2">
        <f>AZ59/BA59</f>
        <v/>
      </c>
    </row>
    <row r="60">
      <c r="A60" s="3" t="inlineStr">
        <is>
          <t>M0_alquiler_base_P4</t>
        </is>
      </c>
      <c r="B60" s="3" t="inlineStr">
        <is>
          <t>M0</t>
        </is>
      </c>
      <c r="C60" s="3" t="inlineStr">
        <is>
          <t>ols_tramos_hac</t>
        </is>
      </c>
      <c r="D60" s="3" t="inlineStr">
        <is>
          <t>alquiler</t>
        </is>
      </c>
      <c r="E60" s="3" t="inlineStr">
        <is>
          <t>nacional</t>
        </is>
      </c>
      <c r="F60" s="3" t="inlineStr">
        <is>
          <t>P4</t>
        </is>
      </c>
      <c r="G60" s="3" t="inlineStr">
        <is>
          <t>d4_ln_ipc_alquiler_real</t>
        </is>
      </c>
      <c r="H60" s="3" t="inlineStr">
        <is>
          <t>d4_ln*100</t>
        </is>
      </c>
      <c r="I60" s="3" t="inlineStr">
        <is>
          <t>IPC alquiler, real (IPC general)</t>
        </is>
      </c>
      <c r="J60" s="3" t="inlineStr">
        <is>
          <t>d4_terminadas</t>
        </is>
      </c>
      <c r="K60" s="3" t="n">
        <v>-0.0029991069866747</v>
      </c>
      <c r="L60" s="3" t="n">
        <v>0.0011369494351271</v>
      </c>
      <c r="M60" s="3" t="inlineStr">
        <is>
          <t>HAC-NW(4), t(3)</t>
        </is>
      </c>
      <c r="N60" s="3" t="n">
        <v>-2.637854326687351</v>
      </c>
      <c r="O60" s="3" t="n">
        <v>0.07779894043719859</v>
      </c>
      <c r="P60" s="3" t="n">
        <v>0.1361481457650976</v>
      </c>
      <c r="Q60" s="3" t="inlineStr">
        <is>
          <t>BH</t>
        </is>
      </c>
      <c r="R60" s="3" t="n">
        <v>-0.0066173875157894</v>
      </c>
      <c r="S60" s="3" t="n">
        <v>0.0006191735424398</v>
      </c>
      <c r="T60" s="3" t="n">
        <v>-0.0143485359067988</v>
      </c>
      <c r="U60" s="3" t="n"/>
      <c r="V60" s="3" t="n">
        <v>9</v>
      </c>
      <c r="W60" s="3" t="n">
        <v>0.9999213842049952</v>
      </c>
      <c r="X60" s="3" t="n">
        <v>0.9997903578799868</v>
      </c>
      <c r="Y60" s="3" t="n">
        <v>-25.09020003563625</v>
      </c>
      <c r="Z60" s="3" t="n">
        <v>-23.90685257161894</v>
      </c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inlineStr">
        <is>
          <t>C4</t>
        </is>
      </c>
      <c r="AN60" s="3" t="n">
        <v>120</v>
      </c>
      <c r="AO60" s="3" t="n">
        <v>0.6333333333333333</v>
      </c>
      <c r="AP60" s="3" t="n">
        <v>0.0916666666666666</v>
      </c>
      <c r="AQ60" s="3" t="inlineStr">
        <is>
          <t>no_evaluable</t>
        </is>
      </c>
      <c r="AR60" s="3" t="inlineStr">
        <is>
          <t>no</t>
        </is>
      </c>
      <c r="AS60" s="3" t="inlineStr">
        <is>
          <t>si</t>
        </is>
      </c>
      <c r="AT60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0" s="3" t="inlineStr">
        <is>
          <t>src/v8/m0_periodos.py</t>
        </is>
      </c>
      <c r="AV60" s="3" t="inlineStr">
        <is>
          <t>(b) mejor de la familia ols_tramos_hac: ecuacion AR1+X por periodo; unico candidato con OOS en la familia</t>
        </is>
      </c>
      <c r="AW60" s="3" t="inlineStr">
        <is>
          <t>M0:AR1+X_por_periodo</t>
        </is>
      </c>
      <c r="AX60" s="3" t="inlineStr">
        <is>
          <t>si</t>
        </is>
      </c>
      <c r="AY60" s="3" t="inlineStr">
        <is>
          <t>output/v8/M0/coeficientes.csv</t>
        </is>
      </c>
      <c r="AZ60" s="4">
        <f>Fuera_muestra!F19</f>
        <v/>
      </c>
      <c r="BA60" s="4">
        <f>Fuera_muestra!G19</f>
        <v/>
      </c>
      <c r="BB60" s="2">
        <f>AZ60/BA60</f>
        <v/>
      </c>
    </row>
    <row r="61">
      <c r="A61" s="3" t="inlineStr">
        <is>
          <t>M0_alquiler_base_P5</t>
        </is>
      </c>
      <c r="B61" s="3" t="inlineStr">
        <is>
          <t>M0</t>
        </is>
      </c>
      <c r="C61" s="3" t="inlineStr">
        <is>
          <t>ols_tramos_hac</t>
        </is>
      </c>
      <c r="D61" s="3" t="inlineStr">
        <is>
          <t>alquiler</t>
        </is>
      </c>
      <c r="E61" s="3" t="inlineStr">
        <is>
          <t>nacional</t>
        </is>
      </c>
      <c r="F61" s="3" t="inlineStr">
        <is>
          <t>P5</t>
        </is>
      </c>
      <c r="G61" s="3" t="inlineStr">
        <is>
          <t>d4_ln_ipc_alquiler_real</t>
        </is>
      </c>
      <c r="H61" s="3" t="inlineStr">
        <is>
          <t>d4_ln*100</t>
        </is>
      </c>
      <c r="I61" s="3" t="inlineStr">
        <is>
          <t>IPC alquiler, real (IPC general)</t>
        </is>
      </c>
      <c r="J61" s="3" t="inlineStr">
        <is>
          <t>d4_pob_total</t>
        </is>
      </c>
      <c r="K61" s="3" t="n">
        <v>1.177926863726601</v>
      </c>
      <c r="L61" s="3" t="n">
        <v>0.5901252602193401</v>
      </c>
      <c r="M61" s="3" t="inlineStr">
        <is>
          <t>HAC-NW(4), t(10)</t>
        </is>
      </c>
      <c r="N61" s="3" t="n">
        <v>1.996062434759672</v>
      </c>
      <c r="O61" s="3" t="n">
        <v>0.0738710580757054</v>
      </c>
      <c r="P61" s="3" t="n">
        <v>0.13258907859742</v>
      </c>
      <c r="Q61" s="3" t="inlineStr">
        <is>
          <t>BH</t>
        </is>
      </c>
      <c r="R61" s="3" t="n">
        <v>-0.1369541561066207</v>
      </c>
      <c r="S61" s="3" t="n">
        <v>2.492807883559822</v>
      </c>
      <c r="T61" s="3" t="n">
        <v>0.0519795205074513</v>
      </c>
      <c r="U61" s="3" t="n"/>
      <c r="V61" s="3" t="n">
        <v>16</v>
      </c>
      <c r="W61" s="3" t="n">
        <v>0.9981154343978856</v>
      </c>
      <c r="X61" s="3" t="n">
        <v>0.9971731515968284</v>
      </c>
      <c r="Y61" s="3" t="n">
        <v>-19.52471329269599</v>
      </c>
      <c r="Z61" s="3" t="n">
        <v>-14.88918095925731</v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inlineStr">
        <is>
          <t>C4</t>
        </is>
      </c>
      <c r="AN61" s="3" t="n">
        <v>96</v>
      </c>
      <c r="AO61" s="3" t="n">
        <v>0.5833333333333334</v>
      </c>
      <c r="AP61" s="3" t="n">
        <v>0.125</v>
      </c>
      <c r="AQ61" s="3" t="inlineStr">
        <is>
          <t>no_evaluable</t>
        </is>
      </c>
      <c r="AR61" s="3" t="inlineStr">
        <is>
          <t>no</t>
        </is>
      </c>
      <c r="AS61" s="3" t="inlineStr">
        <is>
          <t>si</t>
        </is>
      </c>
      <c r="AT61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1" s="3" t="inlineStr">
        <is>
          <t>src/v8/m0_periodos.py</t>
        </is>
      </c>
      <c r="AV61" s="3" t="inlineStr">
        <is>
          <t>(b) mejor de la familia ols_tramos_hac: ecuacion AR1+X por periodo; unico candidato con OOS en la familia</t>
        </is>
      </c>
      <c r="AW61" s="3" t="inlineStr">
        <is>
          <t>M0:AR1+X_por_periodo</t>
        </is>
      </c>
      <c r="AX61" s="3" t="inlineStr">
        <is>
          <t>si</t>
        </is>
      </c>
      <c r="AY61" s="3" t="inlineStr">
        <is>
          <t>output/v8/M0/coeficientes.csv</t>
        </is>
      </c>
      <c r="AZ61" s="4">
        <f>Fuera_muestra!F19</f>
        <v/>
      </c>
      <c r="BA61" s="4">
        <f>Fuera_muestra!G19</f>
        <v/>
      </c>
      <c r="BB61" s="2">
        <f>AZ61/BA61</f>
        <v/>
      </c>
    </row>
    <row r="62">
      <c r="A62" s="3" t="inlineStr">
        <is>
          <t>M0_alquiler_base_P5</t>
        </is>
      </c>
      <c r="B62" s="3" t="inlineStr">
        <is>
          <t>M0</t>
        </is>
      </c>
      <c r="C62" s="3" t="inlineStr">
        <is>
          <t>ols_tramos_hac</t>
        </is>
      </c>
      <c r="D62" s="3" t="inlineStr">
        <is>
          <t>alquiler</t>
        </is>
      </c>
      <c r="E62" s="3" t="inlineStr">
        <is>
          <t>nacional</t>
        </is>
      </c>
      <c r="F62" s="3" t="inlineStr">
        <is>
          <t>P5</t>
        </is>
      </c>
      <c r="G62" s="3" t="inlineStr">
        <is>
          <t>d4_ln_ipc_alquiler_real</t>
        </is>
      </c>
      <c r="H62" s="3" t="inlineStr">
        <is>
          <t>d4_ln*100</t>
        </is>
      </c>
      <c r="I62" s="3" t="inlineStr">
        <is>
          <t>IPC alquiler, real (IPC general)</t>
        </is>
      </c>
      <c r="J62" s="3" t="inlineStr">
        <is>
          <t>d4_pib_vol</t>
        </is>
      </c>
      <c r="K62" s="3" t="n">
        <v>0.08720581597344471</v>
      </c>
      <c r="L62" s="3" t="n">
        <v>0.0573408326362875</v>
      </c>
      <c r="M62" s="3" t="inlineStr">
        <is>
          <t>HAC-NW(4), t(10)</t>
        </is>
      </c>
      <c r="N62" s="3" t="n">
        <v>1.520832746301237</v>
      </c>
      <c r="O62" s="3" t="n">
        <v>0.1592712981646042</v>
      </c>
      <c r="P62" s="3" t="n">
        <v>0.2423693667722239</v>
      </c>
      <c r="Q62" s="3" t="inlineStr">
        <is>
          <t>BH</t>
        </is>
      </c>
      <c r="R62" s="3" t="n">
        <v>-0.0405575210287099</v>
      </c>
      <c r="S62" s="3" t="n">
        <v>0.2149691529755994</v>
      </c>
      <c r="T62" s="3" t="n">
        <v>0.0447598083353213</v>
      </c>
      <c r="U62" s="3" t="n"/>
      <c r="V62" s="3" t="n">
        <v>16</v>
      </c>
      <c r="W62" s="3" t="n">
        <v>0.9981154343978856</v>
      </c>
      <c r="X62" s="3" t="n">
        <v>0.9971731515968284</v>
      </c>
      <c r="Y62" s="3" t="n">
        <v>-19.52471329269599</v>
      </c>
      <c r="Z62" s="3" t="n">
        <v>-14.88918095925731</v>
      </c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inlineStr">
        <is>
          <t>C4</t>
        </is>
      </c>
      <c r="AN62" s="3" t="n">
        <v>96</v>
      </c>
      <c r="AO62" s="3" t="n">
        <v>0.6875</v>
      </c>
      <c r="AP62" s="3" t="n">
        <v>0.1770833333333333</v>
      </c>
      <c r="AQ62" s="3" t="inlineStr">
        <is>
          <t>no_evaluable</t>
        </is>
      </c>
      <c r="AR62" s="3" t="inlineStr">
        <is>
          <t>no</t>
        </is>
      </c>
      <c r="AS62" s="3" t="inlineStr">
        <is>
          <t>si</t>
        </is>
      </c>
      <c r="AT62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2" s="3" t="inlineStr">
        <is>
          <t>src/v8/m0_periodos.py</t>
        </is>
      </c>
      <c r="AV62" s="3" t="inlineStr">
        <is>
          <t>(b) mejor de la familia ols_tramos_hac: ecuacion AR1+X por periodo; unico candidato con OOS en la familia</t>
        </is>
      </c>
      <c r="AW62" s="3" t="inlineStr">
        <is>
          <t>M0:AR1+X_por_periodo</t>
        </is>
      </c>
      <c r="AX62" s="3" t="inlineStr">
        <is>
          <t>si</t>
        </is>
      </c>
      <c r="AY62" s="3" t="inlineStr">
        <is>
          <t>output/v8/M0/coeficientes.csv</t>
        </is>
      </c>
      <c r="AZ62" s="4">
        <f>Fuera_muestra!F19</f>
        <v/>
      </c>
      <c r="BA62" s="4">
        <f>Fuera_muestra!G19</f>
        <v/>
      </c>
      <c r="BB62" s="2">
        <f>AZ62/BA62</f>
        <v/>
      </c>
    </row>
    <row r="63">
      <c r="A63" s="3" t="inlineStr">
        <is>
          <t>M0_alquiler_base_P5</t>
        </is>
      </c>
      <c r="B63" s="3" t="inlineStr">
        <is>
          <t>M0</t>
        </is>
      </c>
      <c r="C63" s="3" t="inlineStr">
        <is>
          <t>ols_tramos_hac</t>
        </is>
      </c>
      <c r="D63" s="3" t="inlineStr">
        <is>
          <t>alquiler</t>
        </is>
      </c>
      <c r="E63" s="3" t="inlineStr">
        <is>
          <t>nacional</t>
        </is>
      </c>
      <c r="F63" s="3" t="inlineStr">
        <is>
          <t>P5</t>
        </is>
      </c>
      <c r="G63" s="3" t="inlineStr">
        <is>
          <t>d4_ln_ipc_alquiler_real</t>
        </is>
      </c>
      <c r="H63" s="3" t="inlineStr">
        <is>
          <t>d4_ln*100</t>
        </is>
      </c>
      <c r="I63" s="3" t="inlineStr">
        <is>
          <t>IPC alquiler, real (IPC general)</t>
        </is>
      </c>
      <c r="J63" s="3" t="inlineStr">
        <is>
          <t>tipo_hip_real</t>
        </is>
      </c>
      <c r="K63" s="3" t="n">
        <v>0.7718293748950213</v>
      </c>
      <c r="L63" s="3" t="n">
        <v>0.017035008059264</v>
      </c>
      <c r="M63" s="3" t="inlineStr">
        <is>
          <t>HAC-NW(4), t(10)</t>
        </is>
      </c>
      <c r="N63" s="3" t="n">
        <v>45.30842440519317</v>
      </c>
      <c r="O63" s="3" t="n">
        <v>6.601428220939076e-13</v>
      </c>
      <c r="P63" s="3" t="n">
        <v>4.620999754657353e-11</v>
      </c>
      <c r="Q63" s="3" t="inlineStr">
        <is>
          <t>BH</t>
        </is>
      </c>
      <c r="R63" s="3" t="n">
        <v>0.7338730115942759</v>
      </c>
      <c r="S63" s="3" t="n">
        <v>0.8097857381957668</v>
      </c>
      <c r="T63" s="3" t="n">
        <v>0.8095691625553263</v>
      </c>
      <c r="U63" s="3" t="n"/>
      <c r="V63" s="3" t="n">
        <v>16</v>
      </c>
      <c r="W63" s="3" t="n">
        <v>0.9981154343978856</v>
      </c>
      <c r="X63" s="3" t="n">
        <v>0.9971731515968284</v>
      </c>
      <c r="Y63" s="3" t="n">
        <v>-19.52471329269599</v>
      </c>
      <c r="Z63" s="3" t="n">
        <v>-14.88918095925731</v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inlineStr">
        <is>
          <t>C4</t>
        </is>
      </c>
      <c r="AN63" s="3" t="n">
        <v>96</v>
      </c>
      <c r="AO63" s="3" t="n">
        <v>0.8541666666666666</v>
      </c>
      <c r="AP63" s="3" t="n">
        <v>0.4583333333333333</v>
      </c>
      <c r="AQ63" s="3" t="inlineStr">
        <is>
          <t>no_evaluable</t>
        </is>
      </c>
      <c r="AR63" s="3" t="inlineStr">
        <is>
          <t>no</t>
        </is>
      </c>
      <c r="AS63" s="3" t="inlineStr">
        <is>
          <t>si</t>
        </is>
      </c>
      <c r="AT63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3" s="3" t="inlineStr">
        <is>
          <t>src/v8/m0_periodos.py</t>
        </is>
      </c>
      <c r="AV63" s="3" t="inlineStr">
        <is>
          <t>(b) mejor de la familia ols_tramos_hac: ecuacion AR1+X por periodo; unico candidato con OOS en la familia</t>
        </is>
      </c>
      <c r="AW63" s="3" t="inlineStr">
        <is>
          <t>M0:AR1+X_por_periodo</t>
        </is>
      </c>
      <c r="AX63" s="3" t="inlineStr">
        <is>
          <t>si</t>
        </is>
      </c>
      <c r="AY63" s="3" t="inlineStr">
        <is>
          <t>output/v8/M0/coeficientes.csv</t>
        </is>
      </c>
      <c r="AZ63" s="4">
        <f>Fuera_muestra!F19</f>
        <v/>
      </c>
      <c r="BA63" s="4">
        <f>Fuera_muestra!G19</f>
        <v/>
      </c>
      <c r="BB63" s="2">
        <f>AZ63/BA63</f>
        <v/>
      </c>
    </row>
    <row r="64">
      <c r="A64" s="3" t="inlineStr">
        <is>
          <t>M0_alquiler_base_P5</t>
        </is>
      </c>
      <c r="B64" s="3" t="inlineStr">
        <is>
          <t>M0</t>
        </is>
      </c>
      <c r="C64" s="3" t="inlineStr">
        <is>
          <t>ols_tramos_hac</t>
        </is>
      </c>
      <c r="D64" s="3" t="inlineStr">
        <is>
          <t>alquiler</t>
        </is>
      </c>
      <c r="E64" s="3" t="inlineStr">
        <is>
          <t>nacional</t>
        </is>
      </c>
      <c r="F64" s="3" t="inlineStr">
        <is>
          <t>P5</t>
        </is>
      </c>
      <c r="G64" s="3" t="inlineStr">
        <is>
          <t>d4_ln_ipc_alquiler_real</t>
        </is>
      </c>
      <c r="H64" s="3" t="inlineStr">
        <is>
          <t>d4_ln*100</t>
        </is>
      </c>
      <c r="I64" s="3" t="inlineStr">
        <is>
          <t>IPC alquiler, real (IPC general)</t>
        </is>
      </c>
      <c r="J64" s="3" t="inlineStr">
        <is>
          <t>d4_credito_vivienda_real</t>
        </is>
      </c>
      <c r="K64" s="3" t="n">
        <v>0.2480434294062286</v>
      </c>
      <c r="L64" s="3" t="n">
        <v>0.013612916195703</v>
      </c>
      <c r="M64" s="3" t="inlineStr">
        <is>
          <t>HAC-NW(4), t(10)</t>
        </is>
      </c>
      <c r="N64" s="3" t="n">
        <v>18.22118243000165</v>
      </c>
      <c r="O64" s="3" t="n">
        <v>5.324225687271577e-09</v>
      </c>
      <c r="P64" s="3" t="n">
        <v>1.242319327030035e-07</v>
      </c>
      <c r="Q64" s="3" t="inlineStr">
        <is>
          <t>BH</t>
        </is>
      </c>
      <c r="R64" s="3" t="n">
        <v>0.2177119619417495</v>
      </c>
      <c r="S64" s="3" t="n">
        <v>0.2783748968707076</v>
      </c>
      <c r="T64" s="3" t="n">
        <v>0.3759971654212376</v>
      </c>
      <c r="U64" s="3" t="n"/>
      <c r="V64" s="3" t="n">
        <v>16</v>
      </c>
      <c r="W64" s="3" t="n">
        <v>0.9981154343978856</v>
      </c>
      <c r="X64" s="3" t="n">
        <v>0.9971731515968284</v>
      </c>
      <c r="Y64" s="3" t="n">
        <v>-19.52471329269599</v>
      </c>
      <c r="Z64" s="3" t="n">
        <v>-14.88918095925731</v>
      </c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inlineStr">
        <is>
          <t>C4</t>
        </is>
      </c>
      <c r="AN64" s="3" t="n"/>
      <c r="AO64" s="3" t="n"/>
      <c r="AP64" s="3" t="n"/>
      <c r="AQ64" s="3" t="inlineStr">
        <is>
          <t>no_evaluable</t>
        </is>
      </c>
      <c r="AR64" s="3" t="inlineStr">
        <is>
          <t>no_evaluable</t>
        </is>
      </c>
      <c r="AS64" s="3" t="inlineStr">
        <is>
          <t>si</t>
        </is>
      </c>
      <c r="AT64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4" s="3" t="inlineStr">
        <is>
          <t>src/v8/m0_periodos.py</t>
        </is>
      </c>
      <c r="AV64" s="3" t="inlineStr">
        <is>
          <t>(b) mejor de la familia ols_tramos_hac: ecuacion AR1+X por periodo; unico candidato con OOS en la familia</t>
        </is>
      </c>
      <c r="AW64" s="3" t="inlineStr">
        <is>
          <t>M0:AR1+X_por_periodo</t>
        </is>
      </c>
      <c r="AX64" s="3" t="inlineStr">
        <is>
          <t>si</t>
        </is>
      </c>
      <c r="AY64" s="3" t="inlineStr">
        <is>
          <t>output/v8/M0/coeficientes.csv</t>
        </is>
      </c>
      <c r="AZ64" s="4">
        <f>Fuera_muestra!F19</f>
        <v/>
      </c>
      <c r="BA64" s="4">
        <f>Fuera_muestra!G19</f>
        <v/>
      </c>
      <c r="BB64" s="2">
        <f>AZ64/BA64</f>
        <v/>
      </c>
    </row>
    <row r="65">
      <c r="A65" s="3" t="inlineStr">
        <is>
          <t>M0_alquiler_base_P5</t>
        </is>
      </c>
      <c r="B65" s="3" t="inlineStr">
        <is>
          <t>M0</t>
        </is>
      </c>
      <c r="C65" s="3" t="inlineStr">
        <is>
          <t>ols_tramos_hac</t>
        </is>
      </c>
      <c r="D65" s="3" t="inlineStr">
        <is>
          <t>alquiler</t>
        </is>
      </c>
      <c r="E65" s="3" t="inlineStr">
        <is>
          <t>nacional</t>
        </is>
      </c>
      <c r="F65" s="3" t="inlineStr">
        <is>
          <t>P5</t>
        </is>
      </c>
      <c r="G65" s="3" t="inlineStr">
        <is>
          <t>d4_ln_ipc_alquiler_real</t>
        </is>
      </c>
      <c r="H65" s="3" t="inlineStr">
        <is>
          <t>d4_ln*100</t>
        </is>
      </c>
      <c r="I65" s="3" t="inlineStr">
        <is>
          <t>IPC alquiler, real (IPC general)</t>
        </is>
      </c>
      <c r="J65" s="3" t="inlineStr">
        <is>
          <t>d4_terminadas</t>
        </is>
      </c>
      <c r="K65" s="3" t="n">
        <v>0.0018129360758767</v>
      </c>
      <c r="L65" s="3" t="n">
        <v>0.0028706980841311</v>
      </c>
      <c r="M65" s="3" t="inlineStr">
        <is>
          <t>HAC-NW(4), t(10)</t>
        </is>
      </c>
      <c r="N65" s="3" t="n">
        <v>0.6315314333814598</v>
      </c>
      <c r="O65" s="3" t="n">
        <v>0.5418593057593976</v>
      </c>
      <c r="P65" s="3" t="n">
        <v>0.6321691900526305</v>
      </c>
      <c r="Q65" s="3" t="inlineStr">
        <is>
          <t>BH</t>
        </is>
      </c>
      <c r="R65" s="3" t="n">
        <v>-0.0045833778576984</v>
      </c>
      <c r="S65" s="3" t="n">
        <v>0.008209250009451901</v>
      </c>
      <c r="T65" s="3" t="n">
        <v>0.0068125486322023</v>
      </c>
      <c r="U65" s="3" t="n"/>
      <c r="V65" s="3" t="n">
        <v>16</v>
      </c>
      <c r="W65" s="3" t="n">
        <v>0.9981154343978856</v>
      </c>
      <c r="X65" s="3" t="n">
        <v>0.9971731515968284</v>
      </c>
      <c r="Y65" s="3" t="n">
        <v>-19.52471329269599</v>
      </c>
      <c r="Z65" s="3" t="n">
        <v>-14.88918095925731</v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inlineStr">
        <is>
          <t>C4</t>
        </is>
      </c>
      <c r="AN65" s="3" t="n">
        <v>96</v>
      </c>
      <c r="AO65" s="3" t="n">
        <v>0.5</v>
      </c>
      <c r="AP65" s="3" t="n">
        <v>0.0520833333333333</v>
      </c>
      <c r="AQ65" s="3" t="inlineStr">
        <is>
          <t>no_evaluable</t>
        </is>
      </c>
      <c r="AR65" s="3" t="inlineStr">
        <is>
          <t>no</t>
        </is>
      </c>
      <c r="AS65" s="3" t="inlineStr">
        <is>
          <t>si</t>
        </is>
      </c>
      <c r="AT65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5" s="3" t="inlineStr">
        <is>
          <t>src/v8/m0_periodos.py</t>
        </is>
      </c>
      <c r="AV65" s="3" t="inlineStr">
        <is>
          <t>(b) mejor de la familia ols_tramos_hac: ecuacion AR1+X por periodo; unico candidato con OOS en la familia</t>
        </is>
      </c>
      <c r="AW65" s="3" t="inlineStr">
        <is>
          <t>M0:AR1+X_por_periodo</t>
        </is>
      </c>
      <c r="AX65" s="3" t="inlineStr">
        <is>
          <t>si</t>
        </is>
      </c>
      <c r="AY65" s="3" t="inlineStr">
        <is>
          <t>output/v8/M0/coeficientes.csv</t>
        </is>
      </c>
      <c r="AZ65" s="4">
        <f>Fuera_muestra!F19</f>
        <v/>
      </c>
      <c r="BA65" s="4">
        <f>Fuera_muestra!G19</f>
        <v/>
      </c>
      <c r="BB65" s="2">
        <f>AZ65/BA65</f>
        <v/>
      </c>
    </row>
    <row r="66">
      <c r="A66" s="3" t="inlineStr">
        <is>
          <t>M4_alquiler_A2_sin_rupturas_ardl</t>
        </is>
      </c>
      <c r="B66" s="3" t="inlineStr">
        <is>
          <t>M4</t>
        </is>
      </c>
      <c r="C66" s="3" t="inlineStr">
        <is>
          <t>ardl_bounds_uecm</t>
        </is>
      </c>
      <c r="D66" s="3" t="inlineStr">
        <is>
          <t>alquiler</t>
        </is>
      </c>
      <c r="E66" s="3" t="inlineStr">
        <is>
          <t>nacional</t>
        </is>
      </c>
      <c r="F66" s="3" t="inlineStr">
        <is>
          <t>completo</t>
        </is>
      </c>
      <c r="G66" s="3" t="inlineStr">
        <is>
          <t>ln_ipc_alquiler_real</t>
        </is>
      </c>
      <c r="H66" s="3" t="inlineStr">
        <is>
          <t>ln niveles; tipo en pp</t>
        </is>
      </c>
      <c r="I66" s="3" t="inlineStr">
        <is>
          <t>IPC alquiler, real (IPC general)</t>
        </is>
      </c>
      <c r="J66" s="3" t="inlineStr">
        <is>
          <t>renta</t>
        </is>
      </c>
      <c r="K66" s="3" t="n">
        <v>1.428439345738748</v>
      </c>
      <c r="L66" s="3" t="n">
        <v>0.980907043340528</v>
      </c>
      <c r="M66" s="3" t="inlineStr">
        <is>
          <t>delta (OLS clasico)</t>
        </is>
      </c>
      <c r="N66" s="3" t="n">
        <v>1.456243336651072</v>
      </c>
      <c r="O66" s="3" t="n">
        <v>0.1453253633988538</v>
      </c>
      <c r="P66" s="3" t="n">
        <v>0.2888998188049504</v>
      </c>
      <c r="Q66" s="3" t="inlineStr">
        <is>
          <t>BH</t>
        </is>
      </c>
      <c r="R66" s="3" t="n">
        <v>-0.494138459208687</v>
      </c>
      <c r="S66" s="3" t="n">
        <v>3.351017150686183</v>
      </c>
      <c r="T66" s="3" t="n">
        <v>2.432994930304974</v>
      </c>
      <c r="U66" s="3" t="n">
        <v>1.428439345738748</v>
      </c>
      <c r="V66" s="3" t="n">
        <v>95</v>
      </c>
      <c r="W66" s="3" t="n">
        <v>0.7114906836925163</v>
      </c>
      <c r="X66" s="3" t="n">
        <v>0.6809426384364299</v>
      </c>
      <c r="Y66" s="3" t="n">
        <v>-690.2406441494516</v>
      </c>
      <c r="Z66" s="3" t="n">
        <v>-664.7018752334461</v>
      </c>
      <c r="AA66" s="3" t="n">
        <v>-0.04337977801633</v>
      </c>
      <c r="AB66" s="3" t="n">
        <v>15.62944312655905</v>
      </c>
      <c r="AC66" s="3" t="n">
        <v>0.001</v>
      </c>
      <c r="AD66" s="3" t="n">
        <v>0.0002020164082953</v>
      </c>
      <c r="AE66" s="3" t="n">
        <v>0.5113975172683483</v>
      </c>
      <c r="AF66" s="3" t="n">
        <v>1.641996045660967e-09</v>
      </c>
      <c r="AG66" s="3" t="n">
        <v>0.07731023650702259</v>
      </c>
      <c r="AH66" s="3" t="n">
        <v>1</v>
      </c>
      <c r="AI66" s="3" t="n">
        <v>2.655814239350504</v>
      </c>
      <c r="AJ66" s="3" t="n"/>
      <c r="AK66" s="3" t="n"/>
      <c r="AL66" s="3" t="n"/>
      <c r="AM66" s="3" t="inlineStr">
        <is>
          <t>C4</t>
        </is>
      </c>
      <c r="AN66" s="3" t="n"/>
      <c r="AO66" s="3" t="n"/>
      <c r="AP66" s="3" t="n"/>
      <c r="AQ66" s="3" t="inlineStr">
        <is>
          <t>no_evaluable</t>
        </is>
      </c>
      <c r="AR66" s="3" t="inlineStr">
        <is>
          <t>no_evaluable</t>
        </is>
      </c>
      <c r="AS66" s="3" t="inlineStr">
        <is>
          <t>si</t>
        </is>
      </c>
      <c r="AT66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6" s="3" t="inlineStr">
        <is>
          <t>src/v8/m4_largo_plazo.py</t>
        </is>
      </c>
      <c r="AV66" s="3" t="inlineStr">
        <is>
          <t>(b) mejor de la familia dols/fmols/ardl: especificacion A2 de menor RMSE (SR); el OOS se hace con beta OLS estatico y es comun a los tres estimadores</t>
        </is>
      </c>
      <c r="AW66" s="3" t="inlineStr">
        <is>
          <t>M4:A2_sin_rupturas_SR</t>
        </is>
      </c>
      <c r="AX66" s="3" t="inlineStr">
        <is>
          <t>si</t>
        </is>
      </c>
      <c r="AY66" s="3" t="inlineStr">
        <is>
          <t>output/v8/M4/coeficientes.csv</t>
        </is>
      </c>
      <c r="AZ66" s="4">
        <f>Fuera_muestra!F36</f>
        <v/>
      </c>
      <c r="BA66" s="4">
        <f>Fuera_muestra!G36</f>
        <v/>
      </c>
      <c r="BB66" s="2">
        <f>AZ66/BA66</f>
        <v/>
      </c>
    </row>
    <row r="67">
      <c r="A67" s="3" t="inlineStr">
        <is>
          <t>M4_alquiler_A2_sin_rupturas_ardl</t>
        </is>
      </c>
      <c r="B67" s="3" t="inlineStr">
        <is>
          <t>M4</t>
        </is>
      </c>
      <c r="C67" s="3" t="inlineStr">
        <is>
          <t>ardl_bounds_uecm</t>
        </is>
      </c>
      <c r="D67" s="3" t="inlineStr">
        <is>
          <t>alquiler</t>
        </is>
      </c>
      <c r="E67" s="3" t="inlineStr">
        <is>
          <t>nacional</t>
        </is>
      </c>
      <c r="F67" s="3" t="inlineStr">
        <is>
          <t>completo</t>
        </is>
      </c>
      <c r="G67" s="3" t="inlineStr">
        <is>
          <t>ln_ipc_alquiler_real</t>
        </is>
      </c>
      <c r="H67" s="3" t="inlineStr">
        <is>
          <t>ln niveles; tipo en pp</t>
        </is>
      </c>
      <c r="I67" s="3" t="inlineStr">
        <is>
          <t>IPC alquiler, real (IPC general)</t>
        </is>
      </c>
      <c r="J67" s="3" t="inlineStr">
        <is>
          <t>tipo</t>
        </is>
      </c>
      <c r="K67" s="3" t="n">
        <v>0.071405273143029</v>
      </c>
      <c r="L67" s="3" t="n">
        <v>0.0403954200228519</v>
      </c>
      <c r="M67" s="3" t="inlineStr">
        <is>
          <t>delta (OLS clasico)</t>
        </is>
      </c>
      <c r="N67" s="3" t="n">
        <v>1.767657647887672</v>
      </c>
      <c r="O67" s="3" t="n">
        <v>0.07711815431304241</v>
      </c>
      <c r="P67" s="3" t="n">
        <v>0.1755102822296827</v>
      </c>
      <c r="Q67" s="3" t="inlineStr">
        <is>
          <t>BH</t>
        </is>
      </c>
      <c r="R67" s="3" t="n">
        <v>-0.0077697501017608</v>
      </c>
      <c r="S67" s="3" t="n">
        <v>0.1505802963878189</v>
      </c>
      <c r="T67" s="3" t="n">
        <v>2.888411490114483</v>
      </c>
      <c r="U67" s="3" t="n"/>
      <c r="V67" s="3" t="n">
        <v>95</v>
      </c>
      <c r="W67" s="3" t="n">
        <v>0.7114906836925163</v>
      </c>
      <c r="X67" s="3" t="n">
        <v>0.6809426384364299</v>
      </c>
      <c r="Y67" s="3" t="n">
        <v>-690.2406441494516</v>
      </c>
      <c r="Z67" s="3" t="n">
        <v>-664.7018752334461</v>
      </c>
      <c r="AA67" s="3" t="n">
        <v>-0.04337977801633</v>
      </c>
      <c r="AB67" s="3" t="n">
        <v>15.62944312655905</v>
      </c>
      <c r="AC67" s="3" t="n">
        <v>0.001</v>
      </c>
      <c r="AD67" s="3" t="n">
        <v>0.0002020164082953</v>
      </c>
      <c r="AE67" s="3" t="n">
        <v>0.5113975172683483</v>
      </c>
      <c r="AF67" s="3" t="n">
        <v>1.641996045660967e-09</v>
      </c>
      <c r="AG67" s="3" t="n">
        <v>0.07731023650702259</v>
      </c>
      <c r="AH67" s="3" t="n">
        <v>1</v>
      </c>
      <c r="AI67" s="3" t="n">
        <v>2.655814239350504</v>
      </c>
      <c r="AJ67" s="3" t="n"/>
      <c r="AK67" s="3" t="n"/>
      <c r="AL67" s="3" t="n"/>
      <c r="AM67" s="3" t="inlineStr">
        <is>
          <t>C4</t>
        </is>
      </c>
      <c r="AN67" s="3" t="n"/>
      <c r="AO67" s="3" t="n"/>
      <c r="AP67" s="3" t="n"/>
      <c r="AQ67" s="3" t="inlineStr">
        <is>
          <t>no_evaluable</t>
        </is>
      </c>
      <c r="AR67" s="3" t="inlineStr">
        <is>
          <t>no_evaluable</t>
        </is>
      </c>
      <c r="AS67" s="3" t="inlineStr">
        <is>
          <t>si</t>
        </is>
      </c>
      <c r="AT67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7" s="3" t="inlineStr">
        <is>
          <t>src/v8/m4_largo_plazo.py</t>
        </is>
      </c>
      <c r="AV67" s="3" t="inlineStr">
        <is>
          <t>(b) mejor de la familia dols/fmols/ardl: especificacion A2 de menor RMSE (SR); el OOS se hace con beta OLS estatico y es comun a los tres estimadores</t>
        </is>
      </c>
      <c r="AW67" s="3" t="inlineStr">
        <is>
          <t>M4:A2_sin_rupturas_SR</t>
        </is>
      </c>
      <c r="AX67" s="3" t="inlineStr">
        <is>
          <t>si</t>
        </is>
      </c>
      <c r="AY67" s="3" t="inlineStr">
        <is>
          <t>output/v8/M4/coeficientes.csv</t>
        </is>
      </c>
      <c r="AZ67" s="4">
        <f>Fuera_muestra!F36</f>
        <v/>
      </c>
      <c r="BA67" s="4">
        <f>Fuera_muestra!G36</f>
        <v/>
      </c>
      <c r="BB67" s="2">
        <f>AZ67/BA67</f>
        <v/>
      </c>
    </row>
    <row r="68">
      <c r="A68" s="3" t="inlineStr">
        <is>
          <t>M4_alquiler_A2_sin_rupturas_ardl</t>
        </is>
      </c>
      <c r="B68" s="3" t="inlineStr">
        <is>
          <t>M4</t>
        </is>
      </c>
      <c r="C68" s="3" t="inlineStr">
        <is>
          <t>ardl_bounds_uecm</t>
        </is>
      </c>
      <c r="D68" s="3" t="inlineStr">
        <is>
          <t>alquiler</t>
        </is>
      </c>
      <c r="E68" s="3" t="inlineStr">
        <is>
          <t>nacional</t>
        </is>
      </c>
      <c r="F68" s="3" t="inlineStr">
        <is>
          <t>completo</t>
        </is>
      </c>
      <c r="G68" s="3" t="inlineStr">
        <is>
          <t>ln_ipc_alquiler_real</t>
        </is>
      </c>
      <c r="H68" s="3" t="inlineStr">
        <is>
          <t>ln niveles; tipo en pp</t>
        </is>
      </c>
      <c r="I68" s="3" t="inlineStr">
        <is>
          <t>IPC alquiler, real (IPC general)</t>
        </is>
      </c>
      <c r="J68" s="3" t="inlineStr">
        <is>
          <t>hogares</t>
        </is>
      </c>
      <c r="K68" s="3" t="n">
        <v>-2.327183672445083</v>
      </c>
      <c r="L68" s="3" t="n">
        <v>1.461647586869292</v>
      </c>
      <c r="M68" s="3" t="inlineStr">
        <is>
          <t>delta (OLS clasico)</t>
        </is>
      </c>
      <c r="N68" s="3" t="n">
        <v>-1.5921646868584</v>
      </c>
      <c r="O68" s="3" t="n">
        <v>0.1113477055330502</v>
      </c>
      <c r="P68" s="3" t="n">
        <v>0.2312878851903846</v>
      </c>
      <c r="Q68" s="3" t="inlineStr">
        <is>
          <t>BH</t>
        </is>
      </c>
      <c r="R68" s="3" t="n">
        <v>-5.192012942708896</v>
      </c>
      <c r="S68" s="3" t="n">
        <v>0.5376455978187291</v>
      </c>
      <c r="T68" s="3" t="n">
        <v>-3.797694883840421</v>
      </c>
      <c r="U68" s="3" t="n">
        <v>-2.327183672445083</v>
      </c>
      <c r="V68" s="3" t="n">
        <v>95</v>
      </c>
      <c r="W68" s="3" t="n">
        <v>0.7114906836925163</v>
      </c>
      <c r="X68" s="3" t="n">
        <v>0.6809426384364299</v>
      </c>
      <c r="Y68" s="3" t="n">
        <v>-690.2406441494516</v>
      </c>
      <c r="Z68" s="3" t="n">
        <v>-664.7018752334461</v>
      </c>
      <c r="AA68" s="3" t="n">
        <v>-0.04337977801633</v>
      </c>
      <c r="AB68" s="3" t="n">
        <v>15.62944312655905</v>
      </c>
      <c r="AC68" s="3" t="n">
        <v>0.001</v>
      </c>
      <c r="AD68" s="3" t="n">
        <v>0.0002020164082953</v>
      </c>
      <c r="AE68" s="3" t="n">
        <v>0.5113975172683483</v>
      </c>
      <c r="AF68" s="3" t="n">
        <v>1.641996045660967e-09</v>
      </c>
      <c r="AG68" s="3" t="n">
        <v>0.07731023650702259</v>
      </c>
      <c r="AH68" s="3" t="n">
        <v>1</v>
      </c>
      <c r="AI68" s="3" t="n">
        <v>2.655814239350504</v>
      </c>
      <c r="AJ68" s="3" t="n"/>
      <c r="AK68" s="3" t="n"/>
      <c r="AL68" s="3" t="n"/>
      <c r="AM68" s="3" t="inlineStr">
        <is>
          <t>C4</t>
        </is>
      </c>
      <c r="AN68" s="3" t="n"/>
      <c r="AO68" s="3" t="n"/>
      <c r="AP68" s="3" t="n"/>
      <c r="AQ68" s="3" t="inlineStr">
        <is>
          <t>no_evaluable</t>
        </is>
      </c>
      <c r="AR68" s="3" t="inlineStr">
        <is>
          <t>no_evaluable</t>
        </is>
      </c>
      <c r="AS68" s="3" t="inlineStr">
        <is>
          <t>si</t>
        </is>
      </c>
      <c r="AT68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8" s="3" t="inlineStr">
        <is>
          <t>src/v8/m4_largo_plazo.py</t>
        </is>
      </c>
      <c r="AV68" s="3" t="inlineStr">
        <is>
          <t>(b) mejor de la familia dols/fmols/ardl: especificacion A2 de menor RMSE (SR); el OOS se hace con beta OLS estatico y es comun a los tres estimadores</t>
        </is>
      </c>
      <c r="AW68" s="3" t="inlineStr">
        <is>
          <t>M4:A2_sin_rupturas_SR</t>
        </is>
      </c>
      <c r="AX68" s="3" t="inlineStr">
        <is>
          <t>si</t>
        </is>
      </c>
      <c r="AY68" s="3" t="inlineStr">
        <is>
          <t>output/v8/M4/coeficientes.csv</t>
        </is>
      </c>
      <c r="AZ68" s="4">
        <f>Fuera_muestra!F36</f>
        <v/>
      </c>
      <c r="BA68" s="4">
        <f>Fuera_muestra!G36</f>
        <v/>
      </c>
      <c r="BB68" s="2">
        <f>AZ68/BA68</f>
        <v/>
      </c>
    </row>
    <row r="69">
      <c r="A69" s="3" t="inlineStr">
        <is>
          <t>M4_alquiler_A2_sin_rupturas_ardl</t>
        </is>
      </c>
      <c r="B69" s="3" t="inlineStr">
        <is>
          <t>M4</t>
        </is>
      </c>
      <c r="C69" s="3" t="inlineStr">
        <is>
          <t>ardl_bounds_uecm</t>
        </is>
      </c>
      <c r="D69" s="3" t="inlineStr">
        <is>
          <t>alquiler</t>
        </is>
      </c>
      <c r="E69" s="3" t="inlineStr">
        <is>
          <t>nacional</t>
        </is>
      </c>
      <c r="F69" s="3" t="inlineStr">
        <is>
          <t>completo</t>
        </is>
      </c>
      <c r="G69" s="3" t="inlineStr">
        <is>
          <t>ln_ipc_alquiler_real</t>
        </is>
      </c>
      <c r="H69" s="3" t="inlineStr">
        <is>
          <t>ln niveles; tipo en pp</t>
        </is>
      </c>
      <c r="I69" s="3" t="inlineStr">
        <is>
          <t>IPC alquiler, real (IPC general)</t>
        </is>
      </c>
      <c r="J69" s="3" t="inlineStr">
        <is>
          <t>ruptura:epa2021</t>
        </is>
      </c>
      <c r="K69" s="3" t="n">
        <v>-0.1017719040360279</v>
      </c>
      <c r="L69" s="3" t="n">
        <v>0.0584037876853109</v>
      </c>
      <c r="M69" s="3" t="inlineStr">
        <is>
          <t>delta (OLS clasico)</t>
        </is>
      </c>
      <c r="N69" s="3" t="n">
        <v>-1.742556571577026</v>
      </c>
      <c r="O69" s="3" t="n">
        <v>0.0814111015706942</v>
      </c>
      <c r="P69" s="3" t="n">
        <v>0.1827596157709462</v>
      </c>
      <c r="Q69" s="3" t="inlineStr">
        <is>
          <t>BH</t>
        </is>
      </c>
      <c r="R69" s="3" t="n">
        <v>-0.2162433278992374</v>
      </c>
      <c r="S69" s="3" t="n">
        <v>0.0126995198271814</v>
      </c>
      <c r="T69" s="3" t="n">
        <v>-0.8549529817647931</v>
      </c>
      <c r="U69" s="3" t="n"/>
      <c r="V69" s="3" t="n">
        <v>95</v>
      </c>
      <c r="W69" s="3" t="n">
        <v>0.7114906836925163</v>
      </c>
      <c r="X69" s="3" t="n">
        <v>0.6809426384364299</v>
      </c>
      <c r="Y69" s="3" t="n">
        <v>-690.2406441494516</v>
      </c>
      <c r="Z69" s="3" t="n">
        <v>-664.7018752334461</v>
      </c>
      <c r="AA69" s="3" t="n">
        <v>-0.04337977801633</v>
      </c>
      <c r="AB69" s="3" t="n">
        <v>15.62944312655905</v>
      </c>
      <c r="AC69" s="3" t="n">
        <v>0.001</v>
      </c>
      <c r="AD69" s="3" t="n">
        <v>0.0002020164082953</v>
      </c>
      <c r="AE69" s="3" t="n">
        <v>0.5113975172683483</v>
      </c>
      <c r="AF69" s="3" t="n">
        <v>1.641996045660967e-09</v>
      </c>
      <c r="AG69" s="3" t="n">
        <v>0.07731023650702259</v>
      </c>
      <c r="AH69" s="3" t="n">
        <v>1</v>
      </c>
      <c r="AI69" s="3" t="n">
        <v>2.655814239350504</v>
      </c>
      <c r="AJ69" s="3" t="n"/>
      <c r="AK69" s="3" t="n"/>
      <c r="AL69" s="3" t="n"/>
      <c r="AM69" s="3" t="inlineStr">
        <is>
          <t>C4</t>
        </is>
      </c>
      <c r="AN69" s="3" t="n"/>
      <c r="AO69" s="3" t="n"/>
      <c r="AP69" s="3" t="n"/>
      <c r="AQ69" s="3" t="inlineStr">
        <is>
          <t>no_evaluable</t>
        </is>
      </c>
      <c r="AR69" s="3" t="inlineStr">
        <is>
          <t>no_evaluable</t>
        </is>
      </c>
      <c r="AS69" s="3" t="inlineStr">
        <is>
          <t>si</t>
        </is>
      </c>
      <c r="AT69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9" s="3" t="inlineStr">
        <is>
          <t>src/v8/m4_largo_plazo.py</t>
        </is>
      </c>
      <c r="AV69" s="3" t="inlineStr">
        <is>
          <t>(b) mejor de la familia dols/fmols/ardl: especificacion A2 de menor RMSE (SR); el OOS se hace con beta OLS estatico y es comun a los tres estimadores</t>
        </is>
      </c>
      <c r="AW69" s="3" t="inlineStr">
        <is>
          <t>M4:A2_sin_rupturas_SR</t>
        </is>
      </c>
      <c r="AX69" s="3" t="inlineStr">
        <is>
          <t>si</t>
        </is>
      </c>
      <c r="AY69" s="3" t="inlineStr">
        <is>
          <t>output/v8/M4/coeficientes.csv</t>
        </is>
      </c>
      <c r="AZ69" s="4">
        <f>Fuera_muestra!F36</f>
        <v/>
      </c>
      <c r="BA69" s="4">
        <f>Fuera_muestra!G36</f>
        <v/>
      </c>
      <c r="BB69" s="2">
        <f>AZ69/BA69</f>
        <v/>
      </c>
    </row>
    <row r="70">
      <c r="A70" s="3" t="inlineStr">
        <is>
          <t>M4_alquiler_A2_sin_rupturas_dols</t>
        </is>
      </c>
      <c r="B70" s="3" t="inlineStr">
        <is>
          <t>M4</t>
        </is>
      </c>
      <c r="C70" s="3" t="inlineStr">
        <is>
          <t>dols</t>
        </is>
      </c>
      <c r="D70" s="3" t="inlineStr">
        <is>
          <t>alquiler</t>
        </is>
      </c>
      <c r="E70" s="3" t="inlineStr">
        <is>
          <t>nacional</t>
        </is>
      </c>
      <c r="F70" s="3" t="inlineStr">
        <is>
          <t>completo</t>
        </is>
      </c>
      <c r="G70" s="3" t="inlineStr">
        <is>
          <t>ln_ipc_alquiler_real</t>
        </is>
      </c>
      <c r="H70" s="3" t="inlineStr">
        <is>
          <t>ln niveles; tipo en pp</t>
        </is>
      </c>
      <c r="I70" s="3" t="inlineStr">
        <is>
          <t>IPC alquiler, real (IPC general)</t>
        </is>
      </c>
      <c r="J70" s="3" t="inlineStr">
        <is>
          <t>renta</t>
        </is>
      </c>
      <c r="K70" s="3" t="n">
        <v>-0.3072290030698292</v>
      </c>
      <c r="L70" s="3" t="n">
        <v>0.1172133891113125</v>
      </c>
      <c r="M70" s="3" t="inlineStr">
        <is>
          <t>HAC-NW(4)</t>
        </is>
      </c>
      <c r="N70" s="3" t="n">
        <v>-2.621108436494973</v>
      </c>
      <c r="O70" s="3" t="n">
        <v>0.0087644379557265</v>
      </c>
      <c r="P70" s="3" t="n">
        <v>0.0280802381105802</v>
      </c>
      <c r="Q70" s="3" t="inlineStr">
        <is>
          <t>BH</t>
        </is>
      </c>
      <c r="R70" s="3" t="n">
        <v>-0.5369630242338812</v>
      </c>
      <c r="S70" s="3" t="n">
        <v>-0.0774949819057773</v>
      </c>
      <c r="T70" s="3" t="n">
        <v>-0.5232890070841386</v>
      </c>
      <c r="U70" s="3" t="n">
        <v>-0.3072290030698292</v>
      </c>
      <c r="V70" s="3" t="n">
        <v>95</v>
      </c>
      <c r="W70" s="3" t="n">
        <v>0.8017203756201698</v>
      </c>
      <c r="X70" s="3" t="n">
        <v>0.7698977198555057</v>
      </c>
      <c r="Y70" s="3" t="n">
        <v>-427.6191438874944</v>
      </c>
      <c r="Z70" s="3" t="n">
        <v>-391.8648674050868</v>
      </c>
      <c r="AA70" s="3" t="n">
        <v>-0.0553952841946154</v>
      </c>
      <c r="AB70" s="3" t="n">
        <v>12.16288186995327</v>
      </c>
      <c r="AC70" s="3" t="n">
        <v>0.6351512383184504</v>
      </c>
      <c r="AD70" s="3" t="n">
        <v>3.448065957154499e-27</v>
      </c>
      <c r="AE70" s="3" t="n">
        <v>0.008510896748751899</v>
      </c>
      <c r="AF70" s="3" t="n">
        <v>0.0224973792655582</v>
      </c>
      <c r="AG70" s="3" t="n">
        <v>0.3898092497995133</v>
      </c>
      <c r="AH70" s="3" t="n">
        <v>0</v>
      </c>
      <c r="AI70" s="3" t="n">
        <v>2.655814239350504</v>
      </c>
      <c r="AJ70" s="3" t="n"/>
      <c r="AK70" s="3" t="n"/>
      <c r="AL70" s="3" t="n"/>
      <c r="AM70" s="3" t="inlineStr">
        <is>
          <t>C4</t>
        </is>
      </c>
      <c r="AN70" s="3" t="n"/>
      <c r="AO70" s="3" t="n"/>
      <c r="AP70" s="3" t="n"/>
      <c r="AQ70" s="3" t="inlineStr">
        <is>
          <t>no_evaluable</t>
        </is>
      </c>
      <c r="AR70" s="3" t="inlineStr">
        <is>
          <t>no_evaluable</t>
        </is>
      </c>
      <c r="AS70" s="3" t="inlineStr">
        <is>
          <t>si</t>
        </is>
      </c>
      <c r="AT70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0" s="3" t="inlineStr">
        <is>
          <t>src/v8/m4_largo_plazo.py</t>
        </is>
      </c>
      <c r="AV70" s="3" t="inlineStr">
        <is>
          <t>(b) mejor de la familia dols/fmols/ardl: especificacion A2 de menor RMSE (SR); el OOS se hace con beta OLS estatico y es comun a los tres estimadores</t>
        </is>
      </c>
      <c r="AW70" s="3" t="inlineStr">
        <is>
          <t>M4:A2_sin_rupturas_SR</t>
        </is>
      </c>
      <c r="AX70" s="3" t="inlineStr">
        <is>
          <t>si</t>
        </is>
      </c>
      <c r="AY70" s="3" t="inlineStr">
        <is>
          <t>output/v8/M4/coeficientes.csv</t>
        </is>
      </c>
      <c r="AZ70" s="4">
        <f>Fuera_muestra!F36</f>
        <v/>
      </c>
      <c r="BA70" s="4">
        <f>Fuera_muestra!G36</f>
        <v/>
      </c>
      <c r="BB70" s="2">
        <f>AZ70/BA70</f>
        <v/>
      </c>
    </row>
    <row r="71">
      <c r="A71" s="3" t="inlineStr">
        <is>
          <t>M4_alquiler_A2_sin_rupturas_dols</t>
        </is>
      </c>
      <c r="B71" s="3" t="inlineStr">
        <is>
          <t>M4</t>
        </is>
      </c>
      <c r="C71" s="3" t="inlineStr">
        <is>
          <t>dols</t>
        </is>
      </c>
      <c r="D71" s="3" t="inlineStr">
        <is>
          <t>alquiler</t>
        </is>
      </c>
      <c r="E71" s="3" t="inlineStr">
        <is>
          <t>nacional</t>
        </is>
      </c>
      <c r="F71" s="3" t="inlineStr">
        <is>
          <t>completo</t>
        </is>
      </c>
      <c r="G71" s="3" t="inlineStr">
        <is>
          <t>ln_ipc_alquiler_real</t>
        </is>
      </c>
      <c r="H71" s="3" t="inlineStr">
        <is>
          <t>ln niveles; tipo en pp</t>
        </is>
      </c>
      <c r="I71" s="3" t="inlineStr">
        <is>
          <t>IPC alquiler, real (IPC general)</t>
        </is>
      </c>
      <c r="J71" s="3" t="inlineStr">
        <is>
          <t>tipo</t>
        </is>
      </c>
      <c r="K71" s="3" t="n">
        <v>0.0029103470605415</v>
      </c>
      <c r="L71" s="3" t="n">
        <v>0.0028987493316504</v>
      </c>
      <c r="M71" s="3" t="inlineStr">
        <is>
          <t>HAC-NW(4)</t>
        </is>
      </c>
      <c r="N71" s="3" t="n">
        <v>1.004000942325185</v>
      </c>
      <c r="O71" s="3" t="n">
        <v>0.3153781593821479</v>
      </c>
      <c r="P71" s="3" t="n">
        <v>0.5229889075181349</v>
      </c>
      <c r="Q71" s="3" t="inlineStr">
        <is>
          <t>BH</t>
        </is>
      </c>
      <c r="R71" s="3" t="n">
        <v>-0.0027710972297029</v>
      </c>
      <c r="S71" s="3" t="n">
        <v>0.008591791350786099</v>
      </c>
      <c r="T71" s="3" t="n">
        <v>0.1177263179576522</v>
      </c>
      <c r="U71" s="3" t="n"/>
      <c r="V71" s="3" t="n">
        <v>95</v>
      </c>
      <c r="W71" s="3" t="n">
        <v>0.8017203756201698</v>
      </c>
      <c r="X71" s="3" t="n">
        <v>0.7698977198555057</v>
      </c>
      <c r="Y71" s="3" t="n">
        <v>-427.6191438874944</v>
      </c>
      <c r="Z71" s="3" t="n">
        <v>-391.8648674050868</v>
      </c>
      <c r="AA71" s="3" t="n">
        <v>-0.0553952841946154</v>
      </c>
      <c r="AB71" s="3" t="n">
        <v>12.16288186995327</v>
      </c>
      <c r="AC71" s="3" t="n">
        <v>0.6351512383184504</v>
      </c>
      <c r="AD71" s="3" t="n">
        <v>3.448065957154499e-27</v>
      </c>
      <c r="AE71" s="3" t="n">
        <v>0.008510896748751899</v>
      </c>
      <c r="AF71" s="3" t="n">
        <v>0.0224973792655582</v>
      </c>
      <c r="AG71" s="3" t="n">
        <v>0.3898092497995133</v>
      </c>
      <c r="AH71" s="3" t="n">
        <v>0</v>
      </c>
      <c r="AI71" s="3" t="n">
        <v>2.655814239350504</v>
      </c>
      <c r="AJ71" s="3" t="n"/>
      <c r="AK71" s="3" t="n"/>
      <c r="AL71" s="3" t="n"/>
      <c r="AM71" s="3" t="inlineStr">
        <is>
          <t>C4</t>
        </is>
      </c>
      <c r="AN71" s="3" t="n"/>
      <c r="AO71" s="3" t="n"/>
      <c r="AP71" s="3" t="n"/>
      <c r="AQ71" s="3" t="inlineStr">
        <is>
          <t>no_evaluable</t>
        </is>
      </c>
      <c r="AR71" s="3" t="inlineStr">
        <is>
          <t>no_evaluable</t>
        </is>
      </c>
      <c r="AS71" s="3" t="inlineStr">
        <is>
          <t>si</t>
        </is>
      </c>
      <c r="AT71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1" s="3" t="inlineStr">
        <is>
          <t>src/v8/m4_largo_plazo.py</t>
        </is>
      </c>
      <c r="AV71" s="3" t="inlineStr">
        <is>
          <t>(b) mejor de la familia dols/fmols/ardl: especificacion A2 de menor RMSE (SR); el OOS se hace con beta OLS estatico y es comun a los tres estimadores</t>
        </is>
      </c>
      <c r="AW71" s="3" t="inlineStr">
        <is>
          <t>M4:A2_sin_rupturas_SR</t>
        </is>
      </c>
      <c r="AX71" s="3" t="inlineStr">
        <is>
          <t>si</t>
        </is>
      </c>
      <c r="AY71" s="3" t="inlineStr">
        <is>
          <t>output/v8/M4/coeficientes.csv</t>
        </is>
      </c>
      <c r="AZ71" s="4">
        <f>Fuera_muestra!F36</f>
        <v/>
      </c>
      <c r="BA71" s="4">
        <f>Fuera_muestra!G36</f>
        <v/>
      </c>
      <c r="BB71" s="2">
        <f>AZ71/BA71</f>
        <v/>
      </c>
    </row>
    <row r="72">
      <c r="A72" s="3" t="inlineStr">
        <is>
          <t>M4_alquiler_A2_sin_rupturas_dols</t>
        </is>
      </c>
      <c r="B72" s="3" t="inlineStr">
        <is>
          <t>M4</t>
        </is>
      </c>
      <c r="C72" s="3" t="inlineStr">
        <is>
          <t>dols</t>
        </is>
      </c>
      <c r="D72" s="3" t="inlineStr">
        <is>
          <t>alquiler</t>
        </is>
      </c>
      <c r="E72" s="3" t="inlineStr">
        <is>
          <t>nacional</t>
        </is>
      </c>
      <c r="F72" s="3" t="inlineStr">
        <is>
          <t>completo</t>
        </is>
      </c>
      <c r="G72" s="3" t="inlineStr">
        <is>
          <t>ln_ipc_alquiler_real</t>
        </is>
      </c>
      <c r="H72" s="3" t="inlineStr">
        <is>
          <t>ln niveles; tipo en pp</t>
        </is>
      </c>
      <c r="I72" s="3" t="inlineStr">
        <is>
          <t>IPC alquiler, real (IPC general)</t>
        </is>
      </c>
      <c r="J72" s="3" t="inlineStr">
        <is>
          <t>hogares</t>
        </is>
      </c>
      <c r="K72" s="3" t="n">
        <v>0.513052057886499</v>
      </c>
      <c r="L72" s="3" t="n">
        <v>0.2036843224815421</v>
      </c>
      <c r="M72" s="3" t="inlineStr">
        <is>
          <t>HAC-NW(4)</t>
        </is>
      </c>
      <c r="N72" s="3" t="n">
        <v>2.518858848024456</v>
      </c>
      <c r="O72" s="3" t="n">
        <v>0.0117735844167105</v>
      </c>
      <c r="P72" s="3" t="n">
        <v>0.0370026938810903</v>
      </c>
      <c r="Q72" s="3" t="inlineStr">
        <is>
          <t>BH</t>
        </is>
      </c>
      <c r="R72" s="3" t="n">
        <v>0.1138381216072342</v>
      </c>
      <c r="S72" s="3" t="n">
        <v>0.9122659941657636</v>
      </c>
      <c r="T72" s="3" t="n">
        <v>0.8372416833486249</v>
      </c>
      <c r="U72" s="3" t="n">
        <v>0.513052057886499</v>
      </c>
      <c r="V72" s="3" t="n">
        <v>95</v>
      </c>
      <c r="W72" s="3" t="n">
        <v>0.8017203756201698</v>
      </c>
      <c r="X72" s="3" t="n">
        <v>0.7698977198555057</v>
      </c>
      <c r="Y72" s="3" t="n">
        <v>-427.6191438874944</v>
      </c>
      <c r="Z72" s="3" t="n">
        <v>-391.8648674050868</v>
      </c>
      <c r="AA72" s="3" t="n">
        <v>-0.0553952841946154</v>
      </c>
      <c r="AB72" s="3" t="n">
        <v>12.16288186995327</v>
      </c>
      <c r="AC72" s="3" t="n">
        <v>0.6351512383184504</v>
      </c>
      <c r="AD72" s="3" t="n">
        <v>3.448065957154499e-27</v>
      </c>
      <c r="AE72" s="3" t="n">
        <v>0.008510896748751899</v>
      </c>
      <c r="AF72" s="3" t="n">
        <v>0.0224973792655582</v>
      </c>
      <c r="AG72" s="3" t="n">
        <v>0.3898092497995133</v>
      </c>
      <c r="AH72" s="3" t="n">
        <v>0</v>
      </c>
      <c r="AI72" s="3" t="n">
        <v>2.655814239350504</v>
      </c>
      <c r="AJ72" s="3" t="n"/>
      <c r="AK72" s="3" t="n"/>
      <c r="AL72" s="3" t="n"/>
      <c r="AM72" s="3" t="inlineStr">
        <is>
          <t>C4</t>
        </is>
      </c>
      <c r="AN72" s="3" t="n"/>
      <c r="AO72" s="3" t="n"/>
      <c r="AP72" s="3" t="n"/>
      <c r="AQ72" s="3" t="inlineStr">
        <is>
          <t>no_evaluable</t>
        </is>
      </c>
      <c r="AR72" s="3" t="inlineStr">
        <is>
          <t>no_evaluable</t>
        </is>
      </c>
      <c r="AS72" s="3" t="inlineStr">
        <is>
          <t>si</t>
        </is>
      </c>
      <c r="AT72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2" s="3" t="inlineStr">
        <is>
          <t>src/v8/m4_largo_plazo.py</t>
        </is>
      </c>
      <c r="AV72" s="3" t="inlineStr">
        <is>
          <t>(b) mejor de la familia dols/fmols/ardl: especificacion A2 de menor RMSE (SR); el OOS se hace con beta OLS estatico y es comun a los tres estimadores</t>
        </is>
      </c>
      <c r="AW72" s="3" t="inlineStr">
        <is>
          <t>M4:A2_sin_rupturas_SR</t>
        </is>
      </c>
      <c r="AX72" s="3" t="inlineStr">
        <is>
          <t>si</t>
        </is>
      </c>
      <c r="AY72" s="3" t="inlineStr">
        <is>
          <t>output/v8/M4/coeficientes.csv</t>
        </is>
      </c>
      <c r="AZ72" s="4">
        <f>Fuera_muestra!F36</f>
        <v/>
      </c>
      <c r="BA72" s="4">
        <f>Fuera_muestra!G36</f>
        <v/>
      </c>
      <c r="BB72" s="2">
        <f>AZ72/BA72</f>
        <v/>
      </c>
    </row>
    <row r="73">
      <c r="A73" s="3" t="inlineStr">
        <is>
          <t>M4_alquiler_A2_sin_rupturas_dols</t>
        </is>
      </c>
      <c r="B73" s="3" t="inlineStr">
        <is>
          <t>M4</t>
        </is>
      </c>
      <c r="C73" s="3" t="inlineStr">
        <is>
          <t>dols</t>
        </is>
      </c>
      <c r="D73" s="3" t="inlineStr">
        <is>
          <t>alquiler</t>
        </is>
      </c>
      <c r="E73" s="3" t="inlineStr">
        <is>
          <t>nacional</t>
        </is>
      </c>
      <c r="F73" s="3" t="inlineStr">
        <is>
          <t>completo</t>
        </is>
      </c>
      <c r="G73" s="3" t="inlineStr">
        <is>
          <t>ln_ipc_alquiler_real</t>
        </is>
      </c>
      <c r="H73" s="3" t="inlineStr">
        <is>
          <t>ln niveles; tipo en pp</t>
        </is>
      </c>
      <c r="I73" s="3" t="inlineStr">
        <is>
          <t>IPC alquiler, real (IPC general)</t>
        </is>
      </c>
      <c r="J73" s="3" t="inlineStr">
        <is>
          <t>ruptura:epa2021</t>
        </is>
      </c>
      <c r="K73" s="3" t="n">
        <v>-0.1027417199816259</v>
      </c>
      <c r="L73" s="3" t="n">
        <v>0.0176473490937732</v>
      </c>
      <c r="M73" s="3" t="inlineStr">
        <is>
          <t>HAC-NW(4)</t>
        </is>
      </c>
      <c r="N73" s="3" t="n">
        <v>-5.821935036003665</v>
      </c>
      <c r="O73" s="3" t="n">
        <v>5.817016152204308e-09</v>
      </c>
      <c r="P73" s="3" t="n">
        <v>6.855769036526506e-08</v>
      </c>
      <c r="Q73" s="3" t="inlineStr">
        <is>
          <t>BH</t>
        </is>
      </c>
      <c r="R73" s="3" t="n">
        <v>-0.137329888628027</v>
      </c>
      <c r="S73" s="3" t="n">
        <v>-0.0681535513352248</v>
      </c>
      <c r="T73" s="3" t="n">
        <v>-0.8631000931144887</v>
      </c>
      <c r="U73" s="3" t="n"/>
      <c r="V73" s="3" t="n">
        <v>95</v>
      </c>
      <c r="W73" s="3" t="n">
        <v>0.8017203756201698</v>
      </c>
      <c r="X73" s="3" t="n">
        <v>0.7698977198555057</v>
      </c>
      <c r="Y73" s="3" t="n">
        <v>-427.6191438874944</v>
      </c>
      <c r="Z73" s="3" t="n">
        <v>-391.8648674050868</v>
      </c>
      <c r="AA73" s="3" t="n">
        <v>-0.0553952841946154</v>
      </c>
      <c r="AB73" s="3" t="n">
        <v>12.16288186995327</v>
      </c>
      <c r="AC73" s="3" t="n">
        <v>0.6351512383184504</v>
      </c>
      <c r="AD73" s="3" t="n">
        <v>3.448065957154499e-27</v>
      </c>
      <c r="AE73" s="3" t="n">
        <v>0.008510896748751899</v>
      </c>
      <c r="AF73" s="3" t="n">
        <v>0.0224973792655582</v>
      </c>
      <c r="AG73" s="3" t="n">
        <v>0.3898092497995133</v>
      </c>
      <c r="AH73" s="3" t="n">
        <v>0</v>
      </c>
      <c r="AI73" s="3" t="n">
        <v>2.655814239350504</v>
      </c>
      <c r="AJ73" s="3" t="n"/>
      <c r="AK73" s="3" t="n"/>
      <c r="AL73" s="3" t="n"/>
      <c r="AM73" s="3" t="inlineStr">
        <is>
          <t>C4</t>
        </is>
      </c>
      <c r="AN73" s="3" t="n"/>
      <c r="AO73" s="3" t="n"/>
      <c r="AP73" s="3" t="n"/>
      <c r="AQ73" s="3" t="inlineStr">
        <is>
          <t>no_evaluable</t>
        </is>
      </c>
      <c r="AR73" s="3" t="inlineStr">
        <is>
          <t>no_evaluable</t>
        </is>
      </c>
      <c r="AS73" s="3" t="inlineStr">
        <is>
          <t>si</t>
        </is>
      </c>
      <c r="AT73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3" s="3" t="inlineStr">
        <is>
          <t>src/v8/m4_largo_plazo.py</t>
        </is>
      </c>
      <c r="AV73" s="3" t="inlineStr">
        <is>
          <t>(b) mejor de la familia dols/fmols/ardl: especificacion A2 de menor RMSE (SR); el OOS se hace con beta OLS estatico y es comun a los tres estimadores</t>
        </is>
      </c>
      <c r="AW73" s="3" t="inlineStr">
        <is>
          <t>M4:A2_sin_rupturas_SR</t>
        </is>
      </c>
      <c r="AX73" s="3" t="inlineStr">
        <is>
          <t>si</t>
        </is>
      </c>
      <c r="AY73" s="3" t="inlineStr">
        <is>
          <t>output/v8/M4/coeficientes.csv</t>
        </is>
      </c>
      <c r="AZ73" s="4">
        <f>Fuera_muestra!F36</f>
        <v/>
      </c>
      <c r="BA73" s="4">
        <f>Fuera_muestra!G36</f>
        <v/>
      </c>
      <c r="BB73" s="2">
        <f>AZ73/BA73</f>
        <v/>
      </c>
    </row>
    <row r="74">
      <c r="A74" s="3" t="inlineStr">
        <is>
          <t>M4_alquiler_A2_sin_rupturas_fmols</t>
        </is>
      </c>
      <c r="B74" s="3" t="inlineStr">
        <is>
          <t>M4</t>
        </is>
      </c>
      <c r="C74" s="3" t="inlineStr">
        <is>
          <t>fmols</t>
        </is>
      </c>
      <c r="D74" s="3" t="inlineStr">
        <is>
          <t>alquiler</t>
        </is>
      </c>
      <c r="E74" s="3" t="inlineStr">
        <is>
          <t>nacional</t>
        </is>
      </c>
      <c r="F74" s="3" t="inlineStr">
        <is>
          <t>completo</t>
        </is>
      </c>
      <c r="G74" s="3" t="inlineStr">
        <is>
          <t>ln_ipc_alquiler_real</t>
        </is>
      </c>
      <c r="H74" s="3" t="inlineStr">
        <is>
          <t>ln niveles; tipo en pp</t>
        </is>
      </c>
      <c r="I74" s="3" t="inlineStr">
        <is>
          <t>IPC alquiler, real (IPC general)</t>
        </is>
      </c>
      <c r="J74" s="3" t="inlineStr">
        <is>
          <t>renta</t>
        </is>
      </c>
      <c r="K74" s="3" t="n">
        <v>-0.1484686266636763</v>
      </c>
      <c r="L74" s="3" t="n">
        <v>0.1009393263150374</v>
      </c>
      <c r="M74" s="3" t="inlineStr">
        <is>
          <t>FMOLS Omega_u.e (Bartlett)</t>
        </is>
      </c>
      <c r="N74" s="3" t="n">
        <v>-1.470869997688486</v>
      </c>
      <c r="O74" s="3" t="n">
        <v>0.1413262778189167</v>
      </c>
      <c r="P74" s="3" t="n">
        <v>0.2843760468307471</v>
      </c>
      <c r="Q74" s="3" t="inlineStr">
        <is>
          <t>BH</t>
        </is>
      </c>
      <c r="R74" s="3" t="n">
        <v>-0.3463097062411496</v>
      </c>
      <c r="S74" s="3" t="n">
        <v>0.0493724529137969</v>
      </c>
      <c r="T74" s="3" t="n">
        <v>-0.2528797719410705</v>
      </c>
      <c r="U74" s="3" t="n">
        <v>-0.1484686266636763</v>
      </c>
      <c r="V74" s="3" t="n">
        <v>94</v>
      </c>
      <c r="W74" s="3" t="n">
        <v>0.7030407145659254</v>
      </c>
      <c r="X74" s="3" t="n">
        <v>0.6896942298273154</v>
      </c>
      <c r="Y74" s="3" t="n">
        <v>-668.6436384197804</v>
      </c>
      <c r="Z74" s="3" t="n">
        <v>-655.9271645084303</v>
      </c>
      <c r="AA74" s="3" t="n">
        <v>-0.07728334304313331</v>
      </c>
      <c r="AB74" s="3" t="n">
        <v>8.617688744316451</v>
      </c>
      <c r="AC74" s="3" t="n">
        <v>0.6351512383184504</v>
      </c>
      <c r="AD74" s="3" t="n">
        <v>1.1471361036574e-32</v>
      </c>
      <c r="AE74" s="3" t="n">
        <v>0.0010236508501057</v>
      </c>
      <c r="AF74" s="3" t="n">
        <v>0.0033858269206247</v>
      </c>
      <c r="AG74" s="3" t="n">
        <v>2.85160038706875e-12</v>
      </c>
      <c r="AH74" s="3" t="n">
        <v>0</v>
      </c>
      <c r="AI74" s="3" t="n">
        <v>2.655814239350504</v>
      </c>
      <c r="AJ74" s="3" t="n"/>
      <c r="AK74" s="3" t="n"/>
      <c r="AL74" s="3" t="n"/>
      <c r="AM74" s="3" t="inlineStr">
        <is>
          <t>C4</t>
        </is>
      </c>
      <c r="AN74" s="3" t="n"/>
      <c r="AO74" s="3" t="n"/>
      <c r="AP74" s="3" t="n"/>
      <c r="AQ74" s="3" t="inlineStr">
        <is>
          <t>no_evaluable</t>
        </is>
      </c>
      <c r="AR74" s="3" t="inlineStr">
        <is>
          <t>no_evaluable</t>
        </is>
      </c>
      <c r="AS74" s="3" t="inlineStr">
        <is>
          <t>si</t>
        </is>
      </c>
      <c r="AT74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4" s="3" t="inlineStr">
        <is>
          <t>src/v8/m4_largo_plazo.py</t>
        </is>
      </c>
      <c r="AV74" s="3" t="inlineStr">
        <is>
          <t>(b) mejor de la familia dols/fmols/ardl: especificacion A2 de menor RMSE (SR); el OOS se hace con beta OLS estatico y es comun a los tres estimadores</t>
        </is>
      </c>
      <c r="AW74" s="3" t="inlineStr">
        <is>
          <t>M4:A2_sin_rupturas_SR</t>
        </is>
      </c>
      <c r="AX74" s="3" t="inlineStr">
        <is>
          <t>si</t>
        </is>
      </c>
      <c r="AY74" s="3" t="inlineStr">
        <is>
          <t>output/v8/M4/coeficientes.csv</t>
        </is>
      </c>
      <c r="AZ74" s="4">
        <f>Fuera_muestra!F36</f>
        <v/>
      </c>
      <c r="BA74" s="4">
        <f>Fuera_muestra!G36</f>
        <v/>
      </c>
      <c r="BB74" s="2">
        <f>AZ74/BA74</f>
        <v/>
      </c>
    </row>
    <row r="75">
      <c r="A75" s="3" t="inlineStr">
        <is>
          <t>M4_alquiler_A2_sin_rupturas_fmols</t>
        </is>
      </c>
      <c r="B75" s="3" t="inlineStr">
        <is>
          <t>M4</t>
        </is>
      </c>
      <c r="C75" s="3" t="inlineStr">
        <is>
          <t>fmols</t>
        </is>
      </c>
      <c r="D75" s="3" t="inlineStr">
        <is>
          <t>alquiler</t>
        </is>
      </c>
      <c r="E75" s="3" t="inlineStr">
        <is>
          <t>nacional</t>
        </is>
      </c>
      <c r="F75" s="3" t="inlineStr">
        <is>
          <t>completo</t>
        </is>
      </c>
      <c r="G75" s="3" t="inlineStr">
        <is>
          <t>ln_ipc_alquiler_real</t>
        </is>
      </c>
      <c r="H75" s="3" t="inlineStr">
        <is>
          <t>ln niveles; tipo en pp</t>
        </is>
      </c>
      <c r="I75" s="3" t="inlineStr">
        <is>
          <t>IPC alquiler, real (IPC general)</t>
        </is>
      </c>
      <c r="J75" s="3" t="inlineStr">
        <is>
          <t>tipo</t>
        </is>
      </c>
      <c r="K75" s="3" t="n">
        <v>0.0039071829401236</v>
      </c>
      <c r="L75" s="3" t="n">
        <v>0.0027439839926403</v>
      </c>
      <c r="M75" s="3" t="inlineStr">
        <is>
          <t>FMOLS Omega_u.e (Bartlett)</t>
        </is>
      </c>
      <c r="N75" s="3" t="n">
        <v>1.423908794877515</v>
      </c>
      <c r="O75" s="3" t="n">
        <v>0.1544728755710741</v>
      </c>
      <c r="P75" s="3" t="n">
        <v>0.2981906034893615</v>
      </c>
      <c r="Q75" s="3" t="inlineStr">
        <is>
          <t>BH</t>
        </is>
      </c>
      <c r="R75" s="3" t="n">
        <v>-0.0014710256854513</v>
      </c>
      <c r="S75" s="3" t="n">
        <v>0.0092853915656987</v>
      </c>
      <c r="T75" s="3" t="n">
        <v>0.158049281257238</v>
      </c>
      <c r="U75" s="3" t="n"/>
      <c r="V75" s="3" t="n">
        <v>94</v>
      </c>
      <c r="W75" s="3" t="n">
        <v>0.7030407145659254</v>
      </c>
      <c r="X75" s="3" t="n">
        <v>0.6896942298273154</v>
      </c>
      <c r="Y75" s="3" t="n">
        <v>-668.6436384197804</v>
      </c>
      <c r="Z75" s="3" t="n">
        <v>-655.9271645084303</v>
      </c>
      <c r="AA75" s="3" t="n">
        <v>-0.07728334304313331</v>
      </c>
      <c r="AB75" s="3" t="n">
        <v>8.617688744316451</v>
      </c>
      <c r="AC75" s="3" t="n">
        <v>0.6351512383184504</v>
      </c>
      <c r="AD75" s="3" t="n">
        <v>1.1471361036574e-32</v>
      </c>
      <c r="AE75" s="3" t="n">
        <v>0.0010236508501057</v>
      </c>
      <c r="AF75" s="3" t="n">
        <v>0.0033858269206247</v>
      </c>
      <c r="AG75" s="3" t="n">
        <v>2.85160038706875e-12</v>
      </c>
      <c r="AH75" s="3" t="n">
        <v>0</v>
      </c>
      <c r="AI75" s="3" t="n">
        <v>2.655814239350504</v>
      </c>
      <c r="AJ75" s="3" t="n"/>
      <c r="AK75" s="3" t="n"/>
      <c r="AL75" s="3" t="n"/>
      <c r="AM75" s="3" t="inlineStr">
        <is>
          <t>C4</t>
        </is>
      </c>
      <c r="AN75" s="3" t="n"/>
      <c r="AO75" s="3" t="n"/>
      <c r="AP75" s="3" t="n"/>
      <c r="AQ75" s="3" t="inlineStr">
        <is>
          <t>no_evaluable</t>
        </is>
      </c>
      <c r="AR75" s="3" t="inlineStr">
        <is>
          <t>no_evaluable</t>
        </is>
      </c>
      <c r="AS75" s="3" t="inlineStr">
        <is>
          <t>si</t>
        </is>
      </c>
      <c r="AT75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5" s="3" t="inlineStr">
        <is>
          <t>src/v8/m4_largo_plazo.py</t>
        </is>
      </c>
      <c r="AV75" s="3" t="inlineStr">
        <is>
          <t>(b) mejor de la familia dols/fmols/ardl: especificacion A2 de menor RMSE (SR); el OOS se hace con beta OLS estatico y es comun a los tres estimadores</t>
        </is>
      </c>
      <c r="AW75" s="3" t="inlineStr">
        <is>
          <t>M4:A2_sin_rupturas_SR</t>
        </is>
      </c>
      <c r="AX75" s="3" t="inlineStr">
        <is>
          <t>si</t>
        </is>
      </c>
      <c r="AY75" s="3" t="inlineStr">
        <is>
          <t>output/v8/M4/coeficientes.csv</t>
        </is>
      </c>
      <c r="AZ75" s="4">
        <f>Fuera_muestra!F36</f>
        <v/>
      </c>
      <c r="BA75" s="4">
        <f>Fuera_muestra!G36</f>
        <v/>
      </c>
      <c r="BB75" s="2">
        <f>AZ75/BA75</f>
        <v/>
      </c>
    </row>
    <row r="76">
      <c r="A76" s="3" t="inlineStr">
        <is>
          <t>M4_alquiler_A2_sin_rupturas_fmols</t>
        </is>
      </c>
      <c r="B76" s="3" t="inlineStr">
        <is>
          <t>M4</t>
        </is>
      </c>
      <c r="C76" s="3" t="inlineStr">
        <is>
          <t>fmols</t>
        </is>
      </c>
      <c r="D76" s="3" t="inlineStr">
        <is>
          <t>alquiler</t>
        </is>
      </c>
      <c r="E76" s="3" t="inlineStr">
        <is>
          <t>nacional</t>
        </is>
      </c>
      <c r="F76" s="3" t="inlineStr">
        <is>
          <t>completo</t>
        </is>
      </c>
      <c r="G76" s="3" t="inlineStr">
        <is>
          <t>ln_ipc_alquiler_real</t>
        </is>
      </c>
      <c r="H76" s="3" t="inlineStr">
        <is>
          <t>ln niveles; tipo en pp</t>
        </is>
      </c>
      <c r="I76" s="3" t="inlineStr">
        <is>
          <t>IPC alquiler, real (IPC general)</t>
        </is>
      </c>
      <c r="J76" s="3" t="inlineStr">
        <is>
          <t>hogares</t>
        </is>
      </c>
      <c r="K76" s="3" t="n">
        <v>0.0788128247947365</v>
      </c>
      <c r="L76" s="3" t="n">
        <v>0.0902014071266328</v>
      </c>
      <c r="M76" s="3" t="inlineStr">
        <is>
          <t>FMOLS Omega_u.e (Bartlett)</t>
        </is>
      </c>
      <c r="N76" s="3" t="n">
        <v>0.873742741996165</v>
      </c>
      <c r="O76" s="3" t="n">
        <v>0.3822583685931789</v>
      </c>
      <c r="P76" s="3" t="n">
        <v>0.5867221471430188</v>
      </c>
      <c r="Q76" s="3" t="inlineStr">
        <is>
          <t>BH</t>
        </is>
      </c>
      <c r="R76" s="3" t="n">
        <v>-0.0979819331734637</v>
      </c>
      <c r="S76" s="3" t="n">
        <v>0.2556075827629369</v>
      </c>
      <c r="T76" s="3" t="n">
        <v>0.1286134244786583</v>
      </c>
      <c r="U76" s="3" t="n">
        <v>0.0788128247947365</v>
      </c>
      <c r="V76" s="3" t="n">
        <v>94</v>
      </c>
      <c r="W76" s="3" t="n">
        <v>0.7030407145659254</v>
      </c>
      <c r="X76" s="3" t="n">
        <v>0.6896942298273154</v>
      </c>
      <c r="Y76" s="3" t="n">
        <v>-668.6436384197804</v>
      </c>
      <c r="Z76" s="3" t="n">
        <v>-655.9271645084303</v>
      </c>
      <c r="AA76" s="3" t="n">
        <v>-0.07728334304313331</v>
      </c>
      <c r="AB76" s="3" t="n">
        <v>8.617688744316451</v>
      </c>
      <c r="AC76" s="3" t="n">
        <v>0.6351512383184504</v>
      </c>
      <c r="AD76" s="3" t="n">
        <v>1.1471361036574e-32</v>
      </c>
      <c r="AE76" s="3" t="n">
        <v>0.0010236508501057</v>
      </c>
      <c r="AF76" s="3" t="n">
        <v>0.0033858269206247</v>
      </c>
      <c r="AG76" s="3" t="n">
        <v>2.85160038706875e-12</v>
      </c>
      <c r="AH76" s="3" t="n">
        <v>0</v>
      </c>
      <c r="AI76" s="3" t="n">
        <v>2.655814239350504</v>
      </c>
      <c r="AJ76" s="3" t="n"/>
      <c r="AK76" s="3" t="n"/>
      <c r="AL76" s="3" t="n"/>
      <c r="AM76" s="3" t="inlineStr">
        <is>
          <t>C4</t>
        </is>
      </c>
      <c r="AN76" s="3" t="n"/>
      <c r="AO76" s="3" t="n"/>
      <c r="AP76" s="3" t="n"/>
      <c r="AQ76" s="3" t="inlineStr">
        <is>
          <t>no_evaluable</t>
        </is>
      </c>
      <c r="AR76" s="3" t="inlineStr">
        <is>
          <t>no_evaluable</t>
        </is>
      </c>
      <c r="AS76" s="3" t="inlineStr">
        <is>
          <t>si</t>
        </is>
      </c>
      <c r="AT76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6" s="3" t="inlineStr">
        <is>
          <t>src/v8/m4_largo_plazo.py</t>
        </is>
      </c>
      <c r="AV76" s="3" t="inlineStr">
        <is>
          <t>(b) mejor de la familia dols/fmols/ardl: especificacion A2 de menor RMSE (SR); el OOS se hace con beta OLS estatico y es comun a los tres estimadores</t>
        </is>
      </c>
      <c r="AW76" s="3" t="inlineStr">
        <is>
          <t>M4:A2_sin_rupturas_SR</t>
        </is>
      </c>
      <c r="AX76" s="3" t="inlineStr">
        <is>
          <t>si</t>
        </is>
      </c>
      <c r="AY76" s="3" t="inlineStr">
        <is>
          <t>output/v8/M4/coeficientes.csv</t>
        </is>
      </c>
      <c r="AZ76" s="4">
        <f>Fuera_muestra!F36</f>
        <v/>
      </c>
      <c r="BA76" s="4">
        <f>Fuera_muestra!G36</f>
        <v/>
      </c>
      <c r="BB76" s="2">
        <f>AZ76/BA76</f>
        <v/>
      </c>
    </row>
    <row r="77">
      <c r="A77" s="3" t="inlineStr">
        <is>
          <t>M4_alquiler_A2_sin_rupturas_fmols</t>
        </is>
      </c>
      <c r="B77" s="3" t="inlineStr">
        <is>
          <t>M4</t>
        </is>
      </c>
      <c r="C77" s="3" t="inlineStr">
        <is>
          <t>fmols</t>
        </is>
      </c>
      <c r="D77" s="3" t="inlineStr">
        <is>
          <t>alquiler</t>
        </is>
      </c>
      <c r="E77" s="3" t="inlineStr">
        <is>
          <t>nacional</t>
        </is>
      </c>
      <c r="F77" s="3" t="inlineStr">
        <is>
          <t>completo</t>
        </is>
      </c>
      <c r="G77" s="3" t="inlineStr">
        <is>
          <t>ln_ipc_alquiler_real</t>
        </is>
      </c>
      <c r="H77" s="3" t="inlineStr">
        <is>
          <t>ln niveles; tipo en pp</t>
        </is>
      </c>
      <c r="I77" s="3" t="inlineStr">
        <is>
          <t>IPC alquiler, real (IPC general)</t>
        </is>
      </c>
      <c r="J77" s="3" t="inlineStr">
        <is>
          <t>ruptura:epa2021</t>
        </is>
      </c>
      <c r="K77" s="3" t="n">
        <v>-0.07279125546647849</v>
      </c>
      <c r="L77" s="3" t="n">
        <v>0.018077063543173</v>
      </c>
      <c r="M77" s="3" t="inlineStr">
        <is>
          <t>FMOLS Omega_u.e (Bartlett)</t>
        </is>
      </c>
      <c r="N77" s="3" t="n">
        <v>-4.02671901288794</v>
      </c>
      <c r="O77" s="3" t="n">
        <v>5.656055594599498e-05</v>
      </c>
      <c r="P77" s="3" t="n">
        <v>0.0003110830577029</v>
      </c>
      <c r="Q77" s="3" t="inlineStr">
        <is>
          <t>BH</t>
        </is>
      </c>
      <c r="R77" s="3" t="n">
        <v>-0.1082223000110978</v>
      </c>
      <c r="S77" s="3" t="n">
        <v>-0.0373602109218592</v>
      </c>
      <c r="T77" s="3" t="n">
        <v>-0.611495888741923</v>
      </c>
      <c r="U77" s="3" t="n"/>
      <c r="V77" s="3" t="n">
        <v>94</v>
      </c>
      <c r="W77" s="3" t="n">
        <v>0.7030407145659254</v>
      </c>
      <c r="X77" s="3" t="n">
        <v>0.6896942298273154</v>
      </c>
      <c r="Y77" s="3" t="n">
        <v>-668.6436384197804</v>
      </c>
      <c r="Z77" s="3" t="n">
        <v>-655.9271645084303</v>
      </c>
      <c r="AA77" s="3" t="n">
        <v>-0.07728334304313331</v>
      </c>
      <c r="AB77" s="3" t="n">
        <v>8.617688744316451</v>
      </c>
      <c r="AC77" s="3" t="n">
        <v>0.6351512383184504</v>
      </c>
      <c r="AD77" s="3" t="n">
        <v>1.1471361036574e-32</v>
      </c>
      <c r="AE77" s="3" t="n">
        <v>0.0010236508501057</v>
      </c>
      <c r="AF77" s="3" t="n">
        <v>0.0033858269206247</v>
      </c>
      <c r="AG77" s="3" t="n">
        <v>2.85160038706875e-12</v>
      </c>
      <c r="AH77" s="3" t="n">
        <v>0</v>
      </c>
      <c r="AI77" s="3" t="n">
        <v>2.655814239350504</v>
      </c>
      <c r="AJ77" s="3" t="n"/>
      <c r="AK77" s="3" t="n"/>
      <c r="AL77" s="3" t="n"/>
      <c r="AM77" s="3" t="inlineStr">
        <is>
          <t>C4</t>
        </is>
      </c>
      <c r="AN77" s="3" t="n"/>
      <c r="AO77" s="3" t="n"/>
      <c r="AP77" s="3" t="n"/>
      <c r="AQ77" s="3" t="inlineStr">
        <is>
          <t>no_evaluable</t>
        </is>
      </c>
      <c r="AR77" s="3" t="inlineStr">
        <is>
          <t>no_evaluable</t>
        </is>
      </c>
      <c r="AS77" s="3" t="inlineStr">
        <is>
          <t>si</t>
        </is>
      </c>
      <c r="AT77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7" s="3" t="inlineStr">
        <is>
          <t>src/v8/m4_largo_plazo.py</t>
        </is>
      </c>
      <c r="AV77" s="3" t="inlineStr">
        <is>
          <t>(b) mejor de la familia dols/fmols/ardl: especificacion A2 de menor RMSE (SR); el OOS se hace con beta OLS estatico y es comun a los tres estimadores</t>
        </is>
      </c>
      <c r="AW77" s="3" t="inlineStr">
        <is>
          <t>M4:A2_sin_rupturas_SR</t>
        </is>
      </c>
      <c r="AX77" s="3" t="inlineStr">
        <is>
          <t>si</t>
        </is>
      </c>
      <c r="AY77" s="3" t="inlineStr">
        <is>
          <t>output/v8/M4/coeficientes.csv</t>
        </is>
      </c>
      <c r="AZ77" s="4">
        <f>Fuera_muestra!F36</f>
        <v/>
      </c>
      <c r="BA77" s="4">
        <f>Fuera_muestra!G36</f>
        <v/>
      </c>
      <c r="BB77" s="2">
        <f>AZ77/BA77</f>
        <v/>
      </c>
    </row>
    <row r="78">
      <c r="A78" s="3" t="inlineStr">
        <is>
          <t>M6_ols_alquiler_trimestral_completo</t>
        </is>
      </c>
      <c r="B78" s="3" t="inlineStr">
        <is>
          <t>M6</t>
        </is>
      </c>
      <c r="C78" s="3" t="inlineStr">
        <is>
          <t>ols_familias</t>
        </is>
      </c>
      <c r="D78" s="3" t="inlineStr">
        <is>
          <t>alquiler</t>
        </is>
      </c>
      <c r="E78" s="3" t="inlineStr">
        <is>
          <t>nacional</t>
        </is>
      </c>
      <c r="F78" s="3" t="inlineStr">
        <is>
          <t>completo</t>
        </is>
      </c>
      <c r="G78" s="3" t="inlineStr">
        <is>
          <t>d_ln_ipc_alquiler_real</t>
        </is>
      </c>
      <c r="H78" s="3" t="inlineStr">
        <is>
          <t>trimestral</t>
        </is>
      </c>
      <c r="I78" s="3" t="inlineStr">
        <is>
          <t>ipc_alquiler</t>
        </is>
      </c>
      <c r="J78" s="3" t="inlineStr">
        <is>
          <t>const</t>
        </is>
      </c>
      <c r="K78" s="3" t="n">
        <v>-0.2778747527080074</v>
      </c>
      <c r="L78" s="3" t="n">
        <v>0.1622448557379257</v>
      </c>
      <c r="M78" s="3" t="inlineStr">
        <is>
          <t>EWC</t>
        </is>
      </c>
      <c r="N78" s="3" t="n">
        <v>-1.712687600751168</v>
      </c>
      <c r="O78" s="3" t="n">
        <v>0.1304984807220281</v>
      </c>
      <c r="P78" s="3" t="n">
        <v>0.2400140102010535</v>
      </c>
      <c r="Q78" s="3" t="inlineStr">
        <is>
          <t>BH</t>
        </is>
      </c>
      <c r="R78" s="3" t="n">
        <v>-0.6615228732820793</v>
      </c>
      <c r="S78" s="3" t="n">
        <v>0.1057733678660645</v>
      </c>
      <c r="T78" s="3" t="n"/>
      <c r="U78" s="3" t="n"/>
      <c r="V78" s="3" t="n">
        <v>76</v>
      </c>
      <c r="W78" s="3" t="n">
        <v>0.4379550818863194</v>
      </c>
      <c r="X78" s="3" t="n">
        <v>0.3708452409175217</v>
      </c>
      <c r="Y78" s="3" t="n">
        <v>202.4165196249068</v>
      </c>
      <c r="Z78" s="3" t="n">
        <v>223.3931196874837</v>
      </c>
      <c r="AA78" s="3" t="n"/>
      <c r="AB78" s="3" t="n"/>
      <c r="AC78" s="3" t="n"/>
      <c r="AD78" s="3" t="n">
        <v>0.0051572933766093</v>
      </c>
      <c r="AE78" s="3" t="n">
        <v>0.5475725960845307</v>
      </c>
      <c r="AF78" s="3" t="n">
        <v>0.0004473298592579</v>
      </c>
      <c r="AG78" s="3" t="n">
        <v>0.6931785974570382</v>
      </c>
      <c r="AH78" s="3" t="n">
        <v>1</v>
      </c>
      <c r="AI78" s="3" t="n">
        <v>1.962260462593718</v>
      </c>
      <c r="AJ78" s="3" t="n"/>
      <c r="AK78" s="3" t="n"/>
      <c r="AL78" s="3" t="n"/>
      <c r="AM78" s="3" t="inlineStr">
        <is>
          <t>C4</t>
        </is>
      </c>
      <c r="AN78" s="3" t="n"/>
      <c r="AO78" s="3" t="n"/>
      <c r="AP78" s="3" t="n"/>
      <c r="AQ78" s="3" t="inlineStr">
        <is>
          <t>no_evaluable</t>
        </is>
      </c>
      <c r="AR78" s="3" t="inlineStr">
        <is>
          <t>no_evaluable</t>
        </is>
      </c>
      <c r="AS78" s="3" t="inlineStr">
        <is>
          <t>si</t>
        </is>
      </c>
      <c r="AT78" s="3" t="inlineStr">
        <is>
          <t>(b) mejor de la familia ols_familias: ols_factores trimestral, periodo completo; NO CUMPLE LA REGLA (§8 y multiverso) en ninguna variable; RMSE 3.839 vs AR(4) 0.804 (peor que AR(4))</t>
        </is>
      </c>
      <c r="AU78" s="3" t="inlineStr">
        <is>
          <t>src/v8/m6_colinealidad.py</t>
        </is>
      </c>
      <c r="AV78" s="3" t="inlineStr">
        <is>
          <t>(b) mejor de la familia ols_familias: ols_factores trimestral, periodo completo</t>
        </is>
      </c>
      <c r="AW78" s="3" t="inlineStr">
        <is>
          <t>M6:ols_factores</t>
        </is>
      </c>
      <c r="AX78" s="3" t="inlineStr">
        <is>
          <t>si</t>
        </is>
      </c>
      <c r="AY78" s="3" t="inlineStr">
        <is>
          <t>output/v8/M6/coeficientes.csv</t>
        </is>
      </c>
      <c r="AZ78" s="4">
        <f>Fuera_muestra!F54</f>
        <v/>
      </c>
      <c r="BA78" s="4">
        <f>Fuera_muestra!G54</f>
        <v/>
      </c>
      <c r="BB78" s="2">
        <f>AZ78/BA78</f>
        <v/>
      </c>
    </row>
    <row r="79">
      <c r="A79" s="3" t="inlineStr">
        <is>
          <t>M6_ols_alquiler_trimestral_completo</t>
        </is>
      </c>
      <c r="B79" s="3" t="inlineStr">
        <is>
          <t>M6</t>
        </is>
      </c>
      <c r="C79" s="3" t="inlineStr">
        <is>
          <t>ols_familias</t>
        </is>
      </c>
      <c r="D79" s="3" t="inlineStr">
        <is>
          <t>alquiler</t>
        </is>
      </c>
      <c r="E79" s="3" t="inlineStr">
        <is>
          <t>nacional</t>
        </is>
      </c>
      <c r="F79" s="3" t="inlineStr">
        <is>
          <t>completo</t>
        </is>
      </c>
      <c r="G79" s="3" t="inlineStr">
        <is>
          <t>d_ln_ipc_alquiler_real</t>
        </is>
      </c>
      <c r="H79" s="3" t="inlineStr">
        <is>
          <t>trimestral</t>
        </is>
      </c>
      <c r="I79" s="3" t="inlineStr">
        <is>
          <t>ipc_alquiler</t>
        </is>
      </c>
      <c r="J79" s="3" t="inlineStr">
        <is>
          <t>hogares_epa</t>
        </is>
      </c>
      <c r="K79" s="3" t="n">
        <v>-0.4414382703970279</v>
      </c>
      <c r="L79" s="3" t="n">
        <v>0.4968269601279718</v>
      </c>
      <c r="M79" s="3" t="inlineStr">
        <is>
          <t>EWC</t>
        </is>
      </c>
      <c r="N79" s="3" t="n">
        <v>-0.8885151286542965</v>
      </c>
      <c r="O79" s="3" t="n">
        <v>0.4037605685433973</v>
      </c>
      <c r="P79" s="3" t="n">
        <v>0.5377716922830943</v>
      </c>
      <c r="Q79" s="3" t="inlineStr">
        <is>
          <t>BH</t>
        </is>
      </c>
      <c r="R79" s="3" t="n">
        <v>-1.616247349160751</v>
      </c>
      <c r="S79" s="3" t="n">
        <v>0.7333708083666954</v>
      </c>
      <c r="T79" s="3" t="n">
        <v>-0.09746541559830731</v>
      </c>
      <c r="U79" s="3" t="n">
        <v>-0.4414382703970279</v>
      </c>
      <c r="V79" s="3" t="n">
        <v>76</v>
      </c>
      <c r="W79" s="3" t="n">
        <v>0.4379550818863194</v>
      </c>
      <c r="X79" s="3" t="n">
        <v>0.3708452409175217</v>
      </c>
      <c r="Y79" s="3" t="n">
        <v>202.4165196249068</v>
      </c>
      <c r="Z79" s="3" t="n">
        <v>223.3931196874837</v>
      </c>
      <c r="AA79" s="3" t="n"/>
      <c r="AB79" s="3" t="n"/>
      <c r="AC79" s="3" t="n"/>
      <c r="AD79" s="3" t="n">
        <v>0.0051572933766093</v>
      </c>
      <c r="AE79" s="3" t="n">
        <v>0.5475725960845307</v>
      </c>
      <c r="AF79" s="3" t="n">
        <v>0.0004473298592579</v>
      </c>
      <c r="AG79" s="3" t="n">
        <v>0.6931785974570382</v>
      </c>
      <c r="AH79" s="3" t="n">
        <v>1</v>
      </c>
      <c r="AI79" s="3" t="n">
        <v>1.962260462593718</v>
      </c>
      <c r="AJ79" s="3" t="n"/>
      <c r="AK79" s="3" t="n"/>
      <c r="AL79" s="3" t="n"/>
      <c r="AM79" s="3" t="inlineStr">
        <is>
          <t>C4</t>
        </is>
      </c>
      <c r="AN79" s="3" t="n">
        <v>576</v>
      </c>
      <c r="AO79" s="3" t="n">
        <v>0.9826388888888888</v>
      </c>
      <c r="AP79" s="3" t="n">
        <v>0.6041666666666666</v>
      </c>
      <c r="AQ79" s="3" t="inlineStr">
        <is>
          <t>no_evaluable</t>
        </is>
      </c>
      <c r="AR79" s="3" t="inlineStr">
        <is>
          <t>sí</t>
        </is>
      </c>
      <c r="AS79" s="3" t="inlineStr">
        <is>
          <t>si</t>
        </is>
      </c>
      <c r="AT79" s="3" t="inlineStr">
        <is>
          <t>(b) mejor de la familia ols_familias: ols_factores trimestral, periodo completo; NO CUMPLE LA REGLA (§8 y multiverso) en ninguna variable; RMSE 3.839 vs AR(4) 0.804 (peor que AR(4))</t>
        </is>
      </c>
      <c r="AU79" s="3" t="inlineStr">
        <is>
          <t>src/v8/m6_colinealidad.py</t>
        </is>
      </c>
      <c r="AV79" s="3" t="inlineStr">
        <is>
          <t>(b) mejor de la familia ols_familias: ols_factores trimestral, periodo completo</t>
        </is>
      </c>
      <c r="AW79" s="3" t="inlineStr">
        <is>
          <t>M6:ols_factores</t>
        </is>
      </c>
      <c r="AX79" s="3" t="inlineStr">
        <is>
          <t>si</t>
        </is>
      </c>
      <c r="AY79" s="3" t="inlineStr">
        <is>
          <t>output/v8/M6/coeficientes.csv</t>
        </is>
      </c>
      <c r="AZ79" s="4">
        <f>Fuera_muestra!F54</f>
        <v/>
      </c>
      <c r="BA79" s="4">
        <f>Fuera_muestra!G54</f>
        <v/>
      </c>
      <c r="BB79" s="2">
        <f>AZ79/BA79</f>
        <v/>
      </c>
    </row>
    <row r="80">
      <c r="A80" s="3" t="inlineStr">
        <is>
          <t>M6_ols_alquiler_trimestral_completo</t>
        </is>
      </c>
      <c r="B80" s="3" t="inlineStr">
        <is>
          <t>M6</t>
        </is>
      </c>
      <c r="C80" s="3" t="inlineStr">
        <is>
          <t>ols_familias</t>
        </is>
      </c>
      <c r="D80" s="3" t="inlineStr">
        <is>
          <t>alquiler</t>
        </is>
      </c>
      <c r="E80" s="3" t="inlineStr">
        <is>
          <t>nacional</t>
        </is>
      </c>
      <c r="F80" s="3" t="inlineStr">
        <is>
          <t>completo</t>
        </is>
      </c>
      <c r="G80" s="3" t="inlineStr">
        <is>
          <t>d_ln_ipc_alquiler_real</t>
        </is>
      </c>
      <c r="H80" s="3" t="inlineStr">
        <is>
          <t>trimestral</t>
        </is>
      </c>
      <c r="I80" s="3" t="inlineStr">
        <is>
          <t>ipc_alquiler</t>
        </is>
      </c>
      <c r="J80" s="3" t="inlineStr">
        <is>
          <t>pib_vol</t>
        </is>
      </c>
      <c r="K80" s="3" t="n">
        <v>0.0552209438125146</v>
      </c>
      <c r="L80" s="3" t="n">
        <v>0.041382917846407</v>
      </c>
      <c r="M80" s="3" t="inlineStr">
        <is>
          <t>EWC</t>
        </is>
      </c>
      <c r="N80" s="3" t="n">
        <v>1.334389808313361</v>
      </c>
      <c r="O80" s="3" t="n">
        <v>0.2238466392320163</v>
      </c>
      <c r="P80" s="3" t="n">
        <v>0.3572501919056421</v>
      </c>
      <c r="Q80" s="3" t="inlineStr">
        <is>
          <t>BH</t>
        </is>
      </c>
      <c r="R80" s="3" t="n">
        <v>-0.0426341073287712</v>
      </c>
      <c r="S80" s="3" t="n">
        <v>0.1530759949538004</v>
      </c>
      <c r="T80" s="3" t="n">
        <v>0.1517798965127418</v>
      </c>
      <c r="U80" s="3" t="n">
        <v>0.0552209438125146</v>
      </c>
      <c r="V80" s="3" t="n">
        <v>76</v>
      </c>
      <c r="W80" s="3" t="n">
        <v>0.4379550818863194</v>
      </c>
      <c r="X80" s="3" t="n">
        <v>0.3708452409175217</v>
      </c>
      <c r="Y80" s="3" t="n">
        <v>202.4165196249068</v>
      </c>
      <c r="Z80" s="3" t="n">
        <v>223.3931196874837</v>
      </c>
      <c r="AA80" s="3" t="n"/>
      <c r="AB80" s="3" t="n"/>
      <c r="AC80" s="3" t="n"/>
      <c r="AD80" s="3" t="n">
        <v>0.0051572933766093</v>
      </c>
      <c r="AE80" s="3" t="n">
        <v>0.5475725960845307</v>
      </c>
      <c r="AF80" s="3" t="n">
        <v>0.0004473298592579</v>
      </c>
      <c r="AG80" s="3" t="n">
        <v>0.6931785974570382</v>
      </c>
      <c r="AH80" s="3" t="n">
        <v>1</v>
      </c>
      <c r="AI80" s="3" t="n">
        <v>1.962260462593718</v>
      </c>
      <c r="AJ80" s="3" t="n"/>
      <c r="AK80" s="3" t="n"/>
      <c r="AL80" s="3" t="n"/>
      <c r="AM80" s="3" t="inlineStr">
        <is>
          <t>C4</t>
        </is>
      </c>
      <c r="AN80" s="3" t="n">
        <v>576</v>
      </c>
      <c r="AO80" s="3" t="n">
        <v>0.6666666666666666</v>
      </c>
      <c r="AP80" s="3" t="n">
        <v>0.2569444444444444</v>
      </c>
      <c r="AQ80" s="3" t="inlineStr">
        <is>
          <t>no_evaluable</t>
        </is>
      </c>
      <c r="AR80" s="3" t="inlineStr">
        <is>
          <t>no</t>
        </is>
      </c>
      <c r="AS80" s="3" t="inlineStr">
        <is>
          <t>si</t>
        </is>
      </c>
      <c r="AT80" s="3" t="inlineStr">
        <is>
          <t>(b) mejor de la familia ols_familias: ols_factores trimestral, periodo completo; NO CUMPLE LA REGLA (§8 y multiverso) en ninguna variable; RMSE 3.839 vs AR(4) 0.804 (peor que AR(4))</t>
        </is>
      </c>
      <c r="AU80" s="3" t="inlineStr">
        <is>
          <t>src/v8/m6_colinealidad.py</t>
        </is>
      </c>
      <c r="AV80" s="3" t="inlineStr">
        <is>
          <t>(b) mejor de la familia ols_familias: ols_factores trimestral, periodo completo</t>
        </is>
      </c>
      <c r="AW80" s="3" t="inlineStr">
        <is>
          <t>M6:ols_factores</t>
        </is>
      </c>
      <c r="AX80" s="3" t="inlineStr">
        <is>
          <t>si</t>
        </is>
      </c>
      <c r="AY80" s="3" t="inlineStr">
        <is>
          <t>output/v8/M6/coeficientes.csv</t>
        </is>
      </c>
      <c r="AZ80" s="4">
        <f>Fuera_muestra!F54</f>
        <v/>
      </c>
      <c r="BA80" s="4">
        <f>Fuera_muestra!G54</f>
        <v/>
      </c>
      <c r="BB80" s="2">
        <f>AZ80/BA80</f>
        <v/>
      </c>
    </row>
    <row r="81">
      <c r="A81" s="3" t="inlineStr">
        <is>
          <t>M6_ols_alquiler_trimestral_completo</t>
        </is>
      </c>
      <c r="B81" s="3" t="inlineStr">
        <is>
          <t>M6</t>
        </is>
      </c>
      <c r="C81" s="3" t="inlineStr">
        <is>
          <t>ols_familias</t>
        </is>
      </c>
      <c r="D81" s="3" t="inlineStr">
        <is>
          <t>alquiler</t>
        </is>
      </c>
      <c r="E81" s="3" t="inlineStr">
        <is>
          <t>nacional</t>
        </is>
      </c>
      <c r="F81" s="3" t="inlineStr">
        <is>
          <t>completo</t>
        </is>
      </c>
      <c r="G81" s="3" t="inlineStr">
        <is>
          <t>d_ln_ipc_alquiler_real</t>
        </is>
      </c>
      <c r="H81" s="3" t="inlineStr">
        <is>
          <t>trimestral</t>
        </is>
      </c>
      <c r="I81" s="3" t="inlineStr">
        <is>
          <t>ipc_alquiler</t>
        </is>
      </c>
      <c r="J81" s="3" t="inlineStr">
        <is>
          <t>tipo_hip_real</t>
        </is>
      </c>
      <c r="K81" s="3" t="n">
        <v>0.1845039229639025</v>
      </c>
      <c r="L81" s="3" t="n">
        <v>0.0420625868805133</v>
      </c>
      <c r="M81" s="3" t="inlineStr">
        <is>
          <t>EWC</t>
        </is>
      </c>
      <c r="N81" s="3" t="n">
        <v>4.386414071203478</v>
      </c>
      <c r="O81" s="3" t="n">
        <v>0.0032093493413447</v>
      </c>
      <c r="P81" s="3" t="n">
        <v>0.0259953249498816</v>
      </c>
      <c r="Q81" s="3" t="inlineStr">
        <is>
          <t>BH</t>
        </is>
      </c>
      <c r="R81" s="3" t="n">
        <v>0.08504170994151219</v>
      </c>
      <c r="S81" s="3" t="n">
        <v>0.2839661359862928</v>
      </c>
      <c r="T81" s="3" t="n">
        <v>0.3734609061540296</v>
      </c>
      <c r="U81" s="3" t="n"/>
      <c r="V81" s="3" t="n">
        <v>76</v>
      </c>
      <c r="W81" s="3" t="n">
        <v>0.4379550818863194</v>
      </c>
      <c r="X81" s="3" t="n">
        <v>0.3708452409175217</v>
      </c>
      <c r="Y81" s="3" t="n">
        <v>202.4165196249068</v>
      </c>
      <c r="Z81" s="3" t="n">
        <v>223.3931196874837</v>
      </c>
      <c r="AA81" s="3" t="n"/>
      <c r="AB81" s="3" t="n"/>
      <c r="AC81" s="3" t="n"/>
      <c r="AD81" s="3" t="n">
        <v>0.0051572933766093</v>
      </c>
      <c r="AE81" s="3" t="n">
        <v>0.5475725960845307</v>
      </c>
      <c r="AF81" s="3" t="n">
        <v>0.0004473298592579</v>
      </c>
      <c r="AG81" s="3" t="n">
        <v>0.6931785974570382</v>
      </c>
      <c r="AH81" s="3" t="n">
        <v>1</v>
      </c>
      <c r="AI81" s="3" t="n">
        <v>1.962260462593718</v>
      </c>
      <c r="AJ81" s="3" t="n"/>
      <c r="AK81" s="3" t="n"/>
      <c r="AL81" s="3" t="n"/>
      <c r="AM81" s="3" t="inlineStr">
        <is>
          <t>C4</t>
        </is>
      </c>
      <c r="AN81" s="3" t="n">
        <v>576</v>
      </c>
      <c r="AO81" s="3" t="n">
        <v>0.5833333333333334</v>
      </c>
      <c r="AP81" s="3" t="n">
        <v>0.3055555555555556</v>
      </c>
      <c r="AQ81" s="3" t="inlineStr">
        <is>
          <t>no_evaluable</t>
        </is>
      </c>
      <c r="AR81" s="3" t="inlineStr">
        <is>
          <t>no</t>
        </is>
      </c>
      <c r="AS81" s="3" t="inlineStr">
        <is>
          <t>si</t>
        </is>
      </c>
      <c r="AT81" s="3" t="inlineStr">
        <is>
          <t>(b) mejor de la familia ols_familias: ols_factores trimestral, periodo completo; NO CUMPLE LA REGLA (§8 y multiverso) en ninguna variable; RMSE 3.839 vs AR(4) 0.804 (peor que AR(4))</t>
        </is>
      </c>
      <c r="AU81" s="3" t="inlineStr">
        <is>
          <t>src/v8/m6_colinealidad.py</t>
        </is>
      </c>
      <c r="AV81" s="3" t="inlineStr">
        <is>
          <t>(b) mejor de la familia ols_familias: ols_factores trimestral, periodo completo</t>
        </is>
      </c>
      <c r="AW81" s="3" t="inlineStr">
        <is>
          <t>M6:ols_factores</t>
        </is>
      </c>
      <c r="AX81" s="3" t="inlineStr">
        <is>
          <t>si</t>
        </is>
      </c>
      <c r="AY81" s="3" t="inlineStr">
        <is>
          <t>output/v8/M6/coeficientes.csv</t>
        </is>
      </c>
      <c r="AZ81" s="4">
        <f>Fuera_muestra!F54</f>
        <v/>
      </c>
      <c r="BA81" s="4">
        <f>Fuera_muestra!G54</f>
        <v/>
      </c>
      <c r="BB81" s="2">
        <f>AZ81/BA81</f>
        <v/>
      </c>
    </row>
    <row r="82">
      <c r="A82" s="3" t="inlineStr">
        <is>
          <t>M6_ols_alquiler_trimestral_completo</t>
        </is>
      </c>
      <c r="B82" s="3" t="inlineStr">
        <is>
          <t>M6</t>
        </is>
      </c>
      <c r="C82" s="3" t="inlineStr">
        <is>
          <t>ols_familias</t>
        </is>
      </c>
      <c r="D82" s="3" t="inlineStr">
        <is>
          <t>alquiler</t>
        </is>
      </c>
      <c r="E82" s="3" t="inlineStr">
        <is>
          <t>nacional</t>
        </is>
      </c>
      <c r="F82" s="3" t="inlineStr">
        <is>
          <t>completo</t>
        </is>
      </c>
      <c r="G82" s="3" t="inlineStr">
        <is>
          <t>d_ln_ipc_alquiler_real</t>
        </is>
      </c>
      <c r="H82" s="3" t="inlineStr">
        <is>
          <t>trimestral</t>
        </is>
      </c>
      <c r="I82" s="3" t="inlineStr">
        <is>
          <t>ipc_alquiler</t>
        </is>
      </c>
      <c r="J82" s="3" t="inlineStr">
        <is>
          <t>terminadas</t>
        </is>
      </c>
      <c r="K82" s="3" t="n">
        <v>-0.0101703635111472</v>
      </c>
      <c r="L82" s="3" t="n">
        <v>0.0054322626871402</v>
      </c>
      <c r="M82" s="3" t="inlineStr">
        <is>
          <t>EWC</t>
        </is>
      </c>
      <c r="N82" s="3" t="n">
        <v>-1.872214967664126</v>
      </c>
      <c r="O82" s="3" t="n">
        <v>0.1033410725417009</v>
      </c>
      <c r="P82" s="3" t="n">
        <v>0.1967215597781777</v>
      </c>
      <c r="Q82" s="3" t="inlineStr">
        <is>
          <t>BH</t>
        </is>
      </c>
      <c r="R82" s="3" t="n">
        <v>-0.0230156236021816</v>
      </c>
      <c r="S82" s="3" t="n">
        <v>0.002674896579887</v>
      </c>
      <c r="T82" s="3" t="n">
        <v>-0.1813983187439432</v>
      </c>
      <c r="U82" s="3" t="n">
        <v>-0.0101703635111472</v>
      </c>
      <c r="V82" s="3" t="n">
        <v>76</v>
      </c>
      <c r="W82" s="3" t="n">
        <v>0.4379550818863194</v>
      </c>
      <c r="X82" s="3" t="n">
        <v>0.3708452409175217</v>
      </c>
      <c r="Y82" s="3" t="n">
        <v>202.4165196249068</v>
      </c>
      <c r="Z82" s="3" t="n">
        <v>223.3931196874837</v>
      </c>
      <c r="AA82" s="3" t="n"/>
      <c r="AB82" s="3" t="n"/>
      <c r="AC82" s="3" t="n"/>
      <c r="AD82" s="3" t="n">
        <v>0.0051572933766093</v>
      </c>
      <c r="AE82" s="3" t="n">
        <v>0.5475725960845307</v>
      </c>
      <c r="AF82" s="3" t="n">
        <v>0.0004473298592579</v>
      </c>
      <c r="AG82" s="3" t="n">
        <v>0.6931785974570382</v>
      </c>
      <c r="AH82" s="3" t="n">
        <v>1</v>
      </c>
      <c r="AI82" s="3" t="n">
        <v>1.962260462593718</v>
      </c>
      <c r="AJ82" s="3" t="n"/>
      <c r="AK82" s="3" t="n"/>
      <c r="AL82" s="3" t="n"/>
      <c r="AM82" s="3" t="inlineStr">
        <is>
          <t>C4</t>
        </is>
      </c>
      <c r="AN82" s="3" t="n">
        <v>576</v>
      </c>
      <c r="AO82" s="3" t="n">
        <v>0.6284722222222222</v>
      </c>
      <c r="AP82" s="3" t="n">
        <v>0.1753472222222222</v>
      </c>
      <c r="AQ82" s="3" t="inlineStr">
        <is>
          <t>no_evaluable</t>
        </is>
      </c>
      <c r="AR82" s="3" t="inlineStr">
        <is>
          <t>no</t>
        </is>
      </c>
      <c r="AS82" s="3" t="inlineStr">
        <is>
          <t>si</t>
        </is>
      </c>
      <c r="AT82" s="3" t="inlineStr">
        <is>
          <t>(b) mejor de la familia ols_familias: ols_factores trimestral, periodo completo; NO CUMPLE LA REGLA (§8 y multiverso) en ninguna variable; RMSE 3.839 vs AR(4) 0.804 (peor que AR(4))</t>
        </is>
      </c>
      <c r="AU82" s="3" t="inlineStr">
        <is>
          <t>src/v8/m6_colinealidad.py</t>
        </is>
      </c>
      <c r="AV82" s="3" t="inlineStr">
        <is>
          <t>(b) mejor de la familia ols_familias: ols_factores trimestral, periodo completo</t>
        </is>
      </c>
      <c r="AW82" s="3" t="inlineStr">
        <is>
          <t>M6:ols_factores</t>
        </is>
      </c>
      <c r="AX82" s="3" t="inlineStr">
        <is>
          <t>si</t>
        </is>
      </c>
      <c r="AY82" s="3" t="inlineStr">
        <is>
          <t>output/v8/M6/coeficientes.csv</t>
        </is>
      </c>
      <c r="AZ82" s="4">
        <f>Fuera_muestra!F54</f>
        <v/>
      </c>
      <c r="BA82" s="4">
        <f>Fuera_muestra!G54</f>
        <v/>
      </c>
      <c r="BB82" s="2">
        <f>AZ82/BA82</f>
        <v/>
      </c>
    </row>
    <row r="83">
      <c r="A83" s="3" t="inlineStr">
        <is>
          <t>M6_ols_alquiler_trimestral_completo</t>
        </is>
      </c>
      <c r="B83" s="3" t="inlineStr">
        <is>
          <t>M6</t>
        </is>
      </c>
      <c r="C83" s="3" t="inlineStr">
        <is>
          <t>ols_familias</t>
        </is>
      </c>
      <c r="D83" s="3" t="inlineStr">
        <is>
          <t>alquiler</t>
        </is>
      </c>
      <c r="E83" s="3" t="inlineStr">
        <is>
          <t>nacional</t>
        </is>
      </c>
      <c r="F83" s="3" t="inlineStr">
        <is>
          <t>completo</t>
        </is>
      </c>
      <c r="G83" s="3" t="inlineStr">
        <is>
          <t>d_ln_ipc_alquiler_real</t>
        </is>
      </c>
      <c r="H83" s="3" t="inlineStr">
        <is>
          <t>trimestral</t>
        </is>
      </c>
      <c r="I83" s="3" t="inlineStr">
        <is>
          <t>ipc_alquiler</t>
        </is>
      </c>
      <c r="J83" s="3" t="inlineStr">
        <is>
          <t>tx_extranj</t>
        </is>
      </c>
      <c r="K83" s="3" t="n">
        <v>-0.0180729546240182</v>
      </c>
      <c r="L83" s="3" t="n">
        <v>0.0075406802565293</v>
      </c>
      <c r="M83" s="3" t="inlineStr">
        <is>
          <t>EWC</t>
        </is>
      </c>
      <c r="N83" s="3" t="n">
        <v>-2.396727352067361</v>
      </c>
      <c r="O83" s="3" t="n">
        <v>0.0476949444248406</v>
      </c>
      <c r="P83" s="3" t="n">
        <v>0.1103377912645521</v>
      </c>
      <c r="Q83" s="3" t="inlineStr">
        <is>
          <t>BH</t>
        </is>
      </c>
      <c r="R83" s="3" t="n">
        <v>-0.0359038300321144</v>
      </c>
      <c r="S83" s="3" t="n">
        <v>-0.000242079215922</v>
      </c>
      <c r="T83" s="3" t="n">
        <v>-0.3855193821814074</v>
      </c>
      <c r="U83" s="3" t="n">
        <v>-0.0180729546240182</v>
      </c>
      <c r="V83" s="3" t="n">
        <v>76</v>
      </c>
      <c r="W83" s="3" t="n">
        <v>0.4379550818863194</v>
      </c>
      <c r="X83" s="3" t="n">
        <v>0.3708452409175217</v>
      </c>
      <c r="Y83" s="3" t="n">
        <v>202.4165196249068</v>
      </c>
      <c r="Z83" s="3" t="n">
        <v>223.3931196874837</v>
      </c>
      <c r="AA83" s="3" t="n"/>
      <c r="AB83" s="3" t="n"/>
      <c r="AC83" s="3" t="n"/>
      <c r="AD83" s="3" t="n">
        <v>0.0051572933766093</v>
      </c>
      <c r="AE83" s="3" t="n">
        <v>0.5475725960845307</v>
      </c>
      <c r="AF83" s="3" t="n">
        <v>0.0004473298592579</v>
      </c>
      <c r="AG83" s="3" t="n">
        <v>0.6931785974570382</v>
      </c>
      <c r="AH83" s="3" t="n">
        <v>1</v>
      </c>
      <c r="AI83" s="3" t="n">
        <v>1.962260462593718</v>
      </c>
      <c r="AJ83" s="3" t="n"/>
      <c r="AK83" s="3" t="n"/>
      <c r="AL83" s="3" t="n"/>
      <c r="AM83" s="3" t="inlineStr">
        <is>
          <t>C4</t>
        </is>
      </c>
      <c r="AN83" s="3" t="n">
        <v>384</v>
      </c>
      <c r="AO83" s="3" t="n">
        <v>0.5677083333333334</v>
      </c>
      <c r="AP83" s="3" t="n">
        <v>0.2369791666666666</v>
      </c>
      <c r="AQ83" s="3" t="inlineStr">
        <is>
          <t>no_evaluable</t>
        </is>
      </c>
      <c r="AR83" s="3" t="inlineStr">
        <is>
          <t>no</t>
        </is>
      </c>
      <c r="AS83" s="3" t="inlineStr">
        <is>
          <t>si</t>
        </is>
      </c>
      <c r="AT83" s="3" t="inlineStr">
        <is>
          <t>(b) mejor de la familia ols_familias: ols_factores trimestral, periodo completo; NO CUMPLE LA REGLA (§8 y multiverso) en ninguna variable; RMSE 3.839 vs AR(4) 0.804 (peor que AR(4))</t>
        </is>
      </c>
      <c r="AU83" s="3" t="inlineStr">
        <is>
          <t>src/v8/m6_colinealidad.py</t>
        </is>
      </c>
      <c r="AV83" s="3" t="inlineStr">
        <is>
          <t>(b) mejor de la familia ols_familias: ols_factores trimestral, periodo completo</t>
        </is>
      </c>
      <c r="AW83" s="3" t="inlineStr">
        <is>
          <t>M6:ols_factores</t>
        </is>
      </c>
      <c r="AX83" s="3" t="inlineStr">
        <is>
          <t>si</t>
        </is>
      </c>
      <c r="AY83" s="3" t="inlineStr">
        <is>
          <t>output/v8/M6/coeficientes.csv</t>
        </is>
      </c>
      <c r="AZ83" s="4">
        <f>Fuera_muestra!F54</f>
        <v/>
      </c>
      <c r="BA83" s="4">
        <f>Fuera_muestra!G54</f>
        <v/>
      </c>
      <c r="BB83" s="2">
        <f>AZ83/BA83</f>
        <v/>
      </c>
    </row>
    <row r="84">
      <c r="A84" s="3" t="inlineStr">
        <is>
          <t>M6_ols_alquiler_trimestral_completo</t>
        </is>
      </c>
      <c r="B84" s="3" t="inlineStr">
        <is>
          <t>M6</t>
        </is>
      </c>
      <c r="C84" s="3" t="inlineStr">
        <is>
          <t>ols_familias</t>
        </is>
      </c>
      <c r="D84" s="3" t="inlineStr">
        <is>
          <t>alquiler</t>
        </is>
      </c>
      <c r="E84" s="3" t="inlineStr">
        <is>
          <t>nacional</t>
        </is>
      </c>
      <c r="F84" s="3" t="inlineStr">
        <is>
          <t>completo</t>
        </is>
      </c>
      <c r="G84" s="3" t="inlineStr">
        <is>
          <t>d_ln_ipc_alquiler_real</t>
        </is>
      </c>
      <c r="H84" s="3" t="inlineStr">
        <is>
          <t>trimestral</t>
        </is>
      </c>
      <c r="I84" s="3" t="inlineStr">
        <is>
          <t>ipc_alquiler</t>
        </is>
      </c>
      <c r="J84" s="3" t="inlineStr">
        <is>
          <t>bis_hpi_xm_real</t>
        </is>
      </c>
      <c r="K84" s="3" t="n">
        <v>0.1299407715442364</v>
      </c>
      <c r="L84" s="3" t="n">
        <v>0.1968103089465526</v>
      </c>
      <c r="M84" s="3" t="inlineStr">
        <is>
          <t>EWC</t>
        </is>
      </c>
      <c r="N84" s="3" t="n">
        <v>0.6602335631693164</v>
      </c>
      <c r="O84" s="3" t="n">
        <v>0.5302218548973653</v>
      </c>
      <c r="P84" s="3" t="n">
        <v>0.6538971437781529</v>
      </c>
      <c r="Q84" s="3" t="inlineStr">
        <is>
          <t>BH</t>
        </is>
      </c>
      <c r="R84" s="3" t="n">
        <v>-0.3354416579542502</v>
      </c>
      <c r="S84" s="3" t="n">
        <v>0.595323201042723</v>
      </c>
      <c r="T84" s="3" t="n">
        <v>0.1343900675623166</v>
      </c>
      <c r="U84" s="3" t="n">
        <v>0.1299407715442364</v>
      </c>
      <c r="V84" s="3" t="n">
        <v>76</v>
      </c>
      <c r="W84" s="3" t="n">
        <v>0.4379550818863194</v>
      </c>
      <c r="X84" s="3" t="n">
        <v>0.3708452409175217</v>
      </c>
      <c r="Y84" s="3" t="n">
        <v>202.4165196249068</v>
      </c>
      <c r="Z84" s="3" t="n">
        <v>223.3931196874837</v>
      </c>
      <c r="AA84" s="3" t="n"/>
      <c r="AB84" s="3" t="n"/>
      <c r="AC84" s="3" t="n"/>
      <c r="AD84" s="3" t="n">
        <v>0.0051572933766093</v>
      </c>
      <c r="AE84" s="3" t="n">
        <v>0.5475725960845307</v>
      </c>
      <c r="AF84" s="3" t="n">
        <v>0.0004473298592579</v>
      </c>
      <c r="AG84" s="3" t="n">
        <v>0.6931785974570382</v>
      </c>
      <c r="AH84" s="3" t="n">
        <v>1</v>
      </c>
      <c r="AI84" s="3" t="n">
        <v>1.962260462593718</v>
      </c>
      <c r="AJ84" s="3" t="n"/>
      <c r="AK84" s="3" t="n"/>
      <c r="AL84" s="3" t="n"/>
      <c r="AM84" s="3" t="inlineStr">
        <is>
          <t>C4</t>
        </is>
      </c>
      <c r="AN84" s="3" t="n">
        <v>576</v>
      </c>
      <c r="AO84" s="3" t="n">
        <v>0.5138888888888888</v>
      </c>
      <c r="AP84" s="3" t="n">
        <v>0.0381944444444444</v>
      </c>
      <c r="AQ84" s="3" t="inlineStr">
        <is>
          <t>no_evaluable</t>
        </is>
      </c>
      <c r="AR84" s="3" t="inlineStr">
        <is>
          <t>no</t>
        </is>
      </c>
      <c r="AS84" s="3" t="inlineStr">
        <is>
          <t>si</t>
        </is>
      </c>
      <c r="AT84" s="3" t="inlineStr">
        <is>
          <t>(b) mejor de la familia ols_familias: ols_factores trimestral, periodo completo; NO CUMPLE LA REGLA (§8 y multiverso) en ninguna variable; RMSE 3.839 vs AR(4) 0.804 (peor que AR(4))</t>
        </is>
      </c>
      <c r="AU84" s="3" t="inlineStr">
        <is>
          <t>src/v8/m6_colinealidad.py</t>
        </is>
      </c>
      <c r="AV84" s="3" t="inlineStr">
        <is>
          <t>(b) mejor de la familia ols_familias: ols_factores trimestral, periodo completo</t>
        </is>
      </c>
      <c r="AW84" s="3" t="inlineStr">
        <is>
          <t>M6:ols_factores</t>
        </is>
      </c>
      <c r="AX84" s="3" t="inlineStr">
        <is>
          <t>si</t>
        </is>
      </c>
      <c r="AY84" s="3" t="inlineStr">
        <is>
          <t>output/v8/M6/coeficientes.csv</t>
        </is>
      </c>
      <c r="AZ84" s="4">
        <f>Fuera_muestra!F54</f>
        <v/>
      </c>
      <c r="BA84" s="4">
        <f>Fuera_muestra!G54</f>
        <v/>
      </c>
      <c r="BB84" s="2">
        <f>AZ84/BA84</f>
        <v/>
      </c>
    </row>
    <row r="85">
      <c r="A85" s="3" t="inlineStr">
        <is>
          <t>M6_ols_alquiler_trimestral_completo</t>
        </is>
      </c>
      <c r="B85" s="3" t="inlineStr">
        <is>
          <t>M6</t>
        </is>
      </c>
      <c r="C85" s="3" t="inlineStr">
        <is>
          <t>ols_familias</t>
        </is>
      </c>
      <c r="D85" s="3" t="inlineStr">
        <is>
          <t>alquiler</t>
        </is>
      </c>
      <c r="E85" s="3" t="inlineStr">
        <is>
          <t>nacional</t>
        </is>
      </c>
      <c r="F85" s="3" t="inlineStr">
        <is>
          <t>completo</t>
        </is>
      </c>
      <c r="G85" s="3" t="inlineStr">
        <is>
          <t>d_ln_ipc_alquiler_real</t>
        </is>
      </c>
      <c r="H85" s="3" t="inlineStr">
        <is>
          <t>trimestral</t>
        </is>
      </c>
      <c r="I85" s="3" t="inlineStr">
        <is>
          <t>ipc_alquiler</t>
        </is>
      </c>
      <c r="J85" s="3" t="inlineStr">
        <is>
          <t>covid</t>
        </is>
      </c>
      <c r="K85" s="3" t="n">
        <v>-0.0485845892698066</v>
      </c>
      <c r="L85" s="3" t="n">
        <v>0.2559102109127584</v>
      </c>
      <c r="M85" s="3" t="inlineStr">
        <is>
          <t>EWC</t>
        </is>
      </c>
      <c r="N85" s="3" t="n">
        <v>-0.1898501396115431</v>
      </c>
      <c r="O85" s="3" t="n">
        <v>0.8548145299031557</v>
      </c>
      <c r="P85" s="3" t="n">
        <v>0.9004046381646573</v>
      </c>
      <c r="Q85" s="3" t="inlineStr">
        <is>
          <t>BH</t>
        </is>
      </c>
      <c r="R85" s="3" t="n">
        <v>-0.6537160802243394</v>
      </c>
      <c r="S85" s="3" t="n">
        <v>0.5565469016847262</v>
      </c>
      <c r="T85" s="3" t="n">
        <v>-0.0087119366615301</v>
      </c>
      <c r="U85" s="3" t="n"/>
      <c r="V85" s="3" t="n">
        <v>76</v>
      </c>
      <c r="W85" s="3" t="n">
        <v>0.4379550818863194</v>
      </c>
      <c r="X85" s="3" t="n">
        <v>0.3708452409175217</v>
      </c>
      <c r="Y85" s="3" t="n">
        <v>202.4165196249068</v>
      </c>
      <c r="Z85" s="3" t="n">
        <v>223.3931196874837</v>
      </c>
      <c r="AA85" s="3" t="n"/>
      <c r="AB85" s="3" t="n"/>
      <c r="AC85" s="3" t="n"/>
      <c r="AD85" s="3" t="n">
        <v>0.0051572933766093</v>
      </c>
      <c r="AE85" s="3" t="n">
        <v>0.5475725960845307</v>
      </c>
      <c r="AF85" s="3" t="n">
        <v>0.0004473298592579</v>
      </c>
      <c r="AG85" s="3" t="n">
        <v>0.6931785974570382</v>
      </c>
      <c r="AH85" s="3" t="n">
        <v>1</v>
      </c>
      <c r="AI85" s="3" t="n">
        <v>1.962260462593718</v>
      </c>
      <c r="AJ85" s="3" t="n"/>
      <c r="AK85" s="3" t="n"/>
      <c r="AL85" s="3" t="n"/>
      <c r="AM85" s="3" t="inlineStr">
        <is>
          <t>C4</t>
        </is>
      </c>
      <c r="AN85" s="3" t="n"/>
      <c r="AO85" s="3" t="n"/>
      <c r="AP85" s="3" t="n"/>
      <c r="AQ85" s="3" t="inlineStr">
        <is>
          <t>no_evaluable</t>
        </is>
      </c>
      <c r="AR85" s="3" t="inlineStr">
        <is>
          <t>no_evaluable</t>
        </is>
      </c>
      <c r="AS85" s="3" t="inlineStr">
        <is>
          <t>si</t>
        </is>
      </c>
      <c r="AT85" s="3" t="inlineStr">
        <is>
          <t>(b) mejor de la familia ols_familias: ols_factores trimestral, periodo completo; NO CUMPLE LA REGLA (§8 y multiverso) en ninguna variable; RMSE 3.839 vs AR(4) 0.804 (peor que AR(4))</t>
        </is>
      </c>
      <c r="AU85" s="3" t="inlineStr">
        <is>
          <t>src/v8/m6_colinealidad.py</t>
        </is>
      </c>
      <c r="AV85" s="3" t="inlineStr">
        <is>
          <t>(b) mejor de la familia ols_familias: ols_factores trimestral, periodo completo</t>
        </is>
      </c>
      <c r="AW85" s="3" t="inlineStr">
        <is>
          <t>M6:ols_factores</t>
        </is>
      </c>
      <c r="AX85" s="3" t="inlineStr">
        <is>
          <t>si</t>
        </is>
      </c>
      <c r="AY85" s="3" t="inlineStr">
        <is>
          <t>output/v8/M6/coeficientes.csv</t>
        </is>
      </c>
      <c r="AZ85" s="4">
        <f>Fuera_muestra!F54</f>
        <v/>
      </c>
      <c r="BA85" s="4">
        <f>Fuera_muestra!G54</f>
        <v/>
      </c>
      <c r="BB85" s="2">
        <f>AZ85/BA85</f>
        <v/>
      </c>
    </row>
    <row r="86">
      <c r="A86" s="3" t="inlineStr">
        <is>
          <t>M6_ols_alquiler_trimestral_completo</t>
        </is>
      </c>
      <c r="B86" s="3" t="inlineStr">
        <is>
          <t>M6</t>
        </is>
      </c>
      <c r="C86" s="3" t="inlineStr">
        <is>
          <t>ols_familias</t>
        </is>
      </c>
      <c r="D86" s="3" t="inlineStr">
        <is>
          <t>alquiler</t>
        </is>
      </c>
      <c r="E86" s="3" t="inlineStr">
        <is>
          <t>nacional</t>
        </is>
      </c>
      <c r="F86" s="3" t="inlineStr">
        <is>
          <t>completo</t>
        </is>
      </c>
      <c r="G86" s="3" t="inlineStr">
        <is>
          <t>d_ln_ipc_alquiler_real</t>
        </is>
      </c>
      <c r="H86" s="3" t="inlineStr">
        <is>
          <t>trimestral</t>
        </is>
      </c>
      <c r="I86" s="3" t="inlineStr">
        <is>
          <t>ipc_alquiler</t>
        </is>
      </c>
      <c r="J86" s="3" t="inlineStr">
        <is>
          <t>epa2021_q</t>
        </is>
      </c>
      <c r="K86" s="3" t="n">
        <v>-0.8598400949339313</v>
      </c>
      <c r="L86" s="3" t="n">
        <v>0.6985101868437721</v>
      </c>
      <c r="M86" s="3" t="inlineStr">
        <is>
          <t>EWC</t>
        </is>
      </c>
      <c r="N86" s="3" t="n">
        <v>-1.230962856560662</v>
      </c>
      <c r="O86" s="3" t="n">
        <v>0.2580884420173112</v>
      </c>
      <c r="P86" s="3" t="n">
        <v>0.3846978664031619</v>
      </c>
      <c r="Q86" s="3" t="inlineStr">
        <is>
          <t>BH</t>
        </is>
      </c>
      <c r="R86" s="3" t="n">
        <v>-2.511554222729321</v>
      </c>
      <c r="S86" s="3" t="n">
        <v>0.7918740328614589</v>
      </c>
      <c r="T86" s="3" t="n">
        <v>-0.09022823057364859</v>
      </c>
      <c r="U86" s="3" t="n"/>
      <c r="V86" s="3" t="n">
        <v>76</v>
      </c>
      <c r="W86" s="3" t="n">
        <v>0.4379550818863194</v>
      </c>
      <c r="X86" s="3" t="n">
        <v>0.3708452409175217</v>
      </c>
      <c r="Y86" s="3" t="n">
        <v>202.4165196249068</v>
      </c>
      <c r="Z86" s="3" t="n">
        <v>223.3931196874837</v>
      </c>
      <c r="AA86" s="3" t="n"/>
      <c r="AB86" s="3" t="n"/>
      <c r="AC86" s="3" t="n"/>
      <c r="AD86" s="3" t="n">
        <v>0.0051572933766093</v>
      </c>
      <c r="AE86" s="3" t="n">
        <v>0.5475725960845307</v>
      </c>
      <c r="AF86" s="3" t="n">
        <v>0.0004473298592579</v>
      </c>
      <c r="AG86" s="3" t="n">
        <v>0.6931785974570382</v>
      </c>
      <c r="AH86" s="3" t="n">
        <v>1</v>
      </c>
      <c r="AI86" s="3" t="n">
        <v>1.962260462593718</v>
      </c>
      <c r="AJ86" s="3" t="n"/>
      <c r="AK86" s="3" t="n"/>
      <c r="AL86" s="3" t="n"/>
      <c r="AM86" s="3" t="inlineStr">
        <is>
          <t>C4</t>
        </is>
      </c>
      <c r="AN86" s="3" t="n"/>
      <c r="AO86" s="3" t="n"/>
      <c r="AP86" s="3" t="n"/>
      <c r="AQ86" s="3" t="inlineStr">
        <is>
          <t>no_evaluable</t>
        </is>
      </c>
      <c r="AR86" s="3" t="inlineStr">
        <is>
          <t>no_evaluable</t>
        </is>
      </c>
      <c r="AS86" s="3" t="inlineStr">
        <is>
          <t>si</t>
        </is>
      </c>
      <c r="AT86" s="3" t="inlineStr">
        <is>
          <t>(b) mejor de la familia ols_familias: ols_factores trimestral, periodo completo; NO CUMPLE LA REGLA (§8 y multiverso) en ninguna variable; RMSE 3.839 vs AR(4) 0.804 (peor que AR(4))</t>
        </is>
      </c>
      <c r="AU86" s="3" t="inlineStr">
        <is>
          <t>src/v8/m6_colinealidad.py</t>
        </is>
      </c>
      <c r="AV86" s="3" t="inlineStr">
        <is>
          <t>(b) mejor de la familia ols_familias: ols_factores trimestral, periodo completo</t>
        </is>
      </c>
      <c r="AW86" s="3" t="inlineStr">
        <is>
          <t>M6:ols_factores</t>
        </is>
      </c>
      <c r="AX86" s="3" t="inlineStr">
        <is>
          <t>si</t>
        </is>
      </c>
      <c r="AY86" s="3" t="inlineStr">
        <is>
          <t>output/v8/M6/coeficientes.csv</t>
        </is>
      </c>
      <c r="AZ86" s="4">
        <f>Fuera_muestra!F54</f>
        <v/>
      </c>
      <c r="BA86" s="4">
        <f>Fuera_muestra!G54</f>
        <v/>
      </c>
      <c r="BB86" s="2">
        <f>AZ86/BA86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20" customWidth="1" min="4" max="4"/>
    <col width="12" customWidth="1" min="5" max="5"/>
    <col width="15" customWidth="1" min="6" max="6"/>
    <col width="8" customWidth="1" min="7" max="7"/>
    <col width="45" customWidth="1" min="8" max="8"/>
    <col width="31" customWidth="1" min="9" max="9"/>
    <col width="33" customWidth="1" min="10" max="10"/>
  </cols>
  <sheetData>
    <row r="1">
      <c r="A1" s="5" t="inlineStr">
        <is>
          <t>id</t>
        </is>
      </c>
      <c r="B1" s="5" t="inlineStr">
        <is>
          <t>hipotesis</t>
        </is>
      </c>
      <c r="C1" s="5" t="inlineStr">
        <is>
          <t>estimacion</t>
        </is>
      </c>
      <c r="D1" s="5" t="inlineStr">
        <is>
          <t>p</t>
        </is>
      </c>
      <c r="E1" s="5" t="inlineStr">
        <is>
          <t>p_holm</t>
        </is>
      </c>
      <c r="F1" s="5" t="inlineStr">
        <is>
          <t>metodo_ajuste</t>
        </is>
      </c>
      <c r="G1" s="5" t="inlineStr">
        <is>
          <t>capa</t>
        </is>
      </c>
      <c r="H1" s="5" t="inlineStr">
        <is>
          <t>decision</t>
        </is>
      </c>
      <c r="I1" s="5" t="inlineStr">
        <is>
          <t>fuente</t>
        </is>
      </c>
      <c r="J1" s="5" t="inlineStr">
        <is>
          <t>rechaza_H0_calc (p_holm &lt; 0,05)</t>
        </is>
      </c>
    </row>
    <row r="2">
      <c r="A2" s="3" t="inlineStr">
        <is>
          <t>H8-1</t>
        </is>
      </c>
      <c r="B2" s="3" t="inlineStr">
        <is>
          <t>En P5, la contribucion del shock demografico a la subida del alquiler real es positiva</t>
        </is>
      </c>
      <c r="C2" s="3" t="inlineStr">
        <is>
          <t>contribucion acumulada 0.07 pp (mediana 0.04; banda 68 % [-1.92; 2.13]); P(signo esperado) = 0.506</t>
        </is>
      </c>
      <c r="D2" s="3" t="n">
        <v>0.49374973</v>
      </c>
      <c r="E2" s="3" t="n">
        <v>0.98749946</v>
      </c>
      <c r="F2" s="3" t="inlineStr">
        <is>
          <t>Holm</t>
        </is>
      </c>
      <c r="G2" s="3" t="inlineStr">
        <is>
          <t>C3s</t>
        </is>
      </c>
      <c r="H2" s="3" t="inlineStr">
        <is>
          <t>no respaldada tras Holm (C3s: condicionada a las restricciones de signo)</t>
        </is>
      </c>
      <c r="I2" s="3" t="inlineStr">
        <is>
          <t>output/v8/M2/hipotesis_m2.csv</t>
        </is>
      </c>
      <c r="J2" s="2">
        <f>IF(E2&lt;0.05,"sí","no")</f>
        <v/>
      </c>
    </row>
    <row r="3">
      <c r="A3" s="3" t="inlineStr">
        <is>
          <t>H8-2</t>
        </is>
      </c>
      <c r="B3" s="3" t="inlineStr">
        <is>
          <t>En P5, la contribucion de credito y tipos al precio real de compra es negativa</t>
        </is>
      </c>
      <c r="C3" s="3" t="inlineStr">
        <is>
          <t>contribucion acumulada -0.47 pp (mediana 3.37; banda 68 % [-2.82; 12.77]); P(signo esperado) = 0.293</t>
        </is>
      </c>
      <c r="D3" s="3" t="n">
        <v>0.70664204</v>
      </c>
      <c r="E3" s="3" t="n">
        <v>0.98749946</v>
      </c>
      <c r="F3" s="3" t="inlineStr">
        <is>
          <t>Holm</t>
        </is>
      </c>
      <c r="G3" s="3" t="inlineStr">
        <is>
          <t>C3s</t>
        </is>
      </c>
      <c r="H3" s="3" t="inlineStr">
        <is>
          <t>no respaldada tras Holm (C3s: condicionada a las restricciones de signo)</t>
        </is>
      </c>
      <c r="I3" s="3" t="inlineStr">
        <is>
          <t>output/v8/M2/hipotesis_m2.csv</t>
        </is>
      </c>
      <c r="J3" s="2">
        <f>IF(E3&lt;0.05,"sí","no")</f>
        <v/>
      </c>
    </row>
    <row r="4">
      <c r="A4" s="3" t="inlineStr">
        <is>
          <t>H8-3</t>
        </is>
      </c>
      <c r="B4" s="3" t="inlineStr">
        <is>
          <t>En P3, la contribucion de actividad y renta al precio real de compra es positiva</t>
        </is>
      </c>
      <c r="C4" s="3" t="inlineStr">
        <is>
          <t>contribucion acumulada 7.72 pp (mediana 5.22; banda 68 % [-3.47; 18.23]); P(signo esperado) = 0.721</t>
        </is>
      </c>
      <c r="D4" s="3" t="n">
        <v>0.27926802</v>
      </c>
      <c r="E4" s="3" t="n">
        <v>0.83780405</v>
      </c>
      <c r="F4" s="3" t="inlineStr">
        <is>
          <t>Holm</t>
        </is>
      </c>
      <c r="G4" s="3" t="inlineStr">
        <is>
          <t>C3s</t>
        </is>
      </c>
      <c r="H4" s="3" t="inlineStr">
        <is>
          <t>no respaldada tras Holm (C3s: condicionada a las restricciones de signo)</t>
        </is>
      </c>
      <c r="I4" s="3" t="inlineStr">
        <is>
          <t>output/v8/M2/hipotesis_m2.csv</t>
        </is>
      </c>
      <c r="J4" s="2">
        <f>IF(E4&lt;0.05,"sí","no")</f>
        <v/>
      </c>
    </row>
    <row r="5">
      <c r="A5" s="3" t="inlineStr">
        <is>
          <t>H8-4</t>
        </is>
      </c>
      <c r="B5" s="3" t="inlineStr">
        <is>
          <t>En P2, la contribucion conjunta de credito y tipos y de actividad y renta al precio real de compra es negativa</t>
        </is>
      </c>
      <c r="C5" s="3" t="inlineStr">
        <is>
          <t>contribucion acumulada -19.23 pp (mediana -16.71; banda 68 % [-34.59; -4.15]); P(signo esperado) = 0.914</t>
        </is>
      </c>
      <c r="D5" s="3" t="n">
        <v>0.085658416</v>
      </c>
      <c r="E5" s="3" t="n">
        <v>0.34263366</v>
      </c>
      <c r="F5" s="3" t="inlineStr">
        <is>
          <t>Holm</t>
        </is>
      </c>
      <c r="G5" s="3" t="inlineStr">
        <is>
          <t>C3s</t>
        </is>
      </c>
      <c r="H5" s="3" t="inlineStr">
        <is>
          <t>no respaldada tras Holm (C3s: condicionada a las restricciones de signo)</t>
        </is>
      </c>
      <c r="I5" s="3" t="inlineStr">
        <is>
          <t>output/v8/M2/hipotesis_m2.csv</t>
        </is>
      </c>
      <c r="J5" s="2">
        <f>IF(E5&lt;0.05,"sí","no")</f>
        <v/>
      </c>
    </row>
    <row r="6">
      <c r="A6" s="3" t="inlineStr">
        <is>
          <t>H8-5</t>
        </is>
      </c>
      <c r="B6" s="3" t="inlineStr">
        <is>
          <t>Un shock monetario contractivo del BCE reduce el precio real de compra a h = 4-8</t>
        </is>
      </c>
      <c r="C6" s="3" t="inlineStr">
        <is>
          <t>beta descriptivo (cociente) -8.78 (no es evidencia); F efectivo 1.83; IC AR95 [-inf; inf]; signo forma reducida 1 (esperado -1)</t>
        </is>
      </c>
      <c r="D6" s="3" t="n">
        <v>0.7243872100112376</v>
      </c>
      <c r="E6" s="3" t="n">
        <v>1</v>
      </c>
      <c r="F6" s="3" t="inlineStr">
        <is>
          <t>Holm</t>
        </is>
      </c>
      <c r="G6" s="3" t="inlineStr">
        <is>
          <t>C4</t>
        </is>
      </c>
      <c r="H6" s="3" t="inlineStr">
        <is>
          <t>no respaldada tras Holm; no respaldada tras Holm (instrumento no supera C3)</t>
        </is>
      </c>
      <c r="I6" s="3" t="inlineStr">
        <is>
          <t>output/v8/M5/hipotesis_m5.csv</t>
        </is>
      </c>
      <c r="J6" s="2">
        <f>IF(E6&lt;0.05,"sí","no")</f>
        <v/>
      </c>
    </row>
    <row r="7">
      <c r="A7" s="3" t="inlineStr">
        <is>
          <t>H8-6</t>
        </is>
      </c>
      <c r="B7" s="3" t="inlineStr">
        <is>
          <t>Un shock monetario contractivo del BCE reduce el alquiler real a h = 4-8</t>
        </is>
      </c>
      <c r="C7" s="3" t="inlineStr">
        <is>
          <t>beta descriptivo (cociente) -2.91 (no es evidencia); F efectivo 0.77; IC AR95 [-inf; inf]; signo forma reducida 1 (esperado -1)</t>
        </is>
      </c>
      <c r="D7" s="3" t="n">
        <v>0.6349390457782819</v>
      </c>
      <c r="E7" s="3" t="n">
        <v>1</v>
      </c>
      <c r="F7" s="3" t="inlineStr">
        <is>
          <t>Holm</t>
        </is>
      </c>
      <c r="G7" s="3" t="inlineStr">
        <is>
          <t>C4</t>
        </is>
      </c>
      <c r="H7" s="3" t="inlineStr">
        <is>
          <t>no respaldada tras Holm; no respaldada tras Holm (instrumento no supera C3)</t>
        </is>
      </c>
      <c r="I7" s="3" t="inlineStr">
        <is>
          <t>output/v8/M5/hipotesis_m5.csv</t>
        </is>
      </c>
      <c r="J7" s="2">
        <f>IF(E7&lt;0.05,"sí","no")</f>
        <v/>
      </c>
    </row>
    <row r="8">
      <c r="A8" s="3" t="inlineStr">
        <is>
          <t>H8-7</t>
        </is>
      </c>
      <c r="B8" s="3" t="inlineStr">
        <is>
          <t>El empuje migratorio aumenta el alquiler real</t>
        </is>
      </c>
      <c r="C8" s="3" t="inlineStr">
        <is>
          <t>beta descriptivo (cociente) -0.51 (no es evidencia); F efectivo 0.05; IC AR95 [-inf; inf]; signo forma reducida -1 (esperado 1)</t>
        </is>
      </c>
      <c r="D8" s="3" t="n">
        <v>0.5363709418045447</v>
      </c>
      <c r="E8" s="3" t="n">
        <v>1</v>
      </c>
      <c r="F8" s="3" t="inlineStr">
        <is>
          <t>Holm</t>
        </is>
      </c>
      <c r="G8" s="3" t="inlineStr">
        <is>
          <t>C4</t>
        </is>
      </c>
      <c r="H8" s="3" t="inlineStr">
        <is>
          <t>no respaldada tras Holm; no respaldada tras Holm (instrumento no supera C3)</t>
        </is>
      </c>
      <c r="I8" s="3" t="inlineStr">
        <is>
          <t>output/v8/M5/hipotesis_m5.csv</t>
        </is>
      </c>
      <c r="J8" s="2">
        <f>IF(E8&lt;0.05,"sí","no")</f>
        <v/>
      </c>
    </row>
    <row r="9">
      <c r="A9" s="3" t="inlineStr">
        <is>
          <t>H8-8</t>
        </is>
      </c>
      <c r="B9" s="3" t="inlineStr">
        <is>
          <t>El componente comun de las 17 CCAA explica mas del 50 % de la varianza del crecimiento interanual del precio real de compra en cada periodo</t>
        </is>
      </c>
      <c r="C9" s="3" t="inlineStr">
        <is>
          <t>{"P1": 0.6474, "P2": 0.4527, "P3": 0.5958, "P4": 0.455, "P5": 0.9279}</t>
        </is>
      </c>
      <c r="D9" s="3" t="n">
        <v>0.669</v>
      </c>
      <c r="E9" s="3" t="n">
        <v>0.669</v>
      </c>
      <c r="F9" s="3" t="inlineStr">
        <is>
          <t>Holm</t>
        </is>
      </c>
      <c r="G9" s="3" t="inlineStr">
        <is>
          <t>C4</t>
        </is>
      </c>
      <c r="H9" s="3" t="inlineStr">
        <is>
          <t>no respaldada tras Holm (C4: asociacion, sin lectura causal)</t>
        </is>
      </c>
      <c r="I9" s="3" t="inlineStr">
        <is>
          <t>output/v8/M1/hipotesis_m1.csv</t>
        </is>
      </c>
      <c r="J9" s="2">
        <f>IF(E9&lt;0.05,"sí","no")</f>
        <v/>
      </c>
    </row>
    <row r="10">
      <c r="A10" s="3" t="inlineStr">
        <is>
          <t>H8-9</t>
        </is>
      </c>
      <c r="B10" s="3" t="inlineStr">
        <is>
          <t>El factor comun espanol covaria positivamente con el crecimiento del HPI de la zona euro</t>
        </is>
      </c>
      <c r="C10" s="3" t="inlineStr">
        <is>
          <t>0.5976</t>
        </is>
      </c>
      <c r="D10" s="3" t="n">
        <v>0.01</v>
      </c>
      <c r="E10" s="3" t="n">
        <v>0.02</v>
      </c>
      <c r="F10" s="3" t="inlineStr">
        <is>
          <t>Holm</t>
        </is>
      </c>
      <c r="G10" s="3" t="inlineStr">
        <is>
          <t>C4</t>
        </is>
      </c>
      <c r="H10" s="3" t="inlineStr">
        <is>
          <t>respaldada tras Holm (C4: asociacion, sin lectura causal)</t>
        </is>
      </c>
      <c r="I10" s="3" t="inlineStr">
        <is>
          <t>output/v8/M1/hipotesis_m1.csv</t>
        </is>
      </c>
      <c r="J10" s="2">
        <f>IF(E10&lt;0.05,"sí","no")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7" customWidth="1" min="4" max="4"/>
    <col width="15" customWidth="1" min="5" max="5"/>
    <col width="19" customWidth="1" min="6" max="6"/>
    <col width="18" customWidth="1" min="7" max="7"/>
    <col width="9" customWidth="1" min="8" max="8"/>
    <col width="8" customWidth="1" min="9" max="9"/>
    <col width="8" customWidth="1" min="10" max="10"/>
    <col width="8" customWidth="1" min="11" max="11"/>
    <col width="14" customWidth="1" min="12" max="12"/>
    <col width="31" customWidth="1" min="13" max="13"/>
    <col width="27" customWidth="1" min="14" max="14"/>
    <col width="29" customWidth="1" min="15" max="15"/>
    <col width="18" customWidth="1" min="16" max="16"/>
  </cols>
  <sheetData>
    <row r="1">
      <c r="A1" s="5" t="inlineStr">
        <is>
          <t>mercado</t>
        </is>
      </c>
      <c r="B1" s="5" t="inlineStr">
        <is>
          <t>periodo</t>
        </is>
      </c>
      <c r="C1" s="5" t="inlineStr">
        <is>
          <t>voto_svar_hd</t>
        </is>
      </c>
      <c r="D1" s="5" t="inlineStr">
        <is>
          <t>voto_dominancia</t>
        </is>
      </c>
      <c r="E1" s="5" t="inlineStr">
        <is>
          <t>voto_lpiv</t>
        </is>
      </c>
      <c r="F1" s="5" t="inlineStr">
        <is>
          <t>voto_contabilidad</t>
        </is>
      </c>
      <c r="G1" s="5" t="inlineStr">
        <is>
          <t>factor_evaluado</t>
        </is>
      </c>
      <c r="H1" s="5" t="inlineStr">
        <is>
          <t>n_votos</t>
        </is>
      </c>
      <c r="I1" s="5" t="inlineStr">
        <is>
          <t>cond1</t>
        </is>
      </c>
      <c r="J1" s="5" t="inlineStr">
        <is>
          <t>cond2</t>
        </is>
      </c>
      <c r="K1" s="5" t="inlineStr">
        <is>
          <t>cond3</t>
        </is>
      </c>
      <c r="L1" s="5" t="inlineStr">
        <is>
          <t>resultado</t>
        </is>
      </c>
      <c r="M1" s="5" t="inlineStr">
        <is>
          <t>capa</t>
        </is>
      </c>
      <c r="N1" s="5" t="inlineStr">
        <is>
          <t>fuente</t>
        </is>
      </c>
      <c r="O1" s="5" t="inlineStr">
        <is>
          <t>votos_factor_calc (COUNTIF)</t>
        </is>
      </c>
      <c r="P1" s="5" t="inlineStr">
        <is>
          <t>cond1_calc (&gt;=3)</t>
        </is>
      </c>
    </row>
    <row r="2">
      <c r="A2" s="3" t="inlineStr">
        <is>
          <t>compra</t>
        </is>
      </c>
      <c r="B2" s="3" t="inlineStr">
        <is>
          <t>P1</t>
        </is>
      </c>
      <c r="C2" s="3" t="inlineStr">
        <is>
          <t>empleo_renta</t>
        </is>
      </c>
      <c r="D2" s="3" t="inlineStr">
        <is>
          <t>abstiene</t>
        </is>
      </c>
      <c r="E2" s="3" t="inlineStr">
        <is>
          <t>abstiene</t>
        </is>
      </c>
      <c r="F2" s="3" t="inlineStr">
        <is>
          <t>abstiene</t>
        </is>
      </c>
      <c r="G2" s="3" t="inlineStr">
        <is>
          <t>empleo_renta</t>
        </is>
      </c>
      <c r="H2" s="3" t="n">
        <v>1</v>
      </c>
      <c r="I2" s="3" t="inlineStr">
        <is>
          <t>no</t>
        </is>
      </c>
      <c r="J2" s="3" t="inlineStr">
        <is>
          <t>sí</t>
        </is>
      </c>
      <c r="K2" s="3" t="inlineStr">
        <is>
          <t>sí</t>
        </is>
      </c>
      <c r="L2" s="3" t="inlineStr">
        <is>
          <t>no designado</t>
        </is>
      </c>
      <c r="M2" s="3" t="inlineStr">
        <is>
          <t>C4 (ranking; sin designacion)</t>
        </is>
      </c>
      <c r="N2" s="3" t="inlineStr">
        <is>
          <t>output/v8/F5/regla_s9.csv</t>
        </is>
      </c>
      <c r="O2" s="2">
        <f>COUNTIF(C2:F2,G2)</f>
        <v/>
      </c>
      <c r="P2" s="2">
        <f>IF(O2&gt;=3,"sí","no")</f>
        <v/>
      </c>
    </row>
    <row r="3">
      <c r="A3" s="3" t="inlineStr">
        <is>
          <t>compra</t>
        </is>
      </c>
      <c r="B3" s="3" t="inlineStr">
        <is>
          <t>P2</t>
        </is>
      </c>
      <c r="C3" s="3" t="inlineStr">
        <is>
          <t>empleo_renta</t>
        </is>
      </c>
      <c r="D3" s="3" t="inlineStr">
        <is>
          <t>factor_europeo</t>
        </is>
      </c>
      <c r="E3" s="3" t="inlineStr">
        <is>
          <t>abstiene</t>
        </is>
      </c>
      <c r="F3" s="3" t="inlineStr">
        <is>
          <t>abstiene</t>
        </is>
      </c>
      <c r="G3" s="3" t="inlineStr">
        <is>
          <t>empleo_renta</t>
        </is>
      </c>
      <c r="H3" s="3" t="n">
        <v>1</v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 designado</t>
        </is>
      </c>
      <c r="M3" s="3" t="inlineStr">
        <is>
          <t>C4 (ranking; sin designacion)</t>
        </is>
      </c>
      <c r="N3" s="3" t="inlineStr">
        <is>
          <t>output/v8/F5/regla_s9.csv</t>
        </is>
      </c>
      <c r="O3" s="2">
        <f>COUNTIF(C3:F3,G3)</f>
        <v/>
      </c>
      <c r="P3" s="2">
        <f>IF(O3&gt;=3,"sí","no")</f>
        <v/>
      </c>
    </row>
    <row r="4">
      <c r="A4" s="3" t="inlineStr">
        <is>
          <t>compra</t>
        </is>
      </c>
      <c r="B4" s="3" t="inlineStr">
        <is>
          <t>P3</t>
        </is>
      </c>
      <c r="C4" s="3" t="inlineStr">
        <is>
          <t>empleo_renta</t>
        </is>
      </c>
      <c r="D4" s="3" t="inlineStr">
        <is>
          <t>empleo_renta</t>
        </is>
      </c>
      <c r="E4" s="3" t="inlineStr">
        <is>
          <t>abstiene</t>
        </is>
      </c>
      <c r="F4" s="3" t="inlineStr">
        <is>
          <t>demografia</t>
        </is>
      </c>
      <c r="G4" s="3" t="inlineStr">
        <is>
          <t>empleo_renta</t>
        </is>
      </c>
      <c r="H4" s="3" t="n">
        <v>2</v>
      </c>
      <c r="I4" s="3" t="inlineStr">
        <is>
          <t>no</t>
        </is>
      </c>
      <c r="J4" s="3" t="inlineStr">
        <is>
          <t>sí</t>
        </is>
      </c>
      <c r="K4" s="3" t="inlineStr">
        <is>
          <t>no</t>
        </is>
      </c>
      <c r="L4" s="3" t="inlineStr">
        <is>
          <t>no designado</t>
        </is>
      </c>
      <c r="M4" s="3" t="inlineStr">
        <is>
          <t>C4 (ranking; sin designacion)</t>
        </is>
      </c>
      <c r="N4" s="3" t="inlineStr">
        <is>
          <t>output/v8/F5/regla_s9.csv</t>
        </is>
      </c>
      <c r="O4" s="2">
        <f>COUNTIF(C4:F4,G4)</f>
        <v/>
      </c>
      <c r="P4" s="2">
        <f>IF(O4&gt;=3,"sí","no")</f>
        <v/>
      </c>
    </row>
    <row r="5">
      <c r="A5" s="3" t="inlineStr">
        <is>
          <t>compra</t>
        </is>
      </c>
      <c r="B5" s="3" t="inlineStr">
        <is>
          <t>P4</t>
        </is>
      </c>
      <c r="C5" s="3" t="inlineStr">
        <is>
          <t>empleo_renta</t>
        </is>
      </c>
      <c r="D5" s="3" t="inlineStr">
        <is>
          <t>credito_tipos</t>
        </is>
      </c>
      <c r="E5" s="3" t="inlineStr">
        <is>
          <t>credito_tipos</t>
        </is>
      </c>
      <c r="F5" s="3" t="inlineStr">
        <is>
          <t>abstiene</t>
        </is>
      </c>
      <c r="G5" s="3" t="inlineStr">
        <is>
          <t>credito_tipos</t>
        </is>
      </c>
      <c r="H5" s="3" t="n">
        <v>2</v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 designado</t>
        </is>
      </c>
      <c r="M5" s="3" t="inlineStr">
        <is>
          <t>C4 (ranking; sin designacion)</t>
        </is>
      </c>
      <c r="N5" s="3" t="inlineStr">
        <is>
          <t>output/v8/F5/regla_s9.csv</t>
        </is>
      </c>
      <c r="O5" s="2">
        <f>COUNTIF(C5:F5,G5)</f>
        <v/>
      </c>
      <c r="P5" s="2">
        <f>IF(O5&gt;=3,"sí","no")</f>
        <v/>
      </c>
    </row>
    <row r="6">
      <c r="A6" s="3" t="inlineStr">
        <is>
          <t>compra</t>
        </is>
      </c>
      <c r="B6" s="3" t="inlineStr">
        <is>
          <t>P5</t>
        </is>
      </c>
      <c r="C6" s="3" t="inlineStr">
        <is>
          <t>credito_tipos</t>
        </is>
      </c>
      <c r="D6" s="3" t="inlineStr">
        <is>
          <t>credito_tipos</t>
        </is>
      </c>
      <c r="E6" s="3" t="inlineStr">
        <is>
          <t>abstiene</t>
        </is>
      </c>
      <c r="F6" s="3" t="inlineStr">
        <is>
          <t>demografia</t>
        </is>
      </c>
      <c r="G6" s="3" t="inlineStr">
        <is>
          <t>credito_tipos</t>
        </is>
      </c>
      <c r="H6" s="3" t="n">
        <v>2</v>
      </c>
      <c r="I6" s="3" t="inlineStr">
        <is>
          <t>no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 designado</t>
        </is>
      </c>
      <c r="M6" s="3" t="inlineStr">
        <is>
          <t>C4 (ranking; sin designacion)</t>
        </is>
      </c>
      <c r="N6" s="3" t="inlineStr">
        <is>
          <t>output/v8/F5/regla_s9.csv</t>
        </is>
      </c>
      <c r="O6" s="2">
        <f>COUNTIF(C6:F6,G6)</f>
        <v/>
      </c>
      <c r="P6" s="2">
        <f>IF(O6&gt;=3,"sí","no")</f>
        <v/>
      </c>
    </row>
    <row r="7">
      <c r="A7" s="3" t="inlineStr">
        <is>
          <t>alquiler</t>
        </is>
      </c>
      <c r="B7" s="3" t="inlineStr">
        <is>
          <t>P1</t>
        </is>
      </c>
      <c r="C7" s="3" t="inlineStr">
        <is>
          <t>abstiene</t>
        </is>
      </c>
      <c r="D7" s="3" t="inlineStr">
        <is>
          <t>factor_europeo</t>
        </is>
      </c>
      <c r="E7" s="3" t="inlineStr">
        <is>
          <t>abstiene</t>
        </is>
      </c>
      <c r="F7" s="3" t="inlineStr">
        <is>
          <t>abstiene</t>
        </is>
      </c>
      <c r="G7" s="3" t="inlineStr">
        <is>
          <t>factor_europeo</t>
        </is>
      </c>
      <c r="H7" s="3" t="n">
        <v>1</v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 designado</t>
        </is>
      </c>
      <c r="M7" s="3" t="inlineStr">
        <is>
          <t>C4 (ranking; sin designacion)</t>
        </is>
      </c>
      <c r="N7" s="3" t="inlineStr">
        <is>
          <t>output/v8/F5/regla_s9.csv</t>
        </is>
      </c>
      <c r="O7" s="2">
        <f>COUNTIF(C7:F7,G7)</f>
        <v/>
      </c>
      <c r="P7" s="2">
        <f>IF(O7&gt;=3,"sí","no")</f>
        <v/>
      </c>
    </row>
    <row r="8">
      <c r="A8" s="3" t="inlineStr">
        <is>
          <t>alquiler</t>
        </is>
      </c>
      <c r="B8" s="3" t="inlineStr">
        <is>
          <t>P2</t>
        </is>
      </c>
      <c r="C8" s="3" t="inlineStr">
        <is>
          <t>empleo_renta</t>
        </is>
      </c>
      <c r="D8" s="3" t="inlineStr">
        <is>
          <t>empleo_renta</t>
        </is>
      </c>
      <c r="E8" s="3" t="inlineStr">
        <is>
          <t>abstiene</t>
        </is>
      </c>
      <c r="F8" s="3" t="inlineStr">
        <is>
          <t>abstiene</t>
        </is>
      </c>
      <c r="G8" s="3" t="inlineStr">
        <is>
          <t>empleo_renta</t>
        </is>
      </c>
      <c r="H8" s="3" t="n">
        <v>2</v>
      </c>
      <c r="I8" s="3" t="inlineStr">
        <is>
          <t>no</t>
        </is>
      </c>
      <c r="J8" s="3" t="inlineStr">
        <is>
          <t>no</t>
        </is>
      </c>
      <c r="K8" s="3" t="inlineStr">
        <is>
          <t>no</t>
        </is>
      </c>
      <c r="L8" s="3" t="inlineStr">
        <is>
          <t>no designado</t>
        </is>
      </c>
      <c r="M8" s="3" t="inlineStr">
        <is>
          <t>C4 (ranking; sin designacion)</t>
        </is>
      </c>
      <c r="N8" s="3" t="inlineStr">
        <is>
          <t>output/v8/F5/regla_s9.csv</t>
        </is>
      </c>
      <c r="O8" s="2">
        <f>COUNTIF(C8:F8,G8)</f>
        <v/>
      </c>
      <c r="P8" s="2">
        <f>IF(O8&gt;=3,"sí","no")</f>
        <v/>
      </c>
    </row>
    <row r="9">
      <c r="A9" s="3" t="inlineStr">
        <is>
          <t>alquiler</t>
        </is>
      </c>
      <c r="B9" s="3" t="inlineStr">
        <is>
          <t>P3</t>
        </is>
      </c>
      <c r="C9" s="3" t="inlineStr">
        <is>
          <t>demografia</t>
        </is>
      </c>
      <c r="D9" s="3" t="inlineStr">
        <is>
          <t>demanda_externa</t>
        </is>
      </c>
      <c r="E9" s="3" t="inlineStr">
        <is>
          <t>abstiene</t>
        </is>
      </c>
      <c r="F9" s="3" t="inlineStr">
        <is>
          <t>abstiene</t>
        </is>
      </c>
      <c r="G9" s="3" t="inlineStr">
        <is>
          <t>demografia</t>
        </is>
      </c>
      <c r="H9" s="3" t="n">
        <v>1</v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 designado</t>
        </is>
      </c>
      <c r="M9" s="3" t="inlineStr">
        <is>
          <t>C4 (ranking; sin designacion)</t>
        </is>
      </c>
      <c r="N9" s="3" t="inlineStr">
        <is>
          <t>output/v8/F5/regla_s9.csv</t>
        </is>
      </c>
      <c r="O9" s="2">
        <f>COUNTIF(C9:F9,G9)</f>
        <v/>
      </c>
      <c r="P9" s="2">
        <f>IF(O9&gt;=3,"sí","no")</f>
        <v/>
      </c>
    </row>
    <row r="10">
      <c r="A10" s="3" t="inlineStr">
        <is>
          <t>alquiler</t>
        </is>
      </c>
      <c r="B10" s="3" t="inlineStr">
        <is>
          <t>P4</t>
        </is>
      </c>
      <c r="C10" s="3" t="inlineStr">
        <is>
          <t>demanda_vivienda</t>
        </is>
      </c>
      <c r="D10" s="3" t="inlineStr">
        <is>
          <t>credito_tipos</t>
        </is>
      </c>
      <c r="E10" s="3" t="inlineStr">
        <is>
          <t>abstiene</t>
        </is>
      </c>
      <c r="F10" s="3" t="inlineStr">
        <is>
          <t>abstiene</t>
        </is>
      </c>
      <c r="G10" s="3" t="inlineStr">
        <is>
          <t>demanda_vivienda</t>
        </is>
      </c>
      <c r="H10" s="3" t="n">
        <v>1</v>
      </c>
      <c r="I10" s="3" t="inlineStr">
        <is>
          <t>no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no designado</t>
        </is>
      </c>
      <c r="M10" s="3" t="inlineStr">
        <is>
          <t>C4 (ranking; sin designacion)</t>
        </is>
      </c>
      <c r="N10" s="3" t="inlineStr">
        <is>
          <t>output/v8/F5/regla_s9.csv</t>
        </is>
      </c>
      <c r="O10" s="2">
        <f>COUNTIF(C10:F10,G10)</f>
        <v/>
      </c>
      <c r="P10" s="2">
        <f>IF(O10&gt;=3,"sí","no")</f>
        <v/>
      </c>
    </row>
    <row r="11">
      <c r="A11" s="3" t="inlineStr">
        <is>
          <t>alquiler</t>
        </is>
      </c>
      <c r="B11" s="3" t="inlineStr">
        <is>
          <t>P5</t>
        </is>
      </c>
      <c r="C11" s="3" t="inlineStr">
        <is>
          <t>credito_tipos</t>
        </is>
      </c>
      <c r="D11" s="3" t="inlineStr">
        <is>
          <t>credito_tipos</t>
        </is>
      </c>
      <c r="E11" s="3" t="inlineStr">
        <is>
          <t>abstiene</t>
        </is>
      </c>
      <c r="F11" s="3" t="inlineStr">
        <is>
          <t>abstiene</t>
        </is>
      </c>
      <c r="G11" s="3" t="inlineStr">
        <is>
          <t>credito_tipos</t>
        </is>
      </c>
      <c r="H11" s="3" t="n">
        <v>2</v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 designado</t>
        </is>
      </c>
      <c r="M11" s="3" t="inlineStr">
        <is>
          <t>C4 (ranking; sin designacion)</t>
        </is>
      </c>
      <c r="N11" s="3" t="inlineStr">
        <is>
          <t>output/v8/F5/regla_s9.csv</t>
        </is>
      </c>
      <c r="O11" s="2">
        <f>COUNTIF(C11:F11,G11)</f>
        <v/>
      </c>
      <c r="P11" s="2">
        <f>IF(O11&gt;=3,"sí","no")</f>
        <v/>
      </c>
    </row>
    <row r="12"/>
    <row r="13">
      <c r="A13" s="5" t="inlineStr">
        <is>
          <t>Celdas designadas (calc.)</t>
        </is>
      </c>
      <c r="B13" s="2">
        <f>COUNTIF(L2:L11,"designado")</f>
        <v/>
      </c>
    </row>
    <row r="14">
      <c r="A14" s="5" t="inlineStr">
        <is>
          <t>Celdas con condición 1 (calc.)</t>
        </is>
      </c>
      <c r="B14" s="2">
        <f>COUNTIF(P2:P11,"sí")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8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8" customWidth="1" min="4" max="4"/>
    <col width="19" customWidth="1" min="5" max="5"/>
    <col width="17" customWidth="1" min="6" max="6"/>
    <col width="13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9" customWidth="1" min="15" max="15"/>
    <col width="45" customWidth="1" min="16" max="16"/>
    <col width="34" customWidth="1" min="17" max="17"/>
    <col width="19" customWidth="1" min="18" max="18"/>
    <col width="45" customWidth="1" min="19" max="19"/>
    <col width="39" customWidth="1" min="20" max="20"/>
    <col width="36" customWidth="1" min="21" max="21"/>
    <col width="41" customWidth="1" min="22" max="22"/>
  </cols>
  <sheetData>
    <row r="1">
      <c r="A1" s="5" t="inlineStr">
        <is>
          <t>mercado</t>
        </is>
      </c>
      <c r="B1" s="5" t="inlineStr">
        <is>
          <t>ambito</t>
        </is>
      </c>
      <c r="C1" s="5" t="inlineStr">
        <is>
          <t>periodo</t>
        </is>
      </c>
      <c r="D1" s="5" t="inlineStr">
        <is>
          <t>factor</t>
        </is>
      </c>
      <c r="E1" s="5" t="inlineStr">
        <is>
          <t>metodo</t>
        </is>
      </c>
      <c r="F1" s="5" t="inlineStr">
        <is>
          <t>contribucion_pp</t>
        </is>
      </c>
      <c r="G1" s="5" t="inlineStr">
        <is>
          <t>media</t>
        </is>
      </c>
      <c r="H1" s="5" t="inlineStr">
        <is>
          <t>mediana</t>
        </is>
      </c>
      <c r="I1" s="5" t="inlineStr">
        <is>
          <t>pct_signo</t>
        </is>
      </c>
      <c r="J1" s="5" t="inlineStr">
        <is>
          <t>b68_lo</t>
        </is>
      </c>
      <c r="K1" s="5" t="inlineStr">
        <is>
          <t>b68_hi</t>
        </is>
      </c>
      <c r="L1" s="5" t="inlineStr">
        <is>
          <t>b90_lo</t>
        </is>
      </c>
      <c r="M1" s="5" t="inlineStr">
        <is>
          <t>b90_hi</t>
        </is>
      </c>
      <c r="N1" s="5" t="inlineStr">
        <is>
          <t>capa</t>
        </is>
      </c>
      <c r="O1" s="5" t="inlineStr">
        <is>
          <t>compite</t>
        </is>
      </c>
      <c r="P1" s="5" t="inlineStr">
        <is>
          <t>vota</t>
        </is>
      </c>
      <c r="Q1" s="5" t="inlineStr">
        <is>
          <t>variante</t>
        </is>
      </c>
      <c r="R1" s="5" t="inlineStr">
        <is>
          <t>delta_y_metodo_pp</t>
        </is>
      </c>
      <c r="S1" s="5" t="inlineStr">
        <is>
          <t>notas</t>
        </is>
      </c>
      <c r="T1" s="5" t="inlineStr">
        <is>
          <t>fuente</t>
        </is>
      </c>
      <c r="U1" s="5" t="inlineStr">
        <is>
          <t>pct_total_calc (contribución / ΔY)</t>
        </is>
      </c>
      <c r="V1" s="5" t="inlineStr">
        <is>
          <t>suma_contribuciones_celda_calc (SUMIFS)</t>
        </is>
      </c>
    </row>
    <row r="2">
      <c r="A2" s="3" t="inlineStr">
        <is>
          <t>compra</t>
        </is>
      </c>
      <c r="B2" s="3" t="inlineStr">
        <is>
          <t>nacional</t>
        </is>
      </c>
      <c r="C2" s="3" t="inlineStr">
        <is>
          <t>P2</t>
        </is>
      </c>
      <c r="D2" s="3" t="inlineStr">
        <is>
          <t>empleo_renta</t>
        </is>
      </c>
      <c r="E2" s="3" t="inlineStr">
        <is>
          <t>svar_hd</t>
        </is>
      </c>
      <c r="F2" s="3" t="n">
        <v>-10.6353</v>
      </c>
      <c r="G2" s="3" t="n">
        <v>-10.6353</v>
      </c>
      <c r="H2" s="3" t="n">
        <v>-7.57201</v>
      </c>
      <c r="I2" s="3" t="n">
        <v>0.241701</v>
      </c>
      <c r="J2" s="3" t="n">
        <v>-23.5243</v>
      </c>
      <c r="K2" s="3" t="n">
        <v>0.660395</v>
      </c>
      <c r="L2" s="3" t="n">
        <v>-38.8394</v>
      </c>
      <c r="M2" s="3" t="n">
        <v>7.26832</v>
      </c>
      <c r="N2" s="3" t="inlineStr">
        <is>
          <t>C3s</t>
        </is>
      </c>
      <c r="O2" s="3" t="inlineStr">
        <is>
          <t>si</t>
        </is>
      </c>
      <c r="P2" s="3" t="inlineStr">
        <is>
          <t>si</t>
        </is>
      </c>
      <c r="Q2" s="3" t="inlineStr">
        <is>
          <t>V3</t>
        </is>
      </c>
      <c r="R2" s="3" t="n">
        <v>-44.0018</v>
      </c>
      <c r="S2" s="3" t="inlineStr">
        <is>
          <t>media posterior (aditiva); R0; C3s condicionada a los supuestos</t>
        </is>
      </c>
      <c r="T2" s="3" t="inlineStr">
        <is>
          <t>output/v8/F5/atribucion_combinada.csv</t>
        </is>
      </c>
      <c r="U2" s="2">
        <f>IF(R2=0,"",F2/R2)</f>
        <v/>
      </c>
      <c r="V2" s="2">
        <f>SUMIFS(F$2:F$1589,A$2:A$1589,A2,C$2:C$1589,C2,E$2:E$1589,E2,Q$2:Q$1589,Q2)</f>
        <v/>
      </c>
    </row>
    <row r="3">
      <c r="A3" s="3" t="inlineStr">
        <is>
          <t>compra</t>
        </is>
      </c>
      <c r="B3" s="3" t="inlineStr">
        <is>
          <t>nacional</t>
        </is>
      </c>
      <c r="C3" s="3" t="inlineStr">
        <is>
          <t>P2</t>
        </is>
      </c>
      <c r="D3" s="3" t="inlineStr">
        <is>
          <t>demografia</t>
        </is>
      </c>
      <c r="E3" s="3" t="inlineStr">
        <is>
          <t>svar_hd</t>
        </is>
      </c>
      <c r="F3" s="3" t="n">
        <v>-2.93343</v>
      </c>
      <c r="G3" s="3" t="n">
        <v>-2.93343</v>
      </c>
      <c r="H3" s="3" t="n">
        <v>-1.59917</v>
      </c>
      <c r="I3" s="3" t="n">
        <v>0.06666619999999999</v>
      </c>
      <c r="J3" s="3" t="n">
        <v>-10.7148</v>
      </c>
      <c r="K3" s="3" t="n">
        <v>4.04962</v>
      </c>
      <c r="L3" s="3" t="n">
        <v>-20.6099</v>
      </c>
      <c r="M3" s="3" t="n">
        <v>11.0989</v>
      </c>
      <c r="N3" s="3" t="inlineStr">
        <is>
          <t>C3s</t>
        </is>
      </c>
      <c r="O3" s="3" t="inlineStr">
        <is>
          <t>si</t>
        </is>
      </c>
      <c r="P3" s="3" t="inlineStr">
        <is>
          <t>no</t>
        </is>
      </c>
      <c r="Q3" s="3" t="inlineStr">
        <is>
          <t>V3</t>
        </is>
      </c>
      <c r="R3" s="3" t="n">
        <v>-44.0018</v>
      </c>
      <c r="S3" s="3" t="inlineStr">
        <is>
          <t>media posterior (aditiva); R0; C3s condicionada a los supuestos</t>
        </is>
      </c>
      <c r="T3" s="3" t="inlineStr">
        <is>
          <t>output/v8/F5/atribucion_combinada.csv</t>
        </is>
      </c>
      <c r="U3" s="2">
        <f>IF(R3=0,"",F3/R3)</f>
        <v/>
      </c>
      <c r="V3" s="2">
        <f>SUMIFS(F$2:F$1589,A$2:A$1589,A3,C$2:C$1589,C3,E$2:E$1589,E3,Q$2:Q$1589,Q3)</f>
        <v/>
      </c>
    </row>
    <row r="4">
      <c r="A4" s="3" t="inlineStr">
        <is>
          <t>compra</t>
        </is>
      </c>
      <c r="B4" s="3" t="inlineStr">
        <is>
          <t>nacional</t>
        </is>
      </c>
      <c r="C4" s="3" t="inlineStr">
        <is>
          <t>P2</t>
        </is>
      </c>
      <c r="D4" s="3" t="inlineStr">
        <is>
          <t>demanda_vivienda</t>
        </is>
      </c>
      <c r="E4" s="3" t="inlineStr">
        <is>
          <t>svar_hd</t>
        </is>
      </c>
      <c r="F4" s="3" t="n">
        <v>-7.40779</v>
      </c>
      <c r="G4" s="3" t="n">
        <v>-7.40779</v>
      </c>
      <c r="H4" s="3" t="n">
        <v>-3.54416</v>
      </c>
      <c r="I4" s="3" t="n">
        <v>0.168352</v>
      </c>
      <c r="J4" s="3" t="n">
        <v>-17.8842</v>
      </c>
      <c r="K4" s="3" t="n">
        <v>1.99552</v>
      </c>
      <c r="L4" s="3" t="n">
        <v>-34.0416</v>
      </c>
      <c r="M4" s="3" t="n">
        <v>6.11398</v>
      </c>
      <c r="N4" s="3" t="inlineStr">
        <is>
          <t>C3s</t>
        </is>
      </c>
      <c r="O4" s="3" t="inlineStr">
        <is>
          <t>si</t>
        </is>
      </c>
      <c r="P4" s="3" t="inlineStr">
        <is>
          <t>no</t>
        </is>
      </c>
      <c r="Q4" s="3" t="inlineStr">
        <is>
          <t>V3</t>
        </is>
      </c>
      <c r="R4" s="3" t="n">
        <v>-44.0018</v>
      </c>
      <c r="S4" s="3" t="inlineStr">
        <is>
          <t>media posterior (aditiva); R0; C3s condicionada a los supuestos</t>
        </is>
      </c>
      <c r="T4" s="3" t="inlineStr">
        <is>
          <t>output/v8/F5/atribucion_combinada.csv</t>
        </is>
      </c>
      <c r="U4" s="2">
        <f>IF(R4=0,"",F4/R4)</f>
        <v/>
      </c>
      <c r="V4" s="2">
        <f>SUMIFS(F$2:F$1589,A$2:A$1589,A4,C$2:C$1589,C4,E$2:E$1589,E4,Q$2:Q$1589,Q4)</f>
        <v/>
      </c>
    </row>
    <row r="5">
      <c r="A5" s="3" t="inlineStr">
        <is>
          <t>compra</t>
        </is>
      </c>
      <c r="B5" s="3" t="inlineStr">
        <is>
          <t>nacional</t>
        </is>
      </c>
      <c r="C5" s="3" t="inlineStr">
        <is>
          <t>P2</t>
        </is>
      </c>
      <c r="D5" s="3" t="inlineStr">
        <is>
          <t>oferta</t>
        </is>
      </c>
      <c r="E5" s="3" t="inlineStr">
        <is>
          <t>svar_hd</t>
        </is>
      </c>
      <c r="F5" s="3" t="n">
        <v>-4.81136</v>
      </c>
      <c r="G5" s="3" t="n">
        <v>-4.81136</v>
      </c>
      <c r="H5" s="3" t="n">
        <v>-2.0535</v>
      </c>
      <c r="I5" s="3" t="n">
        <v>0.109345</v>
      </c>
      <c r="J5" s="3" t="n">
        <v>-13.2992</v>
      </c>
      <c r="K5" s="3" t="n">
        <v>2.48894</v>
      </c>
      <c r="L5" s="3" t="n">
        <v>-25.0249</v>
      </c>
      <c r="M5" s="3" t="n">
        <v>7.58723</v>
      </c>
      <c r="N5" s="3" t="inlineStr">
        <is>
          <t>C3s</t>
        </is>
      </c>
      <c r="O5" s="3" t="inlineStr">
        <is>
          <t>si</t>
        </is>
      </c>
      <c r="P5" s="3" t="inlineStr">
        <is>
          <t>no</t>
        </is>
      </c>
      <c r="Q5" s="3" t="inlineStr">
        <is>
          <t>V3</t>
        </is>
      </c>
      <c r="R5" s="3" t="n">
        <v>-44.0018</v>
      </c>
      <c r="S5" s="3" t="inlineStr">
        <is>
          <t>media posterior (aditiva); R0; C3s condicionada a los supuestos</t>
        </is>
      </c>
      <c r="T5" s="3" t="inlineStr">
        <is>
          <t>output/v8/F5/atribucion_combinada.csv</t>
        </is>
      </c>
      <c r="U5" s="2">
        <f>IF(R5=0,"",F5/R5)</f>
        <v/>
      </c>
      <c r="V5" s="2">
        <f>SUMIFS(F$2:F$1589,A$2:A$1589,A5,C$2:C$1589,C5,E$2:E$1589,E5,Q$2:Q$1589,Q5)</f>
        <v/>
      </c>
    </row>
    <row r="6">
      <c r="A6" s="3" t="inlineStr">
        <is>
          <t>compra</t>
        </is>
      </c>
      <c r="B6" s="3" t="inlineStr">
        <is>
          <t>nacional</t>
        </is>
      </c>
      <c r="C6" s="3" t="inlineStr">
        <is>
          <t>P2</t>
        </is>
      </c>
      <c r="D6" s="3" t="inlineStr">
        <is>
          <t>credito_tipos</t>
        </is>
      </c>
      <c r="E6" s="3" t="inlineStr">
        <is>
          <t>svar_hd</t>
        </is>
      </c>
      <c r="F6" s="3" t="n">
        <v>-8.59653</v>
      </c>
      <c r="G6" s="3" t="n">
        <v>-8.59653</v>
      </c>
      <c r="H6" s="3" t="n">
        <v>-5.88471</v>
      </c>
      <c r="I6" s="3" t="n">
        <v>0.195368</v>
      </c>
      <c r="J6" s="3" t="n">
        <v>-18.8749</v>
      </c>
      <c r="K6" s="3" t="n">
        <v>0.542165</v>
      </c>
      <c r="L6" s="3" t="n">
        <v>-32.8942</v>
      </c>
      <c r="M6" s="3" t="n">
        <v>5.23205</v>
      </c>
      <c r="N6" s="3" t="inlineStr">
        <is>
          <t>C3s</t>
        </is>
      </c>
      <c r="O6" s="3" t="inlineStr">
        <is>
          <t>si</t>
        </is>
      </c>
      <c r="P6" s="3" t="inlineStr">
        <is>
          <t>no</t>
        </is>
      </c>
      <c r="Q6" s="3" t="inlineStr">
        <is>
          <t>V3</t>
        </is>
      </c>
      <c r="R6" s="3" t="n">
        <v>-44.0018</v>
      </c>
      <c r="S6" s="3" t="inlineStr">
        <is>
          <t>media posterior (aditiva); R0; C3s condicionada a los supuestos</t>
        </is>
      </c>
      <c r="T6" s="3" t="inlineStr">
        <is>
          <t>output/v8/F5/atribucion_combinada.csv</t>
        </is>
      </c>
      <c r="U6" s="2">
        <f>IF(R6=0,"",F6/R6)</f>
        <v/>
      </c>
      <c r="V6" s="2">
        <f>SUMIFS(F$2:F$1589,A$2:A$1589,A6,C$2:C$1589,C6,E$2:E$1589,E6,Q$2:Q$1589,Q6)</f>
        <v/>
      </c>
    </row>
    <row r="7">
      <c r="A7" s="3" t="inlineStr">
        <is>
          <t>compra</t>
        </is>
      </c>
      <c r="B7" s="3" t="inlineStr">
        <is>
          <t>nacional</t>
        </is>
      </c>
      <c r="C7" s="3" t="inlineStr">
        <is>
          <t>P2</t>
        </is>
      </c>
      <c r="D7" s="3" t="inlineStr">
        <is>
          <t>no_identificados</t>
        </is>
      </c>
      <c r="E7" s="3" t="inlineStr">
        <is>
          <t>svar_hd</t>
        </is>
      </c>
      <c r="F7" s="3" t="n">
        <v>-7.86463</v>
      </c>
      <c r="G7" s="3" t="n">
        <v>-7.86463</v>
      </c>
      <c r="H7" s="3" t="n">
        <v>-6.49137</v>
      </c>
      <c r="I7" s="3" t="n">
        <v>0.178734</v>
      </c>
      <c r="J7" s="3" t="n">
        <v>-18.8391</v>
      </c>
      <c r="K7" s="3" t="n">
        <v>2.34579</v>
      </c>
      <c r="L7" s="3" t="n">
        <v>-29.573</v>
      </c>
      <c r="M7" s="3" t="n">
        <v>12.0855</v>
      </c>
      <c r="N7" s="3" t="inlineStr">
        <is>
          <t>C3s</t>
        </is>
      </c>
      <c r="O7" s="3" t="inlineStr">
        <is>
          <t>no</t>
        </is>
      </c>
      <c r="P7" s="3" t="inlineStr">
        <is>
          <t>no_compite</t>
        </is>
      </c>
      <c r="Q7" s="3" t="inlineStr">
        <is>
          <t>V3</t>
        </is>
      </c>
      <c r="R7" s="3" t="n">
        <v>-44.0018</v>
      </c>
      <c r="S7" s="3" t="inlineStr">
        <is>
          <t>media posterior (aditiva); R0; C3s condicionada a los supuestos</t>
        </is>
      </c>
      <c r="T7" s="3" t="inlineStr">
        <is>
          <t>output/v8/F5/atribucion_combinada.csv</t>
        </is>
      </c>
      <c r="U7" s="2">
        <f>IF(R7=0,"",F7/R7)</f>
        <v/>
      </c>
      <c r="V7" s="2">
        <f>SUMIFS(F$2:F$1589,A$2:A$1589,A7,C$2:C$1589,C7,E$2:E$1589,E7,Q$2:Q$1589,Q7)</f>
        <v/>
      </c>
    </row>
    <row r="8">
      <c r="A8" s="3" t="inlineStr">
        <is>
          <t>compra</t>
        </is>
      </c>
      <c r="B8" s="3" t="inlineStr">
        <is>
          <t>nacional</t>
        </is>
      </c>
      <c r="C8" s="3" t="inlineStr">
        <is>
          <t>P2</t>
        </is>
      </c>
      <c r="D8" s="3" t="inlineStr">
        <is>
          <t>determinista</t>
        </is>
      </c>
      <c r="E8" s="3" t="inlineStr">
        <is>
          <t>svar_hd</t>
        </is>
      </c>
      <c r="F8" s="3" t="n">
        <v>-1.75281</v>
      </c>
      <c r="G8" s="3" t="n">
        <v>-1.75281</v>
      </c>
      <c r="H8" s="3" t="n">
        <v>-3.18546</v>
      </c>
      <c r="I8" s="3" t="n">
        <v>0.0398349</v>
      </c>
      <c r="J8" s="3" t="n">
        <v>-16.3721</v>
      </c>
      <c r="K8" s="3" t="n">
        <v>13.1959</v>
      </c>
      <c r="L8" s="3" t="n">
        <v>-26.7554</v>
      </c>
      <c r="M8" s="3" t="n">
        <v>25.8187</v>
      </c>
      <c r="N8" s="3" t="inlineStr">
        <is>
          <t>C3s</t>
        </is>
      </c>
      <c r="O8" s="3" t="inlineStr">
        <is>
          <t>no</t>
        </is>
      </c>
      <c r="P8" s="3" t="inlineStr">
        <is>
          <t>no_compite</t>
        </is>
      </c>
      <c r="Q8" s="3" t="inlineStr">
        <is>
          <t>V3</t>
        </is>
      </c>
      <c r="R8" s="3" t="n">
        <v>-44.0018</v>
      </c>
      <c r="S8" s="3" t="inlineStr">
        <is>
          <t>media posterior (aditiva); R0; C3s condicionada a los supuestos</t>
        </is>
      </c>
      <c r="T8" s="3" t="inlineStr">
        <is>
          <t>output/v8/F5/atribucion_combinada.csv</t>
        </is>
      </c>
      <c r="U8" s="2">
        <f>IF(R8=0,"",F8/R8)</f>
        <v/>
      </c>
      <c r="V8" s="2">
        <f>SUMIFS(F$2:F$1589,A$2:A$1589,A8,C$2:C$1589,C8,E$2:E$1589,E8,Q$2:Q$1589,Q8)</f>
        <v/>
      </c>
    </row>
    <row r="9">
      <c r="A9" s="3" t="inlineStr">
        <is>
          <t>compra</t>
        </is>
      </c>
      <c r="B9" s="3" t="inlineStr">
        <is>
          <t>nacional</t>
        </is>
      </c>
      <c r="C9" s="3" t="inlineStr">
        <is>
          <t>P3</t>
        </is>
      </c>
      <c r="D9" s="3" t="inlineStr">
        <is>
          <t>empleo_renta</t>
        </is>
      </c>
      <c r="E9" s="3" t="inlineStr">
        <is>
          <t>svar_hd</t>
        </is>
      </c>
      <c r="F9" s="3" t="n">
        <v>7.72218</v>
      </c>
      <c r="G9" s="3" t="n">
        <v>7.72218</v>
      </c>
      <c r="H9" s="3" t="n">
        <v>5.22264</v>
      </c>
      <c r="I9" s="3" t="n">
        <v>0.939816</v>
      </c>
      <c r="J9" s="3" t="n">
        <v>-3.46639</v>
      </c>
      <c r="K9" s="3" t="n">
        <v>18.2318</v>
      </c>
      <c r="L9" s="3" t="n">
        <v>-15.2388</v>
      </c>
      <c r="M9" s="3" t="n">
        <v>31.2052</v>
      </c>
      <c r="N9" s="3" t="inlineStr">
        <is>
          <t>C3s</t>
        </is>
      </c>
      <c r="O9" s="3" t="inlineStr">
        <is>
          <t>si</t>
        </is>
      </c>
      <c r="P9" s="3" t="inlineStr">
        <is>
          <t>si</t>
        </is>
      </c>
      <c r="Q9" s="3" t="inlineStr">
        <is>
          <t>V3</t>
        </is>
      </c>
      <c r="R9" s="3" t="n">
        <v>8.216699999999999</v>
      </c>
      <c r="S9" s="3" t="inlineStr">
        <is>
          <t>media posterior (aditiva); R0; C3s condicionada a los supuestos</t>
        </is>
      </c>
      <c r="T9" s="3" t="inlineStr">
        <is>
          <t>output/v8/F5/atribucion_combinada.csv</t>
        </is>
      </c>
      <c r="U9" s="2">
        <f>IF(R9=0,"",F9/R9)</f>
        <v/>
      </c>
      <c r="V9" s="2">
        <f>SUMIFS(F$2:F$1589,A$2:A$1589,A9,C$2:C$1589,C9,E$2:E$1589,E9,Q$2:Q$1589,Q9)</f>
        <v/>
      </c>
    </row>
    <row r="10">
      <c r="A10" s="3" t="inlineStr">
        <is>
          <t>compra</t>
        </is>
      </c>
      <c r="B10" s="3" t="inlineStr">
        <is>
          <t>nacional</t>
        </is>
      </c>
      <c r="C10" s="3" t="inlineStr">
        <is>
          <t>P3</t>
        </is>
      </c>
      <c r="D10" s="3" t="inlineStr">
        <is>
          <t>demografia</t>
        </is>
      </c>
      <c r="E10" s="3" t="inlineStr">
        <is>
          <t>svar_hd</t>
        </is>
      </c>
      <c r="F10" s="3" t="n">
        <v>0.141604</v>
      </c>
      <c r="G10" s="3" t="n">
        <v>0.141604</v>
      </c>
      <c r="H10" s="3" t="n">
        <v>-0.177369</v>
      </c>
      <c r="I10" s="3" t="n">
        <v>0.0172337</v>
      </c>
      <c r="J10" s="3" t="n">
        <v>-6.57831</v>
      </c>
      <c r="K10" s="3" t="n">
        <v>6.81486</v>
      </c>
      <c r="L10" s="3" t="n">
        <v>-13.9672</v>
      </c>
      <c r="M10" s="3" t="n">
        <v>17.345</v>
      </c>
      <c r="N10" s="3" t="inlineStr">
        <is>
          <t>C3s</t>
        </is>
      </c>
      <c r="O10" s="3" t="inlineStr">
        <is>
          <t>si</t>
        </is>
      </c>
      <c r="P10" s="3" t="inlineStr">
        <is>
          <t>no</t>
        </is>
      </c>
      <c r="Q10" s="3" t="inlineStr">
        <is>
          <t>V3</t>
        </is>
      </c>
      <c r="R10" s="3" t="n">
        <v>8.216699999999999</v>
      </c>
      <c r="S10" s="3" t="inlineStr">
        <is>
          <t>media posterior (aditiva); R0; C3s condicionada a los supuestos</t>
        </is>
      </c>
      <c r="T10" s="3" t="inlineStr">
        <is>
          <t>output/v8/F5/atribucion_combinada.csv</t>
        </is>
      </c>
      <c r="U10" s="2">
        <f>IF(R10=0,"",F10/R10)</f>
        <v/>
      </c>
      <c r="V10" s="2">
        <f>SUMIFS(F$2:F$1589,A$2:A$1589,A10,C$2:C$1589,C10,E$2:E$1589,E10,Q$2:Q$1589,Q10)</f>
        <v/>
      </c>
    </row>
    <row r="11">
      <c r="A11" s="3" t="inlineStr">
        <is>
          <t>compra</t>
        </is>
      </c>
      <c r="B11" s="3" t="inlineStr">
        <is>
          <t>nacional</t>
        </is>
      </c>
      <c r="C11" s="3" t="inlineStr">
        <is>
          <t>P3</t>
        </is>
      </c>
      <c r="D11" s="3" t="inlineStr">
        <is>
          <t>demanda_vivienda</t>
        </is>
      </c>
      <c r="E11" s="3" t="inlineStr">
        <is>
          <t>svar_hd</t>
        </is>
      </c>
      <c r="F11" s="3" t="n">
        <v>-0.411954</v>
      </c>
      <c r="G11" s="3" t="n">
        <v>-0.411954</v>
      </c>
      <c r="H11" s="3" t="n">
        <v>0.532209</v>
      </c>
      <c r="I11" s="3" t="n">
        <v>-0.0501362</v>
      </c>
      <c r="J11" s="3" t="n">
        <v>-7.20665</v>
      </c>
      <c r="K11" s="3" t="n">
        <v>8.99381</v>
      </c>
      <c r="L11" s="3" t="n">
        <v>-18.366</v>
      </c>
      <c r="M11" s="3" t="n">
        <v>17.6965</v>
      </c>
      <c r="N11" s="3" t="inlineStr">
        <is>
          <t>C3s</t>
        </is>
      </c>
      <c r="O11" s="3" t="inlineStr">
        <is>
          <t>si</t>
        </is>
      </c>
      <c r="P11" s="3" t="inlineStr">
        <is>
          <t>no</t>
        </is>
      </c>
      <c r="Q11" s="3" t="inlineStr">
        <is>
          <t>V3</t>
        </is>
      </c>
      <c r="R11" s="3" t="n">
        <v>8.216699999999999</v>
      </c>
      <c r="S11" s="3" t="inlineStr">
        <is>
          <t>media posterior (aditiva); R0; C3s condicionada a los supuestos</t>
        </is>
      </c>
      <c r="T11" s="3" t="inlineStr">
        <is>
          <t>output/v8/F5/atribucion_combinada.csv</t>
        </is>
      </c>
      <c r="U11" s="2">
        <f>IF(R11=0,"",F11/R11)</f>
        <v/>
      </c>
      <c r="V11" s="2">
        <f>SUMIFS(F$2:F$1589,A$2:A$1589,A11,C$2:C$1589,C11,E$2:E$1589,E11,Q$2:Q$1589,Q11)</f>
        <v/>
      </c>
    </row>
    <row r="12">
      <c r="A12" s="3" t="inlineStr">
        <is>
          <t>compra</t>
        </is>
      </c>
      <c r="B12" s="3" t="inlineStr">
        <is>
          <t>nacional</t>
        </is>
      </c>
      <c r="C12" s="3" t="inlineStr">
        <is>
          <t>P3</t>
        </is>
      </c>
      <c r="D12" s="3" t="inlineStr">
        <is>
          <t>oferta</t>
        </is>
      </c>
      <c r="E12" s="3" t="inlineStr">
        <is>
          <t>svar_hd</t>
        </is>
      </c>
      <c r="F12" s="3" t="n">
        <v>0.380583</v>
      </c>
      <c r="G12" s="3" t="n">
        <v>0.380583</v>
      </c>
      <c r="H12" s="3" t="n">
        <v>0.18425</v>
      </c>
      <c r="I12" s="3" t="n">
        <v>0.0463182</v>
      </c>
      <c r="J12" s="3" t="n">
        <v>-7.29269</v>
      </c>
      <c r="K12" s="3" t="n">
        <v>8.02427</v>
      </c>
      <c r="L12" s="3" t="n">
        <v>-16.8044</v>
      </c>
      <c r="M12" s="3" t="n">
        <v>18.9594</v>
      </c>
      <c r="N12" s="3" t="inlineStr">
        <is>
          <t>C3s</t>
        </is>
      </c>
      <c r="O12" s="3" t="inlineStr">
        <is>
          <t>si</t>
        </is>
      </c>
      <c r="P12" s="3" t="inlineStr">
        <is>
          <t>no</t>
        </is>
      </c>
      <c r="Q12" s="3" t="inlineStr">
        <is>
          <t>V3</t>
        </is>
      </c>
      <c r="R12" s="3" t="n">
        <v>8.216699999999999</v>
      </c>
      <c r="S12" s="3" t="inlineStr">
        <is>
          <t>media posterior (aditiva); R0; C3s condicionada a los supuestos</t>
        </is>
      </c>
      <c r="T12" s="3" t="inlineStr">
        <is>
          <t>output/v8/F5/atribucion_combinada.csv</t>
        </is>
      </c>
      <c r="U12" s="2">
        <f>IF(R12=0,"",F12/R12)</f>
        <v/>
      </c>
      <c r="V12" s="2">
        <f>SUMIFS(F$2:F$1589,A$2:A$1589,A12,C$2:C$1589,C12,E$2:E$1589,E12,Q$2:Q$1589,Q12)</f>
        <v/>
      </c>
    </row>
    <row r="13">
      <c r="A13" s="3" t="inlineStr">
        <is>
          <t>compra</t>
        </is>
      </c>
      <c r="B13" s="3" t="inlineStr">
        <is>
          <t>nacional</t>
        </is>
      </c>
      <c r="C13" s="3" t="inlineStr">
        <is>
          <t>P3</t>
        </is>
      </c>
      <c r="D13" s="3" t="inlineStr">
        <is>
          <t>credito_tipos</t>
        </is>
      </c>
      <c r="E13" s="3" t="inlineStr">
        <is>
          <t>svar_hd</t>
        </is>
      </c>
      <c r="F13" s="3" t="n">
        <v>-1.55002</v>
      </c>
      <c r="G13" s="3" t="n">
        <v>-1.55002</v>
      </c>
      <c r="H13" s="3" t="n">
        <v>-0.684626</v>
      </c>
      <c r="I13" s="3" t="n">
        <v>-0.188642</v>
      </c>
      <c r="J13" s="3" t="n">
        <v>-9.78341</v>
      </c>
      <c r="K13" s="3" t="n">
        <v>7.07096</v>
      </c>
      <c r="L13" s="3" t="n">
        <v>-17.7135</v>
      </c>
      <c r="M13" s="3" t="n">
        <v>18.4172</v>
      </c>
      <c r="N13" s="3" t="inlineStr">
        <is>
          <t>C3s</t>
        </is>
      </c>
      <c r="O13" s="3" t="inlineStr">
        <is>
          <t>si</t>
        </is>
      </c>
      <c r="P13" s="3" t="inlineStr">
        <is>
          <t>no</t>
        </is>
      </c>
      <c r="Q13" s="3" t="inlineStr">
        <is>
          <t>V3</t>
        </is>
      </c>
      <c r="R13" s="3" t="n">
        <v>8.216699999999999</v>
      </c>
      <c r="S13" s="3" t="inlineStr">
        <is>
          <t>media posterior (aditiva); R0; C3s condicionada a los supuestos</t>
        </is>
      </c>
      <c r="T13" s="3" t="inlineStr">
        <is>
          <t>output/v8/F5/atribucion_combinada.csv</t>
        </is>
      </c>
      <c r="U13" s="2">
        <f>IF(R13=0,"",F13/R13)</f>
        <v/>
      </c>
      <c r="V13" s="2">
        <f>SUMIFS(F$2:F$1589,A$2:A$1589,A13,C$2:C$1589,C13,E$2:E$1589,E13,Q$2:Q$1589,Q13)</f>
        <v/>
      </c>
    </row>
    <row r="14">
      <c r="A14" s="3" t="inlineStr">
        <is>
          <t>compra</t>
        </is>
      </c>
      <c r="B14" s="3" t="inlineStr">
        <is>
          <t>nacional</t>
        </is>
      </c>
      <c r="C14" s="3" t="inlineStr">
        <is>
          <t>P3</t>
        </is>
      </c>
      <c r="D14" s="3" t="inlineStr">
        <is>
          <t>no_identificados</t>
        </is>
      </c>
      <c r="E14" s="3" t="inlineStr">
        <is>
          <t>svar_hd</t>
        </is>
      </c>
      <c r="F14" s="3" t="n">
        <v>1.63769</v>
      </c>
      <c r="G14" s="3" t="n">
        <v>1.63769</v>
      </c>
      <c r="H14" s="3" t="n">
        <v>0.80391</v>
      </c>
      <c r="I14" s="3" t="n">
        <v>0.199313</v>
      </c>
      <c r="J14" s="3" t="n">
        <v>-9.915789999999999</v>
      </c>
      <c r="K14" s="3" t="n">
        <v>13.437</v>
      </c>
      <c r="L14" s="3" t="n">
        <v>-22.3854</v>
      </c>
      <c r="M14" s="3" t="n">
        <v>26.6935</v>
      </c>
      <c r="N14" s="3" t="inlineStr">
        <is>
          <t>C3s</t>
        </is>
      </c>
      <c r="O14" s="3" t="inlineStr">
        <is>
          <t>no</t>
        </is>
      </c>
      <c r="P14" s="3" t="inlineStr">
        <is>
          <t>no_compite</t>
        </is>
      </c>
      <c r="Q14" s="3" t="inlineStr">
        <is>
          <t>V3</t>
        </is>
      </c>
      <c r="R14" s="3" t="n">
        <v>8.216699999999999</v>
      </c>
      <c r="S14" s="3" t="inlineStr">
        <is>
          <t>media posterior (aditiva); R0; C3s condicionada a los supuestos</t>
        </is>
      </c>
      <c r="T14" s="3" t="inlineStr">
        <is>
          <t>output/v8/F5/atribucion_combinada.csv</t>
        </is>
      </c>
      <c r="U14" s="2">
        <f>IF(R14=0,"",F14/R14)</f>
        <v/>
      </c>
      <c r="V14" s="2">
        <f>SUMIFS(F$2:F$1589,A$2:A$1589,A14,C$2:C$1589,C14,E$2:E$1589,E14,Q$2:Q$1589,Q14)</f>
        <v/>
      </c>
    </row>
    <row r="15">
      <c r="A15" s="3" t="inlineStr">
        <is>
          <t>compra</t>
        </is>
      </c>
      <c r="B15" s="3" t="inlineStr">
        <is>
          <t>nacional</t>
        </is>
      </c>
      <c r="C15" s="3" t="inlineStr">
        <is>
          <t>P3</t>
        </is>
      </c>
      <c r="D15" s="3" t="inlineStr">
        <is>
          <t>determinista</t>
        </is>
      </c>
      <c r="E15" s="3" t="inlineStr">
        <is>
          <t>svar_hd</t>
        </is>
      </c>
      <c r="F15" s="3" t="n">
        <v>0.296609</v>
      </c>
      <c r="G15" s="3" t="n">
        <v>0.296609</v>
      </c>
      <c r="H15" s="3" t="n">
        <v>-2.30533</v>
      </c>
      <c r="I15" s="3" t="n">
        <v>0.0360983</v>
      </c>
      <c r="J15" s="3" t="n">
        <v>-15.2704</v>
      </c>
      <c r="K15" s="3" t="n">
        <v>14.2008</v>
      </c>
      <c r="L15" s="3" t="n">
        <v>-29.5469</v>
      </c>
      <c r="M15" s="3" t="n">
        <v>27.2791</v>
      </c>
      <c r="N15" s="3" t="inlineStr">
        <is>
          <t>C3s</t>
        </is>
      </c>
      <c r="O15" s="3" t="inlineStr">
        <is>
          <t>no</t>
        </is>
      </c>
      <c r="P15" s="3" t="inlineStr">
        <is>
          <t>no_compite</t>
        </is>
      </c>
      <c r="Q15" s="3" t="inlineStr">
        <is>
          <t>V3</t>
        </is>
      </c>
      <c r="R15" s="3" t="n">
        <v>8.216699999999999</v>
      </c>
      <c r="S15" s="3" t="inlineStr">
        <is>
          <t>media posterior (aditiva); R0; C3s condicionada a los supuestos</t>
        </is>
      </c>
      <c r="T15" s="3" t="inlineStr">
        <is>
          <t>output/v8/F5/atribucion_combinada.csv</t>
        </is>
      </c>
      <c r="U15" s="2">
        <f>IF(R15=0,"",F15/R15)</f>
        <v/>
      </c>
      <c r="V15" s="2">
        <f>SUMIFS(F$2:F$1589,A$2:A$1589,A15,C$2:C$1589,C15,E$2:E$1589,E15,Q$2:Q$1589,Q15)</f>
        <v/>
      </c>
    </row>
    <row r="16">
      <c r="A16" s="3" t="inlineStr">
        <is>
          <t>compra</t>
        </is>
      </c>
      <c r="B16" s="3" t="inlineStr">
        <is>
          <t>nacional</t>
        </is>
      </c>
      <c r="C16" s="3" t="inlineStr">
        <is>
          <t>P4</t>
        </is>
      </c>
      <c r="D16" s="3" t="inlineStr">
        <is>
          <t>empleo_renta</t>
        </is>
      </c>
      <c r="E16" s="3" t="inlineStr">
        <is>
          <t>svar_hd</t>
        </is>
      </c>
      <c r="F16" s="3" t="n">
        <v>0.27266</v>
      </c>
      <c r="G16" s="3" t="n">
        <v>0.27266</v>
      </c>
      <c r="H16" s="3" t="n">
        <v>-0.477301</v>
      </c>
      <c r="I16" s="3" t="n">
        <v>-0.0499668</v>
      </c>
      <c r="J16" s="3" t="n">
        <v>-7.08693</v>
      </c>
      <c r="K16" s="3" t="n">
        <v>4.66018</v>
      </c>
      <c r="L16" s="3" t="n">
        <v>-13.2385</v>
      </c>
      <c r="M16" s="3" t="n">
        <v>10.1891</v>
      </c>
      <c r="N16" s="3" t="inlineStr">
        <is>
          <t>C3s</t>
        </is>
      </c>
      <c r="O16" s="3" t="inlineStr">
        <is>
          <t>si</t>
        </is>
      </c>
      <c r="P16" s="3" t="inlineStr">
        <is>
          <t>si</t>
        </is>
      </c>
      <c r="Q16" s="3" t="inlineStr">
        <is>
          <t>V3</t>
        </is>
      </c>
      <c r="R16" s="3" t="n">
        <v>-5.45682</v>
      </c>
      <c r="S16" s="3" t="inlineStr">
        <is>
          <t>media posterior (aditiva); R0; C3s condicionada a los supuestos</t>
        </is>
      </c>
      <c r="T16" s="3" t="inlineStr">
        <is>
          <t>output/v8/F5/atribucion_combinada.csv</t>
        </is>
      </c>
      <c r="U16" s="2">
        <f>IF(R16=0,"",F16/R16)</f>
        <v/>
      </c>
      <c r="V16" s="2">
        <f>SUMIFS(F$2:F$1589,A$2:A$1589,A16,C$2:C$1589,C16,E$2:E$1589,E16,Q$2:Q$1589,Q16)</f>
        <v/>
      </c>
    </row>
    <row r="17">
      <c r="A17" s="3" t="inlineStr">
        <is>
          <t>compra</t>
        </is>
      </c>
      <c r="B17" s="3" t="inlineStr">
        <is>
          <t>nacional</t>
        </is>
      </c>
      <c r="C17" s="3" t="inlineStr">
        <is>
          <t>P4</t>
        </is>
      </c>
      <c r="D17" s="3" t="inlineStr">
        <is>
          <t>demografia</t>
        </is>
      </c>
      <c r="E17" s="3" t="inlineStr">
        <is>
          <t>svar_hd</t>
        </is>
      </c>
      <c r="F17" s="3" t="n">
        <v>-0.273356</v>
      </c>
      <c r="G17" s="3" t="n">
        <v>-0.273356</v>
      </c>
      <c r="H17" s="3" t="n">
        <v>0.0708034</v>
      </c>
      <c r="I17" s="3" t="n">
        <v>0.0500944</v>
      </c>
      <c r="J17" s="3" t="n">
        <v>-3.99072</v>
      </c>
      <c r="K17" s="3" t="n">
        <v>3.3891</v>
      </c>
      <c r="L17" s="3" t="n">
        <v>-8.238300000000001</v>
      </c>
      <c r="M17" s="3" t="n">
        <v>7.06439</v>
      </c>
      <c r="N17" s="3" t="inlineStr">
        <is>
          <t>C3s</t>
        </is>
      </c>
      <c r="O17" s="3" t="inlineStr">
        <is>
          <t>si</t>
        </is>
      </c>
      <c r="P17" s="3" t="inlineStr">
        <is>
          <t>no</t>
        </is>
      </c>
      <c r="Q17" s="3" t="inlineStr">
        <is>
          <t>V3</t>
        </is>
      </c>
      <c r="R17" s="3" t="n">
        <v>-5.45682</v>
      </c>
      <c r="S17" s="3" t="inlineStr">
        <is>
          <t>media posterior (aditiva); R0; C3s condicionada a los supuestos</t>
        </is>
      </c>
      <c r="T17" s="3" t="inlineStr">
        <is>
          <t>output/v8/F5/atribucion_combinada.csv</t>
        </is>
      </c>
      <c r="U17" s="2">
        <f>IF(R17=0,"",F17/R17)</f>
        <v/>
      </c>
      <c r="V17" s="2">
        <f>SUMIFS(F$2:F$1589,A$2:A$1589,A17,C$2:C$1589,C17,E$2:E$1589,E17,Q$2:Q$1589,Q17)</f>
        <v/>
      </c>
    </row>
    <row r="18">
      <c r="A18" s="3" t="inlineStr">
        <is>
          <t>compra</t>
        </is>
      </c>
      <c r="B18" s="3" t="inlineStr">
        <is>
          <t>nacional</t>
        </is>
      </c>
      <c r="C18" s="3" t="inlineStr">
        <is>
          <t>P4</t>
        </is>
      </c>
      <c r="D18" s="3" t="inlineStr">
        <is>
          <t>demanda_vivienda</t>
        </is>
      </c>
      <c r="E18" s="3" t="inlineStr">
        <is>
          <t>svar_hd</t>
        </is>
      </c>
      <c r="F18" s="3" t="n">
        <v>-2.61446</v>
      </c>
      <c r="G18" s="3" t="n">
        <v>-2.61446</v>
      </c>
      <c r="H18" s="3" t="n">
        <v>-0.693729</v>
      </c>
      <c r="I18" s="3" t="n">
        <v>0.479118</v>
      </c>
      <c r="J18" s="3" t="n">
        <v>-6.00271</v>
      </c>
      <c r="K18" s="3" t="n">
        <v>2.42139</v>
      </c>
      <c r="L18" s="3" t="n">
        <v>-12.3484</v>
      </c>
      <c r="M18" s="3" t="n">
        <v>6.04984</v>
      </c>
      <c r="N18" s="3" t="inlineStr">
        <is>
          <t>C3s</t>
        </is>
      </c>
      <c r="O18" s="3" t="inlineStr">
        <is>
          <t>si</t>
        </is>
      </c>
      <c r="P18" s="3" t="inlineStr">
        <is>
          <t>no</t>
        </is>
      </c>
      <c r="Q18" s="3" t="inlineStr">
        <is>
          <t>V3</t>
        </is>
      </c>
      <c r="R18" s="3" t="n">
        <v>-5.45682</v>
      </c>
      <c r="S18" s="3" t="inlineStr">
        <is>
          <t>media posterior (aditiva); R0; C3s condicionada a los supuestos</t>
        </is>
      </c>
      <c r="T18" s="3" t="inlineStr">
        <is>
          <t>output/v8/F5/atribucion_combinada.csv</t>
        </is>
      </c>
      <c r="U18" s="2">
        <f>IF(R18=0,"",F18/R18)</f>
        <v/>
      </c>
      <c r="V18" s="2">
        <f>SUMIFS(F$2:F$1589,A$2:A$1589,A18,C$2:C$1589,C18,E$2:E$1589,E18,Q$2:Q$1589,Q18)</f>
        <v/>
      </c>
    </row>
    <row r="19">
      <c r="A19" s="3" t="inlineStr">
        <is>
          <t>compra</t>
        </is>
      </c>
      <c r="B19" s="3" t="inlineStr">
        <is>
          <t>nacional</t>
        </is>
      </c>
      <c r="C19" s="3" t="inlineStr">
        <is>
          <t>P4</t>
        </is>
      </c>
      <c r="D19" s="3" t="inlineStr">
        <is>
          <t>oferta</t>
        </is>
      </c>
      <c r="E19" s="3" t="inlineStr">
        <is>
          <t>svar_hd</t>
        </is>
      </c>
      <c r="F19" s="3" t="n">
        <v>-0.7970429999999999</v>
      </c>
      <c r="G19" s="3" t="n">
        <v>-0.7970429999999999</v>
      </c>
      <c r="H19" s="3" t="n">
        <v>-0.285473</v>
      </c>
      <c r="I19" s="3" t="n">
        <v>0.146064</v>
      </c>
      <c r="J19" s="3" t="n">
        <v>-4.7538</v>
      </c>
      <c r="K19" s="3" t="n">
        <v>3.31995</v>
      </c>
      <c r="L19" s="3" t="n">
        <v>-9.996270000000001</v>
      </c>
      <c r="M19" s="3" t="n">
        <v>7.51088</v>
      </c>
      <c r="N19" s="3" t="inlineStr">
        <is>
          <t>C3s</t>
        </is>
      </c>
      <c r="O19" s="3" t="inlineStr">
        <is>
          <t>si</t>
        </is>
      </c>
      <c r="P19" s="3" t="inlineStr">
        <is>
          <t>no</t>
        </is>
      </c>
      <c r="Q19" s="3" t="inlineStr">
        <is>
          <t>V3</t>
        </is>
      </c>
      <c r="R19" s="3" t="n">
        <v>-5.45682</v>
      </c>
      <c r="S19" s="3" t="inlineStr">
        <is>
          <t>media posterior (aditiva); R0; C3s condicionada a los supuestos</t>
        </is>
      </c>
      <c r="T19" s="3" t="inlineStr">
        <is>
          <t>output/v8/F5/atribucion_combinada.csv</t>
        </is>
      </c>
      <c r="U19" s="2">
        <f>IF(R19=0,"",F19/R19)</f>
        <v/>
      </c>
      <c r="V19" s="2">
        <f>SUMIFS(F$2:F$1589,A$2:A$1589,A19,C$2:C$1589,C19,E$2:E$1589,E19,Q$2:Q$1589,Q19)</f>
        <v/>
      </c>
    </row>
    <row r="20">
      <c r="A20" s="3" t="inlineStr">
        <is>
          <t>compra</t>
        </is>
      </c>
      <c r="B20" s="3" t="inlineStr">
        <is>
          <t>nacional</t>
        </is>
      </c>
      <c r="C20" s="3" t="inlineStr">
        <is>
          <t>P4</t>
        </is>
      </c>
      <c r="D20" s="3" t="inlineStr">
        <is>
          <t>credito_tipos</t>
        </is>
      </c>
      <c r="E20" s="3" t="inlineStr">
        <is>
          <t>svar_hd</t>
        </is>
      </c>
      <c r="F20" s="3" t="n">
        <v>-1.29208</v>
      </c>
      <c r="G20" s="3" t="n">
        <v>-1.29208</v>
      </c>
      <c r="H20" s="3" t="n">
        <v>0.116351</v>
      </c>
      <c r="I20" s="3" t="n">
        <v>0.236782</v>
      </c>
      <c r="J20" s="3" t="n">
        <v>-4.72305</v>
      </c>
      <c r="K20" s="3" t="n">
        <v>4.43588</v>
      </c>
      <c r="L20" s="3" t="n">
        <v>-10.0285</v>
      </c>
      <c r="M20" s="3" t="n">
        <v>9.202959999999999</v>
      </c>
      <c r="N20" s="3" t="inlineStr">
        <is>
          <t>C3s</t>
        </is>
      </c>
      <c r="O20" s="3" t="inlineStr">
        <is>
          <t>si</t>
        </is>
      </c>
      <c r="P20" s="3" t="inlineStr">
        <is>
          <t>no</t>
        </is>
      </c>
      <c r="Q20" s="3" t="inlineStr">
        <is>
          <t>V3</t>
        </is>
      </c>
      <c r="R20" s="3" t="n">
        <v>-5.45682</v>
      </c>
      <c r="S20" s="3" t="inlineStr">
        <is>
          <t>media posterior (aditiva); R0; C3s condicionada a los supuestos</t>
        </is>
      </c>
      <c r="T20" s="3" t="inlineStr">
        <is>
          <t>output/v8/F5/atribucion_combinada.csv</t>
        </is>
      </c>
      <c r="U20" s="2">
        <f>IF(R20=0,"",F20/R20)</f>
        <v/>
      </c>
      <c r="V20" s="2">
        <f>SUMIFS(F$2:F$1589,A$2:A$1589,A20,C$2:C$1589,C20,E$2:E$1589,E20,Q$2:Q$1589,Q20)</f>
        <v/>
      </c>
    </row>
    <row r="21">
      <c r="A21" s="3" t="inlineStr">
        <is>
          <t>compra</t>
        </is>
      </c>
      <c r="B21" s="3" t="inlineStr">
        <is>
          <t>nacional</t>
        </is>
      </c>
      <c r="C21" s="3" t="inlineStr">
        <is>
          <t>P4</t>
        </is>
      </c>
      <c r="D21" s="3" t="inlineStr">
        <is>
          <t>no_identificados</t>
        </is>
      </c>
      <c r="E21" s="3" t="inlineStr">
        <is>
          <t>svar_hd</t>
        </is>
      </c>
      <c r="F21" s="3" t="n">
        <v>0.196007</v>
      </c>
      <c r="G21" s="3" t="n">
        <v>0.196007</v>
      </c>
      <c r="H21" s="3" t="n">
        <v>0.0141111</v>
      </c>
      <c r="I21" s="3" t="n">
        <v>-0.0359196</v>
      </c>
      <c r="J21" s="3" t="n">
        <v>-5.36595</v>
      </c>
      <c r="K21" s="3" t="n">
        <v>5.38239</v>
      </c>
      <c r="L21" s="3" t="n">
        <v>-10.1998</v>
      </c>
      <c r="M21" s="3" t="n">
        <v>10.1386</v>
      </c>
      <c r="N21" s="3" t="inlineStr">
        <is>
          <t>C3s</t>
        </is>
      </c>
      <c r="O21" s="3" t="inlineStr">
        <is>
          <t>no</t>
        </is>
      </c>
      <c r="P21" s="3" t="inlineStr">
        <is>
          <t>no_compite</t>
        </is>
      </c>
      <c r="Q21" s="3" t="inlineStr">
        <is>
          <t>V3</t>
        </is>
      </c>
      <c r="R21" s="3" t="n">
        <v>-5.45682</v>
      </c>
      <c r="S21" s="3" t="inlineStr">
        <is>
          <t>media posterior (aditiva); R0; C3s condicionada a los supuestos</t>
        </is>
      </c>
      <c r="T21" s="3" t="inlineStr">
        <is>
          <t>output/v8/F5/atribucion_combinada.csv</t>
        </is>
      </c>
      <c r="U21" s="2">
        <f>IF(R21=0,"",F21/R21)</f>
        <v/>
      </c>
      <c r="V21" s="2">
        <f>SUMIFS(F$2:F$1589,A$2:A$1589,A21,C$2:C$1589,C21,E$2:E$1589,E21,Q$2:Q$1589,Q21)</f>
        <v/>
      </c>
    </row>
    <row r="22">
      <c r="A22" s="3" t="inlineStr">
        <is>
          <t>compra</t>
        </is>
      </c>
      <c r="B22" s="3" t="inlineStr">
        <is>
          <t>nacional</t>
        </is>
      </c>
      <c r="C22" s="3" t="inlineStr">
        <is>
          <t>P4</t>
        </is>
      </c>
      <c r="D22" s="3" t="inlineStr">
        <is>
          <t>determinista</t>
        </is>
      </c>
      <c r="E22" s="3" t="inlineStr">
        <is>
          <t>svar_hd</t>
        </is>
      </c>
      <c r="F22" s="3" t="n">
        <v>-0.94855</v>
      </c>
      <c r="G22" s="3" t="n">
        <v>-0.94855</v>
      </c>
      <c r="H22" s="3" t="n">
        <v>-1.96276</v>
      </c>
      <c r="I22" s="3" t="n">
        <v>0.173828</v>
      </c>
      <c r="J22" s="3" t="n">
        <v>-10.7134</v>
      </c>
      <c r="K22" s="3" t="n">
        <v>6.61647</v>
      </c>
      <c r="L22" s="3" t="n">
        <v>-17.4663</v>
      </c>
      <c r="M22" s="3" t="n">
        <v>12.4992</v>
      </c>
      <c r="N22" s="3" t="inlineStr">
        <is>
          <t>C3s</t>
        </is>
      </c>
      <c r="O22" s="3" t="inlineStr">
        <is>
          <t>no</t>
        </is>
      </c>
      <c r="P22" s="3" t="inlineStr">
        <is>
          <t>no_compite</t>
        </is>
      </c>
      <c r="Q22" s="3" t="inlineStr">
        <is>
          <t>V3</t>
        </is>
      </c>
      <c r="R22" s="3" t="n">
        <v>-5.45682</v>
      </c>
      <c r="S22" s="3" t="inlineStr">
        <is>
          <t>media posterior (aditiva); R0; C3s condicionada a los supuestos</t>
        </is>
      </c>
      <c r="T22" s="3" t="inlineStr">
        <is>
          <t>output/v8/F5/atribucion_combinada.csv</t>
        </is>
      </c>
      <c r="U22" s="2">
        <f>IF(R22=0,"",F22/R22)</f>
        <v/>
      </c>
      <c r="V22" s="2">
        <f>SUMIFS(F$2:F$1589,A$2:A$1589,A22,C$2:C$1589,C22,E$2:E$1589,E22,Q$2:Q$1589,Q22)</f>
        <v/>
      </c>
    </row>
    <row r="23">
      <c r="A23" s="3" t="inlineStr">
        <is>
          <t>compra</t>
        </is>
      </c>
      <c r="B23" s="3" t="inlineStr">
        <is>
          <t>nacional</t>
        </is>
      </c>
      <c r="C23" s="3" t="inlineStr">
        <is>
          <t>P5</t>
        </is>
      </c>
      <c r="D23" s="3" t="inlineStr">
        <is>
          <t>empleo_renta</t>
        </is>
      </c>
      <c r="E23" s="3" t="inlineStr">
        <is>
          <t>svar_hd</t>
        </is>
      </c>
      <c r="F23" s="3" t="n">
        <v>7.15724</v>
      </c>
      <c r="G23" s="3" t="n">
        <v>7.15724</v>
      </c>
      <c r="H23" s="3" t="n">
        <v>1.09672</v>
      </c>
      <c r="I23" s="3" t="n">
        <v>0.388552</v>
      </c>
      <c r="J23" s="3" t="n">
        <v>-4.70611</v>
      </c>
      <c r="K23" s="3" t="n">
        <v>11.1947</v>
      </c>
      <c r="L23" s="3" t="n">
        <v>-10.7761</v>
      </c>
      <c r="M23" s="3" t="n">
        <v>22.7129</v>
      </c>
      <c r="N23" s="3" t="inlineStr">
        <is>
          <t>C3s</t>
        </is>
      </c>
      <c r="O23" s="3" t="inlineStr">
        <is>
          <t>si</t>
        </is>
      </c>
      <c r="P23" s="3" t="inlineStr">
        <is>
          <t>no</t>
        </is>
      </c>
      <c r="Q23" s="3" t="inlineStr">
        <is>
          <t>V3</t>
        </is>
      </c>
      <c r="R23" s="3" t="n">
        <v>18.4203</v>
      </c>
      <c r="S23" s="3" t="inlineStr">
        <is>
          <t>media posterior (aditiva); R0; C3s condicionada a los supuestos</t>
        </is>
      </c>
      <c r="T23" s="3" t="inlineStr">
        <is>
          <t>output/v8/F5/atribucion_combinada.csv</t>
        </is>
      </c>
      <c r="U23" s="2">
        <f>IF(R23=0,"",F23/R23)</f>
        <v/>
      </c>
      <c r="V23" s="2">
        <f>SUMIFS(F$2:F$1589,A$2:A$1589,A23,C$2:C$1589,C23,E$2:E$1589,E23,Q$2:Q$1589,Q23)</f>
        <v/>
      </c>
    </row>
    <row r="24">
      <c r="A24" s="3" t="inlineStr">
        <is>
          <t>compra</t>
        </is>
      </c>
      <c r="B24" s="3" t="inlineStr">
        <is>
          <t>nacional</t>
        </is>
      </c>
      <c r="C24" s="3" t="inlineStr">
        <is>
          <t>P5</t>
        </is>
      </c>
      <c r="D24" s="3" t="inlineStr">
        <is>
          <t>demografia</t>
        </is>
      </c>
      <c r="E24" s="3" t="inlineStr">
        <is>
          <t>svar_hd</t>
        </is>
      </c>
      <c r="F24" s="3" t="n">
        <v>0.647324</v>
      </c>
      <c r="G24" s="3" t="n">
        <v>0.647324</v>
      </c>
      <c r="H24" s="3" t="n">
        <v>0.615368</v>
      </c>
      <c r="I24" s="3" t="n">
        <v>0.0351419</v>
      </c>
      <c r="J24" s="3" t="n">
        <v>-4.07861</v>
      </c>
      <c r="K24" s="3" t="n">
        <v>5.79265</v>
      </c>
      <c r="L24" s="3" t="n">
        <v>-9.01505</v>
      </c>
      <c r="M24" s="3" t="n">
        <v>13.4324</v>
      </c>
      <c r="N24" s="3" t="inlineStr">
        <is>
          <t>C3s</t>
        </is>
      </c>
      <c r="O24" s="3" t="inlineStr">
        <is>
          <t>si</t>
        </is>
      </c>
      <c r="P24" s="3" t="inlineStr">
        <is>
          <t>no</t>
        </is>
      </c>
      <c r="Q24" s="3" t="inlineStr">
        <is>
          <t>V3</t>
        </is>
      </c>
      <c r="R24" s="3" t="n">
        <v>18.4203</v>
      </c>
      <c r="S24" s="3" t="inlineStr">
        <is>
          <t>media posterior (aditiva); R0; C3s condicionada a los supuestos</t>
        </is>
      </c>
      <c r="T24" s="3" t="inlineStr">
        <is>
          <t>output/v8/F5/atribucion_combinada.csv</t>
        </is>
      </c>
      <c r="U24" s="2">
        <f>IF(R24=0,"",F24/R24)</f>
        <v/>
      </c>
      <c r="V24" s="2">
        <f>SUMIFS(F$2:F$1589,A$2:A$1589,A24,C$2:C$1589,C24,E$2:E$1589,E24,Q$2:Q$1589,Q24)</f>
        <v/>
      </c>
    </row>
    <row r="25">
      <c r="A25" s="3" t="inlineStr">
        <is>
          <t>compra</t>
        </is>
      </c>
      <c r="B25" s="3" t="inlineStr">
        <is>
          <t>nacional</t>
        </is>
      </c>
      <c r="C25" s="3" t="inlineStr">
        <is>
          <t>P5</t>
        </is>
      </c>
      <c r="D25" s="3" t="inlineStr">
        <is>
          <t>demanda_vivienda</t>
        </is>
      </c>
      <c r="E25" s="3" t="inlineStr">
        <is>
          <t>svar_hd</t>
        </is>
      </c>
      <c r="F25" s="3" t="n">
        <v>-0.30196</v>
      </c>
      <c r="G25" s="3" t="n">
        <v>-0.30196</v>
      </c>
      <c r="H25" s="3" t="n">
        <v>2.43622</v>
      </c>
      <c r="I25" s="3" t="n">
        <v>-0.0163928</v>
      </c>
      <c r="J25" s="3" t="n">
        <v>-2.86541</v>
      </c>
      <c r="K25" s="3" t="n">
        <v>10.9817</v>
      </c>
      <c r="L25" s="3" t="n">
        <v>-10.7762</v>
      </c>
      <c r="M25" s="3" t="n">
        <v>19.5331</v>
      </c>
      <c r="N25" s="3" t="inlineStr">
        <is>
          <t>C3s</t>
        </is>
      </c>
      <c r="O25" s="3" t="inlineStr">
        <is>
          <t>si</t>
        </is>
      </c>
      <c r="P25" s="3" t="inlineStr">
        <is>
          <t>no</t>
        </is>
      </c>
      <c r="Q25" s="3" t="inlineStr">
        <is>
          <t>V3</t>
        </is>
      </c>
      <c r="R25" s="3" t="n">
        <v>18.4203</v>
      </c>
      <c r="S25" s="3" t="inlineStr">
        <is>
          <t>media posterior (aditiva); R0; C3s condicionada a los supuestos</t>
        </is>
      </c>
      <c r="T25" s="3" t="inlineStr">
        <is>
          <t>output/v8/F5/atribucion_combinada.csv</t>
        </is>
      </c>
      <c r="U25" s="2">
        <f>IF(R25=0,"",F25/R25)</f>
        <v/>
      </c>
      <c r="V25" s="2">
        <f>SUMIFS(F$2:F$1589,A$2:A$1589,A25,C$2:C$1589,C25,E$2:E$1589,E25,Q$2:Q$1589,Q25)</f>
        <v/>
      </c>
    </row>
    <row r="26">
      <c r="A26" s="3" t="inlineStr">
        <is>
          <t>compra</t>
        </is>
      </c>
      <c r="B26" s="3" t="inlineStr">
        <is>
          <t>nacional</t>
        </is>
      </c>
      <c r="C26" s="3" t="inlineStr">
        <is>
          <t>P5</t>
        </is>
      </c>
      <c r="D26" s="3" t="inlineStr">
        <is>
          <t>oferta</t>
        </is>
      </c>
      <c r="E26" s="3" t="inlineStr">
        <is>
          <t>svar_hd</t>
        </is>
      </c>
      <c r="F26" s="3" t="n">
        <v>1.87093</v>
      </c>
      <c r="G26" s="3" t="n">
        <v>1.87093</v>
      </c>
      <c r="H26" s="3" t="n">
        <v>1.78415</v>
      </c>
      <c r="I26" s="3" t="n">
        <v>0.101569</v>
      </c>
      <c r="J26" s="3" t="n">
        <v>-3.25013</v>
      </c>
      <c r="K26" s="3" t="n">
        <v>9.02896</v>
      </c>
      <c r="L26" s="3" t="n">
        <v>-10.0527</v>
      </c>
      <c r="M26" s="3" t="n">
        <v>16.9023</v>
      </c>
      <c r="N26" s="3" t="inlineStr">
        <is>
          <t>C3s</t>
        </is>
      </c>
      <c r="O26" s="3" t="inlineStr">
        <is>
          <t>si</t>
        </is>
      </c>
      <c r="P26" s="3" t="inlineStr">
        <is>
          <t>no</t>
        </is>
      </c>
      <c r="Q26" s="3" t="inlineStr">
        <is>
          <t>V3</t>
        </is>
      </c>
      <c r="R26" s="3" t="n">
        <v>18.4203</v>
      </c>
      <c r="S26" s="3" t="inlineStr">
        <is>
          <t>media posterior (aditiva); R0; C3s condicionada a los supuestos</t>
        </is>
      </c>
      <c r="T26" s="3" t="inlineStr">
        <is>
          <t>output/v8/F5/atribucion_combinada.csv</t>
        </is>
      </c>
      <c r="U26" s="2">
        <f>IF(R26=0,"",F26/R26)</f>
        <v/>
      </c>
      <c r="V26" s="2">
        <f>SUMIFS(F$2:F$1589,A$2:A$1589,A26,C$2:C$1589,C26,E$2:E$1589,E26,Q$2:Q$1589,Q26)</f>
        <v/>
      </c>
    </row>
    <row r="27">
      <c r="A27" s="3" t="inlineStr">
        <is>
          <t>compra</t>
        </is>
      </c>
      <c r="B27" s="3" t="inlineStr">
        <is>
          <t>nacional</t>
        </is>
      </c>
      <c r="C27" s="3" t="inlineStr">
        <is>
          <t>P5</t>
        </is>
      </c>
      <c r="D27" s="3" t="inlineStr">
        <is>
          <t>credito_tipos</t>
        </is>
      </c>
      <c r="E27" s="3" t="inlineStr">
        <is>
          <t>svar_hd</t>
        </is>
      </c>
      <c r="F27" s="3" t="n">
        <v>-0.469355</v>
      </c>
      <c r="G27" s="3" t="n">
        <v>-0.469355</v>
      </c>
      <c r="H27" s="3" t="n">
        <v>3.36694</v>
      </c>
      <c r="I27" s="3" t="n">
        <v>-0.0254803</v>
      </c>
      <c r="J27" s="3" t="n">
        <v>-2.81899</v>
      </c>
      <c r="K27" s="3" t="n">
        <v>12.7731</v>
      </c>
      <c r="L27" s="3" t="n">
        <v>-9.851699999999999</v>
      </c>
      <c r="M27" s="3" t="n">
        <v>20.6693</v>
      </c>
      <c r="N27" s="3" t="inlineStr">
        <is>
          <t>C3s</t>
        </is>
      </c>
      <c r="O27" s="3" t="inlineStr">
        <is>
          <t>si</t>
        </is>
      </c>
      <c r="P27" s="3" t="inlineStr">
        <is>
          <t>si</t>
        </is>
      </c>
      <c r="Q27" s="3" t="inlineStr">
        <is>
          <t>V3</t>
        </is>
      </c>
      <c r="R27" s="3" t="n">
        <v>18.4203</v>
      </c>
      <c r="S27" s="3" t="inlineStr">
        <is>
          <t>media posterior (aditiva); R0; C3s condicionada a los supuestos</t>
        </is>
      </c>
      <c r="T27" s="3" t="inlineStr">
        <is>
          <t>output/v8/F5/atribucion_combinada.csv</t>
        </is>
      </c>
      <c r="U27" s="2">
        <f>IF(R27=0,"",F27/R27)</f>
        <v/>
      </c>
      <c r="V27" s="2">
        <f>SUMIFS(F$2:F$1589,A$2:A$1589,A27,C$2:C$1589,C27,E$2:E$1589,E27,Q$2:Q$1589,Q27)</f>
        <v/>
      </c>
    </row>
    <row r="28">
      <c r="A28" s="3" t="inlineStr">
        <is>
          <t>compra</t>
        </is>
      </c>
      <c r="B28" s="3" t="inlineStr">
        <is>
          <t>nacional</t>
        </is>
      </c>
      <c r="C28" s="3" t="inlineStr">
        <is>
          <t>P5</t>
        </is>
      </c>
      <c r="D28" s="3" t="inlineStr">
        <is>
          <t>no_identificados</t>
        </is>
      </c>
      <c r="E28" s="3" t="inlineStr">
        <is>
          <t>svar_hd</t>
        </is>
      </c>
      <c r="F28" s="3" t="n">
        <v>4.16022</v>
      </c>
      <c r="G28" s="3" t="n">
        <v>4.16022</v>
      </c>
      <c r="H28" s="3" t="n">
        <v>2.85973</v>
      </c>
      <c r="I28" s="3" t="n">
        <v>0.22585</v>
      </c>
      <c r="J28" s="3" t="n">
        <v>-5.73713</v>
      </c>
      <c r="K28" s="3" t="n">
        <v>12.3251</v>
      </c>
      <c r="L28" s="3" t="n">
        <v>-15.1077</v>
      </c>
      <c r="M28" s="3" t="n">
        <v>20.8233</v>
      </c>
      <c r="N28" s="3" t="inlineStr">
        <is>
          <t>C3s</t>
        </is>
      </c>
      <c r="O28" s="3" t="inlineStr">
        <is>
          <t>no</t>
        </is>
      </c>
      <c r="P28" s="3" t="inlineStr">
        <is>
          <t>no_compite</t>
        </is>
      </c>
      <c r="Q28" s="3" t="inlineStr">
        <is>
          <t>V3</t>
        </is>
      </c>
      <c r="R28" s="3" t="n">
        <v>18.4203</v>
      </c>
      <c r="S28" s="3" t="inlineStr">
        <is>
          <t>media posterior (aditiva); R0; C3s condicionada a los supuestos</t>
        </is>
      </c>
      <c r="T28" s="3" t="inlineStr">
        <is>
          <t>output/v8/F5/atribucion_combinada.csv</t>
        </is>
      </c>
      <c r="U28" s="2">
        <f>IF(R28=0,"",F28/R28)</f>
        <v/>
      </c>
      <c r="V28" s="2">
        <f>SUMIFS(F$2:F$1589,A$2:A$1589,A28,C$2:C$1589,C28,E$2:E$1589,E28,Q$2:Q$1589,Q28)</f>
        <v/>
      </c>
    </row>
    <row r="29">
      <c r="A29" s="3" t="inlineStr">
        <is>
          <t>compra</t>
        </is>
      </c>
      <c r="B29" s="3" t="inlineStr">
        <is>
          <t>nacional</t>
        </is>
      </c>
      <c r="C29" s="3" t="inlineStr">
        <is>
          <t>P5</t>
        </is>
      </c>
      <c r="D29" s="3" t="inlineStr">
        <is>
          <t>determinista</t>
        </is>
      </c>
      <c r="E29" s="3" t="inlineStr">
        <is>
          <t>svar_hd</t>
        </is>
      </c>
      <c r="F29" s="3" t="n">
        <v>5.35589</v>
      </c>
      <c r="G29" s="3" t="n">
        <v>5.35589</v>
      </c>
      <c r="H29" s="3" t="n">
        <v>0.93451</v>
      </c>
      <c r="I29" s="3" t="n">
        <v>0.29076</v>
      </c>
      <c r="J29" s="3" t="n">
        <v>-8.82267</v>
      </c>
      <c r="K29" s="3" t="n">
        <v>11.8109</v>
      </c>
      <c r="L29" s="3" t="n">
        <v>-18.5957</v>
      </c>
      <c r="M29" s="3" t="n">
        <v>21.0225</v>
      </c>
      <c r="N29" s="3" t="inlineStr">
        <is>
          <t>C3s</t>
        </is>
      </c>
      <c r="O29" s="3" t="inlineStr">
        <is>
          <t>no</t>
        </is>
      </c>
      <c r="P29" s="3" t="inlineStr">
        <is>
          <t>no_compite</t>
        </is>
      </c>
      <c r="Q29" s="3" t="inlineStr">
        <is>
          <t>V3</t>
        </is>
      </c>
      <c r="R29" s="3" t="n">
        <v>18.4203</v>
      </c>
      <c r="S29" s="3" t="inlineStr">
        <is>
          <t>media posterior (aditiva); R0; C3s condicionada a los supuestos</t>
        </is>
      </c>
      <c r="T29" s="3" t="inlineStr">
        <is>
          <t>output/v8/F5/atribucion_combinada.csv</t>
        </is>
      </c>
      <c r="U29" s="2">
        <f>IF(R29=0,"",F29/R29)</f>
        <v/>
      </c>
      <c r="V29" s="2">
        <f>SUMIFS(F$2:F$1589,A$2:A$1589,A29,C$2:C$1589,C29,E$2:E$1589,E29,Q$2:Q$1589,Q29)</f>
        <v/>
      </c>
    </row>
    <row r="30">
      <c r="A30" s="3" t="inlineStr">
        <is>
          <t>alquiler</t>
        </is>
      </c>
      <c r="B30" s="3" t="inlineStr">
        <is>
          <t>nacional</t>
        </is>
      </c>
      <c r="C30" s="3" t="inlineStr">
        <is>
          <t>P2</t>
        </is>
      </c>
      <c r="D30" s="3" t="inlineStr">
        <is>
          <t>empleo_renta</t>
        </is>
      </c>
      <c r="E30" s="3" t="inlineStr">
        <is>
          <t>svar_hd</t>
        </is>
      </c>
      <c r="F30" s="3" t="n">
        <v>-1.66423</v>
      </c>
      <c r="G30" s="3" t="n">
        <v>-1.66423</v>
      </c>
      <c r="H30" s="3" t="n">
        <v>-1.18238</v>
      </c>
      <c r="I30" s="3" t="n">
        <v>0.615727</v>
      </c>
      <c r="J30" s="3" t="n">
        <v>-4.2967</v>
      </c>
      <c r="K30" s="3" t="n">
        <v>0.828869</v>
      </c>
      <c r="L30" s="3" t="n">
        <v>-6.87178</v>
      </c>
      <c r="M30" s="3" t="n">
        <v>2.67143</v>
      </c>
      <c r="N30" s="3" t="inlineStr">
        <is>
          <t>C3s</t>
        </is>
      </c>
      <c r="O30" s="3" t="inlineStr">
        <is>
          <t>si</t>
        </is>
      </c>
      <c r="P30" s="3" t="inlineStr">
        <is>
          <t>si</t>
        </is>
      </c>
      <c r="Q30" s="3" t="inlineStr">
        <is>
          <t>V3</t>
        </is>
      </c>
      <c r="R30" s="3" t="n">
        <v>-2.70287</v>
      </c>
      <c r="S30" s="3" t="inlineStr">
        <is>
          <t>media posterior (aditiva); R0; C3s condicionada a los supuestos</t>
        </is>
      </c>
      <c r="T30" s="3" t="inlineStr">
        <is>
          <t>output/v8/F5/atribucion_combinada.csv</t>
        </is>
      </c>
      <c r="U30" s="2">
        <f>IF(R30=0,"",F30/R30)</f>
        <v/>
      </c>
      <c r="V30" s="2">
        <f>SUMIFS(F$2:F$1589,A$2:A$1589,A30,C$2:C$1589,C30,E$2:E$1589,E30,Q$2:Q$1589,Q30)</f>
        <v/>
      </c>
    </row>
    <row r="31">
      <c r="A31" s="3" t="inlineStr">
        <is>
          <t>alquiler</t>
        </is>
      </c>
      <c r="B31" s="3" t="inlineStr">
        <is>
          <t>nacional</t>
        </is>
      </c>
      <c r="C31" s="3" t="inlineStr">
        <is>
          <t>P2</t>
        </is>
      </c>
      <c r="D31" s="3" t="inlineStr">
        <is>
          <t>demografia</t>
        </is>
      </c>
      <c r="E31" s="3" t="inlineStr">
        <is>
          <t>svar_hd</t>
        </is>
      </c>
      <c r="F31" s="3" t="n">
        <v>0.32773</v>
      </c>
      <c r="G31" s="3" t="n">
        <v>0.32773</v>
      </c>
      <c r="H31" s="3" t="n">
        <v>0.223717</v>
      </c>
      <c r="I31" s="3" t="n">
        <v>-0.121253</v>
      </c>
      <c r="J31" s="3" t="n">
        <v>-1.85844</v>
      </c>
      <c r="K31" s="3" t="n">
        <v>2.70734</v>
      </c>
      <c r="L31" s="3" t="n">
        <v>-4.60495</v>
      </c>
      <c r="M31" s="3" t="n">
        <v>4.85592</v>
      </c>
      <c r="N31" s="3" t="inlineStr">
        <is>
          <t>C3s</t>
        </is>
      </c>
      <c r="O31" s="3" t="inlineStr">
        <is>
          <t>si</t>
        </is>
      </c>
      <c r="P31" s="3" t="inlineStr">
        <is>
          <t>no</t>
        </is>
      </c>
      <c r="Q31" s="3" t="inlineStr">
        <is>
          <t>V3</t>
        </is>
      </c>
      <c r="R31" s="3" t="n">
        <v>-2.70287</v>
      </c>
      <c r="S31" s="3" t="inlineStr">
        <is>
          <t>media posterior (aditiva); R0; C3s condicionada a los supuestos</t>
        </is>
      </c>
      <c r="T31" s="3" t="inlineStr">
        <is>
          <t>output/v8/F5/atribucion_combinada.csv</t>
        </is>
      </c>
      <c r="U31" s="2">
        <f>IF(R31=0,"",F31/R31)</f>
        <v/>
      </c>
      <c r="V31" s="2">
        <f>SUMIFS(F$2:F$1589,A$2:A$1589,A31,C$2:C$1589,C31,E$2:E$1589,E31,Q$2:Q$1589,Q31)</f>
        <v/>
      </c>
    </row>
    <row r="32">
      <c r="A32" s="3" t="inlineStr">
        <is>
          <t>alquiler</t>
        </is>
      </c>
      <c r="B32" s="3" t="inlineStr">
        <is>
          <t>nacional</t>
        </is>
      </c>
      <c r="C32" s="3" t="inlineStr">
        <is>
          <t>P2</t>
        </is>
      </c>
      <c r="D32" s="3" t="inlineStr">
        <is>
          <t>demanda_vivienda</t>
        </is>
      </c>
      <c r="E32" s="3" t="inlineStr">
        <is>
          <t>svar_hd</t>
        </is>
      </c>
      <c r="F32" s="3" t="n">
        <v>-0.322677</v>
      </c>
      <c r="G32" s="3" t="n">
        <v>-0.322677</v>
      </c>
      <c r="H32" s="3" t="n">
        <v>-0.080248</v>
      </c>
      <c r="I32" s="3" t="n">
        <v>0.119383</v>
      </c>
      <c r="J32" s="3" t="n">
        <v>-2.31858</v>
      </c>
      <c r="K32" s="3" t="n">
        <v>1.84846</v>
      </c>
      <c r="L32" s="3" t="n">
        <v>-5.04512</v>
      </c>
      <c r="M32" s="3" t="n">
        <v>3.32224</v>
      </c>
      <c r="N32" s="3" t="inlineStr">
        <is>
          <t>C3s</t>
        </is>
      </c>
      <c r="O32" s="3" t="inlineStr">
        <is>
          <t>si</t>
        </is>
      </c>
      <c r="P32" s="3" t="inlineStr">
        <is>
          <t>no</t>
        </is>
      </c>
      <c r="Q32" s="3" t="inlineStr">
        <is>
          <t>V3</t>
        </is>
      </c>
      <c r="R32" s="3" t="n">
        <v>-2.70287</v>
      </c>
      <c r="S32" s="3" t="inlineStr">
        <is>
          <t>media posterior (aditiva); R0; C3s condicionada a los supuestos</t>
        </is>
      </c>
      <c r="T32" s="3" t="inlineStr">
        <is>
          <t>output/v8/F5/atribucion_combinada.csv</t>
        </is>
      </c>
      <c r="U32" s="2">
        <f>IF(R32=0,"",F32/R32)</f>
        <v/>
      </c>
      <c r="V32" s="2">
        <f>SUMIFS(F$2:F$1589,A$2:A$1589,A32,C$2:C$1589,C32,E$2:E$1589,E32,Q$2:Q$1589,Q32)</f>
        <v/>
      </c>
    </row>
    <row r="33">
      <c r="A33" s="3" t="inlineStr">
        <is>
          <t>alquiler</t>
        </is>
      </c>
      <c r="B33" s="3" t="inlineStr">
        <is>
          <t>nacional</t>
        </is>
      </c>
      <c r="C33" s="3" t="inlineStr">
        <is>
          <t>P2</t>
        </is>
      </c>
      <c r="D33" s="3" t="inlineStr">
        <is>
          <t>oferta</t>
        </is>
      </c>
      <c r="E33" s="3" t="inlineStr">
        <is>
          <t>svar_hd</t>
        </is>
      </c>
      <c r="F33" s="3" t="n">
        <v>-0.0582198</v>
      </c>
      <c r="G33" s="3" t="n">
        <v>-0.0582198</v>
      </c>
      <c r="H33" s="3" t="n">
        <v>0.0944229</v>
      </c>
      <c r="I33" s="3" t="n">
        <v>0.02154</v>
      </c>
      <c r="J33" s="3" t="n">
        <v>-1.96612</v>
      </c>
      <c r="K33" s="3" t="n">
        <v>1.91331</v>
      </c>
      <c r="L33" s="3" t="n">
        <v>-3.92079</v>
      </c>
      <c r="M33" s="3" t="n">
        <v>3.66702</v>
      </c>
      <c r="N33" s="3" t="inlineStr">
        <is>
          <t>C3s</t>
        </is>
      </c>
      <c r="O33" s="3" t="inlineStr">
        <is>
          <t>si</t>
        </is>
      </c>
      <c r="P33" s="3" t="inlineStr">
        <is>
          <t>no</t>
        </is>
      </c>
      <c r="Q33" s="3" t="inlineStr">
        <is>
          <t>V3</t>
        </is>
      </c>
      <c r="R33" s="3" t="n">
        <v>-2.70287</v>
      </c>
      <c r="S33" s="3" t="inlineStr">
        <is>
          <t>media posterior (aditiva); R0; C3s condicionada a los supuestos</t>
        </is>
      </c>
      <c r="T33" s="3" t="inlineStr">
        <is>
          <t>output/v8/F5/atribucion_combinada.csv</t>
        </is>
      </c>
      <c r="U33" s="2">
        <f>IF(R33=0,"",F33/R33)</f>
        <v/>
      </c>
      <c r="V33" s="2">
        <f>SUMIFS(F$2:F$1589,A$2:A$1589,A33,C$2:C$1589,C33,E$2:E$1589,E33,Q$2:Q$1589,Q33)</f>
        <v/>
      </c>
    </row>
    <row r="34">
      <c r="A34" s="3" t="inlineStr">
        <is>
          <t>alquiler</t>
        </is>
      </c>
      <c r="B34" s="3" t="inlineStr">
        <is>
          <t>nacional</t>
        </is>
      </c>
      <c r="C34" s="3" t="inlineStr">
        <is>
          <t>P2</t>
        </is>
      </c>
      <c r="D34" s="3" t="inlineStr">
        <is>
          <t>credito_tipos</t>
        </is>
      </c>
      <c r="E34" s="3" t="inlineStr">
        <is>
          <t>svar_hd</t>
        </is>
      </c>
      <c r="F34" s="3" t="n">
        <v>0.256492</v>
      </c>
      <c r="G34" s="3" t="n">
        <v>0.256492</v>
      </c>
      <c r="H34" s="3" t="n">
        <v>0.334026</v>
      </c>
      <c r="I34" s="3" t="n">
        <v>-0.09489640000000001</v>
      </c>
      <c r="J34" s="3" t="n">
        <v>-1.46143</v>
      </c>
      <c r="K34" s="3" t="n">
        <v>2.13438</v>
      </c>
      <c r="L34" s="3" t="n">
        <v>-3.27061</v>
      </c>
      <c r="M34" s="3" t="n">
        <v>3.60475</v>
      </c>
      <c r="N34" s="3" t="inlineStr">
        <is>
          <t>C3s</t>
        </is>
      </c>
      <c r="O34" s="3" t="inlineStr">
        <is>
          <t>si</t>
        </is>
      </c>
      <c r="P34" s="3" t="inlineStr">
        <is>
          <t>no</t>
        </is>
      </c>
      <c r="Q34" s="3" t="inlineStr">
        <is>
          <t>V3</t>
        </is>
      </c>
      <c r="R34" s="3" t="n">
        <v>-2.70287</v>
      </c>
      <c r="S34" s="3" t="inlineStr">
        <is>
          <t>media posterior (aditiva); R0; C3s condicionada a los supuestos</t>
        </is>
      </c>
      <c r="T34" s="3" t="inlineStr">
        <is>
          <t>output/v8/F5/atribucion_combinada.csv</t>
        </is>
      </c>
      <c r="U34" s="2">
        <f>IF(R34=0,"",F34/R34)</f>
        <v/>
      </c>
      <c r="V34" s="2">
        <f>SUMIFS(F$2:F$1589,A$2:A$1589,A34,C$2:C$1589,C34,E$2:E$1589,E34,Q$2:Q$1589,Q34)</f>
        <v/>
      </c>
    </row>
    <row r="35">
      <c r="A35" s="3" t="inlineStr">
        <is>
          <t>alquiler</t>
        </is>
      </c>
      <c r="B35" s="3" t="inlineStr">
        <is>
          <t>nacional</t>
        </is>
      </c>
      <c r="C35" s="3" t="inlineStr">
        <is>
          <t>P2</t>
        </is>
      </c>
      <c r="D35" s="3" t="inlineStr">
        <is>
          <t>no_identificados</t>
        </is>
      </c>
      <c r="E35" s="3" t="inlineStr">
        <is>
          <t>svar_hd</t>
        </is>
      </c>
      <c r="F35" s="3" t="n">
        <v>1.0523</v>
      </c>
      <c r="G35" s="3" t="n">
        <v>1.0523</v>
      </c>
      <c r="H35" s="3" t="n">
        <v>1.1344</v>
      </c>
      <c r="I35" s="3" t="n">
        <v>-0.389328</v>
      </c>
      <c r="J35" s="3" t="n">
        <v>-2.04122</v>
      </c>
      <c r="K35" s="3" t="n">
        <v>4.15904</v>
      </c>
      <c r="L35" s="3" t="n">
        <v>-4.52557</v>
      </c>
      <c r="M35" s="3" t="n">
        <v>6.79365</v>
      </c>
      <c r="N35" s="3" t="inlineStr">
        <is>
          <t>C3s</t>
        </is>
      </c>
      <c r="O35" s="3" t="inlineStr">
        <is>
          <t>no</t>
        </is>
      </c>
      <c r="P35" s="3" t="inlineStr">
        <is>
          <t>no_compite</t>
        </is>
      </c>
      <c r="Q35" s="3" t="inlineStr">
        <is>
          <t>V3</t>
        </is>
      </c>
      <c r="R35" s="3" t="n">
        <v>-2.70287</v>
      </c>
      <c r="S35" s="3" t="inlineStr">
        <is>
          <t>media posterior (aditiva); R0; C3s condicionada a los supuestos</t>
        </is>
      </c>
      <c r="T35" s="3" t="inlineStr">
        <is>
          <t>output/v8/F5/atribucion_combinada.csv</t>
        </is>
      </c>
      <c r="U35" s="2">
        <f>IF(R35=0,"",F35/R35)</f>
        <v/>
      </c>
      <c r="V35" s="2">
        <f>SUMIFS(F$2:F$1589,A$2:A$1589,A35,C$2:C$1589,C35,E$2:E$1589,E35,Q$2:Q$1589,Q35)</f>
        <v/>
      </c>
    </row>
    <row r="36">
      <c r="A36" s="3" t="inlineStr">
        <is>
          <t>alquiler</t>
        </is>
      </c>
      <c r="B36" s="3" t="inlineStr">
        <is>
          <t>nacional</t>
        </is>
      </c>
      <c r="C36" s="3" t="inlineStr">
        <is>
          <t>P2</t>
        </is>
      </c>
      <c r="D36" s="3" t="inlineStr">
        <is>
          <t>determinista</t>
        </is>
      </c>
      <c r="E36" s="3" t="inlineStr">
        <is>
          <t>svar_hd</t>
        </is>
      </c>
      <c r="F36" s="3" t="n">
        <v>-2.29427</v>
      </c>
      <c r="G36" s="3" t="n">
        <v>-2.29427</v>
      </c>
      <c r="H36" s="3" t="n">
        <v>-2.59966</v>
      </c>
      <c r="I36" s="3" t="n">
        <v>0.848827</v>
      </c>
      <c r="J36" s="3" t="n">
        <v>-5.48124</v>
      </c>
      <c r="K36" s="3" t="n">
        <v>1.00553</v>
      </c>
      <c r="L36" s="3" t="n">
        <v>-7.92057</v>
      </c>
      <c r="M36" s="3" t="n">
        <v>4.45428</v>
      </c>
      <c r="N36" s="3" t="inlineStr">
        <is>
          <t>C3s</t>
        </is>
      </c>
      <c r="O36" s="3" t="inlineStr">
        <is>
          <t>no</t>
        </is>
      </c>
      <c r="P36" s="3" t="inlineStr">
        <is>
          <t>no_compite</t>
        </is>
      </c>
      <c r="Q36" s="3" t="inlineStr">
        <is>
          <t>V3</t>
        </is>
      </c>
      <c r="R36" s="3" t="n">
        <v>-2.70287</v>
      </c>
      <c r="S36" s="3" t="inlineStr">
        <is>
          <t>media posterior (aditiva); R0; C3s condicionada a los supuestos</t>
        </is>
      </c>
      <c r="T36" s="3" t="inlineStr">
        <is>
          <t>output/v8/F5/atribucion_combinada.csv</t>
        </is>
      </c>
      <c r="U36" s="2">
        <f>IF(R36=0,"",F36/R36)</f>
        <v/>
      </c>
      <c r="V36" s="2">
        <f>SUMIFS(F$2:F$1589,A$2:A$1589,A36,C$2:C$1589,C36,E$2:E$1589,E36,Q$2:Q$1589,Q36)</f>
        <v/>
      </c>
    </row>
    <row r="37">
      <c r="A37" s="3" t="inlineStr">
        <is>
          <t>alquiler</t>
        </is>
      </c>
      <c r="B37" s="3" t="inlineStr">
        <is>
          <t>nacional</t>
        </is>
      </c>
      <c r="C37" s="3" t="inlineStr">
        <is>
          <t>P3</t>
        </is>
      </c>
      <c r="D37" s="3" t="inlineStr">
        <is>
          <t>empleo_renta</t>
        </is>
      </c>
      <c r="E37" s="3" t="inlineStr">
        <is>
          <t>svar_hd</t>
        </is>
      </c>
      <c r="F37" s="3" t="n">
        <v>1.73311</v>
      </c>
      <c r="G37" s="3" t="n">
        <v>1.73311</v>
      </c>
      <c r="H37" s="3" t="n">
        <v>1.37991</v>
      </c>
      <c r="I37" s="3" t="n">
        <v>-1.63604</v>
      </c>
      <c r="J37" s="3" t="n">
        <v>-1.12179</v>
      </c>
      <c r="K37" s="3" t="n">
        <v>4.79832</v>
      </c>
      <c r="L37" s="3" t="n">
        <v>-3.59785</v>
      </c>
      <c r="M37" s="3" t="n">
        <v>8.007860000000001</v>
      </c>
      <c r="N37" s="3" t="inlineStr">
        <is>
          <t>C3s</t>
        </is>
      </c>
      <c r="O37" s="3" t="inlineStr">
        <is>
          <t>si</t>
        </is>
      </c>
      <c r="P37" s="3" t="inlineStr">
        <is>
          <t>no</t>
        </is>
      </c>
      <c r="Q37" s="3" t="inlineStr">
        <is>
          <t>V3</t>
        </is>
      </c>
      <c r="R37" s="3" t="n">
        <v>-1.05934</v>
      </c>
      <c r="S37" s="3" t="inlineStr">
        <is>
          <t>media posterior (aditiva); R0; C3s condicionada a los supuestos</t>
        </is>
      </c>
      <c r="T37" s="3" t="inlineStr">
        <is>
          <t>output/v8/F5/atribucion_combinada.csv</t>
        </is>
      </c>
      <c r="U37" s="2">
        <f>IF(R37=0,"",F37/R37)</f>
        <v/>
      </c>
      <c r="V37" s="2">
        <f>SUMIFS(F$2:F$1589,A$2:A$1589,A37,C$2:C$1589,C37,E$2:E$1589,E37,Q$2:Q$1589,Q37)</f>
        <v/>
      </c>
    </row>
    <row r="38">
      <c r="A38" s="3" t="inlineStr">
        <is>
          <t>alquiler</t>
        </is>
      </c>
      <c r="B38" s="3" t="inlineStr">
        <is>
          <t>nacional</t>
        </is>
      </c>
      <c r="C38" s="3" t="inlineStr">
        <is>
          <t>P3</t>
        </is>
      </c>
      <c r="D38" s="3" t="inlineStr">
        <is>
          <t>demografia</t>
        </is>
      </c>
      <c r="E38" s="3" t="inlineStr">
        <is>
          <t>svar_hd</t>
        </is>
      </c>
      <c r="F38" s="3" t="n">
        <v>-0.00369706</v>
      </c>
      <c r="G38" s="3" t="n">
        <v>-0.00369706</v>
      </c>
      <c r="H38" s="3" t="n">
        <v>-0.0912877</v>
      </c>
      <c r="I38" s="3" t="n">
        <v>0.00348998</v>
      </c>
      <c r="J38" s="3" t="n">
        <v>-2.94812</v>
      </c>
      <c r="K38" s="3" t="n">
        <v>2.7423</v>
      </c>
      <c r="L38" s="3" t="n">
        <v>-5.51631</v>
      </c>
      <c r="M38" s="3" t="n">
        <v>5.4995</v>
      </c>
      <c r="N38" s="3" t="inlineStr">
        <is>
          <t>C3s</t>
        </is>
      </c>
      <c r="O38" s="3" t="inlineStr">
        <is>
          <t>si</t>
        </is>
      </c>
      <c r="P38" s="3" t="inlineStr">
        <is>
          <t>si</t>
        </is>
      </c>
      <c r="Q38" s="3" t="inlineStr">
        <is>
          <t>V3</t>
        </is>
      </c>
      <c r="R38" s="3" t="n">
        <v>-1.05934</v>
      </c>
      <c r="S38" s="3" t="inlineStr">
        <is>
          <t>media posterior (aditiva); R0; C3s condicionada a los supuestos</t>
        </is>
      </c>
      <c r="T38" s="3" t="inlineStr">
        <is>
          <t>output/v8/F5/atribucion_combinada.csv</t>
        </is>
      </c>
      <c r="U38" s="2">
        <f>IF(R38=0,"",F38/R38)</f>
        <v/>
      </c>
      <c r="V38" s="2">
        <f>SUMIFS(F$2:F$1589,A$2:A$1589,A38,C$2:C$1589,C38,E$2:E$1589,E38,Q$2:Q$1589,Q38)</f>
        <v/>
      </c>
    </row>
    <row r="39">
      <c r="A39" s="3" t="inlineStr">
        <is>
          <t>alquiler</t>
        </is>
      </c>
      <c r="B39" s="3" t="inlineStr">
        <is>
          <t>nacional</t>
        </is>
      </c>
      <c r="C39" s="3" t="inlineStr">
        <is>
          <t>P3</t>
        </is>
      </c>
      <c r="D39" s="3" t="inlineStr">
        <is>
          <t>demanda_vivienda</t>
        </is>
      </c>
      <c r="E39" s="3" t="inlineStr">
        <is>
          <t>svar_hd</t>
        </is>
      </c>
      <c r="F39" s="3" t="n">
        <v>0.664649</v>
      </c>
      <c r="G39" s="3" t="n">
        <v>0.664649</v>
      </c>
      <c r="H39" s="3" t="n">
        <v>0.62954</v>
      </c>
      <c r="I39" s="3" t="n">
        <v>-0.627421</v>
      </c>
      <c r="J39" s="3" t="n">
        <v>-1.35807</v>
      </c>
      <c r="K39" s="3" t="n">
        <v>2.90177</v>
      </c>
      <c r="L39" s="3" t="n">
        <v>-3.28344</v>
      </c>
      <c r="M39" s="3" t="n">
        <v>5.4391</v>
      </c>
      <c r="N39" s="3" t="inlineStr">
        <is>
          <t>C3s</t>
        </is>
      </c>
      <c r="O39" s="3" t="inlineStr">
        <is>
          <t>si</t>
        </is>
      </c>
      <c r="P39" s="3" t="inlineStr">
        <is>
          <t>no</t>
        </is>
      </c>
      <c r="Q39" s="3" t="inlineStr">
        <is>
          <t>V3</t>
        </is>
      </c>
      <c r="R39" s="3" t="n">
        <v>-1.05934</v>
      </c>
      <c r="S39" s="3" t="inlineStr">
        <is>
          <t>media posterior (aditiva); R0; C3s condicionada a los supuestos</t>
        </is>
      </c>
      <c r="T39" s="3" t="inlineStr">
        <is>
          <t>output/v8/F5/atribucion_combinada.csv</t>
        </is>
      </c>
      <c r="U39" s="2">
        <f>IF(R39=0,"",F39/R39)</f>
        <v/>
      </c>
      <c r="V39" s="2">
        <f>SUMIFS(F$2:F$1589,A$2:A$1589,A39,C$2:C$1589,C39,E$2:E$1589,E39,Q$2:Q$1589,Q39)</f>
        <v/>
      </c>
    </row>
    <row r="40">
      <c r="A40" s="3" t="inlineStr">
        <is>
          <t>alquiler</t>
        </is>
      </c>
      <c r="B40" s="3" t="inlineStr">
        <is>
          <t>nacional</t>
        </is>
      </c>
      <c r="C40" s="3" t="inlineStr">
        <is>
          <t>P3</t>
        </is>
      </c>
      <c r="D40" s="3" t="inlineStr">
        <is>
          <t>oferta</t>
        </is>
      </c>
      <c r="E40" s="3" t="inlineStr">
        <is>
          <t>svar_hd</t>
        </is>
      </c>
      <c r="F40" s="3" t="n">
        <v>0.871418</v>
      </c>
      <c r="G40" s="3" t="n">
        <v>0.871418</v>
      </c>
      <c r="H40" s="3" t="n">
        <v>0.557176</v>
      </c>
      <c r="I40" s="3" t="n">
        <v>-0.822609</v>
      </c>
      <c r="J40" s="3" t="n">
        <v>-1.08042</v>
      </c>
      <c r="K40" s="3" t="n">
        <v>3.22046</v>
      </c>
      <c r="L40" s="3" t="n">
        <v>-2.77199</v>
      </c>
      <c r="M40" s="3" t="n">
        <v>5.95354</v>
      </c>
      <c r="N40" s="3" t="inlineStr">
        <is>
          <t>C3s</t>
        </is>
      </c>
      <c r="O40" s="3" t="inlineStr">
        <is>
          <t>si</t>
        </is>
      </c>
      <c r="P40" s="3" t="inlineStr">
        <is>
          <t>no</t>
        </is>
      </c>
      <c r="Q40" s="3" t="inlineStr">
        <is>
          <t>V3</t>
        </is>
      </c>
      <c r="R40" s="3" t="n">
        <v>-1.05934</v>
      </c>
      <c r="S40" s="3" t="inlineStr">
        <is>
          <t>media posterior (aditiva); R0; C3s condicionada a los supuestos</t>
        </is>
      </c>
      <c r="T40" s="3" t="inlineStr">
        <is>
          <t>output/v8/F5/atribucion_combinada.csv</t>
        </is>
      </c>
      <c r="U40" s="2">
        <f>IF(R40=0,"",F40/R40)</f>
        <v/>
      </c>
      <c r="V40" s="2">
        <f>SUMIFS(F$2:F$1589,A$2:A$1589,A40,C$2:C$1589,C40,E$2:E$1589,E40,Q$2:Q$1589,Q40)</f>
        <v/>
      </c>
    </row>
    <row r="41">
      <c r="A41" s="3" t="inlineStr">
        <is>
          <t>alquiler</t>
        </is>
      </c>
      <c r="B41" s="3" t="inlineStr">
        <is>
          <t>nacional</t>
        </is>
      </c>
      <c r="C41" s="3" t="inlineStr">
        <is>
          <t>P3</t>
        </is>
      </c>
      <c r="D41" s="3" t="inlineStr">
        <is>
          <t>credito_tipos</t>
        </is>
      </c>
      <c r="E41" s="3" t="inlineStr">
        <is>
          <t>svar_hd</t>
        </is>
      </c>
      <c r="F41" s="3" t="n">
        <v>0.236546</v>
      </c>
      <c r="G41" s="3" t="n">
        <v>0.236546</v>
      </c>
      <c r="H41" s="3" t="n">
        <v>0.161881</v>
      </c>
      <c r="I41" s="3" t="n">
        <v>-0.223297</v>
      </c>
      <c r="J41" s="3" t="n">
        <v>-1.73676</v>
      </c>
      <c r="K41" s="3" t="n">
        <v>2.67511</v>
      </c>
      <c r="L41" s="3" t="n">
        <v>-3.61419</v>
      </c>
      <c r="M41" s="3" t="n">
        <v>4.76226</v>
      </c>
      <c r="N41" s="3" t="inlineStr">
        <is>
          <t>C3s</t>
        </is>
      </c>
      <c r="O41" s="3" t="inlineStr">
        <is>
          <t>si</t>
        </is>
      </c>
      <c r="P41" s="3" t="inlineStr">
        <is>
          <t>no</t>
        </is>
      </c>
      <c r="Q41" s="3" t="inlineStr">
        <is>
          <t>V3</t>
        </is>
      </c>
      <c r="R41" s="3" t="n">
        <v>-1.05934</v>
      </c>
      <c r="S41" s="3" t="inlineStr">
        <is>
          <t>media posterior (aditiva); R0; C3s condicionada a los supuestos</t>
        </is>
      </c>
      <c r="T41" s="3" t="inlineStr">
        <is>
          <t>output/v8/F5/atribucion_combinada.csv</t>
        </is>
      </c>
      <c r="U41" s="2">
        <f>IF(R41=0,"",F41/R41)</f>
        <v/>
      </c>
      <c r="V41" s="2">
        <f>SUMIFS(F$2:F$1589,A$2:A$1589,A41,C$2:C$1589,C41,E$2:E$1589,E41,Q$2:Q$1589,Q41)</f>
        <v/>
      </c>
    </row>
    <row r="42">
      <c r="A42" s="3" t="inlineStr">
        <is>
          <t>alquiler</t>
        </is>
      </c>
      <c r="B42" s="3" t="inlineStr">
        <is>
          <t>nacional</t>
        </is>
      </c>
      <c r="C42" s="3" t="inlineStr">
        <is>
          <t>P3</t>
        </is>
      </c>
      <c r="D42" s="3" t="inlineStr">
        <is>
          <t>no_identificados</t>
        </is>
      </c>
      <c r="E42" s="3" t="inlineStr">
        <is>
          <t>svar_hd</t>
        </is>
      </c>
      <c r="F42" s="3" t="n">
        <v>-1.01986</v>
      </c>
      <c r="G42" s="3" t="n">
        <v>-1.01986</v>
      </c>
      <c r="H42" s="3" t="n">
        <v>-1.29411</v>
      </c>
      <c r="I42" s="3" t="n">
        <v>0.962737</v>
      </c>
      <c r="J42" s="3" t="n">
        <v>-4.65822</v>
      </c>
      <c r="K42" s="3" t="n">
        <v>2.91436</v>
      </c>
      <c r="L42" s="3" t="n">
        <v>-7.38592</v>
      </c>
      <c r="M42" s="3" t="n">
        <v>6.17794</v>
      </c>
      <c r="N42" s="3" t="inlineStr">
        <is>
          <t>C3s</t>
        </is>
      </c>
      <c r="O42" s="3" t="inlineStr">
        <is>
          <t>no</t>
        </is>
      </c>
      <c r="P42" s="3" t="inlineStr">
        <is>
          <t>no_compite</t>
        </is>
      </c>
      <c r="Q42" s="3" t="inlineStr">
        <is>
          <t>V3</t>
        </is>
      </c>
      <c r="R42" s="3" t="n">
        <v>-1.05934</v>
      </c>
      <c r="S42" s="3" t="inlineStr">
        <is>
          <t>media posterior (aditiva); R0; C3s condicionada a los supuestos</t>
        </is>
      </c>
      <c r="T42" s="3" t="inlineStr">
        <is>
          <t>output/v8/F5/atribucion_combinada.csv</t>
        </is>
      </c>
      <c r="U42" s="2">
        <f>IF(R42=0,"",F42/R42)</f>
        <v/>
      </c>
      <c r="V42" s="2">
        <f>SUMIFS(F$2:F$1589,A$2:A$1589,A42,C$2:C$1589,C42,E$2:E$1589,E42,Q$2:Q$1589,Q42)</f>
        <v/>
      </c>
    </row>
    <row r="43">
      <c r="A43" s="3" t="inlineStr">
        <is>
          <t>alquiler</t>
        </is>
      </c>
      <c r="B43" s="3" t="inlineStr">
        <is>
          <t>nacional</t>
        </is>
      </c>
      <c r="C43" s="3" t="inlineStr">
        <is>
          <t>P3</t>
        </is>
      </c>
      <c r="D43" s="3" t="inlineStr">
        <is>
          <t>determinista</t>
        </is>
      </c>
      <c r="E43" s="3" t="inlineStr">
        <is>
          <t>svar_hd</t>
        </is>
      </c>
      <c r="F43" s="3" t="n">
        <v>-3.5415</v>
      </c>
      <c r="G43" s="3" t="n">
        <v>-3.5415</v>
      </c>
      <c r="H43" s="3" t="n">
        <v>-3.80946</v>
      </c>
      <c r="I43" s="3" t="n">
        <v>3.34314</v>
      </c>
      <c r="J43" s="3" t="n">
        <v>-6.90575</v>
      </c>
      <c r="K43" s="3" t="n">
        <v>-0.0597125</v>
      </c>
      <c r="L43" s="3" t="n">
        <v>-10.9036</v>
      </c>
      <c r="M43" s="3" t="n">
        <v>4.38181</v>
      </c>
      <c r="N43" s="3" t="inlineStr">
        <is>
          <t>C3s</t>
        </is>
      </c>
      <c r="O43" s="3" t="inlineStr">
        <is>
          <t>no</t>
        </is>
      </c>
      <c r="P43" s="3" t="inlineStr">
        <is>
          <t>no_compite</t>
        </is>
      </c>
      <c r="Q43" s="3" t="inlineStr">
        <is>
          <t>V3</t>
        </is>
      </c>
      <c r="R43" s="3" t="n">
        <v>-1.05934</v>
      </c>
      <c r="S43" s="3" t="inlineStr">
        <is>
          <t>media posterior (aditiva); R0; C3s condicionada a los supuestos</t>
        </is>
      </c>
      <c r="T43" s="3" t="inlineStr">
        <is>
          <t>output/v8/F5/atribucion_combinada.csv</t>
        </is>
      </c>
      <c r="U43" s="2">
        <f>IF(R43=0,"",F43/R43)</f>
        <v/>
      </c>
      <c r="V43" s="2">
        <f>SUMIFS(F$2:F$1589,A$2:A$1589,A43,C$2:C$1589,C43,E$2:E$1589,E43,Q$2:Q$1589,Q43)</f>
        <v/>
      </c>
    </row>
    <row r="44">
      <c r="A44" s="3" t="inlineStr">
        <is>
          <t>alquiler</t>
        </is>
      </c>
      <c r="B44" s="3" t="inlineStr">
        <is>
          <t>nacional</t>
        </is>
      </c>
      <c r="C44" s="3" t="inlineStr">
        <is>
          <t>P4</t>
        </is>
      </c>
      <c r="D44" s="3" t="inlineStr">
        <is>
          <t>empleo_renta</t>
        </is>
      </c>
      <c r="E44" s="3" t="inlineStr">
        <is>
          <t>svar_hd</t>
        </is>
      </c>
      <c r="F44" s="3" t="n">
        <v>-0.810733</v>
      </c>
      <c r="G44" s="3" t="n">
        <v>-0.810733</v>
      </c>
      <c r="H44" s="3" t="n">
        <v>-0.636204</v>
      </c>
      <c r="I44" s="3" t="n">
        <v>0.0867735</v>
      </c>
      <c r="J44" s="3" t="n">
        <v>-2.83154</v>
      </c>
      <c r="K44" s="3" t="n">
        <v>0.641337</v>
      </c>
      <c r="L44" s="3" t="n">
        <v>-4.24928</v>
      </c>
      <c r="M44" s="3" t="n">
        <v>1.61318</v>
      </c>
      <c r="N44" s="3" t="inlineStr">
        <is>
          <t>C3s</t>
        </is>
      </c>
      <c r="O44" s="3" t="inlineStr">
        <is>
          <t>si</t>
        </is>
      </c>
      <c r="P44" s="3" t="inlineStr">
        <is>
          <t>no</t>
        </is>
      </c>
      <c r="Q44" s="3" t="inlineStr">
        <is>
          <t>V3</t>
        </is>
      </c>
      <c r="R44" s="3" t="n">
        <v>-9.34309</v>
      </c>
      <c r="S44" s="3" t="inlineStr">
        <is>
          <t>media posterior (aditiva); R0; C3s condicionada a los supuestos</t>
        </is>
      </c>
      <c r="T44" s="3" t="inlineStr">
        <is>
          <t>output/v8/F5/atribucion_combinada.csv</t>
        </is>
      </c>
      <c r="U44" s="2">
        <f>IF(R44=0,"",F44/R44)</f>
        <v/>
      </c>
      <c r="V44" s="2">
        <f>SUMIFS(F$2:F$1589,A$2:A$1589,A44,C$2:C$1589,C44,E$2:E$1589,E44,Q$2:Q$1589,Q44)</f>
        <v/>
      </c>
    </row>
    <row r="45">
      <c r="A45" s="3" t="inlineStr">
        <is>
          <t>alquiler</t>
        </is>
      </c>
      <c r="B45" s="3" t="inlineStr">
        <is>
          <t>nacional</t>
        </is>
      </c>
      <c r="C45" s="3" t="inlineStr">
        <is>
          <t>P4</t>
        </is>
      </c>
      <c r="D45" s="3" t="inlineStr">
        <is>
          <t>demografia</t>
        </is>
      </c>
      <c r="E45" s="3" t="inlineStr">
        <is>
          <t>svar_hd</t>
        </is>
      </c>
      <c r="F45" s="3" t="n">
        <v>-0.7374540000000001</v>
      </c>
      <c r="G45" s="3" t="n">
        <v>-0.7374540000000001</v>
      </c>
      <c r="H45" s="3" t="n">
        <v>-0.456412</v>
      </c>
      <c r="I45" s="3" t="n">
        <v>0.0789304</v>
      </c>
      <c r="J45" s="3" t="n">
        <v>-2.32453</v>
      </c>
      <c r="K45" s="3" t="n">
        <v>0.653901</v>
      </c>
      <c r="L45" s="3" t="n">
        <v>-4.1289</v>
      </c>
      <c r="M45" s="3" t="n">
        <v>1.86846</v>
      </c>
      <c r="N45" s="3" t="inlineStr">
        <is>
          <t>C3s</t>
        </is>
      </c>
      <c r="O45" s="3" t="inlineStr">
        <is>
          <t>si</t>
        </is>
      </c>
      <c r="P45" s="3" t="inlineStr">
        <is>
          <t>no</t>
        </is>
      </c>
      <c r="Q45" s="3" t="inlineStr">
        <is>
          <t>V3</t>
        </is>
      </c>
      <c r="R45" s="3" t="n">
        <v>-9.34309</v>
      </c>
      <c r="S45" s="3" t="inlineStr">
        <is>
          <t>media posterior (aditiva); R0; C3s condicionada a los supuestos</t>
        </is>
      </c>
      <c r="T45" s="3" t="inlineStr">
        <is>
          <t>output/v8/F5/atribucion_combinada.csv</t>
        </is>
      </c>
      <c r="U45" s="2">
        <f>IF(R45=0,"",F45/R45)</f>
        <v/>
      </c>
      <c r="V45" s="2">
        <f>SUMIFS(F$2:F$1589,A$2:A$1589,A45,C$2:C$1589,C45,E$2:E$1589,E45,Q$2:Q$1589,Q45)</f>
        <v/>
      </c>
    </row>
    <row r="46">
      <c r="A46" s="3" t="inlineStr">
        <is>
          <t>alquiler</t>
        </is>
      </c>
      <c r="B46" s="3" t="inlineStr">
        <is>
          <t>nacional</t>
        </is>
      </c>
      <c r="C46" s="3" t="inlineStr">
        <is>
          <t>P4</t>
        </is>
      </c>
      <c r="D46" s="3" t="inlineStr">
        <is>
          <t>demanda_vivienda</t>
        </is>
      </c>
      <c r="E46" s="3" t="inlineStr">
        <is>
          <t>svar_hd</t>
        </is>
      </c>
      <c r="F46" s="3" t="n">
        <v>-1.57472</v>
      </c>
      <c r="G46" s="3" t="n">
        <v>-1.57472</v>
      </c>
      <c r="H46" s="3" t="n">
        <v>-1.25365</v>
      </c>
      <c r="I46" s="3" t="n">
        <v>0.168544</v>
      </c>
      <c r="J46" s="3" t="n">
        <v>-3.24114</v>
      </c>
      <c r="K46" s="3" t="n">
        <v>0.12356</v>
      </c>
      <c r="L46" s="3" t="n">
        <v>-5.10846</v>
      </c>
      <c r="M46" s="3" t="n">
        <v>0.860196</v>
      </c>
      <c r="N46" s="3" t="inlineStr">
        <is>
          <t>C3s</t>
        </is>
      </c>
      <c r="O46" s="3" t="inlineStr">
        <is>
          <t>si</t>
        </is>
      </c>
      <c r="P46" s="3" t="inlineStr">
        <is>
          <t>si</t>
        </is>
      </c>
      <c r="Q46" s="3" t="inlineStr">
        <is>
          <t>V3</t>
        </is>
      </c>
      <c r="R46" s="3" t="n">
        <v>-9.34309</v>
      </c>
      <c r="S46" s="3" t="inlineStr">
        <is>
          <t>media posterior (aditiva); R0; C3s condicionada a los supuestos</t>
        </is>
      </c>
      <c r="T46" s="3" t="inlineStr">
        <is>
          <t>output/v8/F5/atribucion_combinada.csv</t>
        </is>
      </c>
      <c r="U46" s="2">
        <f>IF(R46=0,"",F46/R46)</f>
        <v/>
      </c>
      <c r="V46" s="2">
        <f>SUMIFS(F$2:F$1589,A$2:A$1589,A46,C$2:C$1589,C46,E$2:E$1589,E46,Q$2:Q$1589,Q46)</f>
        <v/>
      </c>
    </row>
    <row r="47">
      <c r="A47" s="3" t="inlineStr">
        <is>
          <t>alquiler</t>
        </is>
      </c>
      <c r="B47" s="3" t="inlineStr">
        <is>
          <t>nacional</t>
        </is>
      </c>
      <c r="C47" s="3" t="inlineStr">
        <is>
          <t>P4</t>
        </is>
      </c>
      <c r="D47" s="3" t="inlineStr">
        <is>
          <t>oferta</t>
        </is>
      </c>
      <c r="E47" s="3" t="inlineStr">
        <is>
          <t>svar_hd</t>
        </is>
      </c>
      <c r="F47" s="3" t="n">
        <v>-1.60744</v>
      </c>
      <c r="G47" s="3" t="n">
        <v>-1.60744</v>
      </c>
      <c r="H47" s="3" t="n">
        <v>-1.11638</v>
      </c>
      <c r="I47" s="3" t="n">
        <v>0.172045</v>
      </c>
      <c r="J47" s="3" t="n">
        <v>-3.57098</v>
      </c>
      <c r="K47" s="3" t="n">
        <v>0.103771</v>
      </c>
      <c r="L47" s="3" t="n">
        <v>-5.25663</v>
      </c>
      <c r="M47" s="3" t="n">
        <v>0.798864</v>
      </c>
      <c r="N47" s="3" t="inlineStr">
        <is>
          <t>C3s</t>
        </is>
      </c>
      <c r="O47" s="3" t="inlineStr">
        <is>
          <t>si</t>
        </is>
      </c>
      <c r="P47" s="3" t="inlineStr">
        <is>
          <t>no</t>
        </is>
      </c>
      <c r="Q47" s="3" t="inlineStr">
        <is>
          <t>V3</t>
        </is>
      </c>
      <c r="R47" s="3" t="n">
        <v>-9.34309</v>
      </c>
      <c r="S47" s="3" t="inlineStr">
        <is>
          <t>media posterior (aditiva); R0; C3s condicionada a los supuestos</t>
        </is>
      </c>
      <c r="T47" s="3" t="inlineStr">
        <is>
          <t>output/v8/F5/atribucion_combinada.csv</t>
        </is>
      </c>
      <c r="U47" s="2">
        <f>IF(R47=0,"",F47/R47)</f>
        <v/>
      </c>
      <c r="V47" s="2">
        <f>SUMIFS(F$2:F$1589,A$2:A$1589,A47,C$2:C$1589,C47,E$2:E$1589,E47,Q$2:Q$1589,Q47)</f>
        <v/>
      </c>
    </row>
    <row r="48">
      <c r="A48" s="3" t="inlineStr">
        <is>
          <t>alquiler</t>
        </is>
      </c>
      <c r="B48" s="3" t="inlineStr">
        <is>
          <t>nacional</t>
        </is>
      </c>
      <c r="C48" s="3" t="inlineStr">
        <is>
          <t>P4</t>
        </is>
      </c>
      <c r="D48" s="3" t="inlineStr">
        <is>
          <t>credito_tipos</t>
        </is>
      </c>
      <c r="E48" s="3" t="inlineStr">
        <is>
          <t>svar_hd</t>
        </is>
      </c>
      <c r="F48" s="3" t="n">
        <v>-1.45148</v>
      </c>
      <c r="G48" s="3" t="n">
        <v>-1.45148</v>
      </c>
      <c r="H48" s="3" t="n">
        <v>-0.925556</v>
      </c>
      <c r="I48" s="3" t="n">
        <v>0.155353</v>
      </c>
      <c r="J48" s="3" t="n">
        <v>-3.18121</v>
      </c>
      <c r="K48" s="3" t="n">
        <v>0.304975</v>
      </c>
      <c r="L48" s="3" t="n">
        <v>-5.16332</v>
      </c>
      <c r="M48" s="3" t="n">
        <v>1.07221</v>
      </c>
      <c r="N48" s="3" t="inlineStr">
        <is>
          <t>C3s</t>
        </is>
      </c>
      <c r="O48" s="3" t="inlineStr">
        <is>
          <t>si</t>
        </is>
      </c>
      <c r="P48" s="3" t="inlineStr">
        <is>
          <t>no</t>
        </is>
      </c>
      <c r="Q48" s="3" t="inlineStr">
        <is>
          <t>V3</t>
        </is>
      </c>
      <c r="R48" s="3" t="n">
        <v>-9.34309</v>
      </c>
      <c r="S48" s="3" t="inlineStr">
        <is>
          <t>media posterior (aditiva); R0; C3s condicionada a los supuestos</t>
        </is>
      </c>
      <c r="T48" s="3" t="inlineStr">
        <is>
          <t>output/v8/F5/atribucion_combinada.csv</t>
        </is>
      </c>
      <c r="U48" s="2">
        <f>IF(R48=0,"",F48/R48)</f>
        <v/>
      </c>
      <c r="V48" s="2">
        <f>SUMIFS(F$2:F$1589,A$2:A$1589,A48,C$2:C$1589,C48,E$2:E$1589,E48,Q$2:Q$1589,Q48)</f>
        <v/>
      </c>
    </row>
    <row r="49">
      <c r="A49" s="3" t="inlineStr">
        <is>
          <t>alquiler</t>
        </is>
      </c>
      <c r="B49" s="3" t="inlineStr">
        <is>
          <t>nacional</t>
        </is>
      </c>
      <c r="C49" s="3" t="inlineStr">
        <is>
          <t>P4</t>
        </is>
      </c>
      <c r="D49" s="3" t="inlineStr">
        <is>
          <t>no_identificados</t>
        </is>
      </c>
      <c r="E49" s="3" t="inlineStr">
        <is>
          <t>svar_hd</t>
        </is>
      </c>
      <c r="F49" s="3" t="n">
        <v>-2.08587</v>
      </c>
      <c r="G49" s="3" t="n">
        <v>-2.08587</v>
      </c>
      <c r="H49" s="3" t="n">
        <v>-1.88939</v>
      </c>
      <c r="I49" s="3" t="n">
        <v>0.223252</v>
      </c>
      <c r="J49" s="3" t="n">
        <v>-4.32334</v>
      </c>
      <c r="K49" s="3" t="n">
        <v>0.166187</v>
      </c>
      <c r="L49" s="3" t="n">
        <v>-6.36401</v>
      </c>
      <c r="M49" s="3" t="n">
        <v>1.22188</v>
      </c>
      <c r="N49" s="3" t="inlineStr">
        <is>
          <t>C3s</t>
        </is>
      </c>
      <c r="O49" s="3" t="inlineStr">
        <is>
          <t>no</t>
        </is>
      </c>
      <c r="P49" s="3" t="inlineStr">
        <is>
          <t>no_compite</t>
        </is>
      </c>
      <c r="Q49" s="3" t="inlineStr">
        <is>
          <t>V3</t>
        </is>
      </c>
      <c r="R49" s="3" t="n">
        <v>-9.34309</v>
      </c>
      <c r="S49" s="3" t="inlineStr">
        <is>
          <t>media posterior (aditiva); R0; C3s condicionada a los supuestos</t>
        </is>
      </c>
      <c r="T49" s="3" t="inlineStr">
        <is>
          <t>output/v8/F5/atribucion_combinada.csv</t>
        </is>
      </c>
      <c r="U49" s="2">
        <f>IF(R49=0,"",F49/R49)</f>
        <v/>
      </c>
      <c r="V49" s="2">
        <f>SUMIFS(F$2:F$1589,A$2:A$1589,A49,C$2:C$1589,C49,E$2:E$1589,E49,Q$2:Q$1589,Q49)</f>
        <v/>
      </c>
    </row>
    <row r="50">
      <c r="A50" s="3" t="inlineStr">
        <is>
          <t>alquiler</t>
        </is>
      </c>
      <c r="B50" s="3" t="inlineStr">
        <is>
          <t>nacional</t>
        </is>
      </c>
      <c r="C50" s="3" t="inlineStr">
        <is>
          <t>P4</t>
        </is>
      </c>
      <c r="D50" s="3" t="inlineStr">
        <is>
          <t>determinista</t>
        </is>
      </c>
      <c r="E50" s="3" t="inlineStr">
        <is>
          <t>svar_hd</t>
        </is>
      </c>
      <c r="F50" s="3" t="n">
        <v>-1.07541</v>
      </c>
      <c r="G50" s="3" t="n">
        <v>-1.07541</v>
      </c>
      <c r="H50" s="3" t="n">
        <v>-1.13179</v>
      </c>
      <c r="I50" s="3" t="n">
        <v>0.115102</v>
      </c>
      <c r="J50" s="3" t="n">
        <v>-3.76126</v>
      </c>
      <c r="K50" s="3" t="n">
        <v>1.22162</v>
      </c>
      <c r="L50" s="3" t="n">
        <v>-5.30774</v>
      </c>
      <c r="M50" s="3" t="n">
        <v>3.56684</v>
      </c>
      <c r="N50" s="3" t="inlineStr">
        <is>
          <t>C3s</t>
        </is>
      </c>
      <c r="O50" s="3" t="inlineStr">
        <is>
          <t>no</t>
        </is>
      </c>
      <c r="P50" s="3" t="inlineStr">
        <is>
          <t>no_compite</t>
        </is>
      </c>
      <c r="Q50" s="3" t="inlineStr">
        <is>
          <t>V3</t>
        </is>
      </c>
      <c r="R50" s="3" t="n">
        <v>-9.34309</v>
      </c>
      <c r="S50" s="3" t="inlineStr">
        <is>
          <t>media posterior (aditiva); R0; C3s condicionada a los supuestos</t>
        </is>
      </c>
      <c r="T50" s="3" t="inlineStr">
        <is>
          <t>output/v8/F5/atribucion_combinada.csv</t>
        </is>
      </c>
      <c r="U50" s="2">
        <f>IF(R50=0,"",F50/R50)</f>
        <v/>
      </c>
      <c r="V50" s="2">
        <f>SUMIFS(F$2:F$1589,A$2:A$1589,A50,C$2:C$1589,C50,E$2:E$1589,E50,Q$2:Q$1589,Q50)</f>
        <v/>
      </c>
    </row>
    <row r="51">
      <c r="A51" s="3" t="inlineStr">
        <is>
          <t>alquiler</t>
        </is>
      </c>
      <c r="B51" s="3" t="inlineStr">
        <is>
          <t>nacional</t>
        </is>
      </c>
      <c r="C51" s="3" t="inlineStr">
        <is>
          <t>P5</t>
        </is>
      </c>
      <c r="D51" s="3" t="inlineStr">
        <is>
          <t>empleo_renta</t>
        </is>
      </c>
      <c r="E51" s="3" t="inlineStr">
        <is>
          <t>svar_hd</t>
        </is>
      </c>
      <c r="F51" s="3" t="n">
        <v>0.471616</v>
      </c>
      <c r="G51" s="3" t="n">
        <v>0.471616</v>
      </c>
      <c r="H51" s="3" t="n">
        <v>-0.0547035</v>
      </c>
      <c r="I51" s="3" t="n">
        <v>-0.255528</v>
      </c>
      <c r="J51" s="3" t="n">
        <v>-1.87245</v>
      </c>
      <c r="K51" s="3" t="n">
        <v>2.10312</v>
      </c>
      <c r="L51" s="3" t="n">
        <v>-3.41242</v>
      </c>
      <c r="M51" s="3" t="n">
        <v>3.90377</v>
      </c>
      <c r="N51" s="3" t="inlineStr">
        <is>
          <t>C3s</t>
        </is>
      </c>
      <c r="O51" s="3" t="inlineStr">
        <is>
          <t>si</t>
        </is>
      </c>
      <c r="P51" s="3" t="inlineStr">
        <is>
          <t>no</t>
        </is>
      </c>
      <c r="Q51" s="3" t="inlineStr">
        <is>
          <t>V3</t>
        </is>
      </c>
      <c r="R51" s="3" t="n">
        <v>-1.84566</v>
      </c>
      <c r="S51" s="3" t="inlineStr">
        <is>
          <t>media posterior (aditiva); R0; C3s condicionada a los supuestos</t>
        </is>
      </c>
      <c r="T51" s="3" t="inlineStr">
        <is>
          <t>output/v8/F5/atribucion_combinada.csv</t>
        </is>
      </c>
      <c r="U51" s="2">
        <f>IF(R51=0,"",F51/R51)</f>
        <v/>
      </c>
      <c r="V51" s="2">
        <f>SUMIFS(F$2:F$1589,A$2:A$1589,A51,C$2:C$1589,C51,E$2:E$1589,E51,Q$2:Q$1589,Q51)</f>
        <v/>
      </c>
    </row>
    <row r="52">
      <c r="A52" s="3" t="inlineStr">
        <is>
          <t>alquiler</t>
        </is>
      </c>
      <c r="B52" s="3" t="inlineStr">
        <is>
          <t>nacional</t>
        </is>
      </c>
      <c r="C52" s="3" t="inlineStr">
        <is>
          <t>P5</t>
        </is>
      </c>
      <c r="D52" s="3" t="inlineStr">
        <is>
          <t>demografia</t>
        </is>
      </c>
      <c r="E52" s="3" t="inlineStr">
        <is>
          <t>svar_hd</t>
        </is>
      </c>
      <c r="F52" s="3" t="n">
        <v>0.0739278</v>
      </c>
      <c r="G52" s="3" t="n">
        <v>0.0739278</v>
      </c>
      <c r="H52" s="3" t="n">
        <v>0.0380691</v>
      </c>
      <c r="I52" s="3" t="n">
        <v>-0.040055</v>
      </c>
      <c r="J52" s="3" t="n">
        <v>-1.91917</v>
      </c>
      <c r="K52" s="3" t="n">
        <v>2.13245</v>
      </c>
      <c r="L52" s="3" t="n">
        <v>-3.73809</v>
      </c>
      <c r="M52" s="3" t="n">
        <v>4.10015</v>
      </c>
      <c r="N52" s="3" t="inlineStr">
        <is>
          <t>C3s</t>
        </is>
      </c>
      <c r="O52" s="3" t="inlineStr">
        <is>
          <t>si</t>
        </is>
      </c>
      <c r="P52" s="3" t="inlineStr">
        <is>
          <t>no</t>
        </is>
      </c>
      <c r="Q52" s="3" t="inlineStr">
        <is>
          <t>V3</t>
        </is>
      </c>
      <c r="R52" s="3" t="n">
        <v>-1.84566</v>
      </c>
      <c r="S52" s="3" t="inlineStr">
        <is>
          <t>media posterior (aditiva); R0; C3s condicionada a los supuestos</t>
        </is>
      </c>
      <c r="T52" s="3" t="inlineStr">
        <is>
          <t>output/v8/F5/atribucion_combinada.csv</t>
        </is>
      </c>
      <c r="U52" s="2">
        <f>IF(R52=0,"",F52/R52)</f>
        <v/>
      </c>
      <c r="V52" s="2">
        <f>SUMIFS(F$2:F$1589,A$2:A$1589,A52,C$2:C$1589,C52,E$2:E$1589,E52,Q$2:Q$1589,Q52)</f>
        <v/>
      </c>
    </row>
    <row r="53">
      <c r="A53" s="3" t="inlineStr">
        <is>
          <t>alquiler</t>
        </is>
      </c>
      <c r="B53" s="3" t="inlineStr">
        <is>
          <t>nacional</t>
        </is>
      </c>
      <c r="C53" s="3" t="inlineStr">
        <is>
          <t>P5</t>
        </is>
      </c>
      <c r="D53" s="3" t="inlineStr">
        <is>
          <t>demanda_vivienda</t>
        </is>
      </c>
      <c r="E53" s="3" t="inlineStr">
        <is>
          <t>svar_hd</t>
        </is>
      </c>
      <c r="F53" s="3" t="n">
        <v>-0.298746</v>
      </c>
      <c r="G53" s="3" t="n">
        <v>-0.298746</v>
      </c>
      <c r="H53" s="3" t="n">
        <v>0.00895519</v>
      </c>
      <c r="I53" s="3" t="n">
        <v>0.161865</v>
      </c>
      <c r="J53" s="3" t="n">
        <v>-2.01307</v>
      </c>
      <c r="K53" s="3" t="n">
        <v>1.99287</v>
      </c>
      <c r="L53" s="3" t="n">
        <v>-4.28596</v>
      </c>
      <c r="M53" s="3" t="n">
        <v>4.10841</v>
      </c>
      <c r="N53" s="3" t="inlineStr">
        <is>
          <t>C3s</t>
        </is>
      </c>
      <c r="O53" s="3" t="inlineStr">
        <is>
          <t>si</t>
        </is>
      </c>
      <c r="P53" s="3" t="inlineStr">
        <is>
          <t>no</t>
        </is>
      </c>
      <c r="Q53" s="3" t="inlineStr">
        <is>
          <t>V3</t>
        </is>
      </c>
      <c r="R53" s="3" t="n">
        <v>-1.84566</v>
      </c>
      <c r="S53" s="3" t="inlineStr">
        <is>
          <t>media posterior (aditiva); R0; C3s condicionada a los supuestos</t>
        </is>
      </c>
      <c r="T53" s="3" t="inlineStr">
        <is>
          <t>output/v8/F5/atribucion_combinada.csv</t>
        </is>
      </c>
      <c r="U53" s="2">
        <f>IF(R53=0,"",F53/R53)</f>
        <v/>
      </c>
      <c r="V53" s="2">
        <f>SUMIFS(F$2:F$1589,A$2:A$1589,A53,C$2:C$1589,C53,E$2:E$1589,E53,Q$2:Q$1589,Q53)</f>
        <v/>
      </c>
    </row>
    <row r="54">
      <c r="A54" s="3" t="inlineStr">
        <is>
          <t>alquiler</t>
        </is>
      </c>
      <c r="B54" s="3" t="inlineStr">
        <is>
          <t>nacional</t>
        </is>
      </c>
      <c r="C54" s="3" t="inlineStr">
        <is>
          <t>P5</t>
        </is>
      </c>
      <c r="D54" s="3" t="inlineStr">
        <is>
          <t>oferta</t>
        </is>
      </c>
      <c r="E54" s="3" t="inlineStr">
        <is>
          <t>svar_hd</t>
        </is>
      </c>
      <c r="F54" s="3" t="n">
        <v>0.365414</v>
      </c>
      <c r="G54" s="3" t="n">
        <v>0.365414</v>
      </c>
      <c r="H54" s="3" t="n">
        <v>0.28268</v>
      </c>
      <c r="I54" s="3" t="n">
        <v>-0.197986</v>
      </c>
      <c r="J54" s="3" t="n">
        <v>-1.75133</v>
      </c>
      <c r="K54" s="3" t="n">
        <v>2.59775</v>
      </c>
      <c r="L54" s="3" t="n">
        <v>-3.38467</v>
      </c>
      <c r="M54" s="3" t="n">
        <v>4.56606</v>
      </c>
      <c r="N54" s="3" t="inlineStr">
        <is>
          <t>C3s</t>
        </is>
      </c>
      <c r="O54" s="3" t="inlineStr">
        <is>
          <t>si</t>
        </is>
      </c>
      <c r="P54" s="3" t="inlineStr">
        <is>
          <t>no</t>
        </is>
      </c>
      <c r="Q54" s="3" t="inlineStr">
        <is>
          <t>V3</t>
        </is>
      </c>
      <c r="R54" s="3" t="n">
        <v>-1.84566</v>
      </c>
      <c r="S54" s="3" t="inlineStr">
        <is>
          <t>media posterior (aditiva); R0; C3s condicionada a los supuestos</t>
        </is>
      </c>
      <c r="T54" s="3" t="inlineStr">
        <is>
          <t>output/v8/F5/atribucion_combinada.csv</t>
        </is>
      </c>
      <c r="U54" s="2">
        <f>IF(R54=0,"",F54/R54)</f>
        <v/>
      </c>
      <c r="V54" s="2">
        <f>SUMIFS(F$2:F$1589,A$2:A$1589,A54,C$2:C$1589,C54,E$2:E$1589,E54,Q$2:Q$1589,Q54)</f>
        <v/>
      </c>
    </row>
    <row r="55">
      <c r="A55" s="3" t="inlineStr">
        <is>
          <t>alquiler</t>
        </is>
      </c>
      <c r="B55" s="3" t="inlineStr">
        <is>
          <t>nacional</t>
        </is>
      </c>
      <c r="C55" s="3" t="inlineStr">
        <is>
          <t>P5</t>
        </is>
      </c>
      <c r="D55" s="3" t="inlineStr">
        <is>
          <t>credito_tipos</t>
        </is>
      </c>
      <c r="E55" s="3" t="inlineStr">
        <is>
          <t>svar_hd</t>
        </is>
      </c>
      <c r="F55" s="3" t="n">
        <v>-0.501669</v>
      </c>
      <c r="G55" s="3" t="n">
        <v>-0.501669</v>
      </c>
      <c r="H55" s="3" t="n">
        <v>-0.0463381</v>
      </c>
      <c r="I55" s="3" t="n">
        <v>0.271811</v>
      </c>
      <c r="J55" s="3" t="n">
        <v>-2.57326</v>
      </c>
      <c r="K55" s="3" t="n">
        <v>2.34347</v>
      </c>
      <c r="L55" s="3" t="n">
        <v>-4.33116</v>
      </c>
      <c r="M55" s="3" t="n">
        <v>4.27741</v>
      </c>
      <c r="N55" s="3" t="inlineStr">
        <is>
          <t>C3s</t>
        </is>
      </c>
      <c r="O55" s="3" t="inlineStr">
        <is>
          <t>si</t>
        </is>
      </c>
      <c r="P55" s="3" t="inlineStr">
        <is>
          <t>si</t>
        </is>
      </c>
      <c r="Q55" s="3" t="inlineStr">
        <is>
          <t>V3</t>
        </is>
      </c>
      <c r="R55" s="3" t="n">
        <v>-1.84566</v>
      </c>
      <c r="S55" s="3" t="inlineStr">
        <is>
          <t>media posterior (aditiva); R0; C3s condicionada a los supuestos</t>
        </is>
      </c>
      <c r="T55" s="3" t="inlineStr">
        <is>
          <t>output/v8/F5/atribucion_combinada.csv</t>
        </is>
      </c>
      <c r="U55" s="2">
        <f>IF(R55=0,"",F55/R55)</f>
        <v/>
      </c>
      <c r="V55" s="2">
        <f>SUMIFS(F$2:F$1589,A$2:A$1589,A55,C$2:C$1589,C55,E$2:E$1589,E55,Q$2:Q$1589,Q55)</f>
        <v/>
      </c>
    </row>
    <row r="56">
      <c r="A56" s="3" t="inlineStr">
        <is>
          <t>alquiler</t>
        </is>
      </c>
      <c r="B56" s="3" t="inlineStr">
        <is>
          <t>nacional</t>
        </is>
      </c>
      <c r="C56" s="3" t="inlineStr">
        <is>
          <t>P5</t>
        </is>
      </c>
      <c r="D56" s="3" t="inlineStr">
        <is>
          <t>no_identificados</t>
        </is>
      </c>
      <c r="E56" s="3" t="inlineStr">
        <is>
          <t>svar_hd</t>
        </is>
      </c>
      <c r="F56" s="3" t="n">
        <v>1.63337</v>
      </c>
      <c r="G56" s="3" t="n">
        <v>1.63337</v>
      </c>
      <c r="H56" s="3" t="n">
        <v>1.42271</v>
      </c>
      <c r="I56" s="3" t="n">
        <v>-0.88498</v>
      </c>
      <c r="J56" s="3" t="n">
        <v>-1.28019</v>
      </c>
      <c r="K56" s="3" t="n">
        <v>4.50542</v>
      </c>
      <c r="L56" s="3" t="n">
        <v>-4.03918</v>
      </c>
      <c r="M56" s="3" t="n">
        <v>7.20154</v>
      </c>
      <c r="N56" s="3" t="inlineStr">
        <is>
          <t>C3s</t>
        </is>
      </c>
      <c r="O56" s="3" t="inlineStr">
        <is>
          <t>no</t>
        </is>
      </c>
      <c r="P56" s="3" t="inlineStr">
        <is>
          <t>no_compite</t>
        </is>
      </c>
      <c r="Q56" s="3" t="inlineStr">
        <is>
          <t>V3</t>
        </is>
      </c>
      <c r="R56" s="3" t="n">
        <v>-1.84566</v>
      </c>
      <c r="S56" s="3" t="inlineStr">
        <is>
          <t>media posterior (aditiva); R0; C3s condicionada a los supuestos</t>
        </is>
      </c>
      <c r="T56" s="3" t="inlineStr">
        <is>
          <t>output/v8/F5/atribucion_combinada.csv</t>
        </is>
      </c>
      <c r="U56" s="2">
        <f>IF(R56=0,"",F56/R56)</f>
        <v/>
      </c>
      <c r="V56" s="2">
        <f>SUMIFS(F$2:F$1589,A$2:A$1589,A56,C$2:C$1589,C56,E$2:E$1589,E56,Q$2:Q$1589,Q56)</f>
        <v/>
      </c>
    </row>
    <row r="57">
      <c r="A57" s="3" t="inlineStr">
        <is>
          <t>alquiler</t>
        </is>
      </c>
      <c r="B57" s="3" t="inlineStr">
        <is>
          <t>nacional</t>
        </is>
      </c>
      <c r="C57" s="3" t="inlineStr">
        <is>
          <t>P5</t>
        </is>
      </c>
      <c r="D57" s="3" t="inlineStr">
        <is>
          <t>determinista</t>
        </is>
      </c>
      <c r="E57" s="3" t="inlineStr">
        <is>
          <t>svar_hd</t>
        </is>
      </c>
      <c r="F57" s="3" t="n">
        <v>-3.58957</v>
      </c>
      <c r="G57" s="3" t="n">
        <v>-3.58957</v>
      </c>
      <c r="H57" s="3" t="n">
        <v>-3.80727</v>
      </c>
      <c r="I57" s="3" t="n">
        <v>1.94487</v>
      </c>
      <c r="J57" s="3" t="n">
        <v>-6.64389</v>
      </c>
      <c r="K57" s="3" t="n">
        <v>-0.929001</v>
      </c>
      <c r="L57" s="3" t="n">
        <v>-9.38904</v>
      </c>
      <c r="M57" s="3" t="n">
        <v>0.761817</v>
      </c>
      <c r="N57" s="3" t="inlineStr">
        <is>
          <t>C3s</t>
        </is>
      </c>
      <c r="O57" s="3" t="inlineStr">
        <is>
          <t>no</t>
        </is>
      </c>
      <c r="P57" s="3" t="inlineStr">
        <is>
          <t>no_compite</t>
        </is>
      </c>
      <c r="Q57" s="3" t="inlineStr">
        <is>
          <t>V3</t>
        </is>
      </c>
      <c r="R57" s="3" t="n">
        <v>-1.84566</v>
      </c>
      <c r="S57" s="3" t="inlineStr">
        <is>
          <t>media posterior (aditiva); R0; C3s condicionada a los supuestos</t>
        </is>
      </c>
      <c r="T57" s="3" t="inlineStr">
        <is>
          <t>output/v8/F5/atribucion_combinada.csv</t>
        </is>
      </c>
      <c r="U57" s="2">
        <f>IF(R57=0,"",F57/R57)</f>
        <v/>
      </c>
      <c r="V57" s="2">
        <f>SUMIFS(F$2:F$1589,A$2:A$1589,A57,C$2:C$1589,C57,E$2:E$1589,E57,Q$2:Q$1589,Q57)</f>
        <v/>
      </c>
    </row>
    <row r="58">
      <c r="A58" s="3" t="inlineStr">
        <is>
          <t>compra</t>
        </is>
      </c>
      <c r="B58" s="3" t="inlineStr">
        <is>
          <t>nacional</t>
        </is>
      </c>
      <c r="C58" s="3" t="inlineStr">
        <is>
          <t>P1</t>
        </is>
      </c>
      <c r="D58" s="3" t="inlineStr">
        <is>
          <t>empleo_renta</t>
        </is>
      </c>
      <c r="E58" s="3" t="inlineStr">
        <is>
          <t>svar_hd</t>
        </is>
      </c>
      <c r="F58" s="3" t="n">
        <v>31.8224</v>
      </c>
      <c r="G58" s="3" t="n">
        <v>31.8224</v>
      </c>
      <c r="H58" s="3" t="n">
        <v>29.5049</v>
      </c>
      <c r="I58" s="3" t="n">
        <v>0.422318</v>
      </c>
      <c r="J58" s="3" t="n">
        <v>8.99901</v>
      </c>
      <c r="K58" s="3" t="n">
        <v>54.649</v>
      </c>
      <c r="L58" s="3" t="n">
        <v>-1.8311</v>
      </c>
      <c r="M58" s="3" t="n">
        <v>72.9259</v>
      </c>
      <c r="N58" s="3" t="inlineStr">
        <is>
          <t>C3s</t>
        </is>
      </c>
      <c r="O58" s="3" t="inlineStr">
        <is>
          <t>si</t>
        </is>
      </c>
      <c r="P58" s="3" t="inlineStr">
        <is>
          <t>si</t>
        </is>
      </c>
      <c r="Q58" s="3" t="inlineStr">
        <is>
          <t>larga</t>
        </is>
      </c>
      <c r="R58" s="3" t="n">
        <v>75.3518</v>
      </c>
      <c r="S58" s="3" t="inlineStr">
        <is>
          <t>media posterior (aditiva); R0; C3s condicionada a los supuestos</t>
        </is>
      </c>
      <c r="T58" s="3" t="inlineStr">
        <is>
          <t>output/v8/F5/atribucion_combinada.csv</t>
        </is>
      </c>
      <c r="U58" s="2">
        <f>IF(R58=0,"",F58/R58)</f>
        <v/>
      </c>
      <c r="V58" s="2">
        <f>SUMIFS(F$2:F$1589,A$2:A$1589,A58,C$2:C$1589,C58,E$2:E$1589,E58,Q$2:Q$1589,Q58)</f>
        <v/>
      </c>
    </row>
    <row r="59">
      <c r="A59" s="3" t="inlineStr">
        <is>
          <t>compra</t>
        </is>
      </c>
      <c r="B59" s="3" t="inlineStr">
        <is>
          <t>nacional</t>
        </is>
      </c>
      <c r="C59" s="3" t="inlineStr">
        <is>
          <t>P1</t>
        </is>
      </c>
      <c r="D59" s="3" t="inlineStr">
        <is>
          <t>demografia</t>
        </is>
      </c>
      <c r="E59" s="3" t="inlineStr">
        <is>
          <t>svar_hd</t>
        </is>
      </c>
      <c r="F59" s="3" t="n">
        <v>8.940189999999999</v>
      </c>
      <c r="G59" s="3" t="n">
        <v>8.940189999999999</v>
      </c>
      <c r="H59" s="3" t="n">
        <v>4.75405</v>
      </c>
      <c r="I59" s="3" t="n">
        <v>0.118646</v>
      </c>
      <c r="J59" s="3" t="n">
        <v>-4.98915</v>
      </c>
      <c r="K59" s="3" t="n">
        <v>24.7777</v>
      </c>
      <c r="L59" s="3" t="n">
        <v>-15.5745</v>
      </c>
      <c r="M59" s="3" t="n">
        <v>46.9727</v>
      </c>
      <c r="N59" s="3" t="inlineStr">
        <is>
          <t>C3s</t>
        </is>
      </c>
      <c r="O59" s="3" t="inlineStr">
        <is>
          <t>si</t>
        </is>
      </c>
      <c r="P59" s="3" t="inlineStr">
        <is>
          <t>no</t>
        </is>
      </c>
      <c r="Q59" s="3" t="inlineStr">
        <is>
          <t>larga</t>
        </is>
      </c>
      <c r="R59" s="3" t="n">
        <v>75.3518</v>
      </c>
      <c r="S59" s="3" t="inlineStr">
        <is>
          <t>media posterior (aditiva); R0; C3s condicionada a los supuestos</t>
        </is>
      </c>
      <c r="T59" s="3" t="inlineStr">
        <is>
          <t>output/v8/F5/atribucion_combinada.csv</t>
        </is>
      </c>
      <c r="U59" s="2">
        <f>IF(R59=0,"",F59/R59)</f>
        <v/>
      </c>
      <c r="V59" s="2">
        <f>SUMIFS(F$2:F$1589,A$2:A$1589,A59,C$2:C$1589,C59,E$2:E$1589,E59,Q$2:Q$1589,Q59)</f>
        <v/>
      </c>
    </row>
    <row r="60">
      <c r="A60" s="3" t="inlineStr">
        <is>
          <t>compra</t>
        </is>
      </c>
      <c r="B60" s="3" t="inlineStr">
        <is>
          <t>nacional</t>
        </is>
      </c>
      <c r="C60" s="3" t="inlineStr">
        <is>
          <t>P1</t>
        </is>
      </c>
      <c r="D60" s="3" t="inlineStr">
        <is>
          <t>credito_tipos</t>
        </is>
      </c>
      <c r="E60" s="3" t="inlineStr">
        <is>
          <t>svar_hd</t>
        </is>
      </c>
      <c r="F60" s="3" t="n">
        <v>3.02994</v>
      </c>
      <c r="G60" s="3" t="n">
        <v>3.02994</v>
      </c>
      <c r="H60" s="3" t="n">
        <v>0.0975893</v>
      </c>
      <c r="I60" s="3" t="n">
        <v>0.0402105</v>
      </c>
      <c r="J60" s="3" t="n">
        <v>-7.19032</v>
      </c>
      <c r="K60" s="3" t="n">
        <v>14.0114</v>
      </c>
      <c r="L60" s="3" t="n">
        <v>-15.8623</v>
      </c>
      <c r="M60" s="3" t="n">
        <v>31.4975</v>
      </c>
      <c r="N60" s="3" t="inlineStr">
        <is>
          <t>C3s</t>
        </is>
      </c>
      <c r="O60" s="3" t="inlineStr">
        <is>
          <t>si</t>
        </is>
      </c>
      <c r="P60" s="3" t="inlineStr">
        <is>
          <t>no</t>
        </is>
      </c>
      <c r="Q60" s="3" t="inlineStr">
        <is>
          <t>larga</t>
        </is>
      </c>
      <c r="R60" s="3" t="n">
        <v>75.3518</v>
      </c>
      <c r="S60" s="3" t="inlineStr">
        <is>
          <t>media posterior (aditiva); R0; C3s condicionada a los supuestos</t>
        </is>
      </c>
      <c r="T60" s="3" t="inlineStr">
        <is>
          <t>output/v8/F5/atribucion_combinada.csv</t>
        </is>
      </c>
      <c r="U60" s="2">
        <f>IF(R60=0,"",F60/R60)</f>
        <v/>
      </c>
      <c r="V60" s="2">
        <f>SUMIFS(F$2:F$1589,A$2:A$1589,A60,C$2:C$1589,C60,E$2:E$1589,E60,Q$2:Q$1589,Q60)</f>
        <v/>
      </c>
    </row>
    <row r="61">
      <c r="A61" s="3" t="inlineStr">
        <is>
          <t>compra</t>
        </is>
      </c>
      <c r="B61" s="3" t="inlineStr">
        <is>
          <t>nacional</t>
        </is>
      </c>
      <c r="C61" s="3" t="inlineStr">
        <is>
          <t>P1</t>
        </is>
      </c>
      <c r="D61" s="3" t="inlineStr">
        <is>
          <t>no_identificados</t>
        </is>
      </c>
      <c r="E61" s="3" t="inlineStr">
        <is>
          <t>svar_hd</t>
        </is>
      </c>
      <c r="F61" s="3" t="n">
        <v>8.499969999999999</v>
      </c>
      <c r="G61" s="3" t="n">
        <v>8.499969999999999</v>
      </c>
      <c r="H61" s="3" t="n">
        <v>4.49346</v>
      </c>
      <c r="I61" s="3" t="n">
        <v>0.112804</v>
      </c>
      <c r="J61" s="3" t="n">
        <v>-4.98928</v>
      </c>
      <c r="K61" s="3" t="n">
        <v>23.8377</v>
      </c>
      <c r="L61" s="3" t="n">
        <v>-15.9745</v>
      </c>
      <c r="M61" s="3" t="n">
        <v>46.5683</v>
      </c>
      <c r="N61" s="3" t="inlineStr">
        <is>
          <t>C3s</t>
        </is>
      </c>
      <c r="O61" s="3" t="inlineStr">
        <is>
          <t>no</t>
        </is>
      </c>
      <c r="P61" s="3" t="inlineStr">
        <is>
          <t>no_compite</t>
        </is>
      </c>
      <c r="Q61" s="3" t="inlineStr">
        <is>
          <t>larga</t>
        </is>
      </c>
      <c r="R61" s="3" t="n">
        <v>75.3518</v>
      </c>
      <c r="S61" s="3" t="inlineStr">
        <is>
          <t>media posterior (aditiva); R0; C3s condicionada a los supuestos</t>
        </is>
      </c>
      <c r="T61" s="3" t="inlineStr">
        <is>
          <t>output/v8/F5/atribucion_combinada.csv</t>
        </is>
      </c>
      <c r="U61" s="2">
        <f>IF(R61=0,"",F61/R61)</f>
        <v/>
      </c>
      <c r="V61" s="2">
        <f>SUMIFS(F$2:F$1589,A$2:A$1589,A61,C$2:C$1589,C61,E$2:E$1589,E61,Q$2:Q$1589,Q61)</f>
        <v/>
      </c>
    </row>
    <row r="62">
      <c r="A62" s="3" t="inlineStr">
        <is>
          <t>compra</t>
        </is>
      </c>
      <c r="B62" s="3" t="inlineStr">
        <is>
          <t>nacional</t>
        </is>
      </c>
      <c r="C62" s="3" t="inlineStr">
        <is>
          <t>P1</t>
        </is>
      </c>
      <c r="D62" s="3" t="inlineStr">
        <is>
          <t>determinista</t>
        </is>
      </c>
      <c r="E62" s="3" t="inlineStr">
        <is>
          <t>svar_hd</t>
        </is>
      </c>
      <c r="F62" s="3" t="n">
        <v>23.0593</v>
      </c>
      <c r="G62" s="3" t="n">
        <v>23.0593</v>
      </c>
      <c r="H62" s="3" t="n">
        <v>22.5386</v>
      </c>
      <c r="I62" s="3" t="n">
        <v>0.306022</v>
      </c>
      <c r="J62" s="3" t="n">
        <v>-1.04812</v>
      </c>
      <c r="K62" s="3" t="n">
        <v>50.2903</v>
      </c>
      <c r="L62" s="3" t="n">
        <v>-23.2178</v>
      </c>
      <c r="M62" s="3" t="n">
        <v>76.3301</v>
      </c>
      <c r="N62" s="3" t="inlineStr">
        <is>
          <t>C3s</t>
        </is>
      </c>
      <c r="O62" s="3" t="inlineStr">
        <is>
          <t>no</t>
        </is>
      </c>
      <c r="P62" s="3" t="inlineStr">
        <is>
          <t>no_compite</t>
        </is>
      </c>
      <c r="Q62" s="3" t="inlineStr">
        <is>
          <t>larga</t>
        </is>
      </c>
      <c r="R62" s="3" t="n">
        <v>75.3518</v>
      </c>
      <c r="S62" s="3" t="inlineStr">
        <is>
          <t>media posterior (aditiva); R0; C3s condicionada a los supuestos</t>
        </is>
      </c>
      <c r="T62" s="3" t="inlineStr">
        <is>
          <t>output/v8/F5/atribucion_combinada.csv</t>
        </is>
      </c>
      <c r="U62" s="2">
        <f>IF(R62=0,"",F62/R62)</f>
        <v/>
      </c>
      <c r="V62" s="2">
        <f>SUMIFS(F$2:F$1589,A$2:A$1589,A62,C$2:C$1589,C62,E$2:E$1589,E62,Q$2:Q$1589,Q62)</f>
        <v/>
      </c>
    </row>
    <row r="63">
      <c r="A63" s="3" t="inlineStr">
        <is>
          <t>compra</t>
        </is>
      </c>
      <c r="B63" s="3" t="inlineStr">
        <is>
          <t>nacional</t>
        </is>
      </c>
      <c r="C63" s="3" t="inlineStr">
        <is>
          <t>P1</t>
        </is>
      </c>
      <c r="D63" s="3" t="inlineStr">
        <is>
          <t>demografia</t>
        </is>
      </c>
      <c r="E63" s="3" t="inlineStr">
        <is>
          <t>dominancia</t>
        </is>
      </c>
      <c r="F63" s="3" t="n">
        <v>15.3085</v>
      </c>
      <c r="G63" s="3" t="n"/>
      <c r="H63" s="3" t="n"/>
      <c r="I63" s="3" t="n">
        <v>0.2047</v>
      </c>
      <c r="J63" s="3" t="n">
        <v>6.97915</v>
      </c>
      <c r="K63" s="3" t="n">
        <v>20.2422</v>
      </c>
      <c r="L63" s="3" t="n">
        <v>3.22483</v>
      </c>
      <c r="M63" s="3" t="n">
        <v>23.2585</v>
      </c>
      <c r="N63" s="3" t="inlineStr">
        <is>
          <t>C4</t>
        </is>
      </c>
      <c r="O63" s="3" t="inlineStr">
        <is>
          <t>si</t>
        </is>
      </c>
      <c r="P63" s="3" t="inlineStr">
        <is>
          <t>abstiene</t>
        </is>
      </c>
      <c r="Q63" s="3" t="inlineStr">
        <is>
          <t>interanual_ipc_tasado</t>
        </is>
      </c>
      <c r="R63" s="3" t="n">
        <v>74.78489999999999</v>
      </c>
      <c r="S63" s="3" t="inlineStr">
        <is>
          <t>cuota LMG x R2 x dY (asociacion; no causal)</t>
        </is>
      </c>
      <c r="T63" s="3" t="inlineStr">
        <is>
          <t>output/v8/F5/atribucion_combinada.csv</t>
        </is>
      </c>
      <c r="U63" s="2">
        <f>IF(R63=0,"",F63/R63)</f>
        <v/>
      </c>
      <c r="V63" s="2">
        <f>SUMIFS(F$2:F$1589,A$2:A$1589,A63,C$2:C$1589,C63,E$2:E$1589,E63,Q$2:Q$1589,Q63)</f>
        <v/>
      </c>
    </row>
    <row r="64">
      <c r="A64" s="3" t="inlineStr">
        <is>
          <t>compra</t>
        </is>
      </c>
      <c r="B64" s="3" t="inlineStr">
        <is>
          <t>nacional</t>
        </is>
      </c>
      <c r="C64" s="3" t="inlineStr">
        <is>
          <t>P1</t>
        </is>
      </c>
      <c r="D64" s="3" t="inlineStr">
        <is>
          <t>empleo_renta</t>
        </is>
      </c>
      <c r="E64" s="3" t="inlineStr">
        <is>
          <t>dominancia</t>
        </is>
      </c>
      <c r="F64" s="3" t="n">
        <v>2.82591</v>
      </c>
      <c r="G64" s="3" t="n"/>
      <c r="H64" s="3" t="n"/>
      <c r="I64" s="3" t="n">
        <v>0.0377872</v>
      </c>
      <c r="J64" s="3" t="n">
        <v>0</v>
      </c>
      <c r="K64" s="3" t="n">
        <v>3.70053</v>
      </c>
      <c r="L64" s="3" t="n">
        <v>0</v>
      </c>
      <c r="M64" s="3" t="n">
        <v>4.31351</v>
      </c>
      <c r="N64" s="3" t="inlineStr">
        <is>
          <t>C4</t>
        </is>
      </c>
      <c r="O64" s="3" t="inlineStr">
        <is>
          <t>si</t>
        </is>
      </c>
      <c r="P64" s="3" t="inlineStr">
        <is>
          <t>abstiene</t>
        </is>
      </c>
      <c r="Q64" s="3" t="inlineStr">
        <is>
          <t>interanual_ipc_tasado</t>
        </is>
      </c>
      <c r="R64" s="3" t="n">
        <v>74.78489999999999</v>
      </c>
      <c r="S64" s="3" t="inlineStr">
        <is>
          <t>cuota LMG x R2 x dY (asociacion; no causal)</t>
        </is>
      </c>
      <c r="T64" s="3" t="inlineStr">
        <is>
          <t>output/v8/F5/atribucion_combinada.csv</t>
        </is>
      </c>
      <c r="U64" s="2">
        <f>IF(R64=0,"",F64/R64)</f>
        <v/>
      </c>
      <c r="V64" s="2">
        <f>SUMIFS(F$2:F$1589,A$2:A$1589,A64,C$2:C$1589,C64,E$2:E$1589,E64,Q$2:Q$1589,Q64)</f>
        <v/>
      </c>
    </row>
    <row r="65">
      <c r="A65" s="3" t="inlineStr">
        <is>
          <t>compra</t>
        </is>
      </c>
      <c r="B65" s="3" t="inlineStr">
        <is>
          <t>nacional</t>
        </is>
      </c>
      <c r="C65" s="3" t="inlineStr">
        <is>
          <t>P1</t>
        </is>
      </c>
      <c r="D65" s="3" t="inlineStr">
        <is>
          <t>credito_tipos</t>
        </is>
      </c>
      <c r="E65" s="3" t="inlineStr">
        <is>
          <t>dominancia</t>
        </is>
      </c>
      <c r="F65" s="3" t="n">
        <v>35.1516</v>
      </c>
      <c r="G65" s="3" t="n"/>
      <c r="H65" s="3" t="n"/>
      <c r="I65" s="3" t="n">
        <v>0.470036</v>
      </c>
      <c r="J65" s="3" t="n">
        <v>34.9004</v>
      </c>
      <c r="K65" s="3" t="n">
        <v>49.4521</v>
      </c>
      <c r="L65" s="3" t="n">
        <v>31.3662</v>
      </c>
      <c r="M65" s="3" t="n">
        <v>56.2306</v>
      </c>
      <c r="N65" s="3" t="inlineStr">
        <is>
          <t>C4</t>
        </is>
      </c>
      <c r="O65" s="3" t="inlineStr">
        <is>
          <t>si</t>
        </is>
      </c>
      <c r="P65" s="3" t="inlineStr">
        <is>
          <t>abstiene</t>
        </is>
      </c>
      <c r="Q65" s="3" t="inlineStr">
        <is>
          <t>interanual_ipc_tasado</t>
        </is>
      </c>
      <c r="R65" s="3" t="n">
        <v>74.78489999999999</v>
      </c>
      <c r="S65" s="3" t="inlineStr">
        <is>
          <t>cuota LMG x R2 x dY (asociacion; no causal)</t>
        </is>
      </c>
      <c r="T65" s="3" t="inlineStr">
        <is>
          <t>output/v8/F5/atribucion_combinada.csv</t>
        </is>
      </c>
      <c r="U65" s="2">
        <f>IF(R65=0,"",F65/R65)</f>
        <v/>
      </c>
      <c r="V65" s="2">
        <f>SUMIFS(F$2:F$1589,A$2:A$1589,A65,C$2:C$1589,C65,E$2:E$1589,E65,Q$2:Q$1589,Q65)</f>
        <v/>
      </c>
    </row>
    <row r="66">
      <c r="A66" s="3" t="inlineStr">
        <is>
          <t>compra</t>
        </is>
      </c>
      <c r="B66" s="3" t="inlineStr">
        <is>
          <t>nacional</t>
        </is>
      </c>
      <c r="C66" s="3" t="inlineStr">
        <is>
          <t>P1</t>
        </is>
      </c>
      <c r="D66" s="3" t="inlineStr">
        <is>
          <t>oferta</t>
        </is>
      </c>
      <c r="E66" s="3" t="inlineStr">
        <is>
          <t>dominancia</t>
        </is>
      </c>
      <c r="F66" s="3" t="n">
        <v>1.52909</v>
      </c>
      <c r="G66" s="3" t="n"/>
      <c r="H66" s="3" t="n"/>
      <c r="I66" s="3" t="n">
        <v>0.0204465</v>
      </c>
      <c r="J66" s="3" t="n">
        <v>0</v>
      </c>
      <c r="K66" s="3" t="n">
        <v>1.70152</v>
      </c>
      <c r="L66" s="3" t="n">
        <v>0</v>
      </c>
      <c r="M66" s="3" t="n">
        <v>2.22823</v>
      </c>
      <c r="N66" s="3" t="inlineStr">
        <is>
          <t>C4</t>
        </is>
      </c>
      <c r="O66" s="3" t="inlineStr">
        <is>
          <t>si</t>
        </is>
      </c>
      <c r="P66" s="3" t="inlineStr">
        <is>
          <t>abstiene</t>
        </is>
      </c>
      <c r="Q66" s="3" t="inlineStr">
        <is>
          <t>interanual_ipc_tasado</t>
        </is>
      </c>
      <c r="R66" s="3" t="n">
        <v>74.78489999999999</v>
      </c>
      <c r="S66" s="3" t="inlineStr">
        <is>
          <t>cuota LMG x R2 x dY (asociacion; no causal)</t>
        </is>
      </c>
      <c r="T66" s="3" t="inlineStr">
        <is>
          <t>output/v8/F5/atribucion_combinada.csv</t>
        </is>
      </c>
      <c r="U66" s="2">
        <f>IF(R66=0,"",F66/R66)</f>
        <v/>
      </c>
      <c r="V66" s="2">
        <f>SUMIFS(F$2:F$1589,A$2:A$1589,A66,C$2:C$1589,C66,E$2:E$1589,E66,Q$2:Q$1589,Q66)</f>
        <v/>
      </c>
    </row>
    <row r="67">
      <c r="A67" s="3" t="inlineStr">
        <is>
          <t>compra</t>
        </is>
      </c>
      <c r="B67" s="3" t="inlineStr">
        <is>
          <t>nacional</t>
        </is>
      </c>
      <c r="C67" s="3" t="inlineStr">
        <is>
          <t>P1</t>
        </is>
      </c>
      <c r="D67" s="3" t="inlineStr">
        <is>
          <t>residuo</t>
        </is>
      </c>
      <c r="E67" s="3" t="inlineStr">
        <is>
          <t>dominancia</t>
        </is>
      </c>
      <c r="F67" s="3" t="n">
        <v>19.9699</v>
      </c>
      <c r="G67" s="3" t="n"/>
      <c r="H67" s="3" t="n"/>
      <c r="I67" s="3" t="n">
        <v>0.267031</v>
      </c>
      <c r="J67" s="3" t="n">
        <v>17.3614</v>
      </c>
      <c r="K67" s="3" t="n">
        <v>28.6794</v>
      </c>
      <c r="L67" s="3" t="n">
        <v>12.5399</v>
      </c>
      <c r="M67" s="3" t="n">
        <v>31.1334</v>
      </c>
      <c r="N67" s="3" t="inlineStr">
        <is>
          <t>C4</t>
        </is>
      </c>
      <c r="O67" s="3" t="inlineStr">
        <is>
          <t>no</t>
        </is>
      </c>
      <c r="P67" s="3" t="inlineStr">
        <is>
          <t>no_compite</t>
        </is>
      </c>
      <c r="Q67" s="3" t="inlineStr">
        <is>
          <t>interanual_ipc_tasado</t>
        </is>
      </c>
      <c r="R67" s="3" t="n">
        <v>74.78489999999999</v>
      </c>
      <c r="S67" s="3" t="inlineStr">
        <is>
          <t>cuota LMG x R2 x dY (asociacion; no causal)</t>
        </is>
      </c>
      <c r="T67" s="3" t="inlineStr">
        <is>
          <t>output/v8/F5/atribucion_combinada.csv</t>
        </is>
      </c>
      <c r="U67" s="2">
        <f>IF(R67=0,"",F67/R67)</f>
        <v/>
      </c>
      <c r="V67" s="2">
        <f>SUMIFS(F$2:F$1589,A$2:A$1589,A67,C$2:C$1589,C67,E$2:E$1589,E67,Q$2:Q$1589,Q67)</f>
        <v/>
      </c>
    </row>
    <row r="68">
      <c r="A68" s="3" t="inlineStr">
        <is>
          <t>compra</t>
        </is>
      </c>
      <c r="B68" s="3" t="inlineStr">
        <is>
          <t>nacional</t>
        </is>
      </c>
      <c r="C68" s="3" t="inlineStr">
        <is>
          <t>P1</t>
        </is>
      </c>
      <c r="D68" s="3" t="inlineStr">
        <is>
          <t>demanda_externa</t>
        </is>
      </c>
      <c r="E68" s="3" t="inlineStr">
        <is>
          <t>dominancia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inlineStr">
        <is>
          <t>C4</t>
        </is>
      </c>
      <c r="O68" s="3" t="inlineStr">
        <is>
          <t>si</t>
        </is>
      </c>
      <c r="P68" s="3" t="inlineStr">
        <is>
          <t>abstiene</t>
        </is>
      </c>
      <c r="Q68" s="3" t="inlineStr">
        <is>
          <t>interanual_ipc_tasado</t>
        </is>
      </c>
      <c r="R68" s="3" t="n"/>
      <c r="S68" s="3" t="inlineStr">
        <is>
          <t>cuota LMG x R2 x dY (asociacion; no causal)</t>
        </is>
      </c>
      <c r="T68" s="3" t="inlineStr">
        <is>
          <t>output/v8/F5/atribucion_combinada.csv</t>
        </is>
      </c>
      <c r="U68" s="2">
        <f>IF(R68=0,"",F68/R68)</f>
        <v/>
      </c>
      <c r="V68" s="2">
        <f>SUMIFS(F$2:F$1589,A$2:A$1589,A68,C$2:C$1589,C68,E$2:E$1589,E68,Q$2:Q$1589,Q68)</f>
        <v/>
      </c>
    </row>
    <row r="69">
      <c r="A69" s="3" t="inlineStr">
        <is>
          <t>compra</t>
        </is>
      </c>
      <c r="B69" s="3" t="inlineStr">
        <is>
          <t>nacional</t>
        </is>
      </c>
      <c r="C69" s="3" t="inlineStr">
        <is>
          <t>P1</t>
        </is>
      </c>
      <c r="D69" s="3" t="inlineStr">
        <is>
          <t>turismo</t>
        </is>
      </c>
      <c r="E69" s="3" t="inlineStr">
        <is>
          <t>dominancia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inlineStr">
        <is>
          <t>C4</t>
        </is>
      </c>
      <c r="O69" s="3" t="inlineStr">
        <is>
          <t>si</t>
        </is>
      </c>
      <c r="P69" s="3" t="inlineStr">
        <is>
          <t>abstiene</t>
        </is>
      </c>
      <c r="Q69" s="3" t="inlineStr">
        <is>
          <t>interanual_ipc_tasado</t>
        </is>
      </c>
      <c r="R69" s="3" t="n"/>
      <c r="S69" s="3" t="inlineStr">
        <is>
          <t>cuota LMG x R2 x dY (asociacion; no causal)</t>
        </is>
      </c>
      <c r="T69" s="3" t="inlineStr">
        <is>
          <t>output/v8/F5/atribucion_combinada.csv</t>
        </is>
      </c>
      <c r="U69" s="2">
        <f>IF(R69=0,"",F69/R69)</f>
        <v/>
      </c>
      <c r="V69" s="2">
        <f>SUMIFS(F$2:F$1589,A$2:A$1589,A69,C$2:C$1589,C69,E$2:E$1589,E69,Q$2:Q$1589,Q69)</f>
        <v/>
      </c>
    </row>
    <row r="70">
      <c r="A70" s="3" t="inlineStr">
        <is>
          <t>compra</t>
        </is>
      </c>
      <c r="B70" s="3" t="inlineStr">
        <is>
          <t>nacional</t>
        </is>
      </c>
      <c r="C70" s="3" t="inlineStr">
        <is>
          <t>P1</t>
        </is>
      </c>
      <c r="D70" s="3" t="inlineStr">
        <is>
          <t>factor_europeo</t>
        </is>
      </c>
      <c r="E70" s="3" t="inlineStr">
        <is>
          <t>dominancia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inlineStr">
        <is>
          <t>C4</t>
        </is>
      </c>
      <c r="O70" s="3" t="inlineStr">
        <is>
          <t>si</t>
        </is>
      </c>
      <c r="P70" s="3" t="inlineStr">
        <is>
          <t>abstiene</t>
        </is>
      </c>
      <c r="Q70" s="3" t="inlineStr">
        <is>
          <t>interanual_ipc_tasado</t>
        </is>
      </c>
      <c r="R70" s="3" t="n"/>
      <c r="S70" s="3" t="inlineStr">
        <is>
          <t>cuota LMG x R2 x dY (asociacion; no causal)</t>
        </is>
      </c>
      <c r="T70" s="3" t="inlineStr">
        <is>
          <t>output/v8/F5/atribucion_combinada.csv</t>
        </is>
      </c>
      <c r="U70" s="2">
        <f>IF(R70=0,"",F70/R70)</f>
        <v/>
      </c>
      <c r="V70" s="2">
        <f>SUMIFS(F$2:F$1589,A$2:A$1589,A70,C$2:C$1589,C70,E$2:E$1589,E70,Q$2:Q$1589,Q70)</f>
        <v/>
      </c>
    </row>
    <row r="71">
      <c r="A71" s="3" t="inlineStr">
        <is>
          <t>compra</t>
        </is>
      </c>
      <c r="B71" s="3" t="inlineStr">
        <is>
          <t>nacional</t>
        </is>
      </c>
      <c r="C71" s="3" t="inlineStr">
        <is>
          <t>P2</t>
        </is>
      </c>
      <c r="D71" s="3" t="inlineStr">
        <is>
          <t>demografia</t>
        </is>
      </c>
      <c r="E71" s="3" t="inlineStr">
        <is>
          <t>dominancia</t>
        </is>
      </c>
      <c r="F71" s="3" t="n">
        <v>-3.06021</v>
      </c>
      <c r="G71" s="3" t="n"/>
      <c r="H71" s="3" t="n"/>
      <c r="I71" s="3" t="n">
        <v>0.0695474</v>
      </c>
      <c r="J71" s="3" t="n">
        <v>-3.9061</v>
      </c>
      <c r="K71" s="3" t="n">
        <v>-0</v>
      </c>
      <c r="L71" s="3" t="n">
        <v>-5.15279</v>
      </c>
      <c r="M71" s="3" t="n">
        <v>-0</v>
      </c>
      <c r="N71" s="3" t="inlineStr">
        <is>
          <t>C4</t>
        </is>
      </c>
      <c r="O71" s="3" t="inlineStr">
        <is>
          <t>si</t>
        </is>
      </c>
      <c r="P71" s="3" t="inlineStr">
        <is>
          <t>no</t>
        </is>
      </c>
      <c r="Q71" s="3" t="inlineStr">
        <is>
          <t>interanual_ipc_tasado</t>
        </is>
      </c>
      <c r="R71" s="3" t="n">
        <v>-44.0018</v>
      </c>
      <c r="S71" s="3" t="inlineStr">
        <is>
          <t>cuota LMG x R2 x dY (asociacion; no causal)</t>
        </is>
      </c>
      <c r="T71" s="3" t="inlineStr">
        <is>
          <t>output/v8/F5/atribucion_combinada.csv</t>
        </is>
      </c>
      <c r="U71" s="2">
        <f>IF(R71=0,"",F71/R71)</f>
        <v/>
      </c>
      <c r="V71" s="2">
        <f>SUMIFS(F$2:F$1589,A$2:A$1589,A71,C$2:C$1589,C71,E$2:E$1589,E71,Q$2:Q$1589,Q71)</f>
        <v/>
      </c>
    </row>
    <row r="72">
      <c r="A72" s="3" t="inlineStr">
        <is>
          <t>compra</t>
        </is>
      </c>
      <c r="B72" s="3" t="inlineStr">
        <is>
          <t>nacional</t>
        </is>
      </c>
      <c r="C72" s="3" t="inlineStr">
        <is>
          <t>P2</t>
        </is>
      </c>
      <c r="D72" s="3" t="inlineStr">
        <is>
          <t>empleo_renta</t>
        </is>
      </c>
      <c r="E72" s="3" t="inlineStr">
        <is>
          <t>dominancia</t>
        </is>
      </c>
      <c r="F72" s="3" t="n">
        <v>-9.05181</v>
      </c>
      <c r="G72" s="3" t="n"/>
      <c r="H72" s="3" t="n"/>
      <c r="I72" s="3" t="n">
        <v>0.205714</v>
      </c>
      <c r="J72" s="3" t="n">
        <v>-11.3565</v>
      </c>
      <c r="K72" s="3" t="n">
        <v>-6.69725</v>
      </c>
      <c r="L72" s="3" t="n">
        <v>-12.6017</v>
      </c>
      <c r="M72" s="3" t="n">
        <v>-4.76672</v>
      </c>
      <c r="N72" s="3" t="inlineStr">
        <is>
          <t>C4</t>
        </is>
      </c>
      <c r="O72" s="3" t="inlineStr">
        <is>
          <t>si</t>
        </is>
      </c>
      <c r="P72" s="3" t="inlineStr">
        <is>
          <t>no</t>
        </is>
      </c>
      <c r="Q72" s="3" t="inlineStr">
        <is>
          <t>interanual_ipc_tasado</t>
        </is>
      </c>
      <c r="R72" s="3" t="n">
        <v>-44.0018</v>
      </c>
      <c r="S72" s="3" t="inlineStr">
        <is>
          <t>cuota LMG x R2 x dY (asociacion; no causal)</t>
        </is>
      </c>
      <c r="T72" s="3" t="inlineStr">
        <is>
          <t>output/v8/F5/atribucion_combinada.csv</t>
        </is>
      </c>
      <c r="U72" s="2">
        <f>IF(R72=0,"",F72/R72)</f>
        <v/>
      </c>
      <c r="V72" s="2">
        <f>SUMIFS(F$2:F$1589,A$2:A$1589,A72,C$2:C$1589,C72,E$2:E$1589,E72,Q$2:Q$1589,Q72)</f>
        <v/>
      </c>
    </row>
    <row r="73">
      <c r="A73" s="3" t="inlineStr">
        <is>
          <t>compra</t>
        </is>
      </c>
      <c r="B73" s="3" t="inlineStr">
        <is>
          <t>nacional</t>
        </is>
      </c>
      <c r="C73" s="3" t="inlineStr">
        <is>
          <t>P2</t>
        </is>
      </c>
      <c r="D73" s="3" t="inlineStr">
        <is>
          <t>credito_tipos</t>
        </is>
      </c>
      <c r="E73" s="3" t="inlineStr">
        <is>
          <t>dominancia</t>
        </is>
      </c>
      <c r="F73" s="3" t="n">
        <v>-15.8711</v>
      </c>
      <c r="G73" s="3" t="n"/>
      <c r="H73" s="3" t="n"/>
      <c r="I73" s="3" t="n">
        <v>0.360691</v>
      </c>
      <c r="J73" s="3" t="n">
        <v>-24.67</v>
      </c>
      <c r="K73" s="3" t="n">
        <v>-15.768</v>
      </c>
      <c r="L73" s="3" t="n">
        <v>-26.9376</v>
      </c>
      <c r="M73" s="3" t="n">
        <v>-12.4889</v>
      </c>
      <c r="N73" s="3" t="inlineStr">
        <is>
          <t>C4</t>
        </is>
      </c>
      <c r="O73" s="3" t="inlineStr">
        <is>
          <t>si</t>
        </is>
      </c>
      <c r="P73" s="3" t="inlineStr">
        <is>
          <t>no</t>
        </is>
      </c>
      <c r="Q73" s="3" t="inlineStr">
        <is>
          <t>interanual_ipc_tasado</t>
        </is>
      </c>
      <c r="R73" s="3" t="n">
        <v>-44.0018</v>
      </c>
      <c r="S73" s="3" t="inlineStr">
        <is>
          <t>cuota LMG x R2 x dY (asociacion; no causal)</t>
        </is>
      </c>
      <c r="T73" s="3" t="inlineStr">
        <is>
          <t>output/v8/F5/atribucion_combinada.csv</t>
        </is>
      </c>
      <c r="U73" s="2">
        <f>IF(R73=0,"",F73/R73)</f>
        <v/>
      </c>
      <c r="V73" s="2">
        <f>SUMIFS(F$2:F$1589,A$2:A$1589,A73,C$2:C$1589,C73,E$2:E$1589,E73,Q$2:Q$1589,Q73)</f>
        <v/>
      </c>
    </row>
    <row r="74">
      <c r="A74" s="3" t="inlineStr">
        <is>
          <t>compra</t>
        </is>
      </c>
      <c r="B74" s="3" t="inlineStr">
        <is>
          <t>nacional</t>
        </is>
      </c>
      <c r="C74" s="3" t="inlineStr">
        <is>
          <t>P2</t>
        </is>
      </c>
      <c r="D74" s="3" t="inlineStr">
        <is>
          <t>oferta</t>
        </is>
      </c>
      <c r="E74" s="3" t="inlineStr">
        <is>
          <t>dominancia</t>
        </is>
      </c>
      <c r="F74" s="3" t="n">
        <v>-0.38256</v>
      </c>
      <c r="G74" s="3" t="n"/>
      <c r="H74" s="3" t="n"/>
      <c r="I74" s="3" t="n">
        <v>0.008694169999999999</v>
      </c>
      <c r="J74" s="3" t="n">
        <v>-0.415233</v>
      </c>
      <c r="K74" s="3" t="n">
        <v>-0</v>
      </c>
      <c r="L74" s="3" t="n">
        <v>-0.560654</v>
      </c>
      <c r="M74" s="3" t="n">
        <v>-0</v>
      </c>
      <c r="N74" s="3" t="inlineStr">
        <is>
          <t>C4</t>
        </is>
      </c>
      <c r="O74" s="3" t="inlineStr">
        <is>
          <t>si</t>
        </is>
      </c>
      <c r="P74" s="3" t="inlineStr">
        <is>
          <t>no</t>
        </is>
      </c>
      <c r="Q74" s="3" t="inlineStr">
        <is>
          <t>interanual_ipc_tasado</t>
        </is>
      </c>
      <c r="R74" s="3" t="n">
        <v>-44.0018</v>
      </c>
      <c r="S74" s="3" t="inlineStr">
        <is>
          <t>cuota LMG x R2 x dY (asociacion; no causal)</t>
        </is>
      </c>
      <c r="T74" s="3" t="inlineStr">
        <is>
          <t>output/v8/F5/atribucion_combinada.csv</t>
        </is>
      </c>
      <c r="U74" s="2">
        <f>IF(R74=0,"",F74/R74)</f>
        <v/>
      </c>
      <c r="V74" s="2">
        <f>SUMIFS(F$2:F$1589,A$2:A$1589,A74,C$2:C$1589,C74,E$2:E$1589,E74,Q$2:Q$1589,Q74)</f>
        <v/>
      </c>
    </row>
    <row r="75">
      <c r="A75" s="3" t="inlineStr">
        <is>
          <t>compra</t>
        </is>
      </c>
      <c r="B75" s="3" t="inlineStr">
        <is>
          <t>nacional</t>
        </is>
      </c>
      <c r="C75" s="3" t="inlineStr">
        <is>
          <t>P2</t>
        </is>
      </c>
      <c r="D75" s="3" t="inlineStr">
        <is>
          <t>demanda_externa</t>
        </is>
      </c>
      <c r="E75" s="3" t="inlineStr">
        <is>
          <t>dominancia</t>
        </is>
      </c>
      <c r="F75" s="3" t="n">
        <v>-3.05562</v>
      </c>
      <c r="G75" s="3" t="n"/>
      <c r="H75" s="3" t="n"/>
      <c r="I75" s="3" t="n">
        <v>0.069443</v>
      </c>
      <c r="J75" s="3" t="n">
        <v>-4.34185</v>
      </c>
      <c r="K75" s="3" t="n">
        <v>-2.48807</v>
      </c>
      <c r="L75" s="3" t="n">
        <v>-4.6889</v>
      </c>
      <c r="M75" s="3" t="n">
        <v>-1.64336</v>
      </c>
      <c r="N75" s="3" t="inlineStr">
        <is>
          <t>C4</t>
        </is>
      </c>
      <c r="O75" s="3" t="inlineStr">
        <is>
          <t>si</t>
        </is>
      </c>
      <c r="P75" s="3" t="inlineStr">
        <is>
          <t>no</t>
        </is>
      </c>
      <c r="Q75" s="3" t="inlineStr">
        <is>
          <t>interanual_ipc_tasado</t>
        </is>
      </c>
      <c r="R75" s="3" t="n">
        <v>-44.0018</v>
      </c>
      <c r="S75" s="3" t="inlineStr">
        <is>
          <t>cuota LMG x R2 x dY (asociacion; no causal)</t>
        </is>
      </c>
      <c r="T75" s="3" t="inlineStr">
        <is>
          <t>output/v8/F5/atribucion_combinada.csv</t>
        </is>
      </c>
      <c r="U75" s="2">
        <f>IF(R75=0,"",F75/R75)</f>
        <v/>
      </c>
      <c r="V75" s="2">
        <f>SUMIFS(F$2:F$1589,A$2:A$1589,A75,C$2:C$1589,C75,E$2:E$1589,E75,Q$2:Q$1589,Q75)</f>
        <v/>
      </c>
    </row>
    <row r="76">
      <c r="A76" s="3" t="inlineStr">
        <is>
          <t>compra</t>
        </is>
      </c>
      <c r="B76" s="3" t="inlineStr">
        <is>
          <t>nacional</t>
        </is>
      </c>
      <c r="C76" s="3" t="inlineStr">
        <is>
          <t>P2</t>
        </is>
      </c>
      <c r="D76" s="3" t="inlineStr">
        <is>
          <t>factor_europeo</t>
        </is>
      </c>
      <c r="E76" s="3" t="inlineStr">
        <is>
          <t>dominancia</t>
        </is>
      </c>
      <c r="F76" s="3" t="n">
        <v>-10.6612</v>
      </c>
      <c r="G76" s="3" t="n"/>
      <c r="H76" s="3" t="n"/>
      <c r="I76" s="3" t="n">
        <v>0.242289</v>
      </c>
      <c r="J76" s="3" t="n">
        <v>-12.0121</v>
      </c>
      <c r="K76" s="3" t="n">
        <v>-7.92906</v>
      </c>
      <c r="L76" s="3" t="n">
        <v>-13.6646</v>
      </c>
      <c r="M76" s="3" t="n">
        <v>-6.97924</v>
      </c>
      <c r="N76" s="3" t="inlineStr">
        <is>
          <t>C4</t>
        </is>
      </c>
      <c r="O76" s="3" t="inlineStr">
        <is>
          <t>si</t>
        </is>
      </c>
      <c r="P76" s="3" t="inlineStr">
        <is>
          <t>si</t>
        </is>
      </c>
      <c r="Q76" s="3" t="inlineStr">
        <is>
          <t>interanual_ipc_tasado</t>
        </is>
      </c>
      <c r="R76" s="3" t="n">
        <v>-44.0018</v>
      </c>
      <c r="S76" s="3" t="inlineStr">
        <is>
          <t>cuota LMG x R2 x dY (asociacion; no causal)</t>
        </is>
      </c>
      <c r="T76" s="3" t="inlineStr">
        <is>
          <t>output/v8/F5/atribucion_combinada.csv</t>
        </is>
      </c>
      <c r="U76" s="2">
        <f>IF(R76=0,"",F76/R76)</f>
        <v/>
      </c>
      <c r="V76" s="2">
        <f>SUMIFS(F$2:F$1589,A$2:A$1589,A76,C$2:C$1589,C76,E$2:E$1589,E76,Q$2:Q$1589,Q76)</f>
        <v/>
      </c>
    </row>
    <row r="77">
      <c r="A77" s="3" t="inlineStr">
        <is>
          <t>compra</t>
        </is>
      </c>
      <c r="B77" s="3" t="inlineStr">
        <is>
          <t>nacional</t>
        </is>
      </c>
      <c r="C77" s="3" t="inlineStr">
        <is>
          <t>P2</t>
        </is>
      </c>
      <c r="D77" s="3" t="inlineStr">
        <is>
          <t>residuo</t>
        </is>
      </c>
      <c r="E77" s="3" t="inlineStr">
        <is>
          <t>dominancia</t>
        </is>
      </c>
      <c r="F77" s="3" t="n">
        <v>-1.91941</v>
      </c>
      <c r="G77" s="3" t="n"/>
      <c r="H77" s="3" t="n"/>
      <c r="I77" s="3" t="n">
        <v>0.0436211</v>
      </c>
      <c r="J77" s="3" t="n">
        <v>-3.32054</v>
      </c>
      <c r="K77" s="3" t="n">
        <v>-1.88124</v>
      </c>
      <c r="L77" s="3" t="n">
        <v>-3.55929</v>
      </c>
      <c r="M77" s="3" t="n">
        <v>-0.861842</v>
      </c>
      <c r="N77" s="3" t="inlineStr">
        <is>
          <t>C4</t>
        </is>
      </c>
      <c r="O77" s="3" t="inlineStr">
        <is>
          <t>no</t>
        </is>
      </c>
      <c r="P77" s="3" t="inlineStr">
        <is>
          <t>no_compite</t>
        </is>
      </c>
      <c r="Q77" s="3" t="inlineStr">
        <is>
          <t>interanual_ipc_tasado</t>
        </is>
      </c>
      <c r="R77" s="3" t="n">
        <v>-44.0018</v>
      </c>
      <c r="S77" s="3" t="inlineStr">
        <is>
          <t>cuota LMG x R2 x dY (asociacion; no causal)</t>
        </is>
      </c>
      <c r="T77" s="3" t="inlineStr">
        <is>
          <t>output/v8/F5/atribucion_combinada.csv</t>
        </is>
      </c>
      <c r="U77" s="2">
        <f>IF(R77=0,"",F77/R77)</f>
        <v/>
      </c>
      <c r="V77" s="2">
        <f>SUMIFS(F$2:F$1589,A$2:A$1589,A77,C$2:C$1589,C77,E$2:E$1589,E77,Q$2:Q$1589,Q77)</f>
        <v/>
      </c>
    </row>
    <row r="78">
      <c r="A78" s="3" t="inlineStr">
        <is>
          <t>compra</t>
        </is>
      </c>
      <c r="B78" s="3" t="inlineStr">
        <is>
          <t>nacional</t>
        </is>
      </c>
      <c r="C78" s="3" t="inlineStr">
        <is>
          <t>P2</t>
        </is>
      </c>
      <c r="D78" s="3" t="inlineStr">
        <is>
          <t>turismo</t>
        </is>
      </c>
      <c r="E78" s="3" t="inlineStr">
        <is>
          <t>dominancia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inlineStr">
        <is>
          <t>C4</t>
        </is>
      </c>
      <c r="O78" s="3" t="inlineStr">
        <is>
          <t>si</t>
        </is>
      </c>
      <c r="P78" s="3" t="inlineStr">
        <is>
          <t>no</t>
        </is>
      </c>
      <c r="Q78" s="3" t="inlineStr">
        <is>
          <t>interanual_ipc_tasado</t>
        </is>
      </c>
      <c r="R78" s="3" t="n"/>
      <c r="S78" s="3" t="inlineStr">
        <is>
          <t>cuota LMG x R2 x dY (asociacion; no causal)</t>
        </is>
      </c>
      <c r="T78" s="3" t="inlineStr">
        <is>
          <t>output/v8/F5/atribucion_combinada.csv</t>
        </is>
      </c>
      <c r="U78" s="2">
        <f>IF(R78=0,"",F78/R78)</f>
        <v/>
      </c>
      <c r="V78" s="2">
        <f>SUMIFS(F$2:F$1589,A$2:A$1589,A78,C$2:C$1589,C78,E$2:E$1589,E78,Q$2:Q$1589,Q78)</f>
        <v/>
      </c>
    </row>
    <row r="79">
      <c r="A79" s="3" t="inlineStr">
        <is>
          <t>compra</t>
        </is>
      </c>
      <c r="B79" s="3" t="inlineStr">
        <is>
          <t>nacional</t>
        </is>
      </c>
      <c r="C79" s="3" t="inlineStr">
        <is>
          <t>P3</t>
        </is>
      </c>
      <c r="D79" s="3" t="inlineStr">
        <is>
          <t>demografia</t>
        </is>
      </c>
      <c r="E79" s="3" t="inlineStr">
        <is>
          <t>dominancia</t>
        </is>
      </c>
      <c r="F79" s="3" t="n">
        <v>1.83553</v>
      </c>
      <c r="G79" s="3" t="n"/>
      <c r="H79" s="3" t="n"/>
      <c r="I79" s="3" t="n">
        <v>0.22339</v>
      </c>
      <c r="J79" s="3" t="n">
        <v>1.21055</v>
      </c>
      <c r="K79" s="3" t="n">
        <v>2.38341</v>
      </c>
      <c r="L79" s="3" t="n">
        <v>0.742851</v>
      </c>
      <c r="M79" s="3" t="n">
        <v>2.58738</v>
      </c>
      <c r="N79" s="3" t="inlineStr">
        <is>
          <t>C4</t>
        </is>
      </c>
      <c r="O79" s="3" t="inlineStr">
        <is>
          <t>si</t>
        </is>
      </c>
      <c r="P79" s="3" t="inlineStr">
        <is>
          <t>no</t>
        </is>
      </c>
      <c r="Q79" s="3" t="inlineStr">
        <is>
          <t>interanual_ipc_tasado</t>
        </is>
      </c>
      <c r="R79" s="3" t="n">
        <v>8.216699999999999</v>
      </c>
      <c r="S79" s="3" t="inlineStr">
        <is>
          <t>cuota LMG x R2 x dY (asociacion; no causal)</t>
        </is>
      </c>
      <c r="T79" s="3" t="inlineStr">
        <is>
          <t>output/v8/F5/atribucion_combinada.csv</t>
        </is>
      </c>
      <c r="U79" s="2">
        <f>IF(R79=0,"",F79/R79)</f>
        <v/>
      </c>
      <c r="V79" s="2">
        <f>SUMIFS(F$2:F$1589,A$2:A$1589,A79,C$2:C$1589,C79,E$2:E$1589,E79,Q$2:Q$1589,Q79)</f>
        <v/>
      </c>
    </row>
    <row r="80">
      <c r="A80" s="3" t="inlineStr">
        <is>
          <t>compra</t>
        </is>
      </c>
      <c r="B80" s="3" t="inlineStr">
        <is>
          <t>nacional</t>
        </is>
      </c>
      <c r="C80" s="3" t="inlineStr">
        <is>
          <t>P3</t>
        </is>
      </c>
      <c r="D80" s="3" t="inlineStr">
        <is>
          <t>empleo_renta</t>
        </is>
      </c>
      <c r="E80" s="3" t="inlineStr">
        <is>
          <t>dominancia</t>
        </is>
      </c>
      <c r="F80" s="3" t="n">
        <v>2.1377</v>
      </c>
      <c r="G80" s="3" t="n"/>
      <c r="H80" s="3" t="n"/>
      <c r="I80" s="3" t="n">
        <v>0.260165</v>
      </c>
      <c r="J80" s="3" t="n">
        <v>1.97152</v>
      </c>
      <c r="K80" s="3" t="n">
        <v>3.4024</v>
      </c>
      <c r="L80" s="3" t="n">
        <v>1.45221</v>
      </c>
      <c r="M80" s="3" t="n">
        <v>3.63231</v>
      </c>
      <c r="N80" s="3" t="inlineStr">
        <is>
          <t>C4</t>
        </is>
      </c>
      <c r="O80" s="3" t="inlineStr">
        <is>
          <t>si</t>
        </is>
      </c>
      <c r="P80" s="3" t="inlineStr">
        <is>
          <t>si</t>
        </is>
      </c>
      <c r="Q80" s="3" t="inlineStr">
        <is>
          <t>interanual_ipc_tasado</t>
        </is>
      </c>
      <c r="R80" s="3" t="n">
        <v>8.216699999999999</v>
      </c>
      <c r="S80" s="3" t="inlineStr">
        <is>
          <t>cuota LMG x R2 x dY (asociacion; no causal)</t>
        </is>
      </c>
      <c r="T80" s="3" t="inlineStr">
        <is>
          <t>output/v8/F5/atribucion_combinada.csv</t>
        </is>
      </c>
      <c r="U80" s="2">
        <f>IF(R80=0,"",F80/R80)</f>
        <v/>
      </c>
      <c r="V80" s="2">
        <f>SUMIFS(F$2:F$1589,A$2:A$1589,A80,C$2:C$1589,C80,E$2:E$1589,E80,Q$2:Q$1589,Q80)</f>
        <v/>
      </c>
    </row>
    <row r="81">
      <c r="A81" s="3" t="inlineStr">
        <is>
          <t>compra</t>
        </is>
      </c>
      <c r="B81" s="3" t="inlineStr">
        <is>
          <t>nacional</t>
        </is>
      </c>
      <c r="C81" s="3" t="inlineStr">
        <is>
          <t>P3</t>
        </is>
      </c>
      <c r="D81" s="3" t="inlineStr">
        <is>
          <t>credito_tipos</t>
        </is>
      </c>
      <c r="E81" s="3" t="inlineStr">
        <is>
          <t>dominancia</t>
        </is>
      </c>
      <c r="F81" s="3" t="n">
        <v>0.435345</v>
      </c>
      <c r="G81" s="3" t="n"/>
      <c r="H81" s="3" t="n"/>
      <c r="I81" s="3" t="n">
        <v>0.0529829</v>
      </c>
      <c r="J81" s="3" t="n">
        <v>0</v>
      </c>
      <c r="K81" s="3" t="n">
        <v>0.300797</v>
      </c>
      <c r="L81" s="3" t="n">
        <v>0</v>
      </c>
      <c r="M81" s="3" t="n">
        <v>0.468445</v>
      </c>
      <c r="N81" s="3" t="inlineStr">
        <is>
          <t>C4</t>
        </is>
      </c>
      <c r="O81" s="3" t="inlineStr">
        <is>
          <t>si</t>
        </is>
      </c>
      <c r="P81" s="3" t="inlineStr">
        <is>
          <t>no</t>
        </is>
      </c>
      <c r="Q81" s="3" t="inlineStr">
        <is>
          <t>interanual_ipc_tasado</t>
        </is>
      </c>
      <c r="R81" s="3" t="n">
        <v>8.216699999999999</v>
      </c>
      <c r="S81" s="3" t="inlineStr">
        <is>
          <t>cuota LMG x R2 x dY (asociacion; no causal)</t>
        </is>
      </c>
      <c r="T81" s="3" t="inlineStr">
        <is>
          <t>output/v8/F5/atribucion_combinada.csv</t>
        </is>
      </c>
      <c r="U81" s="2">
        <f>IF(R81=0,"",F81/R81)</f>
        <v/>
      </c>
      <c r="V81" s="2">
        <f>SUMIFS(F$2:F$1589,A$2:A$1589,A81,C$2:C$1589,C81,E$2:E$1589,E81,Q$2:Q$1589,Q81)</f>
        <v/>
      </c>
    </row>
    <row r="82">
      <c r="A82" s="3" t="inlineStr">
        <is>
          <t>compra</t>
        </is>
      </c>
      <c r="B82" s="3" t="inlineStr">
        <is>
          <t>nacional</t>
        </is>
      </c>
      <c r="C82" s="3" t="inlineStr">
        <is>
          <t>P3</t>
        </is>
      </c>
      <c r="D82" s="3" t="inlineStr">
        <is>
          <t>oferta</t>
        </is>
      </c>
      <c r="E82" s="3" t="inlineStr">
        <is>
          <t>dominancia</t>
        </is>
      </c>
      <c r="F82" s="3" t="n">
        <v>0.29778</v>
      </c>
      <c r="G82" s="3" t="n"/>
      <c r="H82" s="3" t="n"/>
      <c r="I82" s="3" t="n">
        <v>0.0362408</v>
      </c>
      <c r="J82" s="3" t="n">
        <v>0</v>
      </c>
      <c r="K82" s="3" t="n">
        <v>0.243319</v>
      </c>
      <c r="L82" s="3" t="n">
        <v>0</v>
      </c>
      <c r="M82" s="3" t="n">
        <v>0.308558</v>
      </c>
      <c r="N82" s="3" t="inlineStr">
        <is>
          <t>C4</t>
        </is>
      </c>
      <c r="O82" s="3" t="inlineStr">
        <is>
          <t>si</t>
        </is>
      </c>
      <c r="P82" s="3" t="inlineStr">
        <is>
          <t>no</t>
        </is>
      </c>
      <c r="Q82" s="3" t="inlineStr">
        <is>
          <t>interanual_ipc_tasado</t>
        </is>
      </c>
      <c r="R82" s="3" t="n">
        <v>8.216699999999999</v>
      </c>
      <c r="S82" s="3" t="inlineStr">
        <is>
          <t>cuota LMG x R2 x dY (asociacion; no causal)</t>
        </is>
      </c>
      <c r="T82" s="3" t="inlineStr">
        <is>
          <t>output/v8/F5/atribucion_combinada.csv</t>
        </is>
      </c>
      <c r="U82" s="2">
        <f>IF(R82=0,"",F82/R82)</f>
        <v/>
      </c>
      <c r="V82" s="2">
        <f>SUMIFS(F$2:F$1589,A$2:A$1589,A82,C$2:C$1589,C82,E$2:E$1589,E82,Q$2:Q$1589,Q82)</f>
        <v/>
      </c>
    </row>
    <row r="83">
      <c r="A83" s="3" t="inlineStr">
        <is>
          <t>compra</t>
        </is>
      </c>
      <c r="B83" s="3" t="inlineStr">
        <is>
          <t>nacional</t>
        </is>
      </c>
      <c r="C83" s="3" t="inlineStr">
        <is>
          <t>P3</t>
        </is>
      </c>
      <c r="D83" s="3" t="inlineStr">
        <is>
          <t>demanda_externa</t>
        </is>
      </c>
      <c r="E83" s="3" t="inlineStr">
        <is>
          <t>dominancia</t>
        </is>
      </c>
      <c r="F83" s="3" t="n">
        <v>0.708923</v>
      </c>
      <c r="G83" s="3" t="n"/>
      <c r="H83" s="3" t="n"/>
      <c r="I83" s="3" t="n">
        <v>0.0862783</v>
      </c>
      <c r="J83" s="3" t="n">
        <v>0.5993270000000001</v>
      </c>
      <c r="K83" s="3" t="n">
        <v>1.14953</v>
      </c>
      <c r="L83" s="3" t="n">
        <v>0.330632</v>
      </c>
      <c r="M83" s="3" t="n">
        <v>1.21407</v>
      </c>
      <c r="N83" s="3" t="inlineStr">
        <is>
          <t>C4</t>
        </is>
      </c>
      <c r="O83" s="3" t="inlineStr">
        <is>
          <t>si</t>
        </is>
      </c>
      <c r="P83" s="3" t="inlineStr">
        <is>
          <t>no</t>
        </is>
      </c>
      <c r="Q83" s="3" t="inlineStr">
        <is>
          <t>interanual_ipc_tasado</t>
        </is>
      </c>
      <c r="R83" s="3" t="n">
        <v>8.216699999999999</v>
      </c>
      <c r="S83" s="3" t="inlineStr">
        <is>
          <t>cuota LMG x R2 x dY (asociacion; no causal)</t>
        </is>
      </c>
      <c r="T83" s="3" t="inlineStr">
        <is>
          <t>output/v8/F5/atribucion_combinada.csv</t>
        </is>
      </c>
      <c r="U83" s="2">
        <f>IF(R83=0,"",F83/R83)</f>
        <v/>
      </c>
      <c r="V83" s="2">
        <f>SUMIFS(F$2:F$1589,A$2:A$1589,A83,C$2:C$1589,C83,E$2:E$1589,E83,Q$2:Q$1589,Q83)</f>
        <v/>
      </c>
    </row>
    <row r="84">
      <c r="A84" s="3" t="inlineStr">
        <is>
          <t>compra</t>
        </is>
      </c>
      <c r="B84" s="3" t="inlineStr">
        <is>
          <t>nacional</t>
        </is>
      </c>
      <c r="C84" s="3" t="inlineStr">
        <is>
          <t>P3</t>
        </is>
      </c>
      <c r="D84" s="3" t="inlineStr">
        <is>
          <t>factor_europeo</t>
        </is>
      </c>
      <c r="E84" s="3" t="inlineStr">
        <is>
          <t>dominancia</t>
        </is>
      </c>
      <c r="F84" s="3" t="n">
        <v>2.08513</v>
      </c>
      <c r="G84" s="3" t="n"/>
      <c r="H84" s="3" t="n"/>
      <c r="I84" s="3" t="n">
        <v>0.253767</v>
      </c>
      <c r="J84" s="3" t="n">
        <v>1.99585</v>
      </c>
      <c r="K84" s="3" t="n">
        <v>3.71765</v>
      </c>
      <c r="L84" s="3" t="n">
        <v>1.73703</v>
      </c>
      <c r="M84" s="3" t="n">
        <v>3.92152</v>
      </c>
      <c r="N84" s="3" t="inlineStr">
        <is>
          <t>C4</t>
        </is>
      </c>
      <c r="O84" s="3" t="inlineStr">
        <is>
          <t>si</t>
        </is>
      </c>
      <c r="P84" s="3" t="inlineStr">
        <is>
          <t>no</t>
        </is>
      </c>
      <c r="Q84" s="3" t="inlineStr">
        <is>
          <t>interanual_ipc_tasado</t>
        </is>
      </c>
      <c r="R84" s="3" t="n">
        <v>8.216699999999999</v>
      </c>
      <c r="S84" s="3" t="inlineStr">
        <is>
          <t>cuota LMG x R2 x dY (asociacion; no causal)</t>
        </is>
      </c>
      <c r="T84" s="3" t="inlineStr">
        <is>
          <t>output/v8/F5/atribucion_combinada.csv</t>
        </is>
      </c>
      <c r="U84" s="2">
        <f>IF(R84=0,"",F84/R84)</f>
        <v/>
      </c>
      <c r="V84" s="2">
        <f>SUMIFS(F$2:F$1589,A$2:A$1589,A84,C$2:C$1589,C84,E$2:E$1589,E84,Q$2:Q$1589,Q84)</f>
        <v/>
      </c>
    </row>
    <row r="85">
      <c r="A85" s="3" t="inlineStr">
        <is>
          <t>compra</t>
        </is>
      </c>
      <c r="B85" s="3" t="inlineStr">
        <is>
          <t>nacional</t>
        </is>
      </c>
      <c r="C85" s="3" t="inlineStr">
        <is>
          <t>P3</t>
        </is>
      </c>
      <c r="D85" s="3" t="inlineStr">
        <is>
          <t>residuo</t>
        </is>
      </c>
      <c r="E85" s="3" t="inlineStr">
        <is>
          <t>dominancia</t>
        </is>
      </c>
      <c r="F85" s="3" t="n">
        <v>0.716293</v>
      </c>
      <c r="G85" s="3" t="n"/>
      <c r="H85" s="3" t="n"/>
      <c r="I85" s="3" t="n">
        <v>0.0871753</v>
      </c>
      <c r="J85" s="3" t="n">
        <v>0.0596246</v>
      </c>
      <c r="K85" s="3" t="n">
        <v>1.10471</v>
      </c>
      <c r="L85" s="3" t="n">
        <v>0</v>
      </c>
      <c r="M85" s="3" t="n">
        <v>1.21589</v>
      </c>
      <c r="N85" s="3" t="inlineStr">
        <is>
          <t>C4</t>
        </is>
      </c>
      <c r="O85" s="3" t="inlineStr">
        <is>
          <t>no</t>
        </is>
      </c>
      <c r="P85" s="3" t="inlineStr">
        <is>
          <t>no_compite</t>
        </is>
      </c>
      <c r="Q85" s="3" t="inlineStr">
        <is>
          <t>interanual_ipc_tasado</t>
        </is>
      </c>
      <c r="R85" s="3" t="n">
        <v>8.216699999999999</v>
      </c>
      <c r="S85" s="3" t="inlineStr">
        <is>
          <t>cuota LMG x R2 x dY (asociacion; no causal)</t>
        </is>
      </c>
      <c r="T85" s="3" t="inlineStr">
        <is>
          <t>output/v8/F5/atribucion_combinada.csv</t>
        </is>
      </c>
      <c r="U85" s="2">
        <f>IF(R85=0,"",F85/R85)</f>
        <v/>
      </c>
      <c r="V85" s="2">
        <f>SUMIFS(F$2:F$1589,A$2:A$1589,A85,C$2:C$1589,C85,E$2:E$1589,E85,Q$2:Q$1589,Q85)</f>
        <v/>
      </c>
    </row>
    <row r="86">
      <c r="A86" s="3" t="inlineStr">
        <is>
          <t>compra</t>
        </is>
      </c>
      <c r="B86" s="3" t="inlineStr">
        <is>
          <t>nacional</t>
        </is>
      </c>
      <c r="C86" s="3" t="inlineStr">
        <is>
          <t>P3</t>
        </is>
      </c>
      <c r="D86" s="3" t="inlineStr">
        <is>
          <t>turismo</t>
        </is>
      </c>
      <c r="E86" s="3" t="inlineStr">
        <is>
          <t>dominancia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inlineStr">
        <is>
          <t>C4</t>
        </is>
      </c>
      <c r="O86" s="3" t="inlineStr">
        <is>
          <t>si</t>
        </is>
      </c>
      <c r="P86" s="3" t="inlineStr">
        <is>
          <t>no</t>
        </is>
      </c>
      <c r="Q86" s="3" t="inlineStr">
        <is>
          <t>interanual_ipc_tasado</t>
        </is>
      </c>
      <c r="R86" s="3" t="n"/>
      <c r="S86" s="3" t="inlineStr">
        <is>
          <t>cuota LMG x R2 x dY (asociacion; no causal)</t>
        </is>
      </c>
      <c r="T86" s="3" t="inlineStr">
        <is>
          <t>output/v8/F5/atribucion_combinada.csv</t>
        </is>
      </c>
      <c r="U86" s="2">
        <f>IF(R86=0,"",F86/R86)</f>
        <v/>
      </c>
      <c r="V86" s="2">
        <f>SUMIFS(F$2:F$1589,A$2:A$1589,A86,C$2:C$1589,C86,E$2:E$1589,E86,Q$2:Q$1589,Q86)</f>
        <v/>
      </c>
    </row>
    <row r="87">
      <c r="A87" s="3" t="inlineStr">
        <is>
          <t>compra</t>
        </is>
      </c>
      <c r="B87" s="3" t="inlineStr">
        <is>
          <t>nacional</t>
        </is>
      </c>
      <c r="C87" s="3" t="inlineStr">
        <is>
          <t>P4</t>
        </is>
      </c>
      <c r="D87" s="3" t="inlineStr">
        <is>
          <t>demografia</t>
        </is>
      </c>
      <c r="E87" s="3" t="inlineStr">
        <is>
          <t>dominancia</t>
        </is>
      </c>
      <c r="F87" s="3" t="n">
        <v>-0.933381</v>
      </c>
      <c r="G87" s="3" t="n"/>
      <c r="H87" s="3" t="n"/>
      <c r="I87" s="3" t="n">
        <v>0.171048</v>
      </c>
      <c r="J87" s="3" t="n">
        <v>-1.09504</v>
      </c>
      <c r="K87" s="3" t="n">
        <v>-0</v>
      </c>
      <c r="L87" s="3" t="n">
        <v>-1.22149</v>
      </c>
      <c r="M87" s="3" t="n">
        <v>-0</v>
      </c>
      <c r="N87" s="3" t="inlineStr">
        <is>
          <t>C4</t>
        </is>
      </c>
      <c r="O87" s="3" t="inlineStr">
        <is>
          <t>si</t>
        </is>
      </c>
      <c r="P87" s="3" t="inlineStr">
        <is>
          <t>no</t>
        </is>
      </c>
      <c r="Q87" s="3" t="inlineStr">
        <is>
          <t>interanual_ipc_tasado</t>
        </is>
      </c>
      <c r="R87" s="3" t="n">
        <v>-5.45682</v>
      </c>
      <c r="S87" s="3" t="inlineStr">
        <is>
          <t>cuota LMG x R2 x dY (asociacion; no causal)</t>
        </is>
      </c>
      <c r="T87" s="3" t="inlineStr">
        <is>
          <t>output/v8/F5/atribucion_combinada.csv</t>
        </is>
      </c>
      <c r="U87" s="2">
        <f>IF(R87=0,"",F87/R87)</f>
        <v/>
      </c>
      <c r="V87" s="2">
        <f>SUMIFS(F$2:F$1589,A$2:A$1589,A87,C$2:C$1589,C87,E$2:E$1589,E87,Q$2:Q$1589,Q87)</f>
        <v/>
      </c>
    </row>
    <row r="88">
      <c r="A88" s="3" t="inlineStr">
        <is>
          <t>compra</t>
        </is>
      </c>
      <c r="B88" s="3" t="inlineStr">
        <is>
          <t>nacional</t>
        </is>
      </c>
      <c r="C88" s="3" t="inlineStr">
        <is>
          <t>P4</t>
        </is>
      </c>
      <c r="D88" s="3" t="inlineStr">
        <is>
          <t>empleo_renta</t>
        </is>
      </c>
      <c r="E88" s="3" t="inlineStr">
        <is>
          <t>dominancia</t>
        </is>
      </c>
      <c r="F88" s="3" t="n">
        <v>-0.39198</v>
      </c>
      <c r="G88" s="3" t="n"/>
      <c r="H88" s="3" t="n"/>
      <c r="I88" s="3" t="n">
        <v>0.07183299999999999</v>
      </c>
      <c r="J88" s="3" t="n">
        <v>-0.26741</v>
      </c>
      <c r="K88" s="3" t="n">
        <v>-0</v>
      </c>
      <c r="L88" s="3" t="n">
        <v>-0.395672</v>
      </c>
      <c r="M88" s="3" t="n">
        <v>-0</v>
      </c>
      <c r="N88" s="3" t="inlineStr">
        <is>
          <t>C4</t>
        </is>
      </c>
      <c r="O88" s="3" t="inlineStr">
        <is>
          <t>si</t>
        </is>
      </c>
      <c r="P88" s="3" t="inlineStr">
        <is>
          <t>no</t>
        </is>
      </c>
      <c r="Q88" s="3" t="inlineStr">
        <is>
          <t>interanual_ipc_tasado</t>
        </is>
      </c>
      <c r="R88" s="3" t="n">
        <v>-5.45682</v>
      </c>
      <c r="S88" s="3" t="inlineStr">
        <is>
          <t>cuota LMG x R2 x dY (asociacion; no causal)</t>
        </is>
      </c>
      <c r="T88" s="3" t="inlineStr">
        <is>
          <t>output/v8/F5/atribucion_combinada.csv</t>
        </is>
      </c>
      <c r="U88" s="2">
        <f>IF(R88=0,"",F88/R88)</f>
        <v/>
      </c>
      <c r="V88" s="2">
        <f>SUMIFS(F$2:F$1589,A$2:A$1589,A88,C$2:C$1589,C88,E$2:E$1589,E88,Q$2:Q$1589,Q88)</f>
        <v/>
      </c>
    </row>
    <row r="89">
      <c r="A89" s="3" t="inlineStr">
        <is>
          <t>compra</t>
        </is>
      </c>
      <c r="B89" s="3" t="inlineStr">
        <is>
          <t>nacional</t>
        </is>
      </c>
      <c r="C89" s="3" t="inlineStr">
        <is>
          <t>P4</t>
        </is>
      </c>
      <c r="D89" s="3" t="inlineStr">
        <is>
          <t>credito_tipos</t>
        </is>
      </c>
      <c r="E89" s="3" t="inlineStr">
        <is>
          <t>dominancia</t>
        </is>
      </c>
      <c r="F89" s="3" t="n">
        <v>-1.89632</v>
      </c>
      <c r="G89" s="3" t="n"/>
      <c r="H89" s="3" t="n"/>
      <c r="I89" s="3" t="n">
        <v>0.347513</v>
      </c>
      <c r="J89" s="3" t="n">
        <v>-3.44514</v>
      </c>
      <c r="K89" s="3" t="n">
        <v>-2.17428</v>
      </c>
      <c r="L89" s="3" t="n">
        <v>-3.59509</v>
      </c>
      <c r="M89" s="3" t="n">
        <v>-1.72277</v>
      </c>
      <c r="N89" s="3" t="inlineStr">
        <is>
          <t>C4</t>
        </is>
      </c>
      <c r="O89" s="3" t="inlineStr">
        <is>
          <t>si</t>
        </is>
      </c>
      <c r="P89" s="3" t="inlineStr">
        <is>
          <t>si</t>
        </is>
      </c>
      <c r="Q89" s="3" t="inlineStr">
        <is>
          <t>interanual_ipc_tasado</t>
        </is>
      </c>
      <c r="R89" s="3" t="n">
        <v>-5.45682</v>
      </c>
      <c r="S89" s="3" t="inlineStr">
        <is>
          <t>cuota LMG x R2 x dY (asociacion; no causal)</t>
        </is>
      </c>
      <c r="T89" s="3" t="inlineStr">
        <is>
          <t>output/v8/F5/atribucion_combinada.csv</t>
        </is>
      </c>
      <c r="U89" s="2">
        <f>IF(R89=0,"",F89/R89)</f>
        <v/>
      </c>
      <c r="V89" s="2">
        <f>SUMIFS(F$2:F$1589,A$2:A$1589,A89,C$2:C$1589,C89,E$2:E$1589,E89,Q$2:Q$1589,Q89)</f>
        <v/>
      </c>
    </row>
    <row r="90">
      <c r="A90" s="3" t="inlineStr">
        <is>
          <t>compra</t>
        </is>
      </c>
      <c r="B90" s="3" t="inlineStr">
        <is>
          <t>nacional</t>
        </is>
      </c>
      <c r="C90" s="3" t="inlineStr">
        <is>
          <t>P4</t>
        </is>
      </c>
      <c r="D90" s="3" t="inlineStr">
        <is>
          <t>residuo</t>
        </is>
      </c>
      <c r="E90" s="3" t="inlineStr">
        <is>
          <t>dominancia</t>
        </is>
      </c>
      <c r="F90" s="3" t="n">
        <v>-2.23514</v>
      </c>
      <c r="G90" s="3" t="n"/>
      <c r="H90" s="3" t="n"/>
      <c r="I90" s="3" t="n">
        <v>0.409606</v>
      </c>
      <c r="J90" s="3" t="n">
        <v>-4.20643</v>
      </c>
      <c r="K90" s="3" t="n">
        <v>-2.60973</v>
      </c>
      <c r="L90" s="3" t="n">
        <v>-4.47029</v>
      </c>
      <c r="M90" s="3" t="n">
        <v>-2.23514</v>
      </c>
      <c r="N90" s="3" t="inlineStr">
        <is>
          <t>C4</t>
        </is>
      </c>
      <c r="O90" s="3" t="inlineStr">
        <is>
          <t>no</t>
        </is>
      </c>
      <c r="P90" s="3" t="inlineStr">
        <is>
          <t>no_compite</t>
        </is>
      </c>
      <c r="Q90" s="3" t="inlineStr">
        <is>
          <t>interanual_ipc_tasado</t>
        </is>
      </c>
      <c r="R90" s="3" t="n">
        <v>-5.45682</v>
      </c>
      <c r="S90" s="3" t="inlineStr">
        <is>
          <t>cuota LMG x R2 x dY (asociacion; no causal)</t>
        </is>
      </c>
      <c r="T90" s="3" t="inlineStr">
        <is>
          <t>output/v8/F5/atribucion_combinada.csv</t>
        </is>
      </c>
      <c r="U90" s="2">
        <f>IF(R90=0,"",F90/R90)</f>
        <v/>
      </c>
      <c r="V90" s="2">
        <f>SUMIFS(F$2:F$1589,A$2:A$1589,A90,C$2:C$1589,C90,E$2:E$1589,E90,Q$2:Q$1589,Q90)</f>
        <v/>
      </c>
    </row>
    <row r="91">
      <c r="A91" s="3" t="inlineStr">
        <is>
          <t>compra</t>
        </is>
      </c>
      <c r="B91" s="3" t="inlineStr">
        <is>
          <t>nacional</t>
        </is>
      </c>
      <c r="C91" s="3" t="inlineStr">
        <is>
          <t>P4</t>
        </is>
      </c>
      <c r="D91" s="3" t="inlineStr">
        <is>
          <t>factor_europeo</t>
        </is>
      </c>
      <c r="E91" s="3" t="inlineStr">
        <is>
          <t>dominancia</t>
        </is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inlineStr">
        <is>
          <t>C4</t>
        </is>
      </c>
      <c r="O91" s="3" t="inlineStr">
        <is>
          <t>si</t>
        </is>
      </c>
      <c r="P91" s="3" t="inlineStr">
        <is>
          <t>no</t>
        </is>
      </c>
      <c r="Q91" s="3" t="inlineStr">
        <is>
          <t>interanual_ipc_tasado</t>
        </is>
      </c>
      <c r="R91" s="3" t="n"/>
      <c r="S91" s="3" t="inlineStr">
        <is>
          <t>cuota LMG x R2 x dY (asociacion; no causal)</t>
        </is>
      </c>
      <c r="T91" s="3" t="inlineStr">
        <is>
          <t>output/v8/F5/atribucion_combinada.csv</t>
        </is>
      </c>
      <c r="U91" s="2">
        <f>IF(R91=0,"",F91/R91)</f>
        <v/>
      </c>
      <c r="V91" s="2">
        <f>SUMIFS(F$2:F$1589,A$2:A$1589,A91,C$2:C$1589,C91,E$2:E$1589,E91,Q$2:Q$1589,Q91)</f>
        <v/>
      </c>
    </row>
    <row r="92">
      <c r="A92" s="3" t="inlineStr">
        <is>
          <t>compra</t>
        </is>
      </c>
      <c r="B92" s="3" t="inlineStr">
        <is>
          <t>nacional</t>
        </is>
      </c>
      <c r="C92" s="3" t="inlineStr">
        <is>
          <t>P4</t>
        </is>
      </c>
      <c r="D92" s="3" t="inlineStr">
        <is>
          <t>turismo</t>
        </is>
      </c>
      <c r="E92" s="3" t="inlineStr">
        <is>
          <t>dominancia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inlineStr">
        <is>
          <t>C4</t>
        </is>
      </c>
      <c r="O92" s="3" t="inlineStr">
        <is>
          <t>si</t>
        </is>
      </c>
      <c r="P92" s="3" t="inlineStr">
        <is>
          <t>no</t>
        </is>
      </c>
      <c r="Q92" s="3" t="inlineStr">
        <is>
          <t>interanual_ipc_tasado</t>
        </is>
      </c>
      <c r="R92" s="3" t="n"/>
      <c r="S92" s="3" t="inlineStr">
        <is>
          <t>cuota LMG x R2 x dY (asociacion; no causal)</t>
        </is>
      </c>
      <c r="T92" s="3" t="inlineStr">
        <is>
          <t>output/v8/F5/atribucion_combinada.csv</t>
        </is>
      </c>
      <c r="U92" s="2">
        <f>IF(R92=0,"",F92/R92)</f>
        <v/>
      </c>
      <c r="V92" s="2">
        <f>SUMIFS(F$2:F$1589,A$2:A$1589,A92,C$2:C$1589,C92,E$2:E$1589,E92,Q$2:Q$1589,Q92)</f>
        <v/>
      </c>
    </row>
    <row r="93">
      <c r="A93" s="3" t="inlineStr">
        <is>
          <t>compra</t>
        </is>
      </c>
      <c r="B93" s="3" t="inlineStr">
        <is>
          <t>nacional</t>
        </is>
      </c>
      <c r="C93" s="3" t="inlineStr">
        <is>
          <t>P4</t>
        </is>
      </c>
      <c r="D93" s="3" t="inlineStr">
        <is>
          <t>demanda_externa</t>
        </is>
      </c>
      <c r="E93" s="3" t="inlineStr">
        <is>
          <t>dominancia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inlineStr">
        <is>
          <t>C4</t>
        </is>
      </c>
      <c r="O93" s="3" t="inlineStr">
        <is>
          <t>si</t>
        </is>
      </c>
      <c r="P93" s="3" t="inlineStr">
        <is>
          <t>no</t>
        </is>
      </c>
      <c r="Q93" s="3" t="inlineStr">
        <is>
          <t>interanual_ipc_tasado</t>
        </is>
      </c>
      <c r="R93" s="3" t="n"/>
      <c r="S93" s="3" t="inlineStr">
        <is>
          <t>cuota LMG x R2 x dY (asociacion; no causal)</t>
        </is>
      </c>
      <c r="T93" s="3" t="inlineStr">
        <is>
          <t>output/v8/F5/atribucion_combinada.csv</t>
        </is>
      </c>
      <c r="U93" s="2">
        <f>IF(R93=0,"",F93/R93)</f>
        <v/>
      </c>
      <c r="V93" s="2">
        <f>SUMIFS(F$2:F$1589,A$2:A$1589,A93,C$2:C$1589,C93,E$2:E$1589,E93,Q$2:Q$1589,Q93)</f>
        <v/>
      </c>
    </row>
    <row r="94">
      <c r="A94" s="3" t="inlineStr">
        <is>
          <t>compra</t>
        </is>
      </c>
      <c r="B94" s="3" t="inlineStr">
        <is>
          <t>nacional</t>
        </is>
      </c>
      <c r="C94" s="3" t="inlineStr">
        <is>
          <t>P4</t>
        </is>
      </c>
      <c r="D94" s="3" t="inlineStr">
        <is>
          <t>oferta</t>
        </is>
      </c>
      <c r="E94" s="3" t="inlineStr">
        <is>
          <t>dominancia</t>
        </is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inlineStr">
        <is>
          <t>C4</t>
        </is>
      </c>
      <c r="O94" s="3" t="inlineStr">
        <is>
          <t>si</t>
        </is>
      </c>
      <c r="P94" s="3" t="inlineStr">
        <is>
          <t>no</t>
        </is>
      </c>
      <c r="Q94" s="3" t="inlineStr">
        <is>
          <t>interanual_ipc_tasado</t>
        </is>
      </c>
      <c r="R94" s="3" t="n"/>
      <c r="S94" s="3" t="inlineStr">
        <is>
          <t>cuota LMG x R2 x dY (asociacion; no causal)</t>
        </is>
      </c>
      <c r="T94" s="3" t="inlineStr">
        <is>
          <t>output/v8/F5/atribucion_combinada.csv</t>
        </is>
      </c>
      <c r="U94" s="2">
        <f>IF(R94=0,"",F94/R94)</f>
        <v/>
      </c>
      <c r="V94" s="2">
        <f>SUMIFS(F$2:F$1589,A$2:A$1589,A94,C$2:C$1589,C94,E$2:E$1589,E94,Q$2:Q$1589,Q94)</f>
        <v/>
      </c>
    </row>
    <row r="95">
      <c r="A95" s="3" t="inlineStr">
        <is>
          <t>compra</t>
        </is>
      </c>
      <c r="B95" s="3" t="inlineStr">
        <is>
          <t>nacional</t>
        </is>
      </c>
      <c r="C95" s="3" t="inlineStr">
        <is>
          <t>P5</t>
        </is>
      </c>
      <c r="D95" s="3" t="inlineStr">
        <is>
          <t>demografia</t>
        </is>
      </c>
      <c r="E95" s="3" t="inlineStr">
        <is>
          <t>dominancia</t>
        </is>
      </c>
      <c r="F95" s="3" t="n">
        <v>1.46945</v>
      </c>
      <c r="G95" s="3" t="n"/>
      <c r="H95" s="3" t="n"/>
      <c r="I95" s="3" t="n">
        <v>0.0797736</v>
      </c>
      <c r="J95" s="3" t="n">
        <v>0.0666968</v>
      </c>
      <c r="K95" s="3" t="n">
        <v>2.06713</v>
      </c>
      <c r="L95" s="3" t="n">
        <v>0</v>
      </c>
      <c r="M95" s="3" t="n">
        <v>2.23748</v>
      </c>
      <c r="N95" s="3" t="inlineStr">
        <is>
          <t>C4</t>
        </is>
      </c>
      <c r="O95" s="3" t="inlineStr">
        <is>
          <t>si</t>
        </is>
      </c>
      <c r="P95" s="3" t="inlineStr">
        <is>
          <t>no</t>
        </is>
      </c>
      <c r="Q95" s="3" t="inlineStr">
        <is>
          <t>interanual_ipc_tasado</t>
        </is>
      </c>
      <c r="R95" s="3" t="n">
        <v>18.4203</v>
      </c>
      <c r="S95" s="3" t="inlineStr">
        <is>
          <t>cuota LMG x R2 x dY (asociacion; no causal)</t>
        </is>
      </c>
      <c r="T95" s="3" t="inlineStr">
        <is>
          <t>output/v8/F5/atribucion_combinada.csv</t>
        </is>
      </c>
      <c r="U95" s="2">
        <f>IF(R95=0,"",F95/R95)</f>
        <v/>
      </c>
      <c r="V95" s="2">
        <f>SUMIFS(F$2:F$1589,A$2:A$1589,A95,C$2:C$1589,C95,E$2:E$1589,E95,Q$2:Q$1589,Q95)</f>
        <v/>
      </c>
    </row>
    <row r="96">
      <c r="A96" s="3" t="inlineStr">
        <is>
          <t>compra</t>
        </is>
      </c>
      <c r="B96" s="3" t="inlineStr">
        <is>
          <t>nacional</t>
        </is>
      </c>
      <c r="C96" s="3" t="inlineStr">
        <is>
          <t>P5</t>
        </is>
      </c>
      <c r="D96" s="3" t="inlineStr">
        <is>
          <t>empleo_renta</t>
        </is>
      </c>
      <c r="E96" s="3" t="inlineStr">
        <is>
          <t>dominancia</t>
        </is>
      </c>
      <c r="F96" s="3" t="n">
        <v>2.33108</v>
      </c>
      <c r="G96" s="3" t="n"/>
      <c r="H96" s="3" t="n"/>
      <c r="I96" s="3" t="n">
        <v>0.126549</v>
      </c>
      <c r="J96" s="3" t="n">
        <v>1.95913</v>
      </c>
      <c r="K96" s="3" t="n">
        <v>3.76003</v>
      </c>
      <c r="L96" s="3" t="n">
        <v>0.819874</v>
      </c>
      <c r="M96" s="3" t="n">
        <v>3.91692</v>
      </c>
      <c r="N96" s="3" t="inlineStr">
        <is>
          <t>C4</t>
        </is>
      </c>
      <c r="O96" s="3" t="inlineStr">
        <is>
          <t>si</t>
        </is>
      </c>
      <c r="P96" s="3" t="inlineStr">
        <is>
          <t>no</t>
        </is>
      </c>
      <c r="Q96" s="3" t="inlineStr">
        <is>
          <t>interanual_ipc_tasado</t>
        </is>
      </c>
      <c r="R96" s="3" t="n">
        <v>18.4203</v>
      </c>
      <c r="S96" s="3" t="inlineStr">
        <is>
          <t>cuota LMG x R2 x dY (asociacion; no causal)</t>
        </is>
      </c>
      <c r="T96" s="3" t="inlineStr">
        <is>
          <t>output/v8/F5/atribucion_combinada.csv</t>
        </is>
      </c>
      <c r="U96" s="2">
        <f>IF(R96=0,"",F96/R96)</f>
        <v/>
      </c>
      <c r="V96" s="2">
        <f>SUMIFS(F$2:F$1589,A$2:A$1589,A96,C$2:C$1589,C96,E$2:E$1589,E96,Q$2:Q$1589,Q96)</f>
        <v/>
      </c>
    </row>
    <row r="97">
      <c r="A97" s="3" t="inlineStr">
        <is>
          <t>compra</t>
        </is>
      </c>
      <c r="B97" s="3" t="inlineStr">
        <is>
          <t>nacional</t>
        </is>
      </c>
      <c r="C97" s="3" t="inlineStr">
        <is>
          <t>P5</t>
        </is>
      </c>
      <c r="D97" s="3" t="inlineStr">
        <is>
          <t>credito_tipos</t>
        </is>
      </c>
      <c r="E97" s="3" t="inlineStr">
        <is>
          <t>dominancia</t>
        </is>
      </c>
      <c r="F97" s="3" t="n">
        <v>2.05363</v>
      </c>
      <c r="G97" s="3" t="n"/>
      <c r="H97" s="3" t="n"/>
      <c r="I97" s="3" t="n">
        <v>0.111488</v>
      </c>
      <c r="J97" s="3" t="n">
        <v>0.581489</v>
      </c>
      <c r="K97" s="3" t="n">
        <v>3.34812</v>
      </c>
      <c r="L97" s="3" t="n">
        <v>0</v>
      </c>
      <c r="M97" s="3" t="n">
        <v>3.57806</v>
      </c>
      <c r="N97" s="3" t="inlineStr">
        <is>
          <t>C4</t>
        </is>
      </c>
      <c r="O97" s="3" t="inlineStr">
        <is>
          <t>si</t>
        </is>
      </c>
      <c r="P97" s="3" t="inlineStr">
        <is>
          <t>si</t>
        </is>
      </c>
      <c r="Q97" s="3" t="inlineStr">
        <is>
          <t>interanual_ipc_tasado</t>
        </is>
      </c>
      <c r="R97" s="3" t="n">
        <v>18.4203</v>
      </c>
      <c r="S97" s="3" t="inlineStr">
        <is>
          <t>cuota LMG x R2 x dY (asociacion; no causal)</t>
        </is>
      </c>
      <c r="T97" s="3" t="inlineStr">
        <is>
          <t>output/v8/F5/atribucion_combinada.csv</t>
        </is>
      </c>
      <c r="U97" s="2">
        <f>IF(R97=0,"",F97/R97)</f>
        <v/>
      </c>
      <c r="V97" s="2">
        <f>SUMIFS(F$2:F$1589,A$2:A$1589,A97,C$2:C$1589,C97,E$2:E$1589,E97,Q$2:Q$1589,Q97)</f>
        <v/>
      </c>
    </row>
    <row r="98">
      <c r="A98" s="3" t="inlineStr">
        <is>
          <t>compra</t>
        </is>
      </c>
      <c r="B98" s="3" t="inlineStr">
        <is>
          <t>nacional</t>
        </is>
      </c>
      <c r="C98" s="3" t="inlineStr">
        <is>
          <t>P5</t>
        </is>
      </c>
      <c r="D98" s="3" t="inlineStr">
        <is>
          <t>oferta</t>
        </is>
      </c>
      <c r="E98" s="3" t="inlineStr">
        <is>
          <t>dominancia</t>
        </is>
      </c>
      <c r="F98" s="3" t="n">
        <v>0.0890233</v>
      </c>
      <c r="G98" s="3" t="n"/>
      <c r="H98" s="3" t="n"/>
      <c r="I98" s="3" t="n">
        <v>0.00483289</v>
      </c>
      <c r="J98" s="3" t="n">
        <v>0</v>
      </c>
      <c r="K98" s="3" t="n">
        <v>0</v>
      </c>
      <c r="L98" s="3" t="n">
        <v>0</v>
      </c>
      <c r="M98" s="3" t="n">
        <v>0.0611163</v>
      </c>
      <c r="N98" s="3" t="inlineStr">
        <is>
          <t>C4</t>
        </is>
      </c>
      <c r="O98" s="3" t="inlineStr">
        <is>
          <t>si</t>
        </is>
      </c>
      <c r="P98" s="3" t="inlineStr">
        <is>
          <t>no</t>
        </is>
      </c>
      <c r="Q98" s="3" t="inlineStr">
        <is>
          <t>interanual_ipc_tasado</t>
        </is>
      </c>
      <c r="R98" s="3" t="n">
        <v>18.4203</v>
      </c>
      <c r="S98" s="3" t="inlineStr">
        <is>
          <t>cuota LMG x R2 x dY (asociacion; no causal)</t>
        </is>
      </c>
      <c r="T98" s="3" t="inlineStr">
        <is>
          <t>output/v8/F5/atribucion_combinada.csv</t>
        </is>
      </c>
      <c r="U98" s="2">
        <f>IF(R98=0,"",F98/R98)</f>
        <v/>
      </c>
      <c r="V98" s="2">
        <f>SUMIFS(F$2:F$1589,A$2:A$1589,A98,C$2:C$1589,C98,E$2:E$1589,E98,Q$2:Q$1589,Q98)</f>
        <v/>
      </c>
    </row>
    <row r="99">
      <c r="A99" s="3" t="inlineStr">
        <is>
          <t>compra</t>
        </is>
      </c>
      <c r="B99" s="3" t="inlineStr">
        <is>
          <t>nacional</t>
        </is>
      </c>
      <c r="C99" s="3" t="inlineStr">
        <is>
          <t>P5</t>
        </is>
      </c>
      <c r="D99" s="3" t="inlineStr">
        <is>
          <t>demanda_externa</t>
        </is>
      </c>
      <c r="E99" s="3" t="inlineStr">
        <is>
          <t>dominancia</t>
        </is>
      </c>
      <c r="F99" s="3" t="n">
        <v>1.08474</v>
      </c>
      <c r="G99" s="3" t="n"/>
      <c r="H99" s="3" t="n"/>
      <c r="I99" s="3" t="n">
        <v>0.0588886</v>
      </c>
      <c r="J99" s="3" t="n">
        <v>0.102566</v>
      </c>
      <c r="K99" s="3" t="n">
        <v>1.40203</v>
      </c>
      <c r="L99" s="3" t="n">
        <v>0</v>
      </c>
      <c r="M99" s="3" t="n">
        <v>1.58384</v>
      </c>
      <c r="N99" s="3" t="inlineStr">
        <is>
          <t>C4</t>
        </is>
      </c>
      <c r="O99" s="3" t="inlineStr">
        <is>
          <t>si</t>
        </is>
      </c>
      <c r="P99" s="3" t="inlineStr">
        <is>
          <t>no</t>
        </is>
      </c>
      <c r="Q99" s="3" t="inlineStr">
        <is>
          <t>interanual_ipc_tasado</t>
        </is>
      </c>
      <c r="R99" s="3" t="n">
        <v>18.4203</v>
      </c>
      <c r="S99" s="3" t="inlineStr">
        <is>
          <t>cuota LMG x R2 x dY (asociacion; no causal)</t>
        </is>
      </c>
      <c r="T99" s="3" t="inlineStr">
        <is>
          <t>output/v8/F5/atribucion_combinada.csv</t>
        </is>
      </c>
      <c r="U99" s="2">
        <f>IF(R99=0,"",F99/R99)</f>
        <v/>
      </c>
      <c r="V99" s="2">
        <f>SUMIFS(F$2:F$1589,A$2:A$1589,A99,C$2:C$1589,C99,E$2:E$1589,E99,Q$2:Q$1589,Q99)</f>
        <v/>
      </c>
    </row>
    <row r="100">
      <c r="A100" s="3" t="inlineStr">
        <is>
          <t>compra</t>
        </is>
      </c>
      <c r="B100" s="3" t="inlineStr">
        <is>
          <t>nacional</t>
        </is>
      </c>
      <c r="C100" s="3" t="inlineStr">
        <is>
          <t>P5</t>
        </is>
      </c>
      <c r="D100" s="3" t="inlineStr">
        <is>
          <t>turismo</t>
        </is>
      </c>
      <c r="E100" s="3" t="inlineStr">
        <is>
          <t>dominancia</t>
        </is>
      </c>
      <c r="F100" s="3" t="n">
        <v>5.32849</v>
      </c>
      <c r="G100" s="3" t="n"/>
      <c r="H100" s="3" t="n"/>
      <c r="I100" s="3" t="n">
        <v>0.289273</v>
      </c>
      <c r="J100" s="3" t="n">
        <v>4.99067</v>
      </c>
      <c r="K100" s="3" t="n">
        <v>6.26697</v>
      </c>
      <c r="L100" s="3" t="n">
        <v>4.46068</v>
      </c>
      <c r="M100" s="3" t="n">
        <v>7.06306</v>
      </c>
      <c r="N100" s="3" t="inlineStr">
        <is>
          <t>C4</t>
        </is>
      </c>
      <c r="O100" s="3" t="inlineStr">
        <is>
          <t>si</t>
        </is>
      </c>
      <c r="P100" s="3" t="inlineStr">
        <is>
          <t>no</t>
        </is>
      </c>
      <c r="Q100" s="3" t="inlineStr">
        <is>
          <t>interanual_ipc_tasado</t>
        </is>
      </c>
      <c r="R100" s="3" t="n">
        <v>18.4203</v>
      </c>
      <c r="S100" s="3" t="inlineStr">
        <is>
          <t>cuota LMG x R2 x dY (asociacion; no causal)</t>
        </is>
      </c>
      <c r="T100" s="3" t="inlineStr">
        <is>
          <t>output/v8/F5/atribucion_combinada.csv</t>
        </is>
      </c>
      <c r="U100" s="2">
        <f>IF(R100=0,"",F100/R100)</f>
        <v/>
      </c>
      <c r="V100" s="2">
        <f>SUMIFS(F$2:F$1589,A$2:A$1589,A100,C$2:C$1589,C100,E$2:E$1589,E100,Q$2:Q$1589,Q100)</f>
        <v/>
      </c>
    </row>
    <row r="101">
      <c r="A101" s="3" t="inlineStr">
        <is>
          <t>compra</t>
        </is>
      </c>
      <c r="B101" s="3" t="inlineStr">
        <is>
          <t>nacional</t>
        </is>
      </c>
      <c r="C101" s="3" t="inlineStr">
        <is>
          <t>P5</t>
        </is>
      </c>
      <c r="D101" s="3" t="inlineStr">
        <is>
          <t>factor_europeo</t>
        </is>
      </c>
      <c r="E101" s="3" t="inlineStr">
        <is>
          <t>dominancia</t>
        </is>
      </c>
      <c r="F101" s="3" t="n">
        <v>5.84685</v>
      </c>
      <c r="G101" s="3" t="n"/>
      <c r="H101" s="3" t="n"/>
      <c r="I101" s="3" t="n">
        <v>0.317413</v>
      </c>
      <c r="J101" s="3" t="n">
        <v>4.98854</v>
      </c>
      <c r="K101" s="3" t="n">
        <v>7.51235</v>
      </c>
      <c r="L101" s="3" t="n">
        <v>4.65468</v>
      </c>
      <c r="M101" s="3" t="n">
        <v>9.29757</v>
      </c>
      <c r="N101" s="3" t="inlineStr">
        <is>
          <t>C4</t>
        </is>
      </c>
      <c r="O101" s="3" t="inlineStr">
        <is>
          <t>si</t>
        </is>
      </c>
      <c r="P101" s="3" t="inlineStr">
        <is>
          <t>no</t>
        </is>
      </c>
      <c r="Q101" s="3" t="inlineStr">
        <is>
          <t>interanual_ipc_tasado</t>
        </is>
      </c>
      <c r="R101" s="3" t="n">
        <v>18.4203</v>
      </c>
      <c r="S101" s="3" t="inlineStr">
        <is>
          <t>cuota LMG x R2 x dY (asociacion; no causal)</t>
        </is>
      </c>
      <c r="T101" s="3" t="inlineStr">
        <is>
          <t>output/v8/F5/atribucion_combinada.csv</t>
        </is>
      </c>
      <c r="U101" s="2">
        <f>IF(R101=0,"",F101/R101)</f>
        <v/>
      </c>
      <c r="V101" s="2">
        <f>SUMIFS(F$2:F$1589,A$2:A$1589,A101,C$2:C$1589,C101,E$2:E$1589,E101,Q$2:Q$1589,Q101)</f>
        <v/>
      </c>
    </row>
    <row r="102">
      <c r="A102" s="3" t="inlineStr">
        <is>
          <t>compra</t>
        </is>
      </c>
      <c r="B102" s="3" t="inlineStr">
        <is>
          <t>nacional</t>
        </is>
      </c>
      <c r="C102" s="3" t="inlineStr">
        <is>
          <t>P5</t>
        </is>
      </c>
      <c r="D102" s="3" t="inlineStr">
        <is>
          <t>residuo</t>
        </is>
      </c>
      <c r="E102" s="3" t="inlineStr">
        <is>
          <t>dominancia</t>
        </is>
      </c>
      <c r="F102" s="3" t="n">
        <v>0.217017</v>
      </c>
      <c r="G102" s="3" t="n"/>
      <c r="H102" s="3" t="n"/>
      <c r="I102" s="3" t="n">
        <v>0.0117814</v>
      </c>
      <c r="J102" s="3" t="n">
        <v>0.214581</v>
      </c>
      <c r="K102" s="3" t="n">
        <v>0.434034</v>
      </c>
      <c r="L102" s="3" t="n">
        <v>0.108676</v>
      </c>
      <c r="M102" s="3" t="n">
        <v>0.434034</v>
      </c>
      <c r="N102" s="3" t="inlineStr">
        <is>
          <t>C4</t>
        </is>
      </c>
      <c r="O102" s="3" t="inlineStr">
        <is>
          <t>no</t>
        </is>
      </c>
      <c r="P102" s="3" t="inlineStr">
        <is>
          <t>no_compite</t>
        </is>
      </c>
      <c r="Q102" s="3" t="inlineStr">
        <is>
          <t>interanual_ipc_tasado</t>
        </is>
      </c>
      <c r="R102" s="3" t="n">
        <v>18.4203</v>
      </c>
      <c r="S102" s="3" t="inlineStr">
        <is>
          <t>cuota LMG x R2 x dY (asociacion; no causal)</t>
        </is>
      </c>
      <c r="T102" s="3" t="inlineStr">
        <is>
          <t>output/v8/F5/atribucion_combinada.csv</t>
        </is>
      </c>
      <c r="U102" s="2">
        <f>IF(R102=0,"",F102/R102)</f>
        <v/>
      </c>
      <c r="V102" s="2">
        <f>SUMIFS(F$2:F$1589,A$2:A$1589,A102,C$2:C$1589,C102,E$2:E$1589,E102,Q$2:Q$1589,Q102)</f>
        <v/>
      </c>
    </row>
    <row r="103">
      <c r="A103" s="3" t="inlineStr">
        <is>
          <t>compra</t>
        </is>
      </c>
      <c r="B103" s="3" t="inlineStr">
        <is>
          <t>nacional</t>
        </is>
      </c>
      <c r="C103" s="3" t="inlineStr">
        <is>
          <t>completo</t>
        </is>
      </c>
      <c r="D103" s="3" t="inlineStr">
        <is>
          <t>demografia</t>
        </is>
      </c>
      <c r="E103" s="3" t="inlineStr">
        <is>
          <t>dominancia</t>
        </is>
      </c>
      <c r="F103" s="3" t="n">
        <v>8.62036</v>
      </c>
      <c r="G103" s="3" t="n"/>
      <c r="H103" s="3" t="n"/>
      <c r="I103" s="3" t="n">
        <v>0.227243</v>
      </c>
      <c r="J103" s="3" t="n">
        <v>5.42936</v>
      </c>
      <c r="K103" s="3" t="n">
        <v>11.4235</v>
      </c>
      <c r="L103" s="3" t="n">
        <v>2.77638</v>
      </c>
      <c r="M103" s="3" t="n">
        <v>13.1307</v>
      </c>
      <c r="N103" s="3" t="inlineStr">
        <is>
          <t>C4</t>
        </is>
      </c>
      <c r="O103" s="3" t="inlineStr">
        <is>
          <t>si</t>
        </is>
      </c>
      <c r="P103" s="3" t="inlineStr">
        <is>
          <t>no_vota</t>
        </is>
      </c>
      <c r="Q103" s="3" t="inlineStr">
        <is>
          <t>interanual_ipc_tasado</t>
        </is>
      </c>
      <c r="R103" s="3" t="n">
        <v>37.9345</v>
      </c>
      <c r="S103" s="3" t="inlineStr">
        <is>
          <t>cuota LMG x R2 x dY (asociacion; no causal)</t>
        </is>
      </c>
      <c r="T103" s="3" t="inlineStr">
        <is>
          <t>output/v8/F5/atribucion_combinada.csv</t>
        </is>
      </c>
      <c r="U103" s="2">
        <f>IF(R103=0,"",F103/R103)</f>
        <v/>
      </c>
      <c r="V103" s="2">
        <f>SUMIFS(F$2:F$1589,A$2:A$1589,A103,C$2:C$1589,C103,E$2:E$1589,E103,Q$2:Q$1589,Q103)</f>
        <v/>
      </c>
    </row>
    <row r="104">
      <c r="A104" s="3" t="inlineStr">
        <is>
          <t>compra</t>
        </is>
      </c>
      <c r="B104" s="3" t="inlineStr">
        <is>
          <t>nacional</t>
        </is>
      </c>
      <c r="C104" s="3" t="inlineStr">
        <is>
          <t>completo</t>
        </is>
      </c>
      <c r="D104" s="3" t="inlineStr">
        <is>
          <t>empleo_renta</t>
        </is>
      </c>
      <c r="E104" s="3" t="inlineStr">
        <is>
          <t>dominancia</t>
        </is>
      </c>
      <c r="F104" s="3" t="n">
        <v>3.02521</v>
      </c>
      <c r="G104" s="3" t="n"/>
      <c r="H104" s="3" t="n"/>
      <c r="I104" s="3" t="n">
        <v>0.0797484</v>
      </c>
      <c r="J104" s="3" t="n">
        <v>0.5623590000000001</v>
      </c>
      <c r="K104" s="3" t="n">
        <v>4.32649</v>
      </c>
      <c r="L104" s="3" t="n">
        <v>0</v>
      </c>
      <c r="M104" s="3" t="n">
        <v>4.97109</v>
      </c>
      <c r="N104" s="3" t="inlineStr">
        <is>
          <t>C4</t>
        </is>
      </c>
      <c r="O104" s="3" t="inlineStr">
        <is>
          <t>si</t>
        </is>
      </c>
      <c r="P104" s="3" t="inlineStr">
        <is>
          <t>no_vota</t>
        </is>
      </c>
      <c r="Q104" s="3" t="inlineStr">
        <is>
          <t>interanual_ipc_tasado</t>
        </is>
      </c>
      <c r="R104" s="3" t="n">
        <v>37.9345</v>
      </c>
      <c r="S104" s="3" t="inlineStr">
        <is>
          <t>cuota LMG x R2 x dY (asociacion; no causal)</t>
        </is>
      </c>
      <c r="T104" s="3" t="inlineStr">
        <is>
          <t>output/v8/F5/atribucion_combinada.csv</t>
        </is>
      </c>
      <c r="U104" s="2">
        <f>IF(R104=0,"",F104/R104)</f>
        <v/>
      </c>
      <c r="V104" s="2">
        <f>SUMIFS(F$2:F$1589,A$2:A$1589,A104,C$2:C$1589,C104,E$2:E$1589,E104,Q$2:Q$1589,Q104)</f>
        <v/>
      </c>
    </row>
    <row r="105">
      <c r="A105" s="3" t="inlineStr">
        <is>
          <t>compra</t>
        </is>
      </c>
      <c r="B105" s="3" t="inlineStr">
        <is>
          <t>nacional</t>
        </is>
      </c>
      <c r="C105" s="3" t="inlineStr">
        <is>
          <t>completo</t>
        </is>
      </c>
      <c r="D105" s="3" t="inlineStr">
        <is>
          <t>credito_tipos</t>
        </is>
      </c>
      <c r="E105" s="3" t="inlineStr">
        <is>
          <t>dominancia</t>
        </is>
      </c>
      <c r="F105" s="3" t="n">
        <v>0.45024</v>
      </c>
      <c r="G105" s="3" t="n"/>
      <c r="H105" s="3" t="n"/>
      <c r="I105" s="3" t="n">
        <v>0.0118689</v>
      </c>
      <c r="J105" s="3" t="n">
        <v>0</v>
      </c>
      <c r="K105" s="3" t="n">
        <v>0.534806</v>
      </c>
      <c r="L105" s="3" t="n">
        <v>0</v>
      </c>
      <c r="M105" s="3" t="n">
        <v>0.683829</v>
      </c>
      <c r="N105" s="3" t="inlineStr">
        <is>
          <t>C4</t>
        </is>
      </c>
      <c r="O105" s="3" t="inlineStr">
        <is>
          <t>si</t>
        </is>
      </c>
      <c r="P105" s="3" t="inlineStr">
        <is>
          <t>no_vota</t>
        </is>
      </c>
      <c r="Q105" s="3" t="inlineStr">
        <is>
          <t>interanual_ipc_tasado</t>
        </is>
      </c>
      <c r="R105" s="3" t="n">
        <v>37.9345</v>
      </c>
      <c r="S105" s="3" t="inlineStr">
        <is>
          <t>cuota LMG x R2 x dY (asociacion; no causal)</t>
        </is>
      </c>
      <c r="T105" s="3" t="inlineStr">
        <is>
          <t>output/v8/F5/atribucion_combinada.csv</t>
        </is>
      </c>
      <c r="U105" s="2">
        <f>IF(R105=0,"",F105/R105)</f>
        <v/>
      </c>
      <c r="V105" s="2">
        <f>SUMIFS(F$2:F$1589,A$2:A$1589,A105,C$2:C$1589,C105,E$2:E$1589,E105,Q$2:Q$1589,Q105)</f>
        <v/>
      </c>
    </row>
    <row r="106">
      <c r="A106" s="3" t="inlineStr">
        <is>
          <t>compra</t>
        </is>
      </c>
      <c r="B106" s="3" t="inlineStr">
        <is>
          <t>nacional</t>
        </is>
      </c>
      <c r="C106" s="3" t="inlineStr">
        <is>
          <t>completo</t>
        </is>
      </c>
      <c r="D106" s="3" t="inlineStr">
        <is>
          <t>oferta</t>
        </is>
      </c>
      <c r="E106" s="3" t="inlineStr">
        <is>
          <t>dominancia</t>
        </is>
      </c>
      <c r="F106" s="3" t="n">
        <v>5.65324</v>
      </c>
      <c r="G106" s="3" t="n"/>
      <c r="H106" s="3" t="n"/>
      <c r="I106" s="3" t="n">
        <v>0.149026</v>
      </c>
      <c r="J106" s="3" t="n">
        <v>4.33154</v>
      </c>
      <c r="K106" s="3" t="n">
        <v>7.25924</v>
      </c>
      <c r="L106" s="3" t="n">
        <v>3.35685</v>
      </c>
      <c r="M106" s="3" t="n">
        <v>8.34036</v>
      </c>
      <c r="N106" s="3" t="inlineStr">
        <is>
          <t>C4</t>
        </is>
      </c>
      <c r="O106" s="3" t="inlineStr">
        <is>
          <t>si</t>
        </is>
      </c>
      <c r="P106" s="3" t="inlineStr">
        <is>
          <t>no_vota</t>
        </is>
      </c>
      <c r="Q106" s="3" t="inlineStr">
        <is>
          <t>interanual_ipc_tasado</t>
        </is>
      </c>
      <c r="R106" s="3" t="n">
        <v>37.9345</v>
      </c>
      <c r="S106" s="3" t="inlineStr">
        <is>
          <t>cuota LMG x R2 x dY (asociacion; no causal)</t>
        </is>
      </c>
      <c r="T106" s="3" t="inlineStr">
        <is>
          <t>output/v8/F5/atribucion_combinada.csv</t>
        </is>
      </c>
      <c r="U106" s="2">
        <f>IF(R106=0,"",F106/R106)</f>
        <v/>
      </c>
      <c r="V106" s="2">
        <f>SUMIFS(F$2:F$1589,A$2:A$1589,A106,C$2:C$1589,C106,E$2:E$1589,E106,Q$2:Q$1589,Q106)</f>
        <v/>
      </c>
    </row>
    <row r="107">
      <c r="A107" s="3" t="inlineStr">
        <is>
          <t>compra</t>
        </is>
      </c>
      <c r="B107" s="3" t="inlineStr">
        <is>
          <t>nacional</t>
        </is>
      </c>
      <c r="C107" s="3" t="inlineStr">
        <is>
          <t>completo</t>
        </is>
      </c>
      <c r="D107" s="3" t="inlineStr">
        <is>
          <t>factor_europeo</t>
        </is>
      </c>
      <c r="E107" s="3" t="inlineStr">
        <is>
          <t>dominancia</t>
        </is>
      </c>
      <c r="F107" s="3" t="n">
        <v>11.1869</v>
      </c>
      <c r="G107" s="3" t="n"/>
      <c r="H107" s="3" t="n"/>
      <c r="I107" s="3" t="n">
        <v>0.2949</v>
      </c>
      <c r="J107" s="3" t="n">
        <v>9.250360000000001</v>
      </c>
      <c r="K107" s="3" t="n">
        <v>12.9171</v>
      </c>
      <c r="L107" s="3" t="n">
        <v>7.63644</v>
      </c>
      <c r="M107" s="3" t="n">
        <v>14.2782</v>
      </c>
      <c r="N107" s="3" t="inlineStr">
        <is>
          <t>C4</t>
        </is>
      </c>
      <c r="O107" s="3" t="inlineStr">
        <is>
          <t>si</t>
        </is>
      </c>
      <c r="P107" s="3" t="inlineStr">
        <is>
          <t>no_vota</t>
        </is>
      </c>
      <c r="Q107" s="3" t="inlineStr">
        <is>
          <t>interanual_ipc_tasado</t>
        </is>
      </c>
      <c r="R107" s="3" t="n">
        <v>37.9345</v>
      </c>
      <c r="S107" s="3" t="inlineStr">
        <is>
          <t>cuota LMG x R2 x dY (asociacion; no causal)</t>
        </is>
      </c>
      <c r="T107" s="3" t="inlineStr">
        <is>
          <t>output/v8/F5/atribucion_combinada.csv</t>
        </is>
      </c>
      <c r="U107" s="2">
        <f>IF(R107=0,"",F107/R107)</f>
        <v/>
      </c>
      <c r="V107" s="2">
        <f>SUMIFS(F$2:F$1589,A$2:A$1589,A107,C$2:C$1589,C107,E$2:E$1589,E107,Q$2:Q$1589,Q107)</f>
        <v/>
      </c>
    </row>
    <row r="108">
      <c r="A108" s="3" t="inlineStr">
        <is>
          <t>compra</t>
        </is>
      </c>
      <c r="B108" s="3" t="inlineStr">
        <is>
          <t>nacional</t>
        </is>
      </c>
      <c r="C108" s="3" t="inlineStr">
        <is>
          <t>completo</t>
        </is>
      </c>
      <c r="D108" s="3" t="inlineStr">
        <is>
          <t>residuo</t>
        </is>
      </c>
      <c r="E108" s="3" t="inlineStr">
        <is>
          <t>dominancia</t>
        </is>
      </c>
      <c r="F108" s="3" t="n">
        <v>8.99858</v>
      </c>
      <c r="G108" s="3" t="n"/>
      <c r="H108" s="3" t="n"/>
      <c r="I108" s="3" t="n">
        <v>0.237213</v>
      </c>
      <c r="J108" s="3" t="n">
        <v>7.81715</v>
      </c>
      <c r="K108" s="3" t="n">
        <v>12.5398</v>
      </c>
      <c r="L108" s="3" t="n">
        <v>5.67696</v>
      </c>
      <c r="M108" s="3" t="n">
        <v>14.085</v>
      </c>
      <c r="N108" s="3" t="inlineStr">
        <is>
          <t>C4</t>
        </is>
      </c>
      <c r="O108" s="3" t="inlineStr">
        <is>
          <t>no</t>
        </is>
      </c>
      <c r="P108" s="3" t="inlineStr">
        <is>
          <t>no_compite</t>
        </is>
      </c>
      <c r="Q108" s="3" t="inlineStr">
        <is>
          <t>interanual_ipc_tasado</t>
        </is>
      </c>
      <c r="R108" s="3" t="n">
        <v>37.9345</v>
      </c>
      <c r="S108" s="3" t="inlineStr">
        <is>
          <t>cuota LMG x R2 x dY (asociacion; no causal)</t>
        </is>
      </c>
      <c r="T108" s="3" t="inlineStr">
        <is>
          <t>output/v8/F5/atribucion_combinada.csv</t>
        </is>
      </c>
      <c r="U108" s="2">
        <f>IF(R108=0,"",F108/R108)</f>
        <v/>
      </c>
      <c r="V108" s="2">
        <f>SUMIFS(F$2:F$1589,A$2:A$1589,A108,C$2:C$1589,C108,E$2:E$1589,E108,Q$2:Q$1589,Q108)</f>
        <v/>
      </c>
    </row>
    <row r="109">
      <c r="A109" s="3" t="inlineStr">
        <is>
          <t>compra</t>
        </is>
      </c>
      <c r="B109" s="3" t="inlineStr">
        <is>
          <t>nacional</t>
        </is>
      </c>
      <c r="C109" s="3" t="inlineStr">
        <is>
          <t>completo</t>
        </is>
      </c>
      <c r="D109" s="3" t="inlineStr">
        <is>
          <t>demanda_externa</t>
        </is>
      </c>
      <c r="E109" s="3" t="inlineStr">
        <is>
          <t>dominancia</t>
        </is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inlineStr">
        <is>
          <t>C4</t>
        </is>
      </c>
      <c r="O109" s="3" t="inlineStr">
        <is>
          <t>si</t>
        </is>
      </c>
      <c r="P109" s="3" t="inlineStr">
        <is>
          <t>no_vota</t>
        </is>
      </c>
      <c r="Q109" s="3" t="inlineStr">
        <is>
          <t>interanual_ipc_tasado</t>
        </is>
      </c>
      <c r="R109" s="3" t="n"/>
      <c r="S109" s="3" t="inlineStr">
        <is>
          <t>cuota LMG x R2 x dY (asociacion; no causal)</t>
        </is>
      </c>
      <c r="T109" s="3" t="inlineStr">
        <is>
          <t>output/v8/F5/atribucion_combinada.csv</t>
        </is>
      </c>
      <c r="U109" s="2">
        <f>IF(R109=0,"",F109/R109)</f>
        <v/>
      </c>
      <c r="V109" s="2">
        <f>SUMIFS(F$2:F$1589,A$2:A$1589,A109,C$2:C$1589,C109,E$2:E$1589,E109,Q$2:Q$1589,Q109)</f>
        <v/>
      </c>
    </row>
    <row r="110">
      <c r="A110" s="3" t="inlineStr">
        <is>
          <t>compra</t>
        </is>
      </c>
      <c r="B110" s="3" t="inlineStr">
        <is>
          <t>nacional</t>
        </is>
      </c>
      <c r="C110" s="3" t="inlineStr">
        <is>
          <t>completo</t>
        </is>
      </c>
      <c r="D110" s="3" t="inlineStr">
        <is>
          <t>turismo</t>
        </is>
      </c>
      <c r="E110" s="3" t="inlineStr">
        <is>
          <t>dominancia</t>
        </is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inlineStr">
        <is>
          <t>C4</t>
        </is>
      </c>
      <c r="O110" s="3" t="inlineStr">
        <is>
          <t>si</t>
        </is>
      </c>
      <c r="P110" s="3" t="inlineStr">
        <is>
          <t>no_vota</t>
        </is>
      </c>
      <c r="Q110" s="3" t="inlineStr">
        <is>
          <t>interanual_ipc_tasado</t>
        </is>
      </c>
      <c r="R110" s="3" t="n"/>
      <c r="S110" s="3" t="inlineStr">
        <is>
          <t>cuota LMG x R2 x dY (asociacion; no causal)</t>
        </is>
      </c>
      <c r="T110" s="3" t="inlineStr">
        <is>
          <t>output/v8/F5/atribucion_combinada.csv</t>
        </is>
      </c>
      <c r="U110" s="2">
        <f>IF(R110=0,"",F110/R110)</f>
        <v/>
      </c>
      <c r="V110" s="2">
        <f>SUMIFS(F$2:F$1589,A$2:A$1589,A110,C$2:C$1589,C110,E$2:E$1589,E110,Q$2:Q$1589,Q110)</f>
        <v/>
      </c>
    </row>
    <row r="111">
      <c r="A111" s="3" t="inlineStr">
        <is>
          <t>alquiler</t>
        </is>
      </c>
      <c r="B111" s="3" t="inlineStr">
        <is>
          <t>nacional</t>
        </is>
      </c>
      <c r="C111" s="3" t="inlineStr">
        <is>
          <t>P1</t>
        </is>
      </c>
      <c r="D111" s="3" t="inlineStr">
        <is>
          <t>demografia</t>
        </is>
      </c>
      <c r="E111" s="3" t="inlineStr">
        <is>
          <t>dominancia</t>
        </is>
      </c>
      <c r="F111" s="3" t="n">
        <v>0.232032</v>
      </c>
      <c r="G111" s="3" t="n"/>
      <c r="H111" s="3" t="n"/>
      <c r="I111" s="3" t="n">
        <v>0.0471089</v>
      </c>
      <c r="J111" s="3" t="n">
        <v>0</v>
      </c>
      <c r="K111" s="3" t="n">
        <v>0.235066</v>
      </c>
      <c r="L111" s="3" t="n">
        <v>0</v>
      </c>
      <c r="M111" s="3" t="n">
        <v>0.311828</v>
      </c>
      <c r="N111" s="3" t="inlineStr">
        <is>
          <t>C4</t>
        </is>
      </c>
      <c r="O111" s="3" t="inlineStr">
        <is>
          <t>si</t>
        </is>
      </c>
      <c r="P111" s="3" t="inlineStr">
        <is>
          <t>no</t>
        </is>
      </c>
      <c r="Q111" s="3" t="inlineStr">
        <is>
          <t>interanual_ipc_ipc_alquiler</t>
        </is>
      </c>
      <c r="R111" s="3" t="n">
        <v>4.92545</v>
      </c>
      <c r="S111" s="3" t="inlineStr">
        <is>
          <t>cuota LMG x R2 x dY (asociacion; no causal)</t>
        </is>
      </c>
      <c r="T111" s="3" t="inlineStr">
        <is>
          <t>output/v8/F5/atribucion_combinada.csv</t>
        </is>
      </c>
      <c r="U111" s="2">
        <f>IF(R111=0,"",F111/R111)</f>
        <v/>
      </c>
      <c r="V111" s="2">
        <f>SUMIFS(F$2:F$1589,A$2:A$1589,A111,C$2:C$1589,C111,E$2:E$1589,E111,Q$2:Q$1589,Q111)</f>
        <v/>
      </c>
    </row>
    <row r="112">
      <c r="A112" s="3" t="inlineStr">
        <is>
          <t>alquiler</t>
        </is>
      </c>
      <c r="B112" s="3" t="inlineStr">
        <is>
          <t>nacional</t>
        </is>
      </c>
      <c r="C112" s="3" t="inlineStr">
        <is>
          <t>P1</t>
        </is>
      </c>
      <c r="D112" s="3" t="inlineStr">
        <is>
          <t>empleo_renta</t>
        </is>
      </c>
      <c r="E112" s="3" t="inlineStr">
        <is>
          <t>dominancia</t>
        </is>
      </c>
      <c r="F112" s="3" t="n">
        <v>0.325267</v>
      </c>
      <c r="G112" s="3" t="n"/>
      <c r="H112" s="3" t="n"/>
      <c r="I112" s="3" t="n">
        <v>0.0660381</v>
      </c>
      <c r="J112" s="3" t="n">
        <v>0</v>
      </c>
      <c r="K112" s="3" t="n">
        <v>0.471915</v>
      </c>
      <c r="L112" s="3" t="n">
        <v>0</v>
      </c>
      <c r="M112" s="3" t="n">
        <v>0.55308</v>
      </c>
      <c r="N112" s="3" t="inlineStr">
        <is>
          <t>C4</t>
        </is>
      </c>
      <c r="O112" s="3" t="inlineStr">
        <is>
          <t>si</t>
        </is>
      </c>
      <c r="P112" s="3" t="inlineStr">
        <is>
          <t>no</t>
        </is>
      </c>
      <c r="Q112" s="3" t="inlineStr">
        <is>
          <t>interanual_ipc_ipc_alquiler</t>
        </is>
      </c>
      <c r="R112" s="3" t="n">
        <v>4.92545</v>
      </c>
      <c r="S112" s="3" t="inlineStr">
        <is>
          <t>cuota LMG x R2 x dY (asociacion; no causal)</t>
        </is>
      </c>
      <c r="T112" s="3" t="inlineStr">
        <is>
          <t>output/v8/F5/atribucion_combinada.csv</t>
        </is>
      </c>
      <c r="U112" s="2">
        <f>IF(R112=0,"",F112/R112)</f>
        <v/>
      </c>
      <c r="V112" s="2">
        <f>SUMIFS(F$2:F$1589,A$2:A$1589,A112,C$2:C$1589,C112,E$2:E$1589,E112,Q$2:Q$1589,Q112)</f>
        <v/>
      </c>
    </row>
    <row r="113">
      <c r="A113" s="3" t="inlineStr">
        <is>
          <t>alquiler</t>
        </is>
      </c>
      <c r="B113" s="3" t="inlineStr">
        <is>
          <t>nacional</t>
        </is>
      </c>
      <c r="C113" s="3" t="inlineStr">
        <is>
          <t>P1</t>
        </is>
      </c>
      <c r="D113" s="3" t="inlineStr">
        <is>
          <t>credito_tipos</t>
        </is>
      </c>
      <c r="E113" s="3" t="inlineStr">
        <is>
          <t>dominancia</t>
        </is>
      </c>
      <c r="F113" s="3" t="n">
        <v>3.14703</v>
      </c>
      <c r="G113" s="3" t="n"/>
      <c r="H113" s="3" t="n"/>
      <c r="I113" s="3" t="n">
        <v>0.638933</v>
      </c>
      <c r="J113" s="3" t="n">
        <v>3.08064</v>
      </c>
      <c r="K113" s="3" t="n">
        <v>4.05801</v>
      </c>
      <c r="L113" s="3" t="n">
        <v>2.90886</v>
      </c>
      <c r="M113" s="3" t="n">
        <v>4.39615</v>
      </c>
      <c r="N113" s="3" t="inlineStr">
        <is>
          <t>C4</t>
        </is>
      </c>
      <c r="O113" s="3" t="inlineStr">
        <is>
          <t>si</t>
        </is>
      </c>
      <c r="P113" s="3" t="inlineStr">
        <is>
          <t>no</t>
        </is>
      </c>
      <c r="Q113" s="3" t="inlineStr">
        <is>
          <t>interanual_ipc_ipc_alquiler</t>
        </is>
      </c>
      <c r="R113" s="3" t="n">
        <v>4.92545</v>
      </c>
      <c r="S113" s="3" t="inlineStr">
        <is>
          <t>cuota LMG x R2 x dY (asociacion; no causal)</t>
        </is>
      </c>
      <c r="T113" s="3" t="inlineStr">
        <is>
          <t>output/v8/F5/atribucion_combinada.csv</t>
        </is>
      </c>
      <c r="U113" s="2">
        <f>IF(R113=0,"",F113/R113)</f>
        <v/>
      </c>
      <c r="V113" s="2">
        <f>SUMIFS(F$2:F$1589,A$2:A$1589,A113,C$2:C$1589,C113,E$2:E$1589,E113,Q$2:Q$1589,Q113)</f>
        <v/>
      </c>
    </row>
    <row r="114">
      <c r="A114" s="3" t="inlineStr">
        <is>
          <t>alquiler</t>
        </is>
      </c>
      <c r="B114" s="3" t="inlineStr">
        <is>
          <t>nacional</t>
        </is>
      </c>
      <c r="C114" s="3" t="inlineStr">
        <is>
          <t>P1</t>
        </is>
      </c>
      <c r="D114" s="3" t="inlineStr">
        <is>
          <t>oferta</t>
        </is>
      </c>
      <c r="E114" s="3" t="inlineStr">
        <is>
          <t>dominancia</t>
        </is>
      </c>
      <c r="F114" s="3" t="n">
        <v>0.29709</v>
      </c>
      <c r="G114" s="3" t="n"/>
      <c r="H114" s="3" t="n"/>
      <c r="I114" s="3" t="n">
        <v>0.0603173</v>
      </c>
      <c r="J114" s="3" t="n">
        <v>0</v>
      </c>
      <c r="K114" s="3" t="n">
        <v>0.350936</v>
      </c>
      <c r="L114" s="3" t="n">
        <v>0</v>
      </c>
      <c r="M114" s="3" t="n">
        <v>0.403635</v>
      </c>
      <c r="N114" s="3" t="inlineStr">
        <is>
          <t>C4</t>
        </is>
      </c>
      <c r="O114" s="3" t="inlineStr">
        <is>
          <t>si</t>
        </is>
      </c>
      <c r="P114" s="3" t="inlineStr">
        <is>
          <t>no</t>
        </is>
      </c>
      <c r="Q114" s="3" t="inlineStr">
        <is>
          <t>interanual_ipc_ipc_alquiler</t>
        </is>
      </c>
      <c r="R114" s="3" t="n">
        <v>4.92545</v>
      </c>
      <c r="S114" s="3" t="inlineStr">
        <is>
          <t>cuota LMG x R2 x dY (asociacion; no causal)</t>
        </is>
      </c>
      <c r="T114" s="3" t="inlineStr">
        <is>
          <t>output/v8/F5/atribucion_combinada.csv</t>
        </is>
      </c>
      <c r="U114" s="2">
        <f>IF(R114=0,"",F114/R114)</f>
        <v/>
      </c>
      <c r="V114" s="2">
        <f>SUMIFS(F$2:F$1589,A$2:A$1589,A114,C$2:C$1589,C114,E$2:E$1589,E114,Q$2:Q$1589,Q114)</f>
        <v/>
      </c>
    </row>
    <row r="115">
      <c r="A115" s="3" t="inlineStr">
        <is>
          <t>alquiler</t>
        </is>
      </c>
      <c r="B115" s="3" t="inlineStr">
        <is>
          <t>nacional</t>
        </is>
      </c>
      <c r="C115" s="3" t="inlineStr">
        <is>
          <t>P1</t>
        </is>
      </c>
      <c r="D115" s="3" t="inlineStr">
        <is>
          <t>factor_europeo</t>
        </is>
      </c>
      <c r="E115" s="3" t="inlineStr">
        <is>
          <t>dominancia</t>
        </is>
      </c>
      <c r="F115" s="3" t="n">
        <v>0.6490590000000001</v>
      </c>
      <c r="G115" s="3" t="n"/>
      <c r="H115" s="3" t="n"/>
      <c r="I115" s="3" t="n">
        <v>0.131777</v>
      </c>
      <c r="J115" s="3" t="n">
        <v>0.609521</v>
      </c>
      <c r="K115" s="3" t="n">
        <v>1.13215</v>
      </c>
      <c r="L115" s="3" t="n">
        <v>0.457866</v>
      </c>
      <c r="M115" s="3" t="n">
        <v>1.20005</v>
      </c>
      <c r="N115" s="3" t="inlineStr">
        <is>
          <t>C4</t>
        </is>
      </c>
      <c r="O115" s="3" t="inlineStr">
        <is>
          <t>si</t>
        </is>
      </c>
      <c r="P115" s="3" t="inlineStr">
        <is>
          <t>si</t>
        </is>
      </c>
      <c r="Q115" s="3" t="inlineStr">
        <is>
          <t>interanual_ipc_ipc_alquiler</t>
        </is>
      </c>
      <c r="R115" s="3" t="n">
        <v>4.92545</v>
      </c>
      <c r="S115" s="3" t="inlineStr">
        <is>
          <t>cuota LMG x R2 x dY (asociacion; no causal)</t>
        </is>
      </c>
      <c r="T115" s="3" t="inlineStr">
        <is>
          <t>output/v8/F5/atribucion_combinada.csv</t>
        </is>
      </c>
      <c r="U115" s="2">
        <f>IF(R115=0,"",F115/R115)</f>
        <v/>
      </c>
      <c r="V115" s="2">
        <f>SUMIFS(F$2:F$1589,A$2:A$1589,A115,C$2:C$1589,C115,E$2:E$1589,E115,Q$2:Q$1589,Q115)</f>
        <v/>
      </c>
    </row>
    <row r="116">
      <c r="A116" s="3" t="inlineStr">
        <is>
          <t>alquiler</t>
        </is>
      </c>
      <c r="B116" s="3" t="inlineStr">
        <is>
          <t>nacional</t>
        </is>
      </c>
      <c r="C116" s="3" t="inlineStr">
        <is>
          <t>P1</t>
        </is>
      </c>
      <c r="D116" s="3" t="inlineStr">
        <is>
          <t>residuo</t>
        </is>
      </c>
      <c r="E116" s="3" t="inlineStr">
        <is>
          <t>dominancia</t>
        </is>
      </c>
      <c r="F116" s="3" t="n">
        <v>0.274966</v>
      </c>
      <c r="G116" s="3" t="n"/>
      <c r="H116" s="3" t="n"/>
      <c r="I116" s="3" t="n">
        <v>0.0558256</v>
      </c>
      <c r="J116" s="3" t="n">
        <v>0.269865</v>
      </c>
      <c r="K116" s="3" t="n">
        <v>0.456101</v>
      </c>
      <c r="L116" s="3" t="n">
        <v>0.105886</v>
      </c>
      <c r="M116" s="3" t="n">
        <v>0.506818</v>
      </c>
      <c r="N116" s="3" t="inlineStr">
        <is>
          <t>C4</t>
        </is>
      </c>
      <c r="O116" s="3" t="inlineStr">
        <is>
          <t>no</t>
        </is>
      </c>
      <c r="P116" s="3" t="inlineStr">
        <is>
          <t>no_compite</t>
        </is>
      </c>
      <c r="Q116" s="3" t="inlineStr">
        <is>
          <t>interanual_ipc_ipc_alquiler</t>
        </is>
      </c>
      <c r="R116" s="3" t="n">
        <v>4.92545</v>
      </c>
      <c r="S116" s="3" t="inlineStr">
        <is>
          <t>cuota LMG x R2 x dY (asociacion; no causal)</t>
        </is>
      </c>
      <c r="T116" s="3" t="inlineStr">
        <is>
          <t>output/v8/F5/atribucion_combinada.csv</t>
        </is>
      </c>
      <c r="U116" s="2">
        <f>IF(R116=0,"",F116/R116)</f>
        <v/>
      </c>
      <c r="V116" s="2">
        <f>SUMIFS(F$2:F$1589,A$2:A$1589,A116,C$2:C$1589,C116,E$2:E$1589,E116,Q$2:Q$1589,Q116)</f>
        <v/>
      </c>
    </row>
    <row r="117">
      <c r="A117" s="3" t="inlineStr">
        <is>
          <t>alquiler</t>
        </is>
      </c>
      <c r="B117" s="3" t="inlineStr">
        <is>
          <t>nacional</t>
        </is>
      </c>
      <c r="C117" s="3" t="inlineStr">
        <is>
          <t>P1</t>
        </is>
      </c>
      <c r="D117" s="3" t="inlineStr">
        <is>
          <t>demanda_externa</t>
        </is>
      </c>
      <c r="E117" s="3" t="inlineStr">
        <is>
          <t>dominancia</t>
        </is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inlineStr">
        <is>
          <t>C4</t>
        </is>
      </c>
      <c r="O117" s="3" t="inlineStr">
        <is>
          <t>si</t>
        </is>
      </c>
      <c r="P117" s="3" t="inlineStr">
        <is>
          <t>no</t>
        </is>
      </c>
      <c r="Q117" s="3" t="inlineStr">
        <is>
          <t>interanual_ipc_ipc_alquiler</t>
        </is>
      </c>
      <c r="R117" s="3" t="n"/>
      <c r="S117" s="3" t="inlineStr">
        <is>
          <t>cuota LMG x R2 x dY (asociacion; no causal)</t>
        </is>
      </c>
      <c r="T117" s="3" t="inlineStr">
        <is>
          <t>output/v8/F5/atribucion_combinada.csv</t>
        </is>
      </c>
      <c r="U117" s="2">
        <f>IF(R117=0,"",F117/R117)</f>
        <v/>
      </c>
      <c r="V117" s="2">
        <f>SUMIFS(F$2:F$1589,A$2:A$1589,A117,C$2:C$1589,C117,E$2:E$1589,E117,Q$2:Q$1589,Q117)</f>
        <v/>
      </c>
    </row>
    <row r="118">
      <c r="A118" s="3" t="inlineStr">
        <is>
          <t>alquiler</t>
        </is>
      </c>
      <c r="B118" s="3" t="inlineStr">
        <is>
          <t>nacional</t>
        </is>
      </c>
      <c r="C118" s="3" t="inlineStr">
        <is>
          <t>P1</t>
        </is>
      </c>
      <c r="D118" s="3" t="inlineStr">
        <is>
          <t>turismo</t>
        </is>
      </c>
      <c r="E118" s="3" t="inlineStr">
        <is>
          <t>dominancia</t>
        </is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inlineStr">
        <is>
          <t>C4</t>
        </is>
      </c>
      <c r="O118" s="3" t="inlineStr">
        <is>
          <t>si</t>
        </is>
      </c>
      <c r="P118" s="3" t="inlineStr">
        <is>
          <t>no</t>
        </is>
      </c>
      <c r="Q118" s="3" t="inlineStr">
        <is>
          <t>interanual_ipc_ipc_alquiler</t>
        </is>
      </c>
      <c r="R118" s="3" t="n"/>
      <c r="S118" s="3" t="inlineStr">
        <is>
          <t>cuota LMG x R2 x dY (asociacion; no causal)</t>
        </is>
      </c>
      <c r="T118" s="3" t="inlineStr">
        <is>
          <t>output/v8/F5/atribucion_combinada.csv</t>
        </is>
      </c>
      <c r="U118" s="2">
        <f>IF(R118=0,"",F118/R118)</f>
        <v/>
      </c>
      <c r="V118" s="2">
        <f>SUMIFS(F$2:F$1589,A$2:A$1589,A118,C$2:C$1589,C118,E$2:E$1589,E118,Q$2:Q$1589,Q118)</f>
        <v/>
      </c>
    </row>
    <row r="119">
      <c r="A119" s="3" t="inlineStr">
        <is>
          <t>alquiler</t>
        </is>
      </c>
      <c r="B119" s="3" t="inlineStr">
        <is>
          <t>nacional</t>
        </is>
      </c>
      <c r="C119" s="3" t="inlineStr">
        <is>
          <t>P2</t>
        </is>
      </c>
      <c r="D119" s="3" t="inlineStr">
        <is>
          <t>demografia</t>
        </is>
      </c>
      <c r="E119" s="3" t="inlineStr">
        <is>
          <t>dominancia</t>
        </is>
      </c>
      <c r="F119" s="3" t="n">
        <v>-0.703247</v>
      </c>
      <c r="G119" s="3" t="n"/>
      <c r="H119" s="3" t="n"/>
      <c r="I119" s="3" t="n">
        <v>0.260185</v>
      </c>
      <c r="J119" s="3" t="n">
        <v>-0.885433</v>
      </c>
      <c r="K119" s="3" t="n">
        <v>-0.521095</v>
      </c>
      <c r="L119" s="3" t="n">
        <v>-1.06332</v>
      </c>
      <c r="M119" s="3" t="n">
        <v>-0.408886</v>
      </c>
      <c r="N119" s="3" t="inlineStr">
        <is>
          <t>C4</t>
        </is>
      </c>
      <c r="O119" s="3" t="inlineStr">
        <is>
          <t>si</t>
        </is>
      </c>
      <c r="P119" s="3" t="inlineStr">
        <is>
          <t>no</t>
        </is>
      </c>
      <c r="Q119" s="3" t="inlineStr">
        <is>
          <t>interanual_ipc_ipc_alquiler</t>
        </is>
      </c>
      <c r="R119" s="3" t="n">
        <v>-2.70287</v>
      </c>
      <c r="S119" s="3" t="inlineStr">
        <is>
          <t>cuota LMG x R2 x dY (asociacion; no causal)</t>
        </is>
      </c>
      <c r="T119" s="3" t="inlineStr">
        <is>
          <t>output/v8/F5/atribucion_combinada.csv</t>
        </is>
      </c>
      <c r="U119" s="2">
        <f>IF(R119=0,"",F119/R119)</f>
        <v/>
      </c>
      <c r="V119" s="2">
        <f>SUMIFS(F$2:F$1589,A$2:A$1589,A119,C$2:C$1589,C119,E$2:E$1589,E119,Q$2:Q$1589,Q119)</f>
        <v/>
      </c>
    </row>
    <row r="120">
      <c r="A120" s="3" t="inlineStr">
        <is>
          <t>alquiler</t>
        </is>
      </c>
      <c r="B120" s="3" t="inlineStr">
        <is>
          <t>nacional</t>
        </is>
      </c>
      <c r="C120" s="3" t="inlineStr">
        <is>
          <t>P2</t>
        </is>
      </c>
      <c r="D120" s="3" t="inlineStr">
        <is>
          <t>empleo_renta</t>
        </is>
      </c>
      <c r="E120" s="3" t="inlineStr">
        <is>
          <t>dominancia</t>
        </is>
      </c>
      <c r="F120" s="3" t="n">
        <v>-0.253536</v>
      </c>
      <c r="G120" s="3" t="n"/>
      <c r="H120" s="3" t="n"/>
      <c r="I120" s="3" t="n">
        <v>0.0938025</v>
      </c>
      <c r="J120" s="3" t="n">
        <v>-0.387505</v>
      </c>
      <c r="K120" s="3" t="n">
        <v>-0.09869849999999999</v>
      </c>
      <c r="L120" s="3" t="n">
        <v>-0.431982</v>
      </c>
      <c r="M120" s="3" t="n">
        <v>-0.0036342</v>
      </c>
      <c r="N120" s="3" t="inlineStr">
        <is>
          <t>C4</t>
        </is>
      </c>
      <c r="O120" s="3" t="inlineStr">
        <is>
          <t>si</t>
        </is>
      </c>
      <c r="P120" s="3" t="inlineStr">
        <is>
          <t>si</t>
        </is>
      </c>
      <c r="Q120" s="3" t="inlineStr">
        <is>
          <t>interanual_ipc_ipc_alquiler</t>
        </is>
      </c>
      <c r="R120" s="3" t="n">
        <v>-2.70287</v>
      </c>
      <c r="S120" s="3" t="inlineStr">
        <is>
          <t>cuota LMG x R2 x dY (asociacion; no causal)</t>
        </is>
      </c>
      <c r="T120" s="3" t="inlineStr">
        <is>
          <t>output/v8/F5/atribucion_combinada.csv</t>
        </is>
      </c>
      <c r="U120" s="2">
        <f>IF(R120=0,"",F120/R120)</f>
        <v/>
      </c>
      <c r="V120" s="2">
        <f>SUMIFS(F$2:F$1589,A$2:A$1589,A120,C$2:C$1589,C120,E$2:E$1589,E120,Q$2:Q$1589,Q120)</f>
        <v/>
      </c>
    </row>
    <row r="121">
      <c r="A121" s="3" t="inlineStr">
        <is>
          <t>alquiler</t>
        </is>
      </c>
      <c r="B121" s="3" t="inlineStr">
        <is>
          <t>nacional</t>
        </is>
      </c>
      <c r="C121" s="3" t="inlineStr">
        <is>
          <t>P2</t>
        </is>
      </c>
      <c r="D121" s="3" t="inlineStr">
        <is>
          <t>credito_tipos</t>
        </is>
      </c>
      <c r="E121" s="3" t="inlineStr">
        <is>
          <t>dominancia</t>
        </is>
      </c>
      <c r="F121" s="3" t="n">
        <v>-1.21733</v>
      </c>
      <c r="G121" s="3" t="n"/>
      <c r="H121" s="3" t="n"/>
      <c r="I121" s="3" t="n">
        <v>0.450384</v>
      </c>
      <c r="J121" s="3" t="n">
        <v>-1.5185</v>
      </c>
      <c r="K121" s="3" t="n">
        <v>-1.19683</v>
      </c>
      <c r="L121" s="3" t="n">
        <v>-1.61019</v>
      </c>
      <c r="M121" s="3" t="n">
        <v>-1.01083</v>
      </c>
      <c r="N121" s="3" t="inlineStr">
        <is>
          <t>C4</t>
        </is>
      </c>
      <c r="O121" s="3" t="inlineStr">
        <is>
          <t>si</t>
        </is>
      </c>
      <c r="P121" s="3" t="inlineStr">
        <is>
          <t>no</t>
        </is>
      </c>
      <c r="Q121" s="3" t="inlineStr">
        <is>
          <t>interanual_ipc_ipc_alquiler</t>
        </is>
      </c>
      <c r="R121" s="3" t="n">
        <v>-2.70287</v>
      </c>
      <c r="S121" s="3" t="inlineStr">
        <is>
          <t>cuota LMG x R2 x dY (asociacion; no causal)</t>
        </is>
      </c>
      <c r="T121" s="3" t="inlineStr">
        <is>
          <t>output/v8/F5/atribucion_combinada.csv</t>
        </is>
      </c>
      <c r="U121" s="2">
        <f>IF(R121=0,"",F121/R121)</f>
        <v/>
      </c>
      <c r="V121" s="2">
        <f>SUMIFS(F$2:F$1589,A$2:A$1589,A121,C$2:C$1589,C121,E$2:E$1589,E121,Q$2:Q$1589,Q121)</f>
        <v/>
      </c>
    </row>
    <row r="122">
      <c r="A122" s="3" t="inlineStr">
        <is>
          <t>alquiler</t>
        </is>
      </c>
      <c r="B122" s="3" t="inlineStr">
        <is>
          <t>nacional</t>
        </is>
      </c>
      <c r="C122" s="3" t="inlineStr">
        <is>
          <t>P2</t>
        </is>
      </c>
      <c r="D122" s="3" t="inlineStr">
        <is>
          <t>oferta</t>
        </is>
      </c>
      <c r="E122" s="3" t="inlineStr">
        <is>
          <t>dominancia</t>
        </is>
      </c>
      <c r="F122" s="3" t="n">
        <v>-0.0424933</v>
      </c>
      <c r="G122" s="3" t="n"/>
      <c r="H122" s="3" t="n"/>
      <c r="I122" s="3" t="n">
        <v>0.0157216</v>
      </c>
      <c r="J122" s="3" t="n">
        <v>-0.0584992</v>
      </c>
      <c r="K122" s="3" t="n">
        <v>-0</v>
      </c>
      <c r="L122" s="3" t="n">
        <v>-0.0700852</v>
      </c>
      <c r="M122" s="3" t="n">
        <v>-0</v>
      </c>
      <c r="N122" s="3" t="inlineStr">
        <is>
          <t>C4</t>
        </is>
      </c>
      <c r="O122" s="3" t="inlineStr">
        <is>
          <t>si</t>
        </is>
      </c>
      <c r="P122" s="3" t="inlineStr">
        <is>
          <t>no</t>
        </is>
      </c>
      <c r="Q122" s="3" t="inlineStr">
        <is>
          <t>interanual_ipc_ipc_alquiler</t>
        </is>
      </c>
      <c r="R122" s="3" t="n">
        <v>-2.70287</v>
      </c>
      <c r="S122" s="3" t="inlineStr">
        <is>
          <t>cuota LMG x R2 x dY (asociacion; no causal)</t>
        </is>
      </c>
      <c r="T122" s="3" t="inlineStr">
        <is>
          <t>output/v8/F5/atribucion_combinada.csv</t>
        </is>
      </c>
      <c r="U122" s="2">
        <f>IF(R122=0,"",F122/R122)</f>
        <v/>
      </c>
      <c r="V122" s="2">
        <f>SUMIFS(F$2:F$1589,A$2:A$1589,A122,C$2:C$1589,C122,E$2:E$1589,E122,Q$2:Q$1589,Q122)</f>
        <v/>
      </c>
    </row>
    <row r="123">
      <c r="A123" s="3" t="inlineStr">
        <is>
          <t>alquiler</t>
        </is>
      </c>
      <c r="B123" s="3" t="inlineStr">
        <is>
          <t>nacional</t>
        </is>
      </c>
      <c r="C123" s="3" t="inlineStr">
        <is>
          <t>P2</t>
        </is>
      </c>
      <c r="D123" s="3" t="inlineStr">
        <is>
          <t>demanda_externa</t>
        </is>
      </c>
      <c r="E123" s="3" t="inlineStr">
        <is>
          <t>dominancia</t>
        </is>
      </c>
      <c r="F123" s="3" t="n">
        <v>-0.265716</v>
      </c>
      <c r="G123" s="3" t="n"/>
      <c r="H123" s="3" t="n"/>
      <c r="I123" s="3" t="n">
        <v>0.09830899999999999</v>
      </c>
      <c r="J123" s="3" t="n">
        <v>-0.416426</v>
      </c>
      <c r="K123" s="3" t="n">
        <v>-0.107614</v>
      </c>
      <c r="L123" s="3" t="n">
        <v>-0.475851</v>
      </c>
      <c r="M123" s="3" t="n">
        <v>-0.0430746</v>
      </c>
      <c r="N123" s="3" t="inlineStr">
        <is>
          <t>C4</t>
        </is>
      </c>
      <c r="O123" s="3" t="inlineStr">
        <is>
          <t>si</t>
        </is>
      </c>
      <c r="P123" s="3" t="inlineStr">
        <is>
          <t>no</t>
        </is>
      </c>
      <c r="Q123" s="3" t="inlineStr">
        <is>
          <t>interanual_ipc_ipc_alquiler</t>
        </is>
      </c>
      <c r="R123" s="3" t="n">
        <v>-2.70287</v>
      </c>
      <c r="S123" s="3" t="inlineStr">
        <is>
          <t>cuota LMG x R2 x dY (asociacion; no causal)</t>
        </is>
      </c>
      <c r="T123" s="3" t="inlineStr">
        <is>
          <t>output/v8/F5/atribucion_combinada.csv</t>
        </is>
      </c>
      <c r="U123" s="2">
        <f>IF(R123=0,"",F123/R123)</f>
        <v/>
      </c>
      <c r="V123" s="2">
        <f>SUMIFS(F$2:F$1589,A$2:A$1589,A123,C$2:C$1589,C123,E$2:E$1589,E123,Q$2:Q$1589,Q123)</f>
        <v/>
      </c>
    </row>
    <row r="124">
      <c r="A124" s="3" t="inlineStr">
        <is>
          <t>alquiler</t>
        </is>
      </c>
      <c r="B124" s="3" t="inlineStr">
        <is>
          <t>nacional</t>
        </is>
      </c>
      <c r="C124" s="3" t="inlineStr">
        <is>
          <t>P2</t>
        </is>
      </c>
      <c r="D124" s="3" t="inlineStr">
        <is>
          <t>factor_europeo</t>
        </is>
      </c>
      <c r="E124" s="3" t="inlineStr">
        <is>
          <t>dominancia</t>
        </is>
      </c>
      <c r="F124" s="3" t="n">
        <v>-0.0884862</v>
      </c>
      <c r="G124" s="3" t="n"/>
      <c r="H124" s="3" t="n"/>
      <c r="I124" s="3" t="n">
        <v>0.0327379</v>
      </c>
      <c r="J124" s="3" t="n">
        <v>-0.0938367</v>
      </c>
      <c r="K124" s="3" t="n">
        <v>-0</v>
      </c>
      <c r="L124" s="3" t="n">
        <v>-0.110701</v>
      </c>
      <c r="M124" s="3" t="n">
        <v>-0</v>
      </c>
      <c r="N124" s="3" t="inlineStr">
        <is>
          <t>C4</t>
        </is>
      </c>
      <c r="O124" s="3" t="inlineStr">
        <is>
          <t>si</t>
        </is>
      </c>
      <c r="P124" s="3" t="inlineStr">
        <is>
          <t>no</t>
        </is>
      </c>
      <c r="Q124" s="3" t="inlineStr">
        <is>
          <t>interanual_ipc_ipc_alquiler</t>
        </is>
      </c>
      <c r="R124" s="3" t="n">
        <v>-2.70287</v>
      </c>
      <c r="S124" s="3" t="inlineStr">
        <is>
          <t>cuota LMG x R2 x dY (asociacion; no causal)</t>
        </is>
      </c>
      <c r="T124" s="3" t="inlineStr">
        <is>
          <t>output/v8/F5/atribucion_combinada.csv</t>
        </is>
      </c>
      <c r="U124" s="2">
        <f>IF(R124=0,"",F124/R124)</f>
        <v/>
      </c>
      <c r="V124" s="2">
        <f>SUMIFS(F$2:F$1589,A$2:A$1589,A124,C$2:C$1589,C124,E$2:E$1589,E124,Q$2:Q$1589,Q124)</f>
        <v/>
      </c>
    </row>
    <row r="125">
      <c r="A125" s="3" t="inlineStr">
        <is>
          <t>alquiler</t>
        </is>
      </c>
      <c r="B125" s="3" t="inlineStr">
        <is>
          <t>nacional</t>
        </is>
      </c>
      <c r="C125" s="3" t="inlineStr">
        <is>
          <t>P2</t>
        </is>
      </c>
      <c r="D125" s="3" t="inlineStr">
        <is>
          <t>residuo</t>
        </is>
      </c>
      <c r="E125" s="3" t="inlineStr">
        <is>
          <t>dominancia</t>
        </is>
      </c>
      <c r="F125" s="3" t="n">
        <v>-0.132062</v>
      </c>
      <c r="G125" s="3" t="n"/>
      <c r="H125" s="3" t="n"/>
      <c r="I125" s="3" t="n">
        <v>0.0488599</v>
      </c>
      <c r="J125" s="3" t="n">
        <v>-0.225996</v>
      </c>
      <c r="K125" s="3" t="n">
        <v>-0.117976</v>
      </c>
      <c r="L125" s="3" t="n">
        <v>-0.244149</v>
      </c>
      <c r="M125" s="3" t="n">
        <v>-0.0305394</v>
      </c>
      <c r="N125" s="3" t="inlineStr">
        <is>
          <t>C4</t>
        </is>
      </c>
      <c r="O125" s="3" t="inlineStr">
        <is>
          <t>no</t>
        </is>
      </c>
      <c r="P125" s="3" t="inlineStr">
        <is>
          <t>no_compite</t>
        </is>
      </c>
      <c r="Q125" s="3" t="inlineStr">
        <is>
          <t>interanual_ipc_ipc_alquiler</t>
        </is>
      </c>
      <c r="R125" s="3" t="n">
        <v>-2.70287</v>
      </c>
      <c r="S125" s="3" t="inlineStr">
        <is>
          <t>cuota LMG x R2 x dY (asociacion; no causal)</t>
        </is>
      </c>
      <c r="T125" s="3" t="inlineStr">
        <is>
          <t>output/v8/F5/atribucion_combinada.csv</t>
        </is>
      </c>
      <c r="U125" s="2">
        <f>IF(R125=0,"",F125/R125)</f>
        <v/>
      </c>
      <c r="V125" s="2">
        <f>SUMIFS(F$2:F$1589,A$2:A$1589,A125,C$2:C$1589,C125,E$2:E$1589,E125,Q$2:Q$1589,Q125)</f>
        <v/>
      </c>
    </row>
    <row r="126">
      <c r="A126" s="3" t="inlineStr">
        <is>
          <t>alquiler</t>
        </is>
      </c>
      <c r="B126" s="3" t="inlineStr">
        <is>
          <t>nacional</t>
        </is>
      </c>
      <c r="C126" s="3" t="inlineStr">
        <is>
          <t>P2</t>
        </is>
      </c>
      <c r="D126" s="3" t="inlineStr">
        <is>
          <t>turismo</t>
        </is>
      </c>
      <c r="E126" s="3" t="inlineStr">
        <is>
          <t>dominancia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inlineStr">
        <is>
          <t>C4</t>
        </is>
      </c>
      <c r="O126" s="3" t="inlineStr">
        <is>
          <t>si</t>
        </is>
      </c>
      <c r="P126" s="3" t="inlineStr">
        <is>
          <t>no</t>
        </is>
      </c>
      <c r="Q126" s="3" t="inlineStr">
        <is>
          <t>interanual_ipc_ipc_alquiler</t>
        </is>
      </c>
      <c r="R126" s="3" t="n"/>
      <c r="S126" s="3" t="inlineStr">
        <is>
          <t>cuota LMG x R2 x dY (asociacion; no causal)</t>
        </is>
      </c>
      <c r="T126" s="3" t="inlineStr">
        <is>
          <t>output/v8/F5/atribucion_combinada.csv</t>
        </is>
      </c>
      <c r="U126" s="2">
        <f>IF(R126=0,"",F126/R126)</f>
        <v/>
      </c>
      <c r="V126" s="2">
        <f>SUMIFS(F$2:F$1589,A$2:A$1589,A126,C$2:C$1589,C126,E$2:E$1589,E126,Q$2:Q$1589,Q126)</f>
        <v/>
      </c>
    </row>
    <row r="127">
      <c r="A127" s="3" t="inlineStr">
        <is>
          <t>alquiler</t>
        </is>
      </c>
      <c r="B127" s="3" t="inlineStr">
        <is>
          <t>nacional</t>
        </is>
      </c>
      <c r="C127" s="3" t="inlineStr">
        <is>
          <t>P3</t>
        </is>
      </c>
      <c r="D127" s="3" t="inlineStr">
        <is>
          <t>demografia</t>
        </is>
      </c>
      <c r="E127" s="3" t="inlineStr">
        <is>
          <t>dominancia</t>
        </is>
      </c>
      <c r="F127" s="3" t="n">
        <v>-0.219599</v>
      </c>
      <c r="G127" s="3" t="n"/>
      <c r="H127" s="3" t="n"/>
      <c r="I127" s="3" t="n">
        <v>0.207299</v>
      </c>
      <c r="J127" s="3" t="n">
        <v>-0.30373</v>
      </c>
      <c r="K127" s="3" t="n">
        <v>-0.171871</v>
      </c>
      <c r="L127" s="3" t="n">
        <v>-0.326879</v>
      </c>
      <c r="M127" s="3" t="n">
        <v>-0.0880957</v>
      </c>
      <c r="N127" s="3" t="inlineStr">
        <is>
          <t>C4</t>
        </is>
      </c>
      <c r="O127" s="3" t="inlineStr">
        <is>
          <t>si</t>
        </is>
      </c>
      <c r="P127" s="3" t="inlineStr">
        <is>
          <t>no</t>
        </is>
      </c>
      <c r="Q127" s="3" t="inlineStr">
        <is>
          <t>interanual_ipc_ipc_alquiler</t>
        </is>
      </c>
      <c r="R127" s="3" t="n">
        <v>-1.05934</v>
      </c>
      <c r="S127" s="3" t="inlineStr">
        <is>
          <t>cuota LMG x R2 x dY (asociacion; no causal)</t>
        </is>
      </c>
      <c r="T127" s="3" t="inlineStr">
        <is>
          <t>output/v8/F5/atribucion_combinada.csv</t>
        </is>
      </c>
      <c r="U127" s="2">
        <f>IF(R127=0,"",F127/R127)</f>
        <v/>
      </c>
      <c r="V127" s="2">
        <f>SUMIFS(F$2:F$1589,A$2:A$1589,A127,C$2:C$1589,C127,E$2:E$1589,E127,Q$2:Q$1589,Q127)</f>
        <v/>
      </c>
    </row>
    <row r="128">
      <c r="A128" s="3" t="inlineStr">
        <is>
          <t>alquiler</t>
        </is>
      </c>
      <c r="B128" s="3" t="inlineStr">
        <is>
          <t>nacional</t>
        </is>
      </c>
      <c r="C128" s="3" t="inlineStr">
        <is>
          <t>P3</t>
        </is>
      </c>
      <c r="D128" s="3" t="inlineStr">
        <is>
          <t>empleo_renta</t>
        </is>
      </c>
      <c r="E128" s="3" t="inlineStr">
        <is>
          <t>dominancia</t>
        </is>
      </c>
      <c r="F128" s="3" t="n">
        <v>-0.0148626</v>
      </c>
      <c r="G128" s="3" t="n"/>
      <c r="H128" s="3" t="n"/>
      <c r="I128" s="3" t="n">
        <v>0.0140301</v>
      </c>
      <c r="J128" s="3" t="n">
        <v>-0</v>
      </c>
      <c r="K128" s="3" t="n">
        <v>-0</v>
      </c>
      <c r="L128" s="3" t="n">
        <v>-0.00941002</v>
      </c>
      <c r="M128" s="3" t="n">
        <v>-0</v>
      </c>
      <c r="N128" s="3" t="inlineStr">
        <is>
          <t>C4</t>
        </is>
      </c>
      <c r="O128" s="3" t="inlineStr">
        <is>
          <t>si</t>
        </is>
      </c>
      <c r="P128" s="3" t="inlineStr">
        <is>
          <t>no</t>
        </is>
      </c>
      <c r="Q128" s="3" t="inlineStr">
        <is>
          <t>interanual_ipc_ipc_alquiler</t>
        </is>
      </c>
      <c r="R128" s="3" t="n">
        <v>-1.05934</v>
      </c>
      <c r="S128" s="3" t="inlineStr">
        <is>
          <t>cuota LMG x R2 x dY (asociacion; no causal)</t>
        </is>
      </c>
      <c r="T128" s="3" t="inlineStr">
        <is>
          <t>output/v8/F5/atribucion_combinada.csv</t>
        </is>
      </c>
      <c r="U128" s="2">
        <f>IF(R128=0,"",F128/R128)</f>
        <v/>
      </c>
      <c r="V128" s="2">
        <f>SUMIFS(F$2:F$1589,A$2:A$1589,A128,C$2:C$1589,C128,E$2:E$1589,E128,Q$2:Q$1589,Q128)</f>
        <v/>
      </c>
    </row>
    <row r="129">
      <c r="A129" s="3" t="inlineStr">
        <is>
          <t>alquiler</t>
        </is>
      </c>
      <c r="B129" s="3" t="inlineStr">
        <is>
          <t>nacional</t>
        </is>
      </c>
      <c r="C129" s="3" t="inlineStr">
        <is>
          <t>P3</t>
        </is>
      </c>
      <c r="D129" s="3" t="inlineStr">
        <is>
          <t>credito_tipos</t>
        </is>
      </c>
      <c r="E129" s="3" t="inlineStr">
        <is>
          <t>dominancia</t>
        </is>
      </c>
      <c r="F129" s="3" t="n">
        <v>-0.5861960000000001</v>
      </c>
      <c r="G129" s="3" t="n"/>
      <c r="H129" s="3" t="n"/>
      <c r="I129" s="3" t="n">
        <v>0.553362</v>
      </c>
      <c r="J129" s="3" t="n">
        <v>-0.7439829999999999</v>
      </c>
      <c r="K129" s="3" t="n">
        <v>-0.571653</v>
      </c>
      <c r="L129" s="3" t="n">
        <v>-0.831474</v>
      </c>
      <c r="M129" s="3" t="n">
        <v>-0.537774</v>
      </c>
      <c r="N129" s="3" t="inlineStr">
        <is>
          <t>C4</t>
        </is>
      </c>
      <c r="O129" s="3" t="inlineStr">
        <is>
          <t>si</t>
        </is>
      </c>
      <c r="P129" s="3" t="inlineStr">
        <is>
          <t>no</t>
        </is>
      </c>
      <c r="Q129" s="3" t="inlineStr">
        <is>
          <t>interanual_ipc_ipc_alquiler</t>
        </is>
      </c>
      <c r="R129" s="3" t="n">
        <v>-1.05934</v>
      </c>
      <c r="S129" s="3" t="inlineStr">
        <is>
          <t>cuota LMG x R2 x dY (asociacion; no causal)</t>
        </is>
      </c>
      <c r="T129" s="3" t="inlineStr">
        <is>
          <t>output/v8/F5/atribucion_combinada.csv</t>
        </is>
      </c>
      <c r="U129" s="2">
        <f>IF(R129=0,"",F129/R129)</f>
        <v/>
      </c>
      <c r="V129" s="2">
        <f>SUMIFS(F$2:F$1589,A$2:A$1589,A129,C$2:C$1589,C129,E$2:E$1589,E129,Q$2:Q$1589,Q129)</f>
        <v/>
      </c>
    </row>
    <row r="130">
      <c r="A130" s="3" t="inlineStr">
        <is>
          <t>alquiler</t>
        </is>
      </c>
      <c r="B130" s="3" t="inlineStr">
        <is>
          <t>nacional</t>
        </is>
      </c>
      <c r="C130" s="3" t="inlineStr">
        <is>
          <t>P3</t>
        </is>
      </c>
      <c r="D130" s="3" t="inlineStr">
        <is>
          <t>oferta</t>
        </is>
      </c>
      <c r="E130" s="3" t="inlineStr">
        <is>
          <t>dominancia</t>
        </is>
      </c>
      <c r="F130" s="3" t="n">
        <v>-0.0468878</v>
      </c>
      <c r="G130" s="3" t="n"/>
      <c r="H130" s="3" t="n"/>
      <c r="I130" s="3" t="n">
        <v>0.0442615</v>
      </c>
      <c r="J130" s="3" t="n">
        <v>-0.0486583</v>
      </c>
      <c r="K130" s="3" t="n">
        <v>-0</v>
      </c>
      <c r="L130" s="3" t="n">
        <v>-0.06281009999999999</v>
      </c>
      <c r="M130" s="3" t="n">
        <v>-0</v>
      </c>
      <c r="N130" s="3" t="inlineStr">
        <is>
          <t>C4</t>
        </is>
      </c>
      <c r="O130" s="3" t="inlineStr">
        <is>
          <t>si</t>
        </is>
      </c>
      <c r="P130" s="3" t="inlineStr">
        <is>
          <t>no</t>
        </is>
      </c>
      <c r="Q130" s="3" t="inlineStr">
        <is>
          <t>interanual_ipc_ipc_alquiler</t>
        </is>
      </c>
      <c r="R130" s="3" t="n">
        <v>-1.05934</v>
      </c>
      <c r="S130" s="3" t="inlineStr">
        <is>
          <t>cuota LMG x R2 x dY (asociacion; no causal)</t>
        </is>
      </c>
      <c r="T130" s="3" t="inlineStr">
        <is>
          <t>output/v8/F5/atribucion_combinada.csv</t>
        </is>
      </c>
      <c r="U130" s="2">
        <f>IF(R130=0,"",F130/R130)</f>
        <v/>
      </c>
      <c r="V130" s="2">
        <f>SUMIFS(F$2:F$1589,A$2:A$1589,A130,C$2:C$1589,C130,E$2:E$1589,E130,Q$2:Q$1589,Q130)</f>
        <v/>
      </c>
    </row>
    <row r="131">
      <c r="A131" s="3" t="inlineStr">
        <is>
          <t>alquiler</t>
        </is>
      </c>
      <c r="B131" s="3" t="inlineStr">
        <is>
          <t>nacional</t>
        </is>
      </c>
      <c r="C131" s="3" t="inlineStr">
        <is>
          <t>P3</t>
        </is>
      </c>
      <c r="D131" s="3" t="inlineStr">
        <is>
          <t>demanda_externa</t>
        </is>
      </c>
      <c r="E131" s="3" t="inlineStr">
        <is>
          <t>dominancia</t>
        </is>
      </c>
      <c r="F131" s="3" t="n">
        <v>-0.0815521</v>
      </c>
      <c r="G131" s="3" t="n"/>
      <c r="H131" s="3" t="n"/>
      <c r="I131" s="3" t="n">
        <v>0.0769842</v>
      </c>
      <c r="J131" s="3" t="n">
        <v>-0.137142</v>
      </c>
      <c r="K131" s="3" t="n">
        <v>-0.0500349</v>
      </c>
      <c r="L131" s="3" t="n">
        <v>-0.149793</v>
      </c>
      <c r="M131" s="3" t="n">
        <v>-0.0177286</v>
      </c>
      <c r="N131" s="3" t="inlineStr">
        <is>
          <t>C4</t>
        </is>
      </c>
      <c r="O131" s="3" t="inlineStr">
        <is>
          <t>si</t>
        </is>
      </c>
      <c r="P131" s="3" t="inlineStr">
        <is>
          <t>si</t>
        </is>
      </c>
      <c r="Q131" s="3" t="inlineStr">
        <is>
          <t>interanual_ipc_ipc_alquiler</t>
        </is>
      </c>
      <c r="R131" s="3" t="n">
        <v>-1.05934</v>
      </c>
      <c r="S131" s="3" t="inlineStr">
        <is>
          <t>cuota LMG x R2 x dY (asociacion; no causal)</t>
        </is>
      </c>
      <c r="T131" s="3" t="inlineStr">
        <is>
          <t>output/v8/F5/atribucion_combinada.csv</t>
        </is>
      </c>
      <c r="U131" s="2">
        <f>IF(R131=0,"",F131/R131)</f>
        <v/>
      </c>
      <c r="V131" s="2">
        <f>SUMIFS(F$2:F$1589,A$2:A$1589,A131,C$2:C$1589,C131,E$2:E$1589,E131,Q$2:Q$1589,Q131)</f>
        <v/>
      </c>
    </row>
    <row r="132">
      <c r="A132" s="3" t="inlineStr">
        <is>
          <t>alquiler</t>
        </is>
      </c>
      <c r="B132" s="3" t="inlineStr">
        <is>
          <t>nacional</t>
        </is>
      </c>
      <c r="C132" s="3" t="inlineStr">
        <is>
          <t>P3</t>
        </is>
      </c>
      <c r="D132" s="3" t="inlineStr">
        <is>
          <t>factor_europeo</t>
        </is>
      </c>
      <c r="E132" s="3" t="inlineStr">
        <is>
          <t>dominancia</t>
        </is>
      </c>
      <c r="F132" s="3" t="n">
        <v>-0.0619771</v>
      </c>
      <c r="G132" s="3" t="n"/>
      <c r="H132" s="3" t="n"/>
      <c r="I132" s="3" t="n">
        <v>0.0585056</v>
      </c>
      <c r="J132" s="3" t="n">
        <v>-0.0903746</v>
      </c>
      <c r="K132" s="3" t="n">
        <v>-0.0052684</v>
      </c>
      <c r="L132" s="3" t="n">
        <v>-0.102308</v>
      </c>
      <c r="M132" s="3" t="n">
        <v>-0</v>
      </c>
      <c r="N132" s="3" t="inlineStr">
        <is>
          <t>C4</t>
        </is>
      </c>
      <c r="O132" s="3" t="inlineStr">
        <is>
          <t>si</t>
        </is>
      </c>
      <c r="P132" s="3" t="inlineStr">
        <is>
          <t>no</t>
        </is>
      </c>
      <c r="Q132" s="3" t="inlineStr">
        <is>
          <t>interanual_ipc_ipc_alquiler</t>
        </is>
      </c>
      <c r="R132" s="3" t="n">
        <v>-1.05934</v>
      </c>
      <c r="S132" s="3" t="inlineStr">
        <is>
          <t>cuota LMG x R2 x dY (asociacion; no causal)</t>
        </is>
      </c>
      <c r="T132" s="3" t="inlineStr">
        <is>
          <t>output/v8/F5/atribucion_combinada.csv</t>
        </is>
      </c>
      <c r="U132" s="2">
        <f>IF(R132=0,"",F132/R132)</f>
        <v/>
      </c>
      <c r="V132" s="2">
        <f>SUMIFS(F$2:F$1589,A$2:A$1589,A132,C$2:C$1589,C132,E$2:E$1589,E132,Q$2:Q$1589,Q132)</f>
        <v/>
      </c>
    </row>
    <row r="133">
      <c r="A133" s="3" t="inlineStr">
        <is>
          <t>alquiler</t>
        </is>
      </c>
      <c r="B133" s="3" t="inlineStr">
        <is>
          <t>nacional</t>
        </is>
      </c>
      <c r="C133" s="3" t="inlineStr">
        <is>
          <t>P3</t>
        </is>
      </c>
      <c r="D133" s="3" t="inlineStr">
        <is>
          <t>residuo</t>
        </is>
      </c>
      <c r="E133" s="3" t="inlineStr">
        <is>
          <t>dominancia</t>
        </is>
      </c>
      <c r="F133" s="3" t="n">
        <v>-0.0482601</v>
      </c>
      <c r="G133" s="3" t="n"/>
      <c r="H133" s="3" t="n"/>
      <c r="I133" s="3" t="n">
        <v>0.045557</v>
      </c>
      <c r="J133" s="3" t="n">
        <v>-0.08873250000000001</v>
      </c>
      <c r="K133" s="3" t="n">
        <v>-0.0613609</v>
      </c>
      <c r="L133" s="3" t="n">
        <v>-0.0936333</v>
      </c>
      <c r="M133" s="3" t="n">
        <v>-0.0547281</v>
      </c>
      <c r="N133" s="3" t="inlineStr">
        <is>
          <t>C4</t>
        </is>
      </c>
      <c r="O133" s="3" t="inlineStr">
        <is>
          <t>no</t>
        </is>
      </c>
      <c r="P133" s="3" t="inlineStr">
        <is>
          <t>no_compite</t>
        </is>
      </c>
      <c r="Q133" s="3" t="inlineStr">
        <is>
          <t>interanual_ipc_ipc_alquiler</t>
        </is>
      </c>
      <c r="R133" s="3" t="n">
        <v>-1.05934</v>
      </c>
      <c r="S133" s="3" t="inlineStr">
        <is>
          <t>cuota LMG x R2 x dY (asociacion; no causal)</t>
        </is>
      </c>
      <c r="T133" s="3" t="inlineStr">
        <is>
          <t>output/v8/F5/atribucion_combinada.csv</t>
        </is>
      </c>
      <c r="U133" s="2">
        <f>IF(R133=0,"",F133/R133)</f>
        <v/>
      </c>
      <c r="V133" s="2">
        <f>SUMIFS(F$2:F$1589,A$2:A$1589,A133,C$2:C$1589,C133,E$2:E$1589,E133,Q$2:Q$1589,Q133)</f>
        <v/>
      </c>
    </row>
    <row r="134">
      <c r="A134" s="3" t="inlineStr">
        <is>
          <t>alquiler</t>
        </is>
      </c>
      <c r="B134" s="3" t="inlineStr">
        <is>
          <t>nacional</t>
        </is>
      </c>
      <c r="C134" s="3" t="inlineStr">
        <is>
          <t>P3</t>
        </is>
      </c>
      <c r="D134" s="3" t="inlineStr">
        <is>
          <t>turismo</t>
        </is>
      </c>
      <c r="E134" s="3" t="inlineStr">
        <is>
          <t>dominancia</t>
        </is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inlineStr">
        <is>
          <t>C4</t>
        </is>
      </c>
      <c r="O134" s="3" t="inlineStr">
        <is>
          <t>si</t>
        </is>
      </c>
      <c r="P134" s="3" t="inlineStr">
        <is>
          <t>no</t>
        </is>
      </c>
      <c r="Q134" s="3" t="inlineStr">
        <is>
          <t>interanual_ipc_ipc_alquiler</t>
        </is>
      </c>
      <c r="R134" s="3" t="n"/>
      <c r="S134" s="3" t="inlineStr">
        <is>
          <t>cuota LMG x R2 x dY (asociacion; no causal)</t>
        </is>
      </c>
      <c r="T134" s="3" t="inlineStr">
        <is>
          <t>output/v8/F5/atribucion_combinada.csv</t>
        </is>
      </c>
      <c r="U134" s="2">
        <f>IF(R134=0,"",F134/R134)</f>
        <v/>
      </c>
      <c r="V134" s="2">
        <f>SUMIFS(F$2:F$1589,A$2:A$1589,A134,C$2:C$1589,C134,E$2:E$1589,E134,Q$2:Q$1589,Q134)</f>
        <v/>
      </c>
    </row>
    <row r="135">
      <c r="A135" s="3" t="inlineStr">
        <is>
          <t>alquiler</t>
        </is>
      </c>
      <c r="B135" s="3" t="inlineStr">
        <is>
          <t>nacional</t>
        </is>
      </c>
      <c r="C135" s="3" t="inlineStr">
        <is>
          <t>P4</t>
        </is>
      </c>
      <c r="D135" s="3" t="inlineStr">
        <is>
          <t>demografia</t>
        </is>
      </c>
      <c r="E135" s="3" t="inlineStr">
        <is>
          <t>dominancia</t>
        </is>
      </c>
      <c r="F135" s="3" t="n">
        <v>-0.485661</v>
      </c>
      <c r="G135" s="3" t="n"/>
      <c r="H135" s="3" t="n"/>
      <c r="I135" s="3" t="n">
        <v>0.0519808</v>
      </c>
      <c r="J135" s="3" t="n">
        <v>-0.590157</v>
      </c>
      <c r="K135" s="3" t="n">
        <v>-0</v>
      </c>
      <c r="L135" s="3" t="n">
        <v>-0.78952</v>
      </c>
      <c r="M135" s="3" t="n">
        <v>-0</v>
      </c>
      <c r="N135" s="3" t="inlineStr">
        <is>
          <t>C4</t>
        </is>
      </c>
      <c r="O135" s="3" t="inlineStr">
        <is>
          <t>si</t>
        </is>
      </c>
      <c r="P135" s="3" t="inlineStr">
        <is>
          <t>no</t>
        </is>
      </c>
      <c r="Q135" s="3" t="inlineStr">
        <is>
          <t>interanual_ipc_ipc_alquiler</t>
        </is>
      </c>
      <c r="R135" s="3" t="n">
        <v>-9.34309</v>
      </c>
      <c r="S135" s="3" t="inlineStr">
        <is>
          <t>cuota LMG x R2 x dY (asociacion; no causal)</t>
        </is>
      </c>
      <c r="T135" s="3" t="inlineStr">
        <is>
          <t>output/v8/F5/atribucion_combinada.csv</t>
        </is>
      </c>
      <c r="U135" s="2">
        <f>IF(R135=0,"",F135/R135)</f>
        <v/>
      </c>
      <c r="V135" s="2">
        <f>SUMIFS(F$2:F$1589,A$2:A$1589,A135,C$2:C$1589,C135,E$2:E$1589,E135,Q$2:Q$1589,Q135)</f>
        <v/>
      </c>
    </row>
    <row r="136">
      <c r="A136" s="3" t="inlineStr">
        <is>
          <t>alquiler</t>
        </is>
      </c>
      <c r="B136" s="3" t="inlineStr">
        <is>
          <t>nacional</t>
        </is>
      </c>
      <c r="C136" s="3" t="inlineStr">
        <is>
          <t>P4</t>
        </is>
      </c>
      <c r="D136" s="3" t="inlineStr">
        <is>
          <t>empleo_renta</t>
        </is>
      </c>
      <c r="E136" s="3" t="inlineStr">
        <is>
          <t>dominancia</t>
        </is>
      </c>
      <c r="F136" s="3" t="n">
        <v>-2.29553</v>
      </c>
      <c r="G136" s="3" t="n"/>
      <c r="H136" s="3" t="n"/>
      <c r="I136" s="3" t="n">
        <v>0.245692</v>
      </c>
      <c r="J136" s="3" t="n">
        <v>-3.67313</v>
      </c>
      <c r="K136" s="3" t="n">
        <v>-2.13448</v>
      </c>
      <c r="L136" s="3" t="n">
        <v>-4.3423</v>
      </c>
      <c r="M136" s="3" t="n">
        <v>-1.27627</v>
      </c>
      <c r="N136" s="3" t="inlineStr">
        <is>
          <t>C4</t>
        </is>
      </c>
      <c r="O136" s="3" t="inlineStr">
        <is>
          <t>si</t>
        </is>
      </c>
      <c r="P136" s="3" t="inlineStr">
        <is>
          <t>no</t>
        </is>
      </c>
      <c r="Q136" s="3" t="inlineStr">
        <is>
          <t>interanual_ipc_ipc_alquiler</t>
        </is>
      </c>
      <c r="R136" s="3" t="n">
        <v>-9.34309</v>
      </c>
      <c r="S136" s="3" t="inlineStr">
        <is>
          <t>cuota LMG x R2 x dY (asociacion; no causal)</t>
        </is>
      </c>
      <c r="T136" s="3" t="inlineStr">
        <is>
          <t>output/v8/F5/atribucion_combinada.csv</t>
        </is>
      </c>
      <c r="U136" s="2">
        <f>IF(R136=0,"",F136/R136)</f>
        <v/>
      </c>
      <c r="V136" s="2">
        <f>SUMIFS(F$2:F$1589,A$2:A$1589,A136,C$2:C$1589,C136,E$2:E$1589,E136,Q$2:Q$1589,Q136)</f>
        <v/>
      </c>
    </row>
    <row r="137">
      <c r="A137" s="3" t="inlineStr">
        <is>
          <t>alquiler</t>
        </is>
      </c>
      <c r="B137" s="3" t="inlineStr">
        <is>
          <t>nacional</t>
        </is>
      </c>
      <c r="C137" s="3" t="inlineStr">
        <is>
          <t>P4</t>
        </is>
      </c>
      <c r="D137" s="3" t="inlineStr">
        <is>
          <t>credito_tipos</t>
        </is>
      </c>
      <c r="E137" s="3" t="inlineStr">
        <is>
          <t>dominancia</t>
        </is>
      </c>
      <c r="F137" s="3" t="n">
        <v>-6.56052</v>
      </c>
      <c r="G137" s="3" t="n"/>
      <c r="H137" s="3" t="n"/>
      <c r="I137" s="3" t="n">
        <v>0.702178</v>
      </c>
      <c r="J137" s="3" t="n">
        <v>-8.68543</v>
      </c>
      <c r="K137" s="3" t="n">
        <v>-5.48755</v>
      </c>
      <c r="L137" s="3" t="n">
        <v>-9.19323</v>
      </c>
      <c r="M137" s="3" t="n">
        <v>-4.71527</v>
      </c>
      <c r="N137" s="3" t="inlineStr">
        <is>
          <t>C4</t>
        </is>
      </c>
      <c r="O137" s="3" t="inlineStr">
        <is>
          <t>si</t>
        </is>
      </c>
      <c r="P137" s="3" t="inlineStr">
        <is>
          <t>si</t>
        </is>
      </c>
      <c r="Q137" s="3" t="inlineStr">
        <is>
          <t>interanual_ipc_ipc_alquiler</t>
        </is>
      </c>
      <c r="R137" s="3" t="n">
        <v>-9.34309</v>
      </c>
      <c r="S137" s="3" t="inlineStr">
        <is>
          <t>cuota LMG x R2 x dY (asociacion; no causal)</t>
        </is>
      </c>
      <c r="T137" s="3" t="inlineStr">
        <is>
          <t>output/v8/F5/atribucion_combinada.csv</t>
        </is>
      </c>
      <c r="U137" s="2">
        <f>IF(R137=0,"",F137/R137)</f>
        <v/>
      </c>
      <c r="V137" s="2">
        <f>SUMIFS(F$2:F$1589,A$2:A$1589,A137,C$2:C$1589,C137,E$2:E$1589,E137,Q$2:Q$1589,Q137)</f>
        <v/>
      </c>
    </row>
    <row r="138">
      <c r="A138" s="3" t="inlineStr">
        <is>
          <t>alquiler</t>
        </is>
      </c>
      <c r="B138" s="3" t="inlineStr">
        <is>
          <t>nacional</t>
        </is>
      </c>
      <c r="C138" s="3" t="inlineStr">
        <is>
          <t>P4</t>
        </is>
      </c>
      <c r="D138" s="3" t="inlineStr">
        <is>
          <t>residuo</t>
        </is>
      </c>
      <c r="E138" s="3" t="inlineStr">
        <is>
          <t>dominancia</t>
        </is>
      </c>
      <c r="F138" s="3" t="n">
        <v>-0.00138849</v>
      </c>
      <c r="G138" s="3" t="n"/>
      <c r="H138" s="3" t="n"/>
      <c r="I138" s="3" t="n">
        <v>0.000148611</v>
      </c>
      <c r="J138" s="3" t="n">
        <v>-0.00270974</v>
      </c>
      <c r="K138" s="3" t="n">
        <v>-0.000810101</v>
      </c>
      <c r="L138" s="3" t="n">
        <v>-0.00277698</v>
      </c>
      <c r="M138" s="3" t="n">
        <v>-0.000112742</v>
      </c>
      <c r="N138" s="3" t="inlineStr">
        <is>
          <t>C4</t>
        </is>
      </c>
      <c r="O138" s="3" t="inlineStr">
        <is>
          <t>no</t>
        </is>
      </c>
      <c r="P138" s="3" t="inlineStr">
        <is>
          <t>no_compite</t>
        </is>
      </c>
      <c r="Q138" s="3" t="inlineStr">
        <is>
          <t>interanual_ipc_ipc_alquiler</t>
        </is>
      </c>
      <c r="R138" s="3" t="n">
        <v>-9.34309</v>
      </c>
      <c r="S138" s="3" t="inlineStr">
        <is>
          <t>cuota LMG x R2 x dY (asociacion; no causal)</t>
        </is>
      </c>
      <c r="T138" s="3" t="inlineStr">
        <is>
          <t>output/v8/F5/atribucion_combinada.csv</t>
        </is>
      </c>
      <c r="U138" s="2">
        <f>IF(R138=0,"",F138/R138)</f>
        <v/>
      </c>
      <c r="V138" s="2">
        <f>SUMIFS(F$2:F$1589,A$2:A$1589,A138,C$2:C$1589,C138,E$2:E$1589,E138,Q$2:Q$1589,Q138)</f>
        <v/>
      </c>
    </row>
    <row r="139">
      <c r="A139" s="3" t="inlineStr">
        <is>
          <t>alquiler</t>
        </is>
      </c>
      <c r="B139" s="3" t="inlineStr">
        <is>
          <t>nacional</t>
        </is>
      </c>
      <c r="C139" s="3" t="inlineStr">
        <is>
          <t>P4</t>
        </is>
      </c>
      <c r="D139" s="3" t="inlineStr">
        <is>
          <t>factor_europeo</t>
        </is>
      </c>
      <c r="E139" s="3" t="inlineStr">
        <is>
          <t>dominancia</t>
        </is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inlineStr">
        <is>
          <t>C4</t>
        </is>
      </c>
      <c r="O139" s="3" t="inlineStr">
        <is>
          <t>si</t>
        </is>
      </c>
      <c r="P139" s="3" t="inlineStr">
        <is>
          <t>no</t>
        </is>
      </c>
      <c r="Q139" s="3" t="inlineStr">
        <is>
          <t>interanual_ipc_ipc_alquiler</t>
        </is>
      </c>
      <c r="R139" s="3" t="n"/>
      <c r="S139" s="3" t="inlineStr">
        <is>
          <t>cuota LMG x R2 x dY (asociacion; no causal)</t>
        </is>
      </c>
      <c r="T139" s="3" t="inlineStr">
        <is>
          <t>output/v8/F5/atribucion_combinada.csv</t>
        </is>
      </c>
      <c r="U139" s="2">
        <f>IF(R139=0,"",F139/R139)</f>
        <v/>
      </c>
      <c r="V139" s="2">
        <f>SUMIFS(F$2:F$1589,A$2:A$1589,A139,C$2:C$1589,C139,E$2:E$1589,E139,Q$2:Q$1589,Q139)</f>
        <v/>
      </c>
    </row>
    <row r="140">
      <c r="A140" s="3" t="inlineStr">
        <is>
          <t>alquiler</t>
        </is>
      </c>
      <c r="B140" s="3" t="inlineStr">
        <is>
          <t>nacional</t>
        </is>
      </c>
      <c r="C140" s="3" t="inlineStr">
        <is>
          <t>P4</t>
        </is>
      </c>
      <c r="D140" s="3" t="inlineStr">
        <is>
          <t>turismo</t>
        </is>
      </c>
      <c r="E140" s="3" t="inlineStr">
        <is>
          <t>dominancia</t>
        </is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inlineStr">
        <is>
          <t>C4</t>
        </is>
      </c>
      <c r="O140" s="3" t="inlineStr">
        <is>
          <t>si</t>
        </is>
      </c>
      <c r="P140" s="3" t="inlineStr">
        <is>
          <t>no</t>
        </is>
      </c>
      <c r="Q140" s="3" t="inlineStr">
        <is>
          <t>interanual_ipc_ipc_alquiler</t>
        </is>
      </c>
      <c r="R140" s="3" t="n"/>
      <c r="S140" s="3" t="inlineStr">
        <is>
          <t>cuota LMG x R2 x dY (asociacion; no causal)</t>
        </is>
      </c>
      <c r="T140" s="3" t="inlineStr">
        <is>
          <t>output/v8/F5/atribucion_combinada.csv</t>
        </is>
      </c>
      <c r="U140" s="2">
        <f>IF(R140=0,"",F140/R140)</f>
        <v/>
      </c>
      <c r="V140" s="2">
        <f>SUMIFS(F$2:F$1589,A$2:A$1589,A140,C$2:C$1589,C140,E$2:E$1589,E140,Q$2:Q$1589,Q140)</f>
        <v/>
      </c>
    </row>
    <row r="141">
      <c r="A141" s="3" t="inlineStr">
        <is>
          <t>alquiler</t>
        </is>
      </c>
      <c r="B141" s="3" t="inlineStr">
        <is>
          <t>nacional</t>
        </is>
      </c>
      <c r="C141" s="3" t="inlineStr">
        <is>
          <t>P4</t>
        </is>
      </c>
      <c r="D141" s="3" t="inlineStr">
        <is>
          <t>demanda_externa</t>
        </is>
      </c>
      <c r="E141" s="3" t="inlineStr">
        <is>
          <t>dominancia</t>
        </is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inlineStr">
        <is>
          <t>C4</t>
        </is>
      </c>
      <c r="O141" s="3" t="inlineStr">
        <is>
          <t>si</t>
        </is>
      </c>
      <c r="P141" s="3" t="inlineStr">
        <is>
          <t>no</t>
        </is>
      </c>
      <c r="Q141" s="3" t="inlineStr">
        <is>
          <t>interanual_ipc_ipc_alquiler</t>
        </is>
      </c>
      <c r="R141" s="3" t="n"/>
      <c r="S141" s="3" t="inlineStr">
        <is>
          <t>cuota LMG x R2 x dY (asociacion; no causal)</t>
        </is>
      </c>
      <c r="T141" s="3" t="inlineStr">
        <is>
          <t>output/v8/F5/atribucion_combinada.csv</t>
        </is>
      </c>
      <c r="U141" s="2">
        <f>IF(R141=0,"",F141/R141)</f>
        <v/>
      </c>
      <c r="V141" s="2">
        <f>SUMIFS(F$2:F$1589,A$2:A$1589,A141,C$2:C$1589,C141,E$2:E$1589,E141,Q$2:Q$1589,Q141)</f>
        <v/>
      </c>
    </row>
    <row r="142">
      <c r="A142" s="3" t="inlineStr">
        <is>
          <t>alquiler</t>
        </is>
      </c>
      <c r="B142" s="3" t="inlineStr">
        <is>
          <t>nacional</t>
        </is>
      </c>
      <c r="C142" s="3" t="inlineStr">
        <is>
          <t>P4</t>
        </is>
      </c>
      <c r="D142" s="3" t="inlineStr">
        <is>
          <t>oferta</t>
        </is>
      </c>
      <c r="E142" s="3" t="inlineStr">
        <is>
          <t>dominancia</t>
        </is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inlineStr">
        <is>
          <t>C4</t>
        </is>
      </c>
      <c r="O142" s="3" t="inlineStr">
        <is>
          <t>si</t>
        </is>
      </c>
      <c r="P142" s="3" t="inlineStr">
        <is>
          <t>no</t>
        </is>
      </c>
      <c r="Q142" s="3" t="inlineStr">
        <is>
          <t>interanual_ipc_ipc_alquiler</t>
        </is>
      </c>
      <c r="R142" s="3" t="n"/>
      <c r="S142" s="3" t="inlineStr">
        <is>
          <t>cuota LMG x R2 x dY (asociacion; no causal)</t>
        </is>
      </c>
      <c r="T142" s="3" t="inlineStr">
        <is>
          <t>output/v8/F5/atribucion_combinada.csv</t>
        </is>
      </c>
      <c r="U142" s="2">
        <f>IF(R142=0,"",F142/R142)</f>
        <v/>
      </c>
      <c r="V142" s="2">
        <f>SUMIFS(F$2:F$1589,A$2:A$1589,A142,C$2:C$1589,C142,E$2:E$1589,E142,Q$2:Q$1589,Q142)</f>
        <v/>
      </c>
    </row>
    <row r="143">
      <c r="A143" s="3" t="inlineStr">
        <is>
          <t>alquiler</t>
        </is>
      </c>
      <c r="B143" s="3" t="inlineStr">
        <is>
          <t>nacional</t>
        </is>
      </c>
      <c r="C143" s="3" t="inlineStr">
        <is>
          <t>P5</t>
        </is>
      </c>
      <c r="D143" s="3" t="inlineStr">
        <is>
          <t>demografia</t>
        </is>
      </c>
      <c r="E143" s="3" t="inlineStr">
        <is>
          <t>dominancia</t>
        </is>
      </c>
      <c r="F143" s="3" t="n">
        <v>-0.0620122</v>
      </c>
      <c r="G143" s="3" t="n"/>
      <c r="H143" s="3" t="n"/>
      <c r="I143" s="3" t="n">
        <v>0.033599</v>
      </c>
      <c r="J143" s="3" t="n">
        <v>-0.0552426</v>
      </c>
      <c r="K143" s="3" t="n">
        <v>-0</v>
      </c>
      <c r="L143" s="3" t="n">
        <v>-0.06906519999999999</v>
      </c>
      <c r="M143" s="3" t="n">
        <v>-0</v>
      </c>
      <c r="N143" s="3" t="inlineStr">
        <is>
          <t>C4</t>
        </is>
      </c>
      <c r="O143" s="3" t="inlineStr">
        <is>
          <t>si</t>
        </is>
      </c>
      <c r="P143" s="3" t="inlineStr">
        <is>
          <t>no</t>
        </is>
      </c>
      <c r="Q143" s="3" t="inlineStr">
        <is>
          <t>interanual_ipc_ipc_alquiler</t>
        </is>
      </c>
      <c r="R143" s="3" t="n">
        <v>-1.84566</v>
      </c>
      <c r="S143" s="3" t="inlineStr">
        <is>
          <t>cuota LMG x R2 x dY (asociacion; no causal)</t>
        </is>
      </c>
      <c r="T143" s="3" t="inlineStr">
        <is>
          <t>output/v8/F5/atribucion_combinada.csv</t>
        </is>
      </c>
      <c r="U143" s="2">
        <f>IF(R143=0,"",F143/R143)</f>
        <v/>
      </c>
      <c r="V143" s="2">
        <f>SUMIFS(F$2:F$1589,A$2:A$1589,A143,C$2:C$1589,C143,E$2:E$1589,E143,Q$2:Q$1589,Q143)</f>
        <v/>
      </c>
    </row>
    <row r="144">
      <c r="A144" s="3" t="inlineStr">
        <is>
          <t>alquiler</t>
        </is>
      </c>
      <c r="B144" s="3" t="inlineStr">
        <is>
          <t>nacional</t>
        </is>
      </c>
      <c r="C144" s="3" t="inlineStr">
        <is>
          <t>P5</t>
        </is>
      </c>
      <c r="D144" s="3" t="inlineStr">
        <is>
          <t>empleo_renta</t>
        </is>
      </c>
      <c r="E144" s="3" t="inlineStr">
        <is>
          <t>dominancia</t>
        </is>
      </c>
      <c r="F144" s="3" t="n">
        <v>-0.339497</v>
      </c>
      <c r="G144" s="3" t="n"/>
      <c r="H144" s="3" t="n"/>
      <c r="I144" s="3" t="n">
        <v>0.183944</v>
      </c>
      <c r="J144" s="3" t="n">
        <v>-0.599328</v>
      </c>
      <c r="K144" s="3" t="n">
        <v>-0.336829</v>
      </c>
      <c r="L144" s="3" t="n">
        <v>-0.619164</v>
      </c>
      <c r="M144" s="3" t="n">
        <v>-0.281377</v>
      </c>
      <c r="N144" s="3" t="inlineStr">
        <is>
          <t>C4</t>
        </is>
      </c>
      <c r="O144" s="3" t="inlineStr">
        <is>
          <t>si</t>
        </is>
      </c>
      <c r="P144" s="3" t="inlineStr">
        <is>
          <t>no</t>
        </is>
      </c>
      <c r="Q144" s="3" t="inlineStr">
        <is>
          <t>interanual_ipc_ipc_alquiler</t>
        </is>
      </c>
      <c r="R144" s="3" t="n">
        <v>-1.84566</v>
      </c>
      <c r="S144" s="3" t="inlineStr">
        <is>
          <t>cuota LMG x R2 x dY (asociacion; no causal)</t>
        </is>
      </c>
      <c r="T144" s="3" t="inlineStr">
        <is>
          <t>output/v8/F5/atribucion_combinada.csv</t>
        </is>
      </c>
      <c r="U144" s="2">
        <f>IF(R144=0,"",F144/R144)</f>
        <v/>
      </c>
      <c r="V144" s="2">
        <f>SUMIFS(F$2:F$1589,A$2:A$1589,A144,C$2:C$1589,C144,E$2:E$1589,E144,Q$2:Q$1589,Q144)</f>
        <v/>
      </c>
    </row>
    <row r="145">
      <c r="A145" s="3" t="inlineStr">
        <is>
          <t>alquiler</t>
        </is>
      </c>
      <c r="B145" s="3" t="inlineStr">
        <is>
          <t>nacional</t>
        </is>
      </c>
      <c r="C145" s="3" t="inlineStr">
        <is>
          <t>P5</t>
        </is>
      </c>
      <c r="D145" s="3" t="inlineStr">
        <is>
          <t>credito_tipos</t>
        </is>
      </c>
      <c r="E145" s="3" t="inlineStr">
        <is>
          <t>dominancia</t>
        </is>
      </c>
      <c r="F145" s="3" t="n">
        <v>-0.573819</v>
      </c>
      <c r="G145" s="3" t="n"/>
      <c r="H145" s="3" t="n"/>
      <c r="I145" s="3" t="n">
        <v>0.310902</v>
      </c>
      <c r="J145" s="3" t="n">
        <v>-0.784641</v>
      </c>
      <c r="K145" s="3" t="n">
        <v>-0.552636</v>
      </c>
      <c r="L145" s="3" t="n">
        <v>-0.875364</v>
      </c>
      <c r="M145" s="3" t="n">
        <v>-0.45788</v>
      </c>
      <c r="N145" s="3" t="inlineStr">
        <is>
          <t>C4</t>
        </is>
      </c>
      <c r="O145" s="3" t="inlineStr">
        <is>
          <t>si</t>
        </is>
      </c>
      <c r="P145" s="3" t="inlineStr">
        <is>
          <t>si</t>
        </is>
      </c>
      <c r="Q145" s="3" t="inlineStr">
        <is>
          <t>interanual_ipc_ipc_alquiler</t>
        </is>
      </c>
      <c r="R145" s="3" t="n">
        <v>-1.84566</v>
      </c>
      <c r="S145" s="3" t="inlineStr">
        <is>
          <t>cuota LMG x R2 x dY (asociacion; no causal)</t>
        </is>
      </c>
      <c r="T145" s="3" t="inlineStr">
        <is>
          <t>output/v8/F5/atribucion_combinada.csv</t>
        </is>
      </c>
      <c r="U145" s="2">
        <f>IF(R145=0,"",F145/R145)</f>
        <v/>
      </c>
      <c r="V145" s="2">
        <f>SUMIFS(F$2:F$1589,A$2:A$1589,A145,C$2:C$1589,C145,E$2:E$1589,E145,Q$2:Q$1589,Q145)</f>
        <v/>
      </c>
    </row>
    <row r="146">
      <c r="A146" s="3" t="inlineStr">
        <is>
          <t>alquiler</t>
        </is>
      </c>
      <c r="B146" s="3" t="inlineStr">
        <is>
          <t>nacional</t>
        </is>
      </c>
      <c r="C146" s="3" t="inlineStr">
        <is>
          <t>P5</t>
        </is>
      </c>
      <c r="D146" s="3" t="inlineStr">
        <is>
          <t>oferta</t>
        </is>
      </c>
      <c r="E146" s="3" t="inlineStr">
        <is>
          <t>dominancia</t>
        </is>
      </c>
      <c r="F146" s="3" t="n">
        <v>-0.0320956</v>
      </c>
      <c r="G146" s="3" t="n"/>
      <c r="H146" s="3" t="n"/>
      <c r="I146" s="3" t="n">
        <v>0.0173898</v>
      </c>
      <c r="J146" s="3" t="n">
        <v>-0.0379207</v>
      </c>
      <c r="K146" s="3" t="n">
        <v>-0</v>
      </c>
      <c r="L146" s="3" t="n">
        <v>-0.0437615</v>
      </c>
      <c r="M146" s="3" t="n">
        <v>-0</v>
      </c>
      <c r="N146" s="3" t="inlineStr">
        <is>
          <t>C4</t>
        </is>
      </c>
      <c r="O146" s="3" t="inlineStr">
        <is>
          <t>si</t>
        </is>
      </c>
      <c r="P146" s="3" t="inlineStr">
        <is>
          <t>no</t>
        </is>
      </c>
      <c r="Q146" s="3" t="inlineStr">
        <is>
          <t>interanual_ipc_ipc_alquiler</t>
        </is>
      </c>
      <c r="R146" s="3" t="n">
        <v>-1.84566</v>
      </c>
      <c r="S146" s="3" t="inlineStr">
        <is>
          <t>cuota LMG x R2 x dY (asociacion; no causal)</t>
        </is>
      </c>
      <c r="T146" s="3" t="inlineStr">
        <is>
          <t>output/v8/F5/atribucion_combinada.csv</t>
        </is>
      </c>
      <c r="U146" s="2">
        <f>IF(R146=0,"",F146/R146)</f>
        <v/>
      </c>
      <c r="V146" s="2">
        <f>SUMIFS(F$2:F$1589,A$2:A$1589,A146,C$2:C$1589,C146,E$2:E$1589,E146,Q$2:Q$1589,Q146)</f>
        <v/>
      </c>
    </row>
    <row r="147">
      <c r="A147" s="3" t="inlineStr">
        <is>
          <t>alquiler</t>
        </is>
      </c>
      <c r="B147" s="3" t="inlineStr">
        <is>
          <t>nacional</t>
        </is>
      </c>
      <c r="C147" s="3" t="inlineStr">
        <is>
          <t>P5</t>
        </is>
      </c>
      <c r="D147" s="3" t="inlineStr">
        <is>
          <t>demanda_externa</t>
        </is>
      </c>
      <c r="E147" s="3" t="inlineStr">
        <is>
          <t>dominancia</t>
        </is>
      </c>
      <c r="F147" s="3" t="n">
        <v>-0.107495</v>
      </c>
      <c r="G147" s="3" t="n"/>
      <c r="H147" s="3" t="n"/>
      <c r="I147" s="3" t="n">
        <v>0.0582421</v>
      </c>
      <c r="J147" s="3" t="n">
        <v>-0.150311</v>
      </c>
      <c r="K147" s="3" t="n">
        <v>-0.021635</v>
      </c>
      <c r="L147" s="3" t="n">
        <v>-0.17067</v>
      </c>
      <c r="M147" s="3" t="n">
        <v>-0</v>
      </c>
      <c r="N147" s="3" t="inlineStr">
        <is>
          <t>C4</t>
        </is>
      </c>
      <c r="O147" s="3" t="inlineStr">
        <is>
          <t>si</t>
        </is>
      </c>
      <c r="P147" s="3" t="inlineStr">
        <is>
          <t>no</t>
        </is>
      </c>
      <c r="Q147" s="3" t="inlineStr">
        <is>
          <t>interanual_ipc_ipc_alquiler</t>
        </is>
      </c>
      <c r="R147" s="3" t="n">
        <v>-1.84566</v>
      </c>
      <c r="S147" s="3" t="inlineStr">
        <is>
          <t>cuota LMG x R2 x dY (asociacion; no causal)</t>
        </is>
      </c>
      <c r="T147" s="3" t="inlineStr">
        <is>
          <t>output/v8/F5/atribucion_combinada.csv</t>
        </is>
      </c>
      <c r="U147" s="2">
        <f>IF(R147=0,"",F147/R147)</f>
        <v/>
      </c>
      <c r="V147" s="2">
        <f>SUMIFS(F$2:F$1589,A$2:A$1589,A147,C$2:C$1589,C147,E$2:E$1589,E147,Q$2:Q$1589,Q147)</f>
        <v/>
      </c>
    </row>
    <row r="148">
      <c r="A148" s="3" t="inlineStr">
        <is>
          <t>alquiler</t>
        </is>
      </c>
      <c r="B148" s="3" t="inlineStr">
        <is>
          <t>nacional</t>
        </is>
      </c>
      <c r="C148" s="3" t="inlineStr">
        <is>
          <t>P5</t>
        </is>
      </c>
      <c r="D148" s="3" t="inlineStr">
        <is>
          <t>turismo</t>
        </is>
      </c>
      <c r="E148" s="3" t="inlineStr">
        <is>
          <t>dominancia</t>
        </is>
      </c>
      <c r="F148" s="3" t="n">
        <v>-0.558454</v>
      </c>
      <c r="G148" s="3" t="n"/>
      <c r="H148" s="3" t="n"/>
      <c r="I148" s="3" t="n">
        <v>0.302577</v>
      </c>
      <c r="J148" s="3" t="n">
        <v>-0.656222</v>
      </c>
      <c r="K148" s="3" t="n">
        <v>-0.529284</v>
      </c>
      <c r="L148" s="3" t="n">
        <v>-0.780377</v>
      </c>
      <c r="M148" s="3" t="n">
        <v>-0.467158</v>
      </c>
      <c r="N148" s="3" t="inlineStr">
        <is>
          <t>C4</t>
        </is>
      </c>
      <c r="O148" s="3" t="inlineStr">
        <is>
          <t>si</t>
        </is>
      </c>
      <c r="P148" s="3" t="inlineStr">
        <is>
          <t>no</t>
        </is>
      </c>
      <c r="Q148" s="3" t="inlineStr">
        <is>
          <t>interanual_ipc_ipc_alquiler</t>
        </is>
      </c>
      <c r="R148" s="3" t="n">
        <v>-1.84566</v>
      </c>
      <c r="S148" s="3" t="inlineStr">
        <is>
          <t>cuota LMG x R2 x dY (asociacion; no causal)</t>
        </is>
      </c>
      <c r="T148" s="3" t="inlineStr">
        <is>
          <t>output/v8/F5/atribucion_combinada.csv</t>
        </is>
      </c>
      <c r="U148" s="2">
        <f>IF(R148=0,"",F148/R148)</f>
        <v/>
      </c>
      <c r="V148" s="2">
        <f>SUMIFS(F$2:F$1589,A$2:A$1589,A148,C$2:C$1589,C148,E$2:E$1589,E148,Q$2:Q$1589,Q148)</f>
        <v/>
      </c>
    </row>
    <row r="149">
      <c r="A149" s="3" t="inlineStr">
        <is>
          <t>alquiler</t>
        </is>
      </c>
      <c r="B149" s="3" t="inlineStr">
        <is>
          <t>nacional</t>
        </is>
      </c>
      <c r="C149" s="3" t="inlineStr">
        <is>
          <t>P5</t>
        </is>
      </c>
      <c r="D149" s="3" t="inlineStr">
        <is>
          <t>factor_europeo</t>
        </is>
      </c>
      <c r="E149" s="3" t="inlineStr">
        <is>
          <t>dominancia</t>
        </is>
      </c>
      <c r="F149" s="3" t="n">
        <v>-0.163964</v>
      </c>
      <c r="G149" s="3" t="n"/>
      <c r="H149" s="3" t="n"/>
      <c r="I149" s="3" t="n">
        <v>0.088838</v>
      </c>
      <c r="J149" s="3" t="n">
        <v>-0.181743</v>
      </c>
      <c r="K149" s="3" t="n">
        <v>-0</v>
      </c>
      <c r="L149" s="3" t="n">
        <v>-0.247888</v>
      </c>
      <c r="M149" s="3" t="n">
        <v>-0</v>
      </c>
      <c r="N149" s="3" t="inlineStr">
        <is>
          <t>C4</t>
        </is>
      </c>
      <c r="O149" s="3" t="inlineStr">
        <is>
          <t>si</t>
        </is>
      </c>
      <c r="P149" s="3" t="inlineStr">
        <is>
          <t>no</t>
        </is>
      </c>
      <c r="Q149" s="3" t="inlineStr">
        <is>
          <t>interanual_ipc_ipc_alquiler</t>
        </is>
      </c>
      <c r="R149" s="3" t="n">
        <v>-1.84566</v>
      </c>
      <c r="S149" s="3" t="inlineStr">
        <is>
          <t>cuota LMG x R2 x dY (asociacion; no causal)</t>
        </is>
      </c>
      <c r="T149" s="3" t="inlineStr">
        <is>
          <t>output/v8/F5/atribucion_combinada.csv</t>
        </is>
      </c>
      <c r="U149" s="2">
        <f>IF(R149=0,"",F149/R149)</f>
        <v/>
      </c>
      <c r="V149" s="2">
        <f>SUMIFS(F$2:F$1589,A$2:A$1589,A149,C$2:C$1589,C149,E$2:E$1589,E149,Q$2:Q$1589,Q149)</f>
        <v/>
      </c>
    </row>
    <row r="150">
      <c r="A150" s="3" t="inlineStr">
        <is>
          <t>alquiler</t>
        </is>
      </c>
      <c r="B150" s="3" t="inlineStr">
        <is>
          <t>nacional</t>
        </is>
      </c>
      <c r="C150" s="3" t="inlineStr">
        <is>
          <t>P5</t>
        </is>
      </c>
      <c r="D150" s="3" t="inlineStr">
        <is>
          <t>residuo</t>
        </is>
      </c>
      <c r="E150" s="3" t="inlineStr">
        <is>
          <t>dominancia</t>
        </is>
      </c>
      <c r="F150" s="3" t="n">
        <v>-0.008319450000000001</v>
      </c>
      <c r="G150" s="3" t="n"/>
      <c r="H150" s="3" t="n"/>
      <c r="I150" s="3" t="n">
        <v>0.00450759</v>
      </c>
      <c r="J150" s="3" t="n">
        <v>-0.0166389</v>
      </c>
      <c r="K150" s="3" t="n">
        <v>-0</v>
      </c>
      <c r="L150" s="3" t="n">
        <v>-0.0166389</v>
      </c>
      <c r="M150" s="3" t="n">
        <v>-0</v>
      </c>
      <c r="N150" s="3" t="inlineStr">
        <is>
          <t>C4</t>
        </is>
      </c>
      <c r="O150" s="3" t="inlineStr">
        <is>
          <t>no</t>
        </is>
      </c>
      <c r="P150" s="3" t="inlineStr">
        <is>
          <t>no_compite</t>
        </is>
      </c>
      <c r="Q150" s="3" t="inlineStr">
        <is>
          <t>interanual_ipc_ipc_alquiler</t>
        </is>
      </c>
      <c r="R150" s="3" t="n">
        <v>-1.84566</v>
      </c>
      <c r="S150" s="3" t="inlineStr">
        <is>
          <t>cuota LMG x R2 x dY (asociacion; no causal)</t>
        </is>
      </c>
      <c r="T150" s="3" t="inlineStr">
        <is>
          <t>output/v8/F5/atribucion_combinada.csv</t>
        </is>
      </c>
      <c r="U150" s="2">
        <f>IF(R150=0,"",F150/R150)</f>
        <v/>
      </c>
      <c r="V150" s="2">
        <f>SUMIFS(F$2:F$1589,A$2:A$1589,A150,C$2:C$1589,C150,E$2:E$1589,E150,Q$2:Q$1589,Q150)</f>
        <v/>
      </c>
    </row>
    <row r="151">
      <c r="A151" s="3" t="inlineStr">
        <is>
          <t>alquiler</t>
        </is>
      </c>
      <c r="B151" s="3" t="inlineStr">
        <is>
          <t>nacional</t>
        </is>
      </c>
      <c r="C151" s="3" t="inlineStr">
        <is>
          <t>completo</t>
        </is>
      </c>
      <c r="D151" s="3" t="inlineStr">
        <is>
          <t>demografia</t>
        </is>
      </c>
      <c r="E151" s="3" t="inlineStr">
        <is>
          <t>dominancia</t>
        </is>
      </c>
      <c r="F151" s="3" t="n">
        <v>-1.01614</v>
      </c>
      <c r="G151" s="3" t="n"/>
      <c r="H151" s="3" t="n"/>
      <c r="I151" s="3" t="n">
        <v>0.0746945</v>
      </c>
      <c r="J151" s="3" t="n">
        <v>-1.55439</v>
      </c>
      <c r="K151" s="3" t="n">
        <v>-0</v>
      </c>
      <c r="L151" s="3" t="n">
        <v>-1.71374</v>
      </c>
      <c r="M151" s="3" t="n">
        <v>-0</v>
      </c>
      <c r="N151" s="3" t="inlineStr">
        <is>
          <t>C4</t>
        </is>
      </c>
      <c r="O151" s="3" t="inlineStr">
        <is>
          <t>si</t>
        </is>
      </c>
      <c r="P151" s="3" t="inlineStr">
        <is>
          <t>no_vota</t>
        </is>
      </c>
      <c r="Q151" s="3" t="inlineStr">
        <is>
          <t>interanual_ipc_ipc_alquiler</t>
        </is>
      </c>
      <c r="R151" s="3" t="n">
        <v>-13.6039</v>
      </c>
      <c r="S151" s="3" t="inlineStr">
        <is>
          <t>cuota LMG x R2 x dY (asociacion; no causal)</t>
        </is>
      </c>
      <c r="T151" s="3" t="inlineStr">
        <is>
          <t>output/v8/F5/atribucion_combinada.csv</t>
        </is>
      </c>
      <c r="U151" s="2">
        <f>IF(R151=0,"",F151/R151)</f>
        <v/>
      </c>
      <c r="V151" s="2">
        <f>SUMIFS(F$2:F$1589,A$2:A$1589,A151,C$2:C$1589,C151,E$2:E$1589,E151,Q$2:Q$1589,Q151)</f>
        <v/>
      </c>
    </row>
    <row r="152">
      <c r="A152" s="3" t="inlineStr">
        <is>
          <t>alquiler</t>
        </is>
      </c>
      <c r="B152" s="3" t="inlineStr">
        <is>
          <t>nacional</t>
        </is>
      </c>
      <c r="C152" s="3" t="inlineStr">
        <is>
          <t>completo</t>
        </is>
      </c>
      <c r="D152" s="3" t="inlineStr">
        <is>
          <t>empleo_renta</t>
        </is>
      </c>
      <c r="E152" s="3" t="inlineStr">
        <is>
          <t>dominancia</t>
        </is>
      </c>
      <c r="F152" s="3" t="n">
        <v>-1.46687</v>
      </c>
      <c r="G152" s="3" t="n"/>
      <c r="H152" s="3" t="n"/>
      <c r="I152" s="3" t="n">
        <v>0.107827</v>
      </c>
      <c r="J152" s="3" t="n">
        <v>-2.26204</v>
      </c>
      <c r="K152" s="3" t="n">
        <v>-0.650277</v>
      </c>
      <c r="L152" s="3" t="n">
        <v>-2.60958</v>
      </c>
      <c r="M152" s="3" t="n">
        <v>-0</v>
      </c>
      <c r="N152" s="3" t="inlineStr">
        <is>
          <t>C4</t>
        </is>
      </c>
      <c r="O152" s="3" t="inlineStr">
        <is>
          <t>si</t>
        </is>
      </c>
      <c r="P152" s="3" t="inlineStr">
        <is>
          <t>no_vota</t>
        </is>
      </c>
      <c r="Q152" s="3" t="inlineStr">
        <is>
          <t>interanual_ipc_ipc_alquiler</t>
        </is>
      </c>
      <c r="R152" s="3" t="n">
        <v>-13.6039</v>
      </c>
      <c r="S152" s="3" t="inlineStr">
        <is>
          <t>cuota LMG x R2 x dY (asociacion; no causal)</t>
        </is>
      </c>
      <c r="T152" s="3" t="inlineStr">
        <is>
          <t>output/v8/F5/atribucion_combinada.csv</t>
        </is>
      </c>
      <c r="U152" s="2">
        <f>IF(R152=0,"",F152/R152)</f>
        <v/>
      </c>
      <c r="V152" s="2">
        <f>SUMIFS(F$2:F$1589,A$2:A$1589,A152,C$2:C$1589,C152,E$2:E$1589,E152,Q$2:Q$1589,Q152)</f>
        <v/>
      </c>
    </row>
    <row r="153">
      <c r="A153" s="3" t="inlineStr">
        <is>
          <t>alquiler</t>
        </is>
      </c>
      <c r="B153" s="3" t="inlineStr">
        <is>
          <t>nacional</t>
        </is>
      </c>
      <c r="C153" s="3" t="inlineStr">
        <is>
          <t>completo</t>
        </is>
      </c>
      <c r="D153" s="3" t="inlineStr">
        <is>
          <t>credito_tipos</t>
        </is>
      </c>
      <c r="E153" s="3" t="inlineStr">
        <is>
          <t>dominancia</t>
        </is>
      </c>
      <c r="F153" s="3" t="n">
        <v>-9.653930000000001</v>
      </c>
      <c r="G153" s="3" t="n"/>
      <c r="H153" s="3" t="n"/>
      <c r="I153" s="3" t="n">
        <v>0.709645</v>
      </c>
      <c r="J153" s="3" t="n">
        <v>-12.0191</v>
      </c>
      <c r="K153" s="3" t="n">
        <v>-9.27167</v>
      </c>
      <c r="L153" s="3" t="n">
        <v>-13.1651</v>
      </c>
      <c r="M153" s="3" t="n">
        <v>-8.78668</v>
      </c>
      <c r="N153" s="3" t="inlineStr">
        <is>
          <t>C4</t>
        </is>
      </c>
      <c r="O153" s="3" t="inlineStr">
        <is>
          <t>si</t>
        </is>
      </c>
      <c r="P153" s="3" t="inlineStr">
        <is>
          <t>no_vota</t>
        </is>
      </c>
      <c r="Q153" s="3" t="inlineStr">
        <is>
          <t>interanual_ipc_ipc_alquiler</t>
        </is>
      </c>
      <c r="R153" s="3" t="n">
        <v>-13.6039</v>
      </c>
      <c r="S153" s="3" t="inlineStr">
        <is>
          <t>cuota LMG x R2 x dY (asociacion; no causal)</t>
        </is>
      </c>
      <c r="T153" s="3" t="inlineStr">
        <is>
          <t>output/v8/F5/atribucion_combinada.csv</t>
        </is>
      </c>
      <c r="U153" s="2">
        <f>IF(R153=0,"",F153/R153)</f>
        <v/>
      </c>
      <c r="V153" s="2">
        <f>SUMIFS(F$2:F$1589,A$2:A$1589,A153,C$2:C$1589,C153,E$2:E$1589,E153,Q$2:Q$1589,Q153)</f>
        <v/>
      </c>
    </row>
    <row r="154">
      <c r="A154" s="3" t="inlineStr">
        <is>
          <t>alquiler</t>
        </is>
      </c>
      <c r="B154" s="3" t="inlineStr">
        <is>
          <t>nacional</t>
        </is>
      </c>
      <c r="C154" s="3" t="inlineStr">
        <is>
          <t>completo</t>
        </is>
      </c>
      <c r="D154" s="3" t="inlineStr">
        <is>
          <t>oferta</t>
        </is>
      </c>
      <c r="E154" s="3" t="inlineStr">
        <is>
          <t>dominancia</t>
        </is>
      </c>
      <c r="F154" s="3" t="n">
        <v>-0.16337</v>
      </c>
      <c r="G154" s="3" t="n"/>
      <c r="H154" s="3" t="n"/>
      <c r="I154" s="3" t="n">
        <v>0.0120091</v>
      </c>
      <c r="J154" s="3" t="n">
        <v>-0.15882</v>
      </c>
      <c r="K154" s="3" t="n">
        <v>-0</v>
      </c>
      <c r="L154" s="3" t="n">
        <v>-0.200129</v>
      </c>
      <c r="M154" s="3" t="n">
        <v>-0</v>
      </c>
      <c r="N154" s="3" t="inlineStr">
        <is>
          <t>C4</t>
        </is>
      </c>
      <c r="O154" s="3" t="inlineStr">
        <is>
          <t>si</t>
        </is>
      </c>
      <c r="P154" s="3" t="inlineStr">
        <is>
          <t>no_vota</t>
        </is>
      </c>
      <c r="Q154" s="3" t="inlineStr">
        <is>
          <t>interanual_ipc_ipc_alquiler</t>
        </is>
      </c>
      <c r="R154" s="3" t="n">
        <v>-13.6039</v>
      </c>
      <c r="S154" s="3" t="inlineStr">
        <is>
          <t>cuota LMG x R2 x dY (asociacion; no causal)</t>
        </is>
      </c>
      <c r="T154" s="3" t="inlineStr">
        <is>
          <t>output/v8/F5/atribucion_combinada.csv</t>
        </is>
      </c>
      <c r="U154" s="2">
        <f>IF(R154=0,"",F154/R154)</f>
        <v/>
      </c>
      <c r="V154" s="2">
        <f>SUMIFS(F$2:F$1589,A$2:A$1589,A154,C$2:C$1589,C154,E$2:E$1589,E154,Q$2:Q$1589,Q154)</f>
        <v/>
      </c>
    </row>
    <row r="155">
      <c r="A155" s="3" t="inlineStr">
        <is>
          <t>alquiler</t>
        </is>
      </c>
      <c r="B155" s="3" t="inlineStr">
        <is>
          <t>nacional</t>
        </is>
      </c>
      <c r="C155" s="3" t="inlineStr">
        <is>
          <t>completo</t>
        </is>
      </c>
      <c r="D155" s="3" t="inlineStr">
        <is>
          <t>demanda_externa</t>
        </is>
      </c>
      <c r="E155" s="3" t="inlineStr">
        <is>
          <t>dominancia</t>
        </is>
      </c>
      <c r="F155" s="3" t="n">
        <v>-0.252555</v>
      </c>
      <c r="G155" s="3" t="n"/>
      <c r="H155" s="3" t="n"/>
      <c r="I155" s="3" t="n">
        <v>0.0185649</v>
      </c>
      <c r="J155" s="3" t="n">
        <v>-0.32671</v>
      </c>
      <c r="K155" s="3" t="n">
        <v>-0</v>
      </c>
      <c r="L155" s="3" t="n">
        <v>-0.381012</v>
      </c>
      <c r="M155" s="3" t="n">
        <v>-0</v>
      </c>
      <c r="N155" s="3" t="inlineStr">
        <is>
          <t>C4</t>
        </is>
      </c>
      <c r="O155" s="3" t="inlineStr">
        <is>
          <t>si</t>
        </is>
      </c>
      <c r="P155" s="3" t="inlineStr">
        <is>
          <t>no_vota</t>
        </is>
      </c>
      <c r="Q155" s="3" t="inlineStr">
        <is>
          <t>interanual_ipc_ipc_alquiler</t>
        </is>
      </c>
      <c r="R155" s="3" t="n">
        <v>-13.6039</v>
      </c>
      <c r="S155" s="3" t="inlineStr">
        <is>
          <t>cuota LMG x R2 x dY (asociacion; no causal)</t>
        </is>
      </c>
      <c r="T155" s="3" t="inlineStr">
        <is>
          <t>output/v8/F5/atribucion_combinada.csv</t>
        </is>
      </c>
      <c r="U155" s="2">
        <f>IF(R155=0,"",F155/R155)</f>
        <v/>
      </c>
      <c r="V155" s="2">
        <f>SUMIFS(F$2:F$1589,A$2:A$1589,A155,C$2:C$1589,C155,E$2:E$1589,E155,Q$2:Q$1589,Q155)</f>
        <v/>
      </c>
    </row>
    <row r="156">
      <c r="A156" s="3" t="inlineStr">
        <is>
          <t>alquiler</t>
        </is>
      </c>
      <c r="B156" s="3" t="inlineStr">
        <is>
          <t>nacional</t>
        </is>
      </c>
      <c r="C156" s="3" t="inlineStr">
        <is>
          <t>completo</t>
        </is>
      </c>
      <c r="D156" s="3" t="inlineStr">
        <is>
          <t>factor_europeo</t>
        </is>
      </c>
      <c r="E156" s="3" t="inlineStr">
        <is>
          <t>dominancia</t>
        </is>
      </c>
      <c r="F156" s="3" t="n">
        <v>-0.437468</v>
      </c>
      <c r="G156" s="3" t="n"/>
      <c r="H156" s="3" t="n"/>
      <c r="I156" s="3" t="n">
        <v>0.0321576</v>
      </c>
      <c r="J156" s="3" t="n">
        <v>-0.538095</v>
      </c>
      <c r="K156" s="3" t="n">
        <v>-0</v>
      </c>
      <c r="L156" s="3" t="n">
        <v>-0.619738</v>
      </c>
      <c r="M156" s="3" t="n">
        <v>-0</v>
      </c>
      <c r="N156" s="3" t="inlineStr">
        <is>
          <t>C4</t>
        </is>
      </c>
      <c r="O156" s="3" t="inlineStr">
        <is>
          <t>si</t>
        </is>
      </c>
      <c r="P156" s="3" t="inlineStr">
        <is>
          <t>no_vota</t>
        </is>
      </c>
      <c r="Q156" s="3" t="inlineStr">
        <is>
          <t>interanual_ipc_ipc_alquiler</t>
        </is>
      </c>
      <c r="R156" s="3" t="n">
        <v>-13.6039</v>
      </c>
      <c r="S156" s="3" t="inlineStr">
        <is>
          <t>cuota LMG x R2 x dY (asociacion; no causal)</t>
        </is>
      </c>
      <c r="T156" s="3" t="inlineStr">
        <is>
          <t>output/v8/F5/atribucion_combinada.csv</t>
        </is>
      </c>
      <c r="U156" s="2">
        <f>IF(R156=0,"",F156/R156)</f>
        <v/>
      </c>
      <c r="V156" s="2">
        <f>SUMIFS(F$2:F$1589,A$2:A$1589,A156,C$2:C$1589,C156,E$2:E$1589,E156,Q$2:Q$1589,Q156)</f>
        <v/>
      </c>
    </row>
    <row r="157">
      <c r="A157" s="3" t="inlineStr">
        <is>
          <t>alquiler</t>
        </is>
      </c>
      <c r="B157" s="3" t="inlineStr">
        <is>
          <t>nacional</t>
        </is>
      </c>
      <c r="C157" s="3" t="inlineStr">
        <is>
          <t>completo</t>
        </is>
      </c>
      <c r="D157" s="3" t="inlineStr">
        <is>
          <t>residuo</t>
        </is>
      </c>
      <c r="E157" s="3" t="inlineStr">
        <is>
          <t>dominancia</t>
        </is>
      </c>
      <c r="F157" s="3" t="n">
        <v>-0.613557</v>
      </c>
      <c r="G157" s="3" t="n"/>
      <c r="H157" s="3" t="n"/>
      <c r="I157" s="3" t="n">
        <v>0.0451016</v>
      </c>
      <c r="J157" s="3" t="n">
        <v>-0.919932</v>
      </c>
      <c r="K157" s="3" t="n">
        <v>-0.314493</v>
      </c>
      <c r="L157" s="3" t="n">
        <v>-0.99942</v>
      </c>
      <c r="M157" s="3" t="n">
        <v>-0</v>
      </c>
      <c r="N157" s="3" t="inlineStr">
        <is>
          <t>C4</t>
        </is>
      </c>
      <c r="O157" s="3" t="inlineStr">
        <is>
          <t>no</t>
        </is>
      </c>
      <c r="P157" s="3" t="inlineStr">
        <is>
          <t>no_compite</t>
        </is>
      </c>
      <c r="Q157" s="3" t="inlineStr">
        <is>
          <t>interanual_ipc_ipc_alquiler</t>
        </is>
      </c>
      <c r="R157" s="3" t="n">
        <v>-13.6039</v>
      </c>
      <c r="S157" s="3" t="inlineStr">
        <is>
          <t>cuota LMG x R2 x dY (asociacion; no causal)</t>
        </is>
      </c>
      <c r="T157" s="3" t="inlineStr">
        <is>
          <t>output/v8/F5/atribucion_combinada.csv</t>
        </is>
      </c>
      <c r="U157" s="2">
        <f>IF(R157=0,"",F157/R157)</f>
        <v/>
      </c>
      <c r="V157" s="2">
        <f>SUMIFS(F$2:F$1589,A$2:A$1589,A157,C$2:C$1589,C157,E$2:E$1589,E157,Q$2:Q$1589,Q157)</f>
        <v/>
      </c>
    </row>
    <row r="158">
      <c r="A158" s="3" t="inlineStr">
        <is>
          <t>alquiler</t>
        </is>
      </c>
      <c r="B158" s="3" t="inlineStr">
        <is>
          <t>nacional</t>
        </is>
      </c>
      <c r="C158" s="3" t="inlineStr">
        <is>
          <t>completo</t>
        </is>
      </c>
      <c r="D158" s="3" t="inlineStr">
        <is>
          <t>turismo</t>
        </is>
      </c>
      <c r="E158" s="3" t="inlineStr">
        <is>
          <t>dominancia</t>
        </is>
      </c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inlineStr">
        <is>
          <t>C4</t>
        </is>
      </c>
      <c r="O158" s="3" t="inlineStr">
        <is>
          <t>si</t>
        </is>
      </c>
      <c r="P158" s="3" t="inlineStr">
        <is>
          <t>no_vota</t>
        </is>
      </c>
      <c r="Q158" s="3" t="inlineStr">
        <is>
          <t>interanual_ipc_ipc_alquiler</t>
        </is>
      </c>
      <c r="R158" s="3" t="n"/>
      <c r="S158" s="3" t="inlineStr">
        <is>
          <t>cuota LMG x R2 x dY (asociacion; no causal)</t>
        </is>
      </c>
      <c r="T158" s="3" t="inlineStr">
        <is>
          <t>output/v8/F5/atribucion_combinada.csv</t>
        </is>
      </c>
      <c r="U158" s="2">
        <f>IF(R158=0,"",F158/R158)</f>
        <v/>
      </c>
      <c r="V158" s="2">
        <f>SUMIFS(F$2:F$1589,A$2:A$1589,A158,C$2:C$1589,C158,E$2:E$1589,E158,Q$2:Q$1589,Q158)</f>
        <v/>
      </c>
    </row>
    <row r="159">
      <c r="A159" s="3" t="inlineStr">
        <is>
          <t>compra</t>
        </is>
      </c>
      <c r="B159" s="3" t="inlineStr">
        <is>
          <t>nacional</t>
        </is>
      </c>
      <c r="C159" s="3" t="inlineStr">
        <is>
          <t>P1</t>
        </is>
      </c>
      <c r="D159" s="3" t="inlineStr">
        <is>
          <t>credito_tipos</t>
        </is>
      </c>
      <c r="E159" s="3" t="inlineStr">
        <is>
          <t>lpiv</t>
        </is>
      </c>
      <c r="F159" s="3" t="n">
        <v>26.7178</v>
      </c>
      <c r="G159" s="3" t="n"/>
      <c r="H159" s="3" t="n"/>
      <c r="I159" s="3" t="n">
        <v>0.352947</v>
      </c>
      <c r="J159" s="3" t="n">
        <v>-33.9863</v>
      </c>
      <c r="K159" s="3" t="n">
        <v>132.05</v>
      </c>
      <c r="L159" s="3" t="n"/>
      <c r="M159" s="3" t="n"/>
      <c r="N159" s="3" t="inlineStr">
        <is>
          <t>C4</t>
        </is>
      </c>
      <c r="O159" s="3" t="inlineStr">
        <is>
          <t>si</t>
        </is>
      </c>
      <c r="P159" s="3" t="inlineStr">
        <is>
          <t>abstiene</t>
        </is>
      </c>
      <c r="Q159" s="3" t="inlineStr">
        <is>
          <t>IV1_euribor_jk_h4-8</t>
        </is>
      </c>
      <c r="R159" s="3" t="n"/>
      <c r="S159" s="3" t="inlineStr">
        <is>
          <t>vota_s9=si; nan</t>
        </is>
      </c>
      <c r="T159" s="3" t="inlineStr">
        <is>
          <t>output/v8/F5/atribucion_combinada.csv</t>
        </is>
      </c>
      <c r="U159" s="2">
        <f>IF(R159=0,"",F159/R159)</f>
        <v/>
      </c>
      <c r="V159" s="2">
        <f>SUMIFS(F$2:F$1589,A$2:A$1589,A159,C$2:C$1589,C159,E$2:E$1589,E159,Q$2:Q$1589,Q159)</f>
        <v/>
      </c>
    </row>
    <row r="160">
      <c r="A160" s="3" t="inlineStr">
        <is>
          <t>compra</t>
        </is>
      </c>
      <c r="B160" s="3" t="inlineStr">
        <is>
          <t>nacional</t>
        </is>
      </c>
      <c r="C160" s="3" t="inlineStr">
        <is>
          <t>P2</t>
        </is>
      </c>
      <c r="D160" s="3" t="inlineStr">
        <is>
          <t>credito_tipos</t>
        </is>
      </c>
      <c r="E160" s="3" t="inlineStr">
        <is>
          <t>lpiv</t>
        </is>
      </c>
      <c r="F160" s="3" t="n">
        <v>42.4479</v>
      </c>
      <c r="G160" s="3" t="n"/>
      <c r="H160" s="3" t="n"/>
      <c r="I160" s="3" t="n">
        <v>-0.964685</v>
      </c>
      <c r="J160" s="3" t="n">
        <v>-53.9958</v>
      </c>
      <c r="K160" s="3" t="n">
        <v>209.795</v>
      </c>
      <c r="L160" s="3" t="n"/>
      <c r="M160" s="3" t="n"/>
      <c r="N160" s="3" t="inlineStr">
        <is>
          <t>C4</t>
        </is>
      </c>
      <c r="O160" s="3" t="inlineStr">
        <is>
          <t>si</t>
        </is>
      </c>
      <c r="P160" s="3" t="inlineStr">
        <is>
          <t>abstiene</t>
        </is>
      </c>
      <c r="Q160" s="3" t="inlineStr">
        <is>
          <t>IV1_euribor_jk_h4-8</t>
        </is>
      </c>
      <c r="R160" s="3" t="n"/>
      <c r="S160" s="3" t="inlineStr">
        <is>
          <t>vota_s9=si; nan</t>
        </is>
      </c>
      <c r="T160" s="3" t="inlineStr">
        <is>
          <t>output/v8/F5/atribucion_combinada.csv</t>
        </is>
      </c>
      <c r="U160" s="2">
        <f>IF(R160=0,"",F160/R160)</f>
        <v/>
      </c>
      <c r="V160" s="2">
        <f>SUMIFS(F$2:F$1589,A$2:A$1589,A160,C$2:C$1589,C160,E$2:E$1589,E160,Q$2:Q$1589,Q160)</f>
        <v/>
      </c>
    </row>
    <row r="161">
      <c r="A161" s="3" t="inlineStr">
        <is>
          <t>compra</t>
        </is>
      </c>
      <c r="B161" s="3" t="inlineStr">
        <is>
          <t>nacional</t>
        </is>
      </c>
      <c r="C161" s="3" t="inlineStr">
        <is>
          <t>P3</t>
        </is>
      </c>
      <c r="D161" s="3" t="inlineStr">
        <is>
          <t>credito_tipos</t>
        </is>
      </c>
      <c r="E161" s="3" t="inlineStr">
        <is>
          <t>lpiv</t>
        </is>
      </c>
      <c r="F161" s="3" t="n">
        <v>7.38943</v>
      </c>
      <c r="G161" s="3" t="n"/>
      <c r="H161" s="3" t="n"/>
      <c r="I161" s="3" t="n">
        <v>0.899319</v>
      </c>
      <c r="J161" s="3" t="n">
        <v>-9.39972</v>
      </c>
      <c r="K161" s="3" t="n">
        <v>36.5216</v>
      </c>
      <c r="L161" s="3" t="n"/>
      <c r="M161" s="3" t="n"/>
      <c r="N161" s="3" t="inlineStr">
        <is>
          <t>C4</t>
        </is>
      </c>
      <c r="O161" s="3" t="inlineStr">
        <is>
          <t>si</t>
        </is>
      </c>
      <c r="P161" s="3" t="inlineStr">
        <is>
          <t>abstiene</t>
        </is>
      </c>
      <c r="Q161" s="3" t="inlineStr">
        <is>
          <t>IV1_euribor_jk_h4-8</t>
        </is>
      </c>
      <c r="R161" s="3" t="n"/>
      <c r="S161" s="3" t="inlineStr">
        <is>
          <t>vota_s9=si; nan</t>
        </is>
      </c>
      <c r="T161" s="3" t="inlineStr">
        <is>
          <t>output/v8/F5/atribucion_combinada.csv</t>
        </is>
      </c>
      <c r="U161" s="2">
        <f>IF(R161=0,"",F161/R161)</f>
        <v/>
      </c>
      <c r="V161" s="2">
        <f>SUMIFS(F$2:F$1589,A$2:A$1589,A161,C$2:C$1589,C161,E$2:E$1589,E161,Q$2:Q$1589,Q161)</f>
        <v/>
      </c>
    </row>
    <row r="162">
      <c r="A162" s="3" t="inlineStr">
        <is>
          <t>compra</t>
        </is>
      </c>
      <c r="B162" s="3" t="inlineStr">
        <is>
          <t>nacional</t>
        </is>
      </c>
      <c r="C162" s="3" t="inlineStr">
        <is>
          <t>P4</t>
        </is>
      </c>
      <c r="D162" s="3" t="inlineStr">
        <is>
          <t>credito_tipos</t>
        </is>
      </c>
      <c r="E162" s="3" t="inlineStr">
        <is>
          <t>lpiv</t>
        </is>
      </c>
      <c r="F162" s="3" t="n">
        <v>-4.35549</v>
      </c>
      <c r="G162" s="3" t="n"/>
      <c r="H162" s="3" t="n"/>
      <c r="I162" s="3" t="n">
        <v>0.7981740000000001</v>
      </c>
      <c r="J162" s="3" t="n">
        <v>-21.5266</v>
      </c>
      <c r="K162" s="3" t="n">
        <v>5.5404</v>
      </c>
      <c r="L162" s="3" t="n"/>
      <c r="M162" s="3" t="n"/>
      <c r="N162" s="3" t="inlineStr">
        <is>
          <t>C4</t>
        </is>
      </c>
      <c r="O162" s="3" t="inlineStr">
        <is>
          <t>si</t>
        </is>
      </c>
      <c r="P162" s="3" t="inlineStr">
        <is>
          <t>si</t>
        </is>
      </c>
      <c r="Q162" s="3" t="inlineStr">
        <is>
          <t>IV1_euribor_jk_h4-8</t>
        </is>
      </c>
      <c r="R162" s="3" t="n"/>
      <c r="S162" s="3" t="inlineStr">
        <is>
          <t>vota_s9=si; nan</t>
        </is>
      </c>
      <c r="T162" s="3" t="inlineStr">
        <is>
          <t>output/v8/F5/atribucion_combinada.csv</t>
        </is>
      </c>
      <c r="U162" s="2">
        <f>IF(R162=0,"",F162/R162)</f>
        <v/>
      </c>
      <c r="V162" s="2">
        <f>SUMIFS(F$2:F$1589,A$2:A$1589,A162,C$2:C$1589,C162,E$2:E$1589,E162,Q$2:Q$1589,Q162)</f>
        <v/>
      </c>
    </row>
    <row r="163">
      <c r="A163" s="3" t="inlineStr">
        <is>
          <t>compra</t>
        </is>
      </c>
      <c r="B163" s="3" t="inlineStr">
        <is>
          <t>nacional</t>
        </is>
      </c>
      <c r="C163" s="3" t="inlineStr">
        <is>
          <t>P5</t>
        </is>
      </c>
      <c r="D163" s="3" t="inlineStr">
        <is>
          <t>credito_tipos</t>
        </is>
      </c>
      <c r="E163" s="3" t="inlineStr">
        <is>
          <t>lpiv</t>
        </is>
      </c>
      <c r="F163" s="3" t="n">
        <v>-11.3346</v>
      </c>
      <c r="G163" s="3" t="n"/>
      <c r="H163" s="3" t="n"/>
      <c r="I163" s="3" t="n">
        <v>-0.612395</v>
      </c>
      <c r="J163" s="3" t="n">
        <v>-56.02</v>
      </c>
      <c r="K163" s="3" t="n">
        <v>14.4181</v>
      </c>
      <c r="L163" s="3" t="n"/>
      <c r="M163" s="3" t="n"/>
      <c r="N163" s="3" t="inlineStr">
        <is>
          <t>C4</t>
        </is>
      </c>
      <c r="O163" s="3" t="inlineStr">
        <is>
          <t>si</t>
        </is>
      </c>
      <c r="P163" s="3" t="inlineStr">
        <is>
          <t>abstiene</t>
        </is>
      </c>
      <c r="Q163" s="3" t="inlineStr">
        <is>
          <t>IV1_euribor_jk_h4-8</t>
        </is>
      </c>
      <c r="R163" s="3" t="n"/>
      <c r="S163" s="3" t="inlineStr">
        <is>
          <t>vota_s9=si; nan</t>
        </is>
      </c>
      <c r="T163" s="3" t="inlineStr">
        <is>
          <t>output/v8/F5/atribucion_combinada.csv</t>
        </is>
      </c>
      <c r="U163" s="2">
        <f>IF(R163=0,"",F163/R163)</f>
        <v/>
      </c>
      <c r="V163" s="2">
        <f>SUMIFS(F$2:F$1589,A$2:A$1589,A163,C$2:C$1589,C163,E$2:E$1589,E163,Q$2:Q$1589,Q163)</f>
        <v/>
      </c>
    </row>
    <row r="164">
      <c r="A164" s="3" t="inlineStr">
        <is>
          <t>alquiler</t>
        </is>
      </c>
      <c r="B164" s="3" t="inlineStr">
        <is>
          <t>nacional</t>
        </is>
      </c>
      <c r="C164" s="3" t="inlineStr">
        <is>
          <t>P1</t>
        </is>
      </c>
      <c r="D164" s="3" t="inlineStr">
        <is>
          <t>credito_tipos</t>
        </is>
      </c>
      <c r="E164" s="3" t="inlineStr">
        <is>
          <t>lpiv</t>
        </is>
      </c>
      <c r="F164" s="3" t="n">
        <v>8.86547</v>
      </c>
      <c r="G164" s="3" t="n"/>
      <c r="H164" s="3" t="n"/>
      <c r="I164" s="3" t="n">
        <v>1.98161</v>
      </c>
      <c r="J164" s="3" t="n"/>
      <c r="K164" s="3" t="n"/>
      <c r="L164" s="3" t="n"/>
      <c r="M164" s="3" t="n"/>
      <c r="N164" s="3" t="inlineStr">
        <is>
          <t>C4</t>
        </is>
      </c>
      <c r="O164" s="3" t="inlineStr">
        <is>
          <t>si</t>
        </is>
      </c>
      <c r="P164" s="3" t="inlineStr">
        <is>
          <t>abstiene</t>
        </is>
      </c>
      <c r="Q164" s="3" t="inlineStr">
        <is>
          <t>IV1_euribor_jk_h4-8</t>
        </is>
      </c>
      <c r="R164" s="3" t="n"/>
      <c r="S164" s="3" t="inlineStr">
        <is>
          <t>vota_s9=no; F=0.77 &lt; 10 y AR 68 % no acotado: se abstiene (C4 informativa)</t>
        </is>
      </c>
      <c r="T164" s="3" t="inlineStr">
        <is>
          <t>output/v8/F5/atribucion_combinada.csv</t>
        </is>
      </c>
      <c r="U164" s="2">
        <f>IF(R164=0,"",F164/R164)</f>
        <v/>
      </c>
      <c r="V164" s="2">
        <f>SUMIFS(F$2:F$1589,A$2:A$1589,A164,C$2:C$1589,C164,E$2:E$1589,E164,Q$2:Q$1589,Q164)</f>
        <v/>
      </c>
    </row>
    <row r="165">
      <c r="A165" s="3" t="inlineStr">
        <is>
          <t>alquiler</t>
        </is>
      </c>
      <c r="B165" s="3" t="inlineStr">
        <is>
          <t>nacional</t>
        </is>
      </c>
      <c r="C165" s="3" t="inlineStr">
        <is>
          <t>P2</t>
        </is>
      </c>
      <c r="D165" s="3" t="inlineStr">
        <is>
          <t>credito_tipos</t>
        </is>
      </c>
      <c r="E165" s="3" t="inlineStr">
        <is>
          <t>lpiv</t>
        </is>
      </c>
      <c r="F165" s="3" t="n">
        <v>14.085</v>
      </c>
      <c r="G165" s="3" t="n"/>
      <c r="H165" s="3" t="n"/>
      <c r="I165" s="3" t="n">
        <v>-5.21114</v>
      </c>
      <c r="J165" s="3" t="n"/>
      <c r="K165" s="3" t="n"/>
      <c r="L165" s="3" t="n"/>
      <c r="M165" s="3" t="n"/>
      <c r="N165" s="3" t="inlineStr">
        <is>
          <t>C4</t>
        </is>
      </c>
      <c r="O165" s="3" t="inlineStr">
        <is>
          <t>si</t>
        </is>
      </c>
      <c r="P165" s="3" t="inlineStr">
        <is>
          <t>abstiene</t>
        </is>
      </c>
      <c r="Q165" s="3" t="inlineStr">
        <is>
          <t>IV1_euribor_jk_h4-8</t>
        </is>
      </c>
      <c r="R165" s="3" t="n"/>
      <c r="S165" s="3" t="inlineStr">
        <is>
          <t>vota_s9=no; F=0.77 &lt; 10 y AR 68 % no acotado: se abstiene (C4 informativa)</t>
        </is>
      </c>
      <c r="T165" s="3" t="inlineStr">
        <is>
          <t>output/v8/F5/atribucion_combinada.csv</t>
        </is>
      </c>
      <c r="U165" s="2">
        <f>IF(R165=0,"",F165/R165)</f>
        <v/>
      </c>
      <c r="V165" s="2">
        <f>SUMIFS(F$2:F$1589,A$2:A$1589,A165,C$2:C$1589,C165,E$2:E$1589,E165,Q$2:Q$1589,Q165)</f>
        <v/>
      </c>
    </row>
    <row r="166">
      <c r="A166" s="3" t="inlineStr">
        <is>
          <t>alquiler</t>
        </is>
      </c>
      <c r="B166" s="3" t="inlineStr">
        <is>
          <t>nacional</t>
        </is>
      </c>
      <c r="C166" s="3" t="inlineStr">
        <is>
          <t>P3</t>
        </is>
      </c>
      <c r="D166" s="3" t="inlineStr">
        <is>
          <t>credito_tipos</t>
        </is>
      </c>
      <c r="E166" s="3" t="inlineStr">
        <is>
          <t>lpiv</t>
        </is>
      </c>
      <c r="F166" s="3" t="n">
        <v>2.45195</v>
      </c>
      <c r="G166" s="3" t="n"/>
      <c r="H166" s="3" t="n"/>
      <c r="I166" s="3" t="n">
        <v>-2.31461</v>
      </c>
      <c r="J166" s="3" t="n"/>
      <c r="K166" s="3" t="n"/>
      <c r="L166" s="3" t="n"/>
      <c r="M166" s="3" t="n"/>
      <c r="N166" s="3" t="inlineStr">
        <is>
          <t>C4</t>
        </is>
      </c>
      <c r="O166" s="3" t="inlineStr">
        <is>
          <t>si</t>
        </is>
      </c>
      <c r="P166" s="3" t="inlineStr">
        <is>
          <t>abstiene</t>
        </is>
      </c>
      <c r="Q166" s="3" t="inlineStr">
        <is>
          <t>IV1_euribor_jk_h4-8</t>
        </is>
      </c>
      <c r="R166" s="3" t="n"/>
      <c r="S166" s="3" t="inlineStr">
        <is>
          <t>vota_s9=no; F=0.77 &lt; 10 y AR 68 % no acotado: se abstiene (C4 informativa)</t>
        </is>
      </c>
      <c r="T166" s="3" t="inlineStr">
        <is>
          <t>output/v8/F5/atribucion_combinada.csv</t>
        </is>
      </c>
      <c r="U166" s="2">
        <f>IF(R166=0,"",F166/R166)</f>
        <v/>
      </c>
      <c r="V166" s="2">
        <f>SUMIFS(F$2:F$1589,A$2:A$1589,A166,C$2:C$1589,C166,E$2:E$1589,E166,Q$2:Q$1589,Q166)</f>
        <v/>
      </c>
    </row>
    <row r="167">
      <c r="A167" s="3" t="inlineStr">
        <is>
          <t>alquiler</t>
        </is>
      </c>
      <c r="B167" s="3" t="inlineStr">
        <is>
          <t>nacional</t>
        </is>
      </c>
      <c r="C167" s="3" t="inlineStr">
        <is>
          <t>P4</t>
        </is>
      </c>
      <c r="D167" s="3" t="inlineStr">
        <is>
          <t>credito_tipos</t>
        </is>
      </c>
      <c r="E167" s="3" t="inlineStr">
        <is>
          <t>lpiv</t>
        </is>
      </c>
      <c r="F167" s="3" t="n">
        <v>-1.44523</v>
      </c>
      <c r="G167" s="3" t="n"/>
      <c r="H167" s="3" t="n"/>
      <c r="I167" s="3" t="n">
        <v>0.154685</v>
      </c>
      <c r="J167" s="3" t="n"/>
      <c r="K167" s="3" t="n"/>
      <c r="L167" s="3" t="n"/>
      <c r="M167" s="3" t="n"/>
      <c r="N167" s="3" t="inlineStr">
        <is>
          <t>C4</t>
        </is>
      </c>
      <c r="O167" s="3" t="inlineStr">
        <is>
          <t>si</t>
        </is>
      </c>
      <c r="P167" s="3" t="inlineStr">
        <is>
          <t>abstiene</t>
        </is>
      </c>
      <c r="Q167" s="3" t="inlineStr">
        <is>
          <t>IV1_euribor_jk_h4-8</t>
        </is>
      </c>
      <c r="R167" s="3" t="n"/>
      <c r="S167" s="3" t="inlineStr">
        <is>
          <t>vota_s9=no; F=0.77 &lt; 10 y AR 68 % no acotado: se abstiene (C4 informativa)</t>
        </is>
      </c>
      <c r="T167" s="3" t="inlineStr">
        <is>
          <t>output/v8/F5/atribucion_combinada.csv</t>
        </is>
      </c>
      <c r="U167" s="2">
        <f>IF(R167=0,"",F167/R167)</f>
        <v/>
      </c>
      <c r="V167" s="2">
        <f>SUMIFS(F$2:F$1589,A$2:A$1589,A167,C$2:C$1589,C167,E$2:E$1589,E167,Q$2:Q$1589,Q167)</f>
        <v/>
      </c>
    </row>
    <row r="168">
      <c r="A168" s="3" t="inlineStr">
        <is>
          <t>alquiler</t>
        </is>
      </c>
      <c r="B168" s="3" t="inlineStr">
        <is>
          <t>nacional</t>
        </is>
      </c>
      <c r="C168" s="3" t="inlineStr">
        <is>
          <t>P5</t>
        </is>
      </c>
      <c r="D168" s="3" t="inlineStr">
        <is>
          <t>credito_tipos</t>
        </is>
      </c>
      <c r="E168" s="3" t="inlineStr">
        <is>
          <t>lpiv</t>
        </is>
      </c>
      <c r="F168" s="3" t="n">
        <v>-3.76102</v>
      </c>
      <c r="G168" s="3" t="n"/>
      <c r="H168" s="3" t="n"/>
      <c r="I168" s="3" t="n">
        <v>1.38198</v>
      </c>
      <c r="J168" s="3" t="n"/>
      <c r="K168" s="3" t="n"/>
      <c r="L168" s="3" t="n"/>
      <c r="M168" s="3" t="n"/>
      <c r="N168" s="3" t="inlineStr">
        <is>
          <t>C4</t>
        </is>
      </c>
      <c r="O168" s="3" t="inlineStr">
        <is>
          <t>si</t>
        </is>
      </c>
      <c r="P168" s="3" t="inlineStr">
        <is>
          <t>abstiene</t>
        </is>
      </c>
      <c r="Q168" s="3" t="inlineStr">
        <is>
          <t>IV1_euribor_jk_h4-8</t>
        </is>
      </c>
      <c r="R168" s="3" t="n"/>
      <c r="S168" s="3" t="inlineStr">
        <is>
          <t>vota_s9=no; F=0.77 &lt; 10 y AR 68 % no acotado: se abstiene (C4 informativa)</t>
        </is>
      </c>
      <c r="T168" s="3" t="inlineStr">
        <is>
          <t>output/v8/F5/atribucion_combinada.csv</t>
        </is>
      </c>
      <c r="U168" s="2">
        <f>IF(R168=0,"",F168/R168)</f>
        <v/>
      </c>
      <c r="V168" s="2">
        <f>SUMIFS(F$2:F$1589,A$2:A$1589,A168,C$2:C$1589,C168,E$2:E$1589,E168,Q$2:Q$1589,Q168)</f>
        <v/>
      </c>
    </row>
    <row r="169">
      <c r="A169" s="3" t="inlineStr">
        <is>
          <t>alquiler</t>
        </is>
      </c>
      <c r="B169" s="3" t="inlineStr">
        <is>
          <t>nacional</t>
        </is>
      </c>
      <c r="C169" s="3" t="inlineStr">
        <is>
          <t>P1</t>
        </is>
      </c>
      <c r="D169" s="3" t="inlineStr">
        <is>
          <t>demografia</t>
        </is>
      </c>
      <c r="E169" s="3" t="inlineStr">
        <is>
          <t>lpiv</t>
        </is>
      </c>
      <c r="F169" s="3" t="n">
        <v>-2.42814</v>
      </c>
      <c r="G169" s="3" t="n"/>
      <c r="H169" s="3" t="n"/>
      <c r="I169" s="3" t="n">
        <v>-0.447957</v>
      </c>
      <c r="J169" s="3" t="n"/>
      <c r="K169" s="3" t="n"/>
      <c r="L169" s="3" t="n"/>
      <c r="M169" s="3" t="n"/>
      <c r="N169" s="3" t="inlineStr">
        <is>
          <t>C4</t>
        </is>
      </c>
      <c r="O169" s="3" t="inlineStr">
        <is>
          <t>si</t>
        </is>
      </c>
      <c r="P169" s="3" t="inlineStr">
        <is>
          <t>abstiene</t>
        </is>
      </c>
      <c r="Q169" s="3" t="inlineStr">
        <is>
          <t>IV2_shiftshare_h1-2</t>
        </is>
      </c>
      <c r="R169" s="3" t="n"/>
      <c r="S169" s="3" t="inlineStr">
        <is>
          <t>vota_s9=no; F=0.05 &lt; 10 y AR 68 % no acotado: se abstiene (C4 informativa)</t>
        </is>
      </c>
      <c r="T169" s="3" t="inlineStr">
        <is>
          <t>output/v8/F5/atribucion_combinada.csv</t>
        </is>
      </c>
      <c r="U169" s="2">
        <f>IF(R169=0,"",F169/R169)</f>
        <v/>
      </c>
      <c r="V169" s="2">
        <f>SUMIFS(F$2:F$1589,A$2:A$1589,A169,C$2:C$1589,C169,E$2:E$1589,E169,Q$2:Q$1589,Q169)</f>
        <v/>
      </c>
    </row>
    <row r="170">
      <c r="A170" s="3" t="inlineStr">
        <is>
          <t>alquiler</t>
        </is>
      </c>
      <c r="B170" s="3" t="inlineStr">
        <is>
          <t>nacional</t>
        </is>
      </c>
      <c r="C170" s="3" t="inlineStr">
        <is>
          <t>P2</t>
        </is>
      </c>
      <c r="D170" s="3" t="inlineStr">
        <is>
          <t>demografia</t>
        </is>
      </c>
      <c r="E170" s="3" t="inlineStr">
        <is>
          <t>lpiv</t>
        </is>
      </c>
      <c r="F170" s="3" t="n">
        <v>1.6271</v>
      </c>
      <c r="G170" s="3" t="n"/>
      <c r="H170" s="3" t="n"/>
      <c r="I170" s="3" t="n">
        <v>-0.55571</v>
      </c>
      <c r="J170" s="3" t="n"/>
      <c r="K170" s="3" t="n"/>
      <c r="L170" s="3" t="n"/>
      <c r="M170" s="3" t="n"/>
      <c r="N170" s="3" t="inlineStr">
        <is>
          <t>C4</t>
        </is>
      </c>
      <c r="O170" s="3" t="inlineStr">
        <is>
          <t>si</t>
        </is>
      </c>
      <c r="P170" s="3" t="inlineStr">
        <is>
          <t>abstiene</t>
        </is>
      </c>
      <c r="Q170" s="3" t="inlineStr">
        <is>
          <t>IV2_shiftshare_h1-2</t>
        </is>
      </c>
      <c r="R170" s="3" t="n"/>
      <c r="S170" s="3" t="inlineStr">
        <is>
          <t>vota_s9=no; F=0.05 &lt; 10 y AR 68 % no acotado: se abstiene (C4 informativa)</t>
        </is>
      </c>
      <c r="T170" s="3" t="inlineStr">
        <is>
          <t>output/v8/F5/atribucion_combinada.csv</t>
        </is>
      </c>
      <c r="U170" s="2">
        <f>IF(R170=0,"",F170/R170)</f>
        <v/>
      </c>
      <c r="V170" s="2">
        <f>SUMIFS(F$2:F$1589,A$2:A$1589,A170,C$2:C$1589,C170,E$2:E$1589,E170,Q$2:Q$1589,Q170)</f>
        <v/>
      </c>
    </row>
    <row r="171">
      <c r="A171" s="3" t="inlineStr">
        <is>
          <t>alquiler</t>
        </is>
      </c>
      <c r="B171" s="3" t="inlineStr">
        <is>
          <t>nacional</t>
        </is>
      </c>
      <c r="C171" s="3" t="inlineStr">
        <is>
          <t>P3</t>
        </is>
      </c>
      <c r="D171" s="3" t="inlineStr">
        <is>
          <t>demografia</t>
        </is>
      </c>
      <c r="E171" s="3" t="inlineStr">
        <is>
          <t>lpiv</t>
        </is>
      </c>
      <c r="F171" s="3" t="n">
        <v>-2.40105</v>
      </c>
      <c r="G171" s="3" t="n"/>
      <c r="H171" s="3" t="n"/>
      <c r="I171" s="3" t="n">
        <v>1.59536</v>
      </c>
      <c r="J171" s="3" t="n"/>
      <c r="K171" s="3" t="n"/>
      <c r="L171" s="3" t="n"/>
      <c r="M171" s="3" t="n"/>
      <c r="N171" s="3" t="inlineStr">
        <is>
          <t>C4</t>
        </is>
      </c>
      <c r="O171" s="3" t="inlineStr">
        <is>
          <t>si</t>
        </is>
      </c>
      <c r="P171" s="3" t="inlineStr">
        <is>
          <t>abstiene</t>
        </is>
      </c>
      <c r="Q171" s="3" t="inlineStr">
        <is>
          <t>IV2_shiftshare_h1-2</t>
        </is>
      </c>
      <c r="R171" s="3" t="n"/>
      <c r="S171" s="3" t="inlineStr">
        <is>
          <t>vota_s9=no; F=0.05 &lt; 10 y AR 68 % no acotado: se abstiene (C4 informativa)</t>
        </is>
      </c>
      <c r="T171" s="3" t="inlineStr">
        <is>
          <t>output/v8/F5/atribucion_combinada.csv</t>
        </is>
      </c>
      <c r="U171" s="2">
        <f>IF(R171=0,"",F171/R171)</f>
        <v/>
      </c>
      <c r="V171" s="2">
        <f>SUMIFS(F$2:F$1589,A$2:A$1589,A171,C$2:C$1589,C171,E$2:E$1589,E171,Q$2:Q$1589,Q171)</f>
        <v/>
      </c>
    </row>
    <row r="172">
      <c r="A172" s="3" t="inlineStr">
        <is>
          <t>alquiler</t>
        </is>
      </c>
      <c r="B172" s="3" t="inlineStr">
        <is>
          <t>nacional</t>
        </is>
      </c>
      <c r="C172" s="3" t="inlineStr">
        <is>
          <t>P4</t>
        </is>
      </c>
      <c r="D172" s="3" t="inlineStr">
        <is>
          <t>demografia</t>
        </is>
      </c>
      <c r="E172" s="3" t="inlineStr">
        <is>
          <t>lpiv</t>
        </is>
      </c>
      <c r="F172" s="3" t="n">
        <v>-0.70277</v>
      </c>
      <c r="G172" s="3" t="n"/>
      <c r="H172" s="3" t="n"/>
      <c r="I172" s="3" t="n"/>
      <c r="J172" s="3" t="n"/>
      <c r="K172" s="3" t="n"/>
      <c r="L172" s="3" t="n"/>
      <c r="M172" s="3" t="n"/>
      <c r="N172" s="3" t="inlineStr">
        <is>
          <t>C4</t>
        </is>
      </c>
      <c r="O172" s="3" t="inlineStr">
        <is>
          <t>si</t>
        </is>
      </c>
      <c r="P172" s="3" t="inlineStr">
        <is>
          <t>abstiene</t>
        </is>
      </c>
      <c r="Q172" s="3" t="inlineStr">
        <is>
          <t>IV2_shiftshare_h1-2</t>
        </is>
      </c>
      <c r="R172" s="3" t="n"/>
      <c r="S172" s="3" t="inlineStr">
        <is>
          <t>vota_s9=no; F=0.05 &lt; 10 y AR 68 % no acotado: se abstiene (C4 informativa)</t>
        </is>
      </c>
      <c r="T172" s="3" t="inlineStr">
        <is>
          <t>output/v8/F5/atribucion_combinada.csv</t>
        </is>
      </c>
      <c r="U172" s="2">
        <f>IF(R172=0,"",F172/R172)</f>
        <v/>
      </c>
      <c r="V172" s="2">
        <f>SUMIFS(F$2:F$1589,A$2:A$1589,A172,C$2:C$1589,C172,E$2:E$1589,E172,Q$2:Q$1589,Q172)</f>
        <v/>
      </c>
    </row>
    <row r="173">
      <c r="A173" s="3" t="inlineStr">
        <is>
          <t>alquiler</t>
        </is>
      </c>
      <c r="B173" s="3" t="inlineStr">
        <is>
          <t>nacional</t>
        </is>
      </c>
      <c r="C173" s="3" t="inlineStr">
        <is>
          <t>P5</t>
        </is>
      </c>
      <c r="D173" s="3" t="inlineStr">
        <is>
          <t>demografia</t>
        </is>
      </c>
      <c r="E173" s="3" t="inlineStr">
        <is>
          <t>lpiv</t>
        </is>
      </c>
      <c r="F173" s="3" t="n">
        <v>-0.151657</v>
      </c>
      <c r="G173" s="3" t="n"/>
      <c r="H173" s="3" t="n"/>
      <c r="I173" s="3" t="n">
        <v>0.0751221</v>
      </c>
      <c r="J173" s="3" t="n"/>
      <c r="K173" s="3" t="n"/>
      <c r="L173" s="3" t="n"/>
      <c r="M173" s="3" t="n"/>
      <c r="N173" s="3" t="inlineStr">
        <is>
          <t>C4</t>
        </is>
      </c>
      <c r="O173" s="3" t="inlineStr">
        <is>
          <t>si</t>
        </is>
      </c>
      <c r="P173" s="3" t="inlineStr">
        <is>
          <t>abstiene</t>
        </is>
      </c>
      <c r="Q173" s="3" t="inlineStr">
        <is>
          <t>IV2_shiftshare_h1-2</t>
        </is>
      </c>
      <c r="R173" s="3" t="n"/>
      <c r="S173" s="3" t="inlineStr">
        <is>
          <t>vota_s9=no; F=0.05 &lt; 10 y AR 68 % no acotado: se abstiene (C4 informativa)</t>
        </is>
      </c>
      <c r="T173" s="3" t="inlineStr">
        <is>
          <t>output/v8/F5/atribucion_combinada.csv</t>
        </is>
      </c>
      <c r="U173" s="2">
        <f>IF(R173=0,"",F173/R173)</f>
        <v/>
      </c>
      <c r="V173" s="2">
        <f>SUMIFS(F$2:F$1589,A$2:A$1589,A173,C$2:C$1589,C173,E$2:E$1589,E173,Q$2:Q$1589,Q173)</f>
        <v/>
      </c>
    </row>
    <row r="174">
      <c r="A174" s="3" t="inlineStr">
        <is>
          <t>compra</t>
        </is>
      </c>
      <c r="B174" s="3" t="inlineStr">
        <is>
          <t>ccaa_panel</t>
        </is>
      </c>
      <c r="C174" s="3" t="inlineStr">
        <is>
          <t>P2</t>
        </is>
      </c>
      <c r="D174" s="3" t="inlineStr">
        <is>
          <t>empleo_renta</t>
        </is>
      </c>
      <c r="E174" s="3" t="inlineStr">
        <is>
          <t>lpiv</t>
        </is>
      </c>
      <c r="F174" s="3" t="n">
        <v>24.3183</v>
      </c>
      <c r="G174" s="3" t="n"/>
      <c r="H174" s="3" t="n"/>
      <c r="I174" s="3" t="n">
        <v>-0.616918</v>
      </c>
      <c r="J174" s="3" t="n"/>
      <c r="K174" s="3" t="n"/>
      <c r="L174" s="3" t="n"/>
      <c r="M174" s="3" t="n"/>
      <c r="N174" s="3" t="inlineStr">
        <is>
          <t>C4</t>
        </is>
      </c>
      <c r="O174" s="3" t="inlineStr">
        <is>
          <t>si</t>
        </is>
      </c>
      <c r="P174" s="3" t="inlineStr">
        <is>
          <t>no_vota</t>
        </is>
      </c>
      <c r="Q174" s="3" t="inlineStr">
        <is>
          <t>IV3_bartik_h1-2</t>
        </is>
      </c>
      <c r="R174" s="3" t="n"/>
      <c r="S174" s="3" t="inlineStr">
        <is>
          <t>vota_s9=no; efecto relativo entre CCAA (efectos de anio absorben lo nacional): no comparable con una contribucion nacional</t>
        </is>
      </c>
      <c r="T174" s="3" t="inlineStr">
        <is>
          <t>output/v8/F5/atribucion_combinada.csv</t>
        </is>
      </c>
      <c r="U174" s="2">
        <f>IF(R174=0,"",F174/R174)</f>
        <v/>
      </c>
      <c r="V174" s="2">
        <f>SUMIFS(F$2:F$1589,A$2:A$1589,A174,C$2:C$1589,C174,E$2:E$1589,E174,Q$2:Q$1589,Q174)</f>
        <v/>
      </c>
    </row>
    <row r="175">
      <c r="A175" s="3" t="inlineStr">
        <is>
          <t>compra</t>
        </is>
      </c>
      <c r="B175" s="3" t="inlineStr">
        <is>
          <t>ccaa_panel</t>
        </is>
      </c>
      <c r="C175" s="3" t="inlineStr">
        <is>
          <t>P3</t>
        </is>
      </c>
      <c r="D175" s="3" t="inlineStr">
        <is>
          <t>empleo_renta</t>
        </is>
      </c>
      <c r="E175" s="3" t="inlineStr">
        <is>
          <t>lpiv</t>
        </is>
      </c>
      <c r="F175" s="3" t="n">
        <v>-18.1387</v>
      </c>
      <c r="G175" s="3" t="n"/>
      <c r="H175" s="3" t="n"/>
      <c r="I175" s="3" t="n"/>
      <c r="J175" s="3" t="n"/>
      <c r="K175" s="3" t="n"/>
      <c r="L175" s="3" t="n"/>
      <c r="M175" s="3" t="n"/>
      <c r="N175" s="3" t="inlineStr">
        <is>
          <t>C4</t>
        </is>
      </c>
      <c r="O175" s="3" t="inlineStr">
        <is>
          <t>si</t>
        </is>
      </c>
      <c r="P175" s="3" t="inlineStr">
        <is>
          <t>no_vota</t>
        </is>
      </c>
      <c r="Q175" s="3" t="inlineStr">
        <is>
          <t>IV3_bartik_h1-2</t>
        </is>
      </c>
      <c r="R175" s="3" t="n"/>
      <c r="S175" s="3" t="inlineStr">
        <is>
          <t>vota_s9=no; efecto relativo entre CCAA (efectos de anio absorben lo nacional): no comparable con una contribucion nacional</t>
        </is>
      </c>
      <c r="T175" s="3" t="inlineStr">
        <is>
          <t>output/v8/F5/atribucion_combinada.csv</t>
        </is>
      </c>
      <c r="U175" s="2">
        <f>IF(R175=0,"",F175/R175)</f>
        <v/>
      </c>
      <c r="V175" s="2">
        <f>SUMIFS(F$2:F$1589,A$2:A$1589,A175,C$2:C$1589,C175,E$2:E$1589,E175,Q$2:Q$1589,Q175)</f>
        <v/>
      </c>
    </row>
    <row r="176">
      <c r="A176" s="3" t="inlineStr">
        <is>
          <t>compra</t>
        </is>
      </c>
      <c r="B176" s="3" t="inlineStr">
        <is>
          <t>ccaa_panel</t>
        </is>
      </c>
      <c r="C176" s="3" t="inlineStr">
        <is>
          <t>P4</t>
        </is>
      </c>
      <c r="D176" s="3" t="inlineStr">
        <is>
          <t>empleo_renta</t>
        </is>
      </c>
      <c r="E176" s="3" t="inlineStr">
        <is>
          <t>lpiv</t>
        </is>
      </c>
      <c r="F176" s="3" t="n">
        <v>0.729747</v>
      </c>
      <c r="G176" s="3" t="n"/>
      <c r="H176" s="3" t="n"/>
      <c r="I176" s="3" t="n">
        <v>-0.355499</v>
      </c>
      <c r="J176" s="3" t="n"/>
      <c r="K176" s="3" t="n"/>
      <c r="L176" s="3" t="n"/>
      <c r="M176" s="3" t="n"/>
      <c r="N176" s="3" t="inlineStr">
        <is>
          <t>C4</t>
        </is>
      </c>
      <c r="O176" s="3" t="inlineStr">
        <is>
          <t>si</t>
        </is>
      </c>
      <c r="P176" s="3" t="inlineStr">
        <is>
          <t>no_vota</t>
        </is>
      </c>
      <c r="Q176" s="3" t="inlineStr">
        <is>
          <t>IV3_bartik_h1-2</t>
        </is>
      </c>
      <c r="R176" s="3" t="n"/>
      <c r="S176" s="3" t="inlineStr">
        <is>
          <t>vota_s9=no; efecto relativo entre CCAA (efectos de anio absorben lo nacional): no comparable con una contribucion nacional</t>
        </is>
      </c>
      <c r="T176" s="3" t="inlineStr">
        <is>
          <t>output/v8/F5/atribucion_combinada.csv</t>
        </is>
      </c>
      <c r="U176" s="2">
        <f>IF(R176=0,"",F176/R176)</f>
        <v/>
      </c>
      <c r="V176" s="2">
        <f>SUMIFS(F$2:F$1589,A$2:A$1589,A176,C$2:C$1589,C176,E$2:E$1589,E176,Q$2:Q$1589,Q176)</f>
        <v/>
      </c>
    </row>
    <row r="177">
      <c r="A177" s="3" t="inlineStr">
        <is>
          <t>compra</t>
        </is>
      </c>
      <c r="B177" s="3" t="inlineStr">
        <is>
          <t>ccaa_panel</t>
        </is>
      </c>
      <c r="C177" s="3" t="inlineStr">
        <is>
          <t>P5</t>
        </is>
      </c>
      <c r="D177" s="3" t="inlineStr">
        <is>
          <t>empleo_renta</t>
        </is>
      </c>
      <c r="E177" s="3" t="inlineStr">
        <is>
          <t>lpiv</t>
        </is>
      </c>
      <c r="F177" s="3" t="n">
        <v>-9.086119999999999</v>
      </c>
      <c r="G177" s="3" t="n"/>
      <c r="H177" s="3" t="n"/>
      <c r="I177" s="3" t="n">
        <v>-0.906517</v>
      </c>
      <c r="J177" s="3" t="n"/>
      <c r="K177" s="3" t="n"/>
      <c r="L177" s="3" t="n"/>
      <c r="M177" s="3" t="n"/>
      <c r="N177" s="3" t="inlineStr">
        <is>
          <t>C4</t>
        </is>
      </c>
      <c r="O177" s="3" t="inlineStr">
        <is>
          <t>si</t>
        </is>
      </c>
      <c r="P177" s="3" t="inlineStr">
        <is>
          <t>no_vota</t>
        </is>
      </c>
      <c r="Q177" s="3" t="inlineStr">
        <is>
          <t>IV3_bartik_h1-2</t>
        </is>
      </c>
      <c r="R177" s="3" t="n"/>
      <c r="S177" s="3" t="inlineStr">
        <is>
          <t>vota_s9=no; efecto relativo entre CCAA (efectos de anio absorben lo nacional): no comparable con una contribucion nacional</t>
        </is>
      </c>
      <c r="T177" s="3" t="inlineStr">
        <is>
          <t>output/v8/F5/atribucion_combinada.csv</t>
        </is>
      </c>
      <c r="U177" s="2">
        <f>IF(R177=0,"",F177/R177)</f>
        <v/>
      </c>
      <c r="V177" s="2">
        <f>SUMIFS(F$2:F$1589,A$2:A$1589,A177,C$2:C$1589,C177,E$2:E$1589,E177,Q$2:Q$1589,Q177)</f>
        <v/>
      </c>
    </row>
    <row r="178">
      <c r="A178" s="3" t="inlineStr">
        <is>
          <t>alquiler</t>
        </is>
      </c>
      <c r="B178" s="3" t="inlineStr">
        <is>
          <t>ccaa_panel</t>
        </is>
      </c>
      <c r="C178" s="3" t="inlineStr">
        <is>
          <t>P2</t>
        </is>
      </c>
      <c r="D178" s="3" t="inlineStr">
        <is>
          <t>empleo_renta</t>
        </is>
      </c>
      <c r="E178" s="3" t="inlineStr">
        <is>
          <t>lpiv</t>
        </is>
      </c>
      <c r="F178" s="3" t="n">
        <v>7.32405</v>
      </c>
      <c r="G178" s="3" t="n"/>
      <c r="H178" s="3" t="n"/>
      <c r="I178" s="3" t="n">
        <v>-1.98408</v>
      </c>
      <c r="J178" s="3" t="n"/>
      <c r="K178" s="3" t="n"/>
      <c r="L178" s="3" t="n"/>
      <c r="M178" s="3" t="n"/>
      <c r="N178" s="3" t="inlineStr">
        <is>
          <t>C4</t>
        </is>
      </c>
      <c r="O178" s="3" t="inlineStr">
        <is>
          <t>si</t>
        </is>
      </c>
      <c r="P178" s="3" t="inlineStr">
        <is>
          <t>no_vota</t>
        </is>
      </c>
      <c r="Q178" s="3" t="inlineStr">
        <is>
          <t>IV3_bartik_h1-2</t>
        </is>
      </c>
      <c r="R178" s="3" t="n"/>
      <c r="S178" s="3" t="inlineStr">
        <is>
          <t>vota_s9=no; efecto relativo entre CCAA (efectos de anio absorben lo nacional): no comparable con una contribucion nacional</t>
        </is>
      </c>
      <c r="T178" s="3" t="inlineStr">
        <is>
          <t>output/v8/F5/atribucion_combinada.csv</t>
        </is>
      </c>
      <c r="U178" s="2">
        <f>IF(R178=0,"",F178/R178)</f>
        <v/>
      </c>
      <c r="V178" s="2">
        <f>SUMIFS(F$2:F$1589,A$2:A$1589,A178,C$2:C$1589,C178,E$2:E$1589,E178,Q$2:Q$1589,Q178)</f>
        <v/>
      </c>
    </row>
    <row r="179">
      <c r="A179" s="3" t="inlineStr">
        <is>
          <t>alquiler</t>
        </is>
      </c>
      <c r="B179" s="3" t="inlineStr">
        <is>
          <t>ccaa_panel</t>
        </is>
      </c>
      <c r="C179" s="3" t="inlineStr">
        <is>
          <t>P3</t>
        </is>
      </c>
      <c r="D179" s="3" t="inlineStr">
        <is>
          <t>empleo_renta</t>
        </is>
      </c>
      <c r="E179" s="3" t="inlineStr">
        <is>
          <t>lpiv</t>
        </is>
      </c>
      <c r="F179" s="3" t="n">
        <v>-5.46291</v>
      </c>
      <c r="G179" s="3" t="n"/>
      <c r="H179" s="3" t="n"/>
      <c r="I179" s="3" t="n">
        <v>2.30353</v>
      </c>
      <c r="J179" s="3" t="n"/>
      <c r="K179" s="3" t="n"/>
      <c r="L179" s="3" t="n"/>
      <c r="M179" s="3" t="n"/>
      <c r="N179" s="3" t="inlineStr">
        <is>
          <t>C4</t>
        </is>
      </c>
      <c r="O179" s="3" t="inlineStr">
        <is>
          <t>si</t>
        </is>
      </c>
      <c r="P179" s="3" t="inlineStr">
        <is>
          <t>no_vota</t>
        </is>
      </c>
      <c r="Q179" s="3" t="inlineStr">
        <is>
          <t>IV3_bartik_h1-2</t>
        </is>
      </c>
      <c r="R179" s="3" t="n"/>
      <c r="S179" s="3" t="inlineStr">
        <is>
          <t>vota_s9=no; efecto relativo entre CCAA (efectos de anio absorben lo nacional): no comparable con una contribucion nacional</t>
        </is>
      </c>
      <c r="T179" s="3" t="inlineStr">
        <is>
          <t>output/v8/F5/atribucion_combinada.csv</t>
        </is>
      </c>
      <c r="U179" s="2">
        <f>IF(R179=0,"",F179/R179)</f>
        <v/>
      </c>
      <c r="V179" s="2">
        <f>SUMIFS(F$2:F$1589,A$2:A$1589,A179,C$2:C$1589,C179,E$2:E$1589,E179,Q$2:Q$1589,Q179)</f>
        <v/>
      </c>
    </row>
    <row r="180">
      <c r="A180" s="3" t="inlineStr">
        <is>
          <t>alquiler</t>
        </is>
      </c>
      <c r="B180" s="3" t="inlineStr">
        <is>
          <t>ccaa_panel</t>
        </is>
      </c>
      <c r="C180" s="3" t="inlineStr">
        <is>
          <t>P4</t>
        </is>
      </c>
      <c r="D180" s="3" t="inlineStr">
        <is>
          <t>empleo_renta</t>
        </is>
      </c>
      <c r="E180" s="3" t="inlineStr">
        <is>
          <t>lpiv</t>
        </is>
      </c>
      <c r="F180" s="3" t="n">
        <v>0.219781</v>
      </c>
      <c r="G180" s="3" t="n"/>
      <c r="H180" s="3" t="n"/>
      <c r="I180" s="3" t="n">
        <v>-0.195816</v>
      </c>
      <c r="J180" s="3" t="n"/>
      <c r="K180" s="3" t="n"/>
      <c r="L180" s="3" t="n"/>
      <c r="M180" s="3" t="n"/>
      <c r="N180" s="3" t="inlineStr">
        <is>
          <t>C4</t>
        </is>
      </c>
      <c r="O180" s="3" t="inlineStr">
        <is>
          <t>si</t>
        </is>
      </c>
      <c r="P180" s="3" t="inlineStr">
        <is>
          <t>no_vota</t>
        </is>
      </c>
      <c r="Q180" s="3" t="inlineStr">
        <is>
          <t>IV3_bartik_h1-2</t>
        </is>
      </c>
      <c r="R180" s="3" t="n"/>
      <c r="S180" s="3" t="inlineStr">
        <is>
          <t>vota_s9=no; efecto relativo entre CCAA (efectos de anio absorben lo nacional): no comparable con una contribucion nacional</t>
        </is>
      </c>
      <c r="T180" s="3" t="inlineStr">
        <is>
          <t>output/v8/F5/atribucion_combinada.csv</t>
        </is>
      </c>
      <c r="U180" s="2">
        <f>IF(R180=0,"",F180/R180)</f>
        <v/>
      </c>
      <c r="V180" s="2">
        <f>SUMIFS(F$2:F$1589,A$2:A$1589,A180,C$2:C$1589,C180,E$2:E$1589,E180,Q$2:Q$1589,Q180)</f>
        <v/>
      </c>
    </row>
    <row r="181">
      <c r="A181" s="3" t="inlineStr">
        <is>
          <t>alquiler</t>
        </is>
      </c>
      <c r="B181" s="3" t="inlineStr">
        <is>
          <t>ccaa_panel</t>
        </is>
      </c>
      <c r="C181" s="3" t="inlineStr">
        <is>
          <t>P5</t>
        </is>
      </c>
      <c r="D181" s="3" t="inlineStr">
        <is>
          <t>empleo_renta</t>
        </is>
      </c>
      <c r="E181" s="3" t="inlineStr">
        <is>
          <t>lpiv</t>
        </is>
      </c>
      <c r="F181" s="3" t="n">
        <v>-2.73651</v>
      </c>
      <c r="G181" s="3" t="n"/>
      <c r="H181" s="3" t="n"/>
      <c r="I181" s="3" t="n">
        <v>1.08822</v>
      </c>
      <c r="J181" s="3" t="n"/>
      <c r="K181" s="3" t="n"/>
      <c r="L181" s="3" t="n"/>
      <c r="M181" s="3" t="n"/>
      <c r="N181" s="3" t="inlineStr">
        <is>
          <t>C4</t>
        </is>
      </c>
      <c r="O181" s="3" t="inlineStr">
        <is>
          <t>si</t>
        </is>
      </c>
      <c r="P181" s="3" t="inlineStr">
        <is>
          <t>no_vota</t>
        </is>
      </c>
      <c r="Q181" s="3" t="inlineStr">
        <is>
          <t>IV3_bartik_h1-2</t>
        </is>
      </c>
      <c r="R181" s="3" t="n"/>
      <c r="S181" s="3" t="inlineStr">
        <is>
          <t>vota_s9=no; efecto relativo entre CCAA (efectos de anio absorben lo nacional): no comparable con una contribucion nacional</t>
        </is>
      </c>
      <c r="T181" s="3" t="inlineStr">
        <is>
          <t>output/v8/F5/atribucion_combinada.csv</t>
        </is>
      </c>
      <c r="U181" s="2">
        <f>IF(R181=0,"",F181/R181)</f>
        <v/>
      </c>
      <c r="V181" s="2">
        <f>SUMIFS(F$2:F$1589,A$2:A$1589,A181,C$2:C$1589,C181,E$2:E$1589,E181,Q$2:Q$1589,Q181)</f>
        <v/>
      </c>
    </row>
    <row r="182">
      <c r="A182" s="3" t="inlineStr">
        <is>
          <t>compra</t>
        </is>
      </c>
      <c r="B182" s="3" t="inlineStr">
        <is>
          <t>nacional</t>
        </is>
      </c>
      <c r="C182" s="3" t="inlineStr">
        <is>
          <t>P1</t>
        </is>
      </c>
      <c r="D182" s="3" t="inlineStr">
        <is>
          <t>empleo_renta</t>
        </is>
      </c>
      <c r="E182" s="3" t="inlineStr">
        <is>
          <t>contabilidad_lp</t>
        </is>
      </c>
      <c r="F182" s="3" t="n">
        <v>2.054</v>
      </c>
      <c r="G182" s="3" t="n"/>
      <c r="H182" s="3" t="n"/>
      <c r="I182" s="3" t="n">
        <v>0.026724</v>
      </c>
      <c r="J182" s="3" t="n">
        <v>-7.16895</v>
      </c>
      <c r="K182" s="3" t="n">
        <v>18.3189</v>
      </c>
      <c r="L182" s="3" t="n">
        <v>-14.4027</v>
      </c>
      <c r="M182" s="3" t="n">
        <v>44.5564</v>
      </c>
      <c r="N182" s="3" t="inlineStr">
        <is>
          <t>C4</t>
        </is>
      </c>
      <c r="O182" s="3" t="inlineStr">
        <is>
          <t>si</t>
        </is>
      </c>
      <c r="P182" s="3" t="inlineStr">
        <is>
          <t>no_vota (DOLS sin cointegracion demostrada, J10)</t>
        </is>
      </c>
      <c r="Q182" s="3" t="inlineStr">
        <is>
          <t>dols_sin_escalones</t>
        </is>
      </c>
      <c r="R182" s="3" t="n"/>
      <c r="S182" s="3" t="inlineStr">
        <is>
          <t>DOLS sin escalones; sin cointegracion demostrada</t>
        </is>
      </c>
      <c r="T182" s="3" t="inlineStr">
        <is>
          <t>output/v8/F5/atribucion_combinada.csv</t>
        </is>
      </c>
      <c r="U182" s="2">
        <f>IF(R182=0,"",F182/R182)</f>
        <v/>
      </c>
      <c r="V182" s="2">
        <f>SUMIFS(F$2:F$1589,A$2:A$1589,A182,C$2:C$1589,C182,E$2:E$1589,E182,Q$2:Q$1589,Q182)</f>
        <v/>
      </c>
    </row>
    <row r="183">
      <c r="A183" s="3" t="inlineStr">
        <is>
          <t>compra</t>
        </is>
      </c>
      <c r="B183" s="3" t="inlineStr">
        <is>
          <t>nacional</t>
        </is>
      </c>
      <c r="C183" s="3" t="inlineStr">
        <is>
          <t>P1</t>
        </is>
      </c>
      <c r="D183" s="3" t="inlineStr">
        <is>
          <t>credito_tipos</t>
        </is>
      </c>
      <c r="E183" s="3" t="inlineStr">
        <is>
          <t>contabilidad_lp</t>
        </is>
      </c>
      <c r="F183" s="3" t="n">
        <v>76.5266</v>
      </c>
      <c r="G183" s="3" t="n"/>
      <c r="H183" s="3" t="n"/>
      <c r="I183" s="3" t="n">
        <v>0.9956660000000001</v>
      </c>
      <c r="J183" s="3" t="n">
        <v>67.2717</v>
      </c>
      <c r="K183" s="3" t="n">
        <v>91.30929999999999</v>
      </c>
      <c r="L183" s="3" t="n">
        <v>54.9026</v>
      </c>
      <c r="M183" s="3" t="n">
        <v>107.695</v>
      </c>
      <c r="N183" s="3" t="inlineStr">
        <is>
          <t>C4</t>
        </is>
      </c>
      <c r="O183" s="3" t="inlineStr">
        <is>
          <t>si</t>
        </is>
      </c>
      <c r="P183" s="3" t="inlineStr">
        <is>
          <t>no_vota (DOLS sin cointegracion demostrada, J10)</t>
        </is>
      </c>
      <c r="Q183" s="3" t="inlineStr">
        <is>
          <t>dols_sin_escalones</t>
        </is>
      </c>
      <c r="R183" s="3" t="n"/>
      <c r="S183" s="3" t="inlineStr">
        <is>
          <t>DOLS sin escalones; sin cointegracion demostrada</t>
        </is>
      </c>
      <c r="T183" s="3" t="inlineStr">
        <is>
          <t>output/v8/F5/atribucion_combinada.csv</t>
        </is>
      </c>
      <c r="U183" s="2">
        <f>IF(R183=0,"",F183/R183)</f>
        <v/>
      </c>
      <c r="V183" s="2">
        <f>SUMIFS(F$2:F$1589,A$2:A$1589,A183,C$2:C$1589,C183,E$2:E$1589,E183,Q$2:Q$1589,Q183)</f>
        <v/>
      </c>
    </row>
    <row r="184">
      <c r="A184" s="3" t="inlineStr">
        <is>
          <t>compra</t>
        </is>
      </c>
      <c r="B184" s="3" t="inlineStr">
        <is>
          <t>nacional</t>
        </is>
      </c>
      <c r="C184" s="3" t="inlineStr">
        <is>
          <t>P1</t>
        </is>
      </c>
      <c r="D184" s="3" t="inlineStr">
        <is>
          <t>demografia</t>
        </is>
      </c>
      <c r="E184" s="3" t="inlineStr">
        <is>
          <t>contabilidad_lp</t>
        </is>
      </c>
      <c r="F184" s="3" t="n">
        <v>19.8427</v>
      </c>
      <c r="G184" s="3" t="n"/>
      <c r="H184" s="3" t="n"/>
      <c r="I184" s="3" t="n">
        <v>0.258169</v>
      </c>
      <c r="J184" s="3" t="n">
        <v>9.66226</v>
      </c>
      <c r="K184" s="3" t="n">
        <v>28.9301</v>
      </c>
      <c r="L184" s="3" t="n">
        <v>-5.49297</v>
      </c>
      <c r="M184" s="3" t="n">
        <v>34.1949</v>
      </c>
      <c r="N184" s="3" t="inlineStr">
        <is>
          <t>C4</t>
        </is>
      </c>
      <c r="O184" s="3" t="inlineStr">
        <is>
          <t>si</t>
        </is>
      </c>
      <c r="P184" s="3" t="inlineStr">
        <is>
          <t>no_vota (DOLS sin cointegracion demostrada, J10)</t>
        </is>
      </c>
      <c r="Q184" s="3" t="inlineStr">
        <is>
          <t>dols_sin_escalones</t>
        </is>
      </c>
      <c r="R184" s="3" t="n"/>
      <c r="S184" s="3" t="inlineStr">
        <is>
          <t>DOLS sin escalones; sin cointegracion demostrada</t>
        </is>
      </c>
      <c r="T184" s="3" t="inlineStr">
        <is>
          <t>output/v8/F5/atribucion_combinada.csv</t>
        </is>
      </c>
      <c r="U184" s="2">
        <f>IF(R184=0,"",F184/R184)</f>
        <v/>
      </c>
      <c r="V184" s="2">
        <f>SUMIFS(F$2:F$1589,A$2:A$1589,A184,C$2:C$1589,C184,E$2:E$1589,E184,Q$2:Q$1589,Q184)</f>
        <v/>
      </c>
    </row>
    <row r="185">
      <c r="A185" s="3" t="inlineStr">
        <is>
          <t>compra</t>
        </is>
      </c>
      <c r="B185" s="3" t="inlineStr">
        <is>
          <t>nacional</t>
        </is>
      </c>
      <c r="C185" s="3" t="inlineStr">
        <is>
          <t>P1</t>
        </is>
      </c>
      <c r="D185" s="3" t="inlineStr">
        <is>
          <t>oferta</t>
        </is>
      </c>
      <c r="E185" s="3" t="inlineStr">
        <is>
          <t>contabilidad_lp</t>
        </is>
      </c>
      <c r="F185" s="3" t="n">
        <v>-8.912710000000001</v>
      </c>
      <c r="G185" s="3" t="n"/>
      <c r="H185" s="3" t="n"/>
      <c r="I185" s="3" t="n">
        <v>-0.115961</v>
      </c>
      <c r="J185" s="3" t="n">
        <v>-37.7336</v>
      </c>
      <c r="K185" s="3" t="n">
        <v>17.7383</v>
      </c>
      <c r="L185" s="3" t="n">
        <v>-79.3335</v>
      </c>
      <c r="M185" s="3" t="n">
        <v>47.1988</v>
      </c>
      <c r="N185" s="3" t="inlineStr">
        <is>
          <t>C4</t>
        </is>
      </c>
      <c r="O185" s="3" t="inlineStr">
        <is>
          <t>si</t>
        </is>
      </c>
      <c r="P185" s="3" t="inlineStr">
        <is>
          <t>no_vota (DOLS sin cointegracion demostrada, J10)</t>
        </is>
      </c>
      <c r="Q185" s="3" t="inlineStr">
        <is>
          <t>dols_sin_escalones</t>
        </is>
      </c>
      <c r="R185" s="3" t="n"/>
      <c r="S185" s="3" t="inlineStr">
        <is>
          <t>DOLS sin escalones; sin cointegracion demostrada</t>
        </is>
      </c>
      <c r="T185" s="3" t="inlineStr">
        <is>
          <t>output/v8/F5/atribucion_combinada.csv</t>
        </is>
      </c>
      <c r="U185" s="2">
        <f>IF(R185=0,"",F185/R185)</f>
        <v/>
      </c>
      <c r="V185" s="2">
        <f>SUMIFS(F$2:F$1589,A$2:A$1589,A185,C$2:C$1589,C185,E$2:E$1589,E185,Q$2:Q$1589,Q185)</f>
        <v/>
      </c>
    </row>
    <row r="186">
      <c r="A186" s="3" t="inlineStr">
        <is>
          <t>compra</t>
        </is>
      </c>
      <c r="B186" s="3" t="inlineStr">
        <is>
          <t>nacional</t>
        </is>
      </c>
      <c r="C186" s="3" t="inlineStr">
        <is>
          <t>P1</t>
        </is>
      </c>
      <c r="D186" s="3" t="inlineStr">
        <is>
          <t>residuo</t>
        </is>
      </c>
      <c r="E186" s="3" t="inlineStr">
        <is>
          <t>contabilidad_lp</t>
        </is>
      </c>
      <c r="F186" s="3" t="n">
        <v>-12.651</v>
      </c>
      <c r="G186" s="3" t="n"/>
      <c r="H186" s="3" t="n"/>
      <c r="I186" s="3" t="n">
        <v>-0.164598</v>
      </c>
      <c r="J186" s="3" t="n">
        <v>-36.1984</v>
      </c>
      <c r="K186" s="3" t="n">
        <v>0.846611</v>
      </c>
      <c r="L186" s="3" t="n">
        <v>-54.1247</v>
      </c>
      <c r="M186" s="3" t="n">
        <v>17.1028</v>
      </c>
      <c r="N186" s="3" t="inlineStr">
        <is>
          <t>C4</t>
        </is>
      </c>
      <c r="O186" s="3" t="inlineStr">
        <is>
          <t>no</t>
        </is>
      </c>
      <c r="P186" s="3" t="inlineStr">
        <is>
          <t>no_compite</t>
        </is>
      </c>
      <c r="Q186" s="3" t="inlineStr">
        <is>
          <t>dols_sin_escalones</t>
        </is>
      </c>
      <c r="R186" s="3" t="n"/>
      <c r="S186" s="3" t="inlineStr">
        <is>
          <t>DOLS sin escalones; sin cointegracion demostrada</t>
        </is>
      </c>
      <c r="T186" s="3" t="inlineStr">
        <is>
          <t>output/v8/F5/atribucion_combinada.csv</t>
        </is>
      </c>
      <c r="U186" s="2">
        <f>IF(R186=0,"",F186/R186)</f>
        <v/>
      </c>
      <c r="V186" s="2">
        <f>SUMIFS(F$2:F$1589,A$2:A$1589,A186,C$2:C$1589,C186,E$2:E$1589,E186,Q$2:Q$1589,Q186)</f>
        <v/>
      </c>
    </row>
    <row r="187">
      <c r="A187" s="3" t="inlineStr">
        <is>
          <t>compra</t>
        </is>
      </c>
      <c r="B187" s="3" t="inlineStr">
        <is>
          <t>nacional</t>
        </is>
      </c>
      <c r="C187" s="3" t="inlineStr">
        <is>
          <t>P2</t>
        </is>
      </c>
      <c r="D187" s="3" t="inlineStr">
        <is>
          <t>empleo_renta</t>
        </is>
      </c>
      <c r="E187" s="3" t="inlineStr">
        <is>
          <t>contabilidad_lp</t>
        </is>
      </c>
      <c r="F187" s="3" t="n">
        <v>-0.530348</v>
      </c>
      <c r="G187" s="3" t="n"/>
      <c r="H187" s="3" t="n"/>
      <c r="I187" s="3" t="n">
        <v>0.0120529</v>
      </c>
      <c r="J187" s="3" t="n">
        <v>-4.72998</v>
      </c>
      <c r="K187" s="3" t="n">
        <v>1.85104</v>
      </c>
      <c r="L187" s="3" t="n">
        <v>-11.5046</v>
      </c>
      <c r="M187" s="3" t="n">
        <v>3.71882</v>
      </c>
      <c r="N187" s="3" t="inlineStr">
        <is>
          <t>C4</t>
        </is>
      </c>
      <c r="O187" s="3" t="inlineStr">
        <is>
          <t>si</t>
        </is>
      </c>
      <c r="P187" s="3" t="inlineStr">
        <is>
          <t>no_vota (DOLS sin cointegracion demostrada, J10)</t>
        </is>
      </c>
      <c r="Q187" s="3" t="inlineStr">
        <is>
          <t>dols_sin_escalones</t>
        </is>
      </c>
      <c r="R187" s="3" t="n"/>
      <c r="S187" s="3" t="inlineStr">
        <is>
          <t>DOLS sin escalones; sin cointegracion demostrada</t>
        </is>
      </c>
      <c r="T187" s="3" t="inlineStr">
        <is>
          <t>output/v8/F5/atribucion_combinada.csv</t>
        </is>
      </c>
      <c r="U187" s="2">
        <f>IF(R187=0,"",F187/R187)</f>
        <v/>
      </c>
      <c r="V187" s="2">
        <f>SUMIFS(F$2:F$1589,A$2:A$1589,A187,C$2:C$1589,C187,E$2:E$1589,E187,Q$2:Q$1589,Q187)</f>
        <v/>
      </c>
    </row>
    <row r="188">
      <c r="A188" s="3" t="inlineStr">
        <is>
          <t>compra</t>
        </is>
      </c>
      <c r="B188" s="3" t="inlineStr">
        <is>
          <t>nacional</t>
        </is>
      </c>
      <c r="C188" s="3" t="inlineStr">
        <is>
          <t>P2</t>
        </is>
      </c>
      <c r="D188" s="3" t="inlineStr">
        <is>
          <t>credito_tipos</t>
        </is>
      </c>
      <c r="E188" s="3" t="inlineStr">
        <is>
          <t>contabilidad_lp</t>
        </is>
      </c>
      <c r="F188" s="3" t="n">
        <v>-8.651859999999999</v>
      </c>
      <c r="G188" s="3" t="n"/>
      <c r="H188" s="3" t="n"/>
      <c r="I188" s="3" t="n">
        <v>0.196625</v>
      </c>
      <c r="J188" s="3" t="n">
        <v>-11.1626</v>
      </c>
      <c r="K188" s="3" t="n">
        <v>-7.52745</v>
      </c>
      <c r="L188" s="3" t="n">
        <v>-12.8824</v>
      </c>
      <c r="M188" s="3" t="n">
        <v>-5.92053</v>
      </c>
      <c r="N188" s="3" t="inlineStr">
        <is>
          <t>C4</t>
        </is>
      </c>
      <c r="O188" s="3" t="inlineStr">
        <is>
          <t>si</t>
        </is>
      </c>
      <c r="P188" s="3" t="inlineStr">
        <is>
          <t>no_vota (DOLS sin cointegracion demostrada, J10)</t>
        </is>
      </c>
      <c r="Q188" s="3" t="inlineStr">
        <is>
          <t>dols_sin_escalones</t>
        </is>
      </c>
      <c r="R188" s="3" t="n"/>
      <c r="S188" s="3" t="inlineStr">
        <is>
          <t>DOLS sin escalones; sin cointegracion demostrada</t>
        </is>
      </c>
      <c r="T188" s="3" t="inlineStr">
        <is>
          <t>output/v8/F5/atribucion_combinada.csv</t>
        </is>
      </c>
      <c r="U188" s="2">
        <f>IF(R188=0,"",F188/R188)</f>
        <v/>
      </c>
      <c r="V188" s="2">
        <f>SUMIFS(F$2:F$1589,A$2:A$1589,A188,C$2:C$1589,C188,E$2:E$1589,E188,Q$2:Q$1589,Q188)</f>
        <v/>
      </c>
    </row>
    <row r="189">
      <c r="A189" s="3" t="inlineStr">
        <is>
          <t>compra</t>
        </is>
      </c>
      <c r="B189" s="3" t="inlineStr">
        <is>
          <t>nacional</t>
        </is>
      </c>
      <c r="C189" s="3" t="inlineStr">
        <is>
          <t>P2</t>
        </is>
      </c>
      <c r="D189" s="3" t="inlineStr">
        <is>
          <t>demografia</t>
        </is>
      </c>
      <c r="E189" s="3" t="inlineStr">
        <is>
          <t>contabilidad_lp</t>
        </is>
      </c>
      <c r="F189" s="3" t="n">
        <v>2.46433</v>
      </c>
      <c r="G189" s="3" t="n"/>
      <c r="H189" s="3" t="n"/>
      <c r="I189" s="3" t="n">
        <v>-0.0560051</v>
      </c>
      <c r="J189" s="3" t="n">
        <v>1.19998</v>
      </c>
      <c r="K189" s="3" t="n">
        <v>3.59291</v>
      </c>
      <c r="L189" s="3" t="n">
        <v>-0.682188</v>
      </c>
      <c r="M189" s="3" t="n">
        <v>4.24676</v>
      </c>
      <c r="N189" s="3" t="inlineStr">
        <is>
          <t>C4</t>
        </is>
      </c>
      <c r="O189" s="3" t="inlineStr">
        <is>
          <t>si</t>
        </is>
      </c>
      <c r="P189" s="3" t="inlineStr">
        <is>
          <t>no_vota (DOLS sin cointegracion demostrada, J10)</t>
        </is>
      </c>
      <c r="Q189" s="3" t="inlineStr">
        <is>
          <t>dols_sin_escalones</t>
        </is>
      </c>
      <c r="R189" s="3" t="n"/>
      <c r="S189" s="3" t="inlineStr">
        <is>
          <t>DOLS sin escalones; sin cointegracion demostrada</t>
        </is>
      </c>
      <c r="T189" s="3" t="inlineStr">
        <is>
          <t>output/v8/F5/atribucion_combinada.csv</t>
        </is>
      </c>
      <c r="U189" s="2">
        <f>IF(R189=0,"",F189/R189)</f>
        <v/>
      </c>
      <c r="V189" s="2">
        <f>SUMIFS(F$2:F$1589,A$2:A$1589,A189,C$2:C$1589,C189,E$2:E$1589,E189,Q$2:Q$1589,Q189)</f>
        <v/>
      </c>
    </row>
    <row r="190">
      <c r="A190" s="3" t="inlineStr">
        <is>
          <t>compra</t>
        </is>
      </c>
      <c r="B190" s="3" t="inlineStr">
        <is>
          <t>nacional</t>
        </is>
      </c>
      <c r="C190" s="3" t="inlineStr">
        <is>
          <t>P2</t>
        </is>
      </c>
      <c r="D190" s="3" t="inlineStr">
        <is>
          <t>oferta</t>
        </is>
      </c>
      <c r="E190" s="3" t="inlineStr">
        <is>
          <t>contabilidad_lp</t>
        </is>
      </c>
      <c r="F190" s="3" t="n">
        <v>-0.759112</v>
      </c>
      <c r="G190" s="3" t="n"/>
      <c r="H190" s="3" t="n"/>
      <c r="I190" s="3" t="n">
        <v>0.0172518</v>
      </c>
      <c r="J190" s="3" t="n">
        <v>-3.21384</v>
      </c>
      <c r="K190" s="3" t="n">
        <v>1.5108</v>
      </c>
      <c r="L190" s="3" t="n">
        <v>-6.75698</v>
      </c>
      <c r="M190" s="3" t="n">
        <v>4.02001</v>
      </c>
      <c r="N190" s="3" t="inlineStr">
        <is>
          <t>C4</t>
        </is>
      </c>
      <c r="O190" s="3" t="inlineStr">
        <is>
          <t>si</t>
        </is>
      </c>
      <c r="P190" s="3" t="inlineStr">
        <is>
          <t>no_vota (DOLS sin cointegracion demostrada, J10)</t>
        </is>
      </c>
      <c r="Q190" s="3" t="inlineStr">
        <is>
          <t>dols_sin_escalones</t>
        </is>
      </c>
      <c r="R190" s="3" t="n"/>
      <c r="S190" s="3" t="inlineStr">
        <is>
          <t>DOLS sin escalones; sin cointegracion demostrada</t>
        </is>
      </c>
      <c r="T190" s="3" t="inlineStr">
        <is>
          <t>output/v8/F5/atribucion_combinada.csv</t>
        </is>
      </c>
      <c r="U190" s="2">
        <f>IF(R190=0,"",F190/R190)</f>
        <v/>
      </c>
      <c r="V190" s="2">
        <f>SUMIFS(F$2:F$1589,A$2:A$1589,A190,C$2:C$1589,C190,E$2:E$1589,E190,Q$2:Q$1589,Q190)</f>
        <v/>
      </c>
    </row>
    <row r="191">
      <c r="A191" s="3" t="inlineStr">
        <is>
          <t>compra</t>
        </is>
      </c>
      <c r="B191" s="3" t="inlineStr">
        <is>
          <t>nacional</t>
        </is>
      </c>
      <c r="C191" s="3" t="inlineStr">
        <is>
          <t>P2</t>
        </is>
      </c>
      <c r="D191" s="3" t="inlineStr">
        <is>
          <t>residuo</t>
        </is>
      </c>
      <c r="E191" s="3" t="inlineStr">
        <is>
          <t>contabilidad_lp</t>
        </is>
      </c>
      <c r="F191" s="3" t="n">
        <v>-36.5248</v>
      </c>
      <c r="G191" s="3" t="n"/>
      <c r="H191" s="3" t="n"/>
      <c r="I191" s="3" t="n">
        <v>0.830075</v>
      </c>
      <c r="J191" s="3" t="n">
        <v>-41.0978</v>
      </c>
      <c r="K191" s="3" t="n">
        <v>-27.8431</v>
      </c>
      <c r="L191" s="3" t="n">
        <v>-45.9961</v>
      </c>
      <c r="M191" s="3" t="n">
        <v>-15.2327</v>
      </c>
      <c r="N191" s="3" t="inlineStr">
        <is>
          <t>C4</t>
        </is>
      </c>
      <c r="O191" s="3" t="inlineStr">
        <is>
          <t>no</t>
        </is>
      </c>
      <c r="P191" s="3" t="inlineStr">
        <is>
          <t>no_compite</t>
        </is>
      </c>
      <c r="Q191" s="3" t="inlineStr">
        <is>
          <t>dols_sin_escalones</t>
        </is>
      </c>
      <c r="R191" s="3" t="n"/>
      <c r="S191" s="3" t="inlineStr">
        <is>
          <t>DOLS sin escalones; sin cointegracion demostrada</t>
        </is>
      </c>
      <c r="T191" s="3" t="inlineStr">
        <is>
          <t>output/v8/F5/atribucion_combinada.csv</t>
        </is>
      </c>
      <c r="U191" s="2">
        <f>IF(R191=0,"",F191/R191)</f>
        <v/>
      </c>
      <c r="V191" s="2">
        <f>SUMIFS(F$2:F$1589,A$2:A$1589,A191,C$2:C$1589,C191,E$2:E$1589,E191,Q$2:Q$1589,Q191)</f>
        <v/>
      </c>
    </row>
    <row r="192">
      <c r="A192" s="3" t="inlineStr">
        <is>
          <t>compra</t>
        </is>
      </c>
      <c r="B192" s="3" t="inlineStr">
        <is>
          <t>nacional</t>
        </is>
      </c>
      <c r="C192" s="3" t="inlineStr">
        <is>
          <t>P3</t>
        </is>
      </c>
      <c r="D192" s="3" t="inlineStr">
        <is>
          <t>empleo_renta</t>
        </is>
      </c>
      <c r="E192" s="3" t="inlineStr">
        <is>
          <t>contabilidad_lp</t>
        </is>
      </c>
      <c r="F192" s="3" t="n">
        <v>0.929376</v>
      </c>
      <c r="G192" s="3" t="n"/>
      <c r="H192" s="3" t="n"/>
      <c r="I192" s="3" t="n">
        <v>0.113108</v>
      </c>
      <c r="J192" s="3" t="n">
        <v>-3.24375</v>
      </c>
      <c r="K192" s="3" t="n">
        <v>8.28877</v>
      </c>
      <c r="L192" s="3" t="n">
        <v>-6.51683</v>
      </c>
      <c r="M192" s="3" t="n">
        <v>20.1605</v>
      </c>
      <c r="N192" s="3" t="inlineStr">
        <is>
          <t>C4</t>
        </is>
      </c>
      <c r="O192" s="3" t="inlineStr">
        <is>
          <t>si</t>
        </is>
      </c>
      <c r="P192" s="3" t="inlineStr">
        <is>
          <t>no_vota (DOLS sin cointegracion demostrada, J10)</t>
        </is>
      </c>
      <c r="Q192" s="3" t="inlineStr">
        <is>
          <t>dols_sin_escalones</t>
        </is>
      </c>
      <c r="R192" s="3" t="n"/>
      <c r="S192" s="3" t="inlineStr">
        <is>
          <t>DOLS sin escalones; sin cointegracion demostrada</t>
        </is>
      </c>
      <c r="T192" s="3" t="inlineStr">
        <is>
          <t>output/v8/F5/atribucion_combinada.csv</t>
        </is>
      </c>
      <c r="U192" s="2">
        <f>IF(R192=0,"",F192/R192)</f>
        <v/>
      </c>
      <c r="V192" s="2">
        <f>SUMIFS(F$2:F$1589,A$2:A$1589,A192,C$2:C$1589,C192,E$2:E$1589,E192,Q$2:Q$1589,Q192)</f>
        <v/>
      </c>
    </row>
    <row r="193">
      <c r="A193" s="3" t="inlineStr">
        <is>
          <t>compra</t>
        </is>
      </c>
      <c r="B193" s="3" t="inlineStr">
        <is>
          <t>nacional</t>
        </is>
      </c>
      <c r="C193" s="3" t="inlineStr">
        <is>
          <t>P3</t>
        </is>
      </c>
      <c r="D193" s="3" t="inlineStr">
        <is>
          <t>credito_tipos</t>
        </is>
      </c>
      <c r="E193" s="3" t="inlineStr">
        <is>
          <t>contabilidad_lp</t>
        </is>
      </c>
      <c r="F193" s="3" t="n">
        <v>-9.879770000000001</v>
      </c>
      <c r="G193" s="3" t="n"/>
      <c r="H193" s="3" t="n"/>
      <c r="I193" s="3" t="n">
        <v>-1.2024</v>
      </c>
      <c r="J193" s="3" t="n">
        <v>-11.6672</v>
      </c>
      <c r="K193" s="3" t="n">
        <v>-7.79269</v>
      </c>
      <c r="L193" s="3" t="n">
        <v>-13.6191</v>
      </c>
      <c r="M193" s="3" t="n">
        <v>-6.00213</v>
      </c>
      <c r="N193" s="3" t="inlineStr">
        <is>
          <t>C4</t>
        </is>
      </c>
      <c r="O193" s="3" t="inlineStr">
        <is>
          <t>si</t>
        </is>
      </c>
      <c r="P193" s="3" t="inlineStr">
        <is>
          <t>no_vota (DOLS sin cointegracion demostrada, J10)</t>
        </is>
      </c>
      <c r="Q193" s="3" t="inlineStr">
        <is>
          <t>dols_sin_escalones</t>
        </is>
      </c>
      <c r="R193" s="3" t="n"/>
      <c r="S193" s="3" t="inlineStr">
        <is>
          <t>DOLS sin escalones; sin cointegracion demostrada</t>
        </is>
      </c>
      <c r="T193" s="3" t="inlineStr">
        <is>
          <t>output/v8/F5/atribucion_combinada.csv</t>
        </is>
      </c>
      <c r="U193" s="2">
        <f>IF(R193=0,"",F193/R193)</f>
        <v/>
      </c>
      <c r="V193" s="2">
        <f>SUMIFS(F$2:F$1589,A$2:A$1589,A193,C$2:C$1589,C193,E$2:E$1589,E193,Q$2:Q$1589,Q193)</f>
        <v/>
      </c>
    </row>
    <row r="194">
      <c r="A194" s="3" t="inlineStr">
        <is>
          <t>compra</t>
        </is>
      </c>
      <c r="B194" s="3" t="inlineStr">
        <is>
          <t>nacional</t>
        </is>
      </c>
      <c r="C194" s="3" t="inlineStr">
        <is>
          <t>P3</t>
        </is>
      </c>
      <c r="D194" s="3" t="inlineStr">
        <is>
          <t>demografia</t>
        </is>
      </c>
      <c r="E194" s="3" t="inlineStr">
        <is>
          <t>contabilidad_lp</t>
        </is>
      </c>
      <c r="F194" s="3" t="n">
        <v>2.26485</v>
      </c>
      <c r="G194" s="3" t="n"/>
      <c r="H194" s="3" t="n"/>
      <c r="I194" s="3" t="n">
        <v>0.275641</v>
      </c>
      <c r="J194" s="3" t="n">
        <v>1.10285</v>
      </c>
      <c r="K194" s="3" t="n">
        <v>3.30208</v>
      </c>
      <c r="L194" s="3" t="n">
        <v>-0.626969</v>
      </c>
      <c r="M194" s="3" t="n">
        <v>3.90301</v>
      </c>
      <c r="N194" s="3" t="inlineStr">
        <is>
          <t>C4</t>
        </is>
      </c>
      <c r="O194" s="3" t="inlineStr">
        <is>
          <t>si</t>
        </is>
      </c>
      <c r="P194" s="3" t="inlineStr">
        <is>
          <t>no_vota (DOLS sin cointegracion demostrada, J10)</t>
        </is>
      </c>
      <c r="Q194" s="3" t="inlineStr">
        <is>
          <t>dols_sin_escalones</t>
        </is>
      </c>
      <c r="R194" s="3" t="n"/>
      <c r="S194" s="3" t="inlineStr">
        <is>
          <t>DOLS sin escalones; sin cointegracion demostrada</t>
        </is>
      </c>
      <c r="T194" s="3" t="inlineStr">
        <is>
          <t>output/v8/F5/atribucion_combinada.csv</t>
        </is>
      </c>
      <c r="U194" s="2">
        <f>IF(R194=0,"",F194/R194)</f>
        <v/>
      </c>
      <c r="V194" s="2">
        <f>SUMIFS(F$2:F$1589,A$2:A$1589,A194,C$2:C$1589,C194,E$2:E$1589,E194,Q$2:Q$1589,Q194)</f>
        <v/>
      </c>
    </row>
    <row r="195">
      <c r="A195" s="3" t="inlineStr">
        <is>
          <t>compra</t>
        </is>
      </c>
      <c r="B195" s="3" t="inlineStr">
        <is>
          <t>nacional</t>
        </is>
      </c>
      <c r="C195" s="3" t="inlineStr">
        <is>
          <t>P3</t>
        </is>
      </c>
      <c r="D195" s="3" t="inlineStr">
        <is>
          <t>oferta</t>
        </is>
      </c>
      <c r="E195" s="3" t="inlineStr">
        <is>
          <t>contabilidad_lp</t>
        </is>
      </c>
      <c r="F195" s="3" t="n">
        <v>-0.190692</v>
      </c>
      <c r="G195" s="3" t="n"/>
      <c r="H195" s="3" t="n"/>
      <c r="I195" s="3" t="n">
        <v>-0.0232078</v>
      </c>
      <c r="J195" s="3" t="n">
        <v>-0.807329</v>
      </c>
      <c r="K195" s="3" t="n">
        <v>0.37952</v>
      </c>
      <c r="L195" s="3" t="n">
        <v>-1.69738</v>
      </c>
      <c r="M195" s="3" t="n">
        <v>1.00984</v>
      </c>
      <c r="N195" s="3" t="inlineStr">
        <is>
          <t>C4</t>
        </is>
      </c>
      <c r="O195" s="3" t="inlineStr">
        <is>
          <t>si</t>
        </is>
      </c>
      <c r="P195" s="3" t="inlineStr">
        <is>
          <t>no_vota (DOLS sin cointegracion demostrada, J10)</t>
        </is>
      </c>
      <c r="Q195" s="3" t="inlineStr">
        <is>
          <t>dols_sin_escalones</t>
        </is>
      </c>
      <c r="R195" s="3" t="n"/>
      <c r="S195" s="3" t="inlineStr">
        <is>
          <t>DOLS sin escalones; sin cointegracion demostrada</t>
        </is>
      </c>
      <c r="T195" s="3" t="inlineStr">
        <is>
          <t>output/v8/F5/atribucion_combinada.csv</t>
        </is>
      </c>
      <c r="U195" s="2">
        <f>IF(R195=0,"",F195/R195)</f>
        <v/>
      </c>
      <c r="V195" s="2">
        <f>SUMIFS(F$2:F$1589,A$2:A$1589,A195,C$2:C$1589,C195,E$2:E$1589,E195,Q$2:Q$1589,Q195)</f>
        <v/>
      </c>
    </row>
    <row r="196">
      <c r="A196" s="3" t="inlineStr">
        <is>
          <t>compra</t>
        </is>
      </c>
      <c r="B196" s="3" t="inlineStr">
        <is>
          <t>nacional</t>
        </is>
      </c>
      <c r="C196" s="3" t="inlineStr">
        <is>
          <t>P3</t>
        </is>
      </c>
      <c r="D196" s="3" t="inlineStr">
        <is>
          <t>residuo</t>
        </is>
      </c>
      <c r="E196" s="3" t="inlineStr">
        <is>
          <t>contabilidad_lp</t>
        </is>
      </c>
      <c r="F196" s="3" t="n">
        <v>15.0929</v>
      </c>
      <c r="G196" s="3" t="n"/>
      <c r="H196" s="3" t="n"/>
      <c r="I196" s="3" t="n">
        <v>1.83686</v>
      </c>
      <c r="J196" s="3" t="n">
        <v>9.228910000000001</v>
      </c>
      <c r="K196" s="3" t="n">
        <v>17.7124</v>
      </c>
      <c r="L196" s="3" t="n">
        <v>1.36249</v>
      </c>
      <c r="M196" s="3" t="n">
        <v>20.8383</v>
      </c>
      <c r="N196" s="3" t="inlineStr">
        <is>
          <t>C4</t>
        </is>
      </c>
      <c r="O196" s="3" t="inlineStr">
        <is>
          <t>no</t>
        </is>
      </c>
      <c r="P196" s="3" t="inlineStr">
        <is>
          <t>no_compite</t>
        </is>
      </c>
      <c r="Q196" s="3" t="inlineStr">
        <is>
          <t>dols_sin_escalones</t>
        </is>
      </c>
      <c r="R196" s="3" t="n"/>
      <c r="S196" s="3" t="inlineStr">
        <is>
          <t>DOLS sin escalones; sin cointegracion demostrada</t>
        </is>
      </c>
      <c r="T196" s="3" t="inlineStr">
        <is>
          <t>output/v8/F5/atribucion_combinada.csv</t>
        </is>
      </c>
      <c r="U196" s="2">
        <f>IF(R196=0,"",F196/R196)</f>
        <v/>
      </c>
      <c r="V196" s="2">
        <f>SUMIFS(F$2:F$1589,A$2:A$1589,A196,C$2:C$1589,C196,E$2:E$1589,E196,Q$2:Q$1589,Q196)</f>
        <v/>
      </c>
    </row>
    <row r="197">
      <c r="A197" s="3" t="inlineStr">
        <is>
          <t>compra</t>
        </is>
      </c>
      <c r="B197" s="3" t="inlineStr">
        <is>
          <t>nacional</t>
        </is>
      </c>
      <c r="C197" s="3" t="inlineStr">
        <is>
          <t>P4</t>
        </is>
      </c>
      <c r="D197" s="3" t="inlineStr">
        <is>
          <t>empleo_renta</t>
        </is>
      </c>
      <c r="E197" s="3" t="inlineStr">
        <is>
          <t>contabilidad_lp</t>
        </is>
      </c>
      <c r="F197" s="3" t="n">
        <v>0.32784</v>
      </c>
      <c r="G197" s="3" t="n"/>
      <c r="H197" s="3" t="n"/>
      <c r="I197" s="3" t="n">
        <v>-0.060079</v>
      </c>
      <c r="J197" s="3" t="n">
        <v>-1.14424</v>
      </c>
      <c r="K197" s="3" t="n">
        <v>2.92389</v>
      </c>
      <c r="L197" s="3" t="n">
        <v>-2.29883</v>
      </c>
      <c r="M197" s="3" t="n">
        <v>7.11168</v>
      </c>
      <c r="N197" s="3" t="inlineStr">
        <is>
          <t>C4</t>
        </is>
      </c>
      <c r="O197" s="3" t="inlineStr">
        <is>
          <t>si</t>
        </is>
      </c>
      <c r="P197" s="3" t="inlineStr">
        <is>
          <t>no_vota (DOLS sin cointegracion demostrada, J10)</t>
        </is>
      </c>
      <c r="Q197" s="3" t="inlineStr">
        <is>
          <t>dols_sin_escalones</t>
        </is>
      </c>
      <c r="R197" s="3" t="n"/>
      <c r="S197" s="3" t="inlineStr">
        <is>
          <t>DOLS sin escalones; sin cointegracion demostrada</t>
        </is>
      </c>
      <c r="T197" s="3" t="inlineStr">
        <is>
          <t>output/v8/F5/atribucion_combinada.csv</t>
        </is>
      </c>
      <c r="U197" s="2">
        <f>IF(R197=0,"",F197/R197)</f>
        <v/>
      </c>
      <c r="V197" s="2">
        <f>SUMIFS(F$2:F$1589,A$2:A$1589,A197,C$2:C$1589,C197,E$2:E$1589,E197,Q$2:Q$1589,Q197)</f>
        <v/>
      </c>
    </row>
    <row r="198">
      <c r="A198" s="3" t="inlineStr">
        <is>
          <t>compra</t>
        </is>
      </c>
      <c r="B198" s="3" t="inlineStr">
        <is>
          <t>nacional</t>
        </is>
      </c>
      <c r="C198" s="3" t="inlineStr">
        <is>
          <t>P4</t>
        </is>
      </c>
      <c r="D198" s="3" t="inlineStr">
        <is>
          <t>credito_tipos</t>
        </is>
      </c>
      <c r="E198" s="3" t="inlineStr">
        <is>
          <t>contabilidad_lp</t>
        </is>
      </c>
      <c r="F198" s="3" t="n">
        <v>-1.79283</v>
      </c>
      <c r="G198" s="3" t="n"/>
      <c r="H198" s="3" t="n"/>
      <c r="I198" s="3" t="n">
        <v>0.328549</v>
      </c>
      <c r="J198" s="3" t="n">
        <v>-4.36973</v>
      </c>
      <c r="K198" s="3" t="n">
        <v>3.83154</v>
      </c>
      <c r="L198" s="3" t="n">
        <v>-7.16328</v>
      </c>
      <c r="M198" s="3" t="n">
        <v>9.11598</v>
      </c>
      <c r="N198" s="3" t="inlineStr">
        <is>
          <t>C4</t>
        </is>
      </c>
      <c r="O198" s="3" t="inlineStr">
        <is>
          <t>si</t>
        </is>
      </c>
      <c r="P198" s="3" t="inlineStr">
        <is>
          <t>no_vota (DOLS sin cointegracion demostrada, J10)</t>
        </is>
      </c>
      <c r="Q198" s="3" t="inlineStr">
        <is>
          <t>dols_sin_escalones</t>
        </is>
      </c>
      <c r="R198" s="3" t="n"/>
      <c r="S198" s="3" t="inlineStr">
        <is>
          <t>DOLS sin escalones; sin cointegracion demostrada</t>
        </is>
      </c>
      <c r="T198" s="3" t="inlineStr">
        <is>
          <t>output/v8/F5/atribucion_combinada.csv</t>
        </is>
      </c>
      <c r="U198" s="2">
        <f>IF(R198=0,"",F198/R198)</f>
        <v/>
      </c>
      <c r="V198" s="2">
        <f>SUMIFS(F$2:F$1589,A$2:A$1589,A198,C$2:C$1589,C198,E$2:E$1589,E198,Q$2:Q$1589,Q198)</f>
        <v/>
      </c>
    </row>
    <row r="199">
      <c r="A199" s="3" t="inlineStr">
        <is>
          <t>compra</t>
        </is>
      </c>
      <c r="B199" s="3" t="inlineStr">
        <is>
          <t>nacional</t>
        </is>
      </c>
      <c r="C199" s="3" t="inlineStr">
        <is>
          <t>P4</t>
        </is>
      </c>
      <c r="D199" s="3" t="inlineStr">
        <is>
          <t>demografia</t>
        </is>
      </c>
      <c r="E199" s="3" t="inlineStr">
        <is>
          <t>contabilidad_lp</t>
        </is>
      </c>
      <c r="F199" s="3" t="n">
        <v>0.979777</v>
      </c>
      <c r="G199" s="3" t="n"/>
      <c r="H199" s="3" t="n"/>
      <c r="I199" s="3" t="n">
        <v>-0.179551</v>
      </c>
      <c r="J199" s="3" t="n">
        <v>0.477095</v>
      </c>
      <c r="K199" s="3" t="n">
        <v>1.42848</v>
      </c>
      <c r="L199" s="3" t="n">
        <v>-0.271227</v>
      </c>
      <c r="M199" s="3" t="n">
        <v>1.68844</v>
      </c>
      <c r="N199" s="3" t="inlineStr">
        <is>
          <t>C4</t>
        </is>
      </c>
      <c r="O199" s="3" t="inlineStr">
        <is>
          <t>si</t>
        </is>
      </c>
      <c r="P199" s="3" t="inlineStr">
        <is>
          <t>no_vota (DOLS sin cointegracion demostrada, J10)</t>
        </is>
      </c>
      <c r="Q199" s="3" t="inlineStr">
        <is>
          <t>dols_sin_escalones</t>
        </is>
      </c>
      <c r="R199" s="3" t="n"/>
      <c r="S199" s="3" t="inlineStr">
        <is>
          <t>DOLS sin escalones; sin cointegracion demostrada</t>
        </is>
      </c>
      <c r="T199" s="3" t="inlineStr">
        <is>
          <t>output/v8/F5/atribucion_combinada.csv</t>
        </is>
      </c>
      <c r="U199" s="2">
        <f>IF(R199=0,"",F199/R199)</f>
        <v/>
      </c>
      <c r="V199" s="2">
        <f>SUMIFS(F$2:F$1589,A$2:A$1589,A199,C$2:C$1589,C199,E$2:E$1589,E199,Q$2:Q$1589,Q199)</f>
        <v/>
      </c>
    </row>
    <row r="200">
      <c r="A200" s="3" t="inlineStr">
        <is>
          <t>compra</t>
        </is>
      </c>
      <c r="B200" s="3" t="inlineStr">
        <is>
          <t>nacional</t>
        </is>
      </c>
      <c r="C200" s="3" t="inlineStr">
        <is>
          <t>P4</t>
        </is>
      </c>
      <c r="D200" s="3" t="inlineStr">
        <is>
          <t>oferta</t>
        </is>
      </c>
      <c r="E200" s="3" t="inlineStr">
        <is>
          <t>contabilidad_lp</t>
        </is>
      </c>
      <c r="F200" s="3" t="n">
        <v>-0.113515</v>
      </c>
      <c r="G200" s="3" t="n"/>
      <c r="H200" s="3" t="n"/>
      <c r="I200" s="3" t="n">
        <v>0.0208024</v>
      </c>
      <c r="J200" s="3" t="n">
        <v>-0.480587</v>
      </c>
      <c r="K200" s="3" t="n">
        <v>0.225921</v>
      </c>
      <c r="L200" s="3" t="n">
        <v>-1.01042</v>
      </c>
      <c r="M200" s="3" t="n">
        <v>0.601139</v>
      </c>
      <c r="N200" s="3" t="inlineStr">
        <is>
          <t>C4</t>
        </is>
      </c>
      <c r="O200" s="3" t="inlineStr">
        <is>
          <t>si</t>
        </is>
      </c>
      <c r="P200" s="3" t="inlineStr">
        <is>
          <t>no_vota (DOLS sin cointegracion demostrada, J10)</t>
        </is>
      </c>
      <c r="Q200" s="3" t="inlineStr">
        <is>
          <t>dols_sin_escalones</t>
        </is>
      </c>
      <c r="R200" s="3" t="n"/>
      <c r="S200" s="3" t="inlineStr">
        <is>
          <t>DOLS sin escalones; sin cointegracion demostrada</t>
        </is>
      </c>
      <c r="T200" s="3" t="inlineStr">
        <is>
          <t>output/v8/F5/atribucion_combinada.csv</t>
        </is>
      </c>
      <c r="U200" s="2">
        <f>IF(R200=0,"",F200/R200)</f>
        <v/>
      </c>
      <c r="V200" s="2">
        <f>SUMIFS(F$2:F$1589,A$2:A$1589,A200,C$2:C$1589,C200,E$2:E$1589,E200,Q$2:Q$1589,Q200)</f>
        <v/>
      </c>
    </row>
    <row r="201">
      <c r="A201" s="3" t="inlineStr">
        <is>
          <t>compra</t>
        </is>
      </c>
      <c r="B201" s="3" t="inlineStr">
        <is>
          <t>nacional</t>
        </is>
      </c>
      <c r="C201" s="3" t="inlineStr">
        <is>
          <t>P4</t>
        </is>
      </c>
      <c r="D201" s="3" t="inlineStr">
        <is>
          <t>residuo</t>
        </is>
      </c>
      <c r="E201" s="3" t="inlineStr">
        <is>
          <t>contabilidad_lp</t>
        </is>
      </c>
      <c r="F201" s="3" t="n">
        <v>-4.85809</v>
      </c>
      <c r="G201" s="3" t="n"/>
      <c r="H201" s="3" t="n"/>
      <c r="I201" s="3" t="n">
        <v>0.890279</v>
      </c>
      <c r="J201" s="3" t="n">
        <v>-11.2006</v>
      </c>
      <c r="K201" s="3" t="n">
        <v>-2.66412</v>
      </c>
      <c r="L201" s="3" t="n">
        <v>-15.3134</v>
      </c>
      <c r="M201" s="3" t="n">
        <v>0.328302</v>
      </c>
      <c r="N201" s="3" t="inlineStr">
        <is>
          <t>C4</t>
        </is>
      </c>
      <c r="O201" s="3" t="inlineStr">
        <is>
          <t>no</t>
        </is>
      </c>
      <c r="P201" s="3" t="inlineStr">
        <is>
          <t>no_compite</t>
        </is>
      </c>
      <c r="Q201" s="3" t="inlineStr">
        <is>
          <t>dols_sin_escalones</t>
        </is>
      </c>
      <c r="R201" s="3" t="n"/>
      <c r="S201" s="3" t="inlineStr">
        <is>
          <t>DOLS sin escalones; sin cointegracion demostrada</t>
        </is>
      </c>
      <c r="T201" s="3" t="inlineStr">
        <is>
          <t>output/v8/F5/atribucion_combinada.csv</t>
        </is>
      </c>
      <c r="U201" s="2">
        <f>IF(R201=0,"",F201/R201)</f>
        <v/>
      </c>
      <c r="V201" s="2">
        <f>SUMIFS(F$2:F$1589,A$2:A$1589,A201,C$2:C$1589,C201,E$2:E$1589,E201,Q$2:Q$1589,Q201)</f>
        <v/>
      </c>
    </row>
    <row r="202">
      <c r="A202" s="3" t="inlineStr">
        <is>
          <t>compra</t>
        </is>
      </c>
      <c r="B202" s="3" t="inlineStr">
        <is>
          <t>nacional</t>
        </is>
      </c>
      <c r="C202" s="3" t="inlineStr">
        <is>
          <t>P5</t>
        </is>
      </c>
      <c r="D202" s="3" t="inlineStr">
        <is>
          <t>empleo_renta</t>
        </is>
      </c>
      <c r="E202" s="3" t="inlineStr">
        <is>
          <t>contabilidad_lp</t>
        </is>
      </c>
      <c r="F202" s="3" t="n">
        <v>0.593606</v>
      </c>
      <c r="G202" s="3" t="n"/>
      <c r="H202" s="3" t="n"/>
      <c r="I202" s="3" t="n">
        <v>0.0322256</v>
      </c>
      <c r="J202" s="3" t="n">
        <v>-2.07183</v>
      </c>
      <c r="K202" s="3" t="n">
        <v>5.29416</v>
      </c>
      <c r="L202" s="3" t="n">
        <v>-4.16239</v>
      </c>
      <c r="M202" s="3" t="n">
        <v>12.8768</v>
      </c>
      <c r="N202" s="3" t="inlineStr">
        <is>
          <t>C4</t>
        </is>
      </c>
      <c r="O202" s="3" t="inlineStr">
        <is>
          <t>si</t>
        </is>
      </c>
      <c r="P202" s="3" t="inlineStr">
        <is>
          <t>no_vota (DOLS sin cointegracion demostrada, J10)</t>
        </is>
      </c>
      <c r="Q202" s="3" t="inlineStr">
        <is>
          <t>dols_sin_escalones</t>
        </is>
      </c>
      <c r="R202" s="3" t="n"/>
      <c r="S202" s="3" t="inlineStr">
        <is>
          <t>DOLS sin escalones; sin cointegracion demostrada</t>
        </is>
      </c>
      <c r="T202" s="3" t="inlineStr">
        <is>
          <t>output/v8/F5/atribucion_combinada.csv</t>
        </is>
      </c>
      <c r="U202" s="2">
        <f>IF(R202=0,"",F202/R202)</f>
        <v/>
      </c>
      <c r="V202" s="2">
        <f>SUMIFS(F$2:F$1589,A$2:A$1589,A202,C$2:C$1589,C202,E$2:E$1589,E202,Q$2:Q$1589,Q202)</f>
        <v/>
      </c>
    </row>
    <row r="203">
      <c r="A203" s="3" t="inlineStr">
        <is>
          <t>compra</t>
        </is>
      </c>
      <c r="B203" s="3" t="inlineStr">
        <is>
          <t>nacional</t>
        </is>
      </c>
      <c r="C203" s="3" t="inlineStr">
        <is>
          <t>P5</t>
        </is>
      </c>
      <c r="D203" s="3" t="inlineStr">
        <is>
          <t>credito_tipos</t>
        </is>
      </c>
      <c r="E203" s="3" t="inlineStr">
        <is>
          <t>contabilidad_lp</t>
        </is>
      </c>
      <c r="F203" s="3" t="n">
        <v>-8.183719999999999</v>
      </c>
      <c r="G203" s="3" t="n"/>
      <c r="H203" s="3" t="n"/>
      <c r="I203" s="3" t="n">
        <v>-0.444278</v>
      </c>
      <c r="J203" s="3" t="n">
        <v>-13.695</v>
      </c>
      <c r="K203" s="3" t="n">
        <v>-5.94206</v>
      </c>
      <c r="L203" s="3" t="n">
        <v>-17.3017</v>
      </c>
      <c r="M203" s="3" t="n">
        <v>-3.34478</v>
      </c>
      <c r="N203" s="3" t="inlineStr">
        <is>
          <t>C4</t>
        </is>
      </c>
      <c r="O203" s="3" t="inlineStr">
        <is>
          <t>si</t>
        </is>
      </c>
      <c r="P203" s="3" t="inlineStr">
        <is>
          <t>no_vota (DOLS sin cointegracion demostrada, J10)</t>
        </is>
      </c>
      <c r="Q203" s="3" t="inlineStr">
        <is>
          <t>dols_sin_escalones</t>
        </is>
      </c>
      <c r="R203" s="3" t="n"/>
      <c r="S203" s="3" t="inlineStr">
        <is>
          <t>DOLS sin escalones; sin cointegracion demostrada</t>
        </is>
      </c>
      <c r="T203" s="3" t="inlineStr">
        <is>
          <t>output/v8/F5/atribucion_combinada.csv</t>
        </is>
      </c>
      <c r="U203" s="2">
        <f>IF(R203=0,"",F203/R203)</f>
        <v/>
      </c>
      <c r="V203" s="2">
        <f>SUMIFS(F$2:F$1589,A$2:A$1589,A203,C$2:C$1589,C203,E$2:E$1589,E203,Q$2:Q$1589,Q203)</f>
        <v/>
      </c>
    </row>
    <row r="204">
      <c r="A204" s="3" t="inlineStr">
        <is>
          <t>compra</t>
        </is>
      </c>
      <c r="B204" s="3" t="inlineStr">
        <is>
          <t>nacional</t>
        </is>
      </c>
      <c r="C204" s="3" t="inlineStr">
        <is>
          <t>P5</t>
        </is>
      </c>
      <c r="D204" s="3" t="inlineStr">
        <is>
          <t>demografia</t>
        </is>
      </c>
      <c r="E204" s="3" t="inlineStr">
        <is>
          <t>contabilidad_lp</t>
        </is>
      </c>
      <c r="F204" s="3" t="n">
        <v>6.53281</v>
      </c>
      <c r="G204" s="3" t="n"/>
      <c r="H204" s="3" t="n"/>
      <c r="I204" s="3" t="n">
        <v>0.354653</v>
      </c>
      <c r="J204" s="3" t="n">
        <v>3.1811</v>
      </c>
      <c r="K204" s="3" t="n">
        <v>9.52463</v>
      </c>
      <c r="L204" s="3" t="n">
        <v>-1.80845</v>
      </c>
      <c r="M204" s="3" t="n">
        <v>11.258</v>
      </c>
      <c r="N204" s="3" t="inlineStr">
        <is>
          <t>C4</t>
        </is>
      </c>
      <c r="O204" s="3" t="inlineStr">
        <is>
          <t>si</t>
        </is>
      </c>
      <c r="P204" s="3" t="inlineStr">
        <is>
          <t>no_vota (DOLS sin cointegracion demostrada, J10)</t>
        </is>
      </c>
      <c r="Q204" s="3" t="inlineStr">
        <is>
          <t>dols_sin_escalones</t>
        </is>
      </c>
      <c r="R204" s="3" t="n"/>
      <c r="S204" s="3" t="inlineStr">
        <is>
          <t>DOLS sin escalones; sin cointegracion demostrada</t>
        </is>
      </c>
      <c r="T204" s="3" t="inlineStr">
        <is>
          <t>output/v8/F5/atribucion_combinada.csv</t>
        </is>
      </c>
      <c r="U204" s="2">
        <f>IF(R204=0,"",F204/R204)</f>
        <v/>
      </c>
      <c r="V204" s="2">
        <f>SUMIFS(F$2:F$1589,A$2:A$1589,A204,C$2:C$1589,C204,E$2:E$1589,E204,Q$2:Q$1589,Q204)</f>
        <v/>
      </c>
    </row>
    <row r="205">
      <c r="A205" s="3" t="inlineStr">
        <is>
          <t>compra</t>
        </is>
      </c>
      <c r="B205" s="3" t="inlineStr">
        <is>
          <t>nacional</t>
        </is>
      </c>
      <c r="C205" s="3" t="inlineStr">
        <is>
          <t>P5</t>
        </is>
      </c>
      <c r="D205" s="3" t="inlineStr">
        <is>
          <t>oferta</t>
        </is>
      </c>
      <c r="E205" s="3" t="inlineStr">
        <is>
          <t>contabilidad_lp</t>
        </is>
      </c>
      <c r="F205" s="3" t="n">
        <v>-0.186386</v>
      </c>
      <c r="G205" s="3" t="n"/>
      <c r="H205" s="3" t="n"/>
      <c r="I205" s="3" t="n">
        <v>-0.0101185</v>
      </c>
      <c r="J205" s="3" t="n">
        <v>-0.789098</v>
      </c>
      <c r="K205" s="3" t="n">
        <v>0.370949</v>
      </c>
      <c r="L205" s="3" t="n">
        <v>-1.65905</v>
      </c>
      <c r="M205" s="3" t="n">
        <v>0.987038</v>
      </c>
      <c r="N205" s="3" t="inlineStr">
        <is>
          <t>C4</t>
        </is>
      </c>
      <c r="O205" s="3" t="inlineStr">
        <is>
          <t>si</t>
        </is>
      </c>
      <c r="P205" s="3" t="inlineStr">
        <is>
          <t>no_vota (DOLS sin cointegracion demostrada, J10)</t>
        </is>
      </c>
      <c r="Q205" s="3" t="inlineStr">
        <is>
          <t>dols_sin_escalones</t>
        </is>
      </c>
      <c r="R205" s="3" t="n"/>
      <c r="S205" s="3" t="inlineStr">
        <is>
          <t>DOLS sin escalones; sin cointegracion demostrada</t>
        </is>
      </c>
      <c r="T205" s="3" t="inlineStr">
        <is>
          <t>output/v8/F5/atribucion_combinada.csv</t>
        </is>
      </c>
      <c r="U205" s="2">
        <f>IF(R205=0,"",F205/R205)</f>
        <v/>
      </c>
      <c r="V205" s="2">
        <f>SUMIFS(F$2:F$1589,A$2:A$1589,A205,C$2:C$1589,C205,E$2:E$1589,E205,Q$2:Q$1589,Q205)</f>
        <v/>
      </c>
    </row>
    <row r="206">
      <c r="A206" s="3" t="inlineStr">
        <is>
          <t>compra</t>
        </is>
      </c>
      <c r="B206" s="3" t="inlineStr">
        <is>
          <t>nacional</t>
        </is>
      </c>
      <c r="C206" s="3" t="inlineStr">
        <is>
          <t>P5</t>
        </is>
      </c>
      <c r="D206" s="3" t="inlineStr">
        <is>
          <t>residuo</t>
        </is>
      </c>
      <c r="E206" s="3" t="inlineStr">
        <is>
          <t>contabilidad_lp</t>
        </is>
      </c>
      <c r="F206" s="3" t="n">
        <v>19.664</v>
      </c>
      <c r="G206" s="3" t="n"/>
      <c r="H206" s="3" t="n"/>
      <c r="I206" s="3" t="n">
        <v>1.06752</v>
      </c>
      <c r="J206" s="3" t="n">
        <v>15.155</v>
      </c>
      <c r="K206" s="3" t="n">
        <v>25.6553</v>
      </c>
      <c r="L206" s="3" t="n">
        <v>11.5967</v>
      </c>
      <c r="M206" s="3" t="n">
        <v>31.3843</v>
      </c>
      <c r="N206" s="3" t="inlineStr">
        <is>
          <t>C4</t>
        </is>
      </c>
      <c r="O206" s="3" t="inlineStr">
        <is>
          <t>no</t>
        </is>
      </c>
      <c r="P206" s="3" t="inlineStr">
        <is>
          <t>no_compite</t>
        </is>
      </c>
      <c r="Q206" s="3" t="inlineStr">
        <is>
          <t>dols_sin_escalones</t>
        </is>
      </c>
      <c r="R206" s="3" t="n"/>
      <c r="S206" s="3" t="inlineStr">
        <is>
          <t>DOLS sin escalones; sin cointegracion demostrada</t>
        </is>
      </c>
      <c r="T206" s="3" t="inlineStr">
        <is>
          <t>output/v8/F5/atribucion_combinada.csv</t>
        </is>
      </c>
      <c r="U206" s="2">
        <f>IF(R206=0,"",F206/R206)</f>
        <v/>
      </c>
      <c r="V206" s="2">
        <f>SUMIFS(F$2:F$1589,A$2:A$1589,A206,C$2:C$1589,C206,E$2:E$1589,E206,Q$2:Q$1589,Q206)</f>
        <v/>
      </c>
    </row>
    <row r="207">
      <c r="A207" s="3" t="inlineStr">
        <is>
          <t>alquiler</t>
        </is>
      </c>
      <c r="B207" s="3" t="inlineStr">
        <is>
          <t>nacional</t>
        </is>
      </c>
      <c r="C207" s="3" t="inlineStr">
        <is>
          <t>P1</t>
        </is>
      </c>
      <c r="D207" s="3" t="inlineStr">
        <is>
          <t>empleo_renta</t>
        </is>
      </c>
      <c r="E207" s="3" t="inlineStr">
        <is>
          <t>contabilidad_lp</t>
        </is>
      </c>
      <c r="F207" s="3" t="n">
        <v>0.6008</v>
      </c>
      <c r="G207" s="3" t="n"/>
      <c r="H207" s="3" t="n"/>
      <c r="I207" s="3" t="n">
        <v>0.139108</v>
      </c>
      <c r="J207" s="3" t="n">
        <v>-1.83104</v>
      </c>
      <c r="K207" s="3" t="n">
        <v>4.38652</v>
      </c>
      <c r="L207" s="3" t="n">
        <v>-4.49119</v>
      </c>
      <c r="M207" s="3" t="n">
        <v>5.57455</v>
      </c>
      <c r="N207" s="3" t="inlineStr">
        <is>
          <t>C4</t>
        </is>
      </c>
      <c r="O207" s="3" t="inlineStr">
        <is>
          <t>si</t>
        </is>
      </c>
      <c r="P207" s="3" t="inlineStr">
        <is>
          <t>no_vota (DOLS sin cointegracion demostrada, J10)</t>
        </is>
      </c>
      <c r="Q207" s="3" t="inlineStr">
        <is>
          <t>dols_sin_escalones</t>
        </is>
      </c>
      <c r="R207" s="3" t="n"/>
      <c r="S207" s="3" t="inlineStr">
        <is>
          <t>DOLS sin escalones; sin cointegracion demostrada</t>
        </is>
      </c>
      <c r="T207" s="3" t="inlineStr">
        <is>
          <t>output/v8/F5/atribucion_combinada.csv</t>
        </is>
      </c>
      <c r="U207" s="2">
        <f>IF(R207=0,"",F207/R207)</f>
        <v/>
      </c>
      <c r="V207" s="2">
        <f>SUMIFS(F$2:F$1589,A$2:A$1589,A207,C$2:C$1589,C207,E$2:E$1589,E207,Q$2:Q$1589,Q207)</f>
        <v/>
      </c>
    </row>
    <row r="208">
      <c r="A208" s="3" t="inlineStr">
        <is>
          <t>alquiler</t>
        </is>
      </c>
      <c r="B208" s="3" t="inlineStr">
        <is>
          <t>nacional</t>
        </is>
      </c>
      <c r="C208" s="3" t="inlineStr">
        <is>
          <t>P1</t>
        </is>
      </c>
      <c r="D208" s="3" t="inlineStr">
        <is>
          <t>credito_tipos</t>
        </is>
      </c>
      <c r="E208" s="3" t="inlineStr">
        <is>
          <t>contabilidad_lp</t>
        </is>
      </c>
      <c r="F208" s="3" t="n">
        <v>0.0158732</v>
      </c>
      <c r="G208" s="3" t="n"/>
      <c r="H208" s="3" t="n"/>
      <c r="I208" s="3" t="n">
        <v>0.00367525</v>
      </c>
      <c r="J208" s="3" t="n">
        <v>-6.28233</v>
      </c>
      <c r="K208" s="3" t="n">
        <v>6.61837</v>
      </c>
      <c r="L208" s="3" t="n">
        <v>-12.1781</v>
      </c>
      <c r="M208" s="3" t="n">
        <v>10.2834</v>
      </c>
      <c r="N208" s="3" t="inlineStr">
        <is>
          <t>C4</t>
        </is>
      </c>
      <c r="O208" s="3" t="inlineStr">
        <is>
          <t>si</t>
        </is>
      </c>
      <c r="P208" s="3" t="inlineStr">
        <is>
          <t>no_vota (DOLS sin cointegracion demostrada, J10)</t>
        </is>
      </c>
      <c r="Q208" s="3" t="inlineStr">
        <is>
          <t>dols_sin_escalones</t>
        </is>
      </c>
      <c r="R208" s="3" t="n"/>
      <c r="S208" s="3" t="inlineStr">
        <is>
          <t>DOLS sin escalones; sin cointegracion demostrada</t>
        </is>
      </c>
      <c r="T208" s="3" t="inlineStr">
        <is>
          <t>output/v8/F5/atribucion_combinada.csv</t>
        </is>
      </c>
      <c r="U208" s="2">
        <f>IF(R208=0,"",F208/R208)</f>
        <v/>
      </c>
      <c r="V208" s="2">
        <f>SUMIFS(F$2:F$1589,A$2:A$1589,A208,C$2:C$1589,C208,E$2:E$1589,E208,Q$2:Q$1589,Q208)</f>
        <v/>
      </c>
    </row>
    <row r="209">
      <c r="A209" s="3" t="inlineStr">
        <is>
          <t>alquiler</t>
        </is>
      </c>
      <c r="B209" s="3" t="inlineStr">
        <is>
          <t>nacional</t>
        </is>
      </c>
      <c r="C209" s="3" t="inlineStr">
        <is>
          <t>P1</t>
        </is>
      </c>
      <c r="D209" s="3" t="inlineStr">
        <is>
          <t>demografia</t>
        </is>
      </c>
      <c r="E209" s="3" t="inlineStr">
        <is>
          <t>contabilidad_lp</t>
        </is>
      </c>
      <c r="F209" s="3" t="n">
        <v>-29.2147</v>
      </c>
      <c r="G209" s="3" t="n"/>
      <c r="H209" s="3" t="n"/>
      <c r="I209" s="3" t="n">
        <v>-6.76432</v>
      </c>
      <c r="J209" s="3" t="n">
        <v>-45.6895</v>
      </c>
      <c r="K209" s="3" t="n">
        <v>-19.7471</v>
      </c>
      <c r="L209" s="3" t="n">
        <v>-57.8797</v>
      </c>
      <c r="M209" s="3" t="n">
        <v>-13.1883</v>
      </c>
      <c r="N209" s="3" t="inlineStr">
        <is>
          <t>C4</t>
        </is>
      </c>
      <c r="O209" s="3" t="inlineStr">
        <is>
          <t>si</t>
        </is>
      </c>
      <c r="P209" s="3" t="inlineStr">
        <is>
          <t>no_vota (DOLS sin cointegracion demostrada, J10)</t>
        </is>
      </c>
      <c r="Q209" s="3" t="inlineStr">
        <is>
          <t>dols_sin_escalones</t>
        </is>
      </c>
      <c r="R209" s="3" t="n"/>
      <c r="S209" s="3" t="inlineStr">
        <is>
          <t>DOLS sin escalones; sin cointegracion demostrada</t>
        </is>
      </c>
      <c r="T209" s="3" t="inlineStr">
        <is>
          <t>output/v8/F5/atribucion_combinada.csv</t>
        </is>
      </c>
      <c r="U209" s="2">
        <f>IF(R209=0,"",F209/R209)</f>
        <v/>
      </c>
      <c r="V209" s="2">
        <f>SUMIFS(F$2:F$1589,A$2:A$1589,A209,C$2:C$1589,C209,E$2:E$1589,E209,Q$2:Q$1589,Q209)</f>
        <v/>
      </c>
    </row>
    <row r="210">
      <c r="A210" s="3" t="inlineStr">
        <is>
          <t>alquiler</t>
        </is>
      </c>
      <c r="B210" s="3" t="inlineStr">
        <is>
          <t>nacional</t>
        </is>
      </c>
      <c r="C210" s="3" t="inlineStr">
        <is>
          <t>P1</t>
        </is>
      </c>
      <c r="D210" s="3" t="inlineStr">
        <is>
          <t>oferta</t>
        </is>
      </c>
      <c r="E210" s="3" t="inlineStr">
        <is>
          <t>contabilidad_lp</t>
        </is>
      </c>
      <c r="F210" s="3" t="n">
        <v>31.8176</v>
      </c>
      <c r="G210" s="3" t="n"/>
      <c r="H210" s="3" t="n"/>
      <c r="I210" s="3" t="n">
        <v>7.367</v>
      </c>
      <c r="J210" s="3" t="n">
        <v>10.8538</v>
      </c>
      <c r="K210" s="3" t="n">
        <v>61.2517</v>
      </c>
      <c r="L210" s="3" t="n">
        <v>1.63204</v>
      </c>
      <c r="M210" s="3" t="n">
        <v>86.5082</v>
      </c>
      <c r="N210" s="3" t="inlineStr">
        <is>
          <t>C4</t>
        </is>
      </c>
      <c r="O210" s="3" t="inlineStr">
        <is>
          <t>si</t>
        </is>
      </c>
      <c r="P210" s="3" t="inlineStr">
        <is>
          <t>no_vota (DOLS sin cointegracion demostrada, J10)</t>
        </is>
      </c>
      <c r="Q210" s="3" t="inlineStr">
        <is>
          <t>dols_sin_escalones</t>
        </is>
      </c>
      <c r="R210" s="3" t="n"/>
      <c r="S210" s="3" t="inlineStr">
        <is>
          <t>DOLS sin escalones; sin cointegracion demostrada</t>
        </is>
      </c>
      <c r="T210" s="3" t="inlineStr">
        <is>
          <t>output/v8/F5/atribucion_combinada.csv</t>
        </is>
      </c>
      <c r="U210" s="2">
        <f>IF(R210=0,"",F210/R210)</f>
        <v/>
      </c>
      <c r="V210" s="2">
        <f>SUMIFS(F$2:F$1589,A$2:A$1589,A210,C$2:C$1589,C210,E$2:E$1589,E210,Q$2:Q$1589,Q210)</f>
        <v/>
      </c>
    </row>
    <row r="211">
      <c r="A211" s="3" t="inlineStr">
        <is>
          <t>alquiler</t>
        </is>
      </c>
      <c r="B211" s="3" t="inlineStr">
        <is>
          <t>nacional</t>
        </is>
      </c>
      <c r="C211" s="3" t="inlineStr">
        <is>
          <t>P1</t>
        </is>
      </c>
      <c r="D211" s="3" t="inlineStr">
        <is>
          <t>residuo</t>
        </is>
      </c>
      <c r="E211" s="3" t="inlineStr">
        <is>
          <t>contabilidad_lp</t>
        </is>
      </c>
      <c r="F211" s="3" t="n">
        <v>1.09935</v>
      </c>
      <c r="G211" s="3" t="n"/>
      <c r="H211" s="3" t="n"/>
      <c r="I211" s="3" t="n">
        <v>0.25454</v>
      </c>
      <c r="J211" s="3" t="n">
        <v>-7.58679</v>
      </c>
      <c r="K211" s="3" t="n">
        <v>7.93804</v>
      </c>
      <c r="L211" s="3" t="n">
        <v>-21.2151</v>
      </c>
      <c r="M211" s="3" t="n">
        <v>9.61571</v>
      </c>
      <c r="N211" s="3" t="inlineStr">
        <is>
          <t>C4</t>
        </is>
      </c>
      <c r="O211" s="3" t="inlineStr">
        <is>
          <t>no</t>
        </is>
      </c>
      <c r="P211" s="3" t="inlineStr">
        <is>
          <t>no_compite</t>
        </is>
      </c>
      <c r="Q211" s="3" t="inlineStr">
        <is>
          <t>dols_sin_escalones</t>
        </is>
      </c>
      <c r="R211" s="3" t="n"/>
      <c r="S211" s="3" t="inlineStr">
        <is>
          <t>DOLS sin escalones; sin cointegracion demostrada</t>
        </is>
      </c>
      <c r="T211" s="3" t="inlineStr">
        <is>
          <t>output/v8/F5/atribucion_combinada.csv</t>
        </is>
      </c>
      <c r="U211" s="2">
        <f>IF(R211=0,"",F211/R211)</f>
        <v/>
      </c>
      <c r="V211" s="2">
        <f>SUMIFS(F$2:F$1589,A$2:A$1589,A211,C$2:C$1589,C211,E$2:E$1589,E211,Q$2:Q$1589,Q211)</f>
        <v/>
      </c>
    </row>
    <row r="212">
      <c r="A212" s="3" t="inlineStr">
        <is>
          <t>alquiler</t>
        </is>
      </c>
      <c r="B212" s="3" t="inlineStr">
        <is>
          <t>nacional</t>
        </is>
      </c>
      <c r="C212" s="3" t="inlineStr">
        <is>
          <t>P2</t>
        </is>
      </c>
      <c r="D212" s="3" t="inlineStr">
        <is>
          <t>empleo_renta</t>
        </is>
      </c>
      <c r="E212" s="3" t="inlineStr">
        <is>
          <t>contabilidad_lp</t>
        </is>
      </c>
      <c r="F212" s="3" t="n">
        <v>-0.311592</v>
      </c>
      <c r="G212" s="3" t="n"/>
      <c r="H212" s="3" t="n"/>
      <c r="I212" s="3" t="n">
        <v>0.115282</v>
      </c>
      <c r="J212" s="3" t="n">
        <v>-2.27498</v>
      </c>
      <c r="K212" s="3" t="n">
        <v>0.94963</v>
      </c>
      <c r="L212" s="3" t="n">
        <v>-2.89112</v>
      </c>
      <c r="M212" s="3" t="n">
        <v>2.32926</v>
      </c>
      <c r="N212" s="3" t="inlineStr">
        <is>
          <t>C4</t>
        </is>
      </c>
      <c r="O212" s="3" t="inlineStr">
        <is>
          <t>si</t>
        </is>
      </c>
      <c r="P212" s="3" t="inlineStr">
        <is>
          <t>no_vota (DOLS sin cointegracion demostrada, J10)</t>
        </is>
      </c>
      <c r="Q212" s="3" t="inlineStr">
        <is>
          <t>dols_sin_escalones</t>
        </is>
      </c>
      <c r="R212" s="3" t="n"/>
      <c r="S212" s="3" t="inlineStr">
        <is>
          <t>DOLS sin escalones; sin cointegracion demostrada</t>
        </is>
      </c>
      <c r="T212" s="3" t="inlineStr">
        <is>
          <t>output/v8/F5/atribucion_combinada.csv</t>
        </is>
      </c>
      <c r="U212" s="2">
        <f>IF(R212=0,"",F212/R212)</f>
        <v/>
      </c>
      <c r="V212" s="2">
        <f>SUMIFS(F$2:F$1589,A$2:A$1589,A212,C$2:C$1589,C212,E$2:E$1589,E212,Q$2:Q$1589,Q212)</f>
        <v/>
      </c>
    </row>
    <row r="213">
      <c r="A213" s="3" t="inlineStr">
        <is>
          <t>alquiler</t>
        </is>
      </c>
      <c r="B213" s="3" t="inlineStr">
        <is>
          <t>nacional</t>
        </is>
      </c>
      <c r="C213" s="3" t="inlineStr">
        <is>
          <t>P2</t>
        </is>
      </c>
      <c r="D213" s="3" t="inlineStr">
        <is>
          <t>credito_tipos</t>
        </is>
      </c>
      <c r="E213" s="3" t="inlineStr">
        <is>
          <t>contabilidad_lp</t>
        </is>
      </c>
      <c r="F213" s="3" t="n">
        <v>0.41909</v>
      </c>
      <c r="G213" s="3" t="n"/>
      <c r="H213" s="3" t="n"/>
      <c r="I213" s="3" t="n">
        <v>-0.155054</v>
      </c>
      <c r="J213" s="3" t="n">
        <v>-0.609387</v>
      </c>
      <c r="K213" s="3" t="n">
        <v>1.93046</v>
      </c>
      <c r="L213" s="3" t="n">
        <v>-1.35468</v>
      </c>
      <c r="M213" s="3" t="n">
        <v>3.09895</v>
      </c>
      <c r="N213" s="3" t="inlineStr">
        <is>
          <t>C4</t>
        </is>
      </c>
      <c r="O213" s="3" t="inlineStr">
        <is>
          <t>si</t>
        </is>
      </c>
      <c r="P213" s="3" t="inlineStr">
        <is>
          <t>no_vota (DOLS sin cointegracion demostrada, J10)</t>
        </is>
      </c>
      <c r="Q213" s="3" t="inlineStr">
        <is>
          <t>dols_sin_escalones</t>
        </is>
      </c>
      <c r="R213" s="3" t="n"/>
      <c r="S213" s="3" t="inlineStr">
        <is>
          <t>DOLS sin escalones; sin cointegracion demostrada</t>
        </is>
      </c>
      <c r="T213" s="3" t="inlineStr">
        <is>
          <t>output/v8/F5/atribucion_combinada.csv</t>
        </is>
      </c>
      <c r="U213" s="2">
        <f>IF(R213=0,"",F213/R213)</f>
        <v/>
      </c>
      <c r="V213" s="2">
        <f>SUMIFS(F$2:F$1589,A$2:A$1589,A213,C$2:C$1589,C213,E$2:E$1589,E213,Q$2:Q$1589,Q213)</f>
        <v/>
      </c>
    </row>
    <row r="214">
      <c r="A214" s="3" t="inlineStr">
        <is>
          <t>alquiler</t>
        </is>
      </c>
      <c r="B214" s="3" t="inlineStr">
        <is>
          <t>nacional</t>
        </is>
      </c>
      <c r="C214" s="3" t="inlineStr">
        <is>
          <t>P2</t>
        </is>
      </c>
      <c r="D214" s="3" t="inlineStr">
        <is>
          <t>demografia</t>
        </is>
      </c>
      <c r="E214" s="3" t="inlineStr">
        <is>
          <t>contabilidad_lp</t>
        </is>
      </c>
      <c r="F214" s="3" t="n">
        <v>-13.9907</v>
      </c>
      <c r="G214" s="3" t="n"/>
      <c r="H214" s="3" t="n"/>
      <c r="I214" s="3" t="n">
        <v>5.17624</v>
      </c>
      <c r="J214" s="3" t="n">
        <v>-21.8803</v>
      </c>
      <c r="K214" s="3" t="n">
        <v>-9.45675</v>
      </c>
      <c r="L214" s="3" t="n">
        <v>-27.7181</v>
      </c>
      <c r="M214" s="3" t="n">
        <v>-6.31578</v>
      </c>
      <c r="N214" s="3" t="inlineStr">
        <is>
          <t>C4</t>
        </is>
      </c>
      <c r="O214" s="3" t="inlineStr">
        <is>
          <t>si</t>
        </is>
      </c>
      <c r="P214" s="3" t="inlineStr">
        <is>
          <t>no_vota (DOLS sin cointegracion demostrada, J10)</t>
        </is>
      </c>
      <c r="Q214" s="3" t="inlineStr">
        <is>
          <t>dols_sin_escalones</t>
        </is>
      </c>
      <c r="R214" s="3" t="n"/>
      <c r="S214" s="3" t="inlineStr">
        <is>
          <t>DOLS sin escalones; sin cointegracion demostrada</t>
        </is>
      </c>
      <c r="T214" s="3" t="inlineStr">
        <is>
          <t>output/v8/F5/atribucion_combinada.csv</t>
        </is>
      </c>
      <c r="U214" s="2">
        <f>IF(R214=0,"",F214/R214)</f>
        <v/>
      </c>
      <c r="V214" s="2">
        <f>SUMIFS(F$2:F$1589,A$2:A$1589,A214,C$2:C$1589,C214,E$2:E$1589,E214,Q$2:Q$1589,Q214)</f>
        <v/>
      </c>
    </row>
    <row r="215">
      <c r="A215" s="3" t="inlineStr">
        <is>
          <t>alquiler</t>
        </is>
      </c>
      <c r="B215" s="3" t="inlineStr">
        <is>
          <t>nacional</t>
        </is>
      </c>
      <c r="C215" s="3" t="inlineStr">
        <is>
          <t>P2</t>
        </is>
      </c>
      <c r="D215" s="3" t="inlineStr">
        <is>
          <t>oferta</t>
        </is>
      </c>
      <c r="E215" s="3" t="inlineStr">
        <is>
          <t>contabilidad_lp</t>
        </is>
      </c>
      <c r="F215" s="3" t="n">
        <v>7.03565</v>
      </c>
      <c r="G215" s="3" t="n"/>
      <c r="H215" s="3" t="n"/>
      <c r="I215" s="3" t="n">
        <v>-2.60303</v>
      </c>
      <c r="J215" s="3" t="n">
        <v>2.40004</v>
      </c>
      <c r="K215" s="3" t="n">
        <v>13.5442</v>
      </c>
      <c r="L215" s="3" t="n">
        <v>0.360884</v>
      </c>
      <c r="M215" s="3" t="n">
        <v>19.1291</v>
      </c>
      <c r="N215" s="3" t="inlineStr">
        <is>
          <t>C4</t>
        </is>
      </c>
      <c r="O215" s="3" t="inlineStr">
        <is>
          <t>si</t>
        </is>
      </c>
      <c r="P215" s="3" t="inlineStr">
        <is>
          <t>no_vota (DOLS sin cointegracion demostrada, J10)</t>
        </is>
      </c>
      <c r="Q215" s="3" t="inlineStr">
        <is>
          <t>dols_sin_escalones</t>
        </is>
      </c>
      <c r="R215" s="3" t="n"/>
      <c r="S215" s="3" t="inlineStr">
        <is>
          <t>DOLS sin escalones; sin cointegracion demostrada</t>
        </is>
      </c>
      <c r="T215" s="3" t="inlineStr">
        <is>
          <t>output/v8/F5/atribucion_combinada.csv</t>
        </is>
      </c>
      <c r="U215" s="2">
        <f>IF(R215=0,"",F215/R215)</f>
        <v/>
      </c>
      <c r="V215" s="2">
        <f>SUMIFS(F$2:F$1589,A$2:A$1589,A215,C$2:C$1589,C215,E$2:E$1589,E215,Q$2:Q$1589,Q215)</f>
        <v/>
      </c>
    </row>
    <row r="216">
      <c r="A216" s="3" t="inlineStr">
        <is>
          <t>alquiler</t>
        </is>
      </c>
      <c r="B216" s="3" t="inlineStr">
        <is>
          <t>nacional</t>
        </is>
      </c>
      <c r="C216" s="3" t="inlineStr">
        <is>
          <t>P2</t>
        </is>
      </c>
      <c r="D216" s="3" t="inlineStr">
        <is>
          <t>residuo</t>
        </is>
      </c>
      <c r="E216" s="3" t="inlineStr">
        <is>
          <t>contabilidad_lp</t>
        </is>
      </c>
      <c r="F216" s="3" t="n">
        <v>4.14468</v>
      </c>
      <c r="G216" s="3" t="n"/>
      <c r="H216" s="3" t="n"/>
      <c r="I216" s="3" t="n">
        <v>-1.53344</v>
      </c>
      <c r="J216" s="3" t="n">
        <v>-1.21234</v>
      </c>
      <c r="K216" s="3" t="n">
        <v>9.8766</v>
      </c>
      <c r="L216" s="3" t="n">
        <v>-5.03435</v>
      </c>
      <c r="M216" s="3" t="n">
        <v>11.6832</v>
      </c>
      <c r="N216" s="3" t="inlineStr">
        <is>
          <t>C4</t>
        </is>
      </c>
      <c r="O216" s="3" t="inlineStr">
        <is>
          <t>no</t>
        </is>
      </c>
      <c r="P216" s="3" t="inlineStr">
        <is>
          <t>no_compite</t>
        </is>
      </c>
      <c r="Q216" s="3" t="inlineStr">
        <is>
          <t>dols_sin_escalones</t>
        </is>
      </c>
      <c r="R216" s="3" t="n"/>
      <c r="S216" s="3" t="inlineStr">
        <is>
          <t>DOLS sin escalones; sin cointegracion demostrada</t>
        </is>
      </c>
      <c r="T216" s="3" t="inlineStr">
        <is>
          <t>output/v8/F5/atribucion_combinada.csv</t>
        </is>
      </c>
      <c r="U216" s="2">
        <f>IF(R216=0,"",F216/R216)</f>
        <v/>
      </c>
      <c r="V216" s="2">
        <f>SUMIFS(F$2:F$1589,A$2:A$1589,A216,C$2:C$1589,C216,E$2:E$1589,E216,Q$2:Q$1589,Q216)</f>
        <v/>
      </c>
    </row>
    <row r="217">
      <c r="A217" s="3" t="inlineStr">
        <is>
          <t>alquiler</t>
        </is>
      </c>
      <c r="B217" s="3" t="inlineStr">
        <is>
          <t>nacional</t>
        </is>
      </c>
      <c r="C217" s="3" t="inlineStr">
        <is>
          <t>P3</t>
        </is>
      </c>
      <c r="D217" s="3" t="inlineStr">
        <is>
          <t>empleo_renta</t>
        </is>
      </c>
      <c r="E217" s="3" t="inlineStr">
        <is>
          <t>contabilidad_lp</t>
        </is>
      </c>
      <c r="F217" s="3" t="n">
        <v>0.546031</v>
      </c>
      <c r="G217" s="3" t="n"/>
      <c r="H217" s="3" t="n"/>
      <c r="I217" s="3" t="n">
        <v>-0.515447</v>
      </c>
      <c r="J217" s="3" t="n">
        <v>-1.66412</v>
      </c>
      <c r="K217" s="3" t="n">
        <v>3.98665</v>
      </c>
      <c r="L217" s="3" t="n">
        <v>-4.08177</v>
      </c>
      <c r="M217" s="3" t="n">
        <v>5.06637</v>
      </c>
      <c r="N217" s="3" t="inlineStr">
        <is>
          <t>C4</t>
        </is>
      </c>
      <c r="O217" s="3" t="inlineStr">
        <is>
          <t>si</t>
        </is>
      </c>
      <c r="P217" s="3" t="inlineStr">
        <is>
          <t>no_vota (DOLS sin cointegracion demostrada, J10)</t>
        </is>
      </c>
      <c r="Q217" s="3" t="inlineStr">
        <is>
          <t>dols_sin_escalones</t>
        </is>
      </c>
      <c r="R217" s="3" t="n"/>
      <c r="S217" s="3" t="inlineStr">
        <is>
          <t>DOLS sin escalones; sin cointegracion demostrada</t>
        </is>
      </c>
      <c r="T217" s="3" t="inlineStr">
        <is>
          <t>output/v8/F5/atribucion_combinada.csv</t>
        </is>
      </c>
      <c r="U217" s="2">
        <f>IF(R217=0,"",F217/R217)</f>
        <v/>
      </c>
      <c r="V217" s="2">
        <f>SUMIFS(F$2:F$1589,A$2:A$1589,A217,C$2:C$1589,C217,E$2:E$1589,E217,Q$2:Q$1589,Q217)</f>
        <v/>
      </c>
    </row>
    <row r="218">
      <c r="A218" s="3" t="inlineStr">
        <is>
          <t>alquiler</t>
        </is>
      </c>
      <c r="B218" s="3" t="inlineStr">
        <is>
          <t>nacional</t>
        </is>
      </c>
      <c r="C218" s="3" t="inlineStr">
        <is>
          <t>P3</t>
        </is>
      </c>
      <c r="D218" s="3" t="inlineStr">
        <is>
          <t>credito_tipos</t>
        </is>
      </c>
      <c r="E218" s="3" t="inlineStr">
        <is>
          <t>contabilidad_lp</t>
        </is>
      </c>
      <c r="F218" s="3" t="n">
        <v>-0.35194</v>
      </c>
      <c r="G218" s="3" t="n"/>
      <c r="H218" s="3" t="n"/>
      <c r="I218" s="3" t="n">
        <v>0.332228</v>
      </c>
      <c r="J218" s="3" t="n">
        <v>-2.41791</v>
      </c>
      <c r="K218" s="3" t="n">
        <v>1.06095</v>
      </c>
      <c r="L218" s="3" t="n">
        <v>-3.37383</v>
      </c>
      <c r="M218" s="3" t="n">
        <v>2.4974</v>
      </c>
      <c r="N218" s="3" t="inlineStr">
        <is>
          <t>C4</t>
        </is>
      </c>
      <c r="O218" s="3" t="inlineStr">
        <is>
          <t>si</t>
        </is>
      </c>
      <c r="P218" s="3" t="inlineStr">
        <is>
          <t>no_vota (DOLS sin cointegracion demostrada, J10)</t>
        </is>
      </c>
      <c r="Q218" s="3" t="inlineStr">
        <is>
          <t>dols_sin_escalones</t>
        </is>
      </c>
      <c r="R218" s="3" t="n"/>
      <c r="S218" s="3" t="inlineStr">
        <is>
          <t>DOLS sin escalones; sin cointegracion demostrada</t>
        </is>
      </c>
      <c r="T218" s="3" t="inlineStr">
        <is>
          <t>output/v8/F5/atribucion_combinada.csv</t>
        </is>
      </c>
      <c r="U218" s="2">
        <f>IF(R218=0,"",F218/R218)</f>
        <v/>
      </c>
      <c r="V218" s="2">
        <f>SUMIFS(F$2:F$1589,A$2:A$1589,A218,C$2:C$1589,C218,E$2:E$1589,E218,Q$2:Q$1589,Q218)</f>
        <v/>
      </c>
    </row>
    <row r="219">
      <c r="A219" s="3" t="inlineStr">
        <is>
          <t>alquiler</t>
        </is>
      </c>
      <c r="B219" s="3" t="inlineStr">
        <is>
          <t>nacional</t>
        </is>
      </c>
      <c r="C219" s="3" t="inlineStr">
        <is>
          <t>P3</t>
        </is>
      </c>
      <c r="D219" s="3" t="inlineStr">
        <is>
          <t>demografia</t>
        </is>
      </c>
      <c r="E219" s="3" t="inlineStr">
        <is>
          <t>contabilidad_lp</t>
        </is>
      </c>
      <c r="F219" s="3" t="n">
        <v>-5.46304</v>
      </c>
      <c r="G219" s="3" t="n"/>
      <c r="H219" s="3" t="n"/>
      <c r="I219" s="3" t="n">
        <v>5.15705</v>
      </c>
      <c r="J219" s="3" t="n">
        <v>-8.543760000000001</v>
      </c>
      <c r="K219" s="3" t="n">
        <v>-3.69264</v>
      </c>
      <c r="L219" s="3" t="n">
        <v>-10.8233</v>
      </c>
      <c r="M219" s="3" t="n">
        <v>-2.46616</v>
      </c>
      <c r="N219" s="3" t="inlineStr">
        <is>
          <t>C4</t>
        </is>
      </c>
      <c r="O219" s="3" t="inlineStr">
        <is>
          <t>si</t>
        </is>
      </c>
      <c r="P219" s="3" t="inlineStr">
        <is>
          <t>no_vota (DOLS sin cointegracion demostrada, J10)</t>
        </is>
      </c>
      <c r="Q219" s="3" t="inlineStr">
        <is>
          <t>dols_sin_escalones</t>
        </is>
      </c>
      <c r="R219" s="3" t="n"/>
      <c r="S219" s="3" t="inlineStr">
        <is>
          <t>DOLS sin escalones; sin cointegracion demostrada</t>
        </is>
      </c>
      <c r="T219" s="3" t="inlineStr">
        <is>
          <t>output/v8/F5/atribucion_combinada.csv</t>
        </is>
      </c>
      <c r="U219" s="2">
        <f>IF(R219=0,"",F219/R219)</f>
        <v/>
      </c>
      <c r="V219" s="2">
        <f>SUMIFS(F$2:F$1589,A$2:A$1589,A219,C$2:C$1589,C219,E$2:E$1589,E219,Q$2:Q$1589,Q219)</f>
        <v/>
      </c>
    </row>
    <row r="220">
      <c r="A220" s="3" t="inlineStr">
        <is>
          <t>alquiler</t>
        </is>
      </c>
      <c r="B220" s="3" t="inlineStr">
        <is>
          <t>nacional</t>
        </is>
      </c>
      <c r="C220" s="3" t="inlineStr">
        <is>
          <t>P3</t>
        </is>
      </c>
      <c r="D220" s="3" t="inlineStr">
        <is>
          <t>oferta</t>
        </is>
      </c>
      <c r="E220" s="3" t="inlineStr">
        <is>
          <t>contabilidad_lp</t>
        </is>
      </c>
      <c r="F220" s="3" t="n">
        <v>1.76738</v>
      </c>
      <c r="G220" s="3" t="n"/>
      <c r="H220" s="3" t="n"/>
      <c r="I220" s="3" t="n">
        <v>-1.66839</v>
      </c>
      <c r="J220" s="3" t="n">
        <v>0.6029</v>
      </c>
      <c r="K220" s="3" t="n">
        <v>3.40237</v>
      </c>
      <c r="L220" s="3" t="n">
        <v>0.0906554</v>
      </c>
      <c r="M220" s="3" t="n">
        <v>4.80529</v>
      </c>
      <c r="N220" s="3" t="inlineStr">
        <is>
          <t>C4</t>
        </is>
      </c>
      <c r="O220" s="3" t="inlineStr">
        <is>
          <t>si</t>
        </is>
      </c>
      <c r="P220" s="3" t="inlineStr">
        <is>
          <t>no_vota (DOLS sin cointegracion demostrada, J10)</t>
        </is>
      </c>
      <c r="Q220" s="3" t="inlineStr">
        <is>
          <t>dols_sin_escalones</t>
        </is>
      </c>
      <c r="R220" s="3" t="n"/>
      <c r="S220" s="3" t="inlineStr">
        <is>
          <t>DOLS sin escalones; sin cointegracion demostrada</t>
        </is>
      </c>
      <c r="T220" s="3" t="inlineStr">
        <is>
          <t>output/v8/F5/atribucion_combinada.csv</t>
        </is>
      </c>
      <c r="U220" s="2">
        <f>IF(R220=0,"",F220/R220)</f>
        <v/>
      </c>
      <c r="V220" s="2">
        <f>SUMIFS(F$2:F$1589,A$2:A$1589,A220,C$2:C$1589,C220,E$2:E$1589,E220,Q$2:Q$1589,Q220)</f>
        <v/>
      </c>
    </row>
    <row r="221">
      <c r="A221" s="3" t="inlineStr">
        <is>
          <t>alquiler</t>
        </is>
      </c>
      <c r="B221" s="3" t="inlineStr">
        <is>
          <t>nacional</t>
        </is>
      </c>
      <c r="C221" s="3" t="inlineStr">
        <is>
          <t>P3</t>
        </is>
      </c>
      <c r="D221" s="3" t="inlineStr">
        <is>
          <t>residuo</t>
        </is>
      </c>
      <c r="E221" s="3" t="inlineStr">
        <is>
          <t>contabilidad_lp</t>
        </is>
      </c>
      <c r="F221" s="3" t="n">
        <v>2.44223</v>
      </c>
      <c r="G221" s="3" t="n"/>
      <c r="H221" s="3" t="n"/>
      <c r="I221" s="3" t="n">
        <v>-2.30544</v>
      </c>
      <c r="J221" s="3" t="n">
        <v>1.15216</v>
      </c>
      <c r="K221" s="3" t="n">
        <v>3.62982</v>
      </c>
      <c r="L221" s="3" t="n">
        <v>0.563384</v>
      </c>
      <c r="M221" s="3" t="n">
        <v>5.44606</v>
      </c>
      <c r="N221" s="3" t="inlineStr">
        <is>
          <t>C4</t>
        </is>
      </c>
      <c r="O221" s="3" t="inlineStr">
        <is>
          <t>no</t>
        </is>
      </c>
      <c r="P221" s="3" t="inlineStr">
        <is>
          <t>no_compite</t>
        </is>
      </c>
      <c r="Q221" s="3" t="inlineStr">
        <is>
          <t>dols_sin_escalones</t>
        </is>
      </c>
      <c r="R221" s="3" t="n"/>
      <c r="S221" s="3" t="inlineStr">
        <is>
          <t>DOLS sin escalones; sin cointegracion demostrada</t>
        </is>
      </c>
      <c r="T221" s="3" t="inlineStr">
        <is>
          <t>output/v8/F5/atribucion_combinada.csv</t>
        </is>
      </c>
      <c r="U221" s="2">
        <f>IF(R221=0,"",F221/R221)</f>
        <v/>
      </c>
      <c r="V221" s="2">
        <f>SUMIFS(F$2:F$1589,A$2:A$1589,A221,C$2:C$1589,C221,E$2:E$1589,E221,Q$2:Q$1589,Q221)</f>
        <v/>
      </c>
    </row>
    <row r="222">
      <c r="A222" s="3" t="inlineStr">
        <is>
          <t>alquiler</t>
        </is>
      </c>
      <c r="B222" s="3" t="inlineStr">
        <is>
          <t>nacional</t>
        </is>
      </c>
      <c r="C222" s="3" t="inlineStr">
        <is>
          <t>P4</t>
        </is>
      </c>
      <c r="D222" s="3" t="inlineStr">
        <is>
          <t>empleo_renta</t>
        </is>
      </c>
      <c r="E222" s="3" t="inlineStr">
        <is>
          <t>contabilidad_lp</t>
        </is>
      </c>
      <c r="F222" s="3" t="n">
        <v>0.192614</v>
      </c>
      <c r="G222" s="3" t="n"/>
      <c r="H222" s="3" t="n"/>
      <c r="I222" s="3" t="n">
        <v>-0.0206157</v>
      </c>
      <c r="J222" s="3" t="n">
        <v>-0.587025</v>
      </c>
      <c r="K222" s="3" t="n">
        <v>1.4063</v>
      </c>
      <c r="L222" s="3" t="n">
        <v>-1.43986</v>
      </c>
      <c r="M222" s="3" t="n">
        <v>1.78718</v>
      </c>
      <c r="N222" s="3" t="inlineStr">
        <is>
          <t>C4</t>
        </is>
      </c>
      <c r="O222" s="3" t="inlineStr">
        <is>
          <t>si</t>
        </is>
      </c>
      <c r="P222" s="3" t="inlineStr">
        <is>
          <t>no_vota (DOLS sin cointegracion demostrada, J10)</t>
        </is>
      </c>
      <c r="Q222" s="3" t="inlineStr">
        <is>
          <t>dols_sin_escalones</t>
        </is>
      </c>
      <c r="R222" s="3" t="n"/>
      <c r="S222" s="3" t="inlineStr">
        <is>
          <t>DOLS sin escalones; sin cointegracion demostrada</t>
        </is>
      </c>
      <c r="T222" s="3" t="inlineStr">
        <is>
          <t>output/v8/F5/atribucion_combinada.csv</t>
        </is>
      </c>
      <c r="U222" s="2">
        <f>IF(R222=0,"",F222/R222)</f>
        <v/>
      </c>
      <c r="V222" s="2">
        <f>SUMIFS(F$2:F$1589,A$2:A$1589,A222,C$2:C$1589,C222,E$2:E$1589,E222,Q$2:Q$1589,Q222)</f>
        <v/>
      </c>
    </row>
    <row r="223">
      <c r="A223" s="3" t="inlineStr">
        <is>
          <t>alquiler</t>
        </is>
      </c>
      <c r="B223" s="3" t="inlineStr">
        <is>
          <t>nacional</t>
        </is>
      </c>
      <c r="C223" s="3" t="inlineStr">
        <is>
          <t>P4</t>
        </is>
      </c>
      <c r="D223" s="3" t="inlineStr">
        <is>
          <t>credito_tipos</t>
        </is>
      </c>
      <c r="E223" s="3" t="inlineStr">
        <is>
          <t>contabilidad_lp</t>
        </is>
      </c>
      <c r="F223" s="3" t="n">
        <v>-1.63378</v>
      </c>
      <c r="G223" s="3" t="n"/>
      <c r="H223" s="3" t="n"/>
      <c r="I223" s="3" t="n">
        <v>0.174865</v>
      </c>
      <c r="J223" s="3" t="n">
        <v>-4.75418</v>
      </c>
      <c r="K223" s="3" t="n">
        <v>-0.53287</v>
      </c>
      <c r="L223" s="3" t="n">
        <v>-5.78323</v>
      </c>
      <c r="M223" s="3" t="n">
        <v>0.483223</v>
      </c>
      <c r="N223" s="3" t="inlineStr">
        <is>
          <t>C4</t>
        </is>
      </c>
      <c r="O223" s="3" t="inlineStr">
        <is>
          <t>si</t>
        </is>
      </c>
      <c r="P223" s="3" t="inlineStr">
        <is>
          <t>no_vota (DOLS sin cointegracion demostrada, J10)</t>
        </is>
      </c>
      <c r="Q223" s="3" t="inlineStr">
        <is>
          <t>dols_sin_escalones</t>
        </is>
      </c>
      <c r="R223" s="3" t="n"/>
      <c r="S223" s="3" t="inlineStr">
        <is>
          <t>DOLS sin escalones; sin cointegracion demostrada</t>
        </is>
      </c>
      <c r="T223" s="3" t="inlineStr">
        <is>
          <t>output/v8/F5/atribucion_combinada.csv</t>
        </is>
      </c>
      <c r="U223" s="2">
        <f>IF(R223=0,"",F223/R223)</f>
        <v/>
      </c>
      <c r="V223" s="2">
        <f>SUMIFS(F$2:F$1589,A$2:A$1589,A223,C$2:C$1589,C223,E$2:E$1589,E223,Q$2:Q$1589,Q223)</f>
        <v/>
      </c>
    </row>
    <row r="224">
      <c r="A224" s="3" t="inlineStr">
        <is>
          <t>alquiler</t>
        </is>
      </c>
      <c r="B224" s="3" t="inlineStr">
        <is>
          <t>nacional</t>
        </is>
      </c>
      <c r="C224" s="3" t="inlineStr">
        <is>
          <t>P4</t>
        </is>
      </c>
      <c r="D224" s="3" t="inlineStr">
        <is>
          <t>demografia</t>
        </is>
      </c>
      <c r="E224" s="3" t="inlineStr">
        <is>
          <t>contabilidad_lp</t>
        </is>
      </c>
      <c r="F224" s="3" t="n">
        <v>-5.67711</v>
      </c>
      <c r="G224" s="3" t="n"/>
      <c r="H224" s="3" t="n"/>
      <c r="I224" s="3" t="n">
        <v>0.607626</v>
      </c>
      <c r="J224" s="3" t="n">
        <v>-8.878550000000001</v>
      </c>
      <c r="K224" s="3" t="n">
        <v>-3.83734</v>
      </c>
      <c r="L224" s="3" t="n">
        <v>-11.2474</v>
      </c>
      <c r="M224" s="3" t="n">
        <v>-2.5628</v>
      </c>
      <c r="N224" s="3" t="inlineStr">
        <is>
          <t>C4</t>
        </is>
      </c>
      <c r="O224" s="3" t="inlineStr">
        <is>
          <t>si</t>
        </is>
      </c>
      <c r="P224" s="3" t="inlineStr">
        <is>
          <t>no_vota (DOLS sin cointegracion demostrada, J10)</t>
        </is>
      </c>
      <c r="Q224" s="3" t="inlineStr">
        <is>
          <t>dols_sin_escalones</t>
        </is>
      </c>
      <c r="R224" s="3" t="n"/>
      <c r="S224" s="3" t="inlineStr">
        <is>
          <t>DOLS sin escalones; sin cointegracion demostrada</t>
        </is>
      </c>
      <c r="T224" s="3" t="inlineStr">
        <is>
          <t>output/v8/F5/atribucion_combinada.csv</t>
        </is>
      </c>
      <c r="U224" s="2">
        <f>IF(R224=0,"",F224/R224)</f>
        <v/>
      </c>
      <c r="V224" s="2">
        <f>SUMIFS(F$2:F$1589,A$2:A$1589,A224,C$2:C$1589,C224,E$2:E$1589,E224,Q$2:Q$1589,Q224)</f>
        <v/>
      </c>
    </row>
    <row r="225">
      <c r="A225" s="3" t="inlineStr">
        <is>
          <t>alquiler</t>
        </is>
      </c>
      <c r="B225" s="3" t="inlineStr">
        <is>
          <t>nacional</t>
        </is>
      </c>
      <c r="C225" s="3" t="inlineStr">
        <is>
          <t>P4</t>
        </is>
      </c>
      <c r="D225" s="3" t="inlineStr">
        <is>
          <t>oferta</t>
        </is>
      </c>
      <c r="E225" s="3" t="inlineStr">
        <is>
          <t>contabilidad_lp</t>
        </is>
      </c>
      <c r="F225" s="3" t="n">
        <v>1.05209</v>
      </c>
      <c r="G225" s="3" t="n"/>
      <c r="H225" s="3" t="n"/>
      <c r="I225" s="3" t="n">
        <v>-0.112606</v>
      </c>
      <c r="J225" s="3" t="n">
        <v>0.358894</v>
      </c>
      <c r="K225" s="3" t="n">
        <v>2.02536</v>
      </c>
      <c r="L225" s="3" t="n">
        <v>0.0539654</v>
      </c>
      <c r="M225" s="3" t="n">
        <v>2.8605</v>
      </c>
      <c r="N225" s="3" t="inlineStr">
        <is>
          <t>C4</t>
        </is>
      </c>
      <c r="O225" s="3" t="inlineStr">
        <is>
          <t>si</t>
        </is>
      </c>
      <c r="P225" s="3" t="inlineStr">
        <is>
          <t>no_vota (DOLS sin cointegracion demostrada, J10)</t>
        </is>
      </c>
      <c r="Q225" s="3" t="inlineStr">
        <is>
          <t>dols_sin_escalones</t>
        </is>
      </c>
      <c r="R225" s="3" t="n"/>
      <c r="S225" s="3" t="inlineStr">
        <is>
          <t>DOLS sin escalones; sin cointegracion demostrada</t>
        </is>
      </c>
      <c r="T225" s="3" t="inlineStr">
        <is>
          <t>output/v8/F5/atribucion_combinada.csv</t>
        </is>
      </c>
      <c r="U225" s="2">
        <f>IF(R225=0,"",F225/R225)</f>
        <v/>
      </c>
      <c r="V225" s="2">
        <f>SUMIFS(F$2:F$1589,A$2:A$1589,A225,C$2:C$1589,C225,E$2:E$1589,E225,Q$2:Q$1589,Q225)</f>
        <v/>
      </c>
    </row>
    <row r="226">
      <c r="A226" s="3" t="inlineStr">
        <is>
          <t>alquiler</t>
        </is>
      </c>
      <c r="B226" s="3" t="inlineStr">
        <is>
          <t>nacional</t>
        </is>
      </c>
      <c r="C226" s="3" t="inlineStr">
        <is>
          <t>P4</t>
        </is>
      </c>
      <c r="D226" s="3" t="inlineStr">
        <is>
          <t>residuo</t>
        </is>
      </c>
      <c r="E226" s="3" t="inlineStr">
        <is>
          <t>contabilidad_lp</t>
        </is>
      </c>
      <c r="F226" s="3" t="n">
        <v>-3.27691</v>
      </c>
      <c r="G226" s="3" t="n"/>
      <c r="H226" s="3" t="n"/>
      <c r="I226" s="3" t="n">
        <v>0.35073</v>
      </c>
      <c r="J226" s="3" t="n">
        <v>-4.43157</v>
      </c>
      <c r="K226" s="3" t="n">
        <v>0.386385</v>
      </c>
      <c r="L226" s="3" t="n">
        <v>-6.30797</v>
      </c>
      <c r="M226" s="3" t="n">
        <v>1.5329</v>
      </c>
      <c r="N226" s="3" t="inlineStr">
        <is>
          <t>C4</t>
        </is>
      </c>
      <c r="O226" s="3" t="inlineStr">
        <is>
          <t>no</t>
        </is>
      </c>
      <c r="P226" s="3" t="inlineStr">
        <is>
          <t>no_compite</t>
        </is>
      </c>
      <c r="Q226" s="3" t="inlineStr">
        <is>
          <t>dols_sin_escalones</t>
        </is>
      </c>
      <c r="R226" s="3" t="n"/>
      <c r="S226" s="3" t="inlineStr">
        <is>
          <t>DOLS sin escalones; sin cointegracion demostrada</t>
        </is>
      </c>
      <c r="T226" s="3" t="inlineStr">
        <is>
          <t>output/v8/F5/atribucion_combinada.csv</t>
        </is>
      </c>
      <c r="U226" s="2">
        <f>IF(R226=0,"",F226/R226)</f>
        <v/>
      </c>
      <c r="V226" s="2">
        <f>SUMIFS(F$2:F$1589,A$2:A$1589,A226,C$2:C$1589,C226,E$2:E$1589,E226,Q$2:Q$1589,Q226)</f>
        <v/>
      </c>
    </row>
    <row r="227">
      <c r="A227" s="3" t="inlineStr">
        <is>
          <t>alquiler</t>
        </is>
      </c>
      <c r="B227" s="3" t="inlineStr">
        <is>
          <t>nacional</t>
        </is>
      </c>
      <c r="C227" s="3" t="inlineStr">
        <is>
          <t>P5</t>
        </is>
      </c>
      <c r="D227" s="3" t="inlineStr">
        <is>
          <t>empleo_renta</t>
        </is>
      </c>
      <c r="E227" s="3" t="inlineStr">
        <is>
          <t>contabilidad_lp</t>
        </is>
      </c>
      <c r="F227" s="3" t="n">
        <v>0.348758</v>
      </c>
      <c r="G227" s="3" t="n"/>
      <c r="H227" s="3" t="n"/>
      <c r="I227" s="3" t="n">
        <v>-0.188961</v>
      </c>
      <c r="J227" s="3" t="n">
        <v>-1.0629</v>
      </c>
      <c r="K227" s="3" t="n">
        <v>2.54633</v>
      </c>
      <c r="L227" s="3" t="n">
        <v>-2.60708</v>
      </c>
      <c r="M227" s="3" t="n">
        <v>3.23596</v>
      </c>
      <c r="N227" s="3" t="inlineStr">
        <is>
          <t>C4</t>
        </is>
      </c>
      <c r="O227" s="3" t="inlineStr">
        <is>
          <t>si</t>
        </is>
      </c>
      <c r="P227" s="3" t="inlineStr">
        <is>
          <t>no_vota (DOLS sin cointegracion demostrada, J10)</t>
        </is>
      </c>
      <c r="Q227" s="3" t="inlineStr">
        <is>
          <t>dols_sin_escalones</t>
        </is>
      </c>
      <c r="R227" s="3" t="n"/>
      <c r="S227" s="3" t="inlineStr">
        <is>
          <t>DOLS sin escalones; sin cointegracion demostrada</t>
        </is>
      </c>
      <c r="T227" s="3" t="inlineStr">
        <is>
          <t>output/v8/F5/atribucion_combinada.csv</t>
        </is>
      </c>
      <c r="U227" s="2">
        <f>IF(R227=0,"",F227/R227)</f>
        <v/>
      </c>
      <c r="V227" s="2">
        <f>SUMIFS(F$2:F$1589,A$2:A$1589,A227,C$2:C$1589,C227,E$2:E$1589,E227,Q$2:Q$1589,Q227)</f>
        <v/>
      </c>
    </row>
    <row r="228">
      <c r="A228" s="3" t="inlineStr">
        <is>
          <t>alquiler</t>
        </is>
      </c>
      <c r="B228" s="3" t="inlineStr">
        <is>
          <t>nacional</t>
        </is>
      </c>
      <c r="C228" s="3" t="inlineStr">
        <is>
          <t>P5</t>
        </is>
      </c>
      <c r="D228" s="3" t="inlineStr">
        <is>
          <t>credito_tipos</t>
        </is>
      </c>
      <c r="E228" s="3" t="inlineStr">
        <is>
          <t>contabilidad_lp</t>
        </is>
      </c>
      <c r="F228" s="3" t="n">
        <v>1.43449</v>
      </c>
      <c r="G228" s="3" t="n"/>
      <c r="H228" s="3" t="n"/>
      <c r="I228" s="3" t="n">
        <v>-0.777227</v>
      </c>
      <c r="J228" s="3" t="n">
        <v>0.5378810000000001</v>
      </c>
      <c r="K228" s="3" t="n">
        <v>4.08451</v>
      </c>
      <c r="L228" s="3" t="n">
        <v>-0.698304</v>
      </c>
      <c r="M228" s="3" t="n">
        <v>5.21763</v>
      </c>
      <c r="N228" s="3" t="inlineStr">
        <is>
          <t>C4</t>
        </is>
      </c>
      <c r="O228" s="3" t="inlineStr">
        <is>
          <t>si</t>
        </is>
      </c>
      <c r="P228" s="3" t="inlineStr">
        <is>
          <t>no_vota (DOLS sin cointegracion demostrada, J10)</t>
        </is>
      </c>
      <c r="Q228" s="3" t="inlineStr">
        <is>
          <t>dols_sin_escalones</t>
        </is>
      </c>
      <c r="R228" s="3" t="n"/>
      <c r="S228" s="3" t="inlineStr">
        <is>
          <t>DOLS sin escalones; sin cointegracion demostrada</t>
        </is>
      </c>
      <c r="T228" s="3" t="inlineStr">
        <is>
          <t>output/v8/F5/atribucion_combinada.csv</t>
        </is>
      </c>
      <c r="U228" s="2">
        <f>IF(R228=0,"",F228/R228)</f>
        <v/>
      </c>
      <c r="V228" s="2">
        <f>SUMIFS(F$2:F$1589,A$2:A$1589,A228,C$2:C$1589,C228,E$2:E$1589,E228,Q$2:Q$1589,Q228)</f>
        <v/>
      </c>
    </row>
    <row r="229">
      <c r="A229" s="3" t="inlineStr">
        <is>
          <t>alquiler</t>
        </is>
      </c>
      <c r="B229" s="3" t="inlineStr">
        <is>
          <t>nacional</t>
        </is>
      </c>
      <c r="C229" s="3" t="inlineStr">
        <is>
          <t>P5</t>
        </is>
      </c>
      <c r="D229" s="3" t="inlineStr">
        <is>
          <t>demografia</t>
        </is>
      </c>
      <c r="E229" s="3" t="inlineStr">
        <is>
          <t>contabilidad_lp</t>
        </is>
      </c>
      <c r="F229" s="3" t="n">
        <v>-9.074310000000001</v>
      </c>
      <c r="G229" s="3" t="n"/>
      <c r="H229" s="3" t="n"/>
      <c r="I229" s="3" t="n">
        <v>4.91658</v>
      </c>
      <c r="J229" s="3" t="n">
        <v>-14.1915</v>
      </c>
      <c r="K229" s="3" t="n">
        <v>-6.13361</v>
      </c>
      <c r="L229" s="3" t="n">
        <v>-17.9779</v>
      </c>
      <c r="M229" s="3" t="n">
        <v>-4.09639</v>
      </c>
      <c r="N229" s="3" t="inlineStr">
        <is>
          <t>C4</t>
        </is>
      </c>
      <c r="O229" s="3" t="inlineStr">
        <is>
          <t>si</t>
        </is>
      </c>
      <c r="P229" s="3" t="inlineStr">
        <is>
          <t>no_vota (DOLS sin cointegracion demostrada, J10)</t>
        </is>
      </c>
      <c r="Q229" s="3" t="inlineStr">
        <is>
          <t>dols_sin_escalones</t>
        </is>
      </c>
      <c r="R229" s="3" t="n"/>
      <c r="S229" s="3" t="inlineStr">
        <is>
          <t>DOLS sin escalones; sin cointegracion demostrada</t>
        </is>
      </c>
      <c r="T229" s="3" t="inlineStr">
        <is>
          <t>output/v8/F5/atribucion_combinada.csv</t>
        </is>
      </c>
      <c r="U229" s="2">
        <f>IF(R229=0,"",F229/R229)</f>
        <v/>
      </c>
      <c r="V229" s="2">
        <f>SUMIFS(F$2:F$1589,A$2:A$1589,A229,C$2:C$1589,C229,E$2:E$1589,E229,Q$2:Q$1589,Q229)</f>
        <v/>
      </c>
    </row>
    <row r="230">
      <c r="A230" s="3" t="inlineStr">
        <is>
          <t>alquiler</t>
        </is>
      </c>
      <c r="B230" s="3" t="inlineStr">
        <is>
          <t>nacional</t>
        </is>
      </c>
      <c r="C230" s="3" t="inlineStr">
        <is>
          <t>P5</t>
        </is>
      </c>
      <c r="D230" s="3" t="inlineStr">
        <is>
          <t>oferta</t>
        </is>
      </c>
      <c r="E230" s="3" t="inlineStr">
        <is>
          <t>contabilidad_lp</t>
        </is>
      </c>
      <c r="F230" s="3" t="n">
        <v>1.72747</v>
      </c>
      <c r="G230" s="3" t="n"/>
      <c r="H230" s="3" t="n"/>
      <c r="I230" s="3" t="n">
        <v>-0.935966</v>
      </c>
      <c r="J230" s="3" t="n">
        <v>0.5892849999999999</v>
      </c>
      <c r="K230" s="3" t="n">
        <v>3.32553</v>
      </c>
      <c r="L230" s="3" t="n">
        <v>0.0886082</v>
      </c>
      <c r="M230" s="3" t="n">
        <v>4.69678</v>
      </c>
      <c r="N230" s="3" t="inlineStr">
        <is>
          <t>C4</t>
        </is>
      </c>
      <c r="O230" s="3" t="inlineStr">
        <is>
          <t>si</t>
        </is>
      </c>
      <c r="P230" s="3" t="inlineStr">
        <is>
          <t>no_vota (DOLS sin cointegracion demostrada, J10)</t>
        </is>
      </c>
      <c r="Q230" s="3" t="inlineStr">
        <is>
          <t>dols_sin_escalones</t>
        </is>
      </c>
      <c r="R230" s="3" t="n"/>
      <c r="S230" s="3" t="inlineStr">
        <is>
          <t>DOLS sin escalones; sin cointegracion demostrada</t>
        </is>
      </c>
      <c r="T230" s="3" t="inlineStr">
        <is>
          <t>output/v8/F5/atribucion_combinada.csv</t>
        </is>
      </c>
      <c r="U230" s="2">
        <f>IF(R230=0,"",F230/R230)</f>
        <v/>
      </c>
      <c r="V230" s="2">
        <f>SUMIFS(F$2:F$1589,A$2:A$1589,A230,C$2:C$1589,C230,E$2:E$1589,E230,Q$2:Q$1589,Q230)</f>
        <v/>
      </c>
    </row>
    <row r="231">
      <c r="A231" s="3" t="inlineStr">
        <is>
          <t>alquiler</t>
        </is>
      </c>
      <c r="B231" s="3" t="inlineStr">
        <is>
          <t>nacional</t>
        </is>
      </c>
      <c r="C231" s="3" t="inlineStr">
        <is>
          <t>P5</t>
        </is>
      </c>
      <c r="D231" s="3" t="inlineStr">
        <is>
          <t>residuo</t>
        </is>
      </c>
      <c r="E231" s="3" t="inlineStr">
        <is>
          <t>contabilidad_lp</t>
        </is>
      </c>
      <c r="F231" s="3" t="n">
        <v>3.71793</v>
      </c>
      <c r="G231" s="3" t="n"/>
      <c r="H231" s="3" t="n"/>
      <c r="I231" s="3" t="n">
        <v>-2.01442</v>
      </c>
      <c r="J231" s="3" t="n">
        <v>0.513023</v>
      </c>
      <c r="K231" s="3" t="n">
        <v>5.56281</v>
      </c>
      <c r="L231" s="3" t="n">
        <v>-1.25326</v>
      </c>
      <c r="M231" s="3" t="n">
        <v>7.59743</v>
      </c>
      <c r="N231" s="3" t="inlineStr">
        <is>
          <t>C4</t>
        </is>
      </c>
      <c r="O231" s="3" t="inlineStr">
        <is>
          <t>no</t>
        </is>
      </c>
      <c r="P231" s="3" t="inlineStr">
        <is>
          <t>no_compite</t>
        </is>
      </c>
      <c r="Q231" s="3" t="inlineStr">
        <is>
          <t>dols_sin_escalones</t>
        </is>
      </c>
      <c r="R231" s="3" t="n"/>
      <c r="S231" s="3" t="inlineStr">
        <is>
          <t>DOLS sin escalones; sin cointegracion demostrada</t>
        </is>
      </c>
      <c r="T231" s="3" t="inlineStr">
        <is>
          <t>output/v8/F5/atribucion_combinada.csv</t>
        </is>
      </c>
      <c r="U231" s="2">
        <f>IF(R231=0,"",F231/R231)</f>
        <v/>
      </c>
      <c r="V231" s="2">
        <f>SUMIFS(F$2:F$1589,A$2:A$1589,A231,C$2:C$1589,C231,E$2:E$1589,E231,Q$2:Q$1589,Q231)</f>
        <v/>
      </c>
    </row>
    <row r="232">
      <c r="A232" s="3" t="inlineStr">
        <is>
          <t>compra</t>
        </is>
      </c>
      <c r="B232" s="3" t="inlineStr">
        <is>
          <t>nacional</t>
        </is>
      </c>
      <c r="C232" s="3" t="inlineStr">
        <is>
          <t>P1</t>
        </is>
      </c>
      <c r="D232" s="3" t="inlineStr">
        <is>
          <t>demografia</t>
        </is>
      </c>
      <c r="E232" s="3" t="inlineStr">
        <is>
          <t>contabilidad</t>
        </is>
      </c>
      <c r="F232" s="3" t="n">
        <v>26.6079</v>
      </c>
      <c r="G232" s="3" t="n"/>
      <c r="H232" s="3" t="n"/>
      <c r="I232" s="3" t="n"/>
      <c r="J232" s="3" t="n">
        <v>17.8562</v>
      </c>
      <c r="K232" s="3" t="n">
        <v>40.3963</v>
      </c>
      <c r="L232" s="3" t="n">
        <v>14.3154</v>
      </c>
      <c r="M232" s="3" t="n">
        <v>51.0352</v>
      </c>
      <c r="N232" s="3" t="inlineStr">
        <is>
          <t>C4</t>
        </is>
      </c>
      <c r="O232" s="3" t="inlineStr">
        <is>
          <t>si</t>
        </is>
      </c>
      <c r="P232" s="3" t="inlineStr">
        <is>
          <t>abstiene</t>
        </is>
      </c>
      <c r="Q232" s="3" t="inlineStr">
        <is>
          <t>pendiente_periodo_c4_informativa</t>
        </is>
      </c>
      <c r="R232" s="3" t="n"/>
      <c r="S232" s="3" t="n"/>
      <c r="T232" s="3" t="inlineStr">
        <is>
          <t>output/v8/F5/atribucion_combinada.csv</t>
        </is>
      </c>
      <c r="U232" s="2">
        <f>IF(R232=0,"",F232/R232)</f>
        <v/>
      </c>
      <c r="V232" s="2">
        <f>SUMIFS(F$2:F$1589,A$2:A$1589,A232,C$2:C$1589,C232,E$2:E$1589,E232,Q$2:Q$1589,Q232)</f>
        <v/>
      </c>
    </row>
    <row r="233">
      <c r="A233" s="3" t="inlineStr">
        <is>
          <t>compra</t>
        </is>
      </c>
      <c r="B233" s="3" t="inlineStr">
        <is>
          <t>nacional</t>
        </is>
      </c>
      <c r="C233" s="3" t="inlineStr">
        <is>
          <t>P2</t>
        </is>
      </c>
      <c r="D233" s="3" t="inlineStr">
        <is>
          <t>demografia</t>
        </is>
      </c>
      <c r="E233" s="3" t="inlineStr">
        <is>
          <t>contabilidad</t>
        </is>
      </c>
      <c r="F233" s="3" t="n">
        <v>0.0409174</v>
      </c>
      <c r="G233" s="3" t="n"/>
      <c r="H233" s="3" t="n"/>
      <c r="I233" s="3" t="n"/>
      <c r="J233" s="3" t="n">
        <v>-0.0900089</v>
      </c>
      <c r="K233" s="3" t="n">
        <v>0.246449</v>
      </c>
      <c r="L233" s="3" t="n">
        <v>-0.146176</v>
      </c>
      <c r="M233" s="3" t="n">
        <v>0.372875</v>
      </c>
      <c r="N233" s="3" t="inlineStr">
        <is>
          <t>C4</t>
        </is>
      </c>
      <c r="O233" s="3" t="inlineStr">
        <is>
          <t>si</t>
        </is>
      </c>
      <c r="P233" s="3" t="inlineStr">
        <is>
          <t>abstiene</t>
        </is>
      </c>
      <c r="Q233" s="3" t="inlineStr">
        <is>
          <t>pendiente_periodo_c4_informativa</t>
        </is>
      </c>
      <c r="R233" s="3" t="n"/>
      <c r="S233" s="3" t="n"/>
      <c r="T233" s="3" t="inlineStr">
        <is>
          <t>output/v8/F5/atribucion_combinada.csv</t>
        </is>
      </c>
      <c r="U233" s="2">
        <f>IF(R233=0,"",F233/R233)</f>
        <v/>
      </c>
      <c r="V233" s="2">
        <f>SUMIFS(F$2:F$1589,A$2:A$1589,A233,C$2:C$1589,C233,E$2:E$1589,E233,Q$2:Q$1589,Q233)</f>
        <v/>
      </c>
    </row>
    <row r="234">
      <c r="A234" s="3" t="inlineStr">
        <is>
          <t>compra</t>
        </is>
      </c>
      <c r="B234" s="3" t="inlineStr">
        <is>
          <t>nacional</t>
        </is>
      </c>
      <c r="C234" s="3" t="inlineStr">
        <is>
          <t>P3</t>
        </is>
      </c>
      <c r="D234" s="3" t="inlineStr">
        <is>
          <t>demografia</t>
        </is>
      </c>
      <c r="E234" s="3" t="inlineStr">
        <is>
          <t>contabilidad</t>
        </is>
      </c>
      <c r="F234" s="3" t="n">
        <v>3.06772</v>
      </c>
      <c r="G234" s="3" t="n"/>
      <c r="H234" s="3" t="n"/>
      <c r="I234" s="3" t="n"/>
      <c r="J234" s="3" t="n">
        <v>2.12616</v>
      </c>
      <c r="K234" s="3" t="n">
        <v>4.46687</v>
      </c>
      <c r="L234" s="3" t="n">
        <v>1.17017</v>
      </c>
      <c r="M234" s="3" t="n">
        <v>6.24736</v>
      </c>
      <c r="N234" s="3" t="inlineStr">
        <is>
          <t>C4</t>
        </is>
      </c>
      <c r="O234" s="3" t="inlineStr">
        <is>
          <t>si</t>
        </is>
      </c>
      <c r="P234" s="3" t="inlineStr">
        <is>
          <t>si</t>
        </is>
      </c>
      <c r="Q234" s="3" t="inlineStr">
        <is>
          <t>pendiente_periodo_c4_informativa</t>
        </is>
      </c>
      <c r="R234" s="3" t="n"/>
      <c r="S234" s="3" t="n"/>
      <c r="T234" s="3" t="inlineStr">
        <is>
          <t>output/v8/F5/atribucion_combinada.csv</t>
        </is>
      </c>
      <c r="U234" s="2">
        <f>IF(R234=0,"",F234/R234)</f>
        <v/>
      </c>
      <c r="V234" s="2">
        <f>SUMIFS(F$2:F$1589,A$2:A$1589,A234,C$2:C$1589,C234,E$2:E$1589,E234,Q$2:Q$1589,Q234)</f>
        <v/>
      </c>
    </row>
    <row r="235">
      <c r="A235" s="3" t="inlineStr">
        <is>
          <t>compra</t>
        </is>
      </c>
      <c r="B235" s="3" t="inlineStr">
        <is>
          <t>nacional</t>
        </is>
      </c>
      <c r="C235" s="3" t="inlineStr">
        <is>
          <t>P4</t>
        </is>
      </c>
      <c r="D235" s="3" t="inlineStr">
        <is>
          <t>demografia</t>
        </is>
      </c>
      <c r="E235" s="3" t="inlineStr">
        <is>
          <t>contabilidad</t>
        </is>
      </c>
      <c r="F235" s="3" t="n">
        <v>-4.72594</v>
      </c>
      <c r="G235" s="3" t="n"/>
      <c r="H235" s="3" t="n"/>
      <c r="I235" s="3" t="n"/>
      <c r="J235" s="3" t="n">
        <v>-6.06002</v>
      </c>
      <c r="K235" s="3" t="n">
        <v>-3.25096</v>
      </c>
      <c r="L235" s="3" t="n">
        <v>-7.7648</v>
      </c>
      <c r="M235" s="3" t="n">
        <v>-1.41671</v>
      </c>
      <c r="N235" s="3" t="inlineStr">
        <is>
          <t>C4</t>
        </is>
      </c>
      <c r="O235" s="3" t="inlineStr">
        <is>
          <t>si</t>
        </is>
      </c>
      <c r="P235" s="3" t="inlineStr">
        <is>
          <t>abstiene</t>
        </is>
      </c>
      <c r="Q235" s="3" t="inlineStr">
        <is>
          <t>pendiente_periodo_c4_informativa</t>
        </is>
      </c>
      <c r="R235" s="3" t="n"/>
      <c r="S235" s="3" t="n"/>
      <c r="T235" s="3" t="inlineStr">
        <is>
          <t>output/v8/F5/atribucion_combinada.csv</t>
        </is>
      </c>
      <c r="U235" s="2">
        <f>IF(R235=0,"",F235/R235)</f>
        <v/>
      </c>
      <c r="V235" s="2">
        <f>SUMIFS(F$2:F$1589,A$2:A$1589,A235,C$2:C$1589,C235,E$2:E$1589,E235,Q$2:Q$1589,Q235)</f>
        <v/>
      </c>
    </row>
    <row r="236">
      <c r="A236" s="3" t="inlineStr">
        <is>
          <t>compra</t>
        </is>
      </c>
      <c r="B236" s="3" t="inlineStr">
        <is>
          <t>nacional</t>
        </is>
      </c>
      <c r="C236" s="3" t="inlineStr">
        <is>
          <t>P5</t>
        </is>
      </c>
      <c r="D236" s="3" t="inlineStr">
        <is>
          <t>demografia</t>
        </is>
      </c>
      <c r="E236" s="3" t="inlineStr">
        <is>
          <t>contabilidad</t>
        </is>
      </c>
      <c r="F236" s="3" t="n">
        <v>11.572</v>
      </c>
      <c r="G236" s="3" t="n"/>
      <c r="H236" s="3" t="n"/>
      <c r="I236" s="3" t="n"/>
      <c r="J236" s="3" t="n">
        <v>6.83515</v>
      </c>
      <c r="K236" s="3" t="n">
        <v>19.385</v>
      </c>
      <c r="L236" s="3" t="n">
        <v>5.34694</v>
      </c>
      <c r="M236" s="3" t="n">
        <v>27.8137</v>
      </c>
      <c r="N236" s="3" t="inlineStr">
        <is>
          <t>C4</t>
        </is>
      </c>
      <c r="O236" s="3" t="inlineStr">
        <is>
          <t>si</t>
        </is>
      </c>
      <c r="P236" s="3" t="inlineStr">
        <is>
          <t>si</t>
        </is>
      </c>
      <c r="Q236" s="3" t="inlineStr">
        <is>
          <t>pendiente_periodo_c4_informativa</t>
        </is>
      </c>
      <c r="R236" s="3" t="n"/>
      <c r="S236" s="3" t="n"/>
      <c r="T236" s="3" t="inlineStr">
        <is>
          <t>output/v8/F5/atribucion_combinada.csv</t>
        </is>
      </c>
      <c r="U236" s="2">
        <f>IF(R236=0,"",F236/R236)</f>
        <v/>
      </c>
      <c r="V236" s="2">
        <f>SUMIFS(F$2:F$1589,A$2:A$1589,A236,C$2:C$1589,C236,E$2:E$1589,E236,Q$2:Q$1589,Q236)</f>
        <v/>
      </c>
    </row>
    <row r="237">
      <c r="A237" s="3" t="inlineStr">
        <is>
          <t>alquiler</t>
        </is>
      </c>
      <c r="B237" s="3" t="inlineStr">
        <is>
          <t>nacional</t>
        </is>
      </c>
      <c r="C237" s="3" t="inlineStr">
        <is>
          <t>P1</t>
        </is>
      </c>
      <c r="D237" s="3" t="inlineStr">
        <is>
          <t>demografia</t>
        </is>
      </c>
      <c r="E237" s="3" t="inlineStr">
        <is>
          <t>contabilidad</t>
        </is>
      </c>
      <c r="F237" s="3" t="n">
        <v>3.9332</v>
      </c>
      <c r="G237" s="3" t="n"/>
      <c r="H237" s="3" t="n"/>
      <c r="I237" s="3" t="n"/>
      <c r="J237" s="3" t="n">
        <v>2.33138</v>
      </c>
      <c r="K237" s="3" t="n">
        <v>5.56285</v>
      </c>
      <c r="L237" s="3" t="n">
        <v>0.788548</v>
      </c>
      <c r="M237" s="3" t="n">
        <v>6.45837</v>
      </c>
      <c r="N237" s="3" t="inlineStr">
        <is>
          <t>C4</t>
        </is>
      </c>
      <c r="O237" s="3" t="inlineStr">
        <is>
          <t>si</t>
        </is>
      </c>
      <c r="P237" s="3" t="inlineStr">
        <is>
          <t>abstiene</t>
        </is>
      </c>
      <c r="Q237" s="3" t="inlineStr">
        <is>
          <t>pendiente_periodo_c4_informativa</t>
        </is>
      </c>
      <c r="R237" s="3" t="n"/>
      <c r="S237" s="3" t="n"/>
      <c r="T237" s="3" t="inlineStr">
        <is>
          <t>output/v8/F5/atribucion_combinada.csv</t>
        </is>
      </c>
      <c r="U237" s="2">
        <f>IF(R237=0,"",F237/R237)</f>
        <v/>
      </c>
      <c r="V237" s="2">
        <f>SUMIFS(F$2:F$1589,A$2:A$1589,A237,C$2:C$1589,C237,E$2:E$1589,E237,Q$2:Q$1589,Q237)</f>
        <v/>
      </c>
    </row>
    <row r="238">
      <c r="A238" s="3" t="inlineStr">
        <is>
          <t>alquiler</t>
        </is>
      </c>
      <c r="B238" s="3" t="inlineStr">
        <is>
          <t>nacional</t>
        </is>
      </c>
      <c r="C238" s="3" t="inlineStr">
        <is>
          <t>P2</t>
        </is>
      </c>
      <c r="D238" s="3" t="inlineStr">
        <is>
          <t>demografia</t>
        </is>
      </c>
      <c r="E238" s="3" t="inlineStr">
        <is>
          <t>contabilidad</t>
        </is>
      </c>
      <c r="F238" s="3" t="n">
        <v>0.0756879</v>
      </c>
      <c r="G238" s="3" t="n"/>
      <c r="H238" s="3" t="n"/>
      <c r="I238" s="3" t="n"/>
      <c r="J238" s="3" t="n">
        <v>0.0611039</v>
      </c>
      <c r="K238" s="3" t="n">
        <v>0.0857947</v>
      </c>
      <c r="L238" s="3" t="n">
        <v>0.0448332</v>
      </c>
      <c r="M238" s="3" t="n">
        <v>0.0939429</v>
      </c>
      <c r="N238" s="3" t="inlineStr">
        <is>
          <t>C4</t>
        </is>
      </c>
      <c r="O238" s="3" t="inlineStr">
        <is>
          <t>si</t>
        </is>
      </c>
      <c r="P238" s="3" t="inlineStr">
        <is>
          <t>abstiene</t>
        </is>
      </c>
      <c r="Q238" s="3" t="inlineStr">
        <is>
          <t>pendiente_periodo_c4_informativa</t>
        </is>
      </c>
      <c r="R238" s="3" t="n"/>
      <c r="S238" s="3" t="n"/>
      <c r="T238" s="3" t="inlineStr">
        <is>
          <t>output/v8/F5/atribucion_combinada.csv</t>
        </is>
      </c>
      <c r="U238" s="2">
        <f>IF(R238=0,"",F238/R238)</f>
        <v/>
      </c>
      <c r="V238" s="2">
        <f>SUMIFS(F$2:F$1589,A$2:A$1589,A238,C$2:C$1589,C238,E$2:E$1589,E238,Q$2:Q$1589,Q238)</f>
        <v/>
      </c>
    </row>
    <row r="239">
      <c r="A239" s="3" t="inlineStr">
        <is>
          <t>alquiler</t>
        </is>
      </c>
      <c r="B239" s="3" t="inlineStr">
        <is>
          <t>nacional</t>
        </is>
      </c>
      <c r="C239" s="3" t="inlineStr">
        <is>
          <t>P3</t>
        </is>
      </c>
      <c r="D239" s="3" t="inlineStr">
        <is>
          <t>demografia</t>
        </is>
      </c>
      <c r="E239" s="3" t="inlineStr">
        <is>
          <t>contabilidad</t>
        </is>
      </c>
      <c r="F239" s="3" t="n">
        <v>-0.8265</v>
      </c>
      <c r="G239" s="3" t="n"/>
      <c r="H239" s="3" t="n"/>
      <c r="I239" s="3" t="n"/>
      <c r="J239" s="3" t="n">
        <v>-2.78334</v>
      </c>
      <c r="K239" s="3" t="n">
        <v>0.866263</v>
      </c>
      <c r="L239" s="3" t="n">
        <v>-5.58878</v>
      </c>
      <c r="M239" s="3" t="n">
        <v>1.83321</v>
      </c>
      <c r="N239" s="3" t="inlineStr">
        <is>
          <t>C4</t>
        </is>
      </c>
      <c r="O239" s="3" t="inlineStr">
        <is>
          <t>si</t>
        </is>
      </c>
      <c r="P239" s="3" t="inlineStr">
        <is>
          <t>abstiene</t>
        </is>
      </c>
      <c r="Q239" s="3" t="inlineStr">
        <is>
          <t>pendiente_periodo_c4_informativa</t>
        </is>
      </c>
      <c r="R239" s="3" t="n"/>
      <c r="S239" s="3" t="n"/>
      <c r="T239" s="3" t="inlineStr">
        <is>
          <t>output/v8/F5/atribucion_combinada.csv</t>
        </is>
      </c>
      <c r="U239" s="2">
        <f>IF(R239=0,"",F239/R239)</f>
        <v/>
      </c>
      <c r="V239" s="2">
        <f>SUMIFS(F$2:F$1589,A$2:A$1589,A239,C$2:C$1589,C239,E$2:E$1589,E239,Q$2:Q$1589,Q239)</f>
        <v/>
      </c>
    </row>
    <row r="240">
      <c r="A240" s="3" t="inlineStr">
        <is>
          <t>alquiler</t>
        </is>
      </c>
      <c r="B240" s="3" t="inlineStr">
        <is>
          <t>nacional</t>
        </is>
      </c>
      <c r="C240" s="3" t="inlineStr">
        <is>
          <t>P4</t>
        </is>
      </c>
      <c r="D240" s="3" t="inlineStr">
        <is>
          <t>demografia</t>
        </is>
      </c>
      <c r="E240" s="3" t="inlineStr">
        <is>
          <t>contabilidad</t>
        </is>
      </c>
      <c r="F240" s="3" t="n">
        <v>-8.48456</v>
      </c>
      <c r="G240" s="3" t="n"/>
      <c r="H240" s="3" t="n"/>
      <c r="I240" s="3" t="n"/>
      <c r="J240" s="3" t="n">
        <v>-9.169689999999999</v>
      </c>
      <c r="K240" s="3" t="n">
        <v>-7.89748</v>
      </c>
      <c r="L240" s="3" t="n">
        <v>-9.836930000000001</v>
      </c>
      <c r="M240" s="3" t="n">
        <v>-7.07555</v>
      </c>
      <c r="N240" s="3" t="inlineStr">
        <is>
          <t>C4</t>
        </is>
      </c>
      <c r="O240" s="3" t="inlineStr">
        <is>
          <t>si</t>
        </is>
      </c>
      <c r="P240" s="3" t="inlineStr">
        <is>
          <t>abstiene</t>
        </is>
      </c>
      <c r="Q240" s="3" t="inlineStr">
        <is>
          <t>pendiente_periodo_c4_informativa</t>
        </is>
      </c>
      <c r="R240" s="3" t="n"/>
      <c r="S240" s="3" t="n"/>
      <c r="T240" s="3" t="inlineStr">
        <is>
          <t>output/v8/F5/atribucion_combinada.csv</t>
        </is>
      </c>
      <c r="U240" s="2">
        <f>IF(R240=0,"",F240/R240)</f>
        <v/>
      </c>
      <c r="V240" s="2">
        <f>SUMIFS(F$2:F$1589,A$2:A$1589,A240,C$2:C$1589,C240,E$2:E$1589,E240,Q$2:Q$1589,Q240)</f>
        <v/>
      </c>
    </row>
    <row r="241">
      <c r="A241" s="3" t="inlineStr">
        <is>
          <t>alquiler</t>
        </is>
      </c>
      <c r="B241" s="3" t="inlineStr">
        <is>
          <t>nacional</t>
        </is>
      </c>
      <c r="C241" s="3" t="inlineStr">
        <is>
          <t>P5</t>
        </is>
      </c>
      <c r="D241" s="3" t="inlineStr">
        <is>
          <t>demografia</t>
        </is>
      </c>
      <c r="E241" s="3" t="inlineStr">
        <is>
          <t>contabilidad</t>
        </is>
      </c>
      <c r="F241" s="3" t="n">
        <v>-2.1258</v>
      </c>
      <c r="G241" s="3" t="n"/>
      <c r="H241" s="3" t="n"/>
      <c r="I241" s="3" t="n"/>
      <c r="J241" s="3" t="n">
        <v>-2.73377</v>
      </c>
      <c r="K241" s="3" t="n">
        <v>-1.41139</v>
      </c>
      <c r="L241" s="3" t="n">
        <v>-3.24887</v>
      </c>
      <c r="M241" s="3" t="n">
        <v>-0.993617</v>
      </c>
      <c r="N241" s="3" t="inlineStr">
        <is>
          <t>C4</t>
        </is>
      </c>
      <c r="O241" s="3" t="inlineStr">
        <is>
          <t>si</t>
        </is>
      </c>
      <c r="P241" s="3" t="inlineStr">
        <is>
          <t>abstiene</t>
        </is>
      </c>
      <c r="Q241" s="3" t="inlineStr">
        <is>
          <t>pendiente_periodo_c4_informativa</t>
        </is>
      </c>
      <c r="R241" s="3" t="n"/>
      <c r="S241" s="3" t="n"/>
      <c r="T241" s="3" t="inlineStr">
        <is>
          <t>output/v8/F5/atribucion_combinada.csv</t>
        </is>
      </c>
      <c r="U241" s="2">
        <f>IF(R241=0,"",F241/R241)</f>
        <v/>
      </c>
      <c r="V241" s="2">
        <f>SUMIFS(F$2:F$1589,A$2:A$1589,A241,C$2:C$1589,C241,E$2:E$1589,E241,Q$2:Q$1589,Q241)</f>
        <v/>
      </c>
    </row>
    <row r="242">
      <c r="A242" s="3" t="inlineStr">
        <is>
          <t>compra</t>
        </is>
      </c>
      <c r="B242" s="3" t="inlineStr">
        <is>
          <t>nacional</t>
        </is>
      </c>
      <c r="C242" s="3" t="inlineStr">
        <is>
          <t>P1</t>
        </is>
      </c>
      <c r="D242" s="3" t="inlineStr">
        <is>
          <t>factor_europeo</t>
        </is>
      </c>
      <c r="E242" s="3" t="inlineStr">
        <is>
          <t>factor_comun_m1</t>
        </is>
      </c>
      <c r="F242" s="3" t="n">
        <v>7.36601</v>
      </c>
      <c r="G242" s="3" t="n"/>
      <c r="H242" s="3" t="n"/>
      <c r="I242" s="3" t="n">
        <v>0.792144</v>
      </c>
      <c r="J242" s="3" t="n">
        <v>4.72037</v>
      </c>
      <c r="K242" s="3" t="n">
        <v>8.726660000000001</v>
      </c>
      <c r="L242" s="3" t="n">
        <v>-16.7477</v>
      </c>
      <c r="M242" s="3" t="n">
        <v>10.9869</v>
      </c>
      <c r="N242" s="3" t="inlineStr">
        <is>
          <t>C4</t>
        </is>
      </c>
      <c r="O242" s="3" t="inlineStr">
        <is>
          <t>si</t>
        </is>
      </c>
      <c r="P242" s="3" t="inlineStr">
        <is>
          <t>no_vota</t>
        </is>
      </c>
      <c r="Q242" s="3" t="inlineStr">
        <is>
          <t>ols_ea19_real_lag0-1</t>
        </is>
      </c>
      <c r="R242" s="3" t="n"/>
      <c r="S242" s="3" t="inlineStr">
        <is>
          <t>contraste (R6): parte europea; no vota</t>
        </is>
      </c>
      <c r="T242" s="3" t="inlineStr">
        <is>
          <t>output/v8/F5/atribucion_combinada.csv</t>
        </is>
      </c>
      <c r="U242" s="2">
        <f>IF(R242=0,"",F242/R242)</f>
        <v/>
      </c>
      <c r="V242" s="2">
        <f>SUMIFS(F$2:F$1589,A$2:A$1589,A242,C$2:C$1589,C242,E$2:E$1589,E242,Q$2:Q$1589,Q242)</f>
        <v/>
      </c>
    </row>
    <row r="243">
      <c r="A243" s="3" t="inlineStr">
        <is>
          <t>compra</t>
        </is>
      </c>
      <c r="B243" s="3" t="inlineStr">
        <is>
          <t>nacional</t>
        </is>
      </c>
      <c r="C243" s="3" t="inlineStr">
        <is>
          <t>P1</t>
        </is>
      </c>
      <c r="D243" s="3" t="inlineStr">
        <is>
          <t>residuo</t>
        </is>
      </c>
      <c r="E243" s="3" t="inlineStr">
        <is>
          <t>factor_comun_m1</t>
        </is>
      </c>
      <c r="F243" s="3" t="n">
        <v>1.93282</v>
      </c>
      <c r="G243" s="3" t="n"/>
      <c r="H243" s="3" t="n"/>
      <c r="I243" s="3" t="n">
        <v>0.207856</v>
      </c>
      <c r="J243" s="3" t="n">
        <v>-2.11548</v>
      </c>
      <c r="K243" s="3" t="n">
        <v>6.92817</v>
      </c>
      <c r="L243" s="3" t="n">
        <v>-3.83381</v>
      </c>
      <c r="M243" s="3" t="n">
        <v>31.3083</v>
      </c>
      <c r="N243" s="3" t="inlineStr">
        <is>
          <t>C4</t>
        </is>
      </c>
      <c r="O243" s="3" t="inlineStr">
        <is>
          <t>no</t>
        </is>
      </c>
      <c r="P243" s="3" t="inlineStr">
        <is>
          <t>no_compite</t>
        </is>
      </c>
      <c r="Q243" s="3" t="inlineStr">
        <is>
          <t>ols_ea19_real_lag0-1</t>
        </is>
      </c>
      <c r="R243" s="3" t="n"/>
      <c r="S243" s="3" t="inlineStr">
        <is>
          <t>contraste (R6): parte europea; no vota</t>
        </is>
      </c>
      <c r="T243" s="3" t="inlineStr">
        <is>
          <t>output/v8/F5/atribucion_combinada.csv</t>
        </is>
      </c>
      <c r="U243" s="2">
        <f>IF(R243=0,"",F243/R243)</f>
        <v/>
      </c>
      <c r="V243" s="2">
        <f>SUMIFS(F$2:F$1589,A$2:A$1589,A243,C$2:C$1589,C243,E$2:E$1589,E243,Q$2:Q$1589,Q243)</f>
        <v/>
      </c>
    </row>
    <row r="244">
      <c r="A244" s="3" t="inlineStr">
        <is>
          <t>compra</t>
        </is>
      </c>
      <c r="B244" s="3" t="inlineStr">
        <is>
          <t>nacional</t>
        </is>
      </c>
      <c r="C244" s="3" t="inlineStr">
        <is>
          <t>P2</t>
        </is>
      </c>
      <c r="D244" s="3" t="inlineStr">
        <is>
          <t>factor_europeo</t>
        </is>
      </c>
      <c r="E244" s="3" t="inlineStr">
        <is>
          <t>factor_comun_m1</t>
        </is>
      </c>
      <c r="F244" s="3" t="n">
        <v>-15.3309</v>
      </c>
      <c r="G244" s="3" t="n"/>
      <c r="H244" s="3" t="n"/>
      <c r="I244" s="3" t="n">
        <v>0.348415</v>
      </c>
      <c r="J244" s="3" t="n">
        <v>-21.7163</v>
      </c>
      <c r="K244" s="3" t="n">
        <v>-7.55424</v>
      </c>
      <c r="L244" s="3" t="n">
        <v>-27.9497</v>
      </c>
      <c r="M244" s="3" t="n">
        <v>-4.9645</v>
      </c>
      <c r="N244" s="3" t="inlineStr">
        <is>
          <t>C4</t>
        </is>
      </c>
      <c r="O244" s="3" t="inlineStr">
        <is>
          <t>si</t>
        </is>
      </c>
      <c r="P244" s="3" t="inlineStr">
        <is>
          <t>no_vota</t>
        </is>
      </c>
      <c r="Q244" s="3" t="inlineStr">
        <is>
          <t>ols_ea19_real_lag0-1</t>
        </is>
      </c>
      <c r="R244" s="3" t="n"/>
      <c r="S244" s="3" t="inlineStr">
        <is>
          <t>contraste (R6): parte europea; no vota</t>
        </is>
      </c>
      <c r="T244" s="3" t="inlineStr">
        <is>
          <t>output/v8/F5/atribucion_combinada.csv</t>
        </is>
      </c>
      <c r="U244" s="2">
        <f>IF(R244=0,"",F244/R244)</f>
        <v/>
      </c>
      <c r="V244" s="2">
        <f>SUMIFS(F$2:F$1589,A$2:A$1589,A244,C$2:C$1589,C244,E$2:E$1589,E244,Q$2:Q$1589,Q244)</f>
        <v/>
      </c>
    </row>
    <row r="245">
      <c r="A245" s="3" t="inlineStr">
        <is>
          <t>compra</t>
        </is>
      </c>
      <c r="B245" s="3" t="inlineStr">
        <is>
          <t>nacional</t>
        </is>
      </c>
      <c r="C245" s="3" t="inlineStr">
        <is>
          <t>P2</t>
        </is>
      </c>
      <c r="D245" s="3" t="inlineStr">
        <is>
          <t>residuo</t>
        </is>
      </c>
      <c r="E245" s="3" t="inlineStr">
        <is>
          <t>factor_comun_m1</t>
        </is>
      </c>
      <c r="F245" s="3" t="n">
        <v>-28.6709</v>
      </c>
      <c r="G245" s="3" t="n"/>
      <c r="H245" s="3" t="n"/>
      <c r="I245" s="3" t="n">
        <v>0.651585</v>
      </c>
      <c r="J245" s="3" t="n">
        <v>-32.8904</v>
      </c>
      <c r="K245" s="3" t="n">
        <v>-24.7653</v>
      </c>
      <c r="L245" s="3" t="n">
        <v>-36.0302</v>
      </c>
      <c r="M245" s="3" t="n">
        <v>-22.0405</v>
      </c>
      <c r="N245" s="3" t="inlineStr">
        <is>
          <t>C4</t>
        </is>
      </c>
      <c r="O245" s="3" t="inlineStr">
        <is>
          <t>no</t>
        </is>
      </c>
      <c r="P245" s="3" t="inlineStr">
        <is>
          <t>no_compite</t>
        </is>
      </c>
      <c r="Q245" s="3" t="inlineStr">
        <is>
          <t>ols_ea19_real_lag0-1</t>
        </is>
      </c>
      <c r="R245" s="3" t="n"/>
      <c r="S245" s="3" t="inlineStr">
        <is>
          <t>contraste (R6): parte europea; no vota</t>
        </is>
      </c>
      <c r="T245" s="3" t="inlineStr">
        <is>
          <t>output/v8/F5/atribucion_combinada.csv</t>
        </is>
      </c>
      <c r="U245" s="2">
        <f>IF(R245=0,"",F245/R245)</f>
        <v/>
      </c>
      <c r="V245" s="2">
        <f>SUMIFS(F$2:F$1589,A$2:A$1589,A245,C$2:C$1589,C245,E$2:E$1589,E245,Q$2:Q$1589,Q245)</f>
        <v/>
      </c>
    </row>
    <row r="246">
      <c r="A246" s="3" t="inlineStr">
        <is>
          <t>compra</t>
        </is>
      </c>
      <c r="B246" s="3" t="inlineStr">
        <is>
          <t>nacional</t>
        </is>
      </c>
      <c r="C246" s="3" t="inlineStr">
        <is>
          <t>P3</t>
        </is>
      </c>
      <c r="D246" s="3" t="inlineStr">
        <is>
          <t>factor_europeo</t>
        </is>
      </c>
      <c r="E246" s="3" t="inlineStr">
        <is>
          <t>factor_comun_m1</t>
        </is>
      </c>
      <c r="F246" s="3" t="n">
        <v>0.810822</v>
      </c>
      <c r="G246" s="3" t="n"/>
      <c r="H246" s="3" t="n"/>
      <c r="I246" s="3" t="n">
        <v>0.0986798</v>
      </c>
      <c r="J246" s="3" t="n">
        <v>-4.40883</v>
      </c>
      <c r="K246" s="3" t="n">
        <v>4.03615</v>
      </c>
      <c r="L246" s="3" t="n">
        <v>-8.38167</v>
      </c>
      <c r="M246" s="3" t="n">
        <v>6.56212</v>
      </c>
      <c r="N246" s="3" t="inlineStr">
        <is>
          <t>C4</t>
        </is>
      </c>
      <c r="O246" s="3" t="inlineStr">
        <is>
          <t>si</t>
        </is>
      </c>
      <c r="P246" s="3" t="inlineStr">
        <is>
          <t>no_vota</t>
        </is>
      </c>
      <c r="Q246" s="3" t="inlineStr">
        <is>
          <t>ols_ea19_real_lag0-1</t>
        </is>
      </c>
      <c r="R246" s="3" t="n"/>
      <c r="S246" s="3" t="inlineStr">
        <is>
          <t>contraste (R6): parte europea; no vota</t>
        </is>
      </c>
      <c r="T246" s="3" t="inlineStr">
        <is>
          <t>output/v8/F5/atribucion_combinada.csv</t>
        </is>
      </c>
      <c r="U246" s="2">
        <f>IF(R246=0,"",F246/R246)</f>
        <v/>
      </c>
      <c r="V246" s="2">
        <f>SUMIFS(F$2:F$1589,A$2:A$1589,A246,C$2:C$1589,C246,E$2:E$1589,E246,Q$2:Q$1589,Q246)</f>
        <v/>
      </c>
    </row>
    <row r="247">
      <c r="A247" s="3" t="inlineStr">
        <is>
          <t>compra</t>
        </is>
      </c>
      <c r="B247" s="3" t="inlineStr">
        <is>
          <t>nacional</t>
        </is>
      </c>
      <c r="C247" s="3" t="inlineStr">
        <is>
          <t>P3</t>
        </is>
      </c>
      <c r="D247" s="3" t="inlineStr">
        <is>
          <t>residuo</t>
        </is>
      </c>
      <c r="E247" s="3" t="inlineStr">
        <is>
          <t>factor_comun_m1</t>
        </is>
      </c>
      <c r="F247" s="3" t="n">
        <v>7.40588</v>
      </c>
      <c r="G247" s="3" t="n"/>
      <c r="H247" s="3" t="n"/>
      <c r="I247" s="3" t="n">
        <v>0.90132</v>
      </c>
      <c r="J247" s="3" t="n">
        <v>3.58798</v>
      </c>
      <c r="K247" s="3" t="n">
        <v>13.7198</v>
      </c>
      <c r="L247" s="3" t="n">
        <v>0.822591</v>
      </c>
      <c r="M247" s="3" t="n">
        <v>19.0102</v>
      </c>
      <c r="N247" s="3" t="inlineStr">
        <is>
          <t>C4</t>
        </is>
      </c>
      <c r="O247" s="3" t="inlineStr">
        <is>
          <t>no</t>
        </is>
      </c>
      <c r="P247" s="3" t="inlineStr">
        <is>
          <t>no_compite</t>
        </is>
      </c>
      <c r="Q247" s="3" t="inlineStr">
        <is>
          <t>ols_ea19_real_lag0-1</t>
        </is>
      </c>
      <c r="R247" s="3" t="n"/>
      <c r="S247" s="3" t="inlineStr">
        <is>
          <t>contraste (R6): parte europea; no vota</t>
        </is>
      </c>
      <c r="T247" s="3" t="inlineStr">
        <is>
          <t>output/v8/F5/atribucion_combinada.csv</t>
        </is>
      </c>
      <c r="U247" s="2">
        <f>IF(R247=0,"",F247/R247)</f>
        <v/>
      </c>
      <c r="V247" s="2">
        <f>SUMIFS(F$2:F$1589,A$2:A$1589,A247,C$2:C$1589,C247,E$2:E$1589,E247,Q$2:Q$1589,Q247)</f>
        <v/>
      </c>
    </row>
    <row r="248">
      <c r="A248" s="3" t="inlineStr">
        <is>
          <t>compra</t>
        </is>
      </c>
      <c r="B248" s="3" t="inlineStr">
        <is>
          <t>nacional</t>
        </is>
      </c>
      <c r="C248" s="3" t="inlineStr">
        <is>
          <t>P4</t>
        </is>
      </c>
      <c r="D248" s="3" t="inlineStr">
        <is>
          <t>factor_europeo</t>
        </is>
      </c>
      <c r="E248" s="3" t="inlineStr">
        <is>
          <t>factor_comun_m1</t>
        </is>
      </c>
      <c r="F248" s="3" t="n">
        <v>1.38969</v>
      </c>
      <c r="G248" s="3" t="n"/>
      <c r="H248" s="3" t="n"/>
      <c r="I248" s="3" t="n">
        <v>-0.25467</v>
      </c>
      <c r="J248" s="3" t="n">
        <v>-1.76009</v>
      </c>
      <c r="K248" s="3" t="n">
        <v>3.38227</v>
      </c>
      <c r="L248" s="3" t="n">
        <v>-5.28875</v>
      </c>
      <c r="M248" s="3" t="n">
        <v>8.10773</v>
      </c>
      <c r="N248" s="3" t="inlineStr">
        <is>
          <t>C4</t>
        </is>
      </c>
      <c r="O248" s="3" t="inlineStr">
        <is>
          <t>si</t>
        </is>
      </c>
      <c r="P248" s="3" t="inlineStr">
        <is>
          <t>no_vota</t>
        </is>
      </c>
      <c r="Q248" s="3" t="inlineStr">
        <is>
          <t>ols_ea19_real_lag0-1</t>
        </is>
      </c>
      <c r="R248" s="3" t="n"/>
      <c r="S248" s="3" t="inlineStr">
        <is>
          <t>contraste (R6): parte europea; no vota</t>
        </is>
      </c>
      <c r="T248" s="3" t="inlineStr">
        <is>
          <t>output/v8/F5/atribucion_combinada.csv</t>
        </is>
      </c>
      <c r="U248" s="2">
        <f>IF(R248=0,"",F248/R248)</f>
        <v/>
      </c>
      <c r="V248" s="2">
        <f>SUMIFS(F$2:F$1589,A$2:A$1589,A248,C$2:C$1589,C248,E$2:E$1589,E248,Q$2:Q$1589,Q248)</f>
        <v/>
      </c>
    </row>
    <row r="249">
      <c r="A249" s="3" t="inlineStr">
        <is>
          <t>compra</t>
        </is>
      </c>
      <c r="B249" s="3" t="inlineStr">
        <is>
          <t>nacional</t>
        </is>
      </c>
      <c r="C249" s="3" t="inlineStr">
        <is>
          <t>P4</t>
        </is>
      </c>
      <c r="D249" s="3" t="inlineStr">
        <is>
          <t>residuo</t>
        </is>
      </c>
      <c r="E249" s="3" t="inlineStr">
        <is>
          <t>factor_comun_m1</t>
        </is>
      </c>
      <c r="F249" s="3" t="n">
        <v>-6.84651</v>
      </c>
      <c r="G249" s="3" t="n"/>
      <c r="H249" s="3" t="n"/>
      <c r="I249" s="3" t="n">
        <v>1.25467</v>
      </c>
      <c r="J249" s="3" t="n">
        <v>-9.839090000000001</v>
      </c>
      <c r="K249" s="3" t="n">
        <v>-1.13054</v>
      </c>
      <c r="L249" s="3" t="n">
        <v>-12.0909</v>
      </c>
      <c r="M249" s="3" t="n">
        <v>2.4776</v>
      </c>
      <c r="N249" s="3" t="inlineStr">
        <is>
          <t>C4</t>
        </is>
      </c>
      <c r="O249" s="3" t="inlineStr">
        <is>
          <t>no</t>
        </is>
      </c>
      <c r="P249" s="3" t="inlineStr">
        <is>
          <t>no_compite</t>
        </is>
      </c>
      <c r="Q249" s="3" t="inlineStr">
        <is>
          <t>ols_ea19_real_lag0-1</t>
        </is>
      </c>
      <c r="R249" s="3" t="n"/>
      <c r="S249" s="3" t="inlineStr">
        <is>
          <t>contraste (R6): parte europea; no vota</t>
        </is>
      </c>
      <c r="T249" s="3" t="inlineStr">
        <is>
          <t>output/v8/F5/atribucion_combinada.csv</t>
        </is>
      </c>
      <c r="U249" s="2">
        <f>IF(R249=0,"",F249/R249)</f>
        <v/>
      </c>
      <c r="V249" s="2">
        <f>SUMIFS(F$2:F$1589,A$2:A$1589,A249,C$2:C$1589,C249,E$2:E$1589,E249,Q$2:Q$1589,Q249)</f>
        <v/>
      </c>
    </row>
    <row r="250">
      <c r="A250" s="3" t="inlineStr">
        <is>
          <t>compra</t>
        </is>
      </c>
      <c r="B250" s="3" t="inlineStr">
        <is>
          <t>nacional</t>
        </is>
      </c>
      <c r="C250" s="3" t="inlineStr">
        <is>
          <t>P5</t>
        </is>
      </c>
      <c r="D250" s="3" t="inlineStr">
        <is>
          <t>factor_europeo</t>
        </is>
      </c>
      <c r="E250" s="3" t="inlineStr">
        <is>
          <t>factor_comun_m1</t>
        </is>
      </c>
      <c r="F250" s="3" t="n">
        <v>-3.32035</v>
      </c>
      <c r="G250" s="3" t="n"/>
      <c r="H250" s="3" t="n"/>
      <c r="I250" s="3" t="n">
        <v>-0.179395</v>
      </c>
      <c r="J250" s="3" t="n">
        <v>-7.04248</v>
      </c>
      <c r="K250" s="3" t="n">
        <v>1.7581</v>
      </c>
      <c r="L250" s="3" t="n">
        <v>-9.7774</v>
      </c>
      <c r="M250" s="3" t="n">
        <v>5.13922</v>
      </c>
      <c r="N250" s="3" t="inlineStr">
        <is>
          <t>C4</t>
        </is>
      </c>
      <c r="O250" s="3" t="inlineStr">
        <is>
          <t>si</t>
        </is>
      </c>
      <c r="P250" s="3" t="inlineStr">
        <is>
          <t>no_vota</t>
        </is>
      </c>
      <c r="Q250" s="3" t="inlineStr">
        <is>
          <t>ols_ea19_real_lag0-1</t>
        </is>
      </c>
      <c r="R250" s="3" t="n"/>
      <c r="S250" s="3" t="inlineStr">
        <is>
          <t>contraste (R6): parte europea; no vota</t>
        </is>
      </c>
      <c r="T250" s="3" t="inlineStr">
        <is>
          <t>output/v8/F5/atribucion_combinada.csv</t>
        </is>
      </c>
      <c r="U250" s="2">
        <f>IF(R250=0,"",F250/R250)</f>
        <v/>
      </c>
      <c r="V250" s="2">
        <f>SUMIFS(F$2:F$1589,A$2:A$1589,A250,C$2:C$1589,C250,E$2:E$1589,E250,Q$2:Q$1589,Q250)</f>
        <v/>
      </c>
    </row>
    <row r="251">
      <c r="A251" s="3" t="inlineStr">
        <is>
          <t>compra</t>
        </is>
      </c>
      <c r="B251" s="3" t="inlineStr">
        <is>
          <t>nacional</t>
        </is>
      </c>
      <c r="C251" s="3" t="inlineStr">
        <is>
          <t>P5</t>
        </is>
      </c>
      <c r="D251" s="3" t="inlineStr">
        <is>
          <t>residuo</t>
        </is>
      </c>
      <c r="E251" s="3" t="inlineStr">
        <is>
          <t>factor_comun_m1</t>
        </is>
      </c>
      <c r="F251" s="3" t="n">
        <v>21.8289</v>
      </c>
      <c r="G251" s="3" t="n"/>
      <c r="H251" s="3" t="n"/>
      <c r="I251" s="3" t="n">
        <v>1.1794</v>
      </c>
      <c r="J251" s="3" t="n">
        <v>17.2002</v>
      </c>
      <c r="K251" s="3" t="n">
        <v>25.4316</v>
      </c>
      <c r="L251" s="3" t="n">
        <v>12.4376</v>
      </c>
      <c r="M251" s="3" t="n">
        <v>27.8254</v>
      </c>
      <c r="N251" s="3" t="inlineStr">
        <is>
          <t>C4</t>
        </is>
      </c>
      <c r="O251" s="3" t="inlineStr">
        <is>
          <t>no</t>
        </is>
      </c>
      <c r="P251" s="3" t="inlineStr">
        <is>
          <t>no_compite</t>
        </is>
      </c>
      <c r="Q251" s="3" t="inlineStr">
        <is>
          <t>ols_ea19_real_lag0-1</t>
        </is>
      </c>
      <c r="R251" s="3" t="n"/>
      <c r="S251" s="3" t="inlineStr">
        <is>
          <t>contraste (R6): parte europea; no vota</t>
        </is>
      </c>
      <c r="T251" s="3" t="inlineStr">
        <is>
          <t>output/v8/F5/atribucion_combinada.csv</t>
        </is>
      </c>
      <c r="U251" s="2">
        <f>IF(R251=0,"",F251/R251)</f>
        <v/>
      </c>
      <c r="V251" s="2">
        <f>SUMIFS(F$2:F$1589,A$2:A$1589,A251,C$2:C$1589,C251,E$2:E$1589,E251,Q$2:Q$1589,Q251)</f>
        <v/>
      </c>
    </row>
    <row r="252">
      <c r="A252" s="3" t="inlineStr">
        <is>
          <t>compra</t>
        </is>
      </c>
      <c r="B252" s="3" t="inlineStr">
        <is>
          <t>ccaa:01</t>
        </is>
      </c>
      <c r="C252" s="3" t="inlineStr">
        <is>
          <t>P1</t>
        </is>
      </c>
      <c r="D252" s="3" t="inlineStr">
        <is>
          <t>factor_comun</t>
        </is>
      </c>
      <c r="E252" s="3" t="inlineStr">
        <is>
          <t>regional_ccaa_ols</t>
        </is>
      </c>
      <c r="F252" s="3" t="n">
        <v>106.429</v>
      </c>
      <c r="G252" s="3" t="n"/>
      <c r="H252" s="3" t="n"/>
      <c r="I252" s="3" t="n">
        <v>1.20559</v>
      </c>
      <c r="J252" s="3" t="n">
        <v>83.70480000000001</v>
      </c>
      <c r="K252" s="3" t="n">
        <v>128.88</v>
      </c>
      <c r="L252" s="3" t="n">
        <v>71.562</v>
      </c>
      <c r="M252" s="3" t="n">
        <v>146.253</v>
      </c>
      <c r="N252" s="3" t="inlineStr">
        <is>
          <t>C4</t>
        </is>
      </c>
      <c r="O252" s="3" t="inlineStr">
        <is>
          <t>no</t>
        </is>
      </c>
      <c r="P252" s="3" t="inlineStr">
        <is>
          <t>no_compite</t>
        </is>
      </c>
      <c r="Q252" s="3" t="inlineStr">
        <is>
          <t>ols_solo_factor</t>
        </is>
      </c>
      <c r="R252" s="3" t="n"/>
      <c r="S252" s="3" t="inlineStr">
        <is>
          <t>contraste regional (R6); no vota</t>
        </is>
      </c>
      <c r="T252" s="3" t="inlineStr">
        <is>
          <t>output/v8/F5/atribucion_combinada.csv</t>
        </is>
      </c>
      <c r="U252" s="2">
        <f>IF(R252=0,"",F252/R252)</f>
        <v/>
      </c>
      <c r="V252" s="2">
        <f>SUMIFS(F$2:F$1589,A$2:A$1589,A252,C$2:C$1589,C252,E$2:E$1589,E252,Q$2:Q$1589,Q252)</f>
        <v/>
      </c>
    </row>
    <row r="253">
      <c r="A253" s="3" t="inlineStr">
        <is>
          <t>compra</t>
        </is>
      </c>
      <c r="B253" s="3" t="inlineStr">
        <is>
          <t>ccaa:01</t>
        </is>
      </c>
      <c r="C253" s="3" t="inlineStr">
        <is>
          <t>P1</t>
        </is>
      </c>
      <c r="D253" s="3" t="inlineStr">
        <is>
          <t>residuo</t>
        </is>
      </c>
      <c r="E253" s="3" t="inlineStr">
        <is>
          <t>regional_ccaa_ols</t>
        </is>
      </c>
      <c r="F253" s="3" t="n">
        <v>-18.1492</v>
      </c>
      <c r="G253" s="3" t="n"/>
      <c r="H253" s="3" t="n"/>
      <c r="I253" s="3" t="n">
        <v>-0.205588</v>
      </c>
      <c r="J253" s="3" t="n"/>
      <c r="K253" s="3" t="n"/>
      <c r="L253" s="3" t="n"/>
      <c r="M253" s="3" t="n"/>
      <c r="N253" s="3" t="inlineStr">
        <is>
          <t>C4</t>
        </is>
      </c>
      <c r="O253" s="3" t="inlineStr">
        <is>
          <t>no</t>
        </is>
      </c>
      <c r="P253" s="3" t="inlineStr">
        <is>
          <t>no_compite</t>
        </is>
      </c>
      <c r="Q253" s="3" t="inlineStr">
        <is>
          <t>ols_solo_factor</t>
        </is>
      </c>
      <c r="R253" s="3" t="n"/>
      <c r="S253" s="3" t="inlineStr">
        <is>
          <t>contraste regional (R6); no vota</t>
        </is>
      </c>
      <c r="T253" s="3" t="inlineStr">
        <is>
          <t>output/v8/F5/atribucion_combinada.csv</t>
        </is>
      </c>
      <c r="U253" s="2">
        <f>IF(R253=0,"",F253/R253)</f>
        <v/>
      </c>
      <c r="V253" s="2">
        <f>SUMIFS(F$2:F$1589,A$2:A$1589,A253,C$2:C$1589,C253,E$2:E$1589,E253,Q$2:Q$1589,Q253)</f>
        <v/>
      </c>
    </row>
    <row r="254">
      <c r="A254" s="3" t="inlineStr">
        <is>
          <t>compra</t>
        </is>
      </c>
      <c r="B254" s="3" t="inlineStr">
        <is>
          <t>ccaa:02</t>
        </is>
      </c>
      <c r="C254" s="3" t="inlineStr">
        <is>
          <t>P1</t>
        </is>
      </c>
      <c r="D254" s="3" t="inlineStr">
        <is>
          <t>factor_comun</t>
        </is>
      </c>
      <c r="E254" s="3" t="inlineStr">
        <is>
          <t>regional_ccaa_ols</t>
        </is>
      </c>
      <c r="F254" s="3" t="n">
        <v>97.45610000000001</v>
      </c>
      <c r="G254" s="3" t="n"/>
      <c r="H254" s="3" t="n"/>
      <c r="I254" s="3" t="n">
        <v>1.15443</v>
      </c>
      <c r="J254" s="3" t="n">
        <v>80.18000000000001</v>
      </c>
      <c r="K254" s="3" t="n">
        <v>112.822</v>
      </c>
      <c r="L254" s="3" t="n">
        <v>69.30549999999999</v>
      </c>
      <c r="M254" s="3" t="n">
        <v>123.512</v>
      </c>
      <c r="N254" s="3" t="inlineStr">
        <is>
          <t>C4</t>
        </is>
      </c>
      <c r="O254" s="3" t="inlineStr">
        <is>
          <t>no</t>
        </is>
      </c>
      <c r="P254" s="3" t="inlineStr">
        <is>
          <t>no_compite</t>
        </is>
      </c>
      <c r="Q254" s="3" t="inlineStr">
        <is>
          <t>ols_solo_factor</t>
        </is>
      </c>
      <c r="R254" s="3" t="n"/>
      <c r="S254" s="3" t="inlineStr">
        <is>
          <t>contraste regional (R6); no vota</t>
        </is>
      </c>
      <c r="T254" s="3" t="inlineStr">
        <is>
          <t>output/v8/F5/atribucion_combinada.csv</t>
        </is>
      </c>
      <c r="U254" s="2">
        <f>IF(R254=0,"",F254/R254)</f>
        <v/>
      </c>
      <c r="V254" s="2">
        <f>SUMIFS(F$2:F$1589,A$2:A$1589,A254,C$2:C$1589,C254,E$2:E$1589,E254,Q$2:Q$1589,Q254)</f>
        <v/>
      </c>
    </row>
    <row r="255">
      <c r="A255" s="3" t="inlineStr">
        <is>
          <t>compra</t>
        </is>
      </c>
      <c r="B255" s="3" t="inlineStr">
        <is>
          <t>ccaa:02</t>
        </is>
      </c>
      <c r="C255" s="3" t="inlineStr">
        <is>
          <t>P1</t>
        </is>
      </c>
      <c r="D255" s="3" t="inlineStr">
        <is>
          <t>residuo</t>
        </is>
      </c>
      <c r="E255" s="3" t="inlineStr">
        <is>
          <t>regional_ccaa_ols</t>
        </is>
      </c>
      <c r="F255" s="3" t="n">
        <v>-13.0365</v>
      </c>
      <c r="G255" s="3" t="n"/>
      <c r="H255" s="3" t="n"/>
      <c r="I255" s="3" t="n">
        <v>-0.154425</v>
      </c>
      <c r="J255" s="3" t="n"/>
      <c r="K255" s="3" t="n"/>
      <c r="L255" s="3" t="n"/>
      <c r="M255" s="3" t="n"/>
      <c r="N255" s="3" t="inlineStr">
        <is>
          <t>C4</t>
        </is>
      </c>
      <c r="O255" s="3" t="inlineStr">
        <is>
          <t>no</t>
        </is>
      </c>
      <c r="P255" s="3" t="inlineStr">
        <is>
          <t>no_compite</t>
        </is>
      </c>
      <c r="Q255" s="3" t="inlineStr">
        <is>
          <t>ols_solo_factor</t>
        </is>
      </c>
      <c r="R255" s="3" t="n"/>
      <c r="S255" s="3" t="inlineStr">
        <is>
          <t>contraste regional (R6); no vota</t>
        </is>
      </c>
      <c r="T255" s="3" t="inlineStr">
        <is>
          <t>output/v8/F5/atribucion_combinada.csv</t>
        </is>
      </c>
      <c r="U255" s="2">
        <f>IF(R255=0,"",F255/R255)</f>
        <v/>
      </c>
      <c r="V255" s="2">
        <f>SUMIFS(F$2:F$1589,A$2:A$1589,A255,C$2:C$1589,C255,E$2:E$1589,E255,Q$2:Q$1589,Q255)</f>
        <v/>
      </c>
    </row>
    <row r="256">
      <c r="A256" s="3" t="inlineStr">
        <is>
          <t>compra</t>
        </is>
      </c>
      <c r="B256" s="3" t="inlineStr">
        <is>
          <t>ccaa:03</t>
        </is>
      </c>
      <c r="C256" s="3" t="inlineStr">
        <is>
          <t>P1</t>
        </is>
      </c>
      <c r="D256" s="3" t="inlineStr">
        <is>
          <t>factor_comun</t>
        </is>
      </c>
      <c r="E256" s="3" t="inlineStr">
        <is>
          <t>regional_ccaa_ols</t>
        </is>
      </c>
      <c r="F256" s="3" t="n">
        <v>52.4508</v>
      </c>
      <c r="G256" s="3" t="n"/>
      <c r="H256" s="3" t="n"/>
      <c r="I256" s="3" t="n">
        <v>0.819951</v>
      </c>
      <c r="J256" s="3" t="n">
        <v>42.6464</v>
      </c>
      <c r="K256" s="3" t="n">
        <v>64.49639999999999</v>
      </c>
      <c r="L256" s="3" t="n">
        <v>35.1729</v>
      </c>
      <c r="M256" s="3" t="n">
        <v>74.703</v>
      </c>
      <c r="N256" s="3" t="inlineStr">
        <is>
          <t>C4</t>
        </is>
      </c>
      <c r="O256" s="3" t="inlineStr">
        <is>
          <t>no</t>
        </is>
      </c>
      <c r="P256" s="3" t="inlineStr">
        <is>
          <t>no_compite</t>
        </is>
      </c>
      <c r="Q256" s="3" t="inlineStr">
        <is>
          <t>ols_solo_factor</t>
        </is>
      </c>
      <c r="R256" s="3" t="n"/>
      <c r="S256" s="3" t="inlineStr">
        <is>
          <t>contraste regional (R6); no vota</t>
        </is>
      </c>
      <c r="T256" s="3" t="inlineStr">
        <is>
          <t>output/v8/F5/atribucion_combinada.csv</t>
        </is>
      </c>
      <c r="U256" s="2">
        <f>IF(R256=0,"",F256/R256)</f>
        <v/>
      </c>
      <c r="V256" s="2">
        <f>SUMIFS(F$2:F$1589,A$2:A$1589,A256,C$2:C$1589,C256,E$2:E$1589,E256,Q$2:Q$1589,Q256)</f>
        <v/>
      </c>
    </row>
    <row r="257">
      <c r="A257" s="3" t="inlineStr">
        <is>
          <t>compra</t>
        </is>
      </c>
      <c r="B257" s="3" t="inlineStr">
        <is>
          <t>ccaa:03</t>
        </is>
      </c>
      <c r="C257" s="3" t="inlineStr">
        <is>
          <t>P1</t>
        </is>
      </c>
      <c r="D257" s="3" t="inlineStr">
        <is>
          <t>residuo</t>
        </is>
      </c>
      <c r="E257" s="3" t="inlineStr">
        <is>
          <t>regional_ccaa_ols</t>
        </is>
      </c>
      <c r="F257" s="3" t="n">
        <v>11.5174</v>
      </c>
      <c r="G257" s="3" t="n"/>
      <c r="H257" s="3" t="n"/>
      <c r="I257" s="3" t="n">
        <v>0.180049</v>
      </c>
      <c r="J257" s="3" t="n"/>
      <c r="K257" s="3" t="n"/>
      <c r="L257" s="3" t="n"/>
      <c r="M257" s="3" t="n"/>
      <c r="N257" s="3" t="inlineStr">
        <is>
          <t>C4</t>
        </is>
      </c>
      <c r="O257" s="3" t="inlineStr">
        <is>
          <t>no</t>
        </is>
      </c>
      <c r="P257" s="3" t="inlineStr">
        <is>
          <t>no_compite</t>
        </is>
      </c>
      <c r="Q257" s="3" t="inlineStr">
        <is>
          <t>ols_solo_factor</t>
        </is>
      </c>
      <c r="R257" s="3" t="n"/>
      <c r="S257" s="3" t="inlineStr">
        <is>
          <t>contraste regional (R6); no vota</t>
        </is>
      </c>
      <c r="T257" s="3" t="inlineStr">
        <is>
          <t>output/v8/F5/atribucion_combinada.csv</t>
        </is>
      </c>
      <c r="U257" s="2">
        <f>IF(R257=0,"",F257/R257)</f>
        <v/>
      </c>
      <c r="V257" s="2">
        <f>SUMIFS(F$2:F$1589,A$2:A$1589,A257,C$2:C$1589,C257,E$2:E$1589,E257,Q$2:Q$1589,Q257)</f>
        <v/>
      </c>
    </row>
    <row r="258">
      <c r="A258" s="3" t="inlineStr">
        <is>
          <t>compra</t>
        </is>
      </c>
      <c r="B258" s="3" t="inlineStr">
        <is>
          <t>ccaa:04</t>
        </is>
      </c>
      <c r="C258" s="3" t="inlineStr">
        <is>
          <t>P1</t>
        </is>
      </c>
      <c r="D258" s="3" t="inlineStr">
        <is>
          <t>factor_comun</t>
        </is>
      </c>
      <c r="E258" s="3" t="inlineStr">
        <is>
          <t>regional_ccaa_ols</t>
        </is>
      </c>
      <c r="F258" s="3" t="n">
        <v>60.7974</v>
      </c>
      <c r="G258" s="3" t="n"/>
      <c r="H258" s="3" t="n"/>
      <c r="I258" s="3" t="n">
        <v>0.584293</v>
      </c>
      <c r="J258" s="3" t="n">
        <v>36.5633</v>
      </c>
      <c r="K258" s="3" t="n">
        <v>75.9943</v>
      </c>
      <c r="L258" s="3" t="n">
        <v>17.5028</v>
      </c>
      <c r="M258" s="3" t="n">
        <v>87.5994</v>
      </c>
      <c r="N258" s="3" t="inlineStr">
        <is>
          <t>C4</t>
        </is>
      </c>
      <c r="O258" s="3" t="inlineStr">
        <is>
          <t>no</t>
        </is>
      </c>
      <c r="P258" s="3" t="inlineStr">
        <is>
          <t>no_compite</t>
        </is>
      </c>
      <c r="Q258" s="3" t="inlineStr">
        <is>
          <t>ols_solo_factor</t>
        </is>
      </c>
      <c r="R258" s="3" t="n"/>
      <c r="S258" s="3" t="inlineStr">
        <is>
          <t>contraste regional (R6); no vota</t>
        </is>
      </c>
      <c r="T258" s="3" t="inlineStr">
        <is>
          <t>output/v8/F5/atribucion_combinada.csv</t>
        </is>
      </c>
      <c r="U258" s="2">
        <f>IF(R258=0,"",F258/R258)</f>
        <v/>
      </c>
      <c r="V258" s="2">
        <f>SUMIFS(F$2:F$1589,A$2:A$1589,A258,C$2:C$1589,C258,E$2:E$1589,E258,Q$2:Q$1589,Q258)</f>
        <v/>
      </c>
    </row>
    <row r="259">
      <c r="A259" s="3" t="inlineStr">
        <is>
          <t>compra</t>
        </is>
      </c>
      <c r="B259" s="3" t="inlineStr">
        <is>
          <t>ccaa:04</t>
        </is>
      </c>
      <c r="C259" s="3" t="inlineStr">
        <is>
          <t>P1</t>
        </is>
      </c>
      <c r="D259" s="3" t="inlineStr">
        <is>
          <t>residuo</t>
        </is>
      </c>
      <c r="E259" s="3" t="inlineStr">
        <is>
          <t>regional_ccaa_ols</t>
        </is>
      </c>
      <c r="F259" s="3" t="n">
        <v>43.2556</v>
      </c>
      <c r="G259" s="3" t="n"/>
      <c r="H259" s="3" t="n"/>
      <c r="I259" s="3" t="n">
        <v>0.415707</v>
      </c>
      <c r="J259" s="3" t="n"/>
      <c r="K259" s="3" t="n"/>
      <c r="L259" s="3" t="n"/>
      <c r="M259" s="3" t="n"/>
      <c r="N259" s="3" t="inlineStr">
        <is>
          <t>C4</t>
        </is>
      </c>
      <c r="O259" s="3" t="inlineStr">
        <is>
          <t>no</t>
        </is>
      </c>
      <c r="P259" s="3" t="inlineStr">
        <is>
          <t>no_compite</t>
        </is>
      </c>
      <c r="Q259" s="3" t="inlineStr">
        <is>
          <t>ols_solo_factor</t>
        </is>
      </c>
      <c r="R259" s="3" t="n"/>
      <c r="S259" s="3" t="inlineStr">
        <is>
          <t>contraste regional (R6); no vota</t>
        </is>
      </c>
      <c r="T259" s="3" t="inlineStr">
        <is>
          <t>output/v8/F5/atribucion_combinada.csv</t>
        </is>
      </c>
      <c r="U259" s="2">
        <f>IF(R259=0,"",F259/R259)</f>
        <v/>
      </c>
      <c r="V259" s="2">
        <f>SUMIFS(F$2:F$1589,A$2:A$1589,A259,C$2:C$1589,C259,E$2:E$1589,E259,Q$2:Q$1589,Q259)</f>
        <v/>
      </c>
    </row>
    <row r="260">
      <c r="A260" s="3" t="inlineStr">
        <is>
          <t>compra</t>
        </is>
      </c>
      <c r="B260" s="3" t="inlineStr">
        <is>
          <t>ccaa:05</t>
        </is>
      </c>
      <c r="C260" s="3" t="inlineStr">
        <is>
          <t>P1</t>
        </is>
      </c>
      <c r="D260" s="3" t="inlineStr">
        <is>
          <t>factor_comun</t>
        </is>
      </c>
      <c r="E260" s="3" t="inlineStr">
        <is>
          <t>regional_ccaa_ols</t>
        </is>
      </c>
      <c r="F260" s="3" t="n">
        <v>33.8523</v>
      </c>
      <c r="G260" s="3" t="n"/>
      <c r="H260" s="3" t="n"/>
      <c r="I260" s="3" t="n">
        <v>0.44375</v>
      </c>
      <c r="J260" s="3" t="n">
        <v>19.4815</v>
      </c>
      <c r="K260" s="3" t="n">
        <v>43.1795</v>
      </c>
      <c r="L260" s="3" t="n">
        <v>13.203</v>
      </c>
      <c r="M260" s="3" t="n">
        <v>52.4828</v>
      </c>
      <c r="N260" s="3" t="inlineStr">
        <is>
          <t>C4</t>
        </is>
      </c>
      <c r="O260" s="3" t="inlineStr">
        <is>
          <t>no</t>
        </is>
      </c>
      <c r="P260" s="3" t="inlineStr">
        <is>
          <t>no_compite</t>
        </is>
      </c>
      <c r="Q260" s="3" t="inlineStr">
        <is>
          <t>ols_solo_factor</t>
        </is>
      </c>
      <c r="R260" s="3" t="n"/>
      <c r="S260" s="3" t="inlineStr">
        <is>
          <t>contraste regional (R6); no vota</t>
        </is>
      </c>
      <c r="T260" s="3" t="inlineStr">
        <is>
          <t>output/v8/F5/atribucion_combinada.csv</t>
        </is>
      </c>
      <c r="U260" s="2">
        <f>IF(R260=0,"",F260/R260)</f>
        <v/>
      </c>
      <c r="V260" s="2">
        <f>SUMIFS(F$2:F$1589,A$2:A$1589,A260,C$2:C$1589,C260,E$2:E$1589,E260,Q$2:Q$1589,Q260)</f>
        <v/>
      </c>
    </row>
    <row r="261">
      <c r="A261" s="3" t="inlineStr">
        <is>
          <t>compra</t>
        </is>
      </c>
      <c r="B261" s="3" t="inlineStr">
        <is>
          <t>ccaa:05</t>
        </is>
      </c>
      <c r="C261" s="3" t="inlineStr">
        <is>
          <t>P1</t>
        </is>
      </c>
      <c r="D261" s="3" t="inlineStr">
        <is>
          <t>residuo</t>
        </is>
      </c>
      <c r="E261" s="3" t="inlineStr">
        <is>
          <t>regional_ccaa_ols</t>
        </is>
      </c>
      <c r="F261" s="3" t="n">
        <v>42.4346</v>
      </c>
      <c r="G261" s="3" t="n"/>
      <c r="H261" s="3" t="n"/>
      <c r="I261" s="3" t="n">
        <v>0.55625</v>
      </c>
      <c r="J261" s="3" t="n"/>
      <c r="K261" s="3" t="n"/>
      <c r="L261" s="3" t="n"/>
      <c r="M261" s="3" t="n"/>
      <c r="N261" s="3" t="inlineStr">
        <is>
          <t>C4</t>
        </is>
      </c>
      <c r="O261" s="3" t="inlineStr">
        <is>
          <t>no</t>
        </is>
      </c>
      <c r="P261" s="3" t="inlineStr">
        <is>
          <t>no_compite</t>
        </is>
      </c>
      <c r="Q261" s="3" t="inlineStr">
        <is>
          <t>ols_solo_factor</t>
        </is>
      </c>
      <c r="R261" s="3" t="n"/>
      <c r="S261" s="3" t="inlineStr">
        <is>
          <t>contraste regional (R6); no vota</t>
        </is>
      </c>
      <c r="T261" s="3" t="inlineStr">
        <is>
          <t>output/v8/F5/atribucion_combinada.csv</t>
        </is>
      </c>
      <c r="U261" s="2">
        <f>IF(R261=0,"",F261/R261)</f>
        <v/>
      </c>
      <c r="V261" s="2">
        <f>SUMIFS(F$2:F$1589,A$2:A$1589,A261,C$2:C$1589,C261,E$2:E$1589,E261,Q$2:Q$1589,Q261)</f>
        <v/>
      </c>
    </row>
    <row r="262">
      <c r="A262" s="3" t="inlineStr">
        <is>
          <t>compra</t>
        </is>
      </c>
      <c r="B262" s="3" t="inlineStr">
        <is>
          <t>ccaa:06</t>
        </is>
      </c>
      <c r="C262" s="3" t="inlineStr">
        <is>
          <t>P1</t>
        </is>
      </c>
      <c r="D262" s="3" t="inlineStr">
        <is>
          <t>factor_comun</t>
        </is>
      </c>
      <c r="E262" s="3" t="inlineStr">
        <is>
          <t>regional_ccaa_ols</t>
        </is>
      </c>
      <c r="F262" s="3" t="n">
        <v>78.74299999999999</v>
      </c>
      <c r="G262" s="3" t="n"/>
      <c r="H262" s="3" t="n"/>
      <c r="I262" s="3" t="n">
        <v>1.17279</v>
      </c>
      <c r="J262" s="3" t="n">
        <v>61.0387</v>
      </c>
      <c r="K262" s="3" t="n">
        <v>96.3441</v>
      </c>
      <c r="L262" s="3" t="n">
        <v>50.6918</v>
      </c>
      <c r="M262" s="3" t="n">
        <v>115.233</v>
      </c>
      <c r="N262" s="3" t="inlineStr">
        <is>
          <t>C4</t>
        </is>
      </c>
      <c r="O262" s="3" t="inlineStr">
        <is>
          <t>no</t>
        </is>
      </c>
      <c r="P262" s="3" t="inlineStr">
        <is>
          <t>no_compite</t>
        </is>
      </c>
      <c r="Q262" s="3" t="inlineStr">
        <is>
          <t>ols_solo_factor</t>
        </is>
      </c>
      <c r="R262" s="3" t="n"/>
      <c r="S262" s="3" t="inlineStr">
        <is>
          <t>contraste regional (R6); no vota</t>
        </is>
      </c>
      <c r="T262" s="3" t="inlineStr">
        <is>
          <t>output/v8/F5/atribucion_combinada.csv</t>
        </is>
      </c>
      <c r="U262" s="2">
        <f>IF(R262=0,"",F262/R262)</f>
        <v/>
      </c>
      <c r="V262" s="2">
        <f>SUMIFS(F$2:F$1589,A$2:A$1589,A262,C$2:C$1589,C262,E$2:E$1589,E262,Q$2:Q$1589,Q262)</f>
        <v/>
      </c>
    </row>
    <row r="263">
      <c r="A263" s="3" t="inlineStr">
        <is>
          <t>compra</t>
        </is>
      </c>
      <c r="B263" s="3" t="inlineStr">
        <is>
          <t>ccaa:06</t>
        </is>
      </c>
      <c r="C263" s="3" t="inlineStr">
        <is>
          <t>P1</t>
        </is>
      </c>
      <c r="D263" s="3" t="inlineStr">
        <is>
          <t>residuo</t>
        </is>
      </c>
      <c r="E263" s="3" t="inlineStr">
        <is>
          <t>regional_ccaa_ols</t>
        </is>
      </c>
      <c r="F263" s="3" t="n">
        <v>-11.6015</v>
      </c>
      <c r="G263" s="3" t="n"/>
      <c r="H263" s="3" t="n"/>
      <c r="I263" s="3" t="n">
        <v>-0.172791</v>
      </c>
      <c r="J263" s="3" t="n"/>
      <c r="K263" s="3" t="n"/>
      <c r="L263" s="3" t="n"/>
      <c r="M263" s="3" t="n"/>
      <c r="N263" s="3" t="inlineStr">
        <is>
          <t>C4</t>
        </is>
      </c>
      <c r="O263" s="3" t="inlineStr">
        <is>
          <t>no</t>
        </is>
      </c>
      <c r="P263" s="3" t="inlineStr">
        <is>
          <t>no_compite</t>
        </is>
      </c>
      <c r="Q263" s="3" t="inlineStr">
        <is>
          <t>ols_solo_factor</t>
        </is>
      </c>
      <c r="R263" s="3" t="n"/>
      <c r="S263" s="3" t="inlineStr">
        <is>
          <t>contraste regional (R6); no vota</t>
        </is>
      </c>
      <c r="T263" s="3" t="inlineStr">
        <is>
          <t>output/v8/F5/atribucion_combinada.csv</t>
        </is>
      </c>
      <c r="U263" s="2">
        <f>IF(R263=0,"",F263/R263)</f>
        <v/>
      </c>
      <c r="V263" s="2">
        <f>SUMIFS(F$2:F$1589,A$2:A$1589,A263,C$2:C$1589,C263,E$2:E$1589,E263,Q$2:Q$1589,Q263)</f>
        <v/>
      </c>
    </row>
    <row r="264">
      <c r="A264" s="3" t="inlineStr">
        <is>
          <t>compra</t>
        </is>
      </c>
      <c r="B264" s="3" t="inlineStr">
        <is>
          <t>ccaa:07</t>
        </is>
      </c>
      <c r="C264" s="3" t="inlineStr">
        <is>
          <t>P1</t>
        </is>
      </c>
      <c r="D264" s="3" t="inlineStr">
        <is>
          <t>factor_comun</t>
        </is>
      </c>
      <c r="E264" s="3" t="inlineStr">
        <is>
          <t>regional_ccaa_ols</t>
        </is>
      </c>
      <c r="F264" s="3" t="n">
        <v>58.9628</v>
      </c>
      <c r="G264" s="3" t="n"/>
      <c r="H264" s="3" t="n"/>
      <c r="I264" s="3" t="n">
        <v>1.13105</v>
      </c>
      <c r="J264" s="3" t="n">
        <v>46.5835</v>
      </c>
      <c r="K264" s="3" t="n">
        <v>71.8879</v>
      </c>
      <c r="L264" s="3" t="n">
        <v>39.5564</v>
      </c>
      <c r="M264" s="3" t="n">
        <v>82.2047</v>
      </c>
      <c r="N264" s="3" t="inlineStr">
        <is>
          <t>C4</t>
        </is>
      </c>
      <c r="O264" s="3" t="inlineStr">
        <is>
          <t>no</t>
        </is>
      </c>
      <c r="P264" s="3" t="inlineStr">
        <is>
          <t>no_compite</t>
        </is>
      </c>
      <c r="Q264" s="3" t="inlineStr">
        <is>
          <t>ols_solo_factor</t>
        </is>
      </c>
      <c r="R264" s="3" t="n"/>
      <c r="S264" s="3" t="inlineStr">
        <is>
          <t>contraste regional (R6); no vota</t>
        </is>
      </c>
      <c r="T264" s="3" t="inlineStr">
        <is>
          <t>output/v8/F5/atribucion_combinada.csv</t>
        </is>
      </c>
      <c r="U264" s="2">
        <f>IF(R264=0,"",F264/R264)</f>
        <v/>
      </c>
      <c r="V264" s="2">
        <f>SUMIFS(F$2:F$1589,A$2:A$1589,A264,C$2:C$1589,C264,E$2:E$1589,E264,Q$2:Q$1589,Q264)</f>
        <v/>
      </c>
    </row>
    <row r="265">
      <c r="A265" s="3" t="inlineStr">
        <is>
          <t>compra</t>
        </is>
      </c>
      <c r="B265" s="3" t="inlineStr">
        <is>
          <t>ccaa:07</t>
        </is>
      </c>
      <c r="C265" s="3" t="inlineStr">
        <is>
          <t>P1</t>
        </is>
      </c>
      <c r="D265" s="3" t="inlineStr">
        <is>
          <t>residuo</t>
        </is>
      </c>
      <c r="E265" s="3" t="inlineStr">
        <is>
          <t>regional_ccaa_ols</t>
        </is>
      </c>
      <c r="F265" s="3" t="n">
        <v>-6.83186</v>
      </c>
      <c r="G265" s="3" t="n"/>
      <c r="H265" s="3" t="n"/>
      <c r="I265" s="3" t="n">
        <v>-0.131052</v>
      </c>
      <c r="J265" s="3" t="n"/>
      <c r="K265" s="3" t="n"/>
      <c r="L265" s="3" t="n"/>
      <c r="M265" s="3" t="n"/>
      <c r="N265" s="3" t="inlineStr">
        <is>
          <t>C4</t>
        </is>
      </c>
      <c r="O265" s="3" t="inlineStr">
        <is>
          <t>no</t>
        </is>
      </c>
      <c r="P265" s="3" t="inlineStr">
        <is>
          <t>no_compite</t>
        </is>
      </c>
      <c r="Q265" s="3" t="inlineStr">
        <is>
          <t>ols_solo_factor</t>
        </is>
      </c>
      <c r="R265" s="3" t="n"/>
      <c r="S265" s="3" t="inlineStr">
        <is>
          <t>contraste regional (R6); no vota</t>
        </is>
      </c>
      <c r="T265" s="3" t="inlineStr">
        <is>
          <t>output/v8/F5/atribucion_combinada.csv</t>
        </is>
      </c>
      <c r="U265" s="2">
        <f>IF(R265=0,"",F265/R265)</f>
        <v/>
      </c>
      <c r="V265" s="2">
        <f>SUMIFS(F$2:F$1589,A$2:A$1589,A265,C$2:C$1589,C265,E$2:E$1589,E265,Q$2:Q$1589,Q265)</f>
        <v/>
      </c>
    </row>
    <row r="266">
      <c r="A266" s="3" t="inlineStr">
        <is>
          <t>compra</t>
        </is>
      </c>
      <c r="B266" s="3" t="inlineStr">
        <is>
          <t>ccaa:08</t>
        </is>
      </c>
      <c r="C266" s="3" t="inlineStr">
        <is>
          <t>P1</t>
        </is>
      </c>
      <c r="D266" s="3" t="inlineStr">
        <is>
          <t>factor_comun</t>
        </is>
      </c>
      <c r="E266" s="3" t="inlineStr">
        <is>
          <t>regional_ccaa_ols</t>
        </is>
      </c>
      <c r="F266" s="3" t="n">
        <v>85.1808</v>
      </c>
      <c r="G266" s="3" t="n"/>
      <c r="H266" s="3" t="n"/>
      <c r="I266" s="3" t="n">
        <v>1.23298</v>
      </c>
      <c r="J266" s="3" t="n">
        <v>63.1549</v>
      </c>
      <c r="K266" s="3" t="n">
        <v>111.35</v>
      </c>
      <c r="L266" s="3" t="n">
        <v>51.8082</v>
      </c>
      <c r="M266" s="3" t="n">
        <v>151.695</v>
      </c>
      <c r="N266" s="3" t="inlineStr">
        <is>
          <t>C4</t>
        </is>
      </c>
      <c r="O266" s="3" t="inlineStr">
        <is>
          <t>no</t>
        </is>
      </c>
      <c r="P266" s="3" t="inlineStr">
        <is>
          <t>no_compite</t>
        </is>
      </c>
      <c r="Q266" s="3" t="inlineStr">
        <is>
          <t>ols_solo_factor</t>
        </is>
      </c>
      <c r="R266" s="3" t="n"/>
      <c r="S266" s="3" t="inlineStr">
        <is>
          <t>contraste regional (R6); no vota</t>
        </is>
      </c>
      <c r="T266" s="3" t="inlineStr">
        <is>
          <t>output/v8/F5/atribucion_combinada.csv</t>
        </is>
      </c>
      <c r="U266" s="2">
        <f>IF(R266=0,"",F266/R266)</f>
        <v/>
      </c>
      <c r="V266" s="2">
        <f>SUMIFS(F$2:F$1589,A$2:A$1589,A266,C$2:C$1589,C266,E$2:E$1589,E266,Q$2:Q$1589,Q266)</f>
        <v/>
      </c>
    </row>
    <row r="267">
      <c r="A267" s="3" t="inlineStr">
        <is>
          <t>compra</t>
        </is>
      </c>
      <c r="B267" s="3" t="inlineStr">
        <is>
          <t>ccaa:08</t>
        </is>
      </c>
      <c r="C267" s="3" t="inlineStr">
        <is>
          <t>P1</t>
        </is>
      </c>
      <c r="D267" s="3" t="inlineStr">
        <is>
          <t>residuo</t>
        </is>
      </c>
      <c r="E267" s="3" t="inlineStr">
        <is>
          <t>regional_ccaa_ols</t>
        </is>
      </c>
      <c r="F267" s="3" t="n">
        <v>-16.0956</v>
      </c>
      <c r="G267" s="3" t="n"/>
      <c r="H267" s="3" t="n"/>
      <c r="I267" s="3" t="n">
        <v>-0.232981</v>
      </c>
      <c r="J267" s="3" t="n"/>
      <c r="K267" s="3" t="n"/>
      <c r="L267" s="3" t="n"/>
      <c r="M267" s="3" t="n"/>
      <c r="N267" s="3" t="inlineStr">
        <is>
          <t>C4</t>
        </is>
      </c>
      <c r="O267" s="3" t="inlineStr">
        <is>
          <t>no</t>
        </is>
      </c>
      <c r="P267" s="3" t="inlineStr">
        <is>
          <t>no_compite</t>
        </is>
      </c>
      <c r="Q267" s="3" t="inlineStr">
        <is>
          <t>ols_solo_factor</t>
        </is>
      </c>
      <c r="R267" s="3" t="n"/>
      <c r="S267" s="3" t="inlineStr">
        <is>
          <t>contraste regional (R6); no vota</t>
        </is>
      </c>
      <c r="T267" s="3" t="inlineStr">
        <is>
          <t>output/v8/F5/atribucion_combinada.csv</t>
        </is>
      </c>
      <c r="U267" s="2">
        <f>IF(R267=0,"",F267/R267)</f>
        <v/>
      </c>
      <c r="V267" s="2">
        <f>SUMIFS(F$2:F$1589,A$2:A$1589,A267,C$2:C$1589,C267,E$2:E$1589,E267,Q$2:Q$1589,Q267)</f>
        <v/>
      </c>
    </row>
    <row r="268">
      <c r="A268" s="3" t="inlineStr">
        <is>
          <t>compra</t>
        </is>
      </c>
      <c r="B268" s="3" t="inlineStr">
        <is>
          <t>ccaa:09</t>
        </is>
      </c>
      <c r="C268" s="3" t="inlineStr">
        <is>
          <t>P1</t>
        </is>
      </c>
      <c r="D268" s="3" t="inlineStr">
        <is>
          <t>factor_comun</t>
        </is>
      </c>
      <c r="E268" s="3" t="inlineStr">
        <is>
          <t>regional_ccaa_ols</t>
        </is>
      </c>
      <c r="F268" s="3" t="n">
        <v>71.1011</v>
      </c>
      <c r="G268" s="3" t="n"/>
      <c r="H268" s="3" t="n"/>
      <c r="I268" s="3" t="n">
        <v>0.864899</v>
      </c>
      <c r="J268" s="3" t="n">
        <v>58.0341</v>
      </c>
      <c r="K268" s="3" t="n">
        <v>82.7334</v>
      </c>
      <c r="L268" s="3" t="n">
        <v>49.2429</v>
      </c>
      <c r="M268" s="3" t="n">
        <v>89.99169999999999</v>
      </c>
      <c r="N268" s="3" t="inlineStr">
        <is>
          <t>C4</t>
        </is>
      </c>
      <c r="O268" s="3" t="inlineStr">
        <is>
          <t>no</t>
        </is>
      </c>
      <c r="P268" s="3" t="inlineStr">
        <is>
          <t>no_compite</t>
        </is>
      </c>
      <c r="Q268" s="3" t="inlineStr">
        <is>
          <t>ols_solo_factor</t>
        </is>
      </c>
      <c r="R268" s="3" t="n"/>
      <c r="S268" s="3" t="inlineStr">
        <is>
          <t>contraste regional (R6); no vota</t>
        </is>
      </c>
      <c r="T268" s="3" t="inlineStr">
        <is>
          <t>output/v8/F5/atribucion_combinada.csv</t>
        </is>
      </c>
      <c r="U268" s="2">
        <f>IF(R268=0,"",F268/R268)</f>
        <v/>
      </c>
      <c r="V268" s="2">
        <f>SUMIFS(F$2:F$1589,A$2:A$1589,A268,C$2:C$1589,C268,E$2:E$1589,E268,Q$2:Q$1589,Q268)</f>
        <v/>
      </c>
    </row>
    <row r="269">
      <c r="A269" s="3" t="inlineStr">
        <is>
          <t>compra</t>
        </is>
      </c>
      <c r="B269" s="3" t="inlineStr">
        <is>
          <t>ccaa:09</t>
        </is>
      </c>
      <c r="C269" s="3" t="inlineStr">
        <is>
          <t>P1</t>
        </is>
      </c>
      <c r="D269" s="3" t="inlineStr">
        <is>
          <t>residuo</t>
        </is>
      </c>
      <c r="E269" s="3" t="inlineStr">
        <is>
          <t>regional_ccaa_ols</t>
        </is>
      </c>
      <c r="F269" s="3" t="n">
        <v>11.1063</v>
      </c>
      <c r="G269" s="3" t="n"/>
      <c r="H269" s="3" t="n"/>
      <c r="I269" s="3" t="n">
        <v>0.135101</v>
      </c>
      <c r="J269" s="3" t="n"/>
      <c r="K269" s="3" t="n"/>
      <c r="L269" s="3" t="n"/>
      <c r="M269" s="3" t="n"/>
      <c r="N269" s="3" t="inlineStr">
        <is>
          <t>C4</t>
        </is>
      </c>
      <c r="O269" s="3" t="inlineStr">
        <is>
          <t>no</t>
        </is>
      </c>
      <c r="P269" s="3" t="inlineStr">
        <is>
          <t>no_compite</t>
        </is>
      </c>
      <c r="Q269" s="3" t="inlineStr">
        <is>
          <t>ols_solo_factor</t>
        </is>
      </c>
      <c r="R269" s="3" t="n"/>
      <c r="S269" s="3" t="inlineStr">
        <is>
          <t>contraste regional (R6); no vota</t>
        </is>
      </c>
      <c r="T269" s="3" t="inlineStr">
        <is>
          <t>output/v8/F5/atribucion_combinada.csv</t>
        </is>
      </c>
      <c r="U269" s="2">
        <f>IF(R269=0,"",F269/R269)</f>
        <v/>
      </c>
      <c r="V269" s="2">
        <f>SUMIFS(F$2:F$1589,A$2:A$1589,A269,C$2:C$1589,C269,E$2:E$1589,E269,Q$2:Q$1589,Q269)</f>
        <v/>
      </c>
    </row>
    <row r="270">
      <c r="A270" s="3" t="inlineStr">
        <is>
          <t>compra</t>
        </is>
      </c>
      <c r="B270" s="3" t="inlineStr">
        <is>
          <t>ccaa:10</t>
        </is>
      </c>
      <c r="C270" s="3" t="inlineStr">
        <is>
          <t>P1</t>
        </is>
      </c>
      <c r="D270" s="3" t="inlineStr">
        <is>
          <t>factor_comun</t>
        </is>
      </c>
      <c r="E270" s="3" t="inlineStr">
        <is>
          <t>regional_ccaa_ols</t>
        </is>
      </c>
      <c r="F270" s="3" t="n">
        <v>75.4834</v>
      </c>
      <c r="G270" s="3" t="n"/>
      <c r="H270" s="3" t="n"/>
      <c r="I270" s="3" t="n">
        <v>0.859805</v>
      </c>
      <c r="J270" s="3" t="n">
        <v>59.6942</v>
      </c>
      <c r="K270" s="3" t="n">
        <v>93.4487</v>
      </c>
      <c r="L270" s="3" t="n">
        <v>48.8081</v>
      </c>
      <c r="M270" s="3" t="n">
        <v>105.168</v>
      </c>
      <c r="N270" s="3" t="inlineStr">
        <is>
          <t>C4</t>
        </is>
      </c>
      <c r="O270" s="3" t="inlineStr">
        <is>
          <t>no</t>
        </is>
      </c>
      <c r="P270" s="3" t="inlineStr">
        <is>
          <t>no_compite</t>
        </is>
      </c>
      <c r="Q270" s="3" t="inlineStr">
        <is>
          <t>ols_solo_factor</t>
        </is>
      </c>
      <c r="R270" s="3" t="n"/>
      <c r="S270" s="3" t="inlineStr">
        <is>
          <t>contraste regional (R6); no vota</t>
        </is>
      </c>
      <c r="T270" s="3" t="inlineStr">
        <is>
          <t>output/v8/F5/atribucion_combinada.csv</t>
        </is>
      </c>
      <c r="U270" s="2">
        <f>IF(R270=0,"",F270/R270)</f>
        <v/>
      </c>
      <c r="V270" s="2">
        <f>SUMIFS(F$2:F$1589,A$2:A$1589,A270,C$2:C$1589,C270,E$2:E$1589,E270,Q$2:Q$1589,Q270)</f>
        <v/>
      </c>
    </row>
    <row r="271">
      <c r="A271" s="3" t="inlineStr">
        <is>
          <t>compra</t>
        </is>
      </c>
      <c r="B271" s="3" t="inlineStr">
        <is>
          <t>ccaa:10</t>
        </is>
      </c>
      <c r="C271" s="3" t="inlineStr">
        <is>
          <t>P1</t>
        </is>
      </c>
      <c r="D271" s="3" t="inlineStr">
        <is>
          <t>residuo</t>
        </is>
      </c>
      <c r="E271" s="3" t="inlineStr">
        <is>
          <t>regional_ccaa_ols</t>
        </is>
      </c>
      <c r="F271" s="3" t="n">
        <v>12.3079</v>
      </c>
      <c r="G271" s="3" t="n"/>
      <c r="H271" s="3" t="n"/>
      <c r="I271" s="3" t="n">
        <v>0.140195</v>
      </c>
      <c r="J271" s="3" t="n"/>
      <c r="K271" s="3" t="n"/>
      <c r="L271" s="3" t="n"/>
      <c r="M271" s="3" t="n"/>
      <c r="N271" s="3" t="inlineStr">
        <is>
          <t>C4</t>
        </is>
      </c>
      <c r="O271" s="3" t="inlineStr">
        <is>
          <t>no</t>
        </is>
      </c>
      <c r="P271" s="3" t="inlineStr">
        <is>
          <t>no_compite</t>
        </is>
      </c>
      <c r="Q271" s="3" t="inlineStr">
        <is>
          <t>ols_solo_factor</t>
        </is>
      </c>
      <c r="R271" s="3" t="n"/>
      <c r="S271" s="3" t="inlineStr">
        <is>
          <t>contraste regional (R6); no vota</t>
        </is>
      </c>
      <c r="T271" s="3" t="inlineStr">
        <is>
          <t>output/v8/F5/atribucion_combinada.csv</t>
        </is>
      </c>
      <c r="U271" s="2">
        <f>IF(R271=0,"",F271/R271)</f>
        <v/>
      </c>
      <c r="V271" s="2">
        <f>SUMIFS(F$2:F$1589,A$2:A$1589,A271,C$2:C$1589,C271,E$2:E$1589,E271,Q$2:Q$1589,Q271)</f>
        <v/>
      </c>
    </row>
    <row r="272">
      <c r="A272" s="3" t="inlineStr">
        <is>
          <t>compra</t>
        </is>
      </c>
      <c r="B272" s="3" t="inlineStr">
        <is>
          <t>ccaa:11</t>
        </is>
      </c>
      <c r="C272" s="3" t="inlineStr">
        <is>
          <t>P1</t>
        </is>
      </c>
      <c r="D272" s="3" t="inlineStr">
        <is>
          <t>factor_comun</t>
        </is>
      </c>
      <c r="E272" s="3" t="inlineStr">
        <is>
          <t>regional_ccaa_ols</t>
        </is>
      </c>
      <c r="F272" s="3" t="n">
        <v>64.7882</v>
      </c>
      <c r="G272" s="3" t="n"/>
      <c r="H272" s="3" t="n"/>
      <c r="I272" s="3" t="n">
        <v>1.1066</v>
      </c>
      <c r="J272" s="3" t="n">
        <v>48.714</v>
      </c>
      <c r="K272" s="3" t="n">
        <v>83.99079999999999</v>
      </c>
      <c r="L272" s="3" t="n">
        <v>39.1781</v>
      </c>
      <c r="M272" s="3" t="n">
        <v>98.7296</v>
      </c>
      <c r="N272" s="3" t="inlineStr">
        <is>
          <t>C4</t>
        </is>
      </c>
      <c r="O272" s="3" t="inlineStr">
        <is>
          <t>no</t>
        </is>
      </c>
      <c r="P272" s="3" t="inlineStr">
        <is>
          <t>no_compite</t>
        </is>
      </c>
      <c r="Q272" s="3" t="inlineStr">
        <is>
          <t>ols_solo_factor</t>
        </is>
      </c>
      <c r="R272" s="3" t="n"/>
      <c r="S272" s="3" t="inlineStr">
        <is>
          <t>contraste regional (R6); no vota</t>
        </is>
      </c>
      <c r="T272" s="3" t="inlineStr">
        <is>
          <t>output/v8/F5/atribucion_combinada.csv</t>
        </is>
      </c>
      <c r="U272" s="2">
        <f>IF(R272=0,"",F272/R272)</f>
        <v/>
      </c>
      <c r="V272" s="2">
        <f>SUMIFS(F$2:F$1589,A$2:A$1589,A272,C$2:C$1589,C272,E$2:E$1589,E272,Q$2:Q$1589,Q272)</f>
        <v/>
      </c>
    </row>
    <row r="273">
      <c r="A273" s="3" t="inlineStr">
        <is>
          <t>compra</t>
        </is>
      </c>
      <c r="B273" s="3" t="inlineStr">
        <is>
          <t>ccaa:11</t>
        </is>
      </c>
      <c r="C273" s="3" t="inlineStr">
        <is>
          <t>P1</t>
        </is>
      </c>
      <c r="D273" s="3" t="inlineStr">
        <is>
          <t>residuo</t>
        </is>
      </c>
      <c r="E273" s="3" t="inlineStr">
        <is>
          <t>regional_ccaa_ols</t>
        </is>
      </c>
      <c r="F273" s="3" t="n">
        <v>-6.24131</v>
      </c>
      <c r="G273" s="3" t="n"/>
      <c r="H273" s="3" t="n"/>
      <c r="I273" s="3" t="n">
        <v>-0.106604</v>
      </c>
      <c r="J273" s="3" t="n"/>
      <c r="K273" s="3" t="n"/>
      <c r="L273" s="3" t="n"/>
      <c r="M273" s="3" t="n"/>
      <c r="N273" s="3" t="inlineStr">
        <is>
          <t>C4</t>
        </is>
      </c>
      <c r="O273" s="3" t="inlineStr">
        <is>
          <t>no</t>
        </is>
      </c>
      <c r="P273" s="3" t="inlineStr">
        <is>
          <t>no_compite</t>
        </is>
      </c>
      <c r="Q273" s="3" t="inlineStr">
        <is>
          <t>ols_solo_factor</t>
        </is>
      </c>
      <c r="R273" s="3" t="n"/>
      <c r="S273" s="3" t="inlineStr">
        <is>
          <t>contraste regional (R6); no vota</t>
        </is>
      </c>
      <c r="T273" s="3" t="inlineStr">
        <is>
          <t>output/v8/F5/atribucion_combinada.csv</t>
        </is>
      </c>
      <c r="U273" s="2">
        <f>IF(R273=0,"",F273/R273)</f>
        <v/>
      </c>
      <c r="V273" s="2">
        <f>SUMIFS(F$2:F$1589,A$2:A$1589,A273,C$2:C$1589,C273,E$2:E$1589,E273,Q$2:Q$1589,Q273)</f>
        <v/>
      </c>
    </row>
    <row r="274">
      <c r="A274" s="3" t="inlineStr">
        <is>
          <t>compra</t>
        </is>
      </c>
      <c r="B274" s="3" t="inlineStr">
        <is>
          <t>ccaa:12</t>
        </is>
      </c>
      <c r="C274" s="3" t="inlineStr">
        <is>
          <t>P1</t>
        </is>
      </c>
      <c r="D274" s="3" t="inlineStr">
        <is>
          <t>factor_comun</t>
        </is>
      </c>
      <c r="E274" s="3" t="inlineStr">
        <is>
          <t>regional_ccaa_ols</t>
        </is>
      </c>
      <c r="F274" s="3" t="n">
        <v>53.7416</v>
      </c>
      <c r="G274" s="3" t="n"/>
      <c r="H274" s="3" t="n"/>
      <c r="I274" s="3" t="n">
        <v>0.934932</v>
      </c>
      <c r="J274" s="3" t="n">
        <v>38.3143</v>
      </c>
      <c r="K274" s="3" t="n">
        <v>63.6766</v>
      </c>
      <c r="L274" s="3" t="n">
        <v>28.6091</v>
      </c>
      <c r="M274" s="3" t="n">
        <v>72.0883</v>
      </c>
      <c r="N274" s="3" t="inlineStr">
        <is>
          <t>C4</t>
        </is>
      </c>
      <c r="O274" s="3" t="inlineStr">
        <is>
          <t>no</t>
        </is>
      </c>
      <c r="P274" s="3" t="inlineStr">
        <is>
          <t>no_compite</t>
        </is>
      </c>
      <c r="Q274" s="3" t="inlineStr">
        <is>
          <t>ols_solo_factor</t>
        </is>
      </c>
      <c r="R274" s="3" t="n"/>
      <c r="S274" s="3" t="inlineStr">
        <is>
          <t>contraste regional (R6); no vota</t>
        </is>
      </c>
      <c r="T274" s="3" t="inlineStr">
        <is>
          <t>output/v8/F5/atribucion_combinada.csv</t>
        </is>
      </c>
      <c r="U274" s="2">
        <f>IF(R274=0,"",F274/R274)</f>
        <v/>
      </c>
      <c r="V274" s="2">
        <f>SUMIFS(F$2:F$1589,A$2:A$1589,A274,C$2:C$1589,C274,E$2:E$1589,E274,Q$2:Q$1589,Q274)</f>
        <v/>
      </c>
    </row>
    <row r="275">
      <c r="A275" s="3" t="inlineStr">
        <is>
          <t>compra</t>
        </is>
      </c>
      <c r="B275" s="3" t="inlineStr">
        <is>
          <t>ccaa:12</t>
        </is>
      </c>
      <c r="C275" s="3" t="inlineStr">
        <is>
          <t>P1</t>
        </is>
      </c>
      <c r="D275" s="3" t="inlineStr">
        <is>
          <t>residuo</t>
        </is>
      </c>
      <c r="E275" s="3" t="inlineStr">
        <is>
          <t>regional_ccaa_ols</t>
        </is>
      </c>
      <c r="F275" s="3" t="n">
        <v>3.74025</v>
      </c>
      <c r="G275" s="3" t="n"/>
      <c r="H275" s="3" t="n"/>
      <c r="I275" s="3" t="n">
        <v>0.0650683</v>
      </c>
      <c r="J275" s="3" t="n"/>
      <c r="K275" s="3" t="n"/>
      <c r="L275" s="3" t="n"/>
      <c r="M275" s="3" t="n"/>
      <c r="N275" s="3" t="inlineStr">
        <is>
          <t>C4</t>
        </is>
      </c>
      <c r="O275" s="3" t="inlineStr">
        <is>
          <t>no</t>
        </is>
      </c>
      <c r="P275" s="3" t="inlineStr">
        <is>
          <t>no_compite</t>
        </is>
      </c>
      <c r="Q275" s="3" t="inlineStr">
        <is>
          <t>ols_solo_factor</t>
        </is>
      </c>
      <c r="R275" s="3" t="n"/>
      <c r="S275" s="3" t="inlineStr">
        <is>
          <t>contraste regional (R6); no vota</t>
        </is>
      </c>
      <c r="T275" s="3" t="inlineStr">
        <is>
          <t>output/v8/F5/atribucion_combinada.csv</t>
        </is>
      </c>
      <c r="U275" s="2">
        <f>IF(R275=0,"",F275/R275)</f>
        <v/>
      </c>
      <c r="V275" s="2">
        <f>SUMIFS(F$2:F$1589,A$2:A$1589,A275,C$2:C$1589,C275,E$2:E$1589,E275,Q$2:Q$1589,Q275)</f>
        <v/>
      </c>
    </row>
    <row r="276">
      <c r="A276" s="3" t="inlineStr">
        <is>
          <t>compra</t>
        </is>
      </c>
      <c r="B276" s="3" t="inlineStr">
        <is>
          <t>ccaa:13</t>
        </is>
      </c>
      <c r="C276" s="3" t="inlineStr">
        <is>
          <t>P1</t>
        </is>
      </c>
      <c r="D276" s="3" t="inlineStr">
        <is>
          <t>factor_comun</t>
        </is>
      </c>
      <c r="E276" s="3" t="inlineStr">
        <is>
          <t>regional_ccaa_ols</t>
        </is>
      </c>
      <c r="F276" s="3" t="n">
        <v>114.309</v>
      </c>
      <c r="G276" s="3" t="n"/>
      <c r="H276" s="3" t="n"/>
      <c r="I276" s="3" t="n">
        <v>1.71116</v>
      </c>
      <c r="J276" s="3" t="n">
        <v>86.2629</v>
      </c>
      <c r="K276" s="3" t="n">
        <v>142.057</v>
      </c>
      <c r="L276" s="3" t="n">
        <v>73.9181</v>
      </c>
      <c r="M276" s="3" t="n">
        <v>173.377</v>
      </c>
      <c r="N276" s="3" t="inlineStr">
        <is>
          <t>C4</t>
        </is>
      </c>
      <c r="O276" s="3" t="inlineStr">
        <is>
          <t>no</t>
        </is>
      </c>
      <c r="P276" s="3" t="inlineStr">
        <is>
          <t>no_compite</t>
        </is>
      </c>
      <c r="Q276" s="3" t="inlineStr">
        <is>
          <t>ols_solo_factor</t>
        </is>
      </c>
      <c r="R276" s="3" t="n"/>
      <c r="S276" s="3" t="inlineStr">
        <is>
          <t>contraste regional (R6); no vota</t>
        </is>
      </c>
      <c r="T276" s="3" t="inlineStr">
        <is>
          <t>output/v8/F5/atribucion_combinada.csv</t>
        </is>
      </c>
      <c r="U276" s="2">
        <f>IF(R276=0,"",F276/R276)</f>
        <v/>
      </c>
      <c r="V276" s="2">
        <f>SUMIFS(F$2:F$1589,A$2:A$1589,A276,C$2:C$1589,C276,E$2:E$1589,E276,Q$2:Q$1589,Q276)</f>
        <v/>
      </c>
    </row>
    <row r="277">
      <c r="A277" s="3" t="inlineStr">
        <is>
          <t>compra</t>
        </is>
      </c>
      <c r="B277" s="3" t="inlineStr">
        <is>
          <t>ccaa:13</t>
        </is>
      </c>
      <c r="C277" s="3" t="inlineStr">
        <is>
          <t>P1</t>
        </is>
      </c>
      <c r="D277" s="3" t="inlineStr">
        <is>
          <t>residuo</t>
        </is>
      </c>
      <c r="E277" s="3" t="inlineStr">
        <is>
          <t>regional_ccaa_ols</t>
        </is>
      </c>
      <c r="F277" s="3" t="n">
        <v>-47.5068</v>
      </c>
      <c r="G277" s="3" t="n"/>
      <c r="H277" s="3" t="n"/>
      <c r="I277" s="3" t="n">
        <v>-0.711162</v>
      </c>
      <c r="J277" s="3" t="n"/>
      <c r="K277" s="3" t="n"/>
      <c r="L277" s="3" t="n"/>
      <c r="M277" s="3" t="n"/>
      <c r="N277" s="3" t="inlineStr">
        <is>
          <t>C4</t>
        </is>
      </c>
      <c r="O277" s="3" t="inlineStr">
        <is>
          <t>no</t>
        </is>
      </c>
      <c r="P277" s="3" t="inlineStr">
        <is>
          <t>no_compite</t>
        </is>
      </c>
      <c r="Q277" s="3" t="inlineStr">
        <is>
          <t>ols_solo_factor</t>
        </is>
      </c>
      <c r="R277" s="3" t="n"/>
      <c r="S277" s="3" t="inlineStr">
        <is>
          <t>contraste regional (R6); no vota</t>
        </is>
      </c>
      <c r="T277" s="3" t="inlineStr">
        <is>
          <t>output/v8/F5/atribucion_combinada.csv</t>
        </is>
      </c>
      <c r="U277" s="2">
        <f>IF(R277=0,"",F277/R277)</f>
        <v/>
      </c>
      <c r="V277" s="2">
        <f>SUMIFS(F$2:F$1589,A$2:A$1589,A277,C$2:C$1589,C277,E$2:E$1589,E277,Q$2:Q$1589,Q277)</f>
        <v/>
      </c>
    </row>
    <row r="278">
      <c r="A278" s="3" t="inlineStr">
        <is>
          <t>compra</t>
        </is>
      </c>
      <c r="B278" s="3" t="inlineStr">
        <is>
          <t>ccaa:14</t>
        </is>
      </c>
      <c r="C278" s="3" t="inlineStr">
        <is>
          <t>P1</t>
        </is>
      </c>
      <c r="D278" s="3" t="inlineStr">
        <is>
          <t>factor_comun</t>
        </is>
      </c>
      <c r="E278" s="3" t="inlineStr">
        <is>
          <t>regional_ccaa_ols</t>
        </is>
      </c>
      <c r="F278" s="3" t="n">
        <v>95.50490000000001</v>
      </c>
      <c r="G278" s="3" t="n"/>
      <c r="H278" s="3" t="n"/>
      <c r="I278" s="3" t="n">
        <v>0.98646</v>
      </c>
      <c r="J278" s="3" t="n">
        <v>72.0939</v>
      </c>
      <c r="K278" s="3" t="n">
        <v>123.593</v>
      </c>
      <c r="L278" s="3" t="n">
        <v>59.285</v>
      </c>
      <c r="M278" s="3" t="n">
        <v>142.144</v>
      </c>
      <c r="N278" s="3" t="inlineStr">
        <is>
          <t>C4</t>
        </is>
      </c>
      <c r="O278" s="3" t="inlineStr">
        <is>
          <t>no</t>
        </is>
      </c>
      <c r="P278" s="3" t="inlineStr">
        <is>
          <t>no_compite</t>
        </is>
      </c>
      <c r="Q278" s="3" t="inlineStr">
        <is>
          <t>ols_solo_factor</t>
        </is>
      </c>
      <c r="R278" s="3" t="n"/>
      <c r="S278" s="3" t="inlineStr">
        <is>
          <t>contraste regional (R6); no vota</t>
        </is>
      </c>
      <c r="T278" s="3" t="inlineStr">
        <is>
          <t>output/v8/F5/atribucion_combinada.csv</t>
        </is>
      </c>
      <c r="U278" s="2">
        <f>IF(R278=0,"",F278/R278)</f>
        <v/>
      </c>
      <c r="V278" s="2">
        <f>SUMIFS(F$2:F$1589,A$2:A$1589,A278,C$2:C$1589,C278,E$2:E$1589,E278,Q$2:Q$1589,Q278)</f>
        <v/>
      </c>
    </row>
    <row r="279">
      <c r="A279" s="3" t="inlineStr">
        <is>
          <t>compra</t>
        </is>
      </c>
      <c r="B279" s="3" t="inlineStr">
        <is>
          <t>ccaa:14</t>
        </is>
      </c>
      <c r="C279" s="3" t="inlineStr">
        <is>
          <t>P1</t>
        </is>
      </c>
      <c r="D279" s="3" t="inlineStr">
        <is>
          <t>residuo</t>
        </is>
      </c>
      <c r="E279" s="3" t="inlineStr">
        <is>
          <t>regional_ccaa_ols</t>
        </is>
      </c>
      <c r="F279" s="3" t="n">
        <v>1.31093</v>
      </c>
      <c r="G279" s="3" t="n"/>
      <c r="H279" s="3" t="n"/>
      <c r="I279" s="3" t="n">
        <v>0.0135405</v>
      </c>
      <c r="J279" s="3" t="n"/>
      <c r="K279" s="3" t="n"/>
      <c r="L279" s="3" t="n"/>
      <c r="M279" s="3" t="n"/>
      <c r="N279" s="3" t="inlineStr">
        <is>
          <t>C4</t>
        </is>
      </c>
      <c r="O279" s="3" t="inlineStr">
        <is>
          <t>no</t>
        </is>
      </c>
      <c r="P279" s="3" t="inlineStr">
        <is>
          <t>no_compite</t>
        </is>
      </c>
      <c r="Q279" s="3" t="inlineStr">
        <is>
          <t>ols_solo_factor</t>
        </is>
      </c>
      <c r="R279" s="3" t="n"/>
      <c r="S279" s="3" t="inlineStr">
        <is>
          <t>contraste regional (R6); no vota</t>
        </is>
      </c>
      <c r="T279" s="3" t="inlineStr">
        <is>
          <t>output/v8/F5/atribucion_combinada.csv</t>
        </is>
      </c>
      <c r="U279" s="2">
        <f>IF(R279=0,"",F279/R279)</f>
        <v/>
      </c>
      <c r="V279" s="2">
        <f>SUMIFS(F$2:F$1589,A$2:A$1589,A279,C$2:C$1589,C279,E$2:E$1589,E279,Q$2:Q$1589,Q279)</f>
        <v/>
      </c>
    </row>
    <row r="280">
      <c r="A280" s="3" t="inlineStr">
        <is>
          <t>compra</t>
        </is>
      </c>
      <c r="B280" s="3" t="inlineStr">
        <is>
          <t>ccaa:15</t>
        </is>
      </c>
      <c r="C280" s="3" t="inlineStr">
        <is>
          <t>P1</t>
        </is>
      </c>
      <c r="D280" s="3" t="inlineStr">
        <is>
          <t>factor_comun</t>
        </is>
      </c>
      <c r="E280" s="3" t="inlineStr">
        <is>
          <t>regional_ccaa_ols</t>
        </is>
      </c>
      <c r="F280" s="3" t="n">
        <v>52.3045</v>
      </c>
      <c r="G280" s="3" t="n"/>
      <c r="H280" s="3" t="n"/>
      <c r="I280" s="3" t="n">
        <v>1.05825</v>
      </c>
      <c r="J280" s="3" t="n">
        <v>32.5465</v>
      </c>
      <c r="K280" s="3" t="n">
        <v>65.4866</v>
      </c>
      <c r="L280" s="3" t="n">
        <v>25.8843</v>
      </c>
      <c r="M280" s="3" t="n">
        <v>79.2881</v>
      </c>
      <c r="N280" s="3" t="inlineStr">
        <is>
          <t>C4</t>
        </is>
      </c>
      <c r="O280" s="3" t="inlineStr">
        <is>
          <t>no</t>
        </is>
      </c>
      <c r="P280" s="3" t="inlineStr">
        <is>
          <t>no_compite</t>
        </is>
      </c>
      <c r="Q280" s="3" t="inlineStr">
        <is>
          <t>ols_solo_factor</t>
        </is>
      </c>
      <c r="R280" s="3" t="n"/>
      <c r="S280" s="3" t="inlineStr">
        <is>
          <t>contraste regional (R6); no vota</t>
        </is>
      </c>
      <c r="T280" s="3" t="inlineStr">
        <is>
          <t>output/v8/F5/atribucion_combinada.csv</t>
        </is>
      </c>
      <c r="U280" s="2">
        <f>IF(R280=0,"",F280/R280)</f>
        <v/>
      </c>
      <c r="V280" s="2">
        <f>SUMIFS(F$2:F$1589,A$2:A$1589,A280,C$2:C$1589,C280,E$2:E$1589,E280,Q$2:Q$1589,Q280)</f>
        <v/>
      </c>
    </row>
    <row r="281">
      <c r="A281" s="3" t="inlineStr">
        <is>
          <t>compra</t>
        </is>
      </c>
      <c r="B281" s="3" t="inlineStr">
        <is>
          <t>ccaa:15</t>
        </is>
      </c>
      <c r="C281" s="3" t="inlineStr">
        <is>
          <t>P1</t>
        </is>
      </c>
      <c r="D281" s="3" t="inlineStr">
        <is>
          <t>residuo</t>
        </is>
      </c>
      <c r="E281" s="3" t="inlineStr">
        <is>
          <t>regional_ccaa_ols</t>
        </is>
      </c>
      <c r="F281" s="3" t="n">
        <v>-2.8789</v>
      </c>
      <c r="G281" s="3" t="n"/>
      <c r="H281" s="3" t="n"/>
      <c r="I281" s="3" t="n">
        <v>-0.0582471</v>
      </c>
      <c r="J281" s="3" t="n"/>
      <c r="K281" s="3" t="n"/>
      <c r="L281" s="3" t="n"/>
      <c r="M281" s="3" t="n"/>
      <c r="N281" s="3" t="inlineStr">
        <is>
          <t>C4</t>
        </is>
      </c>
      <c r="O281" s="3" t="inlineStr">
        <is>
          <t>no</t>
        </is>
      </c>
      <c r="P281" s="3" t="inlineStr">
        <is>
          <t>no_compite</t>
        </is>
      </c>
      <c r="Q281" s="3" t="inlineStr">
        <is>
          <t>ols_solo_factor</t>
        </is>
      </c>
      <c r="R281" s="3" t="n"/>
      <c r="S281" s="3" t="inlineStr">
        <is>
          <t>contraste regional (R6); no vota</t>
        </is>
      </c>
      <c r="T281" s="3" t="inlineStr">
        <is>
          <t>output/v8/F5/atribucion_combinada.csv</t>
        </is>
      </c>
      <c r="U281" s="2">
        <f>IF(R281=0,"",F281/R281)</f>
        <v/>
      </c>
      <c r="V281" s="2">
        <f>SUMIFS(F$2:F$1589,A$2:A$1589,A281,C$2:C$1589,C281,E$2:E$1589,E281,Q$2:Q$1589,Q281)</f>
        <v/>
      </c>
    </row>
    <row r="282">
      <c r="A282" s="3" t="inlineStr">
        <is>
          <t>compra</t>
        </is>
      </c>
      <c r="B282" s="3" t="inlineStr">
        <is>
          <t>ccaa:16</t>
        </is>
      </c>
      <c r="C282" s="3" t="inlineStr">
        <is>
          <t>P1</t>
        </is>
      </c>
      <c r="D282" s="3" t="inlineStr">
        <is>
          <t>factor_comun</t>
        </is>
      </c>
      <c r="E282" s="3" t="inlineStr">
        <is>
          <t>regional_ccaa_ols</t>
        </is>
      </c>
      <c r="F282" s="3" t="n">
        <v>78.24509999999999</v>
      </c>
      <c r="G282" s="3" t="n"/>
      <c r="H282" s="3" t="n"/>
      <c r="I282" s="3" t="n">
        <v>0.960726</v>
      </c>
      <c r="J282" s="3" t="n">
        <v>60.9418</v>
      </c>
      <c r="K282" s="3" t="n">
        <v>95.49379999999999</v>
      </c>
      <c r="L282" s="3" t="n">
        <v>49.5229</v>
      </c>
      <c r="M282" s="3" t="n">
        <v>109.583</v>
      </c>
      <c r="N282" s="3" t="inlineStr">
        <is>
          <t>C4</t>
        </is>
      </c>
      <c r="O282" s="3" t="inlineStr">
        <is>
          <t>no</t>
        </is>
      </c>
      <c r="P282" s="3" t="inlineStr">
        <is>
          <t>no_compite</t>
        </is>
      </c>
      <c r="Q282" s="3" t="inlineStr">
        <is>
          <t>ols_solo_factor</t>
        </is>
      </c>
      <c r="R282" s="3" t="n"/>
      <c r="S282" s="3" t="inlineStr">
        <is>
          <t>contraste regional (R6); no vota</t>
        </is>
      </c>
      <c r="T282" s="3" t="inlineStr">
        <is>
          <t>output/v8/F5/atribucion_combinada.csv</t>
        </is>
      </c>
      <c r="U282" s="2">
        <f>IF(R282=0,"",F282/R282)</f>
        <v/>
      </c>
      <c r="V282" s="2">
        <f>SUMIFS(F$2:F$1589,A$2:A$1589,A282,C$2:C$1589,C282,E$2:E$1589,E282,Q$2:Q$1589,Q282)</f>
        <v/>
      </c>
    </row>
    <row r="283">
      <c r="A283" s="3" t="inlineStr">
        <is>
          <t>compra</t>
        </is>
      </c>
      <c r="B283" s="3" t="inlineStr">
        <is>
          <t>ccaa:16</t>
        </is>
      </c>
      <c r="C283" s="3" t="inlineStr">
        <is>
          <t>P1</t>
        </is>
      </c>
      <c r="D283" s="3" t="inlineStr">
        <is>
          <t>residuo</t>
        </is>
      </c>
      <c r="E283" s="3" t="inlineStr">
        <is>
          <t>regional_ccaa_ols</t>
        </is>
      </c>
      <c r="F283" s="3" t="n">
        <v>3.19865</v>
      </c>
      <c r="G283" s="3" t="n"/>
      <c r="H283" s="3" t="n"/>
      <c r="I283" s="3" t="n">
        <v>0.0392744</v>
      </c>
      <c r="J283" s="3" t="n"/>
      <c r="K283" s="3" t="n"/>
      <c r="L283" s="3" t="n"/>
      <c r="M283" s="3" t="n"/>
      <c r="N283" s="3" t="inlineStr">
        <is>
          <t>C4</t>
        </is>
      </c>
      <c r="O283" s="3" t="inlineStr">
        <is>
          <t>no</t>
        </is>
      </c>
      <c r="P283" s="3" t="inlineStr">
        <is>
          <t>no_compite</t>
        </is>
      </c>
      <c r="Q283" s="3" t="inlineStr">
        <is>
          <t>ols_solo_factor</t>
        </is>
      </c>
      <c r="R283" s="3" t="n"/>
      <c r="S283" s="3" t="inlineStr">
        <is>
          <t>contraste regional (R6); no vota</t>
        </is>
      </c>
      <c r="T283" s="3" t="inlineStr">
        <is>
          <t>output/v8/F5/atribucion_combinada.csv</t>
        </is>
      </c>
      <c r="U283" s="2">
        <f>IF(R283=0,"",F283/R283)</f>
        <v/>
      </c>
      <c r="V283" s="2">
        <f>SUMIFS(F$2:F$1589,A$2:A$1589,A283,C$2:C$1589,C283,E$2:E$1589,E283,Q$2:Q$1589,Q283)</f>
        <v/>
      </c>
    </row>
    <row r="284">
      <c r="A284" s="3" t="inlineStr">
        <is>
          <t>compra</t>
        </is>
      </c>
      <c r="B284" s="3" t="inlineStr">
        <is>
          <t>ccaa:17</t>
        </is>
      </c>
      <c r="C284" s="3" t="inlineStr">
        <is>
          <t>P1</t>
        </is>
      </c>
      <c r="D284" s="3" t="inlineStr">
        <is>
          <t>factor_comun</t>
        </is>
      </c>
      <c r="E284" s="3" t="inlineStr">
        <is>
          <t>regional_ccaa_ols</t>
        </is>
      </c>
      <c r="F284" s="3" t="n">
        <v>85.2</v>
      </c>
      <c r="G284" s="3" t="n"/>
      <c r="H284" s="3" t="n"/>
      <c r="I284" s="3" t="n">
        <v>1.35055</v>
      </c>
      <c r="J284" s="3" t="n">
        <v>66.265</v>
      </c>
      <c r="K284" s="3" t="n">
        <v>103.29</v>
      </c>
      <c r="L284" s="3" t="n">
        <v>52.3638</v>
      </c>
      <c r="M284" s="3" t="n">
        <v>123.154</v>
      </c>
      <c r="N284" s="3" t="inlineStr">
        <is>
          <t>C4</t>
        </is>
      </c>
      <c r="O284" s="3" t="inlineStr">
        <is>
          <t>no</t>
        </is>
      </c>
      <c r="P284" s="3" t="inlineStr">
        <is>
          <t>no_compite</t>
        </is>
      </c>
      <c r="Q284" s="3" t="inlineStr">
        <is>
          <t>ols_solo_factor</t>
        </is>
      </c>
      <c r="R284" s="3" t="n"/>
      <c r="S284" s="3" t="inlineStr">
        <is>
          <t>contraste regional (R6); no vota</t>
        </is>
      </c>
      <c r="T284" s="3" t="inlineStr">
        <is>
          <t>output/v8/F5/atribucion_combinada.csv</t>
        </is>
      </c>
      <c r="U284" s="2">
        <f>IF(R284=0,"",F284/R284)</f>
        <v/>
      </c>
      <c r="V284" s="2">
        <f>SUMIFS(F$2:F$1589,A$2:A$1589,A284,C$2:C$1589,C284,E$2:E$1589,E284,Q$2:Q$1589,Q284)</f>
        <v/>
      </c>
    </row>
    <row r="285">
      <c r="A285" s="3" t="inlineStr">
        <is>
          <t>compra</t>
        </is>
      </c>
      <c r="B285" s="3" t="inlineStr">
        <is>
          <t>ccaa:17</t>
        </is>
      </c>
      <c r="C285" s="3" t="inlineStr">
        <is>
          <t>P1</t>
        </is>
      </c>
      <c r="D285" s="3" t="inlineStr">
        <is>
          <t>residuo</t>
        </is>
      </c>
      <c r="E285" s="3" t="inlineStr">
        <is>
          <t>regional_ccaa_ols</t>
        </is>
      </c>
      <c r="F285" s="3" t="n">
        <v>-22.1144</v>
      </c>
      <c r="G285" s="3" t="n"/>
      <c r="H285" s="3" t="n"/>
      <c r="I285" s="3" t="n">
        <v>-0.350546</v>
      </c>
      <c r="J285" s="3" t="n"/>
      <c r="K285" s="3" t="n"/>
      <c r="L285" s="3" t="n"/>
      <c r="M285" s="3" t="n"/>
      <c r="N285" s="3" t="inlineStr">
        <is>
          <t>C4</t>
        </is>
      </c>
      <c r="O285" s="3" t="inlineStr">
        <is>
          <t>no</t>
        </is>
      </c>
      <c r="P285" s="3" t="inlineStr">
        <is>
          <t>no_compite</t>
        </is>
      </c>
      <c r="Q285" s="3" t="inlineStr">
        <is>
          <t>ols_solo_factor</t>
        </is>
      </c>
      <c r="R285" s="3" t="n"/>
      <c r="S285" s="3" t="inlineStr">
        <is>
          <t>contraste regional (R6); no vota</t>
        </is>
      </c>
      <c r="T285" s="3" t="inlineStr">
        <is>
          <t>output/v8/F5/atribucion_combinada.csv</t>
        </is>
      </c>
      <c r="U285" s="2">
        <f>IF(R285=0,"",F285/R285)</f>
        <v/>
      </c>
      <c r="V285" s="2">
        <f>SUMIFS(F$2:F$1589,A$2:A$1589,A285,C$2:C$1589,C285,E$2:E$1589,E285,Q$2:Q$1589,Q285)</f>
        <v/>
      </c>
    </row>
    <row r="286">
      <c r="A286" s="3" t="inlineStr">
        <is>
          <t>compra</t>
        </is>
      </c>
      <c r="B286" s="3" t="inlineStr">
        <is>
          <t>ccaa:01</t>
        </is>
      </c>
      <c r="C286" s="3" t="inlineStr">
        <is>
          <t>P2</t>
        </is>
      </c>
      <c r="D286" s="3" t="inlineStr">
        <is>
          <t>factor_comun</t>
        </is>
      </c>
      <c r="E286" s="3" t="inlineStr">
        <is>
          <t>regional_ccaa_ols</t>
        </is>
      </c>
      <c r="F286" s="3" t="n">
        <v>-46.0157</v>
      </c>
      <c r="G286" s="3" t="n"/>
      <c r="H286" s="3" t="n"/>
      <c r="I286" s="3" t="n">
        <v>1.00504</v>
      </c>
      <c r="J286" s="3" t="n">
        <v>-53.9621</v>
      </c>
      <c r="K286" s="3" t="n">
        <v>-33.8384</v>
      </c>
      <c r="L286" s="3" t="n">
        <v>-61.4932</v>
      </c>
      <c r="M286" s="3" t="n">
        <v>-25.257</v>
      </c>
      <c r="N286" s="3" t="inlineStr">
        <is>
          <t>C4</t>
        </is>
      </c>
      <c r="O286" s="3" t="inlineStr">
        <is>
          <t>no</t>
        </is>
      </c>
      <c r="P286" s="3" t="inlineStr">
        <is>
          <t>no_compite</t>
        </is>
      </c>
      <c r="Q286" s="3" t="inlineStr">
        <is>
          <t>ols_solo_factor</t>
        </is>
      </c>
      <c r="R286" s="3" t="n"/>
      <c r="S286" s="3" t="inlineStr">
        <is>
          <t>contraste regional (R6); no vota</t>
        </is>
      </c>
      <c r="T286" s="3" t="inlineStr">
        <is>
          <t>output/v8/F5/atribucion_combinada.csv</t>
        </is>
      </c>
      <c r="U286" s="2">
        <f>IF(R286=0,"",F286/R286)</f>
        <v/>
      </c>
      <c r="V286" s="2">
        <f>SUMIFS(F$2:F$1589,A$2:A$1589,A286,C$2:C$1589,C286,E$2:E$1589,E286,Q$2:Q$1589,Q286)</f>
        <v/>
      </c>
    </row>
    <row r="287">
      <c r="A287" s="3" t="inlineStr">
        <is>
          <t>compra</t>
        </is>
      </c>
      <c r="B287" s="3" t="inlineStr">
        <is>
          <t>ccaa:01</t>
        </is>
      </c>
      <c r="C287" s="3" t="inlineStr">
        <is>
          <t>P2</t>
        </is>
      </c>
      <c r="D287" s="3" t="inlineStr">
        <is>
          <t>residuo</t>
        </is>
      </c>
      <c r="E287" s="3" t="inlineStr">
        <is>
          <t>regional_ccaa_ols</t>
        </is>
      </c>
      <c r="F287" s="3" t="n">
        <v>0.230544</v>
      </c>
      <c r="G287" s="3" t="n"/>
      <c r="H287" s="3" t="n"/>
      <c r="I287" s="3" t="n">
        <v>-0.00503535</v>
      </c>
      <c r="J287" s="3" t="n"/>
      <c r="K287" s="3" t="n"/>
      <c r="L287" s="3" t="n"/>
      <c r="M287" s="3" t="n"/>
      <c r="N287" s="3" t="inlineStr">
        <is>
          <t>C4</t>
        </is>
      </c>
      <c r="O287" s="3" t="inlineStr">
        <is>
          <t>no</t>
        </is>
      </c>
      <c r="P287" s="3" t="inlineStr">
        <is>
          <t>no_compite</t>
        </is>
      </c>
      <c r="Q287" s="3" t="inlineStr">
        <is>
          <t>ols_solo_factor</t>
        </is>
      </c>
      <c r="R287" s="3" t="n"/>
      <c r="S287" s="3" t="inlineStr">
        <is>
          <t>contraste regional (R6); no vota</t>
        </is>
      </c>
      <c r="T287" s="3" t="inlineStr">
        <is>
          <t>output/v8/F5/atribucion_combinada.csv</t>
        </is>
      </c>
      <c r="U287" s="2">
        <f>IF(R287=0,"",F287/R287)</f>
        <v/>
      </c>
      <c r="V287" s="2">
        <f>SUMIFS(F$2:F$1589,A$2:A$1589,A287,C$2:C$1589,C287,E$2:E$1589,E287,Q$2:Q$1589,Q287)</f>
        <v/>
      </c>
    </row>
    <row r="288">
      <c r="A288" s="3" t="inlineStr">
        <is>
          <t>compra</t>
        </is>
      </c>
      <c r="B288" s="3" t="inlineStr">
        <is>
          <t>ccaa:02</t>
        </is>
      </c>
      <c r="C288" s="3" t="inlineStr">
        <is>
          <t>P2</t>
        </is>
      </c>
      <c r="D288" s="3" t="inlineStr">
        <is>
          <t>factor_comun</t>
        </is>
      </c>
      <c r="E288" s="3" t="inlineStr">
        <is>
          <t>regional_ccaa_ols</t>
        </is>
      </c>
      <c r="F288" s="3" t="n">
        <v>-47.8929</v>
      </c>
      <c r="G288" s="3" t="n"/>
      <c r="H288" s="3" t="n"/>
      <c r="I288" s="3" t="n">
        <v>0.853577</v>
      </c>
      <c r="J288" s="3" t="n">
        <v>-52.7412</v>
      </c>
      <c r="K288" s="3" t="n">
        <v>-42.0115</v>
      </c>
      <c r="L288" s="3" t="n">
        <v>-55.4552</v>
      </c>
      <c r="M288" s="3" t="n">
        <v>-36.6014</v>
      </c>
      <c r="N288" s="3" t="inlineStr">
        <is>
          <t>C4</t>
        </is>
      </c>
      <c r="O288" s="3" t="inlineStr">
        <is>
          <t>no</t>
        </is>
      </c>
      <c r="P288" s="3" t="inlineStr">
        <is>
          <t>no_compite</t>
        </is>
      </c>
      <c r="Q288" s="3" t="inlineStr">
        <is>
          <t>ols_solo_factor</t>
        </is>
      </c>
      <c r="R288" s="3" t="n"/>
      <c r="S288" s="3" t="inlineStr">
        <is>
          <t>contraste regional (R6); no vota</t>
        </is>
      </c>
      <c r="T288" s="3" t="inlineStr">
        <is>
          <t>output/v8/F5/atribucion_combinada.csv</t>
        </is>
      </c>
      <c r="U288" s="2">
        <f>IF(R288=0,"",F288/R288)</f>
        <v/>
      </c>
      <c r="V288" s="2">
        <f>SUMIFS(F$2:F$1589,A$2:A$1589,A288,C$2:C$1589,C288,E$2:E$1589,E288,Q$2:Q$1589,Q288)</f>
        <v/>
      </c>
    </row>
    <row r="289">
      <c r="A289" s="3" t="inlineStr">
        <is>
          <t>compra</t>
        </is>
      </c>
      <c r="B289" s="3" t="inlineStr">
        <is>
          <t>ccaa:02</t>
        </is>
      </c>
      <c r="C289" s="3" t="inlineStr">
        <is>
          <t>P2</t>
        </is>
      </c>
      <c r="D289" s="3" t="inlineStr">
        <is>
          <t>residuo</t>
        </is>
      </c>
      <c r="E289" s="3" t="inlineStr">
        <is>
          <t>regional_ccaa_ols</t>
        </is>
      </c>
      <c r="F289" s="3" t="n">
        <v>-8.2156</v>
      </c>
      <c r="G289" s="3" t="n"/>
      <c r="H289" s="3" t="n"/>
      <c r="I289" s="3" t="n">
        <v>0.146423</v>
      </c>
      <c r="J289" s="3" t="n"/>
      <c r="K289" s="3" t="n"/>
      <c r="L289" s="3" t="n"/>
      <c r="M289" s="3" t="n"/>
      <c r="N289" s="3" t="inlineStr">
        <is>
          <t>C4</t>
        </is>
      </c>
      <c r="O289" s="3" t="inlineStr">
        <is>
          <t>no</t>
        </is>
      </c>
      <c r="P289" s="3" t="inlineStr">
        <is>
          <t>no_compite</t>
        </is>
      </c>
      <c r="Q289" s="3" t="inlineStr">
        <is>
          <t>ols_solo_factor</t>
        </is>
      </c>
      <c r="R289" s="3" t="n"/>
      <c r="S289" s="3" t="inlineStr">
        <is>
          <t>contraste regional (R6); no vota</t>
        </is>
      </c>
      <c r="T289" s="3" t="inlineStr">
        <is>
          <t>output/v8/F5/atribucion_combinada.csv</t>
        </is>
      </c>
      <c r="U289" s="2">
        <f>IF(R289=0,"",F289/R289)</f>
        <v/>
      </c>
      <c r="V289" s="2">
        <f>SUMIFS(F$2:F$1589,A$2:A$1589,A289,C$2:C$1589,C289,E$2:E$1589,E289,Q$2:Q$1589,Q289)</f>
        <v/>
      </c>
    </row>
    <row r="290">
      <c r="A290" s="3" t="inlineStr">
        <is>
          <t>compra</t>
        </is>
      </c>
      <c r="B290" s="3" t="inlineStr">
        <is>
          <t>ccaa:03</t>
        </is>
      </c>
      <c r="C290" s="3" t="inlineStr">
        <is>
          <t>P2</t>
        </is>
      </c>
      <c r="D290" s="3" t="inlineStr">
        <is>
          <t>factor_comun</t>
        </is>
      </c>
      <c r="E290" s="3" t="inlineStr">
        <is>
          <t>regional_ccaa_ols</t>
        </is>
      </c>
      <c r="F290" s="3" t="n">
        <v>-43.4172</v>
      </c>
      <c r="G290" s="3" t="n"/>
      <c r="H290" s="3" t="n"/>
      <c r="I290" s="3" t="n">
        <v>1.22308</v>
      </c>
      <c r="J290" s="3" t="n">
        <v>-53.8182</v>
      </c>
      <c r="K290" s="3" t="n">
        <v>-31.8202</v>
      </c>
      <c r="L290" s="3" t="n">
        <v>-59.7166</v>
      </c>
      <c r="M290" s="3" t="n">
        <v>-22.0611</v>
      </c>
      <c r="N290" s="3" t="inlineStr">
        <is>
          <t>C4</t>
        </is>
      </c>
      <c r="O290" s="3" t="inlineStr">
        <is>
          <t>no</t>
        </is>
      </c>
      <c r="P290" s="3" t="inlineStr">
        <is>
          <t>no_compite</t>
        </is>
      </c>
      <c r="Q290" s="3" t="inlineStr">
        <is>
          <t>ols_solo_factor</t>
        </is>
      </c>
      <c r="R290" s="3" t="n"/>
      <c r="S290" s="3" t="inlineStr">
        <is>
          <t>contraste regional (R6); no vota</t>
        </is>
      </c>
      <c r="T290" s="3" t="inlineStr">
        <is>
          <t>output/v8/F5/atribucion_combinada.csv</t>
        </is>
      </c>
      <c r="U290" s="2">
        <f>IF(R290=0,"",F290/R290)</f>
        <v/>
      </c>
      <c r="V290" s="2">
        <f>SUMIFS(F$2:F$1589,A$2:A$1589,A290,C$2:C$1589,C290,E$2:E$1589,E290,Q$2:Q$1589,Q290)</f>
        <v/>
      </c>
    </row>
    <row r="291">
      <c r="A291" s="3" t="inlineStr">
        <is>
          <t>compra</t>
        </is>
      </c>
      <c r="B291" s="3" t="inlineStr">
        <is>
          <t>ccaa:03</t>
        </is>
      </c>
      <c r="C291" s="3" t="inlineStr">
        <is>
          <t>P2</t>
        </is>
      </c>
      <c r="D291" s="3" t="inlineStr">
        <is>
          <t>residuo</t>
        </is>
      </c>
      <c r="E291" s="3" t="inlineStr">
        <is>
          <t>regional_ccaa_ols</t>
        </is>
      </c>
      <c r="F291" s="3" t="n">
        <v>7.91886</v>
      </c>
      <c r="G291" s="3" t="n"/>
      <c r="H291" s="3" t="n"/>
      <c r="I291" s="3" t="n">
        <v>-0.223077</v>
      </c>
      <c r="J291" s="3" t="n"/>
      <c r="K291" s="3" t="n"/>
      <c r="L291" s="3" t="n"/>
      <c r="M291" s="3" t="n"/>
      <c r="N291" s="3" t="inlineStr">
        <is>
          <t>C4</t>
        </is>
      </c>
      <c r="O291" s="3" t="inlineStr">
        <is>
          <t>no</t>
        </is>
      </c>
      <c r="P291" s="3" t="inlineStr">
        <is>
          <t>no_compite</t>
        </is>
      </c>
      <c r="Q291" s="3" t="inlineStr">
        <is>
          <t>ols_solo_factor</t>
        </is>
      </c>
      <c r="R291" s="3" t="n"/>
      <c r="S291" s="3" t="inlineStr">
        <is>
          <t>contraste regional (R6); no vota</t>
        </is>
      </c>
      <c r="T291" s="3" t="inlineStr">
        <is>
          <t>output/v8/F5/atribucion_combinada.csv</t>
        </is>
      </c>
      <c r="U291" s="2">
        <f>IF(R291=0,"",F291/R291)</f>
        <v/>
      </c>
      <c r="V291" s="2">
        <f>SUMIFS(F$2:F$1589,A$2:A$1589,A291,C$2:C$1589,C291,E$2:E$1589,E291,Q$2:Q$1589,Q291)</f>
        <v/>
      </c>
    </row>
    <row r="292">
      <c r="A292" s="3" t="inlineStr">
        <is>
          <t>compra</t>
        </is>
      </c>
      <c r="B292" s="3" t="inlineStr">
        <is>
          <t>ccaa:04</t>
        </is>
      </c>
      <c r="C292" s="3" t="inlineStr">
        <is>
          <t>P2</t>
        </is>
      </c>
      <c r="D292" s="3" t="inlineStr">
        <is>
          <t>factor_comun</t>
        </is>
      </c>
      <c r="E292" s="3" t="inlineStr">
        <is>
          <t>regional_ccaa_ols</t>
        </is>
      </c>
      <c r="F292" s="3" t="n">
        <v>-33.1477</v>
      </c>
      <c r="G292" s="3" t="n"/>
      <c r="H292" s="3" t="n"/>
      <c r="I292" s="3" t="n">
        <v>0.916034</v>
      </c>
      <c r="J292" s="3" t="n">
        <v>-49.0133</v>
      </c>
      <c r="K292" s="3" t="n">
        <v>-20.3844</v>
      </c>
      <c r="L292" s="3" t="n">
        <v>-67.06100000000001</v>
      </c>
      <c r="M292" s="3" t="n">
        <v>-14.0489</v>
      </c>
      <c r="N292" s="3" t="inlineStr">
        <is>
          <t>C4</t>
        </is>
      </c>
      <c r="O292" s="3" t="inlineStr">
        <is>
          <t>no</t>
        </is>
      </c>
      <c r="P292" s="3" t="inlineStr">
        <is>
          <t>no_compite</t>
        </is>
      </c>
      <c r="Q292" s="3" t="inlineStr">
        <is>
          <t>ols_solo_factor</t>
        </is>
      </c>
      <c r="R292" s="3" t="n"/>
      <c r="S292" s="3" t="inlineStr">
        <is>
          <t>contraste regional (R6); no vota</t>
        </is>
      </c>
      <c r="T292" s="3" t="inlineStr">
        <is>
          <t>output/v8/F5/atribucion_combinada.csv</t>
        </is>
      </c>
      <c r="U292" s="2">
        <f>IF(R292=0,"",F292/R292)</f>
        <v/>
      </c>
      <c r="V292" s="2">
        <f>SUMIFS(F$2:F$1589,A$2:A$1589,A292,C$2:C$1589,C292,E$2:E$1589,E292,Q$2:Q$1589,Q292)</f>
        <v/>
      </c>
    </row>
    <row r="293">
      <c r="A293" s="3" t="inlineStr">
        <is>
          <t>compra</t>
        </is>
      </c>
      <c r="B293" s="3" t="inlineStr">
        <is>
          <t>ccaa:04</t>
        </is>
      </c>
      <c r="C293" s="3" t="inlineStr">
        <is>
          <t>P2</t>
        </is>
      </c>
      <c r="D293" s="3" t="inlineStr">
        <is>
          <t>residuo</t>
        </is>
      </c>
      <c r="E293" s="3" t="inlineStr">
        <is>
          <t>regional_ccaa_ols</t>
        </is>
      </c>
      <c r="F293" s="3" t="n">
        <v>-3.03841</v>
      </c>
      <c r="G293" s="3" t="n"/>
      <c r="H293" s="3" t="n"/>
      <c r="I293" s="3" t="n">
        <v>0.0839662</v>
      </c>
      <c r="J293" s="3" t="n"/>
      <c r="K293" s="3" t="n"/>
      <c r="L293" s="3" t="n"/>
      <c r="M293" s="3" t="n"/>
      <c r="N293" s="3" t="inlineStr">
        <is>
          <t>C4</t>
        </is>
      </c>
      <c r="O293" s="3" t="inlineStr">
        <is>
          <t>no</t>
        </is>
      </c>
      <c r="P293" s="3" t="inlineStr">
        <is>
          <t>no_compite</t>
        </is>
      </c>
      <c r="Q293" s="3" t="inlineStr">
        <is>
          <t>ols_solo_factor</t>
        </is>
      </c>
      <c r="R293" s="3" t="n"/>
      <c r="S293" s="3" t="inlineStr">
        <is>
          <t>contraste regional (R6); no vota</t>
        </is>
      </c>
      <c r="T293" s="3" t="inlineStr">
        <is>
          <t>output/v8/F5/atribucion_combinada.csv</t>
        </is>
      </c>
      <c r="U293" s="2">
        <f>IF(R293=0,"",F293/R293)</f>
        <v/>
      </c>
      <c r="V293" s="2">
        <f>SUMIFS(F$2:F$1589,A$2:A$1589,A293,C$2:C$1589,C293,E$2:E$1589,E293,Q$2:Q$1589,Q293)</f>
        <v/>
      </c>
    </row>
    <row r="294">
      <c r="A294" s="3" t="inlineStr">
        <is>
          <t>compra</t>
        </is>
      </c>
      <c r="B294" s="3" t="inlineStr">
        <is>
          <t>ccaa:05</t>
        </is>
      </c>
      <c r="C294" s="3" t="inlineStr">
        <is>
          <t>P2</t>
        </is>
      </c>
      <c r="D294" s="3" t="inlineStr">
        <is>
          <t>factor_comun</t>
        </is>
      </c>
      <c r="E294" s="3" t="inlineStr">
        <is>
          <t>regional_ccaa_ols</t>
        </is>
      </c>
      <c r="F294" s="3" t="n">
        <v>-42.4134</v>
      </c>
      <c r="G294" s="3" t="n"/>
      <c r="H294" s="3" t="n"/>
      <c r="I294" s="3" t="n">
        <v>0.92247</v>
      </c>
      <c r="J294" s="3" t="n">
        <v>-63.345</v>
      </c>
      <c r="K294" s="3" t="n">
        <v>-22.1078</v>
      </c>
      <c r="L294" s="3" t="n">
        <v>-77.38290000000001</v>
      </c>
      <c r="M294" s="3" t="n">
        <v>-4.09555</v>
      </c>
      <c r="N294" s="3" t="inlineStr">
        <is>
          <t>C4</t>
        </is>
      </c>
      <c r="O294" s="3" t="inlineStr">
        <is>
          <t>no</t>
        </is>
      </c>
      <c r="P294" s="3" t="inlineStr">
        <is>
          <t>no_compite</t>
        </is>
      </c>
      <c r="Q294" s="3" t="inlineStr">
        <is>
          <t>ols_solo_factor</t>
        </is>
      </c>
      <c r="R294" s="3" t="n"/>
      <c r="S294" s="3" t="inlineStr">
        <is>
          <t>contraste regional (R6); no vota</t>
        </is>
      </c>
      <c r="T294" s="3" t="inlineStr">
        <is>
          <t>output/v8/F5/atribucion_combinada.csv</t>
        </is>
      </c>
      <c r="U294" s="2">
        <f>IF(R294=0,"",F294/R294)</f>
        <v/>
      </c>
      <c r="V294" s="2">
        <f>SUMIFS(F$2:F$1589,A$2:A$1589,A294,C$2:C$1589,C294,E$2:E$1589,E294,Q$2:Q$1589,Q294)</f>
        <v/>
      </c>
    </row>
    <row r="295">
      <c r="A295" s="3" t="inlineStr">
        <is>
          <t>compra</t>
        </is>
      </c>
      <c r="B295" s="3" t="inlineStr">
        <is>
          <t>ccaa:05</t>
        </is>
      </c>
      <c r="C295" s="3" t="inlineStr">
        <is>
          <t>P2</t>
        </is>
      </c>
      <c r="D295" s="3" t="inlineStr">
        <is>
          <t>residuo</t>
        </is>
      </c>
      <c r="E295" s="3" t="inlineStr">
        <is>
          <t>regional_ccaa_ols</t>
        </is>
      </c>
      <c r="F295" s="3" t="n">
        <v>-3.56466</v>
      </c>
      <c r="G295" s="3" t="n"/>
      <c r="H295" s="3" t="n"/>
      <c r="I295" s="3" t="n">
        <v>0.0775296</v>
      </c>
      <c r="J295" s="3" t="n"/>
      <c r="K295" s="3" t="n"/>
      <c r="L295" s="3" t="n"/>
      <c r="M295" s="3" t="n"/>
      <c r="N295" s="3" t="inlineStr">
        <is>
          <t>C4</t>
        </is>
      </c>
      <c r="O295" s="3" t="inlineStr">
        <is>
          <t>no</t>
        </is>
      </c>
      <c r="P295" s="3" t="inlineStr">
        <is>
          <t>no_compite</t>
        </is>
      </c>
      <c r="Q295" s="3" t="inlineStr">
        <is>
          <t>ols_solo_factor</t>
        </is>
      </c>
      <c r="R295" s="3" t="n"/>
      <c r="S295" s="3" t="inlineStr">
        <is>
          <t>contraste regional (R6); no vota</t>
        </is>
      </c>
      <c r="T295" s="3" t="inlineStr">
        <is>
          <t>output/v8/F5/atribucion_combinada.csv</t>
        </is>
      </c>
      <c r="U295" s="2">
        <f>IF(R295=0,"",F295/R295)</f>
        <v/>
      </c>
      <c r="V295" s="2">
        <f>SUMIFS(F$2:F$1589,A$2:A$1589,A295,C$2:C$1589,C295,E$2:E$1589,E295,Q$2:Q$1589,Q295)</f>
        <v/>
      </c>
    </row>
    <row r="296">
      <c r="A296" s="3" t="inlineStr">
        <is>
          <t>compra</t>
        </is>
      </c>
      <c r="B296" s="3" t="inlineStr">
        <is>
          <t>ccaa:06</t>
        </is>
      </c>
      <c r="C296" s="3" t="inlineStr">
        <is>
          <t>P2</t>
        </is>
      </c>
      <c r="D296" s="3" t="inlineStr">
        <is>
          <t>factor_comun</t>
        </is>
      </c>
      <c r="E296" s="3" t="inlineStr">
        <is>
          <t>regional_ccaa_ols</t>
        </is>
      </c>
      <c r="F296" s="3" t="n">
        <v>-33.3015</v>
      </c>
      <c r="G296" s="3" t="n"/>
      <c r="H296" s="3" t="n"/>
      <c r="I296" s="3" t="n">
        <v>0.839944</v>
      </c>
      <c r="J296" s="3" t="n">
        <v>-52.0362</v>
      </c>
      <c r="K296" s="3" t="n">
        <v>-12.3903</v>
      </c>
      <c r="L296" s="3" t="n">
        <v>-63.8681</v>
      </c>
      <c r="M296" s="3" t="n">
        <v>2.9391</v>
      </c>
      <c r="N296" s="3" t="inlineStr">
        <is>
          <t>C4</t>
        </is>
      </c>
      <c r="O296" s="3" t="inlineStr">
        <is>
          <t>no</t>
        </is>
      </c>
      <c r="P296" s="3" t="inlineStr">
        <is>
          <t>no_compite</t>
        </is>
      </c>
      <c r="Q296" s="3" t="inlineStr">
        <is>
          <t>ols_solo_factor</t>
        </is>
      </c>
      <c r="R296" s="3" t="n"/>
      <c r="S296" s="3" t="inlineStr">
        <is>
          <t>contraste regional (R6); no vota</t>
        </is>
      </c>
      <c r="T296" s="3" t="inlineStr">
        <is>
          <t>output/v8/F5/atribucion_combinada.csv</t>
        </is>
      </c>
      <c r="U296" s="2">
        <f>IF(R296=0,"",F296/R296)</f>
        <v/>
      </c>
      <c r="V296" s="2">
        <f>SUMIFS(F$2:F$1589,A$2:A$1589,A296,C$2:C$1589,C296,E$2:E$1589,E296,Q$2:Q$1589,Q296)</f>
        <v/>
      </c>
    </row>
    <row r="297">
      <c r="A297" s="3" t="inlineStr">
        <is>
          <t>compra</t>
        </is>
      </c>
      <c r="B297" s="3" t="inlineStr">
        <is>
          <t>ccaa:06</t>
        </is>
      </c>
      <c r="C297" s="3" t="inlineStr">
        <is>
          <t>P2</t>
        </is>
      </c>
      <c r="D297" s="3" t="inlineStr">
        <is>
          <t>residuo</t>
        </is>
      </c>
      <c r="E297" s="3" t="inlineStr">
        <is>
          <t>regional_ccaa_ols</t>
        </is>
      </c>
      <c r="F297" s="3" t="n">
        <v>-6.34578</v>
      </c>
      <c r="G297" s="3" t="n"/>
      <c r="H297" s="3" t="n"/>
      <c r="I297" s="3" t="n">
        <v>0.160056</v>
      </c>
      <c r="J297" s="3" t="n"/>
      <c r="K297" s="3" t="n"/>
      <c r="L297" s="3" t="n"/>
      <c r="M297" s="3" t="n"/>
      <c r="N297" s="3" t="inlineStr">
        <is>
          <t>C4</t>
        </is>
      </c>
      <c r="O297" s="3" t="inlineStr">
        <is>
          <t>no</t>
        </is>
      </c>
      <c r="P297" s="3" t="inlineStr">
        <is>
          <t>no_compite</t>
        </is>
      </c>
      <c r="Q297" s="3" t="inlineStr">
        <is>
          <t>ols_solo_factor</t>
        </is>
      </c>
      <c r="R297" s="3" t="n"/>
      <c r="S297" s="3" t="inlineStr">
        <is>
          <t>contraste regional (R6); no vota</t>
        </is>
      </c>
      <c r="T297" s="3" t="inlineStr">
        <is>
          <t>output/v8/F5/atribucion_combinada.csv</t>
        </is>
      </c>
      <c r="U297" s="2">
        <f>IF(R297=0,"",F297/R297)</f>
        <v/>
      </c>
      <c r="V297" s="2">
        <f>SUMIFS(F$2:F$1589,A$2:A$1589,A297,C$2:C$1589,C297,E$2:E$1589,E297,Q$2:Q$1589,Q297)</f>
        <v/>
      </c>
    </row>
    <row r="298">
      <c r="A298" s="3" t="inlineStr">
        <is>
          <t>compra</t>
        </is>
      </c>
      <c r="B298" s="3" t="inlineStr">
        <is>
          <t>ccaa:07</t>
        </is>
      </c>
      <c r="C298" s="3" t="inlineStr">
        <is>
          <t>P2</t>
        </is>
      </c>
      <c r="D298" s="3" t="inlineStr">
        <is>
          <t>factor_comun</t>
        </is>
      </c>
      <c r="E298" s="3" t="inlineStr">
        <is>
          <t>regional_ccaa_ols</t>
        </is>
      </c>
      <c r="F298" s="3" t="n">
        <v>-33.8815</v>
      </c>
      <c r="G298" s="3" t="n"/>
      <c r="H298" s="3" t="n"/>
      <c r="I298" s="3" t="n">
        <v>0.836757</v>
      </c>
      <c r="J298" s="3" t="n">
        <v>-44.3357</v>
      </c>
      <c r="K298" s="3" t="n">
        <v>-23.8913</v>
      </c>
      <c r="L298" s="3" t="n">
        <v>-49.5951</v>
      </c>
      <c r="M298" s="3" t="n">
        <v>-14.03</v>
      </c>
      <c r="N298" s="3" t="inlineStr">
        <is>
          <t>C4</t>
        </is>
      </c>
      <c r="O298" s="3" t="inlineStr">
        <is>
          <t>no</t>
        </is>
      </c>
      <c r="P298" s="3" t="inlineStr">
        <is>
          <t>no_compite</t>
        </is>
      </c>
      <c r="Q298" s="3" t="inlineStr">
        <is>
          <t>ols_solo_factor</t>
        </is>
      </c>
      <c r="R298" s="3" t="n"/>
      <c r="S298" s="3" t="inlineStr">
        <is>
          <t>contraste regional (R6); no vota</t>
        </is>
      </c>
      <c r="T298" s="3" t="inlineStr">
        <is>
          <t>output/v8/F5/atribucion_combinada.csv</t>
        </is>
      </c>
      <c r="U298" s="2">
        <f>IF(R298=0,"",F298/R298)</f>
        <v/>
      </c>
      <c r="V298" s="2">
        <f>SUMIFS(F$2:F$1589,A$2:A$1589,A298,C$2:C$1589,C298,E$2:E$1589,E298,Q$2:Q$1589,Q298)</f>
        <v/>
      </c>
    </row>
    <row r="299">
      <c r="A299" s="3" t="inlineStr">
        <is>
          <t>compra</t>
        </is>
      </c>
      <c r="B299" s="3" t="inlineStr">
        <is>
          <t>ccaa:07</t>
        </is>
      </c>
      <c r="C299" s="3" t="inlineStr">
        <is>
          <t>P2</t>
        </is>
      </c>
      <c r="D299" s="3" t="inlineStr">
        <is>
          <t>residuo</t>
        </is>
      </c>
      <c r="E299" s="3" t="inlineStr">
        <is>
          <t>regional_ccaa_ols</t>
        </is>
      </c>
      <c r="F299" s="3" t="n">
        <v>-6.60996</v>
      </c>
      <c r="G299" s="3" t="n"/>
      <c r="H299" s="3" t="n"/>
      <c r="I299" s="3" t="n">
        <v>0.163243</v>
      </c>
      <c r="J299" s="3" t="n"/>
      <c r="K299" s="3" t="n"/>
      <c r="L299" s="3" t="n"/>
      <c r="M299" s="3" t="n"/>
      <c r="N299" s="3" t="inlineStr">
        <is>
          <t>C4</t>
        </is>
      </c>
      <c r="O299" s="3" t="inlineStr">
        <is>
          <t>no</t>
        </is>
      </c>
      <c r="P299" s="3" t="inlineStr">
        <is>
          <t>no_compite</t>
        </is>
      </c>
      <c r="Q299" s="3" t="inlineStr">
        <is>
          <t>ols_solo_factor</t>
        </is>
      </c>
      <c r="R299" s="3" t="n"/>
      <c r="S299" s="3" t="inlineStr">
        <is>
          <t>contraste regional (R6); no vota</t>
        </is>
      </c>
      <c r="T299" s="3" t="inlineStr">
        <is>
          <t>output/v8/F5/atribucion_combinada.csv</t>
        </is>
      </c>
      <c r="U299" s="2">
        <f>IF(R299=0,"",F299/R299)</f>
        <v/>
      </c>
      <c r="V299" s="2">
        <f>SUMIFS(F$2:F$1589,A$2:A$1589,A299,C$2:C$1589,C299,E$2:E$1589,E299,Q$2:Q$1589,Q299)</f>
        <v/>
      </c>
    </row>
    <row r="300">
      <c r="A300" s="3" t="inlineStr">
        <is>
          <t>compra</t>
        </is>
      </c>
      <c r="B300" s="3" t="inlineStr">
        <is>
          <t>ccaa:08</t>
        </is>
      </c>
      <c r="C300" s="3" t="inlineStr">
        <is>
          <t>P2</t>
        </is>
      </c>
      <c r="D300" s="3" t="inlineStr">
        <is>
          <t>factor_comun</t>
        </is>
      </c>
      <c r="E300" s="3" t="inlineStr">
        <is>
          <t>regional_ccaa_ols</t>
        </is>
      </c>
      <c r="F300" s="3" t="n">
        <v>-53.8136</v>
      </c>
      <c r="G300" s="3" t="n"/>
      <c r="H300" s="3" t="n"/>
      <c r="I300" s="3" t="n">
        <v>1.02635</v>
      </c>
      <c r="J300" s="3" t="n">
        <v>-69.9731</v>
      </c>
      <c r="K300" s="3" t="n">
        <v>-36.8515</v>
      </c>
      <c r="L300" s="3" t="n">
        <v>-76.64790000000001</v>
      </c>
      <c r="M300" s="3" t="n">
        <v>-24.1622</v>
      </c>
      <c r="N300" s="3" t="inlineStr">
        <is>
          <t>C4</t>
        </is>
      </c>
      <c r="O300" s="3" t="inlineStr">
        <is>
          <t>no</t>
        </is>
      </c>
      <c r="P300" s="3" t="inlineStr">
        <is>
          <t>no_compite</t>
        </is>
      </c>
      <c r="Q300" s="3" t="inlineStr">
        <is>
          <t>ols_solo_factor</t>
        </is>
      </c>
      <c r="R300" s="3" t="n"/>
      <c r="S300" s="3" t="inlineStr">
        <is>
          <t>contraste regional (R6); no vota</t>
        </is>
      </c>
      <c r="T300" s="3" t="inlineStr">
        <is>
          <t>output/v8/F5/atribucion_combinada.csv</t>
        </is>
      </c>
      <c r="U300" s="2">
        <f>IF(R300=0,"",F300/R300)</f>
        <v/>
      </c>
      <c r="V300" s="2">
        <f>SUMIFS(F$2:F$1589,A$2:A$1589,A300,C$2:C$1589,C300,E$2:E$1589,E300,Q$2:Q$1589,Q300)</f>
        <v/>
      </c>
    </row>
    <row r="301">
      <c r="A301" s="3" t="inlineStr">
        <is>
          <t>compra</t>
        </is>
      </c>
      <c r="B301" s="3" t="inlineStr">
        <is>
          <t>ccaa:08</t>
        </is>
      </c>
      <c r="C301" s="3" t="inlineStr">
        <is>
          <t>P2</t>
        </is>
      </c>
      <c r="D301" s="3" t="inlineStr">
        <is>
          <t>residuo</t>
        </is>
      </c>
      <c r="E301" s="3" t="inlineStr">
        <is>
          <t>regional_ccaa_ols</t>
        </is>
      </c>
      <c r="F301" s="3" t="n">
        <v>1.38149</v>
      </c>
      <c r="G301" s="3" t="n"/>
      <c r="H301" s="3" t="n"/>
      <c r="I301" s="3" t="n">
        <v>-0.0263482</v>
      </c>
      <c r="J301" s="3" t="n"/>
      <c r="K301" s="3" t="n"/>
      <c r="L301" s="3" t="n"/>
      <c r="M301" s="3" t="n"/>
      <c r="N301" s="3" t="inlineStr">
        <is>
          <t>C4</t>
        </is>
      </c>
      <c r="O301" s="3" t="inlineStr">
        <is>
          <t>no</t>
        </is>
      </c>
      <c r="P301" s="3" t="inlineStr">
        <is>
          <t>no_compite</t>
        </is>
      </c>
      <c r="Q301" s="3" t="inlineStr">
        <is>
          <t>ols_solo_factor</t>
        </is>
      </c>
      <c r="R301" s="3" t="n"/>
      <c r="S301" s="3" t="inlineStr">
        <is>
          <t>contraste regional (R6); no vota</t>
        </is>
      </c>
      <c r="T301" s="3" t="inlineStr">
        <is>
          <t>output/v8/F5/atribucion_combinada.csv</t>
        </is>
      </c>
      <c r="U301" s="2">
        <f>IF(R301=0,"",F301/R301)</f>
        <v/>
      </c>
      <c r="V301" s="2">
        <f>SUMIFS(F$2:F$1589,A$2:A$1589,A301,C$2:C$1589,C301,E$2:E$1589,E301,Q$2:Q$1589,Q301)</f>
        <v/>
      </c>
    </row>
    <row r="302">
      <c r="A302" s="3" t="inlineStr">
        <is>
          <t>compra</t>
        </is>
      </c>
      <c r="B302" s="3" t="inlineStr">
        <is>
          <t>ccaa:09</t>
        </is>
      </c>
      <c r="C302" s="3" t="inlineStr">
        <is>
          <t>P2</t>
        </is>
      </c>
      <c r="D302" s="3" t="inlineStr">
        <is>
          <t>factor_comun</t>
        </is>
      </c>
      <c r="E302" s="3" t="inlineStr">
        <is>
          <t>regional_ccaa_ols</t>
        </is>
      </c>
      <c r="F302" s="3" t="n">
        <v>-59.8862</v>
      </c>
      <c r="G302" s="3" t="n"/>
      <c r="H302" s="3" t="n"/>
      <c r="I302" s="3" t="n">
        <v>1.27607</v>
      </c>
      <c r="J302" s="3" t="n">
        <v>-66.8488</v>
      </c>
      <c r="K302" s="3" t="n">
        <v>-50.1486</v>
      </c>
      <c r="L302" s="3" t="n">
        <v>-73.3366</v>
      </c>
      <c r="M302" s="3" t="n">
        <v>-41.3562</v>
      </c>
      <c r="N302" s="3" t="inlineStr">
        <is>
          <t>C4</t>
        </is>
      </c>
      <c r="O302" s="3" t="inlineStr">
        <is>
          <t>no</t>
        </is>
      </c>
      <c r="P302" s="3" t="inlineStr">
        <is>
          <t>no_compite</t>
        </is>
      </c>
      <c r="Q302" s="3" t="inlineStr">
        <is>
          <t>ols_solo_factor</t>
        </is>
      </c>
      <c r="R302" s="3" t="n"/>
      <c r="S302" s="3" t="inlineStr">
        <is>
          <t>contraste regional (R6); no vota</t>
        </is>
      </c>
      <c r="T302" s="3" t="inlineStr">
        <is>
          <t>output/v8/F5/atribucion_combinada.csv</t>
        </is>
      </c>
      <c r="U302" s="2">
        <f>IF(R302=0,"",F302/R302)</f>
        <v/>
      </c>
      <c r="V302" s="2">
        <f>SUMIFS(F$2:F$1589,A$2:A$1589,A302,C$2:C$1589,C302,E$2:E$1589,E302,Q$2:Q$1589,Q302)</f>
        <v/>
      </c>
    </row>
    <row r="303">
      <c r="A303" s="3" t="inlineStr">
        <is>
          <t>compra</t>
        </is>
      </c>
      <c r="B303" s="3" t="inlineStr">
        <is>
          <t>ccaa:09</t>
        </is>
      </c>
      <c r="C303" s="3" t="inlineStr">
        <is>
          <t>P2</t>
        </is>
      </c>
      <c r="D303" s="3" t="inlineStr">
        <is>
          <t>residuo</t>
        </is>
      </c>
      <c r="E303" s="3" t="inlineStr">
        <is>
          <t>regional_ccaa_ols</t>
        </is>
      </c>
      <c r="F303" s="3" t="n">
        <v>12.956</v>
      </c>
      <c r="G303" s="3" t="n"/>
      <c r="H303" s="3" t="n"/>
      <c r="I303" s="3" t="n">
        <v>-0.276069</v>
      </c>
      <c r="J303" s="3" t="n"/>
      <c r="K303" s="3" t="n"/>
      <c r="L303" s="3" t="n"/>
      <c r="M303" s="3" t="n"/>
      <c r="N303" s="3" t="inlineStr">
        <is>
          <t>C4</t>
        </is>
      </c>
      <c r="O303" s="3" t="inlineStr">
        <is>
          <t>no</t>
        </is>
      </c>
      <c r="P303" s="3" t="inlineStr">
        <is>
          <t>no_compite</t>
        </is>
      </c>
      <c r="Q303" s="3" t="inlineStr">
        <is>
          <t>ols_solo_factor</t>
        </is>
      </c>
      <c r="R303" s="3" t="n"/>
      <c r="S303" s="3" t="inlineStr">
        <is>
          <t>contraste regional (R6); no vota</t>
        </is>
      </c>
      <c r="T303" s="3" t="inlineStr">
        <is>
          <t>output/v8/F5/atribucion_combinada.csv</t>
        </is>
      </c>
      <c r="U303" s="2">
        <f>IF(R303=0,"",F303/R303)</f>
        <v/>
      </c>
      <c r="V303" s="2">
        <f>SUMIFS(F$2:F$1589,A$2:A$1589,A303,C$2:C$1589,C303,E$2:E$1589,E303,Q$2:Q$1589,Q303)</f>
        <v/>
      </c>
    </row>
    <row r="304">
      <c r="A304" s="3" t="inlineStr">
        <is>
          <t>compra</t>
        </is>
      </c>
      <c r="B304" s="3" t="inlineStr">
        <is>
          <t>ccaa:10</t>
        </is>
      </c>
      <c r="C304" s="3" t="inlineStr">
        <is>
          <t>P2</t>
        </is>
      </c>
      <c r="D304" s="3" t="inlineStr">
        <is>
          <t>factor_comun</t>
        </is>
      </c>
      <c r="E304" s="3" t="inlineStr">
        <is>
          <t>regional_ccaa_ols</t>
        </is>
      </c>
      <c r="F304" s="3" t="n">
        <v>-54.6502</v>
      </c>
      <c r="G304" s="3" t="n"/>
      <c r="H304" s="3" t="n"/>
      <c r="I304" s="3" t="n">
        <v>1.13071</v>
      </c>
      <c r="J304" s="3" t="n">
        <v>-71.5941</v>
      </c>
      <c r="K304" s="3" t="n">
        <v>-33.9549</v>
      </c>
      <c r="L304" s="3" t="n">
        <v>-81.518</v>
      </c>
      <c r="M304" s="3" t="n">
        <v>-21.5069</v>
      </c>
      <c r="N304" s="3" t="inlineStr">
        <is>
          <t>C4</t>
        </is>
      </c>
      <c r="O304" s="3" t="inlineStr">
        <is>
          <t>no</t>
        </is>
      </c>
      <c r="P304" s="3" t="inlineStr">
        <is>
          <t>no_compite</t>
        </is>
      </c>
      <c r="Q304" s="3" t="inlineStr">
        <is>
          <t>ols_solo_factor</t>
        </is>
      </c>
      <c r="R304" s="3" t="n"/>
      <c r="S304" s="3" t="inlineStr">
        <is>
          <t>contraste regional (R6); no vota</t>
        </is>
      </c>
      <c r="T304" s="3" t="inlineStr">
        <is>
          <t>output/v8/F5/atribucion_combinada.csv</t>
        </is>
      </c>
      <c r="U304" s="2">
        <f>IF(R304=0,"",F304/R304)</f>
        <v/>
      </c>
      <c r="V304" s="2">
        <f>SUMIFS(F$2:F$1589,A$2:A$1589,A304,C$2:C$1589,C304,E$2:E$1589,E304,Q$2:Q$1589,Q304)</f>
        <v/>
      </c>
    </row>
    <row r="305">
      <c r="A305" s="3" t="inlineStr">
        <is>
          <t>compra</t>
        </is>
      </c>
      <c r="B305" s="3" t="inlineStr">
        <is>
          <t>ccaa:10</t>
        </is>
      </c>
      <c r="C305" s="3" t="inlineStr">
        <is>
          <t>P2</t>
        </is>
      </c>
      <c r="D305" s="3" t="inlineStr">
        <is>
          <t>residuo</t>
        </is>
      </c>
      <c r="E305" s="3" t="inlineStr">
        <is>
          <t>regional_ccaa_ols</t>
        </is>
      </c>
      <c r="F305" s="3" t="n">
        <v>6.31744</v>
      </c>
      <c r="G305" s="3" t="n"/>
      <c r="H305" s="3" t="n"/>
      <c r="I305" s="3" t="n">
        <v>-0.130707</v>
      </c>
      <c r="J305" s="3" t="n"/>
      <c r="K305" s="3" t="n"/>
      <c r="L305" s="3" t="n"/>
      <c r="M305" s="3" t="n"/>
      <c r="N305" s="3" t="inlineStr">
        <is>
          <t>C4</t>
        </is>
      </c>
      <c r="O305" s="3" t="inlineStr">
        <is>
          <t>no</t>
        </is>
      </c>
      <c r="P305" s="3" t="inlineStr">
        <is>
          <t>no_compite</t>
        </is>
      </c>
      <c r="Q305" s="3" t="inlineStr">
        <is>
          <t>ols_solo_factor</t>
        </is>
      </c>
      <c r="R305" s="3" t="n"/>
      <c r="S305" s="3" t="inlineStr">
        <is>
          <t>contraste regional (R6); no vota</t>
        </is>
      </c>
      <c r="T305" s="3" t="inlineStr">
        <is>
          <t>output/v8/F5/atribucion_combinada.csv</t>
        </is>
      </c>
      <c r="U305" s="2">
        <f>IF(R305=0,"",F305/R305)</f>
        <v/>
      </c>
      <c r="V305" s="2">
        <f>SUMIFS(F$2:F$1589,A$2:A$1589,A305,C$2:C$1589,C305,E$2:E$1589,E305,Q$2:Q$1589,Q305)</f>
        <v/>
      </c>
    </row>
    <row r="306">
      <c r="A306" s="3" t="inlineStr">
        <is>
          <t>compra</t>
        </is>
      </c>
      <c r="B306" s="3" t="inlineStr">
        <is>
          <t>ccaa:11</t>
        </is>
      </c>
      <c r="C306" s="3" t="inlineStr">
        <is>
          <t>P2</t>
        </is>
      </c>
      <c r="D306" s="3" t="inlineStr">
        <is>
          <t>factor_comun</t>
        </is>
      </c>
      <c r="E306" s="3" t="inlineStr">
        <is>
          <t>regional_ccaa_ols</t>
        </is>
      </c>
      <c r="F306" s="3" t="n">
        <v>-49.4374</v>
      </c>
      <c r="G306" s="3" t="n"/>
      <c r="H306" s="3" t="n"/>
      <c r="I306" s="3" t="n">
        <v>1.97362</v>
      </c>
      <c r="J306" s="3" t="n">
        <v>-69.8396</v>
      </c>
      <c r="K306" s="3" t="n">
        <v>-22.4145</v>
      </c>
      <c r="L306" s="3" t="n">
        <v>-88.6176</v>
      </c>
      <c r="M306" s="3" t="n">
        <v>-4.93808</v>
      </c>
      <c r="N306" s="3" t="inlineStr">
        <is>
          <t>C4</t>
        </is>
      </c>
      <c r="O306" s="3" t="inlineStr">
        <is>
          <t>no</t>
        </is>
      </c>
      <c r="P306" s="3" t="inlineStr">
        <is>
          <t>no_compite</t>
        </is>
      </c>
      <c r="Q306" s="3" t="inlineStr">
        <is>
          <t>ols_solo_factor</t>
        </is>
      </c>
      <c r="R306" s="3" t="n"/>
      <c r="S306" s="3" t="inlineStr">
        <is>
          <t>contraste regional (R6); no vota</t>
        </is>
      </c>
      <c r="T306" s="3" t="inlineStr">
        <is>
          <t>output/v8/F5/atribucion_combinada.csv</t>
        </is>
      </c>
      <c r="U306" s="2">
        <f>IF(R306=0,"",F306/R306)</f>
        <v/>
      </c>
      <c r="V306" s="2">
        <f>SUMIFS(F$2:F$1589,A$2:A$1589,A306,C$2:C$1589,C306,E$2:E$1589,E306,Q$2:Q$1589,Q306)</f>
        <v/>
      </c>
    </row>
    <row r="307">
      <c r="A307" s="3" t="inlineStr">
        <is>
          <t>compra</t>
        </is>
      </c>
      <c r="B307" s="3" t="inlineStr">
        <is>
          <t>ccaa:11</t>
        </is>
      </c>
      <c r="C307" s="3" t="inlineStr">
        <is>
          <t>P2</t>
        </is>
      </c>
      <c r="D307" s="3" t="inlineStr">
        <is>
          <t>residuo</t>
        </is>
      </c>
      <c r="E307" s="3" t="inlineStr">
        <is>
          <t>regional_ccaa_ols</t>
        </is>
      </c>
      <c r="F307" s="3" t="n">
        <v>24.3883</v>
      </c>
      <c r="G307" s="3" t="n"/>
      <c r="H307" s="3" t="n"/>
      <c r="I307" s="3" t="n">
        <v>-0.973616</v>
      </c>
      <c r="J307" s="3" t="n"/>
      <c r="K307" s="3" t="n"/>
      <c r="L307" s="3" t="n"/>
      <c r="M307" s="3" t="n"/>
      <c r="N307" s="3" t="inlineStr">
        <is>
          <t>C4</t>
        </is>
      </c>
      <c r="O307" s="3" t="inlineStr">
        <is>
          <t>no</t>
        </is>
      </c>
      <c r="P307" s="3" t="inlineStr">
        <is>
          <t>no_compite</t>
        </is>
      </c>
      <c r="Q307" s="3" t="inlineStr">
        <is>
          <t>ols_solo_factor</t>
        </is>
      </c>
      <c r="R307" s="3" t="n"/>
      <c r="S307" s="3" t="inlineStr">
        <is>
          <t>contraste regional (R6); no vota</t>
        </is>
      </c>
      <c r="T307" s="3" t="inlineStr">
        <is>
          <t>output/v8/F5/atribucion_combinada.csv</t>
        </is>
      </c>
      <c r="U307" s="2">
        <f>IF(R307=0,"",F307/R307)</f>
        <v/>
      </c>
      <c r="V307" s="2">
        <f>SUMIFS(F$2:F$1589,A$2:A$1589,A307,C$2:C$1589,C307,E$2:E$1589,E307,Q$2:Q$1589,Q307)</f>
        <v/>
      </c>
    </row>
    <row r="308">
      <c r="A308" s="3" t="inlineStr">
        <is>
          <t>compra</t>
        </is>
      </c>
      <c r="B308" s="3" t="inlineStr">
        <is>
          <t>ccaa:12</t>
        </is>
      </c>
      <c r="C308" s="3" t="inlineStr">
        <is>
          <t>P2</t>
        </is>
      </c>
      <c r="D308" s="3" t="inlineStr">
        <is>
          <t>factor_comun</t>
        </is>
      </c>
      <c r="E308" s="3" t="inlineStr">
        <is>
          <t>regional_ccaa_ols</t>
        </is>
      </c>
      <c r="F308" s="3" t="n">
        <v>-69.6117</v>
      </c>
      <c r="G308" s="3" t="n"/>
      <c r="H308" s="3" t="n"/>
      <c r="I308" s="3" t="n">
        <v>1.99102</v>
      </c>
      <c r="J308" s="3" t="n">
        <v>-78.6769</v>
      </c>
      <c r="K308" s="3" t="n">
        <v>-58.9422</v>
      </c>
      <c r="L308" s="3" t="n">
        <v>-85.9563</v>
      </c>
      <c r="M308" s="3" t="n">
        <v>-52.6144</v>
      </c>
      <c r="N308" s="3" t="inlineStr">
        <is>
          <t>C4</t>
        </is>
      </c>
      <c r="O308" s="3" t="inlineStr">
        <is>
          <t>no</t>
        </is>
      </c>
      <c r="P308" s="3" t="inlineStr">
        <is>
          <t>no_compite</t>
        </is>
      </c>
      <c r="Q308" s="3" t="inlineStr">
        <is>
          <t>ols_solo_factor</t>
        </is>
      </c>
      <c r="R308" s="3" t="n"/>
      <c r="S308" s="3" t="inlineStr">
        <is>
          <t>contraste regional (R6); no vota</t>
        </is>
      </c>
      <c r="T308" s="3" t="inlineStr">
        <is>
          <t>output/v8/F5/atribucion_combinada.csv</t>
        </is>
      </c>
      <c r="U308" s="2">
        <f>IF(R308=0,"",F308/R308)</f>
        <v/>
      </c>
      <c r="V308" s="2">
        <f>SUMIFS(F$2:F$1589,A$2:A$1589,A308,C$2:C$1589,C308,E$2:E$1589,E308,Q$2:Q$1589,Q308)</f>
        <v/>
      </c>
    </row>
    <row r="309">
      <c r="A309" s="3" t="inlineStr">
        <is>
          <t>compra</t>
        </is>
      </c>
      <c r="B309" s="3" t="inlineStr">
        <is>
          <t>ccaa:12</t>
        </is>
      </c>
      <c r="C309" s="3" t="inlineStr">
        <is>
          <t>P2</t>
        </is>
      </c>
      <c r="D309" s="3" t="inlineStr">
        <is>
          <t>residuo</t>
        </is>
      </c>
      <c r="E309" s="3" t="inlineStr">
        <is>
          <t>regional_ccaa_ols</t>
        </is>
      </c>
      <c r="F309" s="3" t="n">
        <v>34.6489</v>
      </c>
      <c r="G309" s="3" t="n"/>
      <c r="H309" s="3" t="n"/>
      <c r="I309" s="3" t="n">
        <v>-0.991024</v>
      </c>
      <c r="J309" s="3" t="n"/>
      <c r="K309" s="3" t="n"/>
      <c r="L309" s="3" t="n"/>
      <c r="M309" s="3" t="n"/>
      <c r="N309" s="3" t="inlineStr">
        <is>
          <t>C4</t>
        </is>
      </c>
      <c r="O309" s="3" t="inlineStr">
        <is>
          <t>no</t>
        </is>
      </c>
      <c r="P309" s="3" t="inlineStr">
        <is>
          <t>no_compite</t>
        </is>
      </c>
      <c r="Q309" s="3" t="inlineStr">
        <is>
          <t>ols_solo_factor</t>
        </is>
      </c>
      <c r="R309" s="3" t="n"/>
      <c r="S309" s="3" t="inlineStr">
        <is>
          <t>contraste regional (R6); no vota</t>
        </is>
      </c>
      <c r="T309" s="3" t="inlineStr">
        <is>
          <t>output/v8/F5/atribucion_combinada.csv</t>
        </is>
      </c>
      <c r="U309" s="2">
        <f>IF(R309=0,"",F309/R309)</f>
        <v/>
      </c>
      <c r="V309" s="2">
        <f>SUMIFS(F$2:F$1589,A$2:A$1589,A309,C$2:C$1589,C309,E$2:E$1589,E309,Q$2:Q$1589,Q309)</f>
        <v/>
      </c>
    </row>
    <row r="310">
      <c r="A310" s="3" t="inlineStr">
        <is>
          <t>compra</t>
        </is>
      </c>
      <c r="B310" s="3" t="inlineStr">
        <is>
          <t>ccaa:13</t>
        </is>
      </c>
      <c r="C310" s="3" t="inlineStr">
        <is>
          <t>P2</t>
        </is>
      </c>
      <c r="D310" s="3" t="inlineStr">
        <is>
          <t>factor_comun</t>
        </is>
      </c>
      <c r="E310" s="3" t="inlineStr">
        <is>
          <t>regional_ccaa_ols</t>
        </is>
      </c>
      <c r="F310" s="3" t="n">
        <v>-47.7815</v>
      </c>
      <c r="G310" s="3" t="n"/>
      <c r="H310" s="3" t="n"/>
      <c r="I310" s="3" t="n">
        <v>0.962319</v>
      </c>
      <c r="J310" s="3" t="n">
        <v>-62.1596</v>
      </c>
      <c r="K310" s="3" t="n">
        <v>-34.3838</v>
      </c>
      <c r="L310" s="3" t="n">
        <v>-79.1902</v>
      </c>
      <c r="M310" s="3" t="n">
        <v>-26.5218</v>
      </c>
      <c r="N310" s="3" t="inlineStr">
        <is>
          <t>C4</t>
        </is>
      </c>
      <c r="O310" s="3" t="inlineStr">
        <is>
          <t>no</t>
        </is>
      </c>
      <c r="P310" s="3" t="inlineStr">
        <is>
          <t>no_compite</t>
        </is>
      </c>
      <c r="Q310" s="3" t="inlineStr">
        <is>
          <t>ols_solo_factor</t>
        </is>
      </c>
      <c r="R310" s="3" t="n"/>
      <c r="S310" s="3" t="inlineStr">
        <is>
          <t>contraste regional (R6); no vota</t>
        </is>
      </c>
      <c r="T310" s="3" t="inlineStr">
        <is>
          <t>output/v8/F5/atribucion_combinada.csv</t>
        </is>
      </c>
      <c r="U310" s="2">
        <f>IF(R310=0,"",F310/R310)</f>
        <v/>
      </c>
      <c r="V310" s="2">
        <f>SUMIFS(F$2:F$1589,A$2:A$1589,A310,C$2:C$1589,C310,E$2:E$1589,E310,Q$2:Q$1589,Q310)</f>
        <v/>
      </c>
    </row>
    <row r="311">
      <c r="A311" s="3" t="inlineStr">
        <is>
          <t>compra</t>
        </is>
      </c>
      <c r="B311" s="3" t="inlineStr">
        <is>
          <t>ccaa:13</t>
        </is>
      </c>
      <c r="C311" s="3" t="inlineStr">
        <is>
          <t>P2</t>
        </is>
      </c>
      <c r="D311" s="3" t="inlineStr">
        <is>
          <t>residuo</t>
        </is>
      </c>
      <c r="E311" s="3" t="inlineStr">
        <is>
          <t>regional_ccaa_ols</t>
        </is>
      </c>
      <c r="F311" s="3" t="n">
        <v>-1.87097</v>
      </c>
      <c r="G311" s="3" t="n"/>
      <c r="H311" s="3" t="n"/>
      <c r="I311" s="3" t="n">
        <v>0.0376814</v>
      </c>
      <c r="J311" s="3" t="n"/>
      <c r="K311" s="3" t="n"/>
      <c r="L311" s="3" t="n"/>
      <c r="M311" s="3" t="n"/>
      <c r="N311" s="3" t="inlineStr">
        <is>
          <t>C4</t>
        </is>
      </c>
      <c r="O311" s="3" t="inlineStr">
        <is>
          <t>no</t>
        </is>
      </c>
      <c r="P311" s="3" t="inlineStr">
        <is>
          <t>no_compite</t>
        </is>
      </c>
      <c r="Q311" s="3" t="inlineStr">
        <is>
          <t>ols_solo_factor</t>
        </is>
      </c>
      <c r="R311" s="3" t="n"/>
      <c r="S311" s="3" t="inlineStr">
        <is>
          <t>contraste regional (R6); no vota</t>
        </is>
      </c>
      <c r="T311" s="3" t="inlineStr">
        <is>
          <t>output/v8/F5/atribucion_combinada.csv</t>
        </is>
      </c>
      <c r="U311" s="2">
        <f>IF(R311=0,"",F311/R311)</f>
        <v/>
      </c>
      <c r="V311" s="2">
        <f>SUMIFS(F$2:F$1589,A$2:A$1589,A311,C$2:C$1589,C311,E$2:E$1589,E311,Q$2:Q$1589,Q311)</f>
        <v/>
      </c>
    </row>
    <row r="312">
      <c r="A312" s="3" t="inlineStr">
        <is>
          <t>compra</t>
        </is>
      </c>
      <c r="B312" s="3" t="inlineStr">
        <is>
          <t>ccaa:14</t>
        </is>
      </c>
      <c r="C312" s="3" t="inlineStr">
        <is>
          <t>P2</t>
        </is>
      </c>
      <c r="D312" s="3" t="inlineStr">
        <is>
          <t>factor_comun</t>
        </is>
      </c>
      <c r="E312" s="3" t="inlineStr">
        <is>
          <t>regional_ccaa_ols</t>
        </is>
      </c>
      <c r="F312" s="3" t="n">
        <v>-53.7079</v>
      </c>
      <c r="G312" s="3" t="n"/>
      <c r="H312" s="3" t="n"/>
      <c r="I312" s="3" t="n">
        <v>1.00284</v>
      </c>
      <c r="J312" s="3" t="n">
        <v>-63.6917</v>
      </c>
      <c r="K312" s="3" t="n">
        <v>-46.7229</v>
      </c>
      <c r="L312" s="3" t="n">
        <v>-68.11490000000001</v>
      </c>
      <c r="M312" s="3" t="n">
        <v>-39.8081</v>
      </c>
      <c r="N312" s="3" t="inlineStr">
        <is>
          <t>C4</t>
        </is>
      </c>
      <c r="O312" s="3" t="inlineStr">
        <is>
          <t>no</t>
        </is>
      </c>
      <c r="P312" s="3" t="inlineStr">
        <is>
          <t>no_compite</t>
        </is>
      </c>
      <c r="Q312" s="3" t="inlineStr">
        <is>
          <t>ols_solo_factor</t>
        </is>
      </c>
      <c r="R312" s="3" t="n"/>
      <c r="S312" s="3" t="inlineStr">
        <is>
          <t>contraste regional (R6); no vota</t>
        </is>
      </c>
      <c r="T312" s="3" t="inlineStr">
        <is>
          <t>output/v8/F5/atribucion_combinada.csv</t>
        </is>
      </c>
      <c r="U312" s="2">
        <f>IF(R312=0,"",F312/R312)</f>
        <v/>
      </c>
      <c r="V312" s="2">
        <f>SUMIFS(F$2:F$1589,A$2:A$1589,A312,C$2:C$1589,C312,E$2:E$1589,E312,Q$2:Q$1589,Q312)</f>
        <v/>
      </c>
    </row>
    <row r="313">
      <c r="A313" s="3" t="inlineStr">
        <is>
          <t>compra</t>
        </is>
      </c>
      <c r="B313" s="3" t="inlineStr">
        <is>
          <t>ccaa:14</t>
        </is>
      </c>
      <c r="C313" s="3" t="inlineStr">
        <is>
          <t>P2</t>
        </is>
      </c>
      <c r="D313" s="3" t="inlineStr">
        <is>
          <t>residuo</t>
        </is>
      </c>
      <c r="E313" s="3" t="inlineStr">
        <is>
          <t>regional_ccaa_ols</t>
        </is>
      </c>
      <c r="F313" s="3" t="n">
        <v>0.152196</v>
      </c>
      <c r="G313" s="3" t="n"/>
      <c r="H313" s="3" t="n"/>
      <c r="I313" s="3" t="n">
        <v>-0.00284182</v>
      </c>
      <c r="J313" s="3" t="n"/>
      <c r="K313" s="3" t="n"/>
      <c r="L313" s="3" t="n"/>
      <c r="M313" s="3" t="n"/>
      <c r="N313" s="3" t="inlineStr">
        <is>
          <t>C4</t>
        </is>
      </c>
      <c r="O313" s="3" t="inlineStr">
        <is>
          <t>no</t>
        </is>
      </c>
      <c r="P313" s="3" t="inlineStr">
        <is>
          <t>no_compite</t>
        </is>
      </c>
      <c r="Q313" s="3" t="inlineStr">
        <is>
          <t>ols_solo_factor</t>
        </is>
      </c>
      <c r="R313" s="3" t="n"/>
      <c r="S313" s="3" t="inlineStr">
        <is>
          <t>contraste regional (R6); no vota</t>
        </is>
      </c>
      <c r="T313" s="3" t="inlineStr">
        <is>
          <t>output/v8/F5/atribucion_combinada.csv</t>
        </is>
      </c>
      <c r="U313" s="2">
        <f>IF(R313=0,"",F313/R313)</f>
        <v/>
      </c>
      <c r="V313" s="2">
        <f>SUMIFS(F$2:F$1589,A$2:A$1589,A313,C$2:C$1589,C313,E$2:E$1589,E313,Q$2:Q$1589,Q313)</f>
        <v/>
      </c>
    </row>
    <row r="314">
      <c r="A314" s="3" t="inlineStr">
        <is>
          <t>compra</t>
        </is>
      </c>
      <c r="B314" s="3" t="inlineStr">
        <is>
          <t>ccaa:15</t>
        </is>
      </c>
      <c r="C314" s="3" t="inlineStr">
        <is>
          <t>P2</t>
        </is>
      </c>
      <c r="D314" s="3" t="inlineStr">
        <is>
          <t>factor_comun</t>
        </is>
      </c>
      <c r="E314" s="3" t="inlineStr">
        <is>
          <t>regional_ccaa_ols</t>
        </is>
      </c>
      <c r="F314" s="3" t="n">
        <v>-14.5199</v>
      </c>
      <c r="G314" s="3" t="n"/>
      <c r="H314" s="3" t="n"/>
      <c r="I314" s="3" t="n">
        <v>0.468133</v>
      </c>
      <c r="J314" s="3" t="n">
        <v>-34.0723</v>
      </c>
      <c r="K314" s="3" t="n">
        <v>0.745384</v>
      </c>
      <c r="L314" s="3" t="n">
        <v>-49.6103</v>
      </c>
      <c r="M314" s="3" t="n">
        <v>7.45689</v>
      </c>
      <c r="N314" s="3" t="inlineStr">
        <is>
          <t>C4</t>
        </is>
      </c>
      <c r="O314" s="3" t="inlineStr">
        <is>
          <t>no</t>
        </is>
      </c>
      <c r="P314" s="3" t="inlineStr">
        <is>
          <t>no_compite</t>
        </is>
      </c>
      <c r="Q314" s="3" t="inlineStr">
        <is>
          <t>ols_solo_factor</t>
        </is>
      </c>
      <c r="R314" s="3" t="n"/>
      <c r="S314" s="3" t="inlineStr">
        <is>
          <t>contraste regional (R6); no vota</t>
        </is>
      </c>
      <c r="T314" s="3" t="inlineStr">
        <is>
          <t>output/v8/F5/atribucion_combinada.csv</t>
        </is>
      </c>
      <c r="U314" s="2">
        <f>IF(R314=0,"",F314/R314)</f>
        <v/>
      </c>
      <c r="V314" s="2">
        <f>SUMIFS(F$2:F$1589,A$2:A$1589,A314,C$2:C$1589,C314,E$2:E$1589,E314,Q$2:Q$1589,Q314)</f>
        <v/>
      </c>
    </row>
    <row r="315">
      <c r="A315" s="3" t="inlineStr">
        <is>
          <t>compra</t>
        </is>
      </c>
      <c r="B315" s="3" t="inlineStr">
        <is>
          <t>ccaa:15</t>
        </is>
      </c>
      <c r="C315" s="3" t="inlineStr">
        <is>
          <t>P2</t>
        </is>
      </c>
      <c r="D315" s="3" t="inlineStr">
        <is>
          <t>residuo</t>
        </is>
      </c>
      <c r="E315" s="3" t="inlineStr">
        <is>
          <t>regional_ccaa_ols</t>
        </is>
      </c>
      <c r="F315" s="3" t="n">
        <v>-16.4967</v>
      </c>
      <c r="G315" s="3" t="n"/>
      <c r="H315" s="3" t="n"/>
      <c r="I315" s="3" t="n">
        <v>0.531867</v>
      </c>
      <c r="J315" s="3" t="n"/>
      <c r="K315" s="3" t="n"/>
      <c r="L315" s="3" t="n"/>
      <c r="M315" s="3" t="n"/>
      <c r="N315" s="3" t="inlineStr">
        <is>
          <t>C4</t>
        </is>
      </c>
      <c r="O315" s="3" t="inlineStr">
        <is>
          <t>no</t>
        </is>
      </c>
      <c r="P315" s="3" t="inlineStr">
        <is>
          <t>no_compite</t>
        </is>
      </c>
      <c r="Q315" s="3" t="inlineStr">
        <is>
          <t>ols_solo_factor</t>
        </is>
      </c>
      <c r="R315" s="3" t="n"/>
      <c r="S315" s="3" t="inlineStr">
        <is>
          <t>contraste regional (R6); no vota</t>
        </is>
      </c>
      <c r="T315" s="3" t="inlineStr">
        <is>
          <t>output/v8/F5/atribucion_combinada.csv</t>
        </is>
      </c>
      <c r="U315" s="2">
        <f>IF(R315=0,"",F315/R315)</f>
        <v/>
      </c>
      <c r="V315" s="2">
        <f>SUMIFS(F$2:F$1589,A$2:A$1589,A315,C$2:C$1589,C315,E$2:E$1589,E315,Q$2:Q$1589,Q315)</f>
        <v/>
      </c>
    </row>
    <row r="316">
      <c r="A316" s="3" t="inlineStr">
        <is>
          <t>compra</t>
        </is>
      </c>
      <c r="B316" s="3" t="inlineStr">
        <is>
          <t>ccaa:16</t>
        </is>
      </c>
      <c r="C316" s="3" t="inlineStr">
        <is>
          <t>P2</t>
        </is>
      </c>
      <c r="D316" s="3" t="inlineStr">
        <is>
          <t>factor_comun</t>
        </is>
      </c>
      <c r="E316" s="3" t="inlineStr">
        <is>
          <t>regional_ccaa_ols</t>
        </is>
      </c>
      <c r="F316" s="3" t="n">
        <v>-0.412174</v>
      </c>
      <c r="G316" s="3" t="n"/>
      <c r="H316" s="3" t="n"/>
      <c r="I316" s="3" t="n">
        <v>0.0146199</v>
      </c>
      <c r="J316" s="3" t="n">
        <v>-10.6178</v>
      </c>
      <c r="K316" s="3" t="n">
        <v>4.96558</v>
      </c>
      <c r="L316" s="3" t="n">
        <v>-17.4087</v>
      </c>
      <c r="M316" s="3" t="n">
        <v>8.06983</v>
      </c>
      <c r="N316" s="3" t="inlineStr">
        <is>
          <t>C4</t>
        </is>
      </c>
      <c r="O316" s="3" t="inlineStr">
        <is>
          <t>no</t>
        </is>
      </c>
      <c r="P316" s="3" t="inlineStr">
        <is>
          <t>no_compite</t>
        </is>
      </c>
      <c r="Q316" s="3" t="inlineStr">
        <is>
          <t>ols_solo_factor</t>
        </is>
      </c>
      <c r="R316" s="3" t="n"/>
      <c r="S316" s="3" t="inlineStr">
        <is>
          <t>contraste regional (R6); no vota</t>
        </is>
      </c>
      <c r="T316" s="3" t="inlineStr">
        <is>
          <t>output/v8/F5/atribucion_combinada.csv</t>
        </is>
      </c>
      <c r="U316" s="2">
        <f>IF(R316=0,"",F316/R316)</f>
        <v/>
      </c>
      <c r="V316" s="2">
        <f>SUMIFS(F$2:F$1589,A$2:A$1589,A316,C$2:C$1589,C316,E$2:E$1589,E316,Q$2:Q$1589,Q316)</f>
        <v/>
      </c>
    </row>
    <row r="317">
      <c r="A317" s="3" t="inlineStr">
        <is>
          <t>compra</t>
        </is>
      </c>
      <c r="B317" s="3" t="inlineStr">
        <is>
          <t>ccaa:16</t>
        </is>
      </c>
      <c r="C317" s="3" t="inlineStr">
        <is>
          <t>P2</t>
        </is>
      </c>
      <c r="D317" s="3" t="inlineStr">
        <is>
          <t>residuo</t>
        </is>
      </c>
      <c r="E317" s="3" t="inlineStr">
        <is>
          <t>regional_ccaa_ols</t>
        </is>
      </c>
      <c r="F317" s="3" t="n">
        <v>-27.7804</v>
      </c>
      <c r="G317" s="3" t="n"/>
      <c r="H317" s="3" t="n"/>
      <c r="I317" s="3" t="n">
        <v>0.98538</v>
      </c>
      <c r="J317" s="3" t="n"/>
      <c r="K317" s="3" t="n"/>
      <c r="L317" s="3" t="n"/>
      <c r="M317" s="3" t="n"/>
      <c r="N317" s="3" t="inlineStr">
        <is>
          <t>C4</t>
        </is>
      </c>
      <c r="O317" s="3" t="inlineStr">
        <is>
          <t>no</t>
        </is>
      </c>
      <c r="P317" s="3" t="inlineStr">
        <is>
          <t>no_compite</t>
        </is>
      </c>
      <c r="Q317" s="3" t="inlineStr">
        <is>
          <t>ols_solo_factor</t>
        </is>
      </c>
      <c r="R317" s="3" t="n"/>
      <c r="S317" s="3" t="inlineStr">
        <is>
          <t>contraste regional (R6); no vota</t>
        </is>
      </c>
      <c r="T317" s="3" t="inlineStr">
        <is>
          <t>output/v8/F5/atribucion_combinada.csv</t>
        </is>
      </c>
      <c r="U317" s="2">
        <f>IF(R317=0,"",F317/R317)</f>
        <v/>
      </c>
      <c r="V317" s="2">
        <f>SUMIFS(F$2:F$1589,A$2:A$1589,A317,C$2:C$1589,C317,E$2:E$1589,E317,Q$2:Q$1589,Q317)</f>
        <v/>
      </c>
    </row>
    <row r="318">
      <c r="A318" s="3" t="inlineStr">
        <is>
          <t>compra</t>
        </is>
      </c>
      <c r="B318" s="3" t="inlineStr">
        <is>
          <t>ccaa:17</t>
        </is>
      </c>
      <c r="C318" s="3" t="inlineStr">
        <is>
          <t>P2</t>
        </is>
      </c>
      <c r="D318" s="3" t="inlineStr">
        <is>
          <t>factor_comun</t>
        </is>
      </c>
      <c r="E318" s="3" t="inlineStr">
        <is>
          <t>regional_ccaa_ols</t>
        </is>
      </c>
      <c r="F318" s="3" t="n">
        <v>-15.2806</v>
      </c>
      <c r="G318" s="3" t="n"/>
      <c r="H318" s="3" t="n"/>
      <c r="I318" s="3" t="n">
        <v>0.351155</v>
      </c>
      <c r="J318" s="3" t="n">
        <v>-29.4878</v>
      </c>
      <c r="K318" s="3" t="n">
        <v>3.04206</v>
      </c>
      <c r="L318" s="3" t="n">
        <v>-35.674</v>
      </c>
      <c r="M318" s="3" t="n">
        <v>14.2037</v>
      </c>
      <c r="N318" s="3" t="inlineStr">
        <is>
          <t>C4</t>
        </is>
      </c>
      <c r="O318" s="3" t="inlineStr">
        <is>
          <t>no</t>
        </is>
      </c>
      <c r="P318" s="3" t="inlineStr">
        <is>
          <t>no_compite</t>
        </is>
      </c>
      <c r="Q318" s="3" t="inlineStr">
        <is>
          <t>ols_solo_factor</t>
        </is>
      </c>
      <c r="R318" s="3" t="n"/>
      <c r="S318" s="3" t="inlineStr">
        <is>
          <t>contraste regional (R6); no vota</t>
        </is>
      </c>
      <c r="T318" s="3" t="inlineStr">
        <is>
          <t>output/v8/F5/atribucion_combinada.csv</t>
        </is>
      </c>
      <c r="U318" s="2">
        <f>IF(R318=0,"",F318/R318)</f>
        <v/>
      </c>
      <c r="V318" s="2">
        <f>SUMIFS(F$2:F$1589,A$2:A$1589,A318,C$2:C$1589,C318,E$2:E$1589,E318,Q$2:Q$1589,Q318)</f>
        <v/>
      </c>
    </row>
    <row r="319">
      <c r="A319" s="3" t="inlineStr">
        <is>
          <t>compra</t>
        </is>
      </c>
      <c r="B319" s="3" t="inlineStr">
        <is>
          <t>ccaa:17</t>
        </is>
      </c>
      <c r="C319" s="3" t="inlineStr">
        <is>
          <t>P2</t>
        </is>
      </c>
      <c r="D319" s="3" t="inlineStr">
        <is>
          <t>residuo</t>
        </is>
      </c>
      <c r="E319" s="3" t="inlineStr">
        <is>
          <t>regional_ccaa_ols</t>
        </is>
      </c>
      <c r="F319" s="3" t="n">
        <v>-28.2348</v>
      </c>
      <c r="G319" s="3" t="n"/>
      <c r="H319" s="3" t="n"/>
      <c r="I319" s="3" t="n">
        <v>0.648845</v>
      </c>
      <c r="J319" s="3" t="n"/>
      <c r="K319" s="3" t="n"/>
      <c r="L319" s="3" t="n"/>
      <c r="M319" s="3" t="n"/>
      <c r="N319" s="3" t="inlineStr">
        <is>
          <t>C4</t>
        </is>
      </c>
      <c r="O319" s="3" t="inlineStr">
        <is>
          <t>no</t>
        </is>
      </c>
      <c r="P319" s="3" t="inlineStr">
        <is>
          <t>no_compite</t>
        </is>
      </c>
      <c r="Q319" s="3" t="inlineStr">
        <is>
          <t>ols_solo_factor</t>
        </is>
      </c>
      <c r="R319" s="3" t="n"/>
      <c r="S319" s="3" t="inlineStr">
        <is>
          <t>contraste regional (R6); no vota</t>
        </is>
      </c>
      <c r="T319" s="3" t="inlineStr">
        <is>
          <t>output/v8/F5/atribucion_combinada.csv</t>
        </is>
      </c>
      <c r="U319" s="2">
        <f>IF(R319=0,"",F319/R319)</f>
        <v/>
      </c>
      <c r="V319" s="2">
        <f>SUMIFS(F$2:F$1589,A$2:A$1589,A319,C$2:C$1589,C319,E$2:E$1589,E319,Q$2:Q$1589,Q319)</f>
        <v/>
      </c>
    </row>
    <row r="320">
      <c r="A320" s="3" t="inlineStr">
        <is>
          <t>compra</t>
        </is>
      </c>
      <c r="B320" s="3" t="inlineStr">
        <is>
          <t>ccaa:01</t>
        </is>
      </c>
      <c r="C320" s="3" t="inlineStr">
        <is>
          <t>P3</t>
        </is>
      </c>
      <c r="D320" s="3" t="inlineStr">
        <is>
          <t>factor_comun</t>
        </is>
      </c>
      <c r="E320" s="3" t="inlineStr">
        <is>
          <t>regional_ccaa_ols</t>
        </is>
      </c>
      <c r="F320" s="3" t="n">
        <v>-0.517667</v>
      </c>
      <c r="G320" s="3" t="n"/>
      <c r="H320" s="3" t="n"/>
      <c r="I320" s="3" t="n">
        <v>-0.389871</v>
      </c>
      <c r="J320" s="3" t="n">
        <v>-4.89441</v>
      </c>
      <c r="K320" s="3" t="n">
        <v>2.12725</v>
      </c>
      <c r="L320" s="3" t="n">
        <v>-7.7278</v>
      </c>
      <c r="M320" s="3" t="n">
        <v>3.65158</v>
      </c>
      <c r="N320" s="3" t="inlineStr">
        <is>
          <t>C4</t>
        </is>
      </c>
      <c r="O320" s="3" t="inlineStr">
        <is>
          <t>no</t>
        </is>
      </c>
      <c r="P320" s="3" t="inlineStr">
        <is>
          <t>no_compite</t>
        </is>
      </c>
      <c r="Q320" s="3" t="inlineStr">
        <is>
          <t>ols_solo_factor</t>
        </is>
      </c>
      <c r="R320" s="3" t="n"/>
      <c r="S320" s="3" t="inlineStr">
        <is>
          <t>contraste regional (R6); no vota</t>
        </is>
      </c>
      <c r="T320" s="3" t="inlineStr">
        <is>
          <t>output/v8/F5/atribucion_combinada.csv</t>
        </is>
      </c>
      <c r="U320" s="2">
        <f>IF(R320=0,"",F320/R320)</f>
        <v/>
      </c>
      <c r="V320" s="2">
        <f>SUMIFS(F$2:F$1589,A$2:A$1589,A320,C$2:C$1589,C320,E$2:E$1589,E320,Q$2:Q$1589,Q320)</f>
        <v/>
      </c>
    </row>
    <row r="321">
      <c r="A321" s="3" t="inlineStr">
        <is>
          <t>compra</t>
        </is>
      </c>
      <c r="B321" s="3" t="inlineStr">
        <is>
          <t>ccaa:01</t>
        </is>
      </c>
      <c r="C321" s="3" t="inlineStr">
        <is>
          <t>P3</t>
        </is>
      </c>
      <c r="D321" s="3" t="inlineStr">
        <is>
          <t>residuo</t>
        </is>
      </c>
      <c r="E321" s="3" t="inlineStr">
        <is>
          <t>regional_ccaa_ols</t>
        </is>
      </c>
      <c r="F321" s="3" t="n">
        <v>1.84546</v>
      </c>
      <c r="G321" s="3" t="n"/>
      <c r="H321" s="3" t="n"/>
      <c r="I321" s="3" t="n">
        <v>1.38987</v>
      </c>
      <c r="J321" s="3" t="n"/>
      <c r="K321" s="3" t="n"/>
      <c r="L321" s="3" t="n"/>
      <c r="M321" s="3" t="n"/>
      <c r="N321" s="3" t="inlineStr">
        <is>
          <t>C4</t>
        </is>
      </c>
      <c r="O321" s="3" t="inlineStr">
        <is>
          <t>no</t>
        </is>
      </c>
      <c r="P321" s="3" t="inlineStr">
        <is>
          <t>no_compite</t>
        </is>
      </c>
      <c r="Q321" s="3" t="inlineStr">
        <is>
          <t>ols_solo_factor</t>
        </is>
      </c>
      <c r="R321" s="3" t="n"/>
      <c r="S321" s="3" t="inlineStr">
        <is>
          <t>contraste regional (R6); no vota</t>
        </is>
      </c>
      <c r="T321" s="3" t="inlineStr">
        <is>
          <t>output/v8/F5/atribucion_combinada.csv</t>
        </is>
      </c>
      <c r="U321" s="2">
        <f>IF(R321=0,"",F321/R321)</f>
        <v/>
      </c>
      <c r="V321" s="2">
        <f>SUMIFS(F$2:F$1589,A$2:A$1589,A321,C$2:C$1589,C321,E$2:E$1589,E321,Q$2:Q$1589,Q321)</f>
        <v/>
      </c>
    </row>
    <row r="322">
      <c r="A322" s="3" t="inlineStr">
        <is>
          <t>compra</t>
        </is>
      </c>
      <c r="B322" s="3" t="inlineStr">
        <is>
          <t>ccaa:02</t>
        </is>
      </c>
      <c r="C322" s="3" t="inlineStr">
        <is>
          <t>P3</t>
        </is>
      </c>
      <c r="D322" s="3" t="inlineStr">
        <is>
          <t>factor_comun</t>
        </is>
      </c>
      <c r="E322" s="3" t="inlineStr">
        <is>
          <t>regional_ccaa_ols</t>
        </is>
      </c>
      <c r="F322" s="3" t="n">
        <v>-0.7031539999999999</v>
      </c>
      <c r="G322" s="3" t="n"/>
      <c r="H322" s="3" t="n"/>
      <c r="I322" s="3" t="n">
        <v>0.197163</v>
      </c>
      <c r="J322" s="3" t="n">
        <v>-5.59795</v>
      </c>
      <c r="K322" s="3" t="n">
        <v>3.51849</v>
      </c>
      <c r="L322" s="3" t="n">
        <v>-8.812250000000001</v>
      </c>
      <c r="M322" s="3" t="n">
        <v>5.59813</v>
      </c>
      <c r="N322" s="3" t="inlineStr">
        <is>
          <t>C4</t>
        </is>
      </c>
      <c r="O322" s="3" t="inlineStr">
        <is>
          <t>no</t>
        </is>
      </c>
      <c r="P322" s="3" t="inlineStr">
        <is>
          <t>no_compite</t>
        </is>
      </c>
      <c r="Q322" s="3" t="inlineStr">
        <is>
          <t>ols_solo_factor</t>
        </is>
      </c>
      <c r="R322" s="3" t="n"/>
      <c r="S322" s="3" t="inlineStr">
        <is>
          <t>contraste regional (R6); no vota</t>
        </is>
      </c>
      <c r="T322" s="3" t="inlineStr">
        <is>
          <t>output/v8/F5/atribucion_combinada.csv</t>
        </is>
      </c>
      <c r="U322" s="2">
        <f>IF(R322=0,"",F322/R322)</f>
        <v/>
      </c>
      <c r="V322" s="2">
        <f>SUMIFS(F$2:F$1589,A$2:A$1589,A322,C$2:C$1589,C322,E$2:E$1589,E322,Q$2:Q$1589,Q322)</f>
        <v/>
      </c>
    </row>
    <row r="323">
      <c r="A323" s="3" t="inlineStr">
        <is>
          <t>compra</t>
        </is>
      </c>
      <c r="B323" s="3" t="inlineStr">
        <is>
          <t>ccaa:02</t>
        </is>
      </c>
      <c r="C323" s="3" t="inlineStr">
        <is>
          <t>P3</t>
        </is>
      </c>
      <c r="D323" s="3" t="inlineStr">
        <is>
          <t>residuo</t>
        </is>
      </c>
      <c r="E323" s="3" t="inlineStr">
        <is>
          <t>regional_ccaa_ols</t>
        </is>
      </c>
      <c r="F323" s="3" t="n">
        <v>-2.8632</v>
      </c>
      <c r="G323" s="3" t="n"/>
      <c r="H323" s="3" t="n"/>
      <c r="I323" s="3" t="n">
        <v>0.802837</v>
      </c>
      <c r="J323" s="3" t="n"/>
      <c r="K323" s="3" t="n"/>
      <c r="L323" s="3" t="n"/>
      <c r="M323" s="3" t="n"/>
      <c r="N323" s="3" t="inlineStr">
        <is>
          <t>C4</t>
        </is>
      </c>
      <c r="O323" s="3" t="inlineStr">
        <is>
          <t>no</t>
        </is>
      </c>
      <c r="P323" s="3" t="inlineStr">
        <is>
          <t>no_compite</t>
        </is>
      </c>
      <c r="Q323" s="3" t="inlineStr">
        <is>
          <t>ols_solo_factor</t>
        </is>
      </c>
      <c r="R323" s="3" t="n"/>
      <c r="S323" s="3" t="inlineStr">
        <is>
          <t>contraste regional (R6); no vota</t>
        </is>
      </c>
      <c r="T323" s="3" t="inlineStr">
        <is>
          <t>output/v8/F5/atribucion_combinada.csv</t>
        </is>
      </c>
      <c r="U323" s="2">
        <f>IF(R323=0,"",F323/R323)</f>
        <v/>
      </c>
      <c r="V323" s="2">
        <f>SUMIFS(F$2:F$1589,A$2:A$1589,A323,C$2:C$1589,C323,E$2:E$1589,E323,Q$2:Q$1589,Q323)</f>
        <v/>
      </c>
    </row>
    <row r="324">
      <c r="A324" s="3" t="inlineStr">
        <is>
          <t>compra</t>
        </is>
      </c>
      <c r="B324" s="3" t="inlineStr">
        <is>
          <t>ccaa:03</t>
        </is>
      </c>
      <c r="C324" s="3" t="inlineStr">
        <is>
          <t>P3</t>
        </is>
      </c>
      <c r="D324" s="3" t="inlineStr">
        <is>
          <t>factor_comun</t>
        </is>
      </c>
      <c r="E324" s="3" t="inlineStr">
        <is>
          <t>regional_ccaa_ols</t>
        </is>
      </c>
      <c r="F324" s="3" t="n">
        <v>-0.421801</v>
      </c>
      <c r="G324" s="3" t="n"/>
      <c r="H324" s="3" t="n"/>
      <c r="I324" s="3" t="n">
        <v>0.0402184</v>
      </c>
      <c r="J324" s="3" t="n">
        <v>-3.03113</v>
      </c>
      <c r="K324" s="3" t="n">
        <v>3.01768</v>
      </c>
      <c r="L324" s="3" t="n">
        <v>-4.58157</v>
      </c>
      <c r="M324" s="3" t="n">
        <v>5.0554</v>
      </c>
      <c r="N324" s="3" t="inlineStr">
        <is>
          <t>C4</t>
        </is>
      </c>
      <c r="O324" s="3" t="inlineStr">
        <is>
          <t>no</t>
        </is>
      </c>
      <c r="P324" s="3" t="inlineStr">
        <is>
          <t>no_compite</t>
        </is>
      </c>
      <c r="Q324" s="3" t="inlineStr">
        <is>
          <t>ols_solo_factor</t>
        </is>
      </c>
      <c r="R324" s="3" t="n"/>
      <c r="S324" s="3" t="inlineStr">
        <is>
          <t>contraste regional (R6); no vota</t>
        </is>
      </c>
      <c r="T324" s="3" t="inlineStr">
        <is>
          <t>output/v8/F5/atribucion_combinada.csv</t>
        </is>
      </c>
      <c r="U324" s="2">
        <f>IF(R324=0,"",F324/R324)</f>
        <v/>
      </c>
      <c r="V324" s="2">
        <f>SUMIFS(F$2:F$1589,A$2:A$1589,A324,C$2:C$1589,C324,E$2:E$1589,E324,Q$2:Q$1589,Q324)</f>
        <v/>
      </c>
    </row>
    <row r="325">
      <c r="A325" s="3" t="inlineStr">
        <is>
          <t>compra</t>
        </is>
      </c>
      <c r="B325" s="3" t="inlineStr">
        <is>
          <t>ccaa:03</t>
        </is>
      </c>
      <c r="C325" s="3" t="inlineStr">
        <is>
          <t>P3</t>
        </is>
      </c>
      <c r="D325" s="3" t="inlineStr">
        <is>
          <t>residuo</t>
        </is>
      </c>
      <c r="E325" s="3" t="inlineStr">
        <is>
          <t>regional_ccaa_ols</t>
        </is>
      </c>
      <c r="F325" s="3" t="n">
        <v>-10.066</v>
      </c>
      <c r="G325" s="3" t="n"/>
      <c r="H325" s="3" t="n"/>
      <c r="I325" s="3" t="n">
        <v>0.959782</v>
      </c>
      <c r="J325" s="3" t="n"/>
      <c r="K325" s="3" t="n"/>
      <c r="L325" s="3" t="n"/>
      <c r="M325" s="3" t="n"/>
      <c r="N325" s="3" t="inlineStr">
        <is>
          <t>C4</t>
        </is>
      </c>
      <c r="O325" s="3" t="inlineStr">
        <is>
          <t>no</t>
        </is>
      </c>
      <c r="P325" s="3" t="inlineStr">
        <is>
          <t>no_compite</t>
        </is>
      </c>
      <c r="Q325" s="3" t="inlineStr">
        <is>
          <t>ols_solo_factor</t>
        </is>
      </c>
      <c r="R325" s="3" t="n"/>
      <c r="S325" s="3" t="inlineStr">
        <is>
          <t>contraste regional (R6); no vota</t>
        </is>
      </c>
      <c r="T325" s="3" t="inlineStr">
        <is>
          <t>output/v8/F5/atribucion_combinada.csv</t>
        </is>
      </c>
      <c r="U325" s="2">
        <f>IF(R325=0,"",F325/R325)</f>
        <v/>
      </c>
      <c r="V325" s="2">
        <f>SUMIFS(F$2:F$1589,A$2:A$1589,A325,C$2:C$1589,C325,E$2:E$1589,E325,Q$2:Q$1589,Q325)</f>
        <v/>
      </c>
    </row>
    <row r="326">
      <c r="A326" s="3" t="inlineStr">
        <is>
          <t>compra</t>
        </is>
      </c>
      <c r="B326" s="3" t="inlineStr">
        <is>
          <t>ccaa:04</t>
        </is>
      </c>
      <c r="C326" s="3" t="inlineStr">
        <is>
          <t>P3</t>
        </is>
      </c>
      <c r="D326" s="3" t="inlineStr">
        <is>
          <t>factor_comun</t>
        </is>
      </c>
      <c r="E326" s="3" t="inlineStr">
        <is>
          <t>regional_ccaa_ols</t>
        </is>
      </c>
      <c r="F326" s="3" t="n">
        <v>-0.355079</v>
      </c>
      <c r="G326" s="3" t="n"/>
      <c r="H326" s="3" t="n"/>
      <c r="I326" s="3" t="n">
        <v>-0.0172976</v>
      </c>
      <c r="J326" s="3" t="n">
        <v>-2.37972</v>
      </c>
      <c r="K326" s="3" t="n">
        <v>3.02222</v>
      </c>
      <c r="L326" s="3" t="n">
        <v>-3.81742</v>
      </c>
      <c r="M326" s="3" t="n">
        <v>6.741</v>
      </c>
      <c r="N326" s="3" t="inlineStr">
        <is>
          <t>C4</t>
        </is>
      </c>
      <c r="O326" s="3" t="inlineStr">
        <is>
          <t>no</t>
        </is>
      </c>
      <c r="P326" s="3" t="inlineStr">
        <is>
          <t>no_compite</t>
        </is>
      </c>
      <c r="Q326" s="3" t="inlineStr">
        <is>
          <t>ols_solo_factor</t>
        </is>
      </c>
      <c r="R326" s="3" t="n"/>
      <c r="S326" s="3" t="inlineStr">
        <is>
          <t>contraste regional (R6); no vota</t>
        </is>
      </c>
      <c r="T326" s="3" t="inlineStr">
        <is>
          <t>output/v8/F5/atribucion_combinada.csv</t>
        </is>
      </c>
      <c r="U326" s="2">
        <f>IF(R326=0,"",F326/R326)</f>
        <v/>
      </c>
      <c r="V326" s="2">
        <f>SUMIFS(F$2:F$1589,A$2:A$1589,A326,C$2:C$1589,C326,E$2:E$1589,E326,Q$2:Q$1589,Q326)</f>
        <v/>
      </c>
    </row>
    <row r="327">
      <c r="A327" s="3" t="inlineStr">
        <is>
          <t>compra</t>
        </is>
      </c>
      <c r="B327" s="3" t="inlineStr">
        <is>
          <t>ccaa:04</t>
        </is>
      </c>
      <c r="C327" s="3" t="inlineStr">
        <is>
          <t>P3</t>
        </is>
      </c>
      <c r="D327" s="3" t="inlineStr">
        <is>
          <t>residuo</t>
        </is>
      </c>
      <c r="E327" s="3" t="inlineStr">
        <is>
          <t>regional_ccaa_ols</t>
        </is>
      </c>
      <c r="F327" s="3" t="n">
        <v>20.8827</v>
      </c>
      <c r="G327" s="3" t="n"/>
      <c r="H327" s="3" t="n"/>
      <c r="I327" s="3" t="n">
        <v>1.0173</v>
      </c>
      <c r="J327" s="3" t="n"/>
      <c r="K327" s="3" t="n"/>
      <c r="L327" s="3" t="n"/>
      <c r="M327" s="3" t="n"/>
      <c r="N327" s="3" t="inlineStr">
        <is>
          <t>C4</t>
        </is>
      </c>
      <c r="O327" s="3" t="inlineStr">
        <is>
          <t>no</t>
        </is>
      </c>
      <c r="P327" s="3" t="inlineStr">
        <is>
          <t>no_compite</t>
        </is>
      </c>
      <c r="Q327" s="3" t="inlineStr">
        <is>
          <t>ols_solo_factor</t>
        </is>
      </c>
      <c r="R327" s="3" t="n"/>
      <c r="S327" s="3" t="inlineStr">
        <is>
          <t>contraste regional (R6); no vota</t>
        </is>
      </c>
      <c r="T327" s="3" t="inlineStr">
        <is>
          <t>output/v8/F5/atribucion_combinada.csv</t>
        </is>
      </c>
      <c r="U327" s="2">
        <f>IF(R327=0,"",F327/R327)</f>
        <v/>
      </c>
      <c r="V327" s="2">
        <f>SUMIFS(F$2:F$1589,A$2:A$1589,A327,C$2:C$1589,C327,E$2:E$1589,E327,Q$2:Q$1589,Q327)</f>
        <v/>
      </c>
    </row>
    <row r="328">
      <c r="A328" s="3" t="inlineStr">
        <is>
          <t>compra</t>
        </is>
      </c>
      <c r="B328" s="3" t="inlineStr">
        <is>
          <t>ccaa:05</t>
        </is>
      </c>
      <c r="C328" s="3" t="inlineStr">
        <is>
          <t>P3</t>
        </is>
      </c>
      <c r="D328" s="3" t="inlineStr">
        <is>
          <t>factor_comun</t>
        </is>
      </c>
      <c r="E328" s="3" t="inlineStr">
        <is>
          <t>regional_ccaa_ols</t>
        </is>
      </c>
      <c r="F328" s="3" t="n">
        <v>-0.3242</v>
      </c>
      <c r="G328" s="3" t="n"/>
      <c r="H328" s="3" t="n"/>
      <c r="I328" s="3" t="n">
        <v>-0.0234726</v>
      </c>
      <c r="J328" s="3" t="n">
        <v>-2.95428</v>
      </c>
      <c r="K328" s="3" t="n">
        <v>1.37162</v>
      </c>
      <c r="L328" s="3" t="n">
        <v>-4.51296</v>
      </c>
      <c r="M328" s="3" t="n">
        <v>2.14731</v>
      </c>
      <c r="N328" s="3" t="inlineStr">
        <is>
          <t>C4</t>
        </is>
      </c>
      <c r="O328" s="3" t="inlineStr">
        <is>
          <t>no</t>
        </is>
      </c>
      <c r="P328" s="3" t="inlineStr">
        <is>
          <t>no_compite</t>
        </is>
      </c>
      <c r="Q328" s="3" t="inlineStr">
        <is>
          <t>ols_solo_factor</t>
        </is>
      </c>
      <c r="R328" s="3" t="n"/>
      <c r="S328" s="3" t="inlineStr">
        <is>
          <t>contraste regional (R6); no vota</t>
        </is>
      </c>
      <c r="T328" s="3" t="inlineStr">
        <is>
          <t>output/v8/F5/atribucion_combinada.csv</t>
        </is>
      </c>
      <c r="U328" s="2">
        <f>IF(R328=0,"",F328/R328)</f>
        <v/>
      </c>
      <c r="V328" s="2">
        <f>SUMIFS(F$2:F$1589,A$2:A$1589,A328,C$2:C$1589,C328,E$2:E$1589,E328,Q$2:Q$1589,Q328)</f>
        <v/>
      </c>
    </row>
    <row r="329">
      <c r="A329" s="3" t="inlineStr">
        <is>
          <t>compra</t>
        </is>
      </c>
      <c r="B329" s="3" t="inlineStr">
        <is>
          <t>ccaa:05</t>
        </is>
      </c>
      <c r="C329" s="3" t="inlineStr">
        <is>
          <t>P3</t>
        </is>
      </c>
      <c r="D329" s="3" t="inlineStr">
        <is>
          <t>residuo</t>
        </is>
      </c>
      <c r="E329" s="3" t="inlineStr">
        <is>
          <t>regional_ccaa_ols</t>
        </is>
      </c>
      <c r="F329" s="3" t="n">
        <v>14.136</v>
      </c>
      <c r="G329" s="3" t="n"/>
      <c r="H329" s="3" t="n"/>
      <c r="I329" s="3" t="n">
        <v>1.02347</v>
      </c>
      <c r="J329" s="3" t="n"/>
      <c r="K329" s="3" t="n"/>
      <c r="L329" s="3" t="n"/>
      <c r="M329" s="3" t="n"/>
      <c r="N329" s="3" t="inlineStr">
        <is>
          <t>C4</t>
        </is>
      </c>
      <c r="O329" s="3" t="inlineStr">
        <is>
          <t>no</t>
        </is>
      </c>
      <c r="P329" s="3" t="inlineStr">
        <is>
          <t>no_compite</t>
        </is>
      </c>
      <c r="Q329" s="3" t="inlineStr">
        <is>
          <t>ols_solo_factor</t>
        </is>
      </c>
      <c r="R329" s="3" t="n"/>
      <c r="S329" s="3" t="inlineStr">
        <is>
          <t>contraste regional (R6); no vota</t>
        </is>
      </c>
      <c r="T329" s="3" t="inlineStr">
        <is>
          <t>output/v8/F5/atribucion_combinada.csv</t>
        </is>
      </c>
      <c r="U329" s="2">
        <f>IF(R329=0,"",F329/R329)</f>
        <v/>
      </c>
      <c r="V329" s="2">
        <f>SUMIFS(F$2:F$1589,A$2:A$1589,A329,C$2:C$1589,C329,E$2:E$1589,E329,Q$2:Q$1589,Q329)</f>
        <v/>
      </c>
    </row>
    <row r="330">
      <c r="A330" s="3" t="inlineStr">
        <is>
          <t>compra</t>
        </is>
      </c>
      <c r="B330" s="3" t="inlineStr">
        <is>
          <t>ccaa:06</t>
        </is>
      </c>
      <c r="C330" s="3" t="inlineStr">
        <is>
          <t>P3</t>
        </is>
      </c>
      <c r="D330" s="3" t="inlineStr">
        <is>
          <t>factor_comun</t>
        </is>
      </c>
      <c r="E330" s="3" t="inlineStr">
        <is>
          <t>regional_ccaa_ols</t>
        </is>
      </c>
      <c r="F330" s="3" t="n">
        <v>-0.355767</v>
      </c>
      <c r="G330" s="3" t="n"/>
      <c r="H330" s="3" t="n"/>
      <c r="I330" s="3" t="n">
        <v>0.0433143</v>
      </c>
      <c r="J330" s="3" t="n">
        <v>-3.45173</v>
      </c>
      <c r="K330" s="3" t="n">
        <v>1.45146</v>
      </c>
      <c r="L330" s="3" t="n">
        <v>-5.29523</v>
      </c>
      <c r="M330" s="3" t="n">
        <v>2.76431</v>
      </c>
      <c r="N330" s="3" t="inlineStr">
        <is>
          <t>C4</t>
        </is>
      </c>
      <c r="O330" s="3" t="inlineStr">
        <is>
          <t>no</t>
        </is>
      </c>
      <c r="P330" s="3" t="inlineStr">
        <is>
          <t>no_compite</t>
        </is>
      </c>
      <c r="Q330" s="3" t="inlineStr">
        <is>
          <t>ols_solo_factor</t>
        </is>
      </c>
      <c r="R330" s="3" t="n"/>
      <c r="S330" s="3" t="inlineStr">
        <is>
          <t>contraste regional (R6); no vota</t>
        </is>
      </c>
      <c r="T330" s="3" t="inlineStr">
        <is>
          <t>output/v8/F5/atribucion_combinada.csv</t>
        </is>
      </c>
      <c r="U330" s="2">
        <f>IF(R330=0,"",F330/R330)</f>
        <v/>
      </c>
      <c r="V330" s="2">
        <f>SUMIFS(F$2:F$1589,A$2:A$1589,A330,C$2:C$1589,C330,E$2:E$1589,E330,Q$2:Q$1589,Q330)</f>
        <v/>
      </c>
    </row>
    <row r="331">
      <c r="A331" s="3" t="inlineStr">
        <is>
          <t>compra</t>
        </is>
      </c>
      <c r="B331" s="3" t="inlineStr">
        <is>
          <t>ccaa:06</t>
        </is>
      </c>
      <c r="C331" s="3" t="inlineStr">
        <is>
          <t>P3</t>
        </is>
      </c>
      <c r="D331" s="3" t="inlineStr">
        <is>
          <t>residuo</t>
        </is>
      </c>
      <c r="E331" s="3" t="inlineStr">
        <is>
          <t>regional_ccaa_ols</t>
        </is>
      </c>
      <c r="F331" s="3" t="n">
        <v>-7.85785</v>
      </c>
      <c r="G331" s="3" t="n"/>
      <c r="H331" s="3" t="n"/>
      <c r="I331" s="3" t="n">
        <v>0.956686</v>
      </c>
      <c r="J331" s="3" t="n"/>
      <c r="K331" s="3" t="n"/>
      <c r="L331" s="3" t="n"/>
      <c r="M331" s="3" t="n"/>
      <c r="N331" s="3" t="inlineStr">
        <is>
          <t>C4</t>
        </is>
      </c>
      <c r="O331" s="3" t="inlineStr">
        <is>
          <t>no</t>
        </is>
      </c>
      <c r="P331" s="3" t="inlineStr">
        <is>
          <t>no_compite</t>
        </is>
      </c>
      <c r="Q331" s="3" t="inlineStr">
        <is>
          <t>ols_solo_factor</t>
        </is>
      </c>
      <c r="R331" s="3" t="n"/>
      <c r="S331" s="3" t="inlineStr">
        <is>
          <t>contraste regional (R6); no vota</t>
        </is>
      </c>
      <c r="T331" s="3" t="inlineStr">
        <is>
          <t>output/v8/F5/atribucion_combinada.csv</t>
        </is>
      </c>
      <c r="U331" s="2">
        <f>IF(R331=0,"",F331/R331)</f>
        <v/>
      </c>
      <c r="V331" s="2">
        <f>SUMIFS(F$2:F$1589,A$2:A$1589,A331,C$2:C$1589,C331,E$2:E$1589,E331,Q$2:Q$1589,Q331)</f>
        <v/>
      </c>
    </row>
    <row r="332">
      <c r="A332" s="3" t="inlineStr">
        <is>
          <t>compra</t>
        </is>
      </c>
      <c r="B332" s="3" t="inlineStr">
        <is>
          <t>ccaa:07</t>
        </is>
      </c>
      <c r="C332" s="3" t="inlineStr">
        <is>
          <t>P3</t>
        </is>
      </c>
      <c r="D332" s="3" t="inlineStr">
        <is>
          <t>factor_comun</t>
        </is>
      </c>
      <c r="E332" s="3" t="inlineStr">
        <is>
          <t>regional_ccaa_ols</t>
        </is>
      </c>
      <c r="F332" s="3" t="n">
        <v>-0.562414</v>
      </c>
      <c r="G332" s="3" t="n"/>
      <c r="H332" s="3" t="n"/>
      <c r="I332" s="3" t="n">
        <v>0.0524091</v>
      </c>
      <c r="J332" s="3" t="n">
        <v>-4.18569</v>
      </c>
      <c r="K332" s="3" t="n">
        <v>3.24251</v>
      </c>
      <c r="L332" s="3" t="n">
        <v>-5.88422</v>
      </c>
      <c r="M332" s="3" t="n">
        <v>6.76882</v>
      </c>
      <c r="N332" s="3" t="inlineStr">
        <is>
          <t>C4</t>
        </is>
      </c>
      <c r="O332" s="3" t="inlineStr">
        <is>
          <t>no</t>
        </is>
      </c>
      <c r="P332" s="3" t="inlineStr">
        <is>
          <t>no_compite</t>
        </is>
      </c>
      <c r="Q332" s="3" t="inlineStr">
        <is>
          <t>ols_solo_factor</t>
        </is>
      </c>
      <c r="R332" s="3" t="n"/>
      <c r="S332" s="3" t="inlineStr">
        <is>
          <t>contraste regional (R6); no vota</t>
        </is>
      </c>
      <c r="T332" s="3" t="inlineStr">
        <is>
          <t>output/v8/F5/atribucion_combinada.csv</t>
        </is>
      </c>
      <c r="U332" s="2">
        <f>IF(R332=0,"",F332/R332)</f>
        <v/>
      </c>
      <c r="V332" s="2">
        <f>SUMIFS(F$2:F$1589,A$2:A$1589,A332,C$2:C$1589,C332,E$2:E$1589,E332,Q$2:Q$1589,Q332)</f>
        <v/>
      </c>
    </row>
    <row r="333">
      <c r="A333" s="3" t="inlineStr">
        <is>
          <t>compra</t>
        </is>
      </c>
      <c r="B333" s="3" t="inlineStr">
        <is>
          <t>ccaa:07</t>
        </is>
      </c>
      <c r="C333" s="3" t="inlineStr">
        <is>
          <t>P3</t>
        </is>
      </c>
      <c r="D333" s="3" t="inlineStr">
        <is>
          <t>residuo</t>
        </is>
      </c>
      <c r="E333" s="3" t="inlineStr">
        <is>
          <t>regional_ccaa_ols</t>
        </is>
      </c>
      <c r="F333" s="3" t="n">
        <v>-10.1688</v>
      </c>
      <c r="G333" s="3" t="n"/>
      <c r="H333" s="3" t="n"/>
      <c r="I333" s="3" t="n">
        <v>0.947591</v>
      </c>
      <c r="J333" s="3" t="n"/>
      <c r="K333" s="3" t="n"/>
      <c r="L333" s="3" t="n"/>
      <c r="M333" s="3" t="n"/>
      <c r="N333" s="3" t="inlineStr">
        <is>
          <t>C4</t>
        </is>
      </c>
      <c r="O333" s="3" t="inlineStr">
        <is>
          <t>no</t>
        </is>
      </c>
      <c r="P333" s="3" t="inlineStr">
        <is>
          <t>no_compite</t>
        </is>
      </c>
      <c r="Q333" s="3" t="inlineStr">
        <is>
          <t>ols_solo_factor</t>
        </is>
      </c>
      <c r="R333" s="3" t="n"/>
      <c r="S333" s="3" t="inlineStr">
        <is>
          <t>contraste regional (R6); no vota</t>
        </is>
      </c>
      <c r="T333" s="3" t="inlineStr">
        <is>
          <t>output/v8/F5/atribucion_combinada.csv</t>
        </is>
      </c>
      <c r="U333" s="2">
        <f>IF(R333=0,"",F333/R333)</f>
        <v/>
      </c>
      <c r="V333" s="2">
        <f>SUMIFS(F$2:F$1589,A$2:A$1589,A333,C$2:C$1589,C333,E$2:E$1589,E333,Q$2:Q$1589,Q333)</f>
        <v/>
      </c>
    </row>
    <row r="334">
      <c r="A334" s="3" t="inlineStr">
        <is>
          <t>compra</t>
        </is>
      </c>
      <c r="B334" s="3" t="inlineStr">
        <is>
          <t>ccaa:08</t>
        </is>
      </c>
      <c r="C334" s="3" t="inlineStr">
        <is>
          <t>P3</t>
        </is>
      </c>
      <c r="D334" s="3" t="inlineStr">
        <is>
          <t>factor_comun</t>
        </is>
      </c>
      <c r="E334" s="3" t="inlineStr">
        <is>
          <t>regional_ccaa_ols</t>
        </is>
      </c>
      <c r="F334" s="3" t="n">
        <v>-0.576809</v>
      </c>
      <c r="G334" s="3" t="n"/>
      <c r="H334" s="3" t="n"/>
      <c r="I334" s="3" t="n">
        <v>0.0584199</v>
      </c>
      <c r="J334" s="3" t="n">
        <v>-4.45906</v>
      </c>
      <c r="K334" s="3" t="n">
        <v>2.9644</v>
      </c>
      <c r="L334" s="3" t="n">
        <v>-6.37974</v>
      </c>
      <c r="M334" s="3" t="n">
        <v>5.16095</v>
      </c>
      <c r="N334" s="3" t="inlineStr">
        <is>
          <t>C4</t>
        </is>
      </c>
      <c r="O334" s="3" t="inlineStr">
        <is>
          <t>no</t>
        </is>
      </c>
      <c r="P334" s="3" t="inlineStr">
        <is>
          <t>no_compite</t>
        </is>
      </c>
      <c r="Q334" s="3" t="inlineStr">
        <is>
          <t>ols_solo_factor</t>
        </is>
      </c>
      <c r="R334" s="3" t="n"/>
      <c r="S334" s="3" t="inlineStr">
        <is>
          <t>contraste regional (R6); no vota</t>
        </is>
      </c>
      <c r="T334" s="3" t="inlineStr">
        <is>
          <t>output/v8/F5/atribucion_combinada.csv</t>
        </is>
      </c>
      <c r="U334" s="2">
        <f>IF(R334=0,"",F334/R334)</f>
        <v/>
      </c>
      <c r="V334" s="2">
        <f>SUMIFS(F$2:F$1589,A$2:A$1589,A334,C$2:C$1589,C334,E$2:E$1589,E334,Q$2:Q$1589,Q334)</f>
        <v/>
      </c>
    </row>
    <row r="335">
      <c r="A335" s="3" t="inlineStr">
        <is>
          <t>compra</t>
        </is>
      </c>
      <c r="B335" s="3" t="inlineStr">
        <is>
          <t>ccaa:08</t>
        </is>
      </c>
      <c r="C335" s="3" t="inlineStr">
        <is>
          <t>P3</t>
        </is>
      </c>
      <c r="D335" s="3" t="inlineStr">
        <is>
          <t>residuo</t>
        </is>
      </c>
      <c r="E335" s="3" t="inlineStr">
        <is>
          <t>regional_ccaa_ols</t>
        </is>
      </c>
      <c r="F335" s="3" t="n">
        <v>-9.2967</v>
      </c>
      <c r="G335" s="3" t="n"/>
      <c r="H335" s="3" t="n"/>
      <c r="I335" s="3" t="n">
        <v>0.94158</v>
      </c>
      <c r="J335" s="3" t="n"/>
      <c r="K335" s="3" t="n"/>
      <c r="L335" s="3" t="n"/>
      <c r="M335" s="3" t="n"/>
      <c r="N335" s="3" t="inlineStr">
        <is>
          <t>C4</t>
        </is>
      </c>
      <c r="O335" s="3" t="inlineStr">
        <is>
          <t>no</t>
        </is>
      </c>
      <c r="P335" s="3" t="inlineStr">
        <is>
          <t>no_compite</t>
        </is>
      </c>
      <c r="Q335" s="3" t="inlineStr">
        <is>
          <t>ols_solo_factor</t>
        </is>
      </c>
      <c r="R335" s="3" t="n"/>
      <c r="S335" s="3" t="inlineStr">
        <is>
          <t>contraste regional (R6); no vota</t>
        </is>
      </c>
      <c r="T335" s="3" t="inlineStr">
        <is>
          <t>output/v8/F5/atribucion_combinada.csv</t>
        </is>
      </c>
      <c r="U335" s="2">
        <f>IF(R335=0,"",F335/R335)</f>
        <v/>
      </c>
      <c r="V335" s="2">
        <f>SUMIFS(F$2:F$1589,A$2:A$1589,A335,C$2:C$1589,C335,E$2:E$1589,E335,Q$2:Q$1589,Q335)</f>
        <v/>
      </c>
    </row>
    <row r="336">
      <c r="A336" s="3" t="inlineStr">
        <is>
          <t>compra</t>
        </is>
      </c>
      <c r="B336" s="3" t="inlineStr">
        <is>
          <t>ccaa:09</t>
        </is>
      </c>
      <c r="C336" s="3" t="inlineStr">
        <is>
          <t>P3</t>
        </is>
      </c>
      <c r="D336" s="3" t="inlineStr">
        <is>
          <t>factor_comun</t>
        </is>
      </c>
      <c r="E336" s="3" t="inlineStr">
        <is>
          <t>regional_ccaa_ols</t>
        </is>
      </c>
      <c r="F336" s="3" t="n">
        <v>-0.5094</v>
      </c>
      <c r="G336" s="3" t="n"/>
      <c r="H336" s="3" t="n"/>
      <c r="I336" s="3" t="n">
        <v>-0.0353632</v>
      </c>
      <c r="J336" s="3" t="n">
        <v>-3.86172</v>
      </c>
      <c r="K336" s="3" t="n">
        <v>1.88301</v>
      </c>
      <c r="L336" s="3" t="n">
        <v>-6.29273</v>
      </c>
      <c r="M336" s="3" t="n">
        <v>3.72563</v>
      </c>
      <c r="N336" s="3" t="inlineStr">
        <is>
          <t>C4</t>
        </is>
      </c>
      <c r="O336" s="3" t="inlineStr">
        <is>
          <t>no</t>
        </is>
      </c>
      <c r="P336" s="3" t="inlineStr">
        <is>
          <t>no_compite</t>
        </is>
      </c>
      <c r="Q336" s="3" t="inlineStr">
        <is>
          <t>ols_solo_factor</t>
        </is>
      </c>
      <c r="R336" s="3" t="n"/>
      <c r="S336" s="3" t="inlineStr">
        <is>
          <t>contraste regional (R6); no vota</t>
        </is>
      </c>
      <c r="T336" s="3" t="inlineStr">
        <is>
          <t>output/v8/F5/atribucion_combinada.csv</t>
        </is>
      </c>
      <c r="U336" s="2">
        <f>IF(R336=0,"",F336/R336)</f>
        <v/>
      </c>
      <c r="V336" s="2">
        <f>SUMIFS(F$2:F$1589,A$2:A$1589,A336,C$2:C$1589,C336,E$2:E$1589,E336,Q$2:Q$1589,Q336)</f>
        <v/>
      </c>
    </row>
    <row r="337">
      <c r="A337" s="3" t="inlineStr">
        <is>
          <t>compra</t>
        </is>
      </c>
      <c r="B337" s="3" t="inlineStr">
        <is>
          <t>ccaa:09</t>
        </is>
      </c>
      <c r="C337" s="3" t="inlineStr">
        <is>
          <t>P3</t>
        </is>
      </c>
      <c r="D337" s="3" t="inlineStr">
        <is>
          <t>residuo</t>
        </is>
      </c>
      <c r="E337" s="3" t="inlineStr">
        <is>
          <t>regional_ccaa_ols</t>
        </is>
      </c>
      <c r="F337" s="3" t="n">
        <v>14.9142</v>
      </c>
      <c r="G337" s="3" t="n"/>
      <c r="H337" s="3" t="n"/>
      <c r="I337" s="3" t="n">
        <v>1.03536</v>
      </c>
      <c r="J337" s="3" t="n"/>
      <c r="K337" s="3" t="n"/>
      <c r="L337" s="3" t="n"/>
      <c r="M337" s="3" t="n"/>
      <c r="N337" s="3" t="inlineStr">
        <is>
          <t>C4</t>
        </is>
      </c>
      <c r="O337" s="3" t="inlineStr">
        <is>
          <t>no</t>
        </is>
      </c>
      <c r="P337" s="3" t="inlineStr">
        <is>
          <t>no_compite</t>
        </is>
      </c>
      <c r="Q337" s="3" t="inlineStr">
        <is>
          <t>ols_solo_factor</t>
        </is>
      </c>
      <c r="R337" s="3" t="n"/>
      <c r="S337" s="3" t="inlineStr">
        <is>
          <t>contraste regional (R6); no vota</t>
        </is>
      </c>
      <c r="T337" s="3" t="inlineStr">
        <is>
          <t>output/v8/F5/atribucion_combinada.csv</t>
        </is>
      </c>
      <c r="U337" s="2">
        <f>IF(R337=0,"",F337/R337)</f>
        <v/>
      </c>
      <c r="V337" s="2">
        <f>SUMIFS(F$2:F$1589,A$2:A$1589,A337,C$2:C$1589,C337,E$2:E$1589,E337,Q$2:Q$1589,Q337)</f>
        <v/>
      </c>
    </row>
    <row r="338">
      <c r="A338" s="3" t="inlineStr">
        <is>
          <t>compra</t>
        </is>
      </c>
      <c r="B338" s="3" t="inlineStr">
        <is>
          <t>ccaa:10</t>
        </is>
      </c>
      <c r="C338" s="3" t="inlineStr">
        <is>
          <t>P3</t>
        </is>
      </c>
      <c r="D338" s="3" t="inlineStr">
        <is>
          <t>factor_comun</t>
        </is>
      </c>
      <c r="E338" s="3" t="inlineStr">
        <is>
          <t>regional_ccaa_ols</t>
        </is>
      </c>
      <c r="F338" s="3" t="n">
        <v>-0.467452</v>
      </c>
      <c r="G338" s="3" t="n"/>
      <c r="H338" s="3" t="n"/>
      <c r="I338" s="3" t="n">
        <v>-0.131382</v>
      </c>
      <c r="J338" s="3" t="n">
        <v>-3.98666</v>
      </c>
      <c r="K338" s="3" t="n">
        <v>2.82569</v>
      </c>
      <c r="L338" s="3" t="n">
        <v>-5.55386</v>
      </c>
      <c r="M338" s="3" t="n">
        <v>4.5939</v>
      </c>
      <c r="N338" s="3" t="inlineStr">
        <is>
          <t>C4</t>
        </is>
      </c>
      <c r="O338" s="3" t="inlineStr">
        <is>
          <t>no</t>
        </is>
      </c>
      <c r="P338" s="3" t="inlineStr">
        <is>
          <t>no_compite</t>
        </is>
      </c>
      <c r="Q338" s="3" t="inlineStr">
        <is>
          <t>ols_solo_factor</t>
        </is>
      </c>
      <c r="R338" s="3" t="n"/>
      <c r="S338" s="3" t="inlineStr">
        <is>
          <t>contraste regional (R6); no vota</t>
        </is>
      </c>
      <c r="T338" s="3" t="inlineStr">
        <is>
          <t>output/v8/F5/atribucion_combinada.csv</t>
        </is>
      </c>
      <c r="U338" s="2">
        <f>IF(R338=0,"",F338/R338)</f>
        <v/>
      </c>
      <c r="V338" s="2">
        <f>SUMIFS(F$2:F$1589,A$2:A$1589,A338,C$2:C$1589,C338,E$2:E$1589,E338,Q$2:Q$1589,Q338)</f>
        <v/>
      </c>
    </row>
    <row r="339">
      <c r="A339" s="3" t="inlineStr">
        <is>
          <t>compra</t>
        </is>
      </c>
      <c r="B339" s="3" t="inlineStr">
        <is>
          <t>ccaa:10</t>
        </is>
      </c>
      <c r="C339" s="3" t="inlineStr">
        <is>
          <t>P3</t>
        </is>
      </c>
      <c r="D339" s="3" t="inlineStr">
        <is>
          <t>residuo</t>
        </is>
      </c>
      <c r="E339" s="3" t="inlineStr">
        <is>
          <t>regional_ccaa_ols</t>
        </is>
      </c>
      <c r="F339" s="3" t="n">
        <v>4.0254</v>
      </c>
      <c r="G339" s="3" t="n"/>
      <c r="H339" s="3" t="n"/>
      <c r="I339" s="3" t="n">
        <v>1.13138</v>
      </c>
      <c r="J339" s="3" t="n"/>
      <c r="K339" s="3" t="n"/>
      <c r="L339" s="3" t="n"/>
      <c r="M339" s="3" t="n"/>
      <c r="N339" s="3" t="inlineStr">
        <is>
          <t>C4</t>
        </is>
      </c>
      <c r="O339" s="3" t="inlineStr">
        <is>
          <t>no</t>
        </is>
      </c>
      <c r="P339" s="3" t="inlineStr">
        <is>
          <t>no_compite</t>
        </is>
      </c>
      <c r="Q339" s="3" t="inlineStr">
        <is>
          <t>ols_solo_factor</t>
        </is>
      </c>
      <c r="R339" s="3" t="n"/>
      <c r="S339" s="3" t="inlineStr">
        <is>
          <t>contraste regional (R6); no vota</t>
        </is>
      </c>
      <c r="T339" s="3" t="inlineStr">
        <is>
          <t>output/v8/F5/atribucion_combinada.csv</t>
        </is>
      </c>
      <c r="U339" s="2">
        <f>IF(R339=0,"",F339/R339)</f>
        <v/>
      </c>
      <c r="V339" s="2">
        <f>SUMIFS(F$2:F$1589,A$2:A$1589,A339,C$2:C$1589,C339,E$2:E$1589,E339,Q$2:Q$1589,Q339)</f>
        <v/>
      </c>
    </row>
    <row r="340">
      <c r="A340" s="3" t="inlineStr">
        <is>
          <t>compra</t>
        </is>
      </c>
      <c r="B340" s="3" t="inlineStr">
        <is>
          <t>ccaa:11</t>
        </is>
      </c>
      <c r="C340" s="3" t="inlineStr">
        <is>
          <t>P3</t>
        </is>
      </c>
      <c r="D340" s="3" t="inlineStr">
        <is>
          <t>factor_comun</t>
        </is>
      </c>
      <c r="E340" s="3" t="inlineStr">
        <is>
          <t>regional_ccaa_ols</t>
        </is>
      </c>
      <c r="F340" s="3" t="n">
        <v>-0.61951</v>
      </c>
      <c r="G340" s="3" t="n"/>
      <c r="H340" s="3" t="n"/>
      <c r="I340" s="3" t="n">
        <v>0.0973065</v>
      </c>
      <c r="J340" s="3" t="n">
        <v>-5.06542</v>
      </c>
      <c r="K340" s="3" t="n">
        <v>3.83196</v>
      </c>
      <c r="L340" s="3" t="n">
        <v>-7.52678</v>
      </c>
      <c r="M340" s="3" t="n">
        <v>6.69284</v>
      </c>
      <c r="N340" s="3" t="inlineStr">
        <is>
          <t>C4</t>
        </is>
      </c>
      <c r="O340" s="3" t="inlineStr">
        <is>
          <t>no</t>
        </is>
      </c>
      <c r="P340" s="3" t="inlineStr">
        <is>
          <t>no_compite</t>
        </is>
      </c>
      <c r="Q340" s="3" t="inlineStr">
        <is>
          <t>ols_solo_factor</t>
        </is>
      </c>
      <c r="R340" s="3" t="n"/>
      <c r="S340" s="3" t="inlineStr">
        <is>
          <t>contraste regional (R6); no vota</t>
        </is>
      </c>
      <c r="T340" s="3" t="inlineStr">
        <is>
          <t>output/v8/F5/atribucion_combinada.csv</t>
        </is>
      </c>
      <c r="U340" s="2">
        <f>IF(R340=0,"",F340/R340)</f>
        <v/>
      </c>
      <c r="V340" s="2">
        <f>SUMIFS(F$2:F$1589,A$2:A$1589,A340,C$2:C$1589,C340,E$2:E$1589,E340,Q$2:Q$1589,Q340)</f>
        <v/>
      </c>
    </row>
    <row r="341">
      <c r="A341" s="3" t="inlineStr">
        <is>
          <t>compra</t>
        </is>
      </c>
      <c r="B341" s="3" t="inlineStr">
        <is>
          <t>ccaa:11</t>
        </is>
      </c>
      <c r="C341" s="3" t="inlineStr">
        <is>
          <t>P3</t>
        </is>
      </c>
      <c r="D341" s="3" t="inlineStr">
        <is>
          <t>residuo</t>
        </is>
      </c>
      <c r="E341" s="3" t="inlineStr">
        <is>
          <t>regional_ccaa_ols</t>
        </is>
      </c>
      <c r="F341" s="3" t="n">
        <v>-5.74708</v>
      </c>
      <c r="G341" s="3" t="n"/>
      <c r="H341" s="3" t="n"/>
      <c r="I341" s="3" t="n">
        <v>0.902694</v>
      </c>
      <c r="J341" s="3" t="n"/>
      <c r="K341" s="3" t="n"/>
      <c r="L341" s="3" t="n"/>
      <c r="M341" s="3" t="n"/>
      <c r="N341" s="3" t="inlineStr">
        <is>
          <t>C4</t>
        </is>
      </c>
      <c r="O341" s="3" t="inlineStr">
        <is>
          <t>no</t>
        </is>
      </c>
      <c r="P341" s="3" t="inlineStr">
        <is>
          <t>no_compite</t>
        </is>
      </c>
      <c r="Q341" s="3" t="inlineStr">
        <is>
          <t>ols_solo_factor</t>
        </is>
      </c>
      <c r="R341" s="3" t="n"/>
      <c r="S341" s="3" t="inlineStr">
        <is>
          <t>contraste regional (R6); no vota</t>
        </is>
      </c>
      <c r="T341" s="3" t="inlineStr">
        <is>
          <t>output/v8/F5/atribucion_combinada.csv</t>
        </is>
      </c>
      <c r="U341" s="2">
        <f>IF(R341=0,"",F341/R341)</f>
        <v/>
      </c>
      <c r="V341" s="2">
        <f>SUMIFS(F$2:F$1589,A$2:A$1589,A341,C$2:C$1589,C341,E$2:E$1589,E341,Q$2:Q$1589,Q341)</f>
        <v/>
      </c>
    </row>
    <row r="342">
      <c r="A342" s="3" t="inlineStr">
        <is>
          <t>compra</t>
        </is>
      </c>
      <c r="B342" s="3" t="inlineStr">
        <is>
          <t>ccaa:12</t>
        </is>
      </c>
      <c r="C342" s="3" t="inlineStr">
        <is>
          <t>P3</t>
        </is>
      </c>
      <c r="D342" s="3" t="inlineStr">
        <is>
          <t>factor_comun</t>
        </is>
      </c>
      <c r="E342" s="3" t="inlineStr">
        <is>
          <t>regional_ccaa_ols</t>
        </is>
      </c>
      <c r="F342" s="3" t="n">
        <v>-0.360553</v>
      </c>
      <c r="G342" s="3" t="n"/>
      <c r="H342" s="3" t="n"/>
      <c r="I342" s="3" t="n">
        <v>0.0828512</v>
      </c>
      <c r="J342" s="3" t="n">
        <v>-2.31291</v>
      </c>
      <c r="K342" s="3" t="n">
        <v>3.00518</v>
      </c>
      <c r="L342" s="3" t="n">
        <v>-3.71943</v>
      </c>
      <c r="M342" s="3" t="n">
        <v>6.05857</v>
      </c>
      <c r="N342" s="3" t="inlineStr">
        <is>
          <t>C4</t>
        </is>
      </c>
      <c r="O342" s="3" t="inlineStr">
        <is>
          <t>no</t>
        </is>
      </c>
      <c r="P342" s="3" t="inlineStr">
        <is>
          <t>no_compite</t>
        </is>
      </c>
      <c r="Q342" s="3" t="inlineStr">
        <is>
          <t>ols_solo_factor</t>
        </is>
      </c>
      <c r="R342" s="3" t="n"/>
      <c r="S342" s="3" t="inlineStr">
        <is>
          <t>contraste regional (R6); no vota</t>
        </is>
      </c>
      <c r="T342" s="3" t="inlineStr">
        <is>
          <t>output/v8/F5/atribucion_combinada.csv</t>
        </is>
      </c>
      <c r="U342" s="2">
        <f>IF(R342=0,"",F342/R342)</f>
        <v/>
      </c>
      <c r="V342" s="2">
        <f>SUMIFS(F$2:F$1589,A$2:A$1589,A342,C$2:C$1589,C342,E$2:E$1589,E342,Q$2:Q$1589,Q342)</f>
        <v/>
      </c>
    </row>
    <row r="343">
      <c r="A343" s="3" t="inlineStr">
        <is>
          <t>compra</t>
        </is>
      </c>
      <c r="B343" s="3" t="inlineStr">
        <is>
          <t>ccaa:12</t>
        </is>
      </c>
      <c r="C343" s="3" t="inlineStr">
        <is>
          <t>P3</t>
        </is>
      </c>
      <c r="D343" s="3" t="inlineStr">
        <is>
          <t>residuo</t>
        </is>
      </c>
      <c r="E343" s="3" t="inlineStr">
        <is>
          <t>regional_ccaa_ols</t>
        </is>
      </c>
      <c r="F343" s="3" t="n">
        <v>-3.99126</v>
      </c>
      <c r="G343" s="3" t="n"/>
      <c r="H343" s="3" t="n"/>
      <c r="I343" s="3" t="n">
        <v>0.917149</v>
      </c>
      <c r="J343" s="3" t="n"/>
      <c r="K343" s="3" t="n"/>
      <c r="L343" s="3" t="n"/>
      <c r="M343" s="3" t="n"/>
      <c r="N343" s="3" t="inlineStr">
        <is>
          <t>C4</t>
        </is>
      </c>
      <c r="O343" s="3" t="inlineStr">
        <is>
          <t>no</t>
        </is>
      </c>
      <c r="P343" s="3" t="inlineStr">
        <is>
          <t>no_compite</t>
        </is>
      </c>
      <c r="Q343" s="3" t="inlineStr">
        <is>
          <t>ols_solo_factor</t>
        </is>
      </c>
      <c r="R343" s="3" t="n"/>
      <c r="S343" s="3" t="inlineStr">
        <is>
          <t>contraste regional (R6); no vota</t>
        </is>
      </c>
      <c r="T343" s="3" t="inlineStr">
        <is>
          <t>output/v8/F5/atribucion_combinada.csv</t>
        </is>
      </c>
      <c r="U343" s="2">
        <f>IF(R343=0,"",F343/R343)</f>
        <v/>
      </c>
      <c r="V343" s="2">
        <f>SUMIFS(F$2:F$1589,A$2:A$1589,A343,C$2:C$1589,C343,E$2:E$1589,E343,Q$2:Q$1589,Q343)</f>
        <v/>
      </c>
    </row>
    <row r="344">
      <c r="A344" s="3" t="inlineStr">
        <is>
          <t>compra</t>
        </is>
      </c>
      <c r="B344" s="3" t="inlineStr">
        <is>
          <t>ccaa:13</t>
        </is>
      </c>
      <c r="C344" s="3" t="inlineStr">
        <is>
          <t>P3</t>
        </is>
      </c>
      <c r="D344" s="3" t="inlineStr">
        <is>
          <t>factor_comun</t>
        </is>
      </c>
      <c r="E344" s="3" t="inlineStr">
        <is>
          <t>regional_ccaa_ols</t>
        </is>
      </c>
      <c r="F344" s="3" t="n">
        <v>-0.434024</v>
      </c>
      <c r="G344" s="3" t="n"/>
      <c r="H344" s="3" t="n"/>
      <c r="I344" s="3" t="n">
        <v>-0.0191328</v>
      </c>
      <c r="J344" s="3" t="n">
        <v>-3.63077</v>
      </c>
      <c r="K344" s="3" t="n">
        <v>1.41411</v>
      </c>
      <c r="L344" s="3" t="n">
        <v>-6.8351</v>
      </c>
      <c r="M344" s="3" t="n">
        <v>2.73552</v>
      </c>
      <c r="N344" s="3" t="inlineStr">
        <is>
          <t>C4</t>
        </is>
      </c>
      <c r="O344" s="3" t="inlineStr">
        <is>
          <t>no</t>
        </is>
      </c>
      <c r="P344" s="3" t="inlineStr">
        <is>
          <t>no_compite</t>
        </is>
      </c>
      <c r="Q344" s="3" t="inlineStr">
        <is>
          <t>ols_solo_factor</t>
        </is>
      </c>
      <c r="R344" s="3" t="n"/>
      <c r="S344" s="3" t="inlineStr">
        <is>
          <t>contraste regional (R6); no vota</t>
        </is>
      </c>
      <c r="T344" s="3" t="inlineStr">
        <is>
          <t>output/v8/F5/atribucion_combinada.csv</t>
        </is>
      </c>
      <c r="U344" s="2">
        <f>IF(R344=0,"",F344/R344)</f>
        <v/>
      </c>
      <c r="V344" s="2">
        <f>SUMIFS(F$2:F$1589,A$2:A$1589,A344,C$2:C$1589,C344,E$2:E$1589,E344,Q$2:Q$1589,Q344)</f>
        <v/>
      </c>
    </row>
    <row r="345">
      <c r="A345" s="3" t="inlineStr">
        <is>
          <t>compra</t>
        </is>
      </c>
      <c r="B345" s="3" t="inlineStr">
        <is>
          <t>ccaa:13</t>
        </is>
      </c>
      <c r="C345" s="3" t="inlineStr">
        <is>
          <t>P3</t>
        </is>
      </c>
      <c r="D345" s="3" t="inlineStr">
        <is>
          <t>residuo</t>
        </is>
      </c>
      <c r="E345" s="3" t="inlineStr">
        <is>
          <t>regional_ccaa_ols</t>
        </is>
      </c>
      <c r="F345" s="3" t="n">
        <v>23.1188</v>
      </c>
      <c r="G345" s="3" t="n"/>
      <c r="H345" s="3" t="n"/>
      <c r="I345" s="3" t="n">
        <v>1.01913</v>
      </c>
      <c r="J345" s="3" t="n"/>
      <c r="K345" s="3" t="n"/>
      <c r="L345" s="3" t="n"/>
      <c r="M345" s="3" t="n"/>
      <c r="N345" s="3" t="inlineStr">
        <is>
          <t>C4</t>
        </is>
      </c>
      <c r="O345" s="3" t="inlineStr">
        <is>
          <t>no</t>
        </is>
      </c>
      <c r="P345" s="3" t="inlineStr">
        <is>
          <t>no_compite</t>
        </is>
      </c>
      <c r="Q345" s="3" t="inlineStr">
        <is>
          <t>ols_solo_factor</t>
        </is>
      </c>
      <c r="R345" s="3" t="n"/>
      <c r="S345" s="3" t="inlineStr">
        <is>
          <t>contraste regional (R6); no vota</t>
        </is>
      </c>
      <c r="T345" s="3" t="inlineStr">
        <is>
          <t>output/v8/F5/atribucion_combinada.csv</t>
        </is>
      </c>
      <c r="U345" s="2">
        <f>IF(R345=0,"",F345/R345)</f>
        <v/>
      </c>
      <c r="V345" s="2">
        <f>SUMIFS(F$2:F$1589,A$2:A$1589,A345,C$2:C$1589,C345,E$2:E$1589,E345,Q$2:Q$1589,Q345)</f>
        <v/>
      </c>
    </row>
    <row r="346">
      <c r="A346" s="3" t="inlineStr">
        <is>
          <t>compra</t>
        </is>
      </c>
      <c r="B346" s="3" t="inlineStr">
        <is>
          <t>ccaa:14</t>
        </is>
      </c>
      <c r="C346" s="3" t="inlineStr">
        <is>
          <t>P3</t>
        </is>
      </c>
      <c r="D346" s="3" t="inlineStr">
        <is>
          <t>factor_comun</t>
        </is>
      </c>
      <c r="E346" s="3" t="inlineStr">
        <is>
          <t>regional_ccaa_ols</t>
        </is>
      </c>
      <c r="F346" s="3" t="n">
        <v>-0.553439</v>
      </c>
      <c r="G346" s="3" t="n"/>
      <c r="H346" s="3" t="n"/>
      <c r="I346" s="3" t="n">
        <v>0.06454890000000001</v>
      </c>
      <c r="J346" s="3" t="n">
        <v>-4.65541</v>
      </c>
      <c r="K346" s="3" t="n">
        <v>2.96861</v>
      </c>
      <c r="L346" s="3" t="n">
        <v>-7.13894</v>
      </c>
      <c r="M346" s="3" t="n">
        <v>5.4235</v>
      </c>
      <c r="N346" s="3" t="inlineStr">
        <is>
          <t>C4</t>
        </is>
      </c>
      <c r="O346" s="3" t="inlineStr">
        <is>
          <t>no</t>
        </is>
      </c>
      <c r="P346" s="3" t="inlineStr">
        <is>
          <t>no_compite</t>
        </is>
      </c>
      <c r="Q346" s="3" t="inlineStr">
        <is>
          <t>ols_solo_factor</t>
        </is>
      </c>
      <c r="R346" s="3" t="n"/>
      <c r="S346" s="3" t="inlineStr">
        <is>
          <t>contraste regional (R6); no vota</t>
        </is>
      </c>
      <c r="T346" s="3" t="inlineStr">
        <is>
          <t>output/v8/F5/atribucion_combinada.csv</t>
        </is>
      </c>
      <c r="U346" s="2">
        <f>IF(R346=0,"",F346/R346)</f>
        <v/>
      </c>
      <c r="V346" s="2">
        <f>SUMIFS(F$2:F$1589,A$2:A$1589,A346,C$2:C$1589,C346,E$2:E$1589,E346,Q$2:Q$1589,Q346)</f>
        <v/>
      </c>
    </row>
    <row r="347">
      <c r="A347" s="3" t="inlineStr">
        <is>
          <t>compra</t>
        </is>
      </c>
      <c r="B347" s="3" t="inlineStr">
        <is>
          <t>ccaa:14</t>
        </is>
      </c>
      <c r="C347" s="3" t="inlineStr">
        <is>
          <t>P3</t>
        </is>
      </c>
      <c r="D347" s="3" t="inlineStr">
        <is>
          <t>residuo</t>
        </is>
      </c>
      <c r="E347" s="3" t="inlineStr">
        <is>
          <t>regional_ccaa_ols</t>
        </is>
      </c>
      <c r="F347" s="3" t="n">
        <v>-8.02051</v>
      </c>
      <c r="G347" s="3" t="n"/>
      <c r="H347" s="3" t="n"/>
      <c r="I347" s="3" t="n">
        <v>0.935451</v>
      </c>
      <c r="J347" s="3" t="n"/>
      <c r="K347" s="3" t="n"/>
      <c r="L347" s="3" t="n"/>
      <c r="M347" s="3" t="n"/>
      <c r="N347" s="3" t="inlineStr">
        <is>
          <t>C4</t>
        </is>
      </c>
      <c r="O347" s="3" t="inlineStr">
        <is>
          <t>no</t>
        </is>
      </c>
      <c r="P347" s="3" t="inlineStr">
        <is>
          <t>no_compite</t>
        </is>
      </c>
      <c r="Q347" s="3" t="inlineStr">
        <is>
          <t>ols_solo_factor</t>
        </is>
      </c>
      <c r="R347" s="3" t="n"/>
      <c r="S347" s="3" t="inlineStr">
        <is>
          <t>contraste regional (R6); no vota</t>
        </is>
      </c>
      <c r="T347" s="3" t="inlineStr">
        <is>
          <t>output/v8/F5/atribucion_combinada.csv</t>
        </is>
      </c>
      <c r="U347" s="2">
        <f>IF(R347=0,"",F347/R347)</f>
        <v/>
      </c>
      <c r="V347" s="2">
        <f>SUMIFS(F$2:F$1589,A$2:A$1589,A347,C$2:C$1589,C347,E$2:E$1589,E347,Q$2:Q$1589,Q347)</f>
        <v/>
      </c>
    </row>
    <row r="348">
      <c r="A348" s="3" t="inlineStr">
        <is>
          <t>compra</t>
        </is>
      </c>
      <c r="B348" s="3" t="inlineStr">
        <is>
          <t>ccaa:15</t>
        </is>
      </c>
      <c r="C348" s="3" t="inlineStr">
        <is>
          <t>P3</t>
        </is>
      </c>
      <c r="D348" s="3" t="inlineStr">
        <is>
          <t>factor_comun</t>
        </is>
      </c>
      <c r="E348" s="3" t="inlineStr">
        <is>
          <t>regional_ccaa_ols</t>
        </is>
      </c>
      <c r="F348" s="3" t="n">
        <v>-0.662621</v>
      </c>
      <c r="G348" s="3" t="n"/>
      <c r="H348" s="3" t="n"/>
      <c r="I348" s="3" t="n">
        <v>0.892466</v>
      </c>
      <c r="J348" s="3" t="n">
        <v>-5.64574</v>
      </c>
      <c r="K348" s="3" t="n">
        <v>3.64135</v>
      </c>
      <c r="L348" s="3" t="n">
        <v>-9.156319999999999</v>
      </c>
      <c r="M348" s="3" t="n">
        <v>6.00157</v>
      </c>
      <c r="N348" s="3" t="inlineStr">
        <is>
          <t>C4</t>
        </is>
      </c>
      <c r="O348" s="3" t="inlineStr">
        <is>
          <t>no</t>
        </is>
      </c>
      <c r="P348" s="3" t="inlineStr">
        <is>
          <t>no_compite</t>
        </is>
      </c>
      <c r="Q348" s="3" t="inlineStr">
        <is>
          <t>ols_solo_factor</t>
        </is>
      </c>
      <c r="R348" s="3" t="n"/>
      <c r="S348" s="3" t="inlineStr">
        <is>
          <t>contraste regional (R6); no vota</t>
        </is>
      </c>
      <c r="T348" s="3" t="inlineStr">
        <is>
          <t>output/v8/F5/atribucion_combinada.csv</t>
        </is>
      </c>
      <c r="U348" s="2">
        <f>IF(R348=0,"",F348/R348)</f>
        <v/>
      </c>
      <c r="V348" s="2">
        <f>SUMIFS(F$2:F$1589,A$2:A$1589,A348,C$2:C$1589,C348,E$2:E$1589,E348,Q$2:Q$1589,Q348)</f>
        <v/>
      </c>
    </row>
    <row r="349">
      <c r="A349" s="3" t="inlineStr">
        <is>
          <t>compra</t>
        </is>
      </c>
      <c r="B349" s="3" t="inlineStr">
        <is>
          <t>ccaa:15</t>
        </is>
      </c>
      <c r="C349" s="3" t="inlineStr">
        <is>
          <t>P3</t>
        </is>
      </c>
      <c r="D349" s="3" t="inlineStr">
        <is>
          <t>residuo</t>
        </is>
      </c>
      <c r="E349" s="3" t="inlineStr">
        <is>
          <t>regional_ccaa_ols</t>
        </is>
      </c>
      <c r="F349" s="3" t="n">
        <v>-0.0798402</v>
      </c>
      <c r="G349" s="3" t="n"/>
      <c r="H349" s="3" t="n"/>
      <c r="I349" s="3" t="n">
        <v>0.107534</v>
      </c>
      <c r="J349" s="3" t="n"/>
      <c r="K349" s="3" t="n"/>
      <c r="L349" s="3" t="n"/>
      <c r="M349" s="3" t="n"/>
      <c r="N349" s="3" t="inlineStr">
        <is>
          <t>C4</t>
        </is>
      </c>
      <c r="O349" s="3" t="inlineStr">
        <is>
          <t>no</t>
        </is>
      </c>
      <c r="P349" s="3" t="inlineStr">
        <is>
          <t>no_compite</t>
        </is>
      </c>
      <c r="Q349" s="3" t="inlineStr">
        <is>
          <t>ols_solo_factor</t>
        </is>
      </c>
      <c r="R349" s="3" t="n"/>
      <c r="S349" s="3" t="inlineStr">
        <is>
          <t>contraste regional (R6); no vota</t>
        </is>
      </c>
      <c r="T349" s="3" t="inlineStr">
        <is>
          <t>output/v8/F5/atribucion_combinada.csv</t>
        </is>
      </c>
      <c r="U349" s="2">
        <f>IF(R349=0,"",F349/R349)</f>
        <v/>
      </c>
      <c r="V349" s="2">
        <f>SUMIFS(F$2:F$1589,A$2:A$1589,A349,C$2:C$1589,C349,E$2:E$1589,E349,Q$2:Q$1589,Q349)</f>
        <v/>
      </c>
    </row>
    <row r="350">
      <c r="A350" s="3" t="inlineStr">
        <is>
          <t>compra</t>
        </is>
      </c>
      <c r="B350" s="3" t="inlineStr">
        <is>
          <t>ccaa:16</t>
        </is>
      </c>
      <c r="C350" s="3" t="inlineStr">
        <is>
          <t>P3</t>
        </is>
      </c>
      <c r="D350" s="3" t="inlineStr">
        <is>
          <t>factor_comun</t>
        </is>
      </c>
      <c r="E350" s="3" t="inlineStr">
        <is>
          <t>regional_ccaa_ols</t>
        </is>
      </c>
      <c r="F350" s="3" t="n">
        <v>-0.259139</v>
      </c>
      <c r="G350" s="3" t="n"/>
      <c r="H350" s="3" t="n"/>
      <c r="I350" s="3" t="n">
        <v>0.0341618</v>
      </c>
      <c r="J350" s="3" t="n">
        <v>-2.11147</v>
      </c>
      <c r="K350" s="3" t="n">
        <v>1.41301</v>
      </c>
      <c r="L350" s="3" t="n">
        <v>-3.35447</v>
      </c>
      <c r="M350" s="3" t="n">
        <v>2.39533</v>
      </c>
      <c r="N350" s="3" t="inlineStr">
        <is>
          <t>C4</t>
        </is>
      </c>
      <c r="O350" s="3" t="inlineStr">
        <is>
          <t>no</t>
        </is>
      </c>
      <c r="P350" s="3" t="inlineStr">
        <is>
          <t>no_compite</t>
        </is>
      </c>
      <c r="Q350" s="3" t="inlineStr">
        <is>
          <t>ols_solo_factor</t>
        </is>
      </c>
      <c r="R350" s="3" t="n"/>
      <c r="S350" s="3" t="inlineStr">
        <is>
          <t>contraste regional (R6); no vota</t>
        </is>
      </c>
      <c r="T350" s="3" t="inlineStr">
        <is>
          <t>output/v8/F5/atribucion_combinada.csv</t>
        </is>
      </c>
      <c r="U350" s="2">
        <f>IF(R350=0,"",F350/R350)</f>
        <v/>
      </c>
      <c r="V350" s="2">
        <f>SUMIFS(F$2:F$1589,A$2:A$1589,A350,C$2:C$1589,C350,E$2:E$1589,E350,Q$2:Q$1589,Q350)</f>
        <v/>
      </c>
    </row>
    <row r="351">
      <c r="A351" s="3" t="inlineStr">
        <is>
          <t>compra</t>
        </is>
      </c>
      <c r="B351" s="3" t="inlineStr">
        <is>
          <t>ccaa:16</t>
        </is>
      </c>
      <c r="C351" s="3" t="inlineStr">
        <is>
          <t>P3</t>
        </is>
      </c>
      <c r="D351" s="3" t="inlineStr">
        <is>
          <t>residuo</t>
        </is>
      </c>
      <c r="E351" s="3" t="inlineStr">
        <is>
          <t>regional_ccaa_ols</t>
        </is>
      </c>
      <c r="F351" s="3" t="n">
        <v>-7.32648</v>
      </c>
      <c r="G351" s="3" t="n"/>
      <c r="H351" s="3" t="n"/>
      <c r="I351" s="3" t="n">
        <v>0.965838</v>
      </c>
      <c r="J351" s="3" t="n"/>
      <c r="K351" s="3" t="n"/>
      <c r="L351" s="3" t="n"/>
      <c r="M351" s="3" t="n"/>
      <c r="N351" s="3" t="inlineStr">
        <is>
          <t>C4</t>
        </is>
      </c>
      <c r="O351" s="3" t="inlineStr">
        <is>
          <t>no</t>
        </is>
      </c>
      <c r="P351" s="3" t="inlineStr">
        <is>
          <t>no_compite</t>
        </is>
      </c>
      <c r="Q351" s="3" t="inlineStr">
        <is>
          <t>ols_solo_factor</t>
        </is>
      </c>
      <c r="R351" s="3" t="n"/>
      <c r="S351" s="3" t="inlineStr">
        <is>
          <t>contraste regional (R6); no vota</t>
        </is>
      </c>
      <c r="T351" s="3" t="inlineStr">
        <is>
          <t>output/v8/F5/atribucion_combinada.csv</t>
        </is>
      </c>
      <c r="U351" s="2">
        <f>IF(R351=0,"",F351/R351)</f>
        <v/>
      </c>
      <c r="V351" s="2">
        <f>SUMIFS(F$2:F$1589,A$2:A$1589,A351,C$2:C$1589,C351,E$2:E$1589,E351,Q$2:Q$1589,Q351)</f>
        <v/>
      </c>
    </row>
    <row r="352">
      <c r="A352" s="3" t="inlineStr">
        <is>
          <t>compra</t>
        </is>
      </c>
      <c r="B352" s="3" t="inlineStr">
        <is>
          <t>ccaa:17</t>
        </is>
      </c>
      <c r="C352" s="3" t="inlineStr">
        <is>
          <t>P3</t>
        </is>
      </c>
      <c r="D352" s="3" t="inlineStr">
        <is>
          <t>factor_comun</t>
        </is>
      </c>
      <c r="E352" s="3" t="inlineStr">
        <is>
          <t>regional_ccaa_ols</t>
        </is>
      </c>
      <c r="F352" s="3" t="n">
        <v>-0.527878</v>
      </c>
      <c r="G352" s="3" t="n"/>
      <c r="H352" s="3" t="n"/>
      <c r="I352" s="3" t="n">
        <v>0.0601602</v>
      </c>
      <c r="J352" s="3" t="n">
        <v>-4.59417</v>
      </c>
      <c r="K352" s="3" t="n">
        <v>2.05583</v>
      </c>
      <c r="L352" s="3" t="n">
        <v>-7.75965</v>
      </c>
      <c r="M352" s="3" t="n">
        <v>3.56414</v>
      </c>
      <c r="N352" s="3" t="inlineStr">
        <is>
          <t>C4</t>
        </is>
      </c>
      <c r="O352" s="3" t="inlineStr">
        <is>
          <t>no</t>
        </is>
      </c>
      <c r="P352" s="3" t="inlineStr">
        <is>
          <t>no_compite</t>
        </is>
      </c>
      <c r="Q352" s="3" t="inlineStr">
        <is>
          <t>ols_solo_factor</t>
        </is>
      </c>
      <c r="R352" s="3" t="n"/>
      <c r="S352" s="3" t="inlineStr">
        <is>
          <t>contraste regional (R6); no vota</t>
        </is>
      </c>
      <c r="T352" s="3" t="inlineStr">
        <is>
          <t>output/v8/F5/atribucion_combinada.csv</t>
        </is>
      </c>
      <c r="U352" s="2">
        <f>IF(R352=0,"",F352/R352)</f>
        <v/>
      </c>
      <c r="V352" s="2">
        <f>SUMIFS(F$2:F$1589,A$2:A$1589,A352,C$2:C$1589,C352,E$2:E$1589,E352,Q$2:Q$1589,Q352)</f>
        <v/>
      </c>
    </row>
    <row r="353">
      <c r="A353" s="3" t="inlineStr">
        <is>
          <t>compra</t>
        </is>
      </c>
      <c r="B353" s="3" t="inlineStr">
        <is>
          <t>ccaa:17</t>
        </is>
      </c>
      <c r="C353" s="3" t="inlineStr">
        <is>
          <t>P3</t>
        </is>
      </c>
      <c r="D353" s="3" t="inlineStr">
        <is>
          <t>residuo</t>
        </is>
      </c>
      <c r="E353" s="3" t="inlineStr">
        <is>
          <t>regional_ccaa_ols</t>
        </is>
      </c>
      <c r="F353" s="3" t="n">
        <v>-8.24666</v>
      </c>
      <c r="G353" s="3" t="n"/>
      <c r="H353" s="3" t="n"/>
      <c r="I353" s="3" t="n">
        <v>0.93984</v>
      </c>
      <c r="J353" s="3" t="n"/>
      <c r="K353" s="3" t="n"/>
      <c r="L353" s="3" t="n"/>
      <c r="M353" s="3" t="n"/>
      <c r="N353" s="3" t="inlineStr">
        <is>
          <t>C4</t>
        </is>
      </c>
      <c r="O353" s="3" t="inlineStr">
        <is>
          <t>no</t>
        </is>
      </c>
      <c r="P353" s="3" t="inlineStr">
        <is>
          <t>no_compite</t>
        </is>
      </c>
      <c r="Q353" s="3" t="inlineStr">
        <is>
          <t>ols_solo_factor</t>
        </is>
      </c>
      <c r="R353" s="3" t="n"/>
      <c r="S353" s="3" t="inlineStr">
        <is>
          <t>contraste regional (R6); no vota</t>
        </is>
      </c>
      <c r="T353" s="3" t="inlineStr">
        <is>
          <t>output/v8/F5/atribucion_combinada.csv</t>
        </is>
      </c>
      <c r="U353" s="2">
        <f>IF(R353=0,"",F353/R353)</f>
        <v/>
      </c>
      <c r="V353" s="2">
        <f>SUMIFS(F$2:F$1589,A$2:A$1589,A353,C$2:C$1589,C353,E$2:E$1589,E353,Q$2:Q$1589,Q353)</f>
        <v/>
      </c>
    </row>
    <row r="354">
      <c r="A354" s="3" t="inlineStr">
        <is>
          <t>compra</t>
        </is>
      </c>
      <c r="B354" s="3" t="inlineStr">
        <is>
          <t>ccaa:01</t>
        </is>
      </c>
      <c r="C354" s="3" t="inlineStr">
        <is>
          <t>P4</t>
        </is>
      </c>
      <c r="D354" s="3" t="inlineStr">
        <is>
          <t>factor_comun</t>
        </is>
      </c>
      <c r="E354" s="3" t="inlineStr">
        <is>
          <t>regional_ccaa_ols</t>
        </is>
      </c>
      <c r="F354" s="3" t="n">
        <v>-3.4149</v>
      </c>
      <c r="G354" s="3" t="n"/>
      <c r="H354" s="3" t="n"/>
      <c r="I354" s="3" t="n">
        <v>2.23176</v>
      </c>
      <c r="J354" s="3" t="n">
        <v>-4.7929</v>
      </c>
      <c r="K354" s="3" t="n">
        <v>-2.2119</v>
      </c>
      <c r="L354" s="3" t="n">
        <v>-5.99831</v>
      </c>
      <c r="M354" s="3" t="n">
        <v>-1.75297</v>
      </c>
      <c r="N354" s="3" t="inlineStr">
        <is>
          <t>C4</t>
        </is>
      </c>
      <c r="O354" s="3" t="inlineStr">
        <is>
          <t>no</t>
        </is>
      </c>
      <c r="P354" s="3" t="inlineStr">
        <is>
          <t>no_compite</t>
        </is>
      </c>
      <c r="Q354" s="3" t="inlineStr">
        <is>
          <t>ols_solo_factor</t>
        </is>
      </c>
      <c r="R354" s="3" t="n"/>
      <c r="S354" s="3" t="inlineStr">
        <is>
          <t>contraste regional (R6); no vota</t>
        </is>
      </c>
      <c r="T354" s="3" t="inlineStr">
        <is>
          <t>output/v8/F5/atribucion_combinada.csv</t>
        </is>
      </c>
      <c r="U354" s="2">
        <f>IF(R354=0,"",F354/R354)</f>
        <v/>
      </c>
      <c r="V354" s="2">
        <f>SUMIFS(F$2:F$1589,A$2:A$1589,A354,C$2:C$1589,C354,E$2:E$1589,E354,Q$2:Q$1589,Q354)</f>
        <v/>
      </c>
    </row>
    <row r="355">
      <c r="A355" s="3" t="inlineStr">
        <is>
          <t>compra</t>
        </is>
      </c>
      <c r="B355" s="3" t="inlineStr">
        <is>
          <t>ccaa:01</t>
        </is>
      </c>
      <c r="C355" s="3" t="inlineStr">
        <is>
          <t>P4</t>
        </is>
      </c>
      <c r="D355" s="3" t="inlineStr">
        <is>
          <t>residuo</t>
        </is>
      </c>
      <c r="E355" s="3" t="inlineStr">
        <is>
          <t>regional_ccaa_ols</t>
        </is>
      </c>
      <c r="F355" s="3" t="n">
        <v>1.88476</v>
      </c>
      <c r="G355" s="3" t="n"/>
      <c r="H355" s="3" t="n"/>
      <c r="I355" s="3" t="n">
        <v>-1.23176</v>
      </c>
      <c r="J355" s="3" t="n"/>
      <c r="K355" s="3" t="n"/>
      <c r="L355" s="3" t="n"/>
      <c r="M355" s="3" t="n"/>
      <c r="N355" s="3" t="inlineStr">
        <is>
          <t>C4</t>
        </is>
      </c>
      <c r="O355" s="3" t="inlineStr">
        <is>
          <t>no</t>
        </is>
      </c>
      <c r="P355" s="3" t="inlineStr">
        <is>
          <t>no_compite</t>
        </is>
      </c>
      <c r="Q355" s="3" t="inlineStr">
        <is>
          <t>ols_solo_factor</t>
        </is>
      </c>
      <c r="R355" s="3" t="n"/>
      <c r="S355" s="3" t="inlineStr">
        <is>
          <t>contraste regional (R6); no vota</t>
        </is>
      </c>
      <c r="T355" s="3" t="inlineStr">
        <is>
          <t>output/v8/F5/atribucion_combinada.csv</t>
        </is>
      </c>
      <c r="U355" s="2">
        <f>IF(R355=0,"",F355/R355)</f>
        <v/>
      </c>
      <c r="V355" s="2">
        <f>SUMIFS(F$2:F$1589,A$2:A$1589,A355,C$2:C$1589,C355,E$2:E$1589,E355,Q$2:Q$1589,Q355)</f>
        <v/>
      </c>
    </row>
    <row r="356">
      <c r="A356" s="3" t="inlineStr">
        <is>
          <t>compra</t>
        </is>
      </c>
      <c r="B356" s="3" t="inlineStr">
        <is>
          <t>ccaa:02</t>
        </is>
      </c>
      <c r="C356" s="3" t="inlineStr">
        <is>
          <t>P4</t>
        </is>
      </c>
      <c r="D356" s="3" t="inlineStr">
        <is>
          <t>factor_comun</t>
        </is>
      </c>
      <c r="E356" s="3" t="inlineStr">
        <is>
          <t>regional_ccaa_ols</t>
        </is>
      </c>
      <c r="F356" s="3" t="n">
        <v>-0.496172</v>
      </c>
      <c r="G356" s="3" t="n"/>
      <c r="H356" s="3" t="n"/>
      <c r="I356" s="3" t="n">
        <v>0.103082</v>
      </c>
      <c r="J356" s="3" t="n">
        <v>-1.93697</v>
      </c>
      <c r="K356" s="3" t="n">
        <v>0.0502988</v>
      </c>
      <c r="L356" s="3" t="n">
        <v>-4.32982</v>
      </c>
      <c r="M356" s="3" t="n">
        <v>0.378985</v>
      </c>
      <c r="N356" s="3" t="inlineStr">
        <is>
          <t>C4</t>
        </is>
      </c>
      <c r="O356" s="3" t="inlineStr">
        <is>
          <t>no</t>
        </is>
      </c>
      <c r="P356" s="3" t="inlineStr">
        <is>
          <t>no_compite</t>
        </is>
      </c>
      <c r="Q356" s="3" t="inlineStr">
        <is>
          <t>ols_solo_factor</t>
        </is>
      </c>
      <c r="R356" s="3" t="n"/>
      <c r="S356" s="3" t="inlineStr">
        <is>
          <t>contraste regional (R6); no vota</t>
        </is>
      </c>
      <c r="T356" s="3" t="inlineStr">
        <is>
          <t>output/v8/F5/atribucion_combinada.csv</t>
        </is>
      </c>
      <c r="U356" s="2">
        <f>IF(R356=0,"",F356/R356)</f>
        <v/>
      </c>
      <c r="V356" s="2">
        <f>SUMIFS(F$2:F$1589,A$2:A$1589,A356,C$2:C$1589,C356,E$2:E$1589,E356,Q$2:Q$1589,Q356)</f>
        <v/>
      </c>
    </row>
    <row r="357">
      <c r="A357" s="3" t="inlineStr">
        <is>
          <t>compra</t>
        </is>
      </c>
      <c r="B357" s="3" t="inlineStr">
        <is>
          <t>ccaa:02</t>
        </is>
      </c>
      <c r="C357" s="3" t="inlineStr">
        <is>
          <t>P4</t>
        </is>
      </c>
      <c r="D357" s="3" t="inlineStr">
        <is>
          <t>residuo</t>
        </is>
      </c>
      <c r="E357" s="3" t="inlineStr">
        <is>
          <t>regional_ccaa_ols</t>
        </is>
      </c>
      <c r="F357" s="3" t="n">
        <v>-4.31721</v>
      </c>
      <c r="G357" s="3" t="n"/>
      <c r="H357" s="3" t="n"/>
      <c r="I357" s="3" t="n">
        <v>0.896918</v>
      </c>
      <c r="J357" s="3" t="n"/>
      <c r="K357" s="3" t="n"/>
      <c r="L357" s="3" t="n"/>
      <c r="M357" s="3" t="n"/>
      <c r="N357" s="3" t="inlineStr">
        <is>
          <t>C4</t>
        </is>
      </c>
      <c r="O357" s="3" t="inlineStr">
        <is>
          <t>no</t>
        </is>
      </c>
      <c r="P357" s="3" t="inlineStr">
        <is>
          <t>no_compite</t>
        </is>
      </c>
      <c r="Q357" s="3" t="inlineStr">
        <is>
          <t>ols_solo_factor</t>
        </is>
      </c>
      <c r="R357" s="3" t="n"/>
      <c r="S357" s="3" t="inlineStr">
        <is>
          <t>contraste regional (R6); no vota</t>
        </is>
      </c>
      <c r="T357" s="3" t="inlineStr">
        <is>
          <t>output/v8/F5/atribucion_combinada.csv</t>
        </is>
      </c>
      <c r="U357" s="2">
        <f>IF(R357=0,"",F357/R357)</f>
        <v/>
      </c>
      <c r="V357" s="2">
        <f>SUMIFS(F$2:F$1589,A$2:A$1589,A357,C$2:C$1589,C357,E$2:E$1589,E357,Q$2:Q$1589,Q357)</f>
        <v/>
      </c>
    </row>
    <row r="358">
      <c r="A358" s="3" t="inlineStr">
        <is>
          <t>compra</t>
        </is>
      </c>
      <c r="B358" s="3" t="inlineStr">
        <is>
          <t>ccaa:03</t>
        </is>
      </c>
      <c r="C358" s="3" t="inlineStr">
        <is>
          <t>P4</t>
        </is>
      </c>
      <c r="D358" s="3" t="inlineStr">
        <is>
          <t>factor_comun</t>
        </is>
      </c>
      <c r="E358" s="3" t="inlineStr">
        <is>
          <t>regional_ccaa_ols</t>
        </is>
      </c>
      <c r="F358" s="3" t="n">
        <v>-6.10929</v>
      </c>
      <c r="G358" s="3" t="n"/>
      <c r="H358" s="3" t="n"/>
      <c r="I358" s="3" t="n">
        <v>1.26616</v>
      </c>
      <c r="J358" s="3" t="n">
        <v>-7.72506</v>
      </c>
      <c r="K358" s="3" t="n">
        <v>-2.00766</v>
      </c>
      <c r="L358" s="3" t="n">
        <v>-8.992279999999999</v>
      </c>
      <c r="M358" s="3" t="n">
        <v>3.99292</v>
      </c>
      <c r="N358" s="3" t="inlineStr">
        <is>
          <t>C4</t>
        </is>
      </c>
      <c r="O358" s="3" t="inlineStr">
        <is>
          <t>no</t>
        </is>
      </c>
      <c r="P358" s="3" t="inlineStr">
        <is>
          <t>no_compite</t>
        </is>
      </c>
      <c r="Q358" s="3" t="inlineStr">
        <is>
          <t>ols_solo_factor</t>
        </is>
      </c>
      <c r="R358" s="3" t="n"/>
      <c r="S358" s="3" t="inlineStr">
        <is>
          <t>contraste regional (R6); no vota</t>
        </is>
      </c>
      <c r="T358" s="3" t="inlineStr">
        <is>
          <t>output/v8/F5/atribucion_combinada.csv</t>
        </is>
      </c>
      <c r="U358" s="2">
        <f>IF(R358=0,"",F358/R358)</f>
        <v/>
      </c>
      <c r="V358" s="2">
        <f>SUMIFS(F$2:F$1589,A$2:A$1589,A358,C$2:C$1589,C358,E$2:E$1589,E358,Q$2:Q$1589,Q358)</f>
        <v/>
      </c>
    </row>
    <row r="359">
      <c r="A359" s="3" t="inlineStr">
        <is>
          <t>compra</t>
        </is>
      </c>
      <c r="B359" s="3" t="inlineStr">
        <is>
          <t>ccaa:03</t>
        </is>
      </c>
      <c r="C359" s="3" t="inlineStr">
        <is>
          <t>P4</t>
        </is>
      </c>
      <c r="D359" s="3" t="inlineStr">
        <is>
          <t>residuo</t>
        </is>
      </c>
      <c r="E359" s="3" t="inlineStr">
        <is>
          <t>regional_ccaa_ols</t>
        </is>
      </c>
      <c r="F359" s="3" t="n">
        <v>1.28425</v>
      </c>
      <c r="G359" s="3" t="n"/>
      <c r="H359" s="3" t="n"/>
      <c r="I359" s="3" t="n">
        <v>-0.266163</v>
      </c>
      <c r="J359" s="3" t="n"/>
      <c r="K359" s="3" t="n"/>
      <c r="L359" s="3" t="n"/>
      <c r="M359" s="3" t="n"/>
      <c r="N359" s="3" t="inlineStr">
        <is>
          <t>C4</t>
        </is>
      </c>
      <c r="O359" s="3" t="inlineStr">
        <is>
          <t>no</t>
        </is>
      </c>
      <c r="P359" s="3" t="inlineStr">
        <is>
          <t>no_compite</t>
        </is>
      </c>
      <c r="Q359" s="3" t="inlineStr">
        <is>
          <t>ols_solo_factor</t>
        </is>
      </c>
      <c r="R359" s="3" t="n"/>
      <c r="S359" s="3" t="inlineStr">
        <is>
          <t>contraste regional (R6); no vota</t>
        </is>
      </c>
      <c r="T359" s="3" t="inlineStr">
        <is>
          <t>output/v8/F5/atribucion_combinada.csv</t>
        </is>
      </c>
      <c r="U359" s="2">
        <f>IF(R359=0,"",F359/R359)</f>
        <v/>
      </c>
      <c r="V359" s="2">
        <f>SUMIFS(F$2:F$1589,A$2:A$1589,A359,C$2:C$1589,C359,E$2:E$1589,E359,Q$2:Q$1589,Q359)</f>
        <v/>
      </c>
    </row>
    <row r="360">
      <c r="A360" s="3" t="inlineStr">
        <is>
          <t>compra</t>
        </is>
      </c>
      <c r="B360" s="3" t="inlineStr">
        <is>
          <t>ccaa:04</t>
        </is>
      </c>
      <c r="C360" s="3" t="inlineStr">
        <is>
          <t>P4</t>
        </is>
      </c>
      <c r="D360" s="3" t="inlineStr">
        <is>
          <t>factor_comun</t>
        </is>
      </c>
      <c r="E360" s="3" t="inlineStr">
        <is>
          <t>regional_ccaa_ols</t>
        </is>
      </c>
      <c r="F360" s="3" t="n">
        <v>-1.5443</v>
      </c>
      <c r="G360" s="3" t="n"/>
      <c r="H360" s="3" t="n"/>
      <c r="I360" s="3" t="n">
        <v>-1.20729</v>
      </c>
      <c r="J360" s="3" t="n">
        <v>-3.04553</v>
      </c>
      <c r="K360" s="3" t="n">
        <v>-0.647517</v>
      </c>
      <c r="L360" s="3" t="n">
        <v>-4.33064</v>
      </c>
      <c r="M360" s="3" t="n">
        <v>0.38291</v>
      </c>
      <c r="N360" s="3" t="inlineStr">
        <is>
          <t>C4</t>
        </is>
      </c>
      <c r="O360" s="3" t="inlineStr">
        <is>
          <t>no</t>
        </is>
      </c>
      <c r="P360" s="3" t="inlineStr">
        <is>
          <t>no_compite</t>
        </is>
      </c>
      <c r="Q360" s="3" t="inlineStr">
        <is>
          <t>ols_solo_factor</t>
        </is>
      </c>
      <c r="R360" s="3" t="n"/>
      <c r="S360" s="3" t="inlineStr">
        <is>
          <t>contraste regional (R6); no vota</t>
        </is>
      </c>
      <c r="T360" s="3" t="inlineStr">
        <is>
          <t>output/v8/F5/atribucion_combinada.csv</t>
        </is>
      </c>
      <c r="U360" s="2">
        <f>IF(R360=0,"",F360/R360)</f>
        <v/>
      </c>
      <c r="V360" s="2">
        <f>SUMIFS(F$2:F$1589,A$2:A$1589,A360,C$2:C$1589,C360,E$2:E$1589,E360,Q$2:Q$1589,Q360)</f>
        <v/>
      </c>
    </row>
    <row r="361">
      <c r="A361" s="3" t="inlineStr">
        <is>
          <t>compra</t>
        </is>
      </c>
      <c r="B361" s="3" t="inlineStr">
        <is>
          <t>ccaa:04</t>
        </is>
      </c>
      <c r="C361" s="3" t="inlineStr">
        <is>
          <t>P4</t>
        </is>
      </c>
      <c r="D361" s="3" t="inlineStr">
        <is>
          <t>residuo</t>
        </is>
      </c>
      <c r="E361" s="3" t="inlineStr">
        <is>
          <t>regional_ccaa_ols</t>
        </is>
      </c>
      <c r="F361" s="3" t="n">
        <v>2.82344</v>
      </c>
      <c r="G361" s="3" t="n"/>
      <c r="H361" s="3" t="n"/>
      <c r="I361" s="3" t="n">
        <v>2.20729</v>
      </c>
      <c r="J361" s="3" t="n"/>
      <c r="K361" s="3" t="n"/>
      <c r="L361" s="3" t="n"/>
      <c r="M361" s="3" t="n"/>
      <c r="N361" s="3" t="inlineStr">
        <is>
          <t>C4</t>
        </is>
      </c>
      <c r="O361" s="3" t="inlineStr">
        <is>
          <t>no</t>
        </is>
      </c>
      <c r="P361" s="3" t="inlineStr">
        <is>
          <t>no_compite</t>
        </is>
      </c>
      <c r="Q361" s="3" t="inlineStr">
        <is>
          <t>ols_solo_factor</t>
        </is>
      </c>
      <c r="R361" s="3" t="n"/>
      <c r="S361" s="3" t="inlineStr">
        <is>
          <t>contraste regional (R6); no vota</t>
        </is>
      </c>
      <c r="T361" s="3" t="inlineStr">
        <is>
          <t>output/v8/F5/atribucion_combinada.csv</t>
        </is>
      </c>
      <c r="U361" s="2">
        <f>IF(R361=0,"",F361/R361)</f>
        <v/>
      </c>
      <c r="V361" s="2">
        <f>SUMIFS(F$2:F$1589,A$2:A$1589,A361,C$2:C$1589,C361,E$2:E$1589,E361,Q$2:Q$1589,Q361)</f>
        <v/>
      </c>
    </row>
    <row r="362">
      <c r="A362" s="3" t="inlineStr">
        <is>
          <t>compra</t>
        </is>
      </c>
      <c r="B362" s="3" t="inlineStr">
        <is>
          <t>ccaa:05</t>
        </is>
      </c>
      <c r="C362" s="3" t="inlineStr">
        <is>
          <t>P4</t>
        </is>
      </c>
      <c r="D362" s="3" t="inlineStr">
        <is>
          <t>factor_comun</t>
        </is>
      </c>
      <c r="E362" s="3" t="inlineStr">
        <is>
          <t>regional_ccaa_ols</t>
        </is>
      </c>
      <c r="F362" s="3" t="n">
        <v>-2.9536</v>
      </c>
      <c r="G362" s="3" t="n"/>
      <c r="H362" s="3" t="n"/>
      <c r="I362" s="3" t="n">
        <v>0.919839</v>
      </c>
      <c r="J362" s="3" t="n">
        <v>-4.28457</v>
      </c>
      <c r="K362" s="3" t="n">
        <v>-2.54206</v>
      </c>
      <c r="L362" s="3" t="n">
        <v>-5.05004</v>
      </c>
      <c r="M362" s="3" t="n">
        <v>-2.24614</v>
      </c>
      <c r="N362" s="3" t="inlineStr">
        <is>
          <t>C4</t>
        </is>
      </c>
      <c r="O362" s="3" t="inlineStr">
        <is>
          <t>no</t>
        </is>
      </c>
      <c r="P362" s="3" t="inlineStr">
        <is>
          <t>no_compite</t>
        </is>
      </c>
      <c r="Q362" s="3" t="inlineStr">
        <is>
          <t>ols_solo_factor</t>
        </is>
      </c>
      <c r="R362" s="3" t="n"/>
      <c r="S362" s="3" t="inlineStr">
        <is>
          <t>contraste regional (R6); no vota</t>
        </is>
      </c>
      <c r="T362" s="3" t="inlineStr">
        <is>
          <t>output/v8/F5/atribucion_combinada.csv</t>
        </is>
      </c>
      <c r="U362" s="2">
        <f>IF(R362=0,"",F362/R362)</f>
        <v/>
      </c>
      <c r="V362" s="2">
        <f>SUMIFS(F$2:F$1589,A$2:A$1589,A362,C$2:C$1589,C362,E$2:E$1589,E362,Q$2:Q$1589,Q362)</f>
        <v/>
      </c>
    </row>
    <row r="363">
      <c r="A363" s="3" t="inlineStr">
        <is>
          <t>compra</t>
        </is>
      </c>
      <c r="B363" s="3" t="inlineStr">
        <is>
          <t>ccaa:05</t>
        </is>
      </c>
      <c r="C363" s="3" t="inlineStr">
        <is>
          <t>P4</t>
        </is>
      </c>
      <c r="D363" s="3" t="inlineStr">
        <is>
          <t>residuo</t>
        </is>
      </c>
      <c r="E363" s="3" t="inlineStr">
        <is>
          <t>regional_ccaa_ols</t>
        </is>
      </c>
      <c r="F363" s="3" t="n">
        <v>-0.257396</v>
      </c>
      <c r="G363" s="3" t="n"/>
      <c r="H363" s="3" t="n"/>
      <c r="I363" s="3" t="n">
        <v>0.08016089999999999</v>
      </c>
      <c r="J363" s="3" t="n"/>
      <c r="K363" s="3" t="n"/>
      <c r="L363" s="3" t="n"/>
      <c r="M363" s="3" t="n"/>
      <c r="N363" s="3" t="inlineStr">
        <is>
          <t>C4</t>
        </is>
      </c>
      <c r="O363" s="3" t="inlineStr">
        <is>
          <t>no</t>
        </is>
      </c>
      <c r="P363" s="3" t="inlineStr">
        <is>
          <t>no_compite</t>
        </is>
      </c>
      <c r="Q363" s="3" t="inlineStr">
        <is>
          <t>ols_solo_factor</t>
        </is>
      </c>
      <c r="R363" s="3" t="n"/>
      <c r="S363" s="3" t="inlineStr">
        <is>
          <t>contraste regional (R6); no vota</t>
        </is>
      </c>
      <c r="T363" s="3" t="inlineStr">
        <is>
          <t>output/v8/F5/atribucion_combinada.csv</t>
        </is>
      </c>
      <c r="U363" s="2">
        <f>IF(R363=0,"",F363/R363)</f>
        <v/>
      </c>
      <c r="V363" s="2">
        <f>SUMIFS(F$2:F$1589,A$2:A$1589,A363,C$2:C$1589,C363,E$2:E$1589,E363,Q$2:Q$1589,Q363)</f>
        <v/>
      </c>
    </row>
    <row r="364">
      <c r="A364" s="3" t="inlineStr">
        <is>
          <t>compra</t>
        </is>
      </c>
      <c r="B364" s="3" t="inlineStr">
        <is>
          <t>ccaa:06</t>
        </is>
      </c>
      <c r="C364" s="3" t="inlineStr">
        <is>
          <t>P4</t>
        </is>
      </c>
      <c r="D364" s="3" t="inlineStr">
        <is>
          <t>factor_comun</t>
        </is>
      </c>
      <c r="E364" s="3" t="inlineStr">
        <is>
          <t>regional_ccaa_ols</t>
        </is>
      </c>
      <c r="F364" s="3" t="n">
        <v>-6.37203</v>
      </c>
      <c r="G364" s="3" t="n"/>
      <c r="H364" s="3" t="n"/>
      <c r="I364" s="3" t="n">
        <v>1.13534</v>
      </c>
      <c r="J364" s="3" t="n">
        <v>-7.86802</v>
      </c>
      <c r="K364" s="3" t="n">
        <v>-4.77858</v>
      </c>
      <c r="L364" s="3" t="n">
        <v>-8.88644</v>
      </c>
      <c r="M364" s="3" t="n">
        <v>-4.17236</v>
      </c>
      <c r="N364" s="3" t="inlineStr">
        <is>
          <t>C4</t>
        </is>
      </c>
      <c r="O364" s="3" t="inlineStr">
        <is>
          <t>no</t>
        </is>
      </c>
      <c r="P364" s="3" t="inlineStr">
        <is>
          <t>no_compite</t>
        </is>
      </c>
      <c r="Q364" s="3" t="inlineStr">
        <is>
          <t>ols_solo_factor</t>
        </is>
      </c>
      <c r="R364" s="3" t="n"/>
      <c r="S364" s="3" t="inlineStr">
        <is>
          <t>contraste regional (R6); no vota</t>
        </is>
      </c>
      <c r="T364" s="3" t="inlineStr">
        <is>
          <t>output/v8/F5/atribucion_combinada.csv</t>
        </is>
      </c>
      <c r="U364" s="2">
        <f>IF(R364=0,"",F364/R364)</f>
        <v/>
      </c>
      <c r="V364" s="2">
        <f>SUMIFS(F$2:F$1589,A$2:A$1589,A364,C$2:C$1589,C364,E$2:E$1589,E364,Q$2:Q$1589,Q364)</f>
        <v/>
      </c>
    </row>
    <row r="365">
      <c r="A365" s="3" t="inlineStr">
        <is>
          <t>compra</t>
        </is>
      </c>
      <c r="B365" s="3" t="inlineStr">
        <is>
          <t>ccaa:06</t>
        </is>
      </c>
      <c r="C365" s="3" t="inlineStr">
        <is>
          <t>P4</t>
        </is>
      </c>
      <c r="D365" s="3" t="inlineStr">
        <is>
          <t>residuo</t>
        </is>
      </c>
      <c r="E365" s="3" t="inlineStr">
        <is>
          <t>regional_ccaa_ols</t>
        </is>
      </c>
      <c r="F365" s="3" t="n">
        <v>0.7595769999999999</v>
      </c>
      <c r="G365" s="3" t="n"/>
      <c r="H365" s="3" t="n"/>
      <c r="I365" s="3" t="n">
        <v>-0.135338</v>
      </c>
      <c r="J365" s="3" t="n"/>
      <c r="K365" s="3" t="n"/>
      <c r="L365" s="3" t="n"/>
      <c r="M365" s="3" t="n"/>
      <c r="N365" s="3" t="inlineStr">
        <is>
          <t>C4</t>
        </is>
      </c>
      <c r="O365" s="3" t="inlineStr">
        <is>
          <t>no</t>
        </is>
      </c>
      <c r="P365" s="3" t="inlineStr">
        <is>
          <t>no_compite</t>
        </is>
      </c>
      <c r="Q365" s="3" t="inlineStr">
        <is>
          <t>ols_solo_factor</t>
        </is>
      </c>
      <c r="R365" s="3" t="n"/>
      <c r="S365" s="3" t="inlineStr">
        <is>
          <t>contraste regional (R6); no vota</t>
        </is>
      </c>
      <c r="T365" s="3" t="inlineStr">
        <is>
          <t>output/v8/F5/atribucion_combinada.csv</t>
        </is>
      </c>
      <c r="U365" s="2">
        <f>IF(R365=0,"",F365/R365)</f>
        <v/>
      </c>
      <c r="V365" s="2">
        <f>SUMIFS(F$2:F$1589,A$2:A$1589,A365,C$2:C$1589,C365,E$2:E$1589,E365,Q$2:Q$1589,Q365)</f>
        <v/>
      </c>
    </row>
    <row r="366">
      <c r="A366" s="3" t="inlineStr">
        <is>
          <t>compra</t>
        </is>
      </c>
      <c r="B366" s="3" t="inlineStr">
        <is>
          <t>ccaa:07</t>
        </is>
      </c>
      <c r="C366" s="3" t="inlineStr">
        <is>
          <t>P4</t>
        </is>
      </c>
      <c r="D366" s="3" t="inlineStr">
        <is>
          <t>factor_comun</t>
        </is>
      </c>
      <c r="E366" s="3" t="inlineStr">
        <is>
          <t>regional_ccaa_ols</t>
        </is>
      </c>
      <c r="F366" s="3" t="n">
        <v>-3.75871</v>
      </c>
      <c r="G366" s="3" t="n"/>
      <c r="H366" s="3" t="n"/>
      <c r="I366" s="3" t="n">
        <v>0.597925</v>
      </c>
      <c r="J366" s="3" t="n">
        <v>-5.93664</v>
      </c>
      <c r="K366" s="3" t="n">
        <v>-1.78908</v>
      </c>
      <c r="L366" s="3" t="n">
        <v>-7.17114</v>
      </c>
      <c r="M366" s="3" t="n">
        <v>-0.859044</v>
      </c>
      <c r="N366" s="3" t="inlineStr">
        <is>
          <t>C4</t>
        </is>
      </c>
      <c r="O366" s="3" t="inlineStr">
        <is>
          <t>no</t>
        </is>
      </c>
      <c r="P366" s="3" t="inlineStr">
        <is>
          <t>no_compite</t>
        </is>
      </c>
      <c r="Q366" s="3" t="inlineStr">
        <is>
          <t>ols_solo_factor</t>
        </is>
      </c>
      <c r="R366" s="3" t="n"/>
      <c r="S366" s="3" t="inlineStr">
        <is>
          <t>contraste regional (R6); no vota</t>
        </is>
      </c>
      <c r="T366" s="3" t="inlineStr">
        <is>
          <t>output/v8/F5/atribucion_combinada.csv</t>
        </is>
      </c>
      <c r="U366" s="2">
        <f>IF(R366=0,"",F366/R366)</f>
        <v/>
      </c>
      <c r="V366" s="2">
        <f>SUMIFS(F$2:F$1589,A$2:A$1589,A366,C$2:C$1589,C366,E$2:E$1589,E366,Q$2:Q$1589,Q366)</f>
        <v/>
      </c>
    </row>
    <row r="367">
      <c r="A367" s="3" t="inlineStr">
        <is>
          <t>compra</t>
        </is>
      </c>
      <c r="B367" s="3" t="inlineStr">
        <is>
          <t>ccaa:07</t>
        </is>
      </c>
      <c r="C367" s="3" t="inlineStr">
        <is>
          <t>P4</t>
        </is>
      </c>
      <c r="D367" s="3" t="inlineStr">
        <is>
          <t>residuo</t>
        </is>
      </c>
      <c r="E367" s="3" t="inlineStr">
        <is>
          <t>regional_ccaa_ols</t>
        </is>
      </c>
      <c r="F367" s="3" t="n">
        <v>-2.52755</v>
      </c>
      <c r="G367" s="3" t="n"/>
      <c r="H367" s="3" t="n"/>
      <c r="I367" s="3" t="n">
        <v>0.402075</v>
      </c>
      <c r="J367" s="3" t="n"/>
      <c r="K367" s="3" t="n"/>
      <c r="L367" s="3" t="n"/>
      <c r="M367" s="3" t="n"/>
      <c r="N367" s="3" t="inlineStr">
        <is>
          <t>C4</t>
        </is>
      </c>
      <c r="O367" s="3" t="inlineStr">
        <is>
          <t>no</t>
        </is>
      </c>
      <c r="P367" s="3" t="inlineStr">
        <is>
          <t>no_compite</t>
        </is>
      </c>
      <c r="Q367" s="3" t="inlineStr">
        <is>
          <t>ols_solo_factor</t>
        </is>
      </c>
      <c r="R367" s="3" t="n"/>
      <c r="S367" s="3" t="inlineStr">
        <is>
          <t>contraste regional (R6); no vota</t>
        </is>
      </c>
      <c r="T367" s="3" t="inlineStr">
        <is>
          <t>output/v8/F5/atribucion_combinada.csv</t>
        </is>
      </c>
      <c r="U367" s="2">
        <f>IF(R367=0,"",F367/R367)</f>
        <v/>
      </c>
      <c r="V367" s="2">
        <f>SUMIFS(F$2:F$1589,A$2:A$1589,A367,C$2:C$1589,C367,E$2:E$1589,E367,Q$2:Q$1589,Q367)</f>
        <v/>
      </c>
    </row>
    <row r="368">
      <c r="A368" s="3" t="inlineStr">
        <is>
          <t>compra</t>
        </is>
      </c>
      <c r="B368" s="3" t="inlineStr">
        <is>
          <t>ccaa:08</t>
        </is>
      </c>
      <c r="C368" s="3" t="inlineStr">
        <is>
          <t>P4</t>
        </is>
      </c>
      <c r="D368" s="3" t="inlineStr">
        <is>
          <t>factor_comun</t>
        </is>
      </c>
      <c r="E368" s="3" t="inlineStr">
        <is>
          <t>regional_ccaa_ols</t>
        </is>
      </c>
      <c r="F368" s="3" t="n">
        <v>-5.78588</v>
      </c>
      <c r="G368" s="3" t="n"/>
      <c r="H368" s="3" t="n"/>
      <c r="I368" s="3" t="n">
        <v>1.38245</v>
      </c>
      <c r="J368" s="3" t="n">
        <v>-6.76962</v>
      </c>
      <c r="K368" s="3" t="n">
        <v>-4.82594</v>
      </c>
      <c r="L368" s="3" t="n">
        <v>-7.54926</v>
      </c>
      <c r="M368" s="3" t="n">
        <v>-3.29625</v>
      </c>
      <c r="N368" s="3" t="inlineStr">
        <is>
          <t>C4</t>
        </is>
      </c>
      <c r="O368" s="3" t="inlineStr">
        <is>
          <t>no</t>
        </is>
      </c>
      <c r="P368" s="3" t="inlineStr">
        <is>
          <t>no_compite</t>
        </is>
      </c>
      <c r="Q368" s="3" t="inlineStr">
        <is>
          <t>ols_solo_factor</t>
        </is>
      </c>
      <c r="R368" s="3" t="n"/>
      <c r="S368" s="3" t="inlineStr">
        <is>
          <t>contraste regional (R6); no vota</t>
        </is>
      </c>
      <c r="T368" s="3" t="inlineStr">
        <is>
          <t>output/v8/F5/atribucion_combinada.csv</t>
        </is>
      </c>
      <c r="U368" s="2">
        <f>IF(R368=0,"",F368/R368)</f>
        <v/>
      </c>
      <c r="V368" s="2">
        <f>SUMIFS(F$2:F$1589,A$2:A$1589,A368,C$2:C$1589,C368,E$2:E$1589,E368,Q$2:Q$1589,Q368)</f>
        <v/>
      </c>
    </row>
    <row r="369">
      <c r="A369" s="3" t="inlineStr">
        <is>
          <t>compra</t>
        </is>
      </c>
      <c r="B369" s="3" t="inlineStr">
        <is>
          <t>ccaa:08</t>
        </is>
      </c>
      <c r="C369" s="3" t="inlineStr">
        <is>
          <t>P4</t>
        </is>
      </c>
      <c r="D369" s="3" t="inlineStr">
        <is>
          <t>residuo</t>
        </is>
      </c>
      <c r="E369" s="3" t="inlineStr">
        <is>
          <t>regional_ccaa_ols</t>
        </is>
      </c>
      <c r="F369" s="3" t="n">
        <v>1.60063</v>
      </c>
      <c r="G369" s="3" t="n"/>
      <c r="H369" s="3" t="n"/>
      <c r="I369" s="3" t="n">
        <v>-0.382446</v>
      </c>
      <c r="J369" s="3" t="n"/>
      <c r="K369" s="3" t="n"/>
      <c r="L369" s="3" t="n"/>
      <c r="M369" s="3" t="n"/>
      <c r="N369" s="3" t="inlineStr">
        <is>
          <t>C4</t>
        </is>
      </c>
      <c r="O369" s="3" t="inlineStr">
        <is>
          <t>no</t>
        </is>
      </c>
      <c r="P369" s="3" t="inlineStr">
        <is>
          <t>no_compite</t>
        </is>
      </c>
      <c r="Q369" s="3" t="inlineStr">
        <is>
          <t>ols_solo_factor</t>
        </is>
      </c>
      <c r="R369" s="3" t="n"/>
      <c r="S369" s="3" t="inlineStr">
        <is>
          <t>contraste regional (R6); no vota</t>
        </is>
      </c>
      <c r="T369" s="3" t="inlineStr">
        <is>
          <t>output/v8/F5/atribucion_combinada.csv</t>
        </is>
      </c>
      <c r="U369" s="2">
        <f>IF(R369=0,"",F369/R369)</f>
        <v/>
      </c>
      <c r="V369" s="2">
        <f>SUMIFS(F$2:F$1589,A$2:A$1589,A369,C$2:C$1589,C369,E$2:E$1589,E369,Q$2:Q$1589,Q369)</f>
        <v/>
      </c>
    </row>
    <row r="370">
      <c r="A370" s="3" t="inlineStr">
        <is>
          <t>compra</t>
        </is>
      </c>
      <c r="B370" s="3" t="inlineStr">
        <is>
          <t>ccaa:09</t>
        </is>
      </c>
      <c r="C370" s="3" t="inlineStr">
        <is>
          <t>P4</t>
        </is>
      </c>
      <c r="D370" s="3" t="inlineStr">
        <is>
          <t>factor_comun</t>
        </is>
      </c>
      <c r="E370" s="3" t="inlineStr">
        <is>
          <t>regional_ccaa_ols</t>
        </is>
      </c>
      <c r="F370" s="3" t="n">
        <v>-2.27327</v>
      </c>
      <c r="G370" s="3" t="n"/>
      <c r="H370" s="3" t="n"/>
      <c r="I370" s="3" t="n">
        <v>0.751673</v>
      </c>
      <c r="J370" s="3" t="n">
        <v>-3.42139</v>
      </c>
      <c r="K370" s="3" t="n">
        <v>-0.37078</v>
      </c>
      <c r="L370" s="3" t="n">
        <v>-4.27995</v>
      </c>
      <c r="M370" s="3" t="n">
        <v>0.265471</v>
      </c>
      <c r="N370" s="3" t="inlineStr">
        <is>
          <t>C4</t>
        </is>
      </c>
      <c r="O370" s="3" t="inlineStr">
        <is>
          <t>no</t>
        </is>
      </c>
      <c r="P370" s="3" t="inlineStr">
        <is>
          <t>no_compite</t>
        </is>
      </c>
      <c r="Q370" s="3" t="inlineStr">
        <is>
          <t>ols_solo_factor</t>
        </is>
      </c>
      <c r="R370" s="3" t="n"/>
      <c r="S370" s="3" t="inlineStr">
        <is>
          <t>contraste regional (R6); no vota</t>
        </is>
      </c>
      <c r="T370" s="3" t="inlineStr">
        <is>
          <t>output/v8/F5/atribucion_combinada.csv</t>
        </is>
      </c>
      <c r="U370" s="2">
        <f>IF(R370=0,"",F370/R370)</f>
        <v/>
      </c>
      <c r="V370" s="2">
        <f>SUMIFS(F$2:F$1589,A$2:A$1589,A370,C$2:C$1589,C370,E$2:E$1589,E370,Q$2:Q$1589,Q370)</f>
        <v/>
      </c>
    </row>
    <row r="371">
      <c r="A371" s="3" t="inlineStr">
        <is>
          <t>compra</t>
        </is>
      </c>
      <c r="B371" s="3" t="inlineStr">
        <is>
          <t>ccaa:09</t>
        </is>
      </c>
      <c r="C371" s="3" t="inlineStr">
        <is>
          <t>P4</t>
        </is>
      </c>
      <c r="D371" s="3" t="inlineStr">
        <is>
          <t>residuo</t>
        </is>
      </c>
      <c r="E371" s="3" t="inlineStr">
        <is>
          <t>regional_ccaa_ols</t>
        </is>
      </c>
      <c r="F371" s="3" t="n">
        <v>-0.751009</v>
      </c>
      <c r="G371" s="3" t="n"/>
      <c r="H371" s="3" t="n"/>
      <c r="I371" s="3" t="n">
        <v>0.248327</v>
      </c>
      <c r="J371" s="3" t="n"/>
      <c r="K371" s="3" t="n"/>
      <c r="L371" s="3" t="n"/>
      <c r="M371" s="3" t="n"/>
      <c r="N371" s="3" t="inlineStr">
        <is>
          <t>C4</t>
        </is>
      </c>
      <c r="O371" s="3" t="inlineStr">
        <is>
          <t>no</t>
        </is>
      </c>
      <c r="P371" s="3" t="inlineStr">
        <is>
          <t>no_compite</t>
        </is>
      </c>
      <c r="Q371" s="3" t="inlineStr">
        <is>
          <t>ols_solo_factor</t>
        </is>
      </c>
      <c r="R371" s="3" t="n"/>
      <c r="S371" s="3" t="inlineStr">
        <is>
          <t>contraste regional (R6); no vota</t>
        </is>
      </c>
      <c r="T371" s="3" t="inlineStr">
        <is>
          <t>output/v8/F5/atribucion_combinada.csv</t>
        </is>
      </c>
      <c r="U371" s="2">
        <f>IF(R371=0,"",F371/R371)</f>
        <v/>
      </c>
      <c r="V371" s="2">
        <f>SUMIFS(F$2:F$1589,A$2:A$1589,A371,C$2:C$1589,C371,E$2:E$1589,E371,Q$2:Q$1589,Q371)</f>
        <v/>
      </c>
    </row>
    <row r="372">
      <c r="A372" s="3" t="inlineStr">
        <is>
          <t>compra</t>
        </is>
      </c>
      <c r="B372" s="3" t="inlineStr">
        <is>
          <t>ccaa:10</t>
        </is>
      </c>
      <c r="C372" s="3" t="inlineStr">
        <is>
          <t>P4</t>
        </is>
      </c>
      <c r="D372" s="3" t="inlineStr">
        <is>
          <t>factor_comun</t>
        </is>
      </c>
      <c r="E372" s="3" t="inlineStr">
        <is>
          <t>regional_ccaa_ols</t>
        </is>
      </c>
      <c r="F372" s="3" t="n">
        <v>-2.74085</v>
      </c>
      <c r="G372" s="3" t="n"/>
      <c r="H372" s="3" t="n"/>
      <c r="I372" s="3" t="n">
        <v>3.54141</v>
      </c>
      <c r="J372" s="3" t="n">
        <v>-4.02365</v>
      </c>
      <c r="K372" s="3" t="n">
        <v>-1.49237</v>
      </c>
      <c r="L372" s="3" t="n">
        <v>-5.24326</v>
      </c>
      <c r="M372" s="3" t="n">
        <v>-0.641503</v>
      </c>
      <c r="N372" s="3" t="inlineStr">
        <is>
          <t>C4</t>
        </is>
      </c>
      <c r="O372" s="3" t="inlineStr">
        <is>
          <t>no</t>
        </is>
      </c>
      <c r="P372" s="3" t="inlineStr">
        <is>
          <t>no_compite</t>
        </is>
      </c>
      <c r="Q372" s="3" t="inlineStr">
        <is>
          <t>ols_solo_factor</t>
        </is>
      </c>
      <c r="R372" s="3" t="n"/>
      <c r="S372" s="3" t="inlineStr">
        <is>
          <t>contraste regional (R6); no vota</t>
        </is>
      </c>
      <c r="T372" s="3" t="inlineStr">
        <is>
          <t>output/v8/F5/atribucion_combinada.csv</t>
        </is>
      </c>
      <c r="U372" s="2">
        <f>IF(R372=0,"",F372/R372)</f>
        <v/>
      </c>
      <c r="V372" s="2">
        <f>SUMIFS(F$2:F$1589,A$2:A$1589,A372,C$2:C$1589,C372,E$2:E$1589,E372,Q$2:Q$1589,Q372)</f>
        <v/>
      </c>
    </row>
    <row r="373">
      <c r="A373" s="3" t="inlineStr">
        <is>
          <t>compra</t>
        </is>
      </c>
      <c r="B373" s="3" t="inlineStr">
        <is>
          <t>ccaa:10</t>
        </is>
      </c>
      <c r="C373" s="3" t="inlineStr">
        <is>
          <t>P4</t>
        </is>
      </c>
      <c r="D373" s="3" t="inlineStr">
        <is>
          <t>residuo</t>
        </is>
      </c>
      <c r="E373" s="3" t="inlineStr">
        <is>
          <t>regional_ccaa_ols</t>
        </is>
      </c>
      <c r="F373" s="3" t="n">
        <v>1.9669</v>
      </c>
      <c r="G373" s="3" t="n"/>
      <c r="H373" s="3" t="n"/>
      <c r="I373" s="3" t="n">
        <v>-2.54141</v>
      </c>
      <c r="J373" s="3" t="n"/>
      <c r="K373" s="3" t="n"/>
      <c r="L373" s="3" t="n"/>
      <c r="M373" s="3" t="n"/>
      <c r="N373" s="3" t="inlineStr">
        <is>
          <t>C4</t>
        </is>
      </c>
      <c r="O373" s="3" t="inlineStr">
        <is>
          <t>no</t>
        </is>
      </c>
      <c r="P373" s="3" t="inlineStr">
        <is>
          <t>no_compite</t>
        </is>
      </c>
      <c r="Q373" s="3" t="inlineStr">
        <is>
          <t>ols_solo_factor</t>
        </is>
      </c>
      <c r="R373" s="3" t="n"/>
      <c r="S373" s="3" t="inlineStr">
        <is>
          <t>contraste regional (R6); no vota</t>
        </is>
      </c>
      <c r="T373" s="3" t="inlineStr">
        <is>
          <t>output/v8/F5/atribucion_combinada.csv</t>
        </is>
      </c>
      <c r="U373" s="2">
        <f>IF(R373=0,"",F373/R373)</f>
        <v/>
      </c>
      <c r="V373" s="2">
        <f>SUMIFS(F$2:F$1589,A$2:A$1589,A373,C$2:C$1589,C373,E$2:E$1589,E373,Q$2:Q$1589,Q373)</f>
        <v/>
      </c>
    </row>
    <row r="374">
      <c r="A374" s="3" t="inlineStr">
        <is>
          <t>compra</t>
        </is>
      </c>
      <c r="B374" s="3" t="inlineStr">
        <is>
          <t>ccaa:11</t>
        </is>
      </c>
      <c r="C374" s="3" t="inlineStr">
        <is>
          <t>P4</t>
        </is>
      </c>
      <c r="D374" s="3" t="inlineStr">
        <is>
          <t>factor_comun</t>
        </is>
      </c>
      <c r="E374" s="3" t="inlineStr">
        <is>
          <t>regional_ccaa_ols</t>
        </is>
      </c>
      <c r="F374" s="3" t="n">
        <v>-3.72865</v>
      </c>
      <c r="G374" s="3" t="n"/>
      <c r="H374" s="3" t="n"/>
      <c r="I374" s="3" t="n">
        <v>0.580609</v>
      </c>
      <c r="J374" s="3" t="n">
        <v>-5.64341</v>
      </c>
      <c r="K374" s="3" t="n">
        <v>-2.87101</v>
      </c>
      <c r="L374" s="3" t="n">
        <v>-6.64746</v>
      </c>
      <c r="M374" s="3" t="n">
        <v>-2.44087</v>
      </c>
      <c r="N374" s="3" t="inlineStr">
        <is>
          <t>C4</t>
        </is>
      </c>
      <c r="O374" s="3" t="inlineStr">
        <is>
          <t>no</t>
        </is>
      </c>
      <c r="P374" s="3" t="inlineStr">
        <is>
          <t>no_compite</t>
        </is>
      </c>
      <c r="Q374" s="3" t="inlineStr">
        <is>
          <t>ols_solo_factor</t>
        </is>
      </c>
      <c r="R374" s="3" t="n"/>
      <c r="S374" s="3" t="inlineStr">
        <is>
          <t>contraste regional (R6); no vota</t>
        </is>
      </c>
      <c r="T374" s="3" t="inlineStr">
        <is>
          <t>output/v8/F5/atribucion_combinada.csv</t>
        </is>
      </c>
      <c r="U374" s="2">
        <f>IF(R374=0,"",F374/R374)</f>
        <v/>
      </c>
      <c r="V374" s="2">
        <f>SUMIFS(F$2:F$1589,A$2:A$1589,A374,C$2:C$1589,C374,E$2:E$1589,E374,Q$2:Q$1589,Q374)</f>
        <v/>
      </c>
    </row>
    <row r="375">
      <c r="A375" s="3" t="inlineStr">
        <is>
          <t>compra</t>
        </is>
      </c>
      <c r="B375" s="3" t="inlineStr">
        <is>
          <t>ccaa:11</t>
        </is>
      </c>
      <c r="C375" s="3" t="inlineStr">
        <is>
          <t>P4</t>
        </is>
      </c>
      <c r="D375" s="3" t="inlineStr">
        <is>
          <t>residuo</t>
        </is>
      </c>
      <c r="E375" s="3" t="inlineStr">
        <is>
          <t>regional_ccaa_ols</t>
        </is>
      </c>
      <c r="F375" s="3" t="n">
        <v>-2.69332</v>
      </c>
      <c r="G375" s="3" t="n"/>
      <c r="H375" s="3" t="n"/>
      <c r="I375" s="3" t="n">
        <v>0.419391</v>
      </c>
      <c r="J375" s="3" t="n"/>
      <c r="K375" s="3" t="n"/>
      <c r="L375" s="3" t="n"/>
      <c r="M375" s="3" t="n"/>
      <c r="N375" s="3" t="inlineStr">
        <is>
          <t>C4</t>
        </is>
      </c>
      <c r="O375" s="3" t="inlineStr">
        <is>
          <t>no</t>
        </is>
      </c>
      <c r="P375" s="3" t="inlineStr">
        <is>
          <t>no_compite</t>
        </is>
      </c>
      <c r="Q375" s="3" t="inlineStr">
        <is>
          <t>ols_solo_factor</t>
        </is>
      </c>
      <c r="R375" s="3" t="n"/>
      <c r="S375" s="3" t="inlineStr">
        <is>
          <t>contraste regional (R6); no vota</t>
        </is>
      </c>
      <c r="T375" s="3" t="inlineStr">
        <is>
          <t>output/v8/F5/atribucion_combinada.csv</t>
        </is>
      </c>
      <c r="U375" s="2">
        <f>IF(R375=0,"",F375/R375)</f>
        <v/>
      </c>
      <c r="V375" s="2">
        <f>SUMIFS(F$2:F$1589,A$2:A$1589,A375,C$2:C$1589,C375,E$2:E$1589,E375,Q$2:Q$1589,Q375)</f>
        <v/>
      </c>
    </row>
    <row r="376">
      <c r="A376" s="3" t="inlineStr">
        <is>
          <t>compra</t>
        </is>
      </c>
      <c r="B376" s="3" t="inlineStr">
        <is>
          <t>ccaa:12</t>
        </is>
      </c>
      <c r="C376" s="3" t="inlineStr">
        <is>
          <t>P4</t>
        </is>
      </c>
      <c r="D376" s="3" t="inlineStr">
        <is>
          <t>factor_comun</t>
        </is>
      </c>
      <c r="E376" s="3" t="inlineStr">
        <is>
          <t>regional_ccaa_ols</t>
        </is>
      </c>
      <c r="F376" s="3" t="n">
        <v>-5.44357</v>
      </c>
      <c r="G376" s="3" t="n"/>
      <c r="H376" s="3" t="n"/>
      <c r="I376" s="3" t="n">
        <v>1.40965</v>
      </c>
      <c r="J376" s="3" t="n">
        <v>-6.82056</v>
      </c>
      <c r="K376" s="3" t="n">
        <v>-3.33219</v>
      </c>
      <c r="L376" s="3" t="n">
        <v>-7.88586</v>
      </c>
      <c r="M376" s="3" t="n">
        <v>0.638619</v>
      </c>
      <c r="N376" s="3" t="inlineStr">
        <is>
          <t>C4</t>
        </is>
      </c>
      <c r="O376" s="3" t="inlineStr">
        <is>
          <t>no</t>
        </is>
      </c>
      <c r="P376" s="3" t="inlineStr">
        <is>
          <t>no_compite</t>
        </is>
      </c>
      <c r="Q376" s="3" t="inlineStr">
        <is>
          <t>ols_solo_factor</t>
        </is>
      </c>
      <c r="R376" s="3" t="n"/>
      <c r="S376" s="3" t="inlineStr">
        <is>
          <t>contraste regional (R6); no vota</t>
        </is>
      </c>
      <c r="T376" s="3" t="inlineStr">
        <is>
          <t>output/v8/F5/atribucion_combinada.csv</t>
        </is>
      </c>
      <c r="U376" s="2">
        <f>IF(R376=0,"",F376/R376)</f>
        <v/>
      </c>
      <c r="V376" s="2">
        <f>SUMIFS(F$2:F$1589,A$2:A$1589,A376,C$2:C$1589,C376,E$2:E$1589,E376,Q$2:Q$1589,Q376)</f>
        <v/>
      </c>
    </row>
    <row r="377">
      <c r="A377" s="3" t="inlineStr">
        <is>
          <t>compra</t>
        </is>
      </c>
      <c r="B377" s="3" t="inlineStr">
        <is>
          <t>ccaa:12</t>
        </is>
      </c>
      <c r="C377" s="3" t="inlineStr">
        <is>
          <t>P4</t>
        </is>
      </c>
      <c r="D377" s="3" t="inlineStr">
        <is>
          <t>residuo</t>
        </is>
      </c>
      <c r="E377" s="3" t="inlineStr">
        <is>
          <t>regional_ccaa_ols</t>
        </is>
      </c>
      <c r="F377" s="3" t="n">
        <v>1.58192</v>
      </c>
      <c r="G377" s="3" t="n"/>
      <c r="H377" s="3" t="n"/>
      <c r="I377" s="3" t="n">
        <v>-0.40965</v>
      </c>
      <c r="J377" s="3" t="n"/>
      <c r="K377" s="3" t="n"/>
      <c r="L377" s="3" t="n"/>
      <c r="M377" s="3" t="n"/>
      <c r="N377" s="3" t="inlineStr">
        <is>
          <t>C4</t>
        </is>
      </c>
      <c r="O377" s="3" t="inlineStr">
        <is>
          <t>no</t>
        </is>
      </c>
      <c r="P377" s="3" t="inlineStr">
        <is>
          <t>no_compite</t>
        </is>
      </c>
      <c r="Q377" s="3" t="inlineStr">
        <is>
          <t>ols_solo_factor</t>
        </is>
      </c>
      <c r="R377" s="3" t="n"/>
      <c r="S377" s="3" t="inlineStr">
        <is>
          <t>contraste regional (R6); no vota</t>
        </is>
      </c>
      <c r="T377" s="3" t="inlineStr">
        <is>
          <t>output/v8/F5/atribucion_combinada.csv</t>
        </is>
      </c>
      <c r="U377" s="2">
        <f>IF(R377=0,"",F377/R377)</f>
        <v/>
      </c>
      <c r="V377" s="2">
        <f>SUMIFS(F$2:F$1589,A$2:A$1589,A377,C$2:C$1589,C377,E$2:E$1589,E377,Q$2:Q$1589,Q377)</f>
        <v/>
      </c>
    </row>
    <row r="378">
      <c r="A378" s="3" t="inlineStr">
        <is>
          <t>compra</t>
        </is>
      </c>
      <c r="B378" s="3" t="inlineStr">
        <is>
          <t>ccaa:13</t>
        </is>
      </c>
      <c r="C378" s="3" t="inlineStr">
        <is>
          <t>P4</t>
        </is>
      </c>
      <c r="D378" s="3" t="inlineStr">
        <is>
          <t>factor_comun</t>
        </is>
      </c>
      <c r="E378" s="3" t="inlineStr">
        <is>
          <t>regional_ccaa_ols</t>
        </is>
      </c>
      <c r="F378" s="3" t="n">
        <v>1.73365</v>
      </c>
      <c r="G378" s="3" t="n"/>
      <c r="H378" s="3" t="n"/>
      <c r="I378" s="3" t="n">
        <v>-2.99517</v>
      </c>
      <c r="J378" s="3" t="n">
        <v>0.255699</v>
      </c>
      <c r="K378" s="3" t="n">
        <v>2.5486</v>
      </c>
      <c r="L378" s="3" t="n">
        <v>-0.955603</v>
      </c>
      <c r="M378" s="3" t="n">
        <v>3.59462</v>
      </c>
      <c r="N378" s="3" t="inlineStr">
        <is>
          <t>C4</t>
        </is>
      </c>
      <c r="O378" s="3" t="inlineStr">
        <is>
          <t>no</t>
        </is>
      </c>
      <c r="P378" s="3" t="inlineStr">
        <is>
          <t>no_compite</t>
        </is>
      </c>
      <c r="Q378" s="3" t="inlineStr">
        <is>
          <t>ols_solo_factor</t>
        </is>
      </c>
      <c r="R378" s="3" t="n"/>
      <c r="S378" s="3" t="inlineStr">
        <is>
          <t>contraste regional (R6); no vota</t>
        </is>
      </c>
      <c r="T378" s="3" t="inlineStr">
        <is>
          <t>output/v8/F5/atribucion_combinada.csv</t>
        </is>
      </c>
      <c r="U378" s="2">
        <f>IF(R378=0,"",F378/R378)</f>
        <v/>
      </c>
      <c r="V378" s="2">
        <f>SUMIFS(F$2:F$1589,A$2:A$1589,A378,C$2:C$1589,C378,E$2:E$1589,E378,Q$2:Q$1589,Q378)</f>
        <v/>
      </c>
    </row>
    <row r="379">
      <c r="A379" s="3" t="inlineStr">
        <is>
          <t>compra</t>
        </is>
      </c>
      <c r="B379" s="3" t="inlineStr">
        <is>
          <t>ccaa:13</t>
        </is>
      </c>
      <c r="C379" s="3" t="inlineStr">
        <is>
          <t>P4</t>
        </is>
      </c>
      <c r="D379" s="3" t="inlineStr">
        <is>
          <t>residuo</t>
        </is>
      </c>
      <c r="E379" s="3" t="inlineStr">
        <is>
          <t>regional_ccaa_ols</t>
        </is>
      </c>
      <c r="F379" s="3" t="n">
        <v>-2.31246</v>
      </c>
      <c r="G379" s="3" t="n"/>
      <c r="H379" s="3" t="n"/>
      <c r="I379" s="3" t="n">
        <v>3.99517</v>
      </c>
      <c r="J379" s="3" t="n"/>
      <c r="K379" s="3" t="n"/>
      <c r="L379" s="3" t="n"/>
      <c r="M379" s="3" t="n"/>
      <c r="N379" s="3" t="inlineStr">
        <is>
          <t>C4</t>
        </is>
      </c>
      <c r="O379" s="3" t="inlineStr">
        <is>
          <t>no</t>
        </is>
      </c>
      <c r="P379" s="3" t="inlineStr">
        <is>
          <t>no_compite</t>
        </is>
      </c>
      <c r="Q379" s="3" t="inlineStr">
        <is>
          <t>ols_solo_factor</t>
        </is>
      </c>
      <c r="R379" s="3" t="n"/>
      <c r="S379" s="3" t="inlineStr">
        <is>
          <t>contraste regional (R6); no vota</t>
        </is>
      </c>
      <c r="T379" s="3" t="inlineStr">
        <is>
          <t>output/v8/F5/atribucion_combinada.csv</t>
        </is>
      </c>
      <c r="U379" s="2">
        <f>IF(R379=0,"",F379/R379)</f>
        <v/>
      </c>
      <c r="V379" s="2">
        <f>SUMIFS(F$2:F$1589,A$2:A$1589,A379,C$2:C$1589,C379,E$2:E$1589,E379,Q$2:Q$1589,Q379)</f>
        <v/>
      </c>
    </row>
    <row r="380">
      <c r="A380" s="3" t="inlineStr">
        <is>
          <t>compra</t>
        </is>
      </c>
      <c r="B380" s="3" t="inlineStr">
        <is>
          <t>ccaa:14</t>
        </is>
      </c>
      <c r="C380" s="3" t="inlineStr">
        <is>
          <t>P4</t>
        </is>
      </c>
      <c r="D380" s="3" t="inlineStr">
        <is>
          <t>factor_comun</t>
        </is>
      </c>
      <c r="E380" s="3" t="inlineStr">
        <is>
          <t>regional_ccaa_ols</t>
        </is>
      </c>
      <c r="F380" s="3" t="n">
        <v>-6.08936</v>
      </c>
      <c r="G380" s="3" t="n"/>
      <c r="H380" s="3" t="n"/>
      <c r="I380" s="3" t="n">
        <v>1.8029</v>
      </c>
      <c r="J380" s="3" t="n">
        <v>-8.05597</v>
      </c>
      <c r="K380" s="3" t="n">
        <v>-3.70808</v>
      </c>
      <c r="L380" s="3" t="n">
        <v>-10.0603</v>
      </c>
      <c r="M380" s="3" t="n">
        <v>-2.30018</v>
      </c>
      <c r="N380" s="3" t="inlineStr">
        <is>
          <t>C4</t>
        </is>
      </c>
      <c r="O380" s="3" t="inlineStr">
        <is>
          <t>no</t>
        </is>
      </c>
      <c r="P380" s="3" t="inlineStr">
        <is>
          <t>no_compite</t>
        </is>
      </c>
      <c r="Q380" s="3" t="inlineStr">
        <is>
          <t>ols_solo_factor</t>
        </is>
      </c>
      <c r="R380" s="3" t="n"/>
      <c r="S380" s="3" t="inlineStr">
        <is>
          <t>contraste regional (R6); no vota</t>
        </is>
      </c>
      <c r="T380" s="3" t="inlineStr">
        <is>
          <t>output/v8/F5/atribucion_combinada.csv</t>
        </is>
      </c>
      <c r="U380" s="2">
        <f>IF(R380=0,"",F380/R380)</f>
        <v/>
      </c>
      <c r="V380" s="2">
        <f>SUMIFS(F$2:F$1589,A$2:A$1589,A380,C$2:C$1589,C380,E$2:E$1589,E380,Q$2:Q$1589,Q380)</f>
        <v/>
      </c>
    </row>
    <row r="381">
      <c r="A381" s="3" t="inlineStr">
        <is>
          <t>compra</t>
        </is>
      </c>
      <c r="B381" s="3" t="inlineStr">
        <is>
          <t>ccaa:14</t>
        </is>
      </c>
      <c r="C381" s="3" t="inlineStr">
        <is>
          <t>P4</t>
        </is>
      </c>
      <c r="D381" s="3" t="inlineStr">
        <is>
          <t>residuo</t>
        </is>
      </c>
      <c r="E381" s="3" t="inlineStr">
        <is>
          <t>regional_ccaa_ols</t>
        </is>
      </c>
      <c r="F381" s="3" t="n">
        <v>2.71182</v>
      </c>
      <c r="G381" s="3" t="n"/>
      <c r="H381" s="3" t="n"/>
      <c r="I381" s="3" t="n">
        <v>-0.8028960000000001</v>
      </c>
      <c r="J381" s="3" t="n"/>
      <c r="K381" s="3" t="n"/>
      <c r="L381" s="3" t="n"/>
      <c r="M381" s="3" t="n"/>
      <c r="N381" s="3" t="inlineStr">
        <is>
          <t>C4</t>
        </is>
      </c>
      <c r="O381" s="3" t="inlineStr">
        <is>
          <t>no</t>
        </is>
      </c>
      <c r="P381" s="3" t="inlineStr">
        <is>
          <t>no_compite</t>
        </is>
      </c>
      <c r="Q381" s="3" t="inlineStr">
        <is>
          <t>ols_solo_factor</t>
        </is>
      </c>
      <c r="R381" s="3" t="n"/>
      <c r="S381" s="3" t="inlineStr">
        <is>
          <t>contraste regional (R6); no vota</t>
        </is>
      </c>
      <c r="T381" s="3" t="inlineStr">
        <is>
          <t>output/v8/F5/atribucion_combinada.csv</t>
        </is>
      </c>
      <c r="U381" s="2">
        <f>IF(R381=0,"",F381/R381)</f>
        <v/>
      </c>
      <c r="V381" s="2">
        <f>SUMIFS(F$2:F$1589,A$2:A$1589,A381,C$2:C$1589,C381,E$2:E$1589,E381,Q$2:Q$1589,Q381)</f>
        <v/>
      </c>
    </row>
    <row r="382">
      <c r="A382" s="3" t="inlineStr">
        <is>
          <t>compra</t>
        </is>
      </c>
      <c r="B382" s="3" t="inlineStr">
        <is>
          <t>ccaa:15</t>
        </is>
      </c>
      <c r="C382" s="3" t="inlineStr">
        <is>
          <t>P4</t>
        </is>
      </c>
      <c r="D382" s="3" t="inlineStr">
        <is>
          <t>factor_comun</t>
        </is>
      </c>
      <c r="E382" s="3" t="inlineStr">
        <is>
          <t>regional_ccaa_ols</t>
        </is>
      </c>
      <c r="F382" s="3" t="n">
        <v>0.806167</v>
      </c>
      <c r="G382" s="3" t="n"/>
      <c r="H382" s="3" t="n"/>
      <c r="I382" s="3" t="n">
        <v>-0.207875</v>
      </c>
      <c r="J382" s="3" t="n">
        <v>-0.19964</v>
      </c>
      <c r="K382" s="3" t="n">
        <v>1.48516</v>
      </c>
      <c r="L382" s="3" t="n">
        <v>-0.839717</v>
      </c>
      <c r="M382" s="3" t="n">
        <v>2.05618</v>
      </c>
      <c r="N382" s="3" t="inlineStr">
        <is>
          <t>C4</t>
        </is>
      </c>
      <c r="O382" s="3" t="inlineStr">
        <is>
          <t>no</t>
        </is>
      </c>
      <c r="P382" s="3" t="inlineStr">
        <is>
          <t>no_compite</t>
        </is>
      </c>
      <c r="Q382" s="3" t="inlineStr">
        <is>
          <t>ols_solo_factor</t>
        </is>
      </c>
      <c r="R382" s="3" t="n"/>
      <c r="S382" s="3" t="inlineStr">
        <is>
          <t>contraste regional (R6); no vota</t>
        </is>
      </c>
      <c r="T382" s="3" t="inlineStr">
        <is>
          <t>output/v8/F5/atribucion_combinada.csv</t>
        </is>
      </c>
      <c r="U382" s="2">
        <f>IF(R382=0,"",F382/R382)</f>
        <v/>
      </c>
      <c r="V382" s="2">
        <f>SUMIFS(F$2:F$1589,A$2:A$1589,A382,C$2:C$1589,C382,E$2:E$1589,E382,Q$2:Q$1589,Q382)</f>
        <v/>
      </c>
    </row>
    <row r="383">
      <c r="A383" s="3" t="inlineStr">
        <is>
          <t>compra</t>
        </is>
      </c>
      <c r="B383" s="3" t="inlineStr">
        <is>
          <t>ccaa:15</t>
        </is>
      </c>
      <c r="C383" s="3" t="inlineStr">
        <is>
          <t>P4</t>
        </is>
      </c>
      <c r="D383" s="3" t="inlineStr">
        <is>
          <t>residuo</t>
        </is>
      </c>
      <c r="E383" s="3" t="inlineStr">
        <is>
          <t>regional_ccaa_ols</t>
        </is>
      </c>
      <c r="F383" s="3" t="n">
        <v>-4.6843</v>
      </c>
      <c r="G383" s="3" t="n"/>
      <c r="H383" s="3" t="n"/>
      <c r="I383" s="3" t="n">
        <v>1.20787</v>
      </c>
      <c r="J383" s="3" t="n"/>
      <c r="K383" s="3" t="n"/>
      <c r="L383" s="3" t="n"/>
      <c r="M383" s="3" t="n"/>
      <c r="N383" s="3" t="inlineStr">
        <is>
          <t>C4</t>
        </is>
      </c>
      <c r="O383" s="3" t="inlineStr">
        <is>
          <t>no</t>
        </is>
      </c>
      <c r="P383" s="3" t="inlineStr">
        <is>
          <t>no_compite</t>
        </is>
      </c>
      <c r="Q383" s="3" t="inlineStr">
        <is>
          <t>ols_solo_factor</t>
        </is>
      </c>
      <c r="R383" s="3" t="n"/>
      <c r="S383" s="3" t="inlineStr">
        <is>
          <t>contraste regional (R6); no vota</t>
        </is>
      </c>
      <c r="T383" s="3" t="inlineStr">
        <is>
          <t>output/v8/F5/atribucion_combinada.csv</t>
        </is>
      </c>
      <c r="U383" s="2">
        <f>IF(R383=0,"",F383/R383)</f>
        <v/>
      </c>
      <c r="V383" s="2">
        <f>SUMIFS(F$2:F$1589,A$2:A$1589,A383,C$2:C$1589,C383,E$2:E$1589,E383,Q$2:Q$1589,Q383)</f>
        <v/>
      </c>
    </row>
    <row r="384">
      <c r="A384" s="3" t="inlineStr">
        <is>
          <t>compra</t>
        </is>
      </c>
      <c r="B384" s="3" t="inlineStr">
        <is>
          <t>ccaa:16</t>
        </is>
      </c>
      <c r="C384" s="3" t="inlineStr">
        <is>
          <t>P4</t>
        </is>
      </c>
      <c r="D384" s="3" t="inlineStr">
        <is>
          <t>factor_comun</t>
        </is>
      </c>
      <c r="E384" s="3" t="inlineStr">
        <is>
          <t>regional_ccaa_ols</t>
        </is>
      </c>
      <c r="F384" s="3" t="n">
        <v>-5.83052</v>
      </c>
      <c r="G384" s="3" t="n"/>
      <c r="H384" s="3" t="n"/>
      <c r="I384" s="3" t="n">
        <v>1.51403</v>
      </c>
      <c r="J384" s="3" t="n">
        <v>-8.591559999999999</v>
      </c>
      <c r="K384" s="3" t="n">
        <v>-1.42149</v>
      </c>
      <c r="L384" s="3" t="n">
        <v>-11.0647</v>
      </c>
      <c r="M384" s="3" t="n">
        <v>3.14122</v>
      </c>
      <c r="N384" s="3" t="inlineStr">
        <is>
          <t>C4</t>
        </is>
      </c>
      <c r="O384" s="3" t="inlineStr">
        <is>
          <t>no</t>
        </is>
      </c>
      <c r="P384" s="3" t="inlineStr">
        <is>
          <t>no_compite</t>
        </is>
      </c>
      <c r="Q384" s="3" t="inlineStr">
        <is>
          <t>ols_solo_factor</t>
        </is>
      </c>
      <c r="R384" s="3" t="n"/>
      <c r="S384" s="3" t="inlineStr">
        <is>
          <t>contraste regional (R6); no vota</t>
        </is>
      </c>
      <c r="T384" s="3" t="inlineStr">
        <is>
          <t>output/v8/F5/atribucion_combinada.csv</t>
        </is>
      </c>
      <c r="U384" s="2">
        <f>IF(R384=0,"",F384/R384)</f>
        <v/>
      </c>
      <c r="V384" s="2">
        <f>SUMIFS(F$2:F$1589,A$2:A$1589,A384,C$2:C$1589,C384,E$2:E$1589,E384,Q$2:Q$1589,Q384)</f>
        <v/>
      </c>
    </row>
    <row r="385">
      <c r="A385" s="3" t="inlineStr">
        <is>
          <t>compra</t>
        </is>
      </c>
      <c r="B385" s="3" t="inlineStr">
        <is>
          <t>ccaa:16</t>
        </is>
      </c>
      <c r="C385" s="3" t="inlineStr">
        <is>
          <t>P4</t>
        </is>
      </c>
      <c r="D385" s="3" t="inlineStr">
        <is>
          <t>residuo</t>
        </is>
      </c>
      <c r="E385" s="3" t="inlineStr">
        <is>
          <t>regional_ccaa_ols</t>
        </is>
      </c>
      <c r="F385" s="3" t="n">
        <v>1.97952</v>
      </c>
      <c r="G385" s="3" t="n"/>
      <c r="H385" s="3" t="n"/>
      <c r="I385" s="3" t="n">
        <v>-0.514026</v>
      </c>
      <c r="J385" s="3" t="n"/>
      <c r="K385" s="3" t="n"/>
      <c r="L385" s="3" t="n"/>
      <c r="M385" s="3" t="n"/>
      <c r="N385" s="3" t="inlineStr">
        <is>
          <t>C4</t>
        </is>
      </c>
      <c r="O385" s="3" t="inlineStr">
        <is>
          <t>no</t>
        </is>
      </c>
      <c r="P385" s="3" t="inlineStr">
        <is>
          <t>no_compite</t>
        </is>
      </c>
      <c r="Q385" s="3" t="inlineStr">
        <is>
          <t>ols_solo_factor</t>
        </is>
      </c>
      <c r="R385" s="3" t="n"/>
      <c r="S385" s="3" t="inlineStr">
        <is>
          <t>contraste regional (R6); no vota</t>
        </is>
      </c>
      <c r="T385" s="3" t="inlineStr">
        <is>
          <t>output/v8/F5/atribucion_combinada.csv</t>
        </is>
      </c>
      <c r="U385" s="2">
        <f>IF(R385=0,"",F385/R385)</f>
        <v/>
      </c>
      <c r="V385" s="2">
        <f>SUMIFS(F$2:F$1589,A$2:A$1589,A385,C$2:C$1589,C385,E$2:E$1589,E385,Q$2:Q$1589,Q385)</f>
        <v/>
      </c>
    </row>
    <row r="386">
      <c r="A386" s="3" t="inlineStr">
        <is>
          <t>compra</t>
        </is>
      </c>
      <c r="B386" s="3" t="inlineStr">
        <is>
          <t>ccaa:17</t>
        </is>
      </c>
      <c r="C386" s="3" t="inlineStr">
        <is>
          <t>P4</t>
        </is>
      </c>
      <c r="D386" s="3" t="inlineStr">
        <is>
          <t>factor_comun</t>
        </is>
      </c>
      <c r="E386" s="3" t="inlineStr">
        <is>
          <t>regional_ccaa_ols</t>
        </is>
      </c>
      <c r="F386" s="3" t="n">
        <v>-4.9932</v>
      </c>
      <c r="G386" s="3" t="n"/>
      <c r="H386" s="3" t="n"/>
      <c r="I386" s="3" t="n">
        <v>1.2838</v>
      </c>
      <c r="J386" s="3" t="n">
        <v>-7.3626</v>
      </c>
      <c r="K386" s="3" t="n">
        <v>-3.71415</v>
      </c>
      <c r="L386" s="3" t="n">
        <v>-8.995749999999999</v>
      </c>
      <c r="M386" s="3" t="n">
        <v>-2.84374</v>
      </c>
      <c r="N386" s="3" t="inlineStr">
        <is>
          <t>C4</t>
        </is>
      </c>
      <c r="O386" s="3" t="inlineStr">
        <is>
          <t>no</t>
        </is>
      </c>
      <c r="P386" s="3" t="inlineStr">
        <is>
          <t>no_compite</t>
        </is>
      </c>
      <c r="Q386" s="3" t="inlineStr">
        <is>
          <t>ols_solo_factor</t>
        </is>
      </c>
      <c r="R386" s="3" t="n"/>
      <c r="S386" s="3" t="inlineStr">
        <is>
          <t>contraste regional (R6); no vota</t>
        </is>
      </c>
      <c r="T386" s="3" t="inlineStr">
        <is>
          <t>output/v8/F5/atribucion_combinada.csv</t>
        </is>
      </c>
      <c r="U386" s="2">
        <f>IF(R386=0,"",F386/R386)</f>
        <v/>
      </c>
      <c r="V386" s="2">
        <f>SUMIFS(F$2:F$1589,A$2:A$1589,A386,C$2:C$1589,C386,E$2:E$1589,E386,Q$2:Q$1589,Q386)</f>
        <v/>
      </c>
    </row>
    <row r="387">
      <c r="A387" s="3" t="inlineStr">
        <is>
          <t>compra</t>
        </is>
      </c>
      <c r="B387" s="3" t="inlineStr">
        <is>
          <t>ccaa:17</t>
        </is>
      </c>
      <c r="C387" s="3" t="inlineStr">
        <is>
          <t>P4</t>
        </is>
      </c>
      <c r="D387" s="3" t="inlineStr">
        <is>
          <t>residuo</t>
        </is>
      </c>
      <c r="E387" s="3" t="inlineStr">
        <is>
          <t>regional_ccaa_ols</t>
        </is>
      </c>
      <c r="F387" s="3" t="n">
        <v>1.10381</v>
      </c>
      <c r="G387" s="3" t="n"/>
      <c r="H387" s="3" t="n"/>
      <c r="I387" s="3" t="n">
        <v>-0.2838</v>
      </c>
      <c r="J387" s="3" t="n"/>
      <c r="K387" s="3" t="n"/>
      <c r="L387" s="3" t="n"/>
      <c r="M387" s="3" t="n"/>
      <c r="N387" s="3" t="inlineStr">
        <is>
          <t>C4</t>
        </is>
      </c>
      <c r="O387" s="3" t="inlineStr">
        <is>
          <t>no</t>
        </is>
      </c>
      <c r="P387" s="3" t="inlineStr">
        <is>
          <t>no_compite</t>
        </is>
      </c>
      <c r="Q387" s="3" t="inlineStr">
        <is>
          <t>ols_solo_factor</t>
        </is>
      </c>
      <c r="R387" s="3" t="n"/>
      <c r="S387" s="3" t="inlineStr">
        <is>
          <t>contraste regional (R6); no vota</t>
        </is>
      </c>
      <c r="T387" s="3" t="inlineStr">
        <is>
          <t>output/v8/F5/atribucion_combinada.csv</t>
        </is>
      </c>
      <c r="U387" s="2">
        <f>IF(R387=0,"",F387/R387)</f>
        <v/>
      </c>
      <c r="V387" s="2">
        <f>SUMIFS(F$2:F$1589,A$2:A$1589,A387,C$2:C$1589,C387,E$2:E$1589,E387,Q$2:Q$1589,Q387)</f>
        <v/>
      </c>
    </row>
    <row r="388">
      <c r="A388" s="3" t="inlineStr">
        <is>
          <t>compra</t>
        </is>
      </c>
      <c r="B388" s="3" t="inlineStr">
        <is>
          <t>ccaa:01</t>
        </is>
      </c>
      <c r="C388" s="3" t="inlineStr">
        <is>
          <t>P5</t>
        </is>
      </c>
      <c r="D388" s="3" t="inlineStr">
        <is>
          <t>factor_comun</t>
        </is>
      </c>
      <c r="E388" s="3" t="inlineStr">
        <is>
          <t>regional_ccaa_ols</t>
        </is>
      </c>
      <c r="F388" s="3" t="n">
        <v>8.93427</v>
      </c>
      <c r="G388" s="3" t="n"/>
      <c r="H388" s="3" t="n"/>
      <c r="I388" s="3" t="n">
        <v>0.603312</v>
      </c>
      <c r="J388" s="3" t="n">
        <v>3.70662</v>
      </c>
      <c r="K388" s="3" t="n">
        <v>13.3493</v>
      </c>
      <c r="L388" s="3" t="n">
        <v>0.675705</v>
      </c>
      <c r="M388" s="3" t="n">
        <v>17.2992</v>
      </c>
      <c r="N388" s="3" t="inlineStr">
        <is>
          <t>C4</t>
        </is>
      </c>
      <c r="O388" s="3" t="inlineStr">
        <is>
          <t>no</t>
        </is>
      </c>
      <c r="P388" s="3" t="inlineStr">
        <is>
          <t>no_compite</t>
        </is>
      </c>
      <c r="Q388" s="3" t="inlineStr">
        <is>
          <t>ols_solo_factor</t>
        </is>
      </c>
      <c r="R388" s="3" t="n"/>
      <c r="S388" s="3" t="inlineStr">
        <is>
          <t>contraste regional (R6); no vota</t>
        </is>
      </c>
      <c r="T388" s="3" t="inlineStr">
        <is>
          <t>output/v8/F5/atribucion_combinada.csv</t>
        </is>
      </c>
      <c r="U388" s="2">
        <f>IF(R388=0,"",F388/R388)</f>
        <v/>
      </c>
      <c r="V388" s="2">
        <f>SUMIFS(F$2:F$1589,A$2:A$1589,A388,C$2:C$1589,C388,E$2:E$1589,E388,Q$2:Q$1589,Q388)</f>
        <v/>
      </c>
    </row>
    <row r="389">
      <c r="A389" s="3" t="inlineStr">
        <is>
          <t>compra</t>
        </is>
      </c>
      <c r="B389" s="3" t="inlineStr">
        <is>
          <t>ccaa:01</t>
        </is>
      </c>
      <c r="C389" s="3" t="inlineStr">
        <is>
          <t>P5</t>
        </is>
      </c>
      <c r="D389" s="3" t="inlineStr">
        <is>
          <t>residuo</t>
        </is>
      </c>
      <c r="E389" s="3" t="inlineStr">
        <is>
          <t>regional_ccaa_ols</t>
        </is>
      </c>
      <c r="F389" s="3" t="n">
        <v>5.87442</v>
      </c>
      <c r="G389" s="3" t="n"/>
      <c r="H389" s="3" t="n"/>
      <c r="I389" s="3" t="n">
        <v>0.396688</v>
      </c>
      <c r="J389" s="3" t="n"/>
      <c r="K389" s="3" t="n"/>
      <c r="L389" s="3" t="n"/>
      <c r="M389" s="3" t="n"/>
      <c r="N389" s="3" t="inlineStr">
        <is>
          <t>C4</t>
        </is>
      </c>
      <c r="O389" s="3" t="inlineStr">
        <is>
          <t>no</t>
        </is>
      </c>
      <c r="P389" s="3" t="inlineStr">
        <is>
          <t>no_compite</t>
        </is>
      </c>
      <c r="Q389" s="3" t="inlineStr">
        <is>
          <t>ols_solo_factor</t>
        </is>
      </c>
      <c r="R389" s="3" t="n"/>
      <c r="S389" s="3" t="inlineStr">
        <is>
          <t>contraste regional (R6); no vota</t>
        </is>
      </c>
      <c r="T389" s="3" t="inlineStr">
        <is>
          <t>output/v8/F5/atribucion_combinada.csv</t>
        </is>
      </c>
      <c r="U389" s="2">
        <f>IF(R389=0,"",F389/R389)</f>
        <v/>
      </c>
      <c r="V389" s="2">
        <f>SUMIFS(F$2:F$1589,A$2:A$1589,A389,C$2:C$1589,C389,E$2:E$1589,E389,Q$2:Q$1589,Q389)</f>
        <v/>
      </c>
    </row>
    <row r="390">
      <c r="A390" s="3" t="inlineStr">
        <is>
          <t>compra</t>
        </is>
      </c>
      <c r="B390" s="3" t="inlineStr">
        <is>
          <t>ccaa:02</t>
        </is>
      </c>
      <c r="C390" s="3" t="inlineStr">
        <is>
          <t>P5</t>
        </is>
      </c>
      <c r="D390" s="3" t="inlineStr">
        <is>
          <t>factor_comun</t>
        </is>
      </c>
      <c r="E390" s="3" t="inlineStr">
        <is>
          <t>regional_ccaa_ols</t>
        </is>
      </c>
      <c r="F390" s="3" t="n">
        <v>11.268</v>
      </c>
      <c r="G390" s="3" t="n"/>
      <c r="H390" s="3" t="n"/>
      <c r="I390" s="3" t="n">
        <v>0.867388</v>
      </c>
      <c r="J390" s="3" t="n">
        <v>4.83081</v>
      </c>
      <c r="K390" s="3" t="n">
        <v>17.9264</v>
      </c>
      <c r="L390" s="3" t="n">
        <v>1.93456</v>
      </c>
      <c r="M390" s="3" t="n">
        <v>21.489</v>
      </c>
      <c r="N390" s="3" t="inlineStr">
        <is>
          <t>C4</t>
        </is>
      </c>
      <c r="O390" s="3" t="inlineStr">
        <is>
          <t>no</t>
        </is>
      </c>
      <c r="P390" s="3" t="inlineStr">
        <is>
          <t>no_compite</t>
        </is>
      </c>
      <c r="Q390" s="3" t="inlineStr">
        <is>
          <t>ols_solo_factor</t>
        </is>
      </c>
      <c r="R390" s="3" t="n"/>
      <c r="S390" s="3" t="inlineStr">
        <is>
          <t>contraste regional (R6); no vota</t>
        </is>
      </c>
      <c r="T390" s="3" t="inlineStr">
        <is>
          <t>output/v8/F5/atribucion_combinada.csv</t>
        </is>
      </c>
      <c r="U390" s="2">
        <f>IF(R390=0,"",F390/R390)</f>
        <v/>
      </c>
      <c r="V390" s="2">
        <f>SUMIFS(F$2:F$1589,A$2:A$1589,A390,C$2:C$1589,C390,E$2:E$1589,E390,Q$2:Q$1589,Q390)</f>
        <v/>
      </c>
    </row>
    <row r="391">
      <c r="A391" s="3" t="inlineStr">
        <is>
          <t>compra</t>
        </is>
      </c>
      <c r="B391" s="3" t="inlineStr">
        <is>
          <t>ccaa:02</t>
        </is>
      </c>
      <c r="C391" s="3" t="inlineStr">
        <is>
          <t>P5</t>
        </is>
      </c>
      <c r="D391" s="3" t="inlineStr">
        <is>
          <t>residuo</t>
        </is>
      </c>
      <c r="E391" s="3" t="inlineStr">
        <is>
          <t>regional_ccaa_ols</t>
        </is>
      </c>
      <c r="F391" s="3" t="n">
        <v>1.72272</v>
      </c>
      <c r="G391" s="3" t="n"/>
      <c r="H391" s="3" t="n"/>
      <c r="I391" s="3" t="n">
        <v>0.132612</v>
      </c>
      <c r="J391" s="3" t="n"/>
      <c r="K391" s="3" t="n"/>
      <c r="L391" s="3" t="n"/>
      <c r="M391" s="3" t="n"/>
      <c r="N391" s="3" t="inlineStr">
        <is>
          <t>C4</t>
        </is>
      </c>
      <c r="O391" s="3" t="inlineStr">
        <is>
          <t>no</t>
        </is>
      </c>
      <c r="P391" s="3" t="inlineStr">
        <is>
          <t>no_compite</t>
        </is>
      </c>
      <c r="Q391" s="3" t="inlineStr">
        <is>
          <t>ols_solo_factor</t>
        </is>
      </c>
      <c r="R391" s="3" t="n"/>
      <c r="S391" s="3" t="inlineStr">
        <is>
          <t>contraste regional (R6); no vota</t>
        </is>
      </c>
      <c r="T391" s="3" t="inlineStr">
        <is>
          <t>output/v8/F5/atribucion_combinada.csv</t>
        </is>
      </c>
      <c r="U391" s="2">
        <f>IF(R391=0,"",F391/R391)</f>
        <v/>
      </c>
      <c r="V391" s="2">
        <f>SUMIFS(F$2:F$1589,A$2:A$1589,A391,C$2:C$1589,C391,E$2:E$1589,E391,Q$2:Q$1589,Q391)</f>
        <v/>
      </c>
    </row>
    <row r="392">
      <c r="A392" s="3" t="inlineStr">
        <is>
          <t>compra</t>
        </is>
      </c>
      <c r="B392" s="3" t="inlineStr">
        <is>
          <t>ccaa:03</t>
        </is>
      </c>
      <c r="C392" s="3" t="inlineStr">
        <is>
          <t>P5</t>
        </is>
      </c>
      <c r="D392" s="3" t="inlineStr">
        <is>
          <t>factor_comun</t>
        </is>
      </c>
      <c r="E392" s="3" t="inlineStr">
        <is>
          <t>regional_ccaa_ols</t>
        </is>
      </c>
      <c r="F392" s="3" t="n">
        <v>13.2699</v>
      </c>
      <c r="G392" s="3" t="n"/>
      <c r="H392" s="3" t="n"/>
      <c r="I392" s="3" t="n">
        <v>1.22208</v>
      </c>
      <c r="J392" s="3" t="n">
        <v>4.96336</v>
      </c>
      <c r="K392" s="3" t="n">
        <v>21.4906</v>
      </c>
      <c r="L392" s="3" t="n">
        <v>1.11614</v>
      </c>
      <c r="M392" s="3" t="n">
        <v>26.9615</v>
      </c>
      <c r="N392" s="3" t="inlineStr">
        <is>
          <t>C4</t>
        </is>
      </c>
      <c r="O392" s="3" t="inlineStr">
        <is>
          <t>no</t>
        </is>
      </c>
      <c r="P392" s="3" t="inlineStr">
        <is>
          <t>no_compite</t>
        </is>
      </c>
      <c r="Q392" s="3" t="inlineStr">
        <is>
          <t>ols_solo_factor</t>
        </is>
      </c>
      <c r="R392" s="3" t="n"/>
      <c r="S392" s="3" t="inlineStr">
        <is>
          <t>contraste regional (R6); no vota</t>
        </is>
      </c>
      <c r="T392" s="3" t="inlineStr">
        <is>
          <t>output/v8/F5/atribucion_combinada.csv</t>
        </is>
      </c>
      <c r="U392" s="2">
        <f>IF(R392=0,"",F392/R392)</f>
        <v/>
      </c>
      <c r="V392" s="2">
        <f>SUMIFS(F$2:F$1589,A$2:A$1589,A392,C$2:C$1589,C392,E$2:E$1589,E392,Q$2:Q$1589,Q392)</f>
        <v/>
      </c>
    </row>
    <row r="393">
      <c r="A393" s="3" t="inlineStr">
        <is>
          <t>compra</t>
        </is>
      </c>
      <c r="B393" s="3" t="inlineStr">
        <is>
          <t>ccaa:03</t>
        </is>
      </c>
      <c r="C393" s="3" t="inlineStr">
        <is>
          <t>P5</t>
        </is>
      </c>
      <c r="D393" s="3" t="inlineStr">
        <is>
          <t>residuo</t>
        </is>
      </c>
      <c r="E393" s="3" t="inlineStr">
        <is>
          <t>regional_ccaa_ols</t>
        </is>
      </c>
      <c r="F393" s="3" t="n">
        <v>-2.41143</v>
      </c>
      <c r="G393" s="3" t="n"/>
      <c r="H393" s="3" t="n"/>
      <c r="I393" s="3" t="n">
        <v>-0.222079</v>
      </c>
      <c r="J393" s="3" t="n"/>
      <c r="K393" s="3" t="n"/>
      <c r="L393" s="3" t="n"/>
      <c r="M393" s="3" t="n"/>
      <c r="N393" s="3" t="inlineStr">
        <is>
          <t>C4</t>
        </is>
      </c>
      <c r="O393" s="3" t="inlineStr">
        <is>
          <t>no</t>
        </is>
      </c>
      <c r="P393" s="3" t="inlineStr">
        <is>
          <t>no_compite</t>
        </is>
      </c>
      <c r="Q393" s="3" t="inlineStr">
        <is>
          <t>ols_solo_factor</t>
        </is>
      </c>
      <c r="R393" s="3" t="n"/>
      <c r="S393" s="3" t="inlineStr">
        <is>
          <t>contraste regional (R6); no vota</t>
        </is>
      </c>
      <c r="T393" s="3" t="inlineStr">
        <is>
          <t>output/v8/F5/atribucion_combinada.csv</t>
        </is>
      </c>
      <c r="U393" s="2">
        <f>IF(R393=0,"",F393/R393)</f>
        <v/>
      </c>
      <c r="V393" s="2">
        <f>SUMIFS(F$2:F$1589,A$2:A$1589,A393,C$2:C$1589,C393,E$2:E$1589,E393,Q$2:Q$1589,Q393)</f>
        <v/>
      </c>
    </row>
    <row r="394">
      <c r="A394" s="3" t="inlineStr">
        <is>
          <t>compra</t>
        </is>
      </c>
      <c r="B394" s="3" t="inlineStr">
        <is>
          <t>ccaa:04</t>
        </is>
      </c>
      <c r="C394" s="3" t="inlineStr">
        <is>
          <t>P5</t>
        </is>
      </c>
      <c r="D394" s="3" t="inlineStr">
        <is>
          <t>factor_comun</t>
        </is>
      </c>
      <c r="E394" s="3" t="inlineStr">
        <is>
          <t>regional_ccaa_ols</t>
        </is>
      </c>
      <c r="F394" s="3" t="n">
        <v>8.512729999999999</v>
      </c>
      <c r="G394" s="3" t="n"/>
      <c r="H394" s="3" t="n"/>
      <c r="I394" s="3" t="n">
        <v>0.363411</v>
      </c>
      <c r="J394" s="3" t="n">
        <v>3.5228</v>
      </c>
      <c r="K394" s="3" t="n">
        <v>12.6227</v>
      </c>
      <c r="L394" s="3" t="n">
        <v>0.0490096</v>
      </c>
      <c r="M394" s="3" t="n">
        <v>15.0122</v>
      </c>
      <c r="N394" s="3" t="inlineStr">
        <is>
          <t>C4</t>
        </is>
      </c>
      <c r="O394" s="3" t="inlineStr">
        <is>
          <t>no</t>
        </is>
      </c>
      <c r="P394" s="3" t="inlineStr">
        <is>
          <t>no_compite</t>
        </is>
      </c>
      <c r="Q394" s="3" t="inlineStr">
        <is>
          <t>ols_solo_factor</t>
        </is>
      </c>
      <c r="R394" s="3" t="n"/>
      <c r="S394" s="3" t="inlineStr">
        <is>
          <t>contraste regional (R6); no vota</t>
        </is>
      </c>
      <c r="T394" s="3" t="inlineStr">
        <is>
          <t>output/v8/F5/atribucion_combinada.csv</t>
        </is>
      </c>
      <c r="U394" s="2">
        <f>IF(R394=0,"",F394/R394)</f>
        <v/>
      </c>
      <c r="V394" s="2">
        <f>SUMIFS(F$2:F$1589,A$2:A$1589,A394,C$2:C$1589,C394,E$2:E$1589,E394,Q$2:Q$1589,Q394)</f>
        <v/>
      </c>
    </row>
    <row r="395">
      <c r="A395" s="3" t="inlineStr">
        <is>
          <t>compra</t>
        </is>
      </c>
      <c r="B395" s="3" t="inlineStr">
        <is>
          <t>ccaa:04</t>
        </is>
      </c>
      <c r="C395" s="3" t="inlineStr">
        <is>
          <t>P5</t>
        </is>
      </c>
      <c r="D395" s="3" t="inlineStr">
        <is>
          <t>residuo</t>
        </is>
      </c>
      <c r="E395" s="3" t="inlineStr">
        <is>
          <t>regional_ccaa_ols</t>
        </is>
      </c>
      <c r="F395" s="3" t="n">
        <v>14.9118</v>
      </c>
      <c r="G395" s="3" t="n"/>
      <c r="H395" s="3" t="n"/>
      <c r="I395" s="3" t="n">
        <v>0.636589</v>
      </c>
      <c r="J395" s="3" t="n"/>
      <c r="K395" s="3" t="n"/>
      <c r="L395" s="3" t="n"/>
      <c r="M395" s="3" t="n"/>
      <c r="N395" s="3" t="inlineStr">
        <is>
          <t>C4</t>
        </is>
      </c>
      <c r="O395" s="3" t="inlineStr">
        <is>
          <t>no</t>
        </is>
      </c>
      <c r="P395" s="3" t="inlineStr">
        <is>
          <t>no_compite</t>
        </is>
      </c>
      <c r="Q395" s="3" t="inlineStr">
        <is>
          <t>ols_solo_factor</t>
        </is>
      </c>
      <c r="R395" s="3" t="n"/>
      <c r="S395" s="3" t="inlineStr">
        <is>
          <t>contraste regional (R6); no vota</t>
        </is>
      </c>
      <c r="T395" s="3" t="inlineStr">
        <is>
          <t>output/v8/F5/atribucion_combinada.csv</t>
        </is>
      </c>
      <c r="U395" s="2">
        <f>IF(R395=0,"",F395/R395)</f>
        <v/>
      </c>
      <c r="V395" s="2">
        <f>SUMIFS(F$2:F$1589,A$2:A$1589,A395,C$2:C$1589,C395,E$2:E$1589,E395,Q$2:Q$1589,Q395)</f>
        <v/>
      </c>
    </row>
    <row r="396">
      <c r="A396" s="3" t="inlineStr">
        <is>
          <t>compra</t>
        </is>
      </c>
      <c r="B396" s="3" t="inlineStr">
        <is>
          <t>ccaa:05</t>
        </is>
      </c>
      <c r="C396" s="3" t="inlineStr">
        <is>
          <t>P5</t>
        </is>
      </c>
      <c r="D396" s="3" t="inlineStr">
        <is>
          <t>factor_comun</t>
        </is>
      </c>
      <c r="E396" s="3" t="inlineStr">
        <is>
          <t>regional_ccaa_ols</t>
        </is>
      </c>
      <c r="F396" s="3" t="n">
        <v>9.6236</v>
      </c>
      <c r="G396" s="3" t="n"/>
      <c r="H396" s="3" t="n"/>
      <c r="I396" s="3" t="n">
        <v>0.619136</v>
      </c>
      <c r="J396" s="3" t="n">
        <v>4.265</v>
      </c>
      <c r="K396" s="3" t="n">
        <v>14.5945</v>
      </c>
      <c r="L396" s="3" t="n">
        <v>0.90889</v>
      </c>
      <c r="M396" s="3" t="n">
        <v>18.5722</v>
      </c>
      <c r="N396" s="3" t="inlineStr">
        <is>
          <t>C4</t>
        </is>
      </c>
      <c r="O396" s="3" t="inlineStr">
        <is>
          <t>no</t>
        </is>
      </c>
      <c r="P396" s="3" t="inlineStr">
        <is>
          <t>no_compite</t>
        </is>
      </c>
      <c r="Q396" s="3" t="inlineStr">
        <is>
          <t>ols_solo_factor</t>
        </is>
      </c>
      <c r="R396" s="3" t="n"/>
      <c r="S396" s="3" t="inlineStr">
        <is>
          <t>contraste regional (R6); no vota</t>
        </is>
      </c>
      <c r="T396" s="3" t="inlineStr">
        <is>
          <t>output/v8/F5/atribucion_combinada.csv</t>
        </is>
      </c>
      <c r="U396" s="2">
        <f>IF(R396=0,"",F396/R396)</f>
        <v/>
      </c>
      <c r="V396" s="2">
        <f>SUMIFS(F$2:F$1589,A$2:A$1589,A396,C$2:C$1589,C396,E$2:E$1589,E396,Q$2:Q$1589,Q396)</f>
        <v/>
      </c>
    </row>
    <row r="397">
      <c r="A397" s="3" t="inlineStr">
        <is>
          <t>compra</t>
        </is>
      </c>
      <c r="B397" s="3" t="inlineStr">
        <is>
          <t>ccaa:05</t>
        </is>
      </c>
      <c r="C397" s="3" t="inlineStr">
        <is>
          <t>P5</t>
        </is>
      </c>
      <c r="D397" s="3" t="inlineStr">
        <is>
          <t>residuo</t>
        </is>
      </c>
      <c r="E397" s="3" t="inlineStr">
        <is>
          <t>regional_ccaa_ols</t>
        </is>
      </c>
      <c r="F397" s="3" t="n">
        <v>5.92</v>
      </c>
      <c r="G397" s="3" t="n"/>
      <c r="H397" s="3" t="n"/>
      <c r="I397" s="3" t="n">
        <v>0.380864</v>
      </c>
      <c r="J397" s="3" t="n"/>
      <c r="K397" s="3" t="n"/>
      <c r="L397" s="3" t="n"/>
      <c r="M397" s="3" t="n"/>
      <c r="N397" s="3" t="inlineStr">
        <is>
          <t>C4</t>
        </is>
      </c>
      <c r="O397" s="3" t="inlineStr">
        <is>
          <t>no</t>
        </is>
      </c>
      <c r="P397" s="3" t="inlineStr">
        <is>
          <t>no_compite</t>
        </is>
      </c>
      <c r="Q397" s="3" t="inlineStr">
        <is>
          <t>ols_solo_factor</t>
        </is>
      </c>
      <c r="R397" s="3" t="n"/>
      <c r="S397" s="3" t="inlineStr">
        <is>
          <t>contraste regional (R6); no vota</t>
        </is>
      </c>
      <c r="T397" s="3" t="inlineStr">
        <is>
          <t>output/v8/F5/atribucion_combinada.csv</t>
        </is>
      </c>
      <c r="U397" s="2">
        <f>IF(R397=0,"",F397/R397)</f>
        <v/>
      </c>
      <c r="V397" s="2">
        <f>SUMIFS(F$2:F$1589,A$2:A$1589,A397,C$2:C$1589,C397,E$2:E$1589,E397,Q$2:Q$1589,Q397)</f>
        <v/>
      </c>
    </row>
    <row r="398">
      <c r="A398" s="3" t="inlineStr">
        <is>
          <t>compra</t>
        </is>
      </c>
      <c r="B398" s="3" t="inlineStr">
        <is>
          <t>ccaa:06</t>
        </is>
      </c>
      <c r="C398" s="3" t="inlineStr">
        <is>
          <t>P5</t>
        </is>
      </c>
      <c r="D398" s="3" t="inlineStr">
        <is>
          <t>factor_comun</t>
        </is>
      </c>
      <c r="E398" s="3" t="inlineStr">
        <is>
          <t>regional_ccaa_ols</t>
        </is>
      </c>
      <c r="F398" s="3" t="n">
        <v>12.76</v>
      </c>
      <c r="G398" s="3" t="n"/>
      <c r="H398" s="3" t="n"/>
      <c r="I398" s="3" t="n">
        <v>0.874021</v>
      </c>
      <c r="J398" s="3" t="n">
        <v>5.07181</v>
      </c>
      <c r="K398" s="3" t="n">
        <v>22.2134</v>
      </c>
      <c r="L398" s="3" t="n">
        <v>0.243282</v>
      </c>
      <c r="M398" s="3" t="n">
        <v>26.5649</v>
      </c>
      <c r="N398" s="3" t="inlineStr">
        <is>
          <t>C4</t>
        </is>
      </c>
      <c r="O398" s="3" t="inlineStr">
        <is>
          <t>no</t>
        </is>
      </c>
      <c r="P398" s="3" t="inlineStr">
        <is>
          <t>no_compite</t>
        </is>
      </c>
      <c r="Q398" s="3" t="inlineStr">
        <is>
          <t>ols_solo_factor</t>
        </is>
      </c>
      <c r="R398" s="3" t="n"/>
      <c r="S398" s="3" t="inlineStr">
        <is>
          <t>contraste regional (R6); no vota</t>
        </is>
      </c>
      <c r="T398" s="3" t="inlineStr">
        <is>
          <t>output/v8/F5/atribucion_combinada.csv</t>
        </is>
      </c>
      <c r="U398" s="2">
        <f>IF(R398=0,"",F398/R398)</f>
        <v/>
      </c>
      <c r="V398" s="2">
        <f>SUMIFS(F$2:F$1589,A$2:A$1589,A398,C$2:C$1589,C398,E$2:E$1589,E398,Q$2:Q$1589,Q398)</f>
        <v/>
      </c>
    </row>
    <row r="399">
      <c r="A399" s="3" t="inlineStr">
        <is>
          <t>compra</t>
        </is>
      </c>
      <c r="B399" s="3" t="inlineStr">
        <is>
          <t>ccaa:06</t>
        </is>
      </c>
      <c r="C399" s="3" t="inlineStr">
        <is>
          <t>P5</t>
        </is>
      </c>
      <c r="D399" s="3" t="inlineStr">
        <is>
          <t>residuo</t>
        </is>
      </c>
      <c r="E399" s="3" t="inlineStr">
        <is>
          <t>regional_ccaa_ols</t>
        </is>
      </c>
      <c r="F399" s="3" t="n">
        <v>1.8392</v>
      </c>
      <c r="G399" s="3" t="n"/>
      <c r="H399" s="3" t="n"/>
      <c r="I399" s="3" t="n">
        <v>0.125979</v>
      </c>
      <c r="J399" s="3" t="n"/>
      <c r="K399" s="3" t="n"/>
      <c r="L399" s="3" t="n"/>
      <c r="M399" s="3" t="n"/>
      <c r="N399" s="3" t="inlineStr">
        <is>
          <t>C4</t>
        </is>
      </c>
      <c r="O399" s="3" t="inlineStr">
        <is>
          <t>no</t>
        </is>
      </c>
      <c r="P399" s="3" t="inlineStr">
        <is>
          <t>no_compite</t>
        </is>
      </c>
      <c r="Q399" s="3" t="inlineStr">
        <is>
          <t>ols_solo_factor</t>
        </is>
      </c>
      <c r="R399" s="3" t="n"/>
      <c r="S399" s="3" t="inlineStr">
        <is>
          <t>contraste regional (R6); no vota</t>
        </is>
      </c>
      <c r="T399" s="3" t="inlineStr">
        <is>
          <t>output/v8/F5/atribucion_combinada.csv</t>
        </is>
      </c>
      <c r="U399" s="2">
        <f>IF(R399=0,"",F399/R399)</f>
        <v/>
      </c>
      <c r="V399" s="2">
        <f>SUMIFS(F$2:F$1589,A$2:A$1589,A399,C$2:C$1589,C399,E$2:E$1589,E399,Q$2:Q$1589,Q399)</f>
        <v/>
      </c>
    </row>
    <row r="400">
      <c r="A400" s="3" t="inlineStr">
        <is>
          <t>compra</t>
        </is>
      </c>
      <c r="B400" s="3" t="inlineStr">
        <is>
          <t>ccaa:07</t>
        </is>
      </c>
      <c r="C400" s="3" t="inlineStr">
        <is>
          <t>P5</t>
        </is>
      </c>
      <c r="D400" s="3" t="inlineStr">
        <is>
          <t>factor_comun</t>
        </is>
      </c>
      <c r="E400" s="3" t="inlineStr">
        <is>
          <t>regional_ccaa_ols</t>
        </is>
      </c>
      <c r="F400" s="3" t="n">
        <v>10.735</v>
      </c>
      <c r="G400" s="3" t="n"/>
      <c r="H400" s="3" t="n"/>
      <c r="I400" s="3" t="n">
        <v>3.87377</v>
      </c>
      <c r="J400" s="3" t="n">
        <v>3.59664</v>
      </c>
      <c r="K400" s="3" t="n">
        <v>18.3233</v>
      </c>
      <c r="L400" s="3" t="n">
        <v>0.409152</v>
      </c>
      <c r="M400" s="3" t="n">
        <v>23.0735</v>
      </c>
      <c r="N400" s="3" t="inlineStr">
        <is>
          <t>C4</t>
        </is>
      </c>
      <c r="O400" s="3" t="inlineStr">
        <is>
          <t>no</t>
        </is>
      </c>
      <c r="P400" s="3" t="inlineStr">
        <is>
          <t>no_compite</t>
        </is>
      </c>
      <c r="Q400" s="3" t="inlineStr">
        <is>
          <t>ols_solo_factor</t>
        </is>
      </c>
      <c r="R400" s="3" t="n"/>
      <c r="S400" s="3" t="inlineStr">
        <is>
          <t>contraste regional (R6); no vota</t>
        </is>
      </c>
      <c r="T400" s="3" t="inlineStr">
        <is>
          <t>output/v8/F5/atribucion_combinada.csv</t>
        </is>
      </c>
      <c r="U400" s="2">
        <f>IF(R400=0,"",F400/R400)</f>
        <v/>
      </c>
      <c r="V400" s="2">
        <f>SUMIFS(F$2:F$1589,A$2:A$1589,A400,C$2:C$1589,C400,E$2:E$1589,E400,Q$2:Q$1589,Q400)</f>
        <v/>
      </c>
    </row>
    <row r="401">
      <c r="A401" s="3" t="inlineStr">
        <is>
          <t>compra</t>
        </is>
      </c>
      <c r="B401" s="3" t="inlineStr">
        <is>
          <t>ccaa:07</t>
        </is>
      </c>
      <c r="C401" s="3" t="inlineStr">
        <is>
          <t>P5</t>
        </is>
      </c>
      <c r="D401" s="3" t="inlineStr">
        <is>
          <t>residuo</t>
        </is>
      </c>
      <c r="E401" s="3" t="inlineStr">
        <is>
          <t>regional_ccaa_ols</t>
        </is>
      </c>
      <c r="F401" s="3" t="n">
        <v>-7.96377</v>
      </c>
      <c r="G401" s="3" t="n"/>
      <c r="H401" s="3" t="n"/>
      <c r="I401" s="3" t="n">
        <v>-2.87377</v>
      </c>
      <c r="J401" s="3" t="n"/>
      <c r="K401" s="3" t="n"/>
      <c r="L401" s="3" t="n"/>
      <c r="M401" s="3" t="n"/>
      <c r="N401" s="3" t="inlineStr">
        <is>
          <t>C4</t>
        </is>
      </c>
      <c r="O401" s="3" t="inlineStr">
        <is>
          <t>no</t>
        </is>
      </c>
      <c r="P401" s="3" t="inlineStr">
        <is>
          <t>no_compite</t>
        </is>
      </c>
      <c r="Q401" s="3" t="inlineStr">
        <is>
          <t>ols_solo_factor</t>
        </is>
      </c>
      <c r="R401" s="3" t="n"/>
      <c r="S401" s="3" t="inlineStr">
        <is>
          <t>contraste regional (R6); no vota</t>
        </is>
      </c>
      <c r="T401" s="3" t="inlineStr">
        <is>
          <t>output/v8/F5/atribucion_combinada.csv</t>
        </is>
      </c>
      <c r="U401" s="2">
        <f>IF(R401=0,"",F401/R401)</f>
        <v/>
      </c>
      <c r="V401" s="2">
        <f>SUMIFS(F$2:F$1589,A$2:A$1589,A401,C$2:C$1589,C401,E$2:E$1589,E401,Q$2:Q$1589,Q401)</f>
        <v/>
      </c>
    </row>
    <row r="402">
      <c r="A402" s="3" t="inlineStr">
        <is>
          <t>compra</t>
        </is>
      </c>
      <c r="B402" s="3" t="inlineStr">
        <is>
          <t>ccaa:08</t>
        </is>
      </c>
      <c r="C402" s="3" t="inlineStr">
        <is>
          <t>P5</t>
        </is>
      </c>
      <c r="D402" s="3" t="inlineStr">
        <is>
          <t>factor_comun</t>
        </is>
      </c>
      <c r="E402" s="3" t="inlineStr">
        <is>
          <t>regional_ccaa_ols</t>
        </is>
      </c>
      <c r="F402" s="3" t="n">
        <v>10.3965</v>
      </c>
      <c r="G402" s="3" t="n"/>
      <c r="H402" s="3" t="n"/>
      <c r="I402" s="3" t="n">
        <v>1.50578</v>
      </c>
      <c r="J402" s="3" t="n">
        <v>4.79755</v>
      </c>
      <c r="K402" s="3" t="n">
        <v>17.4154</v>
      </c>
      <c r="L402" s="3" t="n">
        <v>0.762432</v>
      </c>
      <c r="M402" s="3" t="n">
        <v>22.0017</v>
      </c>
      <c r="N402" s="3" t="inlineStr">
        <is>
          <t>C4</t>
        </is>
      </c>
      <c r="O402" s="3" t="inlineStr">
        <is>
          <t>no</t>
        </is>
      </c>
      <c r="P402" s="3" t="inlineStr">
        <is>
          <t>no_compite</t>
        </is>
      </c>
      <c r="Q402" s="3" t="inlineStr">
        <is>
          <t>ols_solo_factor</t>
        </is>
      </c>
      <c r="R402" s="3" t="n"/>
      <c r="S402" s="3" t="inlineStr">
        <is>
          <t>contraste regional (R6); no vota</t>
        </is>
      </c>
      <c r="T402" s="3" t="inlineStr">
        <is>
          <t>output/v8/F5/atribucion_combinada.csv</t>
        </is>
      </c>
      <c r="U402" s="2">
        <f>IF(R402=0,"",F402/R402)</f>
        <v/>
      </c>
      <c r="V402" s="2">
        <f>SUMIFS(F$2:F$1589,A$2:A$1589,A402,C$2:C$1589,C402,E$2:E$1589,E402,Q$2:Q$1589,Q402)</f>
        <v/>
      </c>
    </row>
    <row r="403">
      <c r="A403" s="3" t="inlineStr">
        <is>
          <t>compra</t>
        </is>
      </c>
      <c r="B403" s="3" t="inlineStr">
        <is>
          <t>ccaa:08</t>
        </is>
      </c>
      <c r="C403" s="3" t="inlineStr">
        <is>
          <t>P5</t>
        </is>
      </c>
      <c r="D403" s="3" t="inlineStr">
        <is>
          <t>residuo</t>
        </is>
      </c>
      <c r="E403" s="3" t="inlineStr">
        <is>
          <t>regional_ccaa_ols</t>
        </is>
      </c>
      <c r="F403" s="3" t="n">
        <v>-3.4921</v>
      </c>
      <c r="G403" s="3" t="n"/>
      <c r="H403" s="3" t="n"/>
      <c r="I403" s="3" t="n">
        <v>-0.505782</v>
      </c>
      <c r="J403" s="3" t="n"/>
      <c r="K403" s="3" t="n"/>
      <c r="L403" s="3" t="n"/>
      <c r="M403" s="3" t="n"/>
      <c r="N403" s="3" t="inlineStr">
        <is>
          <t>C4</t>
        </is>
      </c>
      <c r="O403" s="3" t="inlineStr">
        <is>
          <t>no</t>
        </is>
      </c>
      <c r="P403" s="3" t="inlineStr">
        <is>
          <t>no_compite</t>
        </is>
      </c>
      <c r="Q403" s="3" t="inlineStr">
        <is>
          <t>ols_solo_factor</t>
        </is>
      </c>
      <c r="R403" s="3" t="n"/>
      <c r="S403" s="3" t="inlineStr">
        <is>
          <t>contraste regional (R6); no vota</t>
        </is>
      </c>
      <c r="T403" s="3" t="inlineStr">
        <is>
          <t>output/v8/F5/atribucion_combinada.csv</t>
        </is>
      </c>
      <c r="U403" s="2">
        <f>IF(R403=0,"",F403/R403)</f>
        <v/>
      </c>
      <c r="V403" s="2">
        <f>SUMIFS(F$2:F$1589,A$2:A$1589,A403,C$2:C$1589,C403,E$2:E$1589,E403,Q$2:Q$1589,Q403)</f>
        <v/>
      </c>
    </row>
    <row r="404">
      <c r="A404" s="3" t="inlineStr">
        <is>
          <t>compra</t>
        </is>
      </c>
      <c r="B404" s="3" t="inlineStr">
        <is>
          <t>ccaa:09</t>
        </is>
      </c>
      <c r="C404" s="3" t="inlineStr">
        <is>
          <t>P5</t>
        </is>
      </c>
      <c r="D404" s="3" t="inlineStr">
        <is>
          <t>factor_comun</t>
        </is>
      </c>
      <c r="E404" s="3" t="inlineStr">
        <is>
          <t>regional_ccaa_ols</t>
        </is>
      </c>
      <c r="F404" s="3" t="n">
        <v>9.67343</v>
      </c>
      <c r="G404" s="3" t="n"/>
      <c r="H404" s="3" t="n"/>
      <c r="I404" s="3" t="n">
        <v>1.23514</v>
      </c>
      <c r="J404" s="3" t="n">
        <v>4.0458</v>
      </c>
      <c r="K404" s="3" t="n">
        <v>16.1365</v>
      </c>
      <c r="L404" s="3" t="n">
        <v>0.872451</v>
      </c>
      <c r="M404" s="3" t="n">
        <v>19.5268</v>
      </c>
      <c r="N404" s="3" t="inlineStr">
        <is>
          <t>C4</t>
        </is>
      </c>
      <c r="O404" s="3" t="inlineStr">
        <is>
          <t>no</t>
        </is>
      </c>
      <c r="P404" s="3" t="inlineStr">
        <is>
          <t>no_compite</t>
        </is>
      </c>
      <c r="Q404" s="3" t="inlineStr">
        <is>
          <t>ols_solo_factor</t>
        </is>
      </c>
      <c r="R404" s="3" t="n"/>
      <c r="S404" s="3" t="inlineStr">
        <is>
          <t>contraste regional (R6); no vota</t>
        </is>
      </c>
      <c r="T404" s="3" t="inlineStr">
        <is>
          <t>output/v8/F5/atribucion_combinada.csv</t>
        </is>
      </c>
      <c r="U404" s="2">
        <f>IF(R404=0,"",F404/R404)</f>
        <v/>
      </c>
      <c r="V404" s="2">
        <f>SUMIFS(F$2:F$1589,A$2:A$1589,A404,C$2:C$1589,C404,E$2:E$1589,E404,Q$2:Q$1589,Q404)</f>
        <v/>
      </c>
    </row>
    <row r="405">
      <c r="A405" s="3" t="inlineStr">
        <is>
          <t>compra</t>
        </is>
      </c>
      <c r="B405" s="3" t="inlineStr">
        <is>
          <t>ccaa:09</t>
        </is>
      </c>
      <c r="C405" s="3" t="inlineStr">
        <is>
          <t>P5</t>
        </is>
      </c>
      <c r="D405" s="3" t="inlineStr">
        <is>
          <t>residuo</t>
        </is>
      </c>
      <c r="E405" s="3" t="inlineStr">
        <is>
          <t>regional_ccaa_ols</t>
        </is>
      </c>
      <c r="F405" s="3" t="n">
        <v>-1.84159</v>
      </c>
      <c r="G405" s="3" t="n"/>
      <c r="H405" s="3" t="n"/>
      <c r="I405" s="3" t="n">
        <v>-0.235141</v>
      </c>
      <c r="J405" s="3" t="n"/>
      <c r="K405" s="3" t="n"/>
      <c r="L405" s="3" t="n"/>
      <c r="M405" s="3" t="n"/>
      <c r="N405" s="3" t="inlineStr">
        <is>
          <t>C4</t>
        </is>
      </c>
      <c r="O405" s="3" t="inlineStr">
        <is>
          <t>no</t>
        </is>
      </c>
      <c r="P405" s="3" t="inlineStr">
        <is>
          <t>no_compite</t>
        </is>
      </c>
      <c r="Q405" s="3" t="inlineStr">
        <is>
          <t>ols_solo_factor</t>
        </is>
      </c>
      <c r="R405" s="3" t="n"/>
      <c r="S405" s="3" t="inlineStr">
        <is>
          <t>contraste regional (R6); no vota</t>
        </is>
      </c>
      <c r="T405" s="3" t="inlineStr">
        <is>
          <t>output/v8/F5/atribucion_combinada.csv</t>
        </is>
      </c>
      <c r="U405" s="2">
        <f>IF(R405=0,"",F405/R405)</f>
        <v/>
      </c>
      <c r="V405" s="2">
        <f>SUMIFS(F$2:F$1589,A$2:A$1589,A405,C$2:C$1589,C405,E$2:E$1589,E405,Q$2:Q$1589,Q405)</f>
        <v/>
      </c>
    </row>
    <row r="406">
      <c r="A406" s="3" t="inlineStr">
        <is>
          <t>compra</t>
        </is>
      </c>
      <c r="B406" s="3" t="inlineStr">
        <is>
          <t>ccaa:10</t>
        </is>
      </c>
      <c r="C406" s="3" t="inlineStr">
        <is>
          <t>P5</t>
        </is>
      </c>
      <c r="D406" s="3" t="inlineStr">
        <is>
          <t>factor_comun</t>
        </is>
      </c>
      <c r="E406" s="3" t="inlineStr">
        <is>
          <t>regional_ccaa_ols</t>
        </is>
      </c>
      <c r="F406" s="3" t="n">
        <v>12.1347</v>
      </c>
      <c r="G406" s="3" t="n"/>
      <c r="H406" s="3" t="n"/>
      <c r="I406" s="3" t="n">
        <v>0.675579</v>
      </c>
      <c r="J406" s="3" t="n">
        <v>6.14233</v>
      </c>
      <c r="K406" s="3" t="n">
        <v>18.6347</v>
      </c>
      <c r="L406" s="3" t="n">
        <v>0.542986</v>
      </c>
      <c r="M406" s="3" t="n">
        <v>22.8855</v>
      </c>
      <c r="N406" s="3" t="inlineStr">
        <is>
          <t>C4</t>
        </is>
      </c>
      <c r="O406" s="3" t="inlineStr">
        <is>
          <t>no</t>
        </is>
      </c>
      <c r="P406" s="3" t="inlineStr">
        <is>
          <t>no_compite</t>
        </is>
      </c>
      <c r="Q406" s="3" t="inlineStr">
        <is>
          <t>ols_solo_factor</t>
        </is>
      </c>
      <c r="R406" s="3" t="n"/>
      <c r="S406" s="3" t="inlineStr">
        <is>
          <t>contraste regional (R6); no vota</t>
        </is>
      </c>
      <c r="T406" s="3" t="inlineStr">
        <is>
          <t>output/v8/F5/atribucion_combinada.csv</t>
        </is>
      </c>
      <c r="U406" s="2">
        <f>IF(R406=0,"",F406/R406)</f>
        <v/>
      </c>
      <c r="V406" s="2">
        <f>SUMIFS(F$2:F$1589,A$2:A$1589,A406,C$2:C$1589,C406,E$2:E$1589,E406,Q$2:Q$1589,Q406)</f>
        <v/>
      </c>
    </row>
    <row r="407">
      <c r="A407" s="3" t="inlineStr">
        <is>
          <t>compra</t>
        </is>
      </c>
      <c r="B407" s="3" t="inlineStr">
        <is>
          <t>ccaa:10</t>
        </is>
      </c>
      <c r="C407" s="3" t="inlineStr">
        <is>
          <t>P5</t>
        </is>
      </c>
      <c r="D407" s="3" t="inlineStr">
        <is>
          <t>residuo</t>
        </is>
      </c>
      <c r="E407" s="3" t="inlineStr">
        <is>
          <t>regional_ccaa_ols</t>
        </is>
      </c>
      <c r="F407" s="3" t="n">
        <v>5.82726</v>
      </c>
      <c r="G407" s="3" t="n"/>
      <c r="H407" s="3" t="n"/>
      <c r="I407" s="3" t="n">
        <v>0.324421</v>
      </c>
      <c r="J407" s="3" t="n"/>
      <c r="K407" s="3" t="n"/>
      <c r="L407" s="3" t="n"/>
      <c r="M407" s="3" t="n"/>
      <c r="N407" s="3" t="inlineStr">
        <is>
          <t>C4</t>
        </is>
      </c>
      <c r="O407" s="3" t="inlineStr">
        <is>
          <t>no</t>
        </is>
      </c>
      <c r="P407" s="3" t="inlineStr">
        <is>
          <t>no_compite</t>
        </is>
      </c>
      <c r="Q407" s="3" t="inlineStr">
        <is>
          <t>ols_solo_factor</t>
        </is>
      </c>
      <c r="R407" s="3" t="n"/>
      <c r="S407" s="3" t="inlineStr">
        <is>
          <t>contraste regional (R6); no vota</t>
        </is>
      </c>
      <c r="T407" s="3" t="inlineStr">
        <is>
          <t>output/v8/F5/atribucion_combinada.csv</t>
        </is>
      </c>
      <c r="U407" s="2">
        <f>IF(R407=0,"",F407/R407)</f>
        <v/>
      </c>
      <c r="V407" s="2">
        <f>SUMIFS(F$2:F$1589,A$2:A$1589,A407,C$2:C$1589,C407,E$2:E$1589,E407,Q$2:Q$1589,Q407)</f>
        <v/>
      </c>
    </row>
    <row r="408">
      <c r="A408" s="3" t="inlineStr">
        <is>
          <t>compra</t>
        </is>
      </c>
      <c r="B408" s="3" t="inlineStr">
        <is>
          <t>ccaa:11</t>
        </is>
      </c>
      <c r="C408" s="3" t="inlineStr">
        <is>
          <t>P5</t>
        </is>
      </c>
      <c r="D408" s="3" t="inlineStr">
        <is>
          <t>factor_comun</t>
        </is>
      </c>
      <c r="E408" s="3" t="inlineStr">
        <is>
          <t>regional_ccaa_ols</t>
        </is>
      </c>
      <c r="F408" s="3" t="n">
        <v>5.92567</v>
      </c>
      <c r="G408" s="3" t="n"/>
      <c r="H408" s="3" t="n"/>
      <c r="I408" s="3" t="n">
        <v>-1.12598</v>
      </c>
      <c r="J408" s="3" t="n">
        <v>2.77266</v>
      </c>
      <c r="K408" s="3" t="n">
        <v>7.77603</v>
      </c>
      <c r="L408" s="3" t="n">
        <v>0.933751</v>
      </c>
      <c r="M408" s="3" t="n">
        <v>9.875769999999999</v>
      </c>
      <c r="N408" s="3" t="inlineStr">
        <is>
          <t>C4</t>
        </is>
      </c>
      <c r="O408" s="3" t="inlineStr">
        <is>
          <t>no</t>
        </is>
      </c>
      <c r="P408" s="3" t="inlineStr">
        <is>
          <t>no_compite</t>
        </is>
      </c>
      <c r="Q408" s="3" t="inlineStr">
        <is>
          <t>ols_solo_factor</t>
        </is>
      </c>
      <c r="R408" s="3" t="n"/>
      <c r="S408" s="3" t="inlineStr">
        <is>
          <t>contraste regional (R6); no vota</t>
        </is>
      </c>
      <c r="T408" s="3" t="inlineStr">
        <is>
          <t>output/v8/F5/atribucion_combinada.csv</t>
        </is>
      </c>
      <c r="U408" s="2">
        <f>IF(R408=0,"",F408/R408)</f>
        <v/>
      </c>
      <c r="V408" s="2">
        <f>SUMIFS(F$2:F$1589,A$2:A$1589,A408,C$2:C$1589,C408,E$2:E$1589,E408,Q$2:Q$1589,Q408)</f>
        <v/>
      </c>
    </row>
    <row r="409">
      <c r="A409" s="3" t="inlineStr">
        <is>
          <t>compra</t>
        </is>
      </c>
      <c r="B409" s="3" t="inlineStr">
        <is>
          <t>ccaa:11</t>
        </is>
      </c>
      <c r="C409" s="3" t="inlineStr">
        <is>
          <t>P5</t>
        </is>
      </c>
      <c r="D409" s="3" t="inlineStr">
        <is>
          <t>residuo</t>
        </is>
      </c>
      <c r="E409" s="3" t="inlineStr">
        <is>
          <t>regional_ccaa_ols</t>
        </is>
      </c>
      <c r="F409" s="3" t="n">
        <v>-11.1883</v>
      </c>
      <c r="G409" s="3" t="n"/>
      <c r="H409" s="3" t="n"/>
      <c r="I409" s="3" t="n">
        <v>2.12598</v>
      </c>
      <c r="J409" s="3" t="n"/>
      <c r="K409" s="3" t="n"/>
      <c r="L409" s="3" t="n"/>
      <c r="M409" s="3" t="n"/>
      <c r="N409" s="3" t="inlineStr">
        <is>
          <t>C4</t>
        </is>
      </c>
      <c r="O409" s="3" t="inlineStr">
        <is>
          <t>no</t>
        </is>
      </c>
      <c r="P409" s="3" t="inlineStr">
        <is>
          <t>no_compite</t>
        </is>
      </c>
      <c r="Q409" s="3" t="inlineStr">
        <is>
          <t>ols_solo_factor</t>
        </is>
      </c>
      <c r="R409" s="3" t="n"/>
      <c r="S409" s="3" t="inlineStr">
        <is>
          <t>contraste regional (R6); no vota</t>
        </is>
      </c>
      <c r="T409" s="3" t="inlineStr">
        <is>
          <t>output/v8/F5/atribucion_combinada.csv</t>
        </is>
      </c>
      <c r="U409" s="2">
        <f>IF(R409=0,"",F409/R409)</f>
        <v/>
      </c>
      <c r="V409" s="2">
        <f>SUMIFS(F$2:F$1589,A$2:A$1589,A409,C$2:C$1589,C409,E$2:E$1589,E409,Q$2:Q$1589,Q409)</f>
        <v/>
      </c>
    </row>
    <row r="410">
      <c r="A410" s="3" t="inlineStr">
        <is>
          <t>compra</t>
        </is>
      </c>
      <c r="B410" s="3" t="inlineStr">
        <is>
          <t>ccaa:12</t>
        </is>
      </c>
      <c r="C410" s="3" t="inlineStr">
        <is>
          <t>P5</t>
        </is>
      </c>
      <c r="D410" s="3" t="inlineStr">
        <is>
          <t>factor_comun</t>
        </is>
      </c>
      <c r="E410" s="3" t="inlineStr">
        <is>
          <t>regional_ccaa_ols</t>
        </is>
      </c>
      <c r="F410" s="3" t="n">
        <v>9.47831</v>
      </c>
      <c r="G410" s="3" t="n"/>
      <c r="H410" s="3" t="n"/>
      <c r="I410" s="3" t="n">
        <v>1.05009</v>
      </c>
      <c r="J410" s="3" t="n">
        <v>3.93352</v>
      </c>
      <c r="K410" s="3" t="n">
        <v>15.2666</v>
      </c>
      <c r="L410" s="3" t="n">
        <v>0.571819</v>
      </c>
      <c r="M410" s="3" t="n">
        <v>19.2511</v>
      </c>
      <c r="N410" s="3" t="inlineStr">
        <is>
          <t>C4</t>
        </is>
      </c>
      <c r="O410" s="3" t="inlineStr">
        <is>
          <t>no</t>
        </is>
      </c>
      <c r="P410" s="3" t="inlineStr">
        <is>
          <t>no_compite</t>
        </is>
      </c>
      <c r="Q410" s="3" t="inlineStr">
        <is>
          <t>ols_solo_factor</t>
        </is>
      </c>
      <c r="R410" s="3" t="n"/>
      <c r="S410" s="3" t="inlineStr">
        <is>
          <t>contraste regional (R6); no vota</t>
        </is>
      </c>
      <c r="T410" s="3" t="inlineStr">
        <is>
          <t>output/v8/F5/atribucion_combinada.csv</t>
        </is>
      </c>
      <c r="U410" s="2">
        <f>IF(R410=0,"",F410/R410)</f>
        <v/>
      </c>
      <c r="V410" s="2">
        <f>SUMIFS(F$2:F$1589,A$2:A$1589,A410,C$2:C$1589,C410,E$2:E$1589,E410,Q$2:Q$1589,Q410)</f>
        <v/>
      </c>
    </row>
    <row r="411">
      <c r="A411" s="3" t="inlineStr">
        <is>
          <t>compra</t>
        </is>
      </c>
      <c r="B411" s="3" t="inlineStr">
        <is>
          <t>ccaa:12</t>
        </is>
      </c>
      <c r="C411" s="3" t="inlineStr">
        <is>
          <t>P5</t>
        </is>
      </c>
      <c r="D411" s="3" t="inlineStr">
        <is>
          <t>residuo</t>
        </is>
      </c>
      <c r="E411" s="3" t="inlineStr">
        <is>
          <t>regional_ccaa_ols</t>
        </is>
      </c>
      <c r="F411" s="3" t="n">
        <v>-0.452093</v>
      </c>
      <c r="G411" s="3" t="n"/>
      <c r="H411" s="3" t="n"/>
      <c r="I411" s="3" t="n">
        <v>-0.0500867</v>
      </c>
      <c r="J411" s="3" t="n"/>
      <c r="K411" s="3" t="n"/>
      <c r="L411" s="3" t="n"/>
      <c r="M411" s="3" t="n"/>
      <c r="N411" s="3" t="inlineStr">
        <is>
          <t>C4</t>
        </is>
      </c>
      <c r="O411" s="3" t="inlineStr">
        <is>
          <t>no</t>
        </is>
      </c>
      <c r="P411" s="3" t="inlineStr">
        <is>
          <t>no_compite</t>
        </is>
      </c>
      <c r="Q411" s="3" t="inlineStr">
        <is>
          <t>ols_solo_factor</t>
        </is>
      </c>
      <c r="R411" s="3" t="n"/>
      <c r="S411" s="3" t="inlineStr">
        <is>
          <t>contraste regional (R6); no vota</t>
        </is>
      </c>
      <c r="T411" s="3" t="inlineStr">
        <is>
          <t>output/v8/F5/atribucion_combinada.csv</t>
        </is>
      </c>
      <c r="U411" s="2">
        <f>IF(R411=0,"",F411/R411)</f>
        <v/>
      </c>
      <c r="V411" s="2">
        <f>SUMIFS(F$2:F$1589,A$2:A$1589,A411,C$2:C$1589,C411,E$2:E$1589,E411,Q$2:Q$1589,Q411)</f>
        <v/>
      </c>
    </row>
    <row r="412">
      <c r="A412" s="3" t="inlineStr">
        <is>
          <t>compra</t>
        </is>
      </c>
      <c r="B412" s="3" t="inlineStr">
        <is>
          <t>ccaa:13</t>
        </is>
      </c>
      <c r="C412" s="3" t="inlineStr">
        <is>
          <t>P5</t>
        </is>
      </c>
      <c r="D412" s="3" t="inlineStr">
        <is>
          <t>factor_comun</t>
        </is>
      </c>
      <c r="E412" s="3" t="inlineStr">
        <is>
          <t>regional_ccaa_ols</t>
        </is>
      </c>
      <c r="F412" s="3" t="n">
        <v>10.9244</v>
      </c>
      <c r="G412" s="3" t="n"/>
      <c r="H412" s="3" t="n"/>
      <c r="I412" s="3" t="n">
        <v>0.6135699999999999</v>
      </c>
      <c r="J412" s="3" t="n">
        <v>5.21927</v>
      </c>
      <c r="K412" s="3" t="n">
        <v>18.6504</v>
      </c>
      <c r="L412" s="3" t="n">
        <v>0.0510387</v>
      </c>
      <c r="M412" s="3" t="n">
        <v>21.8266</v>
      </c>
      <c r="N412" s="3" t="inlineStr">
        <is>
          <t>C4</t>
        </is>
      </c>
      <c r="O412" s="3" t="inlineStr">
        <is>
          <t>no</t>
        </is>
      </c>
      <c r="P412" s="3" t="inlineStr">
        <is>
          <t>no_compite</t>
        </is>
      </c>
      <c r="Q412" s="3" t="inlineStr">
        <is>
          <t>ols_solo_factor</t>
        </is>
      </c>
      <c r="R412" s="3" t="n"/>
      <c r="S412" s="3" t="inlineStr">
        <is>
          <t>contraste regional (R6); no vota</t>
        </is>
      </c>
      <c r="T412" s="3" t="inlineStr">
        <is>
          <t>output/v8/F5/atribucion_combinada.csv</t>
        </is>
      </c>
      <c r="U412" s="2">
        <f>IF(R412=0,"",F412/R412)</f>
        <v/>
      </c>
      <c r="V412" s="2">
        <f>SUMIFS(F$2:F$1589,A$2:A$1589,A412,C$2:C$1589,C412,E$2:E$1589,E412,Q$2:Q$1589,Q412)</f>
        <v/>
      </c>
    </row>
    <row r="413">
      <c r="A413" s="3" t="inlineStr">
        <is>
          <t>compra</t>
        </is>
      </c>
      <c r="B413" s="3" t="inlineStr">
        <is>
          <t>ccaa:13</t>
        </is>
      </c>
      <c r="C413" s="3" t="inlineStr">
        <is>
          <t>P5</t>
        </is>
      </c>
      <c r="D413" s="3" t="inlineStr">
        <is>
          <t>residuo</t>
        </is>
      </c>
      <c r="E413" s="3" t="inlineStr">
        <is>
          <t>regional_ccaa_ols</t>
        </is>
      </c>
      <c r="F413" s="3" t="n">
        <v>6.88023</v>
      </c>
      <c r="G413" s="3" t="n"/>
      <c r="H413" s="3" t="n"/>
      <c r="I413" s="3" t="n">
        <v>0.38643</v>
      </c>
      <c r="J413" s="3" t="n"/>
      <c r="K413" s="3" t="n"/>
      <c r="L413" s="3" t="n"/>
      <c r="M413" s="3" t="n"/>
      <c r="N413" s="3" t="inlineStr">
        <is>
          <t>C4</t>
        </is>
      </c>
      <c r="O413" s="3" t="inlineStr">
        <is>
          <t>no</t>
        </is>
      </c>
      <c r="P413" s="3" t="inlineStr">
        <is>
          <t>no_compite</t>
        </is>
      </c>
      <c r="Q413" s="3" t="inlineStr">
        <is>
          <t>ols_solo_factor</t>
        </is>
      </c>
      <c r="R413" s="3" t="n"/>
      <c r="S413" s="3" t="inlineStr">
        <is>
          <t>contraste regional (R6); no vota</t>
        </is>
      </c>
      <c r="T413" s="3" t="inlineStr">
        <is>
          <t>output/v8/F5/atribucion_combinada.csv</t>
        </is>
      </c>
      <c r="U413" s="2">
        <f>IF(R413=0,"",F413/R413)</f>
        <v/>
      </c>
      <c r="V413" s="2">
        <f>SUMIFS(F$2:F$1589,A$2:A$1589,A413,C$2:C$1589,C413,E$2:E$1589,E413,Q$2:Q$1589,Q413)</f>
        <v/>
      </c>
    </row>
    <row r="414">
      <c r="A414" s="3" t="inlineStr">
        <is>
          <t>compra</t>
        </is>
      </c>
      <c r="B414" s="3" t="inlineStr">
        <is>
          <t>ccaa:14</t>
        </is>
      </c>
      <c r="C414" s="3" t="inlineStr">
        <is>
          <t>P5</t>
        </is>
      </c>
      <c r="D414" s="3" t="inlineStr">
        <is>
          <t>factor_comun</t>
        </is>
      </c>
      <c r="E414" s="3" t="inlineStr">
        <is>
          <t>regional_ccaa_ols</t>
        </is>
      </c>
      <c r="F414" s="3" t="n">
        <v>10.1358</v>
      </c>
      <c r="G414" s="3" t="n"/>
      <c r="H414" s="3" t="n"/>
      <c r="I414" s="3" t="n">
        <v>1.49053</v>
      </c>
      <c r="J414" s="3" t="n">
        <v>3.62363</v>
      </c>
      <c r="K414" s="3" t="n">
        <v>15.5425</v>
      </c>
      <c r="L414" s="3" t="n">
        <v>-0.0158582</v>
      </c>
      <c r="M414" s="3" t="n">
        <v>20.5169</v>
      </c>
      <c r="N414" s="3" t="inlineStr">
        <is>
          <t>C4</t>
        </is>
      </c>
      <c r="O414" s="3" t="inlineStr">
        <is>
          <t>no</t>
        </is>
      </c>
      <c r="P414" s="3" t="inlineStr">
        <is>
          <t>no_compite</t>
        </is>
      </c>
      <c r="Q414" s="3" t="inlineStr">
        <is>
          <t>ols_solo_factor</t>
        </is>
      </c>
      <c r="R414" s="3" t="n"/>
      <c r="S414" s="3" t="inlineStr">
        <is>
          <t>contraste regional (R6); no vota</t>
        </is>
      </c>
      <c r="T414" s="3" t="inlineStr">
        <is>
          <t>output/v8/F5/atribucion_combinada.csv</t>
        </is>
      </c>
      <c r="U414" s="2">
        <f>IF(R414=0,"",F414/R414)</f>
        <v/>
      </c>
      <c r="V414" s="2">
        <f>SUMIFS(F$2:F$1589,A$2:A$1589,A414,C$2:C$1589,C414,E$2:E$1589,E414,Q$2:Q$1589,Q414)</f>
        <v/>
      </c>
    </row>
    <row r="415">
      <c r="A415" s="3" t="inlineStr">
        <is>
          <t>compra</t>
        </is>
      </c>
      <c r="B415" s="3" t="inlineStr">
        <is>
          <t>ccaa:14</t>
        </is>
      </c>
      <c r="C415" s="3" t="inlineStr">
        <is>
          <t>P5</t>
        </is>
      </c>
      <c r="D415" s="3" t="inlineStr">
        <is>
          <t>residuo</t>
        </is>
      </c>
      <c r="E415" s="3" t="inlineStr">
        <is>
          <t>regional_ccaa_ols</t>
        </is>
      </c>
      <c r="F415" s="3" t="n">
        <v>-3.33568</v>
      </c>
      <c r="G415" s="3" t="n"/>
      <c r="H415" s="3" t="n"/>
      <c r="I415" s="3" t="n">
        <v>-0.490535</v>
      </c>
      <c r="J415" s="3" t="n"/>
      <c r="K415" s="3" t="n"/>
      <c r="L415" s="3" t="n"/>
      <c r="M415" s="3" t="n"/>
      <c r="N415" s="3" t="inlineStr">
        <is>
          <t>C4</t>
        </is>
      </c>
      <c r="O415" s="3" t="inlineStr">
        <is>
          <t>no</t>
        </is>
      </c>
      <c r="P415" s="3" t="inlineStr">
        <is>
          <t>no_compite</t>
        </is>
      </c>
      <c r="Q415" s="3" t="inlineStr">
        <is>
          <t>ols_solo_factor</t>
        </is>
      </c>
      <c r="R415" s="3" t="n"/>
      <c r="S415" s="3" t="inlineStr">
        <is>
          <t>contraste regional (R6); no vota</t>
        </is>
      </c>
      <c r="T415" s="3" t="inlineStr">
        <is>
          <t>output/v8/F5/atribucion_combinada.csv</t>
        </is>
      </c>
      <c r="U415" s="2">
        <f>IF(R415=0,"",F415/R415)</f>
        <v/>
      </c>
      <c r="V415" s="2">
        <f>SUMIFS(F$2:F$1589,A$2:A$1589,A415,C$2:C$1589,C415,E$2:E$1589,E415,Q$2:Q$1589,Q415)</f>
        <v/>
      </c>
    </row>
    <row r="416">
      <c r="A416" s="3" t="inlineStr">
        <is>
          <t>compra</t>
        </is>
      </c>
      <c r="B416" s="3" t="inlineStr">
        <is>
          <t>ccaa:15</t>
        </is>
      </c>
      <c r="C416" s="3" t="inlineStr">
        <is>
          <t>P5</t>
        </is>
      </c>
      <c r="D416" s="3" t="inlineStr">
        <is>
          <t>factor_comun</t>
        </is>
      </c>
      <c r="E416" s="3" t="inlineStr">
        <is>
          <t>regional_ccaa_ols</t>
        </is>
      </c>
      <c r="F416" s="3" t="n">
        <v>7.28035</v>
      </c>
      <c r="G416" s="3" t="n"/>
      <c r="H416" s="3" t="n"/>
      <c r="I416" s="3" t="n">
        <v>0.855052</v>
      </c>
      <c r="J416" s="3" t="n">
        <v>1.98537</v>
      </c>
      <c r="K416" s="3" t="n">
        <v>12.3826</v>
      </c>
      <c r="L416" s="3" t="n">
        <v>-0.0949483</v>
      </c>
      <c r="M416" s="3" t="n">
        <v>16.3239</v>
      </c>
      <c r="N416" s="3" t="inlineStr">
        <is>
          <t>C4</t>
        </is>
      </c>
      <c r="O416" s="3" t="inlineStr">
        <is>
          <t>no</t>
        </is>
      </c>
      <c r="P416" s="3" t="inlineStr">
        <is>
          <t>no_compite</t>
        </is>
      </c>
      <c r="Q416" s="3" t="inlineStr">
        <is>
          <t>ols_solo_factor</t>
        </is>
      </c>
      <c r="R416" s="3" t="n"/>
      <c r="S416" s="3" t="inlineStr">
        <is>
          <t>contraste regional (R6); no vota</t>
        </is>
      </c>
      <c r="T416" s="3" t="inlineStr">
        <is>
          <t>output/v8/F5/atribucion_combinada.csv</t>
        </is>
      </c>
      <c r="U416" s="2">
        <f>IF(R416=0,"",F416/R416)</f>
        <v/>
      </c>
      <c r="V416" s="2">
        <f>SUMIFS(F$2:F$1589,A$2:A$1589,A416,C$2:C$1589,C416,E$2:E$1589,E416,Q$2:Q$1589,Q416)</f>
        <v/>
      </c>
    </row>
    <row r="417">
      <c r="A417" s="3" t="inlineStr">
        <is>
          <t>compra</t>
        </is>
      </c>
      <c r="B417" s="3" t="inlineStr">
        <is>
          <t>ccaa:15</t>
        </is>
      </c>
      <c r="C417" s="3" t="inlineStr">
        <is>
          <t>P5</t>
        </is>
      </c>
      <c r="D417" s="3" t="inlineStr">
        <is>
          <t>residuo</t>
        </is>
      </c>
      <c r="E417" s="3" t="inlineStr">
        <is>
          <t>regional_ccaa_ols</t>
        </is>
      </c>
      <c r="F417" s="3" t="n">
        <v>1.23416</v>
      </c>
      <c r="G417" s="3" t="n"/>
      <c r="H417" s="3" t="n"/>
      <c r="I417" s="3" t="n">
        <v>0.144948</v>
      </c>
      <c r="J417" s="3" t="n"/>
      <c r="K417" s="3" t="n"/>
      <c r="L417" s="3" t="n"/>
      <c r="M417" s="3" t="n"/>
      <c r="N417" s="3" t="inlineStr">
        <is>
          <t>C4</t>
        </is>
      </c>
      <c r="O417" s="3" t="inlineStr">
        <is>
          <t>no</t>
        </is>
      </c>
      <c r="P417" s="3" t="inlineStr">
        <is>
          <t>no_compite</t>
        </is>
      </c>
      <c r="Q417" s="3" t="inlineStr">
        <is>
          <t>ols_solo_factor</t>
        </is>
      </c>
      <c r="R417" s="3" t="n"/>
      <c r="S417" s="3" t="inlineStr">
        <is>
          <t>contraste regional (R6); no vota</t>
        </is>
      </c>
      <c r="T417" s="3" t="inlineStr">
        <is>
          <t>output/v8/F5/atribucion_combinada.csv</t>
        </is>
      </c>
      <c r="U417" s="2">
        <f>IF(R417=0,"",F417/R417)</f>
        <v/>
      </c>
      <c r="V417" s="2">
        <f>SUMIFS(F$2:F$1589,A$2:A$1589,A417,C$2:C$1589,C417,E$2:E$1589,E417,Q$2:Q$1589,Q417)</f>
        <v/>
      </c>
    </row>
    <row r="418">
      <c r="A418" s="3" t="inlineStr">
        <is>
          <t>compra</t>
        </is>
      </c>
      <c r="B418" s="3" t="inlineStr">
        <is>
          <t>ccaa:16</t>
        </is>
      </c>
      <c r="C418" s="3" t="inlineStr">
        <is>
          <t>P5</t>
        </is>
      </c>
      <c r="D418" s="3" t="inlineStr">
        <is>
          <t>factor_comun</t>
        </is>
      </c>
      <c r="E418" s="3" t="inlineStr">
        <is>
          <t>regional_ccaa_ols</t>
        </is>
      </c>
      <c r="F418" s="3" t="n">
        <v>9.54176</v>
      </c>
      <c r="G418" s="3" t="n"/>
      <c r="H418" s="3" t="n"/>
      <c r="I418" s="3" t="n">
        <v>3.13446</v>
      </c>
      <c r="J418" s="3" t="n">
        <v>2.74204</v>
      </c>
      <c r="K418" s="3" t="n">
        <v>16.8443</v>
      </c>
      <c r="L418" s="3" t="n">
        <v>-0.361309</v>
      </c>
      <c r="M418" s="3" t="n">
        <v>22.2533</v>
      </c>
      <c r="N418" s="3" t="inlineStr">
        <is>
          <t>C4</t>
        </is>
      </c>
      <c r="O418" s="3" t="inlineStr">
        <is>
          <t>no</t>
        </is>
      </c>
      <c r="P418" s="3" t="inlineStr">
        <is>
          <t>no_compite</t>
        </is>
      </c>
      <c r="Q418" s="3" t="inlineStr">
        <is>
          <t>ols_solo_factor</t>
        </is>
      </c>
      <c r="R418" s="3" t="n"/>
      <c r="S418" s="3" t="inlineStr">
        <is>
          <t>contraste regional (R6); no vota</t>
        </is>
      </c>
      <c r="T418" s="3" t="inlineStr">
        <is>
          <t>output/v8/F5/atribucion_combinada.csv</t>
        </is>
      </c>
      <c r="U418" s="2">
        <f>IF(R418=0,"",F418/R418)</f>
        <v/>
      </c>
      <c r="V418" s="2">
        <f>SUMIFS(F$2:F$1589,A$2:A$1589,A418,C$2:C$1589,C418,E$2:E$1589,E418,Q$2:Q$1589,Q418)</f>
        <v/>
      </c>
    </row>
    <row r="419">
      <c r="A419" s="3" t="inlineStr">
        <is>
          <t>compra</t>
        </is>
      </c>
      <c r="B419" s="3" t="inlineStr">
        <is>
          <t>ccaa:16</t>
        </is>
      </c>
      <c r="C419" s="3" t="inlineStr">
        <is>
          <t>P5</t>
        </is>
      </c>
      <c r="D419" s="3" t="inlineStr">
        <is>
          <t>residuo</t>
        </is>
      </c>
      <c r="E419" s="3" t="inlineStr">
        <is>
          <t>regional_ccaa_ols</t>
        </is>
      </c>
      <c r="F419" s="3" t="n">
        <v>-6.49761</v>
      </c>
      <c r="G419" s="3" t="n"/>
      <c r="H419" s="3" t="n"/>
      <c r="I419" s="3" t="n">
        <v>-2.13446</v>
      </c>
      <c r="J419" s="3" t="n"/>
      <c r="K419" s="3" t="n"/>
      <c r="L419" s="3" t="n"/>
      <c r="M419" s="3" t="n"/>
      <c r="N419" s="3" t="inlineStr">
        <is>
          <t>C4</t>
        </is>
      </c>
      <c r="O419" s="3" t="inlineStr">
        <is>
          <t>no</t>
        </is>
      </c>
      <c r="P419" s="3" t="inlineStr">
        <is>
          <t>no_compite</t>
        </is>
      </c>
      <c r="Q419" s="3" t="inlineStr">
        <is>
          <t>ols_solo_factor</t>
        </is>
      </c>
      <c r="R419" s="3" t="n"/>
      <c r="S419" s="3" t="inlineStr">
        <is>
          <t>contraste regional (R6); no vota</t>
        </is>
      </c>
      <c r="T419" s="3" t="inlineStr">
        <is>
          <t>output/v8/F5/atribucion_combinada.csv</t>
        </is>
      </c>
      <c r="U419" s="2">
        <f>IF(R419=0,"",F419/R419)</f>
        <v/>
      </c>
      <c r="V419" s="2">
        <f>SUMIFS(F$2:F$1589,A$2:A$1589,A419,C$2:C$1589,C419,E$2:E$1589,E419,Q$2:Q$1589,Q419)</f>
        <v/>
      </c>
    </row>
    <row r="420">
      <c r="A420" s="3" t="inlineStr">
        <is>
          <t>compra</t>
        </is>
      </c>
      <c r="B420" s="3" t="inlineStr">
        <is>
          <t>ccaa:17</t>
        </is>
      </c>
      <c r="C420" s="3" t="inlineStr">
        <is>
          <t>P5</t>
        </is>
      </c>
      <c r="D420" s="3" t="inlineStr">
        <is>
          <t>factor_comun</t>
        </is>
      </c>
      <c r="E420" s="3" t="inlineStr">
        <is>
          <t>regional_ccaa_ols</t>
        </is>
      </c>
      <c r="F420" s="3" t="n">
        <v>8.21968</v>
      </c>
      <c r="G420" s="3" t="n"/>
      <c r="H420" s="3" t="n"/>
      <c r="I420" s="3" t="n">
        <v>1.32467</v>
      </c>
      <c r="J420" s="3" t="n">
        <v>3.01228</v>
      </c>
      <c r="K420" s="3" t="n">
        <v>14.078</v>
      </c>
      <c r="L420" s="3" t="n">
        <v>0.349127</v>
      </c>
      <c r="M420" s="3" t="n">
        <v>18.008</v>
      </c>
      <c r="N420" s="3" t="inlineStr">
        <is>
          <t>C4</t>
        </is>
      </c>
      <c r="O420" s="3" t="inlineStr">
        <is>
          <t>no</t>
        </is>
      </c>
      <c r="P420" s="3" t="inlineStr">
        <is>
          <t>no_compite</t>
        </is>
      </c>
      <c r="Q420" s="3" t="inlineStr">
        <is>
          <t>ols_solo_factor</t>
        </is>
      </c>
      <c r="R420" s="3" t="n"/>
      <c r="S420" s="3" t="inlineStr">
        <is>
          <t>contraste regional (R6); no vota</t>
        </is>
      </c>
      <c r="T420" s="3" t="inlineStr">
        <is>
          <t>output/v8/F5/atribucion_combinada.csv</t>
        </is>
      </c>
      <c r="U420" s="2">
        <f>IF(R420=0,"",F420/R420)</f>
        <v/>
      </c>
      <c r="V420" s="2">
        <f>SUMIFS(F$2:F$1589,A$2:A$1589,A420,C$2:C$1589,C420,E$2:E$1589,E420,Q$2:Q$1589,Q420)</f>
        <v/>
      </c>
    </row>
    <row r="421">
      <c r="A421" s="3" t="inlineStr">
        <is>
          <t>compra</t>
        </is>
      </c>
      <c r="B421" s="3" t="inlineStr">
        <is>
          <t>ccaa:17</t>
        </is>
      </c>
      <c r="C421" s="3" t="inlineStr">
        <is>
          <t>P5</t>
        </is>
      </c>
      <c r="D421" s="3" t="inlineStr">
        <is>
          <t>residuo</t>
        </is>
      </c>
      <c r="E421" s="3" t="inlineStr">
        <is>
          <t>regional_ccaa_ols</t>
        </is>
      </c>
      <c r="F421" s="3" t="n">
        <v>-2.01458</v>
      </c>
      <c r="G421" s="3" t="n"/>
      <c r="H421" s="3" t="n"/>
      <c r="I421" s="3" t="n">
        <v>-0.324666</v>
      </c>
      <c r="J421" s="3" t="n"/>
      <c r="K421" s="3" t="n"/>
      <c r="L421" s="3" t="n"/>
      <c r="M421" s="3" t="n"/>
      <c r="N421" s="3" t="inlineStr">
        <is>
          <t>C4</t>
        </is>
      </c>
      <c r="O421" s="3" t="inlineStr">
        <is>
          <t>no</t>
        </is>
      </c>
      <c r="P421" s="3" t="inlineStr">
        <is>
          <t>no_compite</t>
        </is>
      </c>
      <c r="Q421" s="3" t="inlineStr">
        <is>
          <t>ols_solo_factor</t>
        </is>
      </c>
      <c r="R421" s="3" t="n"/>
      <c r="S421" s="3" t="inlineStr">
        <is>
          <t>contraste regional (R6); no vota</t>
        </is>
      </c>
      <c r="T421" s="3" t="inlineStr">
        <is>
          <t>output/v8/F5/atribucion_combinada.csv</t>
        </is>
      </c>
      <c r="U421" s="2">
        <f>IF(R421=0,"",F421/R421)</f>
        <v/>
      </c>
      <c r="V421" s="2">
        <f>SUMIFS(F$2:F$1589,A$2:A$1589,A421,C$2:C$1589,C421,E$2:E$1589,E421,Q$2:Q$1589,Q421)</f>
        <v/>
      </c>
    </row>
    <row r="422">
      <c r="A422" s="3" t="inlineStr">
        <is>
          <t>alquiler</t>
        </is>
      </c>
      <c r="B422" s="3" t="inlineStr">
        <is>
          <t>ccaa:01</t>
        </is>
      </c>
      <c r="C422" s="3" t="inlineStr">
        <is>
          <t>P2</t>
        </is>
      </c>
      <c r="D422" s="3" t="inlineStr">
        <is>
          <t>factor_comun</t>
        </is>
      </c>
      <c r="E422" s="3" t="inlineStr">
        <is>
          <t>regional_ccaa_ols</t>
        </is>
      </c>
      <c r="F422" s="3" t="n">
        <v>-3.55904</v>
      </c>
      <c r="G422" s="3" t="n"/>
      <c r="H422" s="3" t="n"/>
      <c r="I422" s="3" t="n">
        <v>1.57163</v>
      </c>
      <c r="J422" s="3" t="n">
        <v>-7.72994</v>
      </c>
      <c r="K422" s="3" t="n">
        <v>0.781566</v>
      </c>
      <c r="L422" s="3" t="n">
        <v>-10.0279</v>
      </c>
      <c r="M422" s="3" t="n">
        <v>4.07692</v>
      </c>
      <c r="N422" s="3" t="inlineStr">
        <is>
          <t>C4</t>
        </is>
      </c>
      <c r="O422" s="3" t="inlineStr">
        <is>
          <t>no</t>
        </is>
      </c>
      <c r="P422" s="3" t="inlineStr">
        <is>
          <t>no_compite</t>
        </is>
      </c>
      <c r="Q422" s="3" t="inlineStr">
        <is>
          <t>ols_solo_factor</t>
        </is>
      </c>
      <c r="R422" s="3" t="n"/>
      <c r="S422" s="3" t="inlineStr">
        <is>
          <t>contraste regional (R6); no vota</t>
        </is>
      </c>
      <c r="T422" s="3" t="inlineStr">
        <is>
          <t>output/v8/F5/atribucion_combinada.csv</t>
        </is>
      </c>
      <c r="U422" s="2">
        <f>IF(R422=0,"",F422/R422)</f>
        <v/>
      </c>
      <c r="V422" s="2">
        <f>SUMIFS(F$2:F$1589,A$2:A$1589,A422,C$2:C$1589,C422,E$2:E$1589,E422,Q$2:Q$1589,Q422)</f>
        <v/>
      </c>
    </row>
    <row r="423">
      <c r="A423" s="3" t="inlineStr">
        <is>
          <t>alquiler</t>
        </is>
      </c>
      <c r="B423" s="3" t="inlineStr">
        <is>
          <t>ccaa:01</t>
        </is>
      </c>
      <c r="C423" s="3" t="inlineStr">
        <is>
          <t>P2</t>
        </is>
      </c>
      <c r="D423" s="3" t="inlineStr">
        <is>
          <t>residuo</t>
        </is>
      </c>
      <c r="E423" s="3" t="inlineStr">
        <is>
          <t>regional_ccaa_ols</t>
        </is>
      </c>
      <c r="F423" s="3" t="n">
        <v>1.29449</v>
      </c>
      <c r="G423" s="3" t="n"/>
      <c r="H423" s="3" t="n"/>
      <c r="I423" s="3" t="n">
        <v>-0.571631</v>
      </c>
      <c r="J423" s="3" t="n"/>
      <c r="K423" s="3" t="n"/>
      <c r="L423" s="3" t="n"/>
      <c r="M423" s="3" t="n"/>
      <c r="N423" s="3" t="inlineStr">
        <is>
          <t>C4</t>
        </is>
      </c>
      <c r="O423" s="3" t="inlineStr">
        <is>
          <t>no</t>
        </is>
      </c>
      <c r="P423" s="3" t="inlineStr">
        <is>
          <t>no_compite</t>
        </is>
      </c>
      <c r="Q423" s="3" t="inlineStr">
        <is>
          <t>ols_solo_factor</t>
        </is>
      </c>
      <c r="R423" s="3" t="n"/>
      <c r="S423" s="3" t="inlineStr">
        <is>
          <t>contraste regional (R6); no vota</t>
        </is>
      </c>
      <c r="T423" s="3" t="inlineStr">
        <is>
          <t>output/v8/F5/atribucion_combinada.csv</t>
        </is>
      </c>
      <c r="U423" s="2">
        <f>IF(R423=0,"",F423/R423)</f>
        <v/>
      </c>
      <c r="V423" s="2">
        <f>SUMIFS(F$2:F$1589,A$2:A$1589,A423,C$2:C$1589,C423,E$2:E$1589,E423,Q$2:Q$1589,Q423)</f>
        <v/>
      </c>
    </row>
    <row r="424">
      <c r="A424" s="3" t="inlineStr">
        <is>
          <t>alquiler</t>
        </is>
      </c>
      <c r="B424" s="3" t="inlineStr">
        <is>
          <t>ccaa:02</t>
        </is>
      </c>
      <c r="C424" s="3" t="inlineStr">
        <is>
          <t>P2</t>
        </is>
      </c>
      <c r="D424" s="3" t="inlineStr">
        <is>
          <t>factor_comun</t>
        </is>
      </c>
      <c r="E424" s="3" t="inlineStr">
        <is>
          <t>regional_ccaa_ols</t>
        </is>
      </c>
      <c r="F424" s="3" t="n">
        <v>-4.25675</v>
      </c>
      <c r="G424" s="3" t="n"/>
      <c r="H424" s="3" t="n"/>
      <c r="I424" s="3" t="n">
        <v>3.16275</v>
      </c>
      <c r="J424" s="3" t="n">
        <v>-9.8317</v>
      </c>
      <c r="K424" s="3" t="n">
        <v>1.4756</v>
      </c>
      <c r="L424" s="3" t="n">
        <v>-12.4272</v>
      </c>
      <c r="M424" s="3" t="n">
        <v>6.08769</v>
      </c>
      <c r="N424" s="3" t="inlineStr">
        <is>
          <t>C4</t>
        </is>
      </c>
      <c r="O424" s="3" t="inlineStr">
        <is>
          <t>no</t>
        </is>
      </c>
      <c r="P424" s="3" t="inlineStr">
        <is>
          <t>no_compite</t>
        </is>
      </c>
      <c r="Q424" s="3" t="inlineStr">
        <is>
          <t>ols_solo_factor</t>
        </is>
      </c>
      <c r="R424" s="3" t="n"/>
      <c r="S424" s="3" t="inlineStr">
        <is>
          <t>contraste regional (R6); no vota</t>
        </is>
      </c>
      <c r="T424" s="3" t="inlineStr">
        <is>
          <t>output/v8/F5/atribucion_combinada.csv</t>
        </is>
      </c>
      <c r="U424" s="2">
        <f>IF(R424=0,"",F424/R424)</f>
        <v/>
      </c>
      <c r="V424" s="2">
        <f>SUMIFS(F$2:F$1589,A$2:A$1589,A424,C$2:C$1589,C424,E$2:E$1589,E424,Q$2:Q$1589,Q424)</f>
        <v/>
      </c>
    </row>
    <row r="425">
      <c r="A425" s="3" t="inlineStr">
        <is>
          <t>alquiler</t>
        </is>
      </c>
      <c r="B425" s="3" t="inlineStr">
        <is>
          <t>ccaa:02</t>
        </is>
      </c>
      <c r="C425" s="3" t="inlineStr">
        <is>
          <t>P2</t>
        </is>
      </c>
      <c r="D425" s="3" t="inlineStr">
        <is>
          <t>residuo</t>
        </is>
      </c>
      <c r="E425" s="3" t="inlineStr">
        <is>
          <t>regional_ccaa_ols</t>
        </is>
      </c>
      <c r="F425" s="3" t="n">
        <v>2.91084</v>
      </c>
      <c r="G425" s="3" t="n"/>
      <c r="H425" s="3" t="n"/>
      <c r="I425" s="3" t="n">
        <v>-2.16275</v>
      </c>
      <c r="J425" s="3" t="n"/>
      <c r="K425" s="3" t="n"/>
      <c r="L425" s="3" t="n"/>
      <c r="M425" s="3" t="n"/>
      <c r="N425" s="3" t="inlineStr">
        <is>
          <t>C4</t>
        </is>
      </c>
      <c r="O425" s="3" t="inlineStr">
        <is>
          <t>no</t>
        </is>
      </c>
      <c r="P425" s="3" t="inlineStr">
        <is>
          <t>no_compite</t>
        </is>
      </c>
      <c r="Q425" s="3" t="inlineStr">
        <is>
          <t>ols_solo_factor</t>
        </is>
      </c>
      <c r="R425" s="3" t="n"/>
      <c r="S425" s="3" t="inlineStr">
        <is>
          <t>contraste regional (R6); no vota</t>
        </is>
      </c>
      <c r="T425" s="3" t="inlineStr">
        <is>
          <t>output/v8/F5/atribucion_combinada.csv</t>
        </is>
      </c>
      <c r="U425" s="2">
        <f>IF(R425=0,"",F425/R425)</f>
        <v/>
      </c>
      <c r="V425" s="2">
        <f>SUMIFS(F$2:F$1589,A$2:A$1589,A425,C$2:C$1589,C425,E$2:E$1589,E425,Q$2:Q$1589,Q425)</f>
        <v/>
      </c>
    </row>
    <row r="426">
      <c r="A426" s="3" t="inlineStr">
        <is>
          <t>alquiler</t>
        </is>
      </c>
      <c r="B426" s="3" t="inlineStr">
        <is>
          <t>ccaa:03</t>
        </is>
      </c>
      <c r="C426" s="3" t="inlineStr">
        <is>
          <t>P2</t>
        </is>
      </c>
      <c r="D426" s="3" t="inlineStr">
        <is>
          <t>factor_comun</t>
        </is>
      </c>
      <c r="E426" s="3" t="inlineStr">
        <is>
          <t>regional_ccaa_ols</t>
        </is>
      </c>
      <c r="F426" s="3" t="n">
        <v>-3.28982</v>
      </c>
      <c r="G426" s="3" t="n"/>
      <c r="H426" s="3" t="n"/>
      <c r="I426" s="3" t="n">
        <v>2.35507</v>
      </c>
      <c r="J426" s="3" t="n">
        <v>-7.79295</v>
      </c>
      <c r="K426" s="3" t="n">
        <v>0.653533</v>
      </c>
      <c r="L426" s="3" t="n">
        <v>-10.7102</v>
      </c>
      <c r="M426" s="3" t="n">
        <v>3.66643</v>
      </c>
      <c r="N426" s="3" t="inlineStr">
        <is>
          <t>C4</t>
        </is>
      </c>
      <c r="O426" s="3" t="inlineStr">
        <is>
          <t>no</t>
        </is>
      </c>
      <c r="P426" s="3" t="inlineStr">
        <is>
          <t>no_compite</t>
        </is>
      </c>
      <c r="Q426" s="3" t="inlineStr">
        <is>
          <t>ols_solo_factor</t>
        </is>
      </c>
      <c r="R426" s="3" t="n"/>
      <c r="S426" s="3" t="inlineStr">
        <is>
          <t>contraste regional (R6); no vota</t>
        </is>
      </c>
      <c r="T426" s="3" t="inlineStr">
        <is>
          <t>output/v8/F5/atribucion_combinada.csv</t>
        </is>
      </c>
      <c r="U426" s="2">
        <f>IF(R426=0,"",F426/R426)</f>
        <v/>
      </c>
      <c r="V426" s="2">
        <f>SUMIFS(F$2:F$1589,A$2:A$1589,A426,C$2:C$1589,C426,E$2:E$1589,E426,Q$2:Q$1589,Q426)</f>
        <v/>
      </c>
    </row>
    <row r="427">
      <c r="A427" s="3" t="inlineStr">
        <is>
          <t>alquiler</t>
        </is>
      </c>
      <c r="B427" s="3" t="inlineStr">
        <is>
          <t>ccaa:03</t>
        </is>
      </c>
      <c r="C427" s="3" t="inlineStr">
        <is>
          <t>P2</t>
        </is>
      </c>
      <c r="D427" s="3" t="inlineStr">
        <is>
          <t>residuo</t>
        </is>
      </c>
      <c r="E427" s="3" t="inlineStr">
        <is>
          <t>regional_ccaa_ols</t>
        </is>
      </c>
      <c r="F427" s="3" t="n">
        <v>1.89291</v>
      </c>
      <c r="G427" s="3" t="n"/>
      <c r="H427" s="3" t="n"/>
      <c r="I427" s="3" t="n">
        <v>-1.35507</v>
      </c>
      <c r="J427" s="3" t="n"/>
      <c r="K427" s="3" t="n"/>
      <c r="L427" s="3" t="n"/>
      <c r="M427" s="3" t="n"/>
      <c r="N427" s="3" t="inlineStr">
        <is>
          <t>C4</t>
        </is>
      </c>
      <c r="O427" s="3" t="inlineStr">
        <is>
          <t>no</t>
        </is>
      </c>
      <c r="P427" s="3" t="inlineStr">
        <is>
          <t>no_compite</t>
        </is>
      </c>
      <c r="Q427" s="3" t="inlineStr">
        <is>
          <t>ols_solo_factor</t>
        </is>
      </c>
      <c r="R427" s="3" t="n"/>
      <c r="S427" s="3" t="inlineStr">
        <is>
          <t>contraste regional (R6); no vota</t>
        </is>
      </c>
      <c r="T427" s="3" t="inlineStr">
        <is>
          <t>output/v8/F5/atribucion_combinada.csv</t>
        </is>
      </c>
      <c r="U427" s="2">
        <f>IF(R427=0,"",F427/R427)</f>
        <v/>
      </c>
      <c r="V427" s="2">
        <f>SUMIFS(F$2:F$1589,A$2:A$1589,A427,C$2:C$1589,C427,E$2:E$1589,E427,Q$2:Q$1589,Q427)</f>
        <v/>
      </c>
    </row>
    <row r="428">
      <c r="A428" s="3" t="inlineStr">
        <is>
          <t>alquiler</t>
        </is>
      </c>
      <c r="B428" s="3" t="inlineStr">
        <is>
          <t>ccaa:04</t>
        </is>
      </c>
      <c r="C428" s="3" t="inlineStr">
        <is>
          <t>P2</t>
        </is>
      </c>
      <c r="D428" s="3" t="inlineStr">
        <is>
          <t>factor_comun</t>
        </is>
      </c>
      <c r="E428" s="3" t="inlineStr">
        <is>
          <t>regional_ccaa_ols</t>
        </is>
      </c>
      <c r="F428" s="3" t="n">
        <v>-3.21473</v>
      </c>
      <c r="G428" s="3" t="n"/>
      <c r="H428" s="3" t="n"/>
      <c r="I428" s="3" t="n">
        <v>1.34791</v>
      </c>
      <c r="J428" s="3" t="n">
        <v>-7.5664</v>
      </c>
      <c r="K428" s="3" t="n">
        <v>0.365108</v>
      </c>
      <c r="L428" s="3" t="n">
        <v>-9.49217</v>
      </c>
      <c r="M428" s="3" t="n">
        <v>3.43808</v>
      </c>
      <c r="N428" s="3" t="inlineStr">
        <is>
          <t>C4</t>
        </is>
      </c>
      <c r="O428" s="3" t="inlineStr">
        <is>
          <t>no</t>
        </is>
      </c>
      <c r="P428" s="3" t="inlineStr">
        <is>
          <t>no_compite</t>
        </is>
      </c>
      <c r="Q428" s="3" t="inlineStr">
        <is>
          <t>ols_solo_factor</t>
        </is>
      </c>
      <c r="R428" s="3" t="n"/>
      <c r="S428" s="3" t="inlineStr">
        <is>
          <t>contraste regional (R6); no vota</t>
        </is>
      </c>
      <c r="T428" s="3" t="inlineStr">
        <is>
          <t>output/v8/F5/atribucion_combinada.csv</t>
        </is>
      </c>
      <c r="U428" s="2">
        <f>IF(R428=0,"",F428/R428)</f>
        <v/>
      </c>
      <c r="V428" s="2">
        <f>SUMIFS(F$2:F$1589,A$2:A$1589,A428,C$2:C$1589,C428,E$2:E$1589,E428,Q$2:Q$1589,Q428)</f>
        <v/>
      </c>
    </row>
    <row r="429">
      <c r="A429" s="3" t="inlineStr">
        <is>
          <t>alquiler</t>
        </is>
      </c>
      <c r="B429" s="3" t="inlineStr">
        <is>
          <t>ccaa:04</t>
        </is>
      </c>
      <c r="C429" s="3" t="inlineStr">
        <is>
          <t>P2</t>
        </is>
      </c>
      <c r="D429" s="3" t="inlineStr">
        <is>
          <t>residuo</t>
        </is>
      </c>
      <c r="E429" s="3" t="inlineStr">
        <is>
          <t>regional_ccaa_ols</t>
        </is>
      </c>
      <c r="F429" s="3" t="n">
        <v>0.829752</v>
      </c>
      <c r="G429" s="3" t="n"/>
      <c r="H429" s="3" t="n"/>
      <c r="I429" s="3" t="n">
        <v>-0.347907</v>
      </c>
      <c r="J429" s="3" t="n"/>
      <c r="K429" s="3" t="n"/>
      <c r="L429" s="3" t="n"/>
      <c r="M429" s="3" t="n"/>
      <c r="N429" s="3" t="inlineStr">
        <is>
          <t>C4</t>
        </is>
      </c>
      <c r="O429" s="3" t="inlineStr">
        <is>
          <t>no</t>
        </is>
      </c>
      <c r="P429" s="3" t="inlineStr">
        <is>
          <t>no_compite</t>
        </is>
      </c>
      <c r="Q429" s="3" t="inlineStr">
        <is>
          <t>ols_solo_factor</t>
        </is>
      </c>
      <c r="R429" s="3" t="n"/>
      <c r="S429" s="3" t="inlineStr">
        <is>
          <t>contraste regional (R6); no vota</t>
        </is>
      </c>
      <c r="T429" s="3" t="inlineStr">
        <is>
          <t>output/v8/F5/atribucion_combinada.csv</t>
        </is>
      </c>
      <c r="U429" s="2">
        <f>IF(R429=0,"",F429/R429)</f>
        <v/>
      </c>
      <c r="V429" s="2">
        <f>SUMIFS(F$2:F$1589,A$2:A$1589,A429,C$2:C$1589,C429,E$2:E$1589,E429,Q$2:Q$1589,Q429)</f>
        <v/>
      </c>
    </row>
    <row r="430">
      <c r="A430" s="3" t="inlineStr">
        <is>
          <t>alquiler</t>
        </is>
      </c>
      <c r="B430" s="3" t="inlineStr">
        <is>
          <t>ccaa:05</t>
        </is>
      </c>
      <c r="C430" s="3" t="inlineStr">
        <is>
          <t>P2</t>
        </is>
      </c>
      <c r="D430" s="3" t="inlineStr">
        <is>
          <t>factor_comun</t>
        </is>
      </c>
      <c r="E430" s="3" t="inlineStr">
        <is>
          <t>regional_ccaa_ols</t>
        </is>
      </c>
      <c r="F430" s="3" t="n">
        <v>-2.81097</v>
      </c>
      <c r="G430" s="3" t="n"/>
      <c r="H430" s="3" t="n"/>
      <c r="I430" s="3" t="n">
        <v>0.620715</v>
      </c>
      <c r="J430" s="3" t="n">
        <v>-6.34385</v>
      </c>
      <c r="K430" s="3" t="n">
        <v>0.302921</v>
      </c>
      <c r="L430" s="3" t="n">
        <v>-8.209099999999999</v>
      </c>
      <c r="M430" s="3" t="n">
        <v>3.05638</v>
      </c>
      <c r="N430" s="3" t="inlineStr">
        <is>
          <t>C4</t>
        </is>
      </c>
      <c r="O430" s="3" t="inlineStr">
        <is>
          <t>no</t>
        </is>
      </c>
      <c r="P430" s="3" t="inlineStr">
        <is>
          <t>no_compite</t>
        </is>
      </c>
      <c r="Q430" s="3" t="inlineStr">
        <is>
          <t>ols_solo_factor</t>
        </is>
      </c>
      <c r="R430" s="3" t="n"/>
      <c r="S430" s="3" t="inlineStr">
        <is>
          <t>contraste regional (R6); no vota</t>
        </is>
      </c>
      <c r="T430" s="3" t="inlineStr">
        <is>
          <t>output/v8/F5/atribucion_combinada.csv</t>
        </is>
      </c>
      <c r="U430" s="2">
        <f>IF(R430=0,"",F430/R430)</f>
        <v/>
      </c>
      <c r="V430" s="2">
        <f>SUMIFS(F$2:F$1589,A$2:A$1589,A430,C$2:C$1589,C430,E$2:E$1589,E430,Q$2:Q$1589,Q430)</f>
        <v/>
      </c>
    </row>
    <row r="431">
      <c r="A431" s="3" t="inlineStr">
        <is>
          <t>alquiler</t>
        </is>
      </c>
      <c r="B431" s="3" t="inlineStr">
        <is>
          <t>ccaa:05</t>
        </is>
      </c>
      <c r="C431" s="3" t="inlineStr">
        <is>
          <t>P2</t>
        </is>
      </c>
      <c r="D431" s="3" t="inlineStr">
        <is>
          <t>residuo</t>
        </is>
      </c>
      <c r="E431" s="3" t="inlineStr">
        <is>
          <t>regional_ccaa_ols</t>
        </is>
      </c>
      <c r="F431" s="3" t="n">
        <v>-1.71763</v>
      </c>
      <c r="G431" s="3" t="n"/>
      <c r="H431" s="3" t="n"/>
      <c r="I431" s="3" t="n">
        <v>0.379285</v>
      </c>
      <c r="J431" s="3" t="n"/>
      <c r="K431" s="3" t="n"/>
      <c r="L431" s="3" t="n"/>
      <c r="M431" s="3" t="n"/>
      <c r="N431" s="3" t="inlineStr">
        <is>
          <t>C4</t>
        </is>
      </c>
      <c r="O431" s="3" t="inlineStr">
        <is>
          <t>no</t>
        </is>
      </c>
      <c r="P431" s="3" t="inlineStr">
        <is>
          <t>no_compite</t>
        </is>
      </c>
      <c r="Q431" s="3" t="inlineStr">
        <is>
          <t>ols_solo_factor</t>
        </is>
      </c>
      <c r="R431" s="3" t="n"/>
      <c r="S431" s="3" t="inlineStr">
        <is>
          <t>contraste regional (R6); no vota</t>
        </is>
      </c>
      <c r="T431" s="3" t="inlineStr">
        <is>
          <t>output/v8/F5/atribucion_combinada.csv</t>
        </is>
      </c>
      <c r="U431" s="2">
        <f>IF(R431=0,"",F431/R431)</f>
        <v/>
      </c>
      <c r="V431" s="2">
        <f>SUMIFS(F$2:F$1589,A$2:A$1589,A431,C$2:C$1589,C431,E$2:E$1589,E431,Q$2:Q$1589,Q431)</f>
        <v/>
      </c>
    </row>
    <row r="432">
      <c r="A432" s="3" t="inlineStr">
        <is>
          <t>alquiler</t>
        </is>
      </c>
      <c r="B432" s="3" t="inlineStr">
        <is>
          <t>ccaa:06</t>
        </is>
      </c>
      <c r="C432" s="3" t="inlineStr">
        <is>
          <t>P2</t>
        </is>
      </c>
      <c r="D432" s="3" t="inlineStr">
        <is>
          <t>factor_comun</t>
        </is>
      </c>
      <c r="E432" s="3" t="inlineStr">
        <is>
          <t>regional_ccaa_ols</t>
        </is>
      </c>
      <c r="F432" s="3" t="n">
        <v>-4.47372</v>
      </c>
      <c r="G432" s="3" t="n"/>
      <c r="H432" s="3" t="n"/>
      <c r="I432" s="3" t="n">
        <v>-3.4821</v>
      </c>
      <c r="J432" s="3" t="n">
        <v>-9.911580000000001</v>
      </c>
      <c r="K432" s="3" t="n">
        <v>0.731949</v>
      </c>
      <c r="L432" s="3" t="n">
        <v>-11.6454</v>
      </c>
      <c r="M432" s="3" t="n">
        <v>5.29399</v>
      </c>
      <c r="N432" s="3" t="inlineStr">
        <is>
          <t>C4</t>
        </is>
      </c>
      <c r="O432" s="3" t="inlineStr">
        <is>
          <t>no</t>
        </is>
      </c>
      <c r="P432" s="3" t="inlineStr">
        <is>
          <t>no_compite</t>
        </is>
      </c>
      <c r="Q432" s="3" t="inlineStr">
        <is>
          <t>ols_solo_factor</t>
        </is>
      </c>
      <c r="R432" s="3" t="n"/>
      <c r="S432" s="3" t="inlineStr">
        <is>
          <t>contraste regional (R6); no vota</t>
        </is>
      </c>
      <c r="T432" s="3" t="inlineStr">
        <is>
          <t>output/v8/F5/atribucion_combinada.csv</t>
        </is>
      </c>
      <c r="U432" s="2">
        <f>IF(R432=0,"",F432/R432)</f>
        <v/>
      </c>
      <c r="V432" s="2">
        <f>SUMIFS(F$2:F$1589,A$2:A$1589,A432,C$2:C$1589,C432,E$2:E$1589,E432,Q$2:Q$1589,Q432)</f>
        <v/>
      </c>
    </row>
    <row r="433">
      <c r="A433" s="3" t="inlineStr">
        <is>
          <t>alquiler</t>
        </is>
      </c>
      <c r="B433" s="3" t="inlineStr">
        <is>
          <t>ccaa:06</t>
        </is>
      </c>
      <c r="C433" s="3" t="inlineStr">
        <is>
          <t>P2</t>
        </is>
      </c>
      <c r="D433" s="3" t="inlineStr">
        <is>
          <t>residuo</t>
        </is>
      </c>
      <c r="E433" s="3" t="inlineStr">
        <is>
          <t>regional_ccaa_ols</t>
        </is>
      </c>
      <c r="F433" s="3" t="n">
        <v>5.7585</v>
      </c>
      <c r="G433" s="3" t="n"/>
      <c r="H433" s="3" t="n"/>
      <c r="I433" s="3" t="n">
        <v>4.4821</v>
      </c>
      <c r="J433" s="3" t="n"/>
      <c r="K433" s="3" t="n"/>
      <c r="L433" s="3" t="n"/>
      <c r="M433" s="3" t="n"/>
      <c r="N433" s="3" t="inlineStr">
        <is>
          <t>C4</t>
        </is>
      </c>
      <c r="O433" s="3" t="inlineStr">
        <is>
          <t>no</t>
        </is>
      </c>
      <c r="P433" s="3" t="inlineStr">
        <is>
          <t>no_compite</t>
        </is>
      </c>
      <c r="Q433" s="3" t="inlineStr">
        <is>
          <t>ols_solo_factor</t>
        </is>
      </c>
      <c r="R433" s="3" t="n"/>
      <c r="S433" s="3" t="inlineStr">
        <is>
          <t>contraste regional (R6); no vota</t>
        </is>
      </c>
      <c r="T433" s="3" t="inlineStr">
        <is>
          <t>output/v8/F5/atribucion_combinada.csv</t>
        </is>
      </c>
      <c r="U433" s="2">
        <f>IF(R433=0,"",F433/R433)</f>
        <v/>
      </c>
      <c r="V433" s="2">
        <f>SUMIFS(F$2:F$1589,A$2:A$1589,A433,C$2:C$1589,C433,E$2:E$1589,E433,Q$2:Q$1589,Q433)</f>
        <v/>
      </c>
    </row>
    <row r="434">
      <c r="A434" s="3" t="inlineStr">
        <is>
          <t>alquiler</t>
        </is>
      </c>
      <c r="B434" s="3" t="inlineStr">
        <is>
          <t>ccaa:07</t>
        </is>
      </c>
      <c r="C434" s="3" t="inlineStr">
        <is>
          <t>P2</t>
        </is>
      </c>
      <c r="D434" s="3" t="inlineStr">
        <is>
          <t>factor_comun</t>
        </is>
      </c>
      <c r="E434" s="3" t="inlineStr">
        <is>
          <t>regional_ccaa_ols</t>
        </is>
      </c>
      <c r="F434" s="3" t="n">
        <v>-2.86468</v>
      </c>
      <c r="G434" s="3" t="n"/>
      <c r="H434" s="3" t="n"/>
      <c r="I434" s="3" t="n">
        <v>1.21941</v>
      </c>
      <c r="J434" s="3" t="n">
        <v>-6.14058</v>
      </c>
      <c r="K434" s="3" t="n">
        <v>0.775369</v>
      </c>
      <c r="L434" s="3" t="n">
        <v>-8.024559999999999</v>
      </c>
      <c r="M434" s="3" t="n">
        <v>3.51345</v>
      </c>
      <c r="N434" s="3" t="inlineStr">
        <is>
          <t>C4</t>
        </is>
      </c>
      <c r="O434" s="3" t="inlineStr">
        <is>
          <t>no</t>
        </is>
      </c>
      <c r="P434" s="3" t="inlineStr">
        <is>
          <t>no_compite</t>
        </is>
      </c>
      <c r="Q434" s="3" t="inlineStr">
        <is>
          <t>ols_solo_factor</t>
        </is>
      </c>
      <c r="R434" s="3" t="n"/>
      <c r="S434" s="3" t="inlineStr">
        <is>
          <t>contraste regional (R6); no vota</t>
        </is>
      </c>
      <c r="T434" s="3" t="inlineStr">
        <is>
          <t>output/v8/F5/atribucion_combinada.csv</t>
        </is>
      </c>
      <c r="U434" s="2">
        <f>IF(R434=0,"",F434/R434)</f>
        <v/>
      </c>
      <c r="V434" s="2">
        <f>SUMIFS(F$2:F$1589,A$2:A$1589,A434,C$2:C$1589,C434,E$2:E$1589,E434,Q$2:Q$1589,Q434)</f>
        <v/>
      </c>
    </row>
    <row r="435">
      <c r="A435" s="3" t="inlineStr">
        <is>
          <t>alquiler</t>
        </is>
      </c>
      <c r="B435" s="3" t="inlineStr">
        <is>
          <t>ccaa:07</t>
        </is>
      </c>
      <c r="C435" s="3" t="inlineStr">
        <is>
          <t>P2</t>
        </is>
      </c>
      <c r="D435" s="3" t="inlineStr">
        <is>
          <t>residuo</t>
        </is>
      </c>
      <c r="E435" s="3" t="inlineStr">
        <is>
          <t>regional_ccaa_ols</t>
        </is>
      </c>
      <c r="F435" s="3" t="n">
        <v>0.515444</v>
      </c>
      <c r="G435" s="3" t="n"/>
      <c r="H435" s="3" t="n"/>
      <c r="I435" s="3" t="n">
        <v>-0.219409</v>
      </c>
      <c r="J435" s="3" t="n"/>
      <c r="K435" s="3" t="n"/>
      <c r="L435" s="3" t="n"/>
      <c r="M435" s="3" t="n"/>
      <c r="N435" s="3" t="inlineStr">
        <is>
          <t>C4</t>
        </is>
      </c>
      <c r="O435" s="3" t="inlineStr">
        <is>
          <t>no</t>
        </is>
      </c>
      <c r="P435" s="3" t="inlineStr">
        <is>
          <t>no_compite</t>
        </is>
      </c>
      <c r="Q435" s="3" t="inlineStr">
        <is>
          <t>ols_solo_factor</t>
        </is>
      </c>
      <c r="R435" s="3" t="n"/>
      <c r="S435" s="3" t="inlineStr">
        <is>
          <t>contraste regional (R6); no vota</t>
        </is>
      </c>
      <c r="T435" s="3" t="inlineStr">
        <is>
          <t>output/v8/F5/atribucion_combinada.csv</t>
        </is>
      </c>
      <c r="U435" s="2">
        <f>IF(R435=0,"",F435/R435)</f>
        <v/>
      </c>
      <c r="V435" s="2">
        <f>SUMIFS(F$2:F$1589,A$2:A$1589,A435,C$2:C$1589,C435,E$2:E$1589,E435,Q$2:Q$1589,Q435)</f>
        <v/>
      </c>
    </row>
    <row r="436">
      <c r="A436" s="3" t="inlineStr">
        <is>
          <t>alquiler</t>
        </is>
      </c>
      <c r="B436" s="3" t="inlineStr">
        <is>
          <t>ccaa:08</t>
        </is>
      </c>
      <c r="C436" s="3" t="inlineStr">
        <is>
          <t>P2</t>
        </is>
      </c>
      <c r="D436" s="3" t="inlineStr">
        <is>
          <t>factor_comun</t>
        </is>
      </c>
      <c r="E436" s="3" t="inlineStr">
        <is>
          <t>regional_ccaa_ols</t>
        </is>
      </c>
      <c r="F436" s="3" t="n">
        <v>-3.1498</v>
      </c>
      <c r="G436" s="3" t="n"/>
      <c r="H436" s="3" t="n"/>
      <c r="I436" s="3" t="n">
        <v>0.937559</v>
      </c>
      <c r="J436" s="3" t="n">
        <v>-7.51823</v>
      </c>
      <c r="K436" s="3" t="n">
        <v>0.5588379999999999</v>
      </c>
      <c r="L436" s="3" t="n">
        <v>-10.3552</v>
      </c>
      <c r="M436" s="3" t="n">
        <v>3.41611</v>
      </c>
      <c r="N436" s="3" t="inlineStr">
        <is>
          <t>C4</t>
        </is>
      </c>
      <c r="O436" s="3" t="inlineStr">
        <is>
          <t>no</t>
        </is>
      </c>
      <c r="P436" s="3" t="inlineStr">
        <is>
          <t>no_compite</t>
        </is>
      </c>
      <c r="Q436" s="3" t="inlineStr">
        <is>
          <t>ols_solo_factor</t>
        </is>
      </c>
      <c r="R436" s="3" t="n"/>
      <c r="S436" s="3" t="inlineStr">
        <is>
          <t>contraste regional (R6); no vota</t>
        </is>
      </c>
      <c r="T436" s="3" t="inlineStr">
        <is>
          <t>output/v8/F5/atribucion_combinada.csv</t>
        </is>
      </c>
      <c r="U436" s="2">
        <f>IF(R436=0,"",F436/R436)</f>
        <v/>
      </c>
      <c r="V436" s="2">
        <f>SUMIFS(F$2:F$1589,A$2:A$1589,A436,C$2:C$1589,C436,E$2:E$1589,E436,Q$2:Q$1589,Q436)</f>
        <v/>
      </c>
    </row>
    <row r="437">
      <c r="A437" s="3" t="inlineStr">
        <is>
          <t>alquiler</t>
        </is>
      </c>
      <c r="B437" s="3" t="inlineStr">
        <is>
          <t>ccaa:08</t>
        </is>
      </c>
      <c r="C437" s="3" t="inlineStr">
        <is>
          <t>P2</t>
        </is>
      </c>
      <c r="D437" s="3" t="inlineStr">
        <is>
          <t>residuo</t>
        </is>
      </c>
      <c r="E437" s="3" t="inlineStr">
        <is>
          <t>regional_ccaa_ols</t>
        </is>
      </c>
      <c r="F437" s="3" t="n">
        <v>-0.209776</v>
      </c>
      <c r="G437" s="3" t="n"/>
      <c r="H437" s="3" t="n"/>
      <c r="I437" s="3" t="n">
        <v>0.0624414</v>
      </c>
      <c r="J437" s="3" t="n"/>
      <c r="K437" s="3" t="n"/>
      <c r="L437" s="3" t="n"/>
      <c r="M437" s="3" t="n"/>
      <c r="N437" s="3" t="inlineStr">
        <is>
          <t>C4</t>
        </is>
      </c>
      <c r="O437" s="3" t="inlineStr">
        <is>
          <t>no</t>
        </is>
      </c>
      <c r="P437" s="3" t="inlineStr">
        <is>
          <t>no_compite</t>
        </is>
      </c>
      <c r="Q437" s="3" t="inlineStr">
        <is>
          <t>ols_solo_factor</t>
        </is>
      </c>
      <c r="R437" s="3" t="n"/>
      <c r="S437" s="3" t="inlineStr">
        <is>
          <t>contraste regional (R6); no vota</t>
        </is>
      </c>
      <c r="T437" s="3" t="inlineStr">
        <is>
          <t>output/v8/F5/atribucion_combinada.csv</t>
        </is>
      </c>
      <c r="U437" s="2">
        <f>IF(R437=0,"",F437/R437)</f>
        <v/>
      </c>
      <c r="V437" s="2">
        <f>SUMIFS(F$2:F$1589,A$2:A$1589,A437,C$2:C$1589,C437,E$2:E$1589,E437,Q$2:Q$1589,Q437)</f>
        <v/>
      </c>
    </row>
    <row r="438">
      <c r="A438" s="3" t="inlineStr">
        <is>
          <t>alquiler</t>
        </is>
      </c>
      <c r="B438" s="3" t="inlineStr">
        <is>
          <t>ccaa:09</t>
        </is>
      </c>
      <c r="C438" s="3" t="inlineStr">
        <is>
          <t>P2</t>
        </is>
      </c>
      <c r="D438" s="3" t="inlineStr">
        <is>
          <t>factor_comun</t>
        </is>
      </c>
      <c r="E438" s="3" t="inlineStr">
        <is>
          <t>regional_ccaa_ols</t>
        </is>
      </c>
      <c r="F438" s="3" t="n">
        <v>-3.04127</v>
      </c>
      <c r="G438" s="3" t="n"/>
      <c r="H438" s="3" t="n"/>
      <c r="I438" s="3" t="n">
        <v>8.292619999999999</v>
      </c>
      <c r="J438" s="3" t="n">
        <v>-6.4081</v>
      </c>
      <c r="K438" s="3" t="n">
        <v>0.916624</v>
      </c>
      <c r="L438" s="3" t="n">
        <v>-7.73251</v>
      </c>
      <c r="M438" s="3" t="n">
        <v>4.27538</v>
      </c>
      <c r="N438" s="3" t="inlineStr">
        <is>
          <t>C4</t>
        </is>
      </c>
      <c r="O438" s="3" t="inlineStr">
        <is>
          <t>no</t>
        </is>
      </c>
      <c r="P438" s="3" t="inlineStr">
        <is>
          <t>no_compite</t>
        </is>
      </c>
      <c r="Q438" s="3" t="inlineStr">
        <is>
          <t>ols_solo_factor</t>
        </is>
      </c>
      <c r="R438" s="3" t="n"/>
      <c r="S438" s="3" t="inlineStr">
        <is>
          <t>contraste regional (R6); no vota</t>
        </is>
      </c>
      <c r="T438" s="3" t="inlineStr">
        <is>
          <t>output/v8/F5/atribucion_combinada.csv</t>
        </is>
      </c>
      <c r="U438" s="2">
        <f>IF(R438=0,"",F438/R438)</f>
        <v/>
      </c>
      <c r="V438" s="2">
        <f>SUMIFS(F$2:F$1589,A$2:A$1589,A438,C$2:C$1589,C438,E$2:E$1589,E438,Q$2:Q$1589,Q438)</f>
        <v/>
      </c>
    </row>
    <row r="439">
      <c r="A439" s="3" t="inlineStr">
        <is>
          <t>alquiler</t>
        </is>
      </c>
      <c r="B439" s="3" t="inlineStr">
        <is>
          <t>ccaa:09</t>
        </is>
      </c>
      <c r="C439" s="3" t="inlineStr">
        <is>
          <t>P2</t>
        </is>
      </c>
      <c r="D439" s="3" t="inlineStr">
        <is>
          <t>residuo</t>
        </is>
      </c>
      <c r="E439" s="3" t="inlineStr">
        <is>
          <t>regional_ccaa_ols</t>
        </is>
      </c>
      <c r="F439" s="3" t="n">
        <v>2.67452</v>
      </c>
      <c r="G439" s="3" t="n"/>
      <c r="H439" s="3" t="n"/>
      <c r="I439" s="3" t="n">
        <v>-7.29262</v>
      </c>
      <c r="J439" s="3" t="n"/>
      <c r="K439" s="3" t="n"/>
      <c r="L439" s="3" t="n"/>
      <c r="M439" s="3" t="n"/>
      <c r="N439" s="3" t="inlineStr">
        <is>
          <t>C4</t>
        </is>
      </c>
      <c r="O439" s="3" t="inlineStr">
        <is>
          <t>no</t>
        </is>
      </c>
      <c r="P439" s="3" t="inlineStr">
        <is>
          <t>no_compite</t>
        </is>
      </c>
      <c r="Q439" s="3" t="inlineStr">
        <is>
          <t>ols_solo_factor</t>
        </is>
      </c>
      <c r="R439" s="3" t="n"/>
      <c r="S439" s="3" t="inlineStr">
        <is>
          <t>contraste regional (R6); no vota</t>
        </is>
      </c>
      <c r="T439" s="3" t="inlineStr">
        <is>
          <t>output/v8/F5/atribucion_combinada.csv</t>
        </is>
      </c>
      <c r="U439" s="2">
        <f>IF(R439=0,"",F439/R439)</f>
        <v/>
      </c>
      <c r="V439" s="2">
        <f>SUMIFS(F$2:F$1589,A$2:A$1589,A439,C$2:C$1589,C439,E$2:E$1589,E439,Q$2:Q$1589,Q439)</f>
        <v/>
      </c>
    </row>
    <row r="440">
      <c r="A440" s="3" t="inlineStr">
        <is>
          <t>alquiler</t>
        </is>
      </c>
      <c r="B440" s="3" t="inlineStr">
        <is>
          <t>ccaa:10</t>
        </is>
      </c>
      <c r="C440" s="3" t="inlineStr">
        <is>
          <t>P2</t>
        </is>
      </c>
      <c r="D440" s="3" t="inlineStr">
        <is>
          <t>factor_comun</t>
        </is>
      </c>
      <c r="E440" s="3" t="inlineStr">
        <is>
          <t>regional_ccaa_ols</t>
        </is>
      </c>
      <c r="F440" s="3" t="n">
        <v>-3.69411</v>
      </c>
      <c r="G440" s="3" t="n"/>
      <c r="H440" s="3" t="n"/>
      <c r="I440" s="3" t="n">
        <v>0.900882</v>
      </c>
      <c r="J440" s="3" t="n">
        <v>-7.92801</v>
      </c>
      <c r="K440" s="3" t="n">
        <v>1.27224</v>
      </c>
      <c r="L440" s="3" t="n">
        <v>-9.632540000000001</v>
      </c>
      <c r="M440" s="3" t="n">
        <v>4.52792</v>
      </c>
      <c r="N440" s="3" t="inlineStr">
        <is>
          <t>C4</t>
        </is>
      </c>
      <c r="O440" s="3" t="inlineStr">
        <is>
          <t>no</t>
        </is>
      </c>
      <c r="P440" s="3" t="inlineStr">
        <is>
          <t>no_compite</t>
        </is>
      </c>
      <c r="Q440" s="3" t="inlineStr">
        <is>
          <t>ols_solo_factor</t>
        </is>
      </c>
      <c r="R440" s="3" t="n"/>
      <c r="S440" s="3" t="inlineStr">
        <is>
          <t>contraste regional (R6); no vota</t>
        </is>
      </c>
      <c r="T440" s="3" t="inlineStr">
        <is>
          <t>output/v8/F5/atribucion_combinada.csv</t>
        </is>
      </c>
      <c r="U440" s="2">
        <f>IF(R440=0,"",F440/R440)</f>
        <v/>
      </c>
      <c r="V440" s="2">
        <f>SUMIFS(F$2:F$1589,A$2:A$1589,A440,C$2:C$1589,C440,E$2:E$1589,E440,Q$2:Q$1589,Q440)</f>
        <v/>
      </c>
    </row>
    <row r="441">
      <c r="A441" s="3" t="inlineStr">
        <is>
          <t>alquiler</t>
        </is>
      </c>
      <c r="B441" s="3" t="inlineStr">
        <is>
          <t>ccaa:10</t>
        </is>
      </c>
      <c r="C441" s="3" t="inlineStr">
        <is>
          <t>P2</t>
        </is>
      </c>
      <c r="D441" s="3" t="inlineStr">
        <is>
          <t>residuo</t>
        </is>
      </c>
      <c r="E441" s="3" t="inlineStr">
        <is>
          <t>regional_ccaa_ols</t>
        </is>
      </c>
      <c r="F441" s="3" t="n">
        <v>-0.406436</v>
      </c>
      <c r="G441" s="3" t="n"/>
      <c r="H441" s="3" t="n"/>
      <c r="I441" s="3" t="n">
        <v>0.0991175</v>
      </c>
      <c r="J441" s="3" t="n"/>
      <c r="K441" s="3" t="n"/>
      <c r="L441" s="3" t="n"/>
      <c r="M441" s="3" t="n"/>
      <c r="N441" s="3" t="inlineStr">
        <is>
          <t>C4</t>
        </is>
      </c>
      <c r="O441" s="3" t="inlineStr">
        <is>
          <t>no</t>
        </is>
      </c>
      <c r="P441" s="3" t="inlineStr">
        <is>
          <t>no_compite</t>
        </is>
      </c>
      <c r="Q441" s="3" t="inlineStr">
        <is>
          <t>ols_solo_factor</t>
        </is>
      </c>
      <c r="R441" s="3" t="n"/>
      <c r="S441" s="3" t="inlineStr">
        <is>
          <t>contraste regional (R6); no vota</t>
        </is>
      </c>
      <c r="T441" s="3" t="inlineStr">
        <is>
          <t>output/v8/F5/atribucion_combinada.csv</t>
        </is>
      </c>
      <c r="U441" s="2">
        <f>IF(R441=0,"",F441/R441)</f>
        <v/>
      </c>
      <c r="V441" s="2">
        <f>SUMIFS(F$2:F$1589,A$2:A$1589,A441,C$2:C$1589,C441,E$2:E$1589,E441,Q$2:Q$1589,Q441)</f>
        <v/>
      </c>
    </row>
    <row r="442">
      <c r="A442" s="3" t="inlineStr">
        <is>
          <t>alquiler</t>
        </is>
      </c>
      <c r="B442" s="3" t="inlineStr">
        <is>
          <t>ccaa:11</t>
        </is>
      </c>
      <c r="C442" s="3" t="inlineStr">
        <is>
          <t>P2</t>
        </is>
      </c>
      <c r="D442" s="3" t="inlineStr">
        <is>
          <t>factor_comun</t>
        </is>
      </c>
      <c r="E442" s="3" t="inlineStr">
        <is>
          <t>regional_ccaa_ols</t>
        </is>
      </c>
      <c r="F442" s="3" t="n">
        <v>-3.35824</v>
      </c>
      <c r="G442" s="3" t="n"/>
      <c r="H442" s="3" t="n"/>
      <c r="I442" s="3" t="n">
        <v>0.690042</v>
      </c>
      <c r="J442" s="3" t="n">
        <v>-7.43668</v>
      </c>
      <c r="K442" s="3" t="n">
        <v>0.546308</v>
      </c>
      <c r="L442" s="3" t="n">
        <v>-9.699780000000001</v>
      </c>
      <c r="M442" s="3" t="n">
        <v>4.48152</v>
      </c>
      <c r="N442" s="3" t="inlineStr">
        <is>
          <t>C4</t>
        </is>
      </c>
      <c r="O442" s="3" t="inlineStr">
        <is>
          <t>no</t>
        </is>
      </c>
      <c r="P442" s="3" t="inlineStr">
        <is>
          <t>no_compite</t>
        </is>
      </c>
      <c r="Q442" s="3" t="inlineStr">
        <is>
          <t>ols_solo_factor</t>
        </is>
      </c>
      <c r="R442" s="3" t="n"/>
      <c r="S442" s="3" t="inlineStr">
        <is>
          <t>contraste regional (R6); no vota</t>
        </is>
      </c>
      <c r="T442" s="3" t="inlineStr">
        <is>
          <t>output/v8/F5/atribucion_combinada.csv</t>
        </is>
      </c>
      <c r="U442" s="2">
        <f>IF(R442=0,"",F442/R442)</f>
        <v/>
      </c>
      <c r="V442" s="2">
        <f>SUMIFS(F$2:F$1589,A$2:A$1589,A442,C$2:C$1589,C442,E$2:E$1589,E442,Q$2:Q$1589,Q442)</f>
        <v/>
      </c>
    </row>
    <row r="443">
      <c r="A443" s="3" t="inlineStr">
        <is>
          <t>alquiler</t>
        </is>
      </c>
      <c r="B443" s="3" t="inlineStr">
        <is>
          <t>ccaa:11</t>
        </is>
      </c>
      <c r="C443" s="3" t="inlineStr">
        <is>
          <t>P2</t>
        </is>
      </c>
      <c r="D443" s="3" t="inlineStr">
        <is>
          <t>residuo</t>
        </is>
      </c>
      <c r="E443" s="3" t="inlineStr">
        <is>
          <t>regional_ccaa_ols</t>
        </is>
      </c>
      <c r="F443" s="3" t="n">
        <v>-1.50848</v>
      </c>
      <c r="G443" s="3" t="n"/>
      <c r="H443" s="3" t="n"/>
      <c r="I443" s="3" t="n">
        <v>0.309958</v>
      </c>
      <c r="J443" s="3" t="n"/>
      <c r="K443" s="3" t="n"/>
      <c r="L443" s="3" t="n"/>
      <c r="M443" s="3" t="n"/>
      <c r="N443" s="3" t="inlineStr">
        <is>
          <t>C4</t>
        </is>
      </c>
      <c r="O443" s="3" t="inlineStr">
        <is>
          <t>no</t>
        </is>
      </c>
      <c r="P443" s="3" t="inlineStr">
        <is>
          <t>no_compite</t>
        </is>
      </c>
      <c r="Q443" s="3" t="inlineStr">
        <is>
          <t>ols_solo_factor</t>
        </is>
      </c>
      <c r="R443" s="3" t="n"/>
      <c r="S443" s="3" t="inlineStr">
        <is>
          <t>contraste regional (R6); no vota</t>
        </is>
      </c>
      <c r="T443" s="3" t="inlineStr">
        <is>
          <t>output/v8/F5/atribucion_combinada.csv</t>
        </is>
      </c>
      <c r="U443" s="2">
        <f>IF(R443=0,"",F443/R443)</f>
        <v/>
      </c>
      <c r="V443" s="2">
        <f>SUMIFS(F$2:F$1589,A$2:A$1589,A443,C$2:C$1589,C443,E$2:E$1589,E443,Q$2:Q$1589,Q443)</f>
        <v/>
      </c>
    </row>
    <row r="444">
      <c r="A444" s="3" t="inlineStr">
        <is>
          <t>alquiler</t>
        </is>
      </c>
      <c r="B444" s="3" t="inlineStr">
        <is>
          <t>ccaa:12</t>
        </is>
      </c>
      <c r="C444" s="3" t="inlineStr">
        <is>
          <t>P2</t>
        </is>
      </c>
      <c r="D444" s="3" t="inlineStr">
        <is>
          <t>factor_comun</t>
        </is>
      </c>
      <c r="E444" s="3" t="inlineStr">
        <is>
          <t>regional_ccaa_ols</t>
        </is>
      </c>
      <c r="F444" s="3" t="n">
        <v>-2.81205</v>
      </c>
      <c r="G444" s="3" t="n"/>
      <c r="H444" s="3" t="n"/>
      <c r="I444" s="3" t="n">
        <v>2.26144</v>
      </c>
      <c r="J444" s="3" t="n">
        <v>-6.32826</v>
      </c>
      <c r="K444" s="3" t="n">
        <v>0.720021</v>
      </c>
      <c r="L444" s="3" t="n">
        <v>-8.972160000000001</v>
      </c>
      <c r="M444" s="3" t="n">
        <v>3.57628</v>
      </c>
      <c r="N444" s="3" t="inlineStr">
        <is>
          <t>C4</t>
        </is>
      </c>
      <c r="O444" s="3" t="inlineStr">
        <is>
          <t>no</t>
        </is>
      </c>
      <c r="P444" s="3" t="inlineStr">
        <is>
          <t>no_compite</t>
        </is>
      </c>
      <c r="Q444" s="3" t="inlineStr">
        <is>
          <t>ols_solo_factor</t>
        </is>
      </c>
      <c r="R444" s="3" t="n"/>
      <c r="S444" s="3" t="inlineStr">
        <is>
          <t>contraste regional (R6); no vota</t>
        </is>
      </c>
      <c r="T444" s="3" t="inlineStr">
        <is>
          <t>output/v8/F5/atribucion_combinada.csv</t>
        </is>
      </c>
      <c r="U444" s="2">
        <f>IF(R444=0,"",F444/R444)</f>
        <v/>
      </c>
      <c r="V444" s="2">
        <f>SUMIFS(F$2:F$1589,A$2:A$1589,A444,C$2:C$1589,C444,E$2:E$1589,E444,Q$2:Q$1589,Q444)</f>
        <v/>
      </c>
    </row>
    <row r="445">
      <c r="A445" s="3" t="inlineStr">
        <is>
          <t>alquiler</t>
        </is>
      </c>
      <c r="B445" s="3" t="inlineStr">
        <is>
          <t>ccaa:12</t>
        </is>
      </c>
      <c r="C445" s="3" t="inlineStr">
        <is>
          <t>P2</t>
        </is>
      </c>
      <c r="D445" s="3" t="inlineStr">
        <is>
          <t>residuo</t>
        </is>
      </c>
      <c r="E445" s="3" t="inlineStr">
        <is>
          <t>regional_ccaa_ols</t>
        </is>
      </c>
      <c r="F445" s="3" t="n">
        <v>1.56857</v>
      </c>
      <c r="G445" s="3" t="n"/>
      <c r="H445" s="3" t="n"/>
      <c r="I445" s="3" t="n">
        <v>-1.26144</v>
      </c>
      <c r="J445" s="3" t="n"/>
      <c r="K445" s="3" t="n"/>
      <c r="L445" s="3" t="n"/>
      <c r="M445" s="3" t="n"/>
      <c r="N445" s="3" t="inlineStr">
        <is>
          <t>C4</t>
        </is>
      </c>
      <c r="O445" s="3" t="inlineStr">
        <is>
          <t>no</t>
        </is>
      </c>
      <c r="P445" s="3" t="inlineStr">
        <is>
          <t>no_compite</t>
        </is>
      </c>
      <c r="Q445" s="3" t="inlineStr">
        <is>
          <t>ols_solo_factor</t>
        </is>
      </c>
      <c r="R445" s="3" t="n"/>
      <c r="S445" s="3" t="inlineStr">
        <is>
          <t>contraste regional (R6); no vota</t>
        </is>
      </c>
      <c r="T445" s="3" t="inlineStr">
        <is>
          <t>output/v8/F5/atribucion_combinada.csv</t>
        </is>
      </c>
      <c r="U445" s="2">
        <f>IF(R445=0,"",F445/R445)</f>
        <v/>
      </c>
      <c r="V445" s="2">
        <f>SUMIFS(F$2:F$1589,A$2:A$1589,A445,C$2:C$1589,C445,E$2:E$1589,E445,Q$2:Q$1589,Q445)</f>
        <v/>
      </c>
    </row>
    <row r="446">
      <c r="A446" s="3" t="inlineStr">
        <is>
          <t>alquiler</t>
        </is>
      </c>
      <c r="B446" s="3" t="inlineStr">
        <is>
          <t>ccaa:13</t>
        </is>
      </c>
      <c r="C446" s="3" t="inlineStr">
        <is>
          <t>P2</t>
        </is>
      </c>
      <c r="D446" s="3" t="inlineStr">
        <is>
          <t>factor_comun</t>
        </is>
      </c>
      <c r="E446" s="3" t="inlineStr">
        <is>
          <t>regional_ccaa_ols</t>
        </is>
      </c>
      <c r="F446" s="3" t="n">
        <v>-3.718</v>
      </c>
      <c r="G446" s="3" t="n"/>
      <c r="H446" s="3" t="n"/>
      <c r="I446" s="3" t="n">
        <v>0.797004</v>
      </c>
      <c r="J446" s="3" t="n">
        <v>-8.5832</v>
      </c>
      <c r="K446" s="3" t="n">
        <v>0.738945</v>
      </c>
      <c r="L446" s="3" t="n">
        <v>-10.7356</v>
      </c>
      <c r="M446" s="3" t="n">
        <v>3.93499</v>
      </c>
      <c r="N446" s="3" t="inlineStr">
        <is>
          <t>C4</t>
        </is>
      </c>
      <c r="O446" s="3" t="inlineStr">
        <is>
          <t>no</t>
        </is>
      </c>
      <c r="P446" s="3" t="inlineStr">
        <is>
          <t>no_compite</t>
        </is>
      </c>
      <c r="Q446" s="3" t="inlineStr">
        <is>
          <t>ols_solo_factor</t>
        </is>
      </c>
      <c r="R446" s="3" t="n"/>
      <c r="S446" s="3" t="inlineStr">
        <is>
          <t>contraste regional (R6); no vota</t>
        </is>
      </c>
      <c r="T446" s="3" t="inlineStr">
        <is>
          <t>output/v8/F5/atribucion_combinada.csv</t>
        </is>
      </c>
      <c r="U446" s="2">
        <f>IF(R446=0,"",F446/R446)</f>
        <v/>
      </c>
      <c r="V446" s="2">
        <f>SUMIFS(F$2:F$1589,A$2:A$1589,A446,C$2:C$1589,C446,E$2:E$1589,E446,Q$2:Q$1589,Q446)</f>
        <v/>
      </c>
    </row>
    <row r="447">
      <c r="A447" s="3" t="inlineStr">
        <is>
          <t>alquiler</t>
        </is>
      </c>
      <c r="B447" s="3" t="inlineStr">
        <is>
          <t>ccaa:13</t>
        </is>
      </c>
      <c r="C447" s="3" t="inlineStr">
        <is>
          <t>P2</t>
        </is>
      </c>
      <c r="D447" s="3" t="inlineStr">
        <is>
          <t>residuo</t>
        </is>
      </c>
      <c r="E447" s="3" t="inlineStr">
        <is>
          <t>regional_ccaa_ols</t>
        </is>
      </c>
      <c r="F447" s="3" t="n">
        <v>-0.946968</v>
      </c>
      <c r="G447" s="3" t="n"/>
      <c r="H447" s="3" t="n"/>
      <c r="I447" s="3" t="n">
        <v>0.202996</v>
      </c>
      <c r="J447" s="3" t="n"/>
      <c r="K447" s="3" t="n"/>
      <c r="L447" s="3" t="n"/>
      <c r="M447" s="3" t="n"/>
      <c r="N447" s="3" t="inlineStr">
        <is>
          <t>C4</t>
        </is>
      </c>
      <c r="O447" s="3" t="inlineStr">
        <is>
          <t>no</t>
        </is>
      </c>
      <c r="P447" s="3" t="inlineStr">
        <is>
          <t>no_compite</t>
        </is>
      </c>
      <c r="Q447" s="3" t="inlineStr">
        <is>
          <t>ols_solo_factor</t>
        </is>
      </c>
      <c r="R447" s="3" t="n"/>
      <c r="S447" s="3" t="inlineStr">
        <is>
          <t>contraste regional (R6); no vota</t>
        </is>
      </c>
      <c r="T447" s="3" t="inlineStr">
        <is>
          <t>output/v8/F5/atribucion_combinada.csv</t>
        </is>
      </c>
      <c r="U447" s="2">
        <f>IF(R447=0,"",F447/R447)</f>
        <v/>
      </c>
      <c r="V447" s="2">
        <f>SUMIFS(F$2:F$1589,A$2:A$1589,A447,C$2:C$1589,C447,E$2:E$1589,E447,Q$2:Q$1589,Q447)</f>
        <v/>
      </c>
    </row>
    <row r="448">
      <c r="A448" s="3" t="inlineStr">
        <is>
          <t>alquiler</t>
        </is>
      </c>
      <c r="B448" s="3" t="inlineStr">
        <is>
          <t>ccaa:14</t>
        </is>
      </c>
      <c r="C448" s="3" t="inlineStr">
        <is>
          <t>P2</t>
        </is>
      </c>
      <c r="D448" s="3" t="inlineStr">
        <is>
          <t>factor_comun</t>
        </is>
      </c>
      <c r="E448" s="3" t="inlineStr">
        <is>
          <t>regional_ccaa_ols</t>
        </is>
      </c>
      <c r="F448" s="3" t="n">
        <v>-3.64143</v>
      </c>
      <c r="G448" s="3" t="n"/>
      <c r="H448" s="3" t="n"/>
      <c r="I448" s="3" t="n">
        <v>0.45242</v>
      </c>
      <c r="J448" s="3" t="n">
        <v>-9.535270000000001</v>
      </c>
      <c r="K448" s="3" t="n">
        <v>0.637056</v>
      </c>
      <c r="L448" s="3" t="n">
        <v>-13.9682</v>
      </c>
      <c r="M448" s="3" t="n">
        <v>3.40686</v>
      </c>
      <c r="N448" s="3" t="inlineStr">
        <is>
          <t>C4</t>
        </is>
      </c>
      <c r="O448" s="3" t="inlineStr">
        <is>
          <t>no</t>
        </is>
      </c>
      <c r="P448" s="3" t="inlineStr">
        <is>
          <t>no_compite</t>
        </is>
      </c>
      <c r="Q448" s="3" t="inlineStr">
        <is>
          <t>ols_solo_factor</t>
        </is>
      </c>
      <c r="R448" s="3" t="n"/>
      <c r="S448" s="3" t="inlineStr">
        <is>
          <t>contraste regional (R6); no vota</t>
        </is>
      </c>
      <c r="T448" s="3" t="inlineStr">
        <is>
          <t>output/v8/F5/atribucion_combinada.csv</t>
        </is>
      </c>
      <c r="U448" s="2">
        <f>IF(R448=0,"",F448/R448)</f>
        <v/>
      </c>
      <c r="V448" s="2">
        <f>SUMIFS(F$2:F$1589,A$2:A$1589,A448,C$2:C$1589,C448,E$2:E$1589,E448,Q$2:Q$1589,Q448)</f>
        <v/>
      </c>
    </row>
    <row r="449">
      <c r="A449" s="3" t="inlineStr">
        <is>
          <t>alquiler</t>
        </is>
      </c>
      <c r="B449" s="3" t="inlineStr">
        <is>
          <t>ccaa:14</t>
        </is>
      </c>
      <c r="C449" s="3" t="inlineStr">
        <is>
          <t>P2</t>
        </is>
      </c>
      <c r="D449" s="3" t="inlineStr">
        <is>
          <t>residuo</t>
        </is>
      </c>
      <c r="E449" s="3" t="inlineStr">
        <is>
          <t>regional_ccaa_ols</t>
        </is>
      </c>
      <c r="F449" s="3" t="n">
        <v>-4.40735</v>
      </c>
      <c r="G449" s="3" t="n"/>
      <c r="H449" s="3" t="n"/>
      <c r="I449" s="3" t="n">
        <v>0.54758</v>
      </c>
      <c r="J449" s="3" t="n"/>
      <c r="K449" s="3" t="n"/>
      <c r="L449" s="3" t="n"/>
      <c r="M449" s="3" t="n"/>
      <c r="N449" s="3" t="inlineStr">
        <is>
          <t>C4</t>
        </is>
      </c>
      <c r="O449" s="3" t="inlineStr">
        <is>
          <t>no</t>
        </is>
      </c>
      <c r="P449" s="3" t="inlineStr">
        <is>
          <t>no_compite</t>
        </is>
      </c>
      <c r="Q449" s="3" t="inlineStr">
        <is>
          <t>ols_solo_factor</t>
        </is>
      </c>
      <c r="R449" s="3" t="n"/>
      <c r="S449" s="3" t="inlineStr">
        <is>
          <t>contraste regional (R6); no vota</t>
        </is>
      </c>
      <c r="T449" s="3" t="inlineStr">
        <is>
          <t>output/v8/F5/atribucion_combinada.csv</t>
        </is>
      </c>
      <c r="U449" s="2">
        <f>IF(R449=0,"",F449/R449)</f>
        <v/>
      </c>
      <c r="V449" s="2">
        <f>SUMIFS(F$2:F$1589,A$2:A$1589,A449,C$2:C$1589,C449,E$2:E$1589,E449,Q$2:Q$1589,Q449)</f>
        <v/>
      </c>
    </row>
    <row r="450">
      <c r="A450" s="3" t="inlineStr">
        <is>
          <t>alquiler</t>
        </is>
      </c>
      <c r="B450" s="3" t="inlineStr">
        <is>
          <t>ccaa:15</t>
        </is>
      </c>
      <c r="C450" s="3" t="inlineStr">
        <is>
          <t>P2</t>
        </is>
      </c>
      <c r="D450" s="3" t="inlineStr">
        <is>
          <t>factor_comun</t>
        </is>
      </c>
      <c r="E450" s="3" t="inlineStr">
        <is>
          <t>regional_ccaa_ols</t>
        </is>
      </c>
      <c r="F450" s="3" t="n">
        <v>-3.07345</v>
      </c>
      <c r="G450" s="3" t="n"/>
      <c r="H450" s="3" t="n"/>
      <c r="I450" s="3" t="n">
        <v>0.27562</v>
      </c>
      <c r="J450" s="3" t="n">
        <v>-6.9351</v>
      </c>
      <c r="K450" s="3" t="n">
        <v>0.854529</v>
      </c>
      <c r="L450" s="3" t="n">
        <v>-8.86262</v>
      </c>
      <c r="M450" s="3" t="n">
        <v>3.69292</v>
      </c>
      <c r="N450" s="3" t="inlineStr">
        <is>
          <t>C4</t>
        </is>
      </c>
      <c r="O450" s="3" t="inlineStr">
        <is>
          <t>no</t>
        </is>
      </c>
      <c r="P450" s="3" t="inlineStr">
        <is>
          <t>no_compite</t>
        </is>
      </c>
      <c r="Q450" s="3" t="inlineStr">
        <is>
          <t>ols_solo_factor</t>
        </is>
      </c>
      <c r="R450" s="3" t="n"/>
      <c r="S450" s="3" t="inlineStr">
        <is>
          <t>contraste regional (R6); no vota</t>
        </is>
      </c>
      <c r="T450" s="3" t="inlineStr">
        <is>
          <t>output/v8/F5/atribucion_combinada.csv</t>
        </is>
      </c>
      <c r="U450" s="2">
        <f>IF(R450=0,"",F450/R450)</f>
        <v/>
      </c>
      <c r="V450" s="2">
        <f>SUMIFS(F$2:F$1589,A$2:A$1589,A450,C$2:C$1589,C450,E$2:E$1589,E450,Q$2:Q$1589,Q450)</f>
        <v/>
      </c>
    </row>
    <row r="451">
      <c r="A451" s="3" t="inlineStr">
        <is>
          <t>alquiler</t>
        </is>
      </c>
      <c r="B451" s="3" t="inlineStr">
        <is>
          <t>ccaa:15</t>
        </is>
      </c>
      <c r="C451" s="3" t="inlineStr">
        <is>
          <t>P2</t>
        </is>
      </c>
      <c r="D451" s="3" t="inlineStr">
        <is>
          <t>residuo</t>
        </is>
      </c>
      <c r="E451" s="3" t="inlineStr">
        <is>
          <t>regional_ccaa_ols</t>
        </is>
      </c>
      <c r="F451" s="3" t="n">
        <v>-8.07762</v>
      </c>
      <c r="G451" s="3" t="n"/>
      <c r="H451" s="3" t="n"/>
      <c r="I451" s="3" t="n">
        <v>0.72438</v>
      </c>
      <c r="J451" s="3" t="n"/>
      <c r="K451" s="3" t="n"/>
      <c r="L451" s="3" t="n"/>
      <c r="M451" s="3" t="n"/>
      <c r="N451" s="3" t="inlineStr">
        <is>
          <t>C4</t>
        </is>
      </c>
      <c r="O451" s="3" t="inlineStr">
        <is>
          <t>no</t>
        </is>
      </c>
      <c r="P451" s="3" t="inlineStr">
        <is>
          <t>no_compite</t>
        </is>
      </c>
      <c r="Q451" s="3" t="inlineStr">
        <is>
          <t>ols_solo_factor</t>
        </is>
      </c>
      <c r="R451" s="3" t="n"/>
      <c r="S451" s="3" t="inlineStr">
        <is>
          <t>contraste regional (R6); no vota</t>
        </is>
      </c>
      <c r="T451" s="3" t="inlineStr">
        <is>
          <t>output/v8/F5/atribucion_combinada.csv</t>
        </is>
      </c>
      <c r="U451" s="2">
        <f>IF(R451=0,"",F451/R451)</f>
        <v/>
      </c>
      <c r="V451" s="2">
        <f>SUMIFS(F$2:F$1589,A$2:A$1589,A451,C$2:C$1589,C451,E$2:E$1589,E451,Q$2:Q$1589,Q451)</f>
        <v/>
      </c>
    </row>
    <row r="452">
      <c r="A452" s="3" t="inlineStr">
        <is>
          <t>alquiler</t>
        </is>
      </c>
      <c r="B452" s="3" t="inlineStr">
        <is>
          <t>ccaa:16</t>
        </is>
      </c>
      <c r="C452" s="3" t="inlineStr">
        <is>
          <t>P2</t>
        </is>
      </c>
      <c r="D452" s="3" t="inlineStr">
        <is>
          <t>factor_comun</t>
        </is>
      </c>
      <c r="E452" s="3" t="inlineStr">
        <is>
          <t>regional_ccaa_ols</t>
        </is>
      </c>
      <c r="F452" s="3" t="n">
        <v>-3.17635</v>
      </c>
      <c r="G452" s="3" t="n"/>
      <c r="H452" s="3" t="n"/>
      <c r="I452" s="3" t="n">
        <v>2.64158</v>
      </c>
      <c r="J452" s="3" t="n">
        <v>-6.29108</v>
      </c>
      <c r="K452" s="3" t="n">
        <v>1.00359</v>
      </c>
      <c r="L452" s="3" t="n">
        <v>-8.375489999999999</v>
      </c>
      <c r="M452" s="3" t="n">
        <v>4.44576</v>
      </c>
      <c r="N452" s="3" t="inlineStr">
        <is>
          <t>C4</t>
        </is>
      </c>
      <c r="O452" s="3" t="inlineStr">
        <is>
          <t>no</t>
        </is>
      </c>
      <c r="P452" s="3" t="inlineStr">
        <is>
          <t>no_compite</t>
        </is>
      </c>
      <c r="Q452" s="3" t="inlineStr">
        <is>
          <t>ols_solo_factor</t>
        </is>
      </c>
      <c r="R452" s="3" t="n"/>
      <c r="S452" s="3" t="inlineStr">
        <is>
          <t>contraste regional (R6); no vota</t>
        </is>
      </c>
      <c r="T452" s="3" t="inlineStr">
        <is>
          <t>output/v8/F5/atribucion_combinada.csv</t>
        </is>
      </c>
      <c r="U452" s="2">
        <f>IF(R452=0,"",F452/R452)</f>
        <v/>
      </c>
      <c r="V452" s="2">
        <f>SUMIFS(F$2:F$1589,A$2:A$1589,A452,C$2:C$1589,C452,E$2:E$1589,E452,Q$2:Q$1589,Q452)</f>
        <v/>
      </c>
    </row>
    <row r="453">
      <c r="A453" s="3" t="inlineStr">
        <is>
          <t>alquiler</t>
        </is>
      </c>
      <c r="B453" s="3" t="inlineStr">
        <is>
          <t>ccaa:16</t>
        </is>
      </c>
      <c r="C453" s="3" t="inlineStr">
        <is>
          <t>P2</t>
        </is>
      </c>
      <c r="D453" s="3" t="inlineStr">
        <is>
          <t>residuo</t>
        </is>
      </c>
      <c r="E453" s="3" t="inlineStr">
        <is>
          <t>regional_ccaa_ols</t>
        </is>
      </c>
      <c r="F453" s="3" t="n">
        <v>1.9739</v>
      </c>
      <c r="G453" s="3" t="n"/>
      <c r="H453" s="3" t="n"/>
      <c r="I453" s="3" t="n">
        <v>-1.64158</v>
      </c>
      <c r="J453" s="3" t="n"/>
      <c r="K453" s="3" t="n"/>
      <c r="L453" s="3" t="n"/>
      <c r="M453" s="3" t="n"/>
      <c r="N453" s="3" t="inlineStr">
        <is>
          <t>C4</t>
        </is>
      </c>
      <c r="O453" s="3" t="inlineStr">
        <is>
          <t>no</t>
        </is>
      </c>
      <c r="P453" s="3" t="inlineStr">
        <is>
          <t>no_compite</t>
        </is>
      </c>
      <c r="Q453" s="3" t="inlineStr">
        <is>
          <t>ols_solo_factor</t>
        </is>
      </c>
      <c r="R453" s="3" t="n"/>
      <c r="S453" s="3" t="inlineStr">
        <is>
          <t>contraste regional (R6); no vota</t>
        </is>
      </c>
      <c r="T453" s="3" t="inlineStr">
        <is>
          <t>output/v8/F5/atribucion_combinada.csv</t>
        </is>
      </c>
      <c r="U453" s="2">
        <f>IF(R453=0,"",F453/R453)</f>
        <v/>
      </c>
      <c r="V453" s="2">
        <f>SUMIFS(F$2:F$1589,A$2:A$1589,A453,C$2:C$1589,C453,E$2:E$1589,E453,Q$2:Q$1589,Q453)</f>
        <v/>
      </c>
    </row>
    <row r="454">
      <c r="A454" s="3" t="inlineStr">
        <is>
          <t>alquiler</t>
        </is>
      </c>
      <c r="B454" s="3" t="inlineStr">
        <is>
          <t>ccaa:17</t>
        </is>
      </c>
      <c r="C454" s="3" t="inlineStr">
        <is>
          <t>P2</t>
        </is>
      </c>
      <c r="D454" s="3" t="inlineStr">
        <is>
          <t>factor_comun</t>
        </is>
      </c>
      <c r="E454" s="3" t="inlineStr">
        <is>
          <t>regional_ccaa_ols</t>
        </is>
      </c>
      <c r="F454" s="3" t="n">
        <v>-3.89718</v>
      </c>
      <c r="G454" s="3" t="n"/>
      <c r="H454" s="3" t="n"/>
      <c r="I454" s="3" t="n">
        <v>0.623486</v>
      </c>
      <c r="J454" s="3" t="n">
        <v>-8.415889999999999</v>
      </c>
      <c r="K454" s="3" t="n">
        <v>0.643833</v>
      </c>
      <c r="L454" s="3" t="n">
        <v>-10.4073</v>
      </c>
      <c r="M454" s="3" t="n">
        <v>5.17483</v>
      </c>
      <c r="N454" s="3" t="inlineStr">
        <is>
          <t>C4</t>
        </is>
      </c>
      <c r="O454" s="3" t="inlineStr">
        <is>
          <t>no</t>
        </is>
      </c>
      <c r="P454" s="3" t="inlineStr">
        <is>
          <t>no_compite</t>
        </is>
      </c>
      <c r="Q454" s="3" t="inlineStr">
        <is>
          <t>ols_solo_factor</t>
        </is>
      </c>
      <c r="R454" s="3" t="n"/>
      <c r="S454" s="3" t="inlineStr">
        <is>
          <t>contraste regional (R6); no vota</t>
        </is>
      </c>
      <c r="T454" s="3" t="inlineStr">
        <is>
          <t>output/v8/F5/atribucion_combinada.csv</t>
        </is>
      </c>
      <c r="U454" s="2">
        <f>IF(R454=0,"",F454/R454)</f>
        <v/>
      </c>
      <c r="V454" s="2">
        <f>SUMIFS(F$2:F$1589,A$2:A$1589,A454,C$2:C$1589,C454,E$2:E$1589,E454,Q$2:Q$1589,Q454)</f>
        <v/>
      </c>
    </row>
    <row r="455">
      <c r="A455" s="3" t="inlineStr">
        <is>
          <t>alquiler</t>
        </is>
      </c>
      <c r="B455" s="3" t="inlineStr">
        <is>
          <t>ccaa:17</t>
        </is>
      </c>
      <c r="C455" s="3" t="inlineStr">
        <is>
          <t>P2</t>
        </is>
      </c>
      <c r="D455" s="3" t="inlineStr">
        <is>
          <t>residuo</t>
        </is>
      </c>
      <c r="E455" s="3" t="inlineStr">
        <is>
          <t>regional_ccaa_ols</t>
        </is>
      </c>
      <c r="F455" s="3" t="n">
        <v>-2.35345</v>
      </c>
      <c r="G455" s="3" t="n"/>
      <c r="H455" s="3" t="n"/>
      <c r="I455" s="3" t="n">
        <v>0.376514</v>
      </c>
      <c r="J455" s="3" t="n"/>
      <c r="K455" s="3" t="n"/>
      <c r="L455" s="3" t="n"/>
      <c r="M455" s="3" t="n"/>
      <c r="N455" s="3" t="inlineStr">
        <is>
          <t>C4</t>
        </is>
      </c>
      <c r="O455" s="3" t="inlineStr">
        <is>
          <t>no</t>
        </is>
      </c>
      <c r="P455" s="3" t="inlineStr">
        <is>
          <t>no_compite</t>
        </is>
      </c>
      <c r="Q455" s="3" t="inlineStr">
        <is>
          <t>ols_solo_factor</t>
        </is>
      </c>
      <c r="R455" s="3" t="n"/>
      <c r="S455" s="3" t="inlineStr">
        <is>
          <t>contraste regional (R6); no vota</t>
        </is>
      </c>
      <c r="T455" s="3" t="inlineStr">
        <is>
          <t>output/v8/F5/atribucion_combinada.csv</t>
        </is>
      </c>
      <c r="U455" s="2">
        <f>IF(R455=0,"",F455/R455)</f>
        <v/>
      </c>
      <c r="V455" s="2">
        <f>SUMIFS(F$2:F$1589,A$2:A$1589,A455,C$2:C$1589,C455,E$2:E$1589,E455,Q$2:Q$1589,Q455)</f>
        <v/>
      </c>
    </row>
    <row r="456">
      <c r="A456" s="3" t="inlineStr">
        <is>
          <t>alquiler</t>
        </is>
      </c>
      <c r="B456" s="3" t="inlineStr">
        <is>
          <t>ccaa:01</t>
        </is>
      </c>
      <c r="C456" s="3" t="inlineStr">
        <is>
          <t>P3</t>
        </is>
      </c>
      <c r="D456" s="3" t="inlineStr">
        <is>
          <t>factor_comun</t>
        </is>
      </c>
      <c r="E456" s="3" t="inlineStr">
        <is>
          <t>regional_ccaa_ols</t>
        </is>
      </c>
      <c r="F456" s="3" t="n">
        <v>-2.70797</v>
      </c>
      <c r="G456" s="3" t="n"/>
      <c r="H456" s="3" t="n"/>
      <c r="I456" s="3" t="n">
        <v>1.19626</v>
      </c>
      <c r="J456" s="3" t="n">
        <v>-4.18432</v>
      </c>
      <c r="K456" s="3" t="n">
        <v>-1.237</v>
      </c>
      <c r="L456" s="3" t="n">
        <v>-5.09181</v>
      </c>
      <c r="M456" s="3" t="n">
        <v>-0.512894</v>
      </c>
      <c r="N456" s="3" t="inlineStr">
        <is>
          <t>C4</t>
        </is>
      </c>
      <c r="O456" s="3" t="inlineStr">
        <is>
          <t>no</t>
        </is>
      </c>
      <c r="P456" s="3" t="inlineStr">
        <is>
          <t>no_compite</t>
        </is>
      </c>
      <c r="Q456" s="3" t="inlineStr">
        <is>
          <t>ols_solo_factor</t>
        </is>
      </c>
      <c r="R456" s="3" t="n"/>
      <c r="S456" s="3" t="inlineStr">
        <is>
          <t>contraste regional (R6); no vota</t>
        </is>
      </c>
      <c r="T456" s="3" t="inlineStr">
        <is>
          <t>output/v8/F5/atribucion_combinada.csv</t>
        </is>
      </c>
      <c r="U456" s="2">
        <f>IF(R456=0,"",F456/R456)</f>
        <v/>
      </c>
      <c r="V456" s="2">
        <f>SUMIFS(F$2:F$1589,A$2:A$1589,A456,C$2:C$1589,C456,E$2:E$1589,E456,Q$2:Q$1589,Q456)</f>
        <v/>
      </c>
    </row>
    <row r="457">
      <c r="A457" s="3" t="inlineStr">
        <is>
          <t>alquiler</t>
        </is>
      </c>
      <c r="B457" s="3" t="inlineStr">
        <is>
          <t>ccaa:01</t>
        </is>
      </c>
      <c r="C457" s="3" t="inlineStr">
        <is>
          <t>P3</t>
        </is>
      </c>
      <c r="D457" s="3" t="inlineStr">
        <is>
          <t>residuo</t>
        </is>
      </c>
      <c r="E457" s="3" t="inlineStr">
        <is>
          <t>regional_ccaa_ols</t>
        </is>
      </c>
      <c r="F457" s="3" t="n">
        <v>0.44428</v>
      </c>
      <c r="G457" s="3" t="n"/>
      <c r="H457" s="3" t="n"/>
      <c r="I457" s="3" t="n">
        <v>-0.196264</v>
      </c>
      <c r="J457" s="3" t="n"/>
      <c r="K457" s="3" t="n"/>
      <c r="L457" s="3" t="n"/>
      <c r="M457" s="3" t="n"/>
      <c r="N457" s="3" t="inlineStr">
        <is>
          <t>C4</t>
        </is>
      </c>
      <c r="O457" s="3" t="inlineStr">
        <is>
          <t>no</t>
        </is>
      </c>
      <c r="P457" s="3" t="inlineStr">
        <is>
          <t>no_compite</t>
        </is>
      </c>
      <c r="Q457" s="3" t="inlineStr">
        <is>
          <t>ols_solo_factor</t>
        </is>
      </c>
      <c r="R457" s="3" t="n"/>
      <c r="S457" s="3" t="inlineStr">
        <is>
          <t>contraste regional (R6); no vota</t>
        </is>
      </c>
      <c r="T457" s="3" t="inlineStr">
        <is>
          <t>output/v8/F5/atribucion_combinada.csv</t>
        </is>
      </c>
      <c r="U457" s="2">
        <f>IF(R457=0,"",F457/R457)</f>
        <v/>
      </c>
      <c r="V457" s="2">
        <f>SUMIFS(F$2:F$1589,A$2:A$1589,A457,C$2:C$1589,C457,E$2:E$1589,E457,Q$2:Q$1589,Q457)</f>
        <v/>
      </c>
    </row>
    <row r="458">
      <c r="A458" s="3" t="inlineStr">
        <is>
          <t>alquiler</t>
        </is>
      </c>
      <c r="B458" s="3" t="inlineStr">
        <is>
          <t>ccaa:02</t>
        </is>
      </c>
      <c r="C458" s="3" t="inlineStr">
        <is>
          <t>P3</t>
        </is>
      </c>
      <c r="D458" s="3" t="inlineStr">
        <is>
          <t>factor_comun</t>
        </is>
      </c>
      <c r="E458" s="3" t="inlineStr">
        <is>
          <t>regional_ccaa_ols</t>
        </is>
      </c>
      <c r="F458" s="3" t="n">
        <v>-2.31863</v>
      </c>
      <c r="G458" s="3" t="n"/>
      <c r="H458" s="3" t="n"/>
      <c r="I458" s="3" t="n">
        <v>1.17153</v>
      </c>
      <c r="J458" s="3" t="n">
        <v>-3.83477</v>
      </c>
      <c r="K458" s="3" t="n">
        <v>-0.793393</v>
      </c>
      <c r="L458" s="3" t="n">
        <v>-4.63833</v>
      </c>
      <c r="M458" s="3" t="n">
        <v>-0.032602</v>
      </c>
      <c r="N458" s="3" t="inlineStr">
        <is>
          <t>C4</t>
        </is>
      </c>
      <c r="O458" s="3" t="inlineStr">
        <is>
          <t>no</t>
        </is>
      </c>
      <c r="P458" s="3" t="inlineStr">
        <is>
          <t>no_compite</t>
        </is>
      </c>
      <c r="Q458" s="3" t="inlineStr">
        <is>
          <t>ols_solo_factor</t>
        </is>
      </c>
      <c r="R458" s="3" t="n"/>
      <c r="S458" s="3" t="inlineStr">
        <is>
          <t>contraste regional (R6); no vota</t>
        </is>
      </c>
      <c r="T458" s="3" t="inlineStr">
        <is>
          <t>output/v8/F5/atribucion_combinada.csv</t>
        </is>
      </c>
      <c r="U458" s="2">
        <f>IF(R458=0,"",F458/R458)</f>
        <v/>
      </c>
      <c r="V458" s="2">
        <f>SUMIFS(F$2:F$1589,A$2:A$1589,A458,C$2:C$1589,C458,E$2:E$1589,E458,Q$2:Q$1589,Q458)</f>
        <v/>
      </c>
    </row>
    <row r="459">
      <c r="A459" s="3" t="inlineStr">
        <is>
          <t>alquiler</t>
        </is>
      </c>
      <c r="B459" s="3" t="inlineStr">
        <is>
          <t>ccaa:02</t>
        </is>
      </c>
      <c r="C459" s="3" t="inlineStr">
        <is>
          <t>P3</t>
        </is>
      </c>
      <c r="D459" s="3" t="inlineStr">
        <is>
          <t>residuo</t>
        </is>
      </c>
      <c r="E459" s="3" t="inlineStr">
        <is>
          <t>regional_ccaa_ols</t>
        </is>
      </c>
      <c r="F459" s="3" t="n">
        <v>0.339491</v>
      </c>
      <c r="G459" s="3" t="n"/>
      <c r="H459" s="3" t="n"/>
      <c r="I459" s="3" t="n">
        <v>-0.171534</v>
      </c>
      <c r="J459" s="3" t="n"/>
      <c r="K459" s="3" t="n"/>
      <c r="L459" s="3" t="n"/>
      <c r="M459" s="3" t="n"/>
      <c r="N459" s="3" t="inlineStr">
        <is>
          <t>C4</t>
        </is>
      </c>
      <c r="O459" s="3" t="inlineStr">
        <is>
          <t>no</t>
        </is>
      </c>
      <c r="P459" s="3" t="inlineStr">
        <is>
          <t>no_compite</t>
        </is>
      </c>
      <c r="Q459" s="3" t="inlineStr">
        <is>
          <t>ols_solo_factor</t>
        </is>
      </c>
      <c r="R459" s="3" t="n"/>
      <c r="S459" s="3" t="inlineStr">
        <is>
          <t>contraste regional (R6); no vota</t>
        </is>
      </c>
      <c r="T459" s="3" t="inlineStr">
        <is>
          <t>output/v8/F5/atribucion_combinada.csv</t>
        </is>
      </c>
      <c r="U459" s="2">
        <f>IF(R459=0,"",F459/R459)</f>
        <v/>
      </c>
      <c r="V459" s="2">
        <f>SUMIFS(F$2:F$1589,A$2:A$1589,A459,C$2:C$1589,C459,E$2:E$1589,E459,Q$2:Q$1589,Q459)</f>
        <v/>
      </c>
    </row>
    <row r="460">
      <c r="A460" s="3" t="inlineStr">
        <is>
          <t>alquiler</t>
        </is>
      </c>
      <c r="B460" s="3" t="inlineStr">
        <is>
          <t>ccaa:03</t>
        </is>
      </c>
      <c r="C460" s="3" t="inlineStr">
        <is>
          <t>P3</t>
        </is>
      </c>
      <c r="D460" s="3" t="inlineStr">
        <is>
          <t>factor_comun</t>
        </is>
      </c>
      <c r="E460" s="3" t="inlineStr">
        <is>
          <t>regional_ccaa_ols</t>
        </is>
      </c>
      <c r="F460" s="3" t="n">
        <v>-1.97187</v>
      </c>
      <c r="G460" s="3" t="n"/>
      <c r="H460" s="3" t="n"/>
      <c r="I460" s="3" t="n">
        <v>1.40358</v>
      </c>
      <c r="J460" s="3" t="n">
        <v>-3.25937</v>
      </c>
      <c r="K460" s="3" t="n">
        <v>-0.599308</v>
      </c>
      <c r="L460" s="3" t="n">
        <v>-4.15452</v>
      </c>
      <c r="M460" s="3" t="n">
        <v>-0.0307884</v>
      </c>
      <c r="N460" s="3" t="inlineStr">
        <is>
          <t>C4</t>
        </is>
      </c>
      <c r="O460" s="3" t="inlineStr">
        <is>
          <t>no</t>
        </is>
      </c>
      <c r="P460" s="3" t="inlineStr">
        <is>
          <t>no_compite</t>
        </is>
      </c>
      <c r="Q460" s="3" t="inlineStr">
        <is>
          <t>ols_solo_factor</t>
        </is>
      </c>
      <c r="R460" s="3" t="n"/>
      <c r="S460" s="3" t="inlineStr">
        <is>
          <t>contraste regional (R6); no vota</t>
        </is>
      </c>
      <c r="T460" s="3" t="inlineStr">
        <is>
          <t>output/v8/F5/atribucion_combinada.csv</t>
        </is>
      </c>
      <c r="U460" s="2">
        <f>IF(R460=0,"",F460/R460)</f>
        <v/>
      </c>
      <c r="V460" s="2">
        <f>SUMIFS(F$2:F$1589,A$2:A$1589,A460,C$2:C$1589,C460,E$2:E$1589,E460,Q$2:Q$1589,Q460)</f>
        <v/>
      </c>
    </row>
    <row r="461">
      <c r="A461" s="3" t="inlineStr">
        <is>
          <t>alquiler</t>
        </is>
      </c>
      <c r="B461" s="3" t="inlineStr">
        <is>
          <t>ccaa:03</t>
        </is>
      </c>
      <c r="C461" s="3" t="inlineStr">
        <is>
          <t>P3</t>
        </is>
      </c>
      <c r="D461" s="3" t="inlineStr">
        <is>
          <t>residuo</t>
        </is>
      </c>
      <c r="E461" s="3" t="inlineStr">
        <is>
          <t>regional_ccaa_ols</t>
        </is>
      </c>
      <c r="F461" s="3" t="n">
        <v>0.566983</v>
      </c>
      <c r="G461" s="3" t="n"/>
      <c r="H461" s="3" t="n"/>
      <c r="I461" s="3" t="n">
        <v>-0.403579</v>
      </c>
      <c r="J461" s="3" t="n"/>
      <c r="K461" s="3" t="n"/>
      <c r="L461" s="3" t="n"/>
      <c r="M461" s="3" t="n"/>
      <c r="N461" s="3" t="inlineStr">
        <is>
          <t>C4</t>
        </is>
      </c>
      <c r="O461" s="3" t="inlineStr">
        <is>
          <t>no</t>
        </is>
      </c>
      <c r="P461" s="3" t="inlineStr">
        <is>
          <t>no_compite</t>
        </is>
      </c>
      <c r="Q461" s="3" t="inlineStr">
        <is>
          <t>ols_solo_factor</t>
        </is>
      </c>
      <c r="R461" s="3" t="n"/>
      <c r="S461" s="3" t="inlineStr">
        <is>
          <t>contraste regional (R6); no vota</t>
        </is>
      </c>
      <c r="T461" s="3" t="inlineStr">
        <is>
          <t>output/v8/F5/atribucion_combinada.csv</t>
        </is>
      </c>
      <c r="U461" s="2">
        <f>IF(R461=0,"",F461/R461)</f>
        <v/>
      </c>
      <c r="V461" s="2">
        <f>SUMIFS(F$2:F$1589,A$2:A$1589,A461,C$2:C$1589,C461,E$2:E$1589,E461,Q$2:Q$1589,Q461)</f>
        <v/>
      </c>
    </row>
    <row r="462">
      <c r="A462" s="3" t="inlineStr">
        <is>
          <t>alquiler</t>
        </is>
      </c>
      <c r="B462" s="3" t="inlineStr">
        <is>
          <t>ccaa:04</t>
        </is>
      </c>
      <c r="C462" s="3" t="inlineStr">
        <is>
          <t>P3</t>
        </is>
      </c>
      <c r="D462" s="3" t="inlineStr">
        <is>
          <t>factor_comun</t>
        </is>
      </c>
      <c r="E462" s="3" t="inlineStr">
        <is>
          <t>regional_ccaa_ols</t>
        </is>
      </c>
      <c r="F462" s="3" t="n">
        <v>-2.18504</v>
      </c>
      <c r="G462" s="3" t="n"/>
      <c r="H462" s="3" t="n"/>
      <c r="I462" s="3" t="n">
        <v>-1.09446</v>
      </c>
      <c r="J462" s="3" t="n">
        <v>-3.84479</v>
      </c>
      <c r="K462" s="3" t="n">
        <v>-0.681966</v>
      </c>
      <c r="L462" s="3" t="n">
        <v>-5.07623</v>
      </c>
      <c r="M462" s="3" t="n">
        <v>-0.294065</v>
      </c>
      <c r="N462" s="3" t="inlineStr">
        <is>
          <t>C4</t>
        </is>
      </c>
      <c r="O462" s="3" t="inlineStr">
        <is>
          <t>no</t>
        </is>
      </c>
      <c r="P462" s="3" t="inlineStr">
        <is>
          <t>no_compite</t>
        </is>
      </c>
      <c r="Q462" s="3" t="inlineStr">
        <is>
          <t>ols_solo_factor</t>
        </is>
      </c>
      <c r="R462" s="3" t="n"/>
      <c r="S462" s="3" t="inlineStr">
        <is>
          <t>contraste regional (R6); no vota</t>
        </is>
      </c>
      <c r="T462" s="3" t="inlineStr">
        <is>
          <t>output/v8/F5/atribucion_combinada.csv</t>
        </is>
      </c>
      <c r="U462" s="2">
        <f>IF(R462=0,"",F462/R462)</f>
        <v/>
      </c>
      <c r="V462" s="2">
        <f>SUMIFS(F$2:F$1589,A$2:A$1589,A462,C$2:C$1589,C462,E$2:E$1589,E462,Q$2:Q$1589,Q462)</f>
        <v/>
      </c>
    </row>
    <row r="463">
      <c r="A463" s="3" t="inlineStr">
        <is>
          <t>alquiler</t>
        </is>
      </c>
      <c r="B463" s="3" t="inlineStr">
        <is>
          <t>ccaa:04</t>
        </is>
      </c>
      <c r="C463" s="3" t="inlineStr">
        <is>
          <t>P3</t>
        </is>
      </c>
      <c r="D463" s="3" t="inlineStr">
        <is>
          <t>residuo</t>
        </is>
      </c>
      <c r="E463" s="3" t="inlineStr">
        <is>
          <t>regional_ccaa_ols</t>
        </is>
      </c>
      <c r="F463" s="3" t="n">
        <v>4.1815</v>
      </c>
      <c r="G463" s="3" t="n"/>
      <c r="H463" s="3" t="n"/>
      <c r="I463" s="3" t="n">
        <v>2.09446</v>
      </c>
      <c r="J463" s="3" t="n"/>
      <c r="K463" s="3" t="n"/>
      <c r="L463" s="3" t="n"/>
      <c r="M463" s="3" t="n"/>
      <c r="N463" s="3" t="inlineStr">
        <is>
          <t>C4</t>
        </is>
      </c>
      <c r="O463" s="3" t="inlineStr">
        <is>
          <t>no</t>
        </is>
      </c>
      <c r="P463" s="3" t="inlineStr">
        <is>
          <t>no_compite</t>
        </is>
      </c>
      <c r="Q463" s="3" t="inlineStr">
        <is>
          <t>ols_solo_factor</t>
        </is>
      </c>
      <c r="R463" s="3" t="n"/>
      <c r="S463" s="3" t="inlineStr">
        <is>
          <t>contraste regional (R6); no vota</t>
        </is>
      </c>
      <c r="T463" s="3" t="inlineStr">
        <is>
          <t>output/v8/F5/atribucion_combinada.csv</t>
        </is>
      </c>
      <c r="U463" s="2">
        <f>IF(R463=0,"",F463/R463)</f>
        <v/>
      </c>
      <c r="V463" s="2">
        <f>SUMIFS(F$2:F$1589,A$2:A$1589,A463,C$2:C$1589,C463,E$2:E$1589,E463,Q$2:Q$1589,Q463)</f>
        <v/>
      </c>
    </row>
    <row r="464">
      <c r="A464" s="3" t="inlineStr">
        <is>
          <t>alquiler</t>
        </is>
      </c>
      <c r="B464" s="3" t="inlineStr">
        <is>
          <t>ccaa:05</t>
        </is>
      </c>
      <c r="C464" s="3" t="inlineStr">
        <is>
          <t>P3</t>
        </is>
      </c>
      <c r="D464" s="3" t="inlineStr">
        <is>
          <t>factor_comun</t>
        </is>
      </c>
      <c r="E464" s="3" t="inlineStr">
        <is>
          <t>regional_ccaa_ols</t>
        </is>
      </c>
      <c r="F464" s="3" t="n">
        <v>-2.21071</v>
      </c>
      <c r="G464" s="3" t="n"/>
      <c r="H464" s="3" t="n"/>
      <c r="I464" s="3" t="n">
        <v>1.41285</v>
      </c>
      <c r="J464" s="3" t="n">
        <v>-3.5398</v>
      </c>
      <c r="K464" s="3" t="n">
        <v>-1.14171</v>
      </c>
      <c r="L464" s="3" t="n">
        <v>-4.49323</v>
      </c>
      <c r="M464" s="3" t="n">
        <v>-0.216423</v>
      </c>
      <c r="N464" s="3" t="inlineStr">
        <is>
          <t>C4</t>
        </is>
      </c>
      <c r="O464" s="3" t="inlineStr">
        <is>
          <t>no</t>
        </is>
      </c>
      <c r="P464" s="3" t="inlineStr">
        <is>
          <t>no_compite</t>
        </is>
      </c>
      <c r="Q464" s="3" t="inlineStr">
        <is>
          <t>ols_solo_factor</t>
        </is>
      </c>
      <c r="R464" s="3" t="n"/>
      <c r="S464" s="3" t="inlineStr">
        <is>
          <t>contraste regional (R6); no vota</t>
        </is>
      </c>
      <c r="T464" s="3" t="inlineStr">
        <is>
          <t>output/v8/F5/atribucion_combinada.csv</t>
        </is>
      </c>
      <c r="U464" s="2">
        <f>IF(R464=0,"",F464/R464)</f>
        <v/>
      </c>
      <c r="V464" s="2">
        <f>SUMIFS(F$2:F$1589,A$2:A$1589,A464,C$2:C$1589,C464,E$2:E$1589,E464,Q$2:Q$1589,Q464)</f>
        <v/>
      </c>
    </row>
    <row r="465">
      <c r="A465" s="3" t="inlineStr">
        <is>
          <t>alquiler</t>
        </is>
      </c>
      <c r="B465" s="3" t="inlineStr">
        <is>
          <t>ccaa:05</t>
        </is>
      </c>
      <c r="C465" s="3" t="inlineStr">
        <is>
          <t>P3</t>
        </is>
      </c>
      <c r="D465" s="3" t="inlineStr">
        <is>
          <t>residuo</t>
        </is>
      </c>
      <c r="E465" s="3" t="inlineStr">
        <is>
          <t>regional_ccaa_ols</t>
        </is>
      </c>
      <c r="F465" s="3" t="n">
        <v>0.645998</v>
      </c>
      <c r="G465" s="3" t="n"/>
      <c r="H465" s="3" t="n"/>
      <c r="I465" s="3" t="n">
        <v>-0.412853</v>
      </c>
      <c r="J465" s="3" t="n"/>
      <c r="K465" s="3" t="n"/>
      <c r="L465" s="3" t="n"/>
      <c r="M465" s="3" t="n"/>
      <c r="N465" s="3" t="inlineStr">
        <is>
          <t>C4</t>
        </is>
      </c>
      <c r="O465" s="3" t="inlineStr">
        <is>
          <t>no</t>
        </is>
      </c>
      <c r="P465" s="3" t="inlineStr">
        <is>
          <t>no_compite</t>
        </is>
      </c>
      <c r="Q465" s="3" t="inlineStr">
        <is>
          <t>ols_solo_factor</t>
        </is>
      </c>
      <c r="R465" s="3" t="n"/>
      <c r="S465" s="3" t="inlineStr">
        <is>
          <t>contraste regional (R6); no vota</t>
        </is>
      </c>
      <c r="T465" s="3" t="inlineStr">
        <is>
          <t>output/v8/F5/atribucion_combinada.csv</t>
        </is>
      </c>
      <c r="U465" s="2">
        <f>IF(R465=0,"",F465/R465)</f>
        <v/>
      </c>
      <c r="V465" s="2">
        <f>SUMIFS(F$2:F$1589,A$2:A$1589,A465,C$2:C$1589,C465,E$2:E$1589,E465,Q$2:Q$1589,Q465)</f>
        <v/>
      </c>
    </row>
    <row r="466">
      <c r="A466" s="3" t="inlineStr">
        <is>
          <t>alquiler</t>
        </is>
      </c>
      <c r="B466" s="3" t="inlineStr">
        <is>
          <t>ccaa:06</t>
        </is>
      </c>
      <c r="C466" s="3" t="inlineStr">
        <is>
          <t>P3</t>
        </is>
      </c>
      <c r="D466" s="3" t="inlineStr">
        <is>
          <t>factor_comun</t>
        </is>
      </c>
      <c r="E466" s="3" t="inlineStr">
        <is>
          <t>regional_ccaa_ols</t>
        </is>
      </c>
      <c r="F466" s="3" t="n">
        <v>-2.88582</v>
      </c>
      <c r="G466" s="3" t="n"/>
      <c r="H466" s="3" t="n"/>
      <c r="I466" s="3" t="n">
        <v>1.22842</v>
      </c>
      <c r="J466" s="3" t="n">
        <v>-4.61833</v>
      </c>
      <c r="K466" s="3" t="n">
        <v>-1.35945</v>
      </c>
      <c r="L466" s="3" t="n">
        <v>-5.85574</v>
      </c>
      <c r="M466" s="3" t="n">
        <v>-0.412569</v>
      </c>
      <c r="N466" s="3" t="inlineStr">
        <is>
          <t>C4</t>
        </is>
      </c>
      <c r="O466" s="3" t="inlineStr">
        <is>
          <t>no</t>
        </is>
      </c>
      <c r="P466" s="3" t="inlineStr">
        <is>
          <t>no_compite</t>
        </is>
      </c>
      <c r="Q466" s="3" t="inlineStr">
        <is>
          <t>ols_solo_factor</t>
        </is>
      </c>
      <c r="R466" s="3" t="n"/>
      <c r="S466" s="3" t="inlineStr">
        <is>
          <t>contraste regional (R6); no vota</t>
        </is>
      </c>
      <c r="T466" s="3" t="inlineStr">
        <is>
          <t>output/v8/F5/atribucion_combinada.csv</t>
        </is>
      </c>
      <c r="U466" s="2">
        <f>IF(R466=0,"",F466/R466)</f>
        <v/>
      </c>
      <c r="V466" s="2">
        <f>SUMIFS(F$2:F$1589,A$2:A$1589,A466,C$2:C$1589,C466,E$2:E$1589,E466,Q$2:Q$1589,Q466)</f>
        <v/>
      </c>
    </row>
    <row r="467">
      <c r="A467" s="3" t="inlineStr">
        <is>
          <t>alquiler</t>
        </is>
      </c>
      <c r="B467" s="3" t="inlineStr">
        <is>
          <t>ccaa:06</t>
        </is>
      </c>
      <c r="C467" s="3" t="inlineStr">
        <is>
          <t>P3</t>
        </is>
      </c>
      <c r="D467" s="3" t="inlineStr">
        <is>
          <t>residuo</t>
        </is>
      </c>
      <c r="E467" s="3" t="inlineStr">
        <is>
          <t>regional_ccaa_ols</t>
        </is>
      </c>
      <c r="F467" s="3" t="n">
        <v>0.536613</v>
      </c>
      <c r="G467" s="3" t="n"/>
      <c r="H467" s="3" t="n"/>
      <c r="I467" s="3" t="n">
        <v>-0.228423</v>
      </c>
      <c r="J467" s="3" t="n"/>
      <c r="K467" s="3" t="n"/>
      <c r="L467" s="3" t="n"/>
      <c r="M467" s="3" t="n"/>
      <c r="N467" s="3" t="inlineStr">
        <is>
          <t>C4</t>
        </is>
      </c>
      <c r="O467" s="3" t="inlineStr">
        <is>
          <t>no</t>
        </is>
      </c>
      <c r="P467" s="3" t="inlineStr">
        <is>
          <t>no_compite</t>
        </is>
      </c>
      <c r="Q467" s="3" t="inlineStr">
        <is>
          <t>ols_solo_factor</t>
        </is>
      </c>
      <c r="R467" s="3" t="n"/>
      <c r="S467" s="3" t="inlineStr">
        <is>
          <t>contraste regional (R6); no vota</t>
        </is>
      </c>
      <c r="T467" s="3" t="inlineStr">
        <is>
          <t>output/v8/F5/atribucion_combinada.csv</t>
        </is>
      </c>
      <c r="U467" s="2">
        <f>IF(R467=0,"",F467/R467)</f>
        <v/>
      </c>
      <c r="V467" s="2">
        <f>SUMIFS(F$2:F$1589,A$2:A$1589,A467,C$2:C$1589,C467,E$2:E$1589,E467,Q$2:Q$1589,Q467)</f>
        <v/>
      </c>
    </row>
    <row r="468">
      <c r="A468" s="3" t="inlineStr">
        <is>
          <t>alquiler</t>
        </is>
      </c>
      <c r="B468" s="3" t="inlineStr">
        <is>
          <t>ccaa:07</t>
        </is>
      </c>
      <c r="C468" s="3" t="inlineStr">
        <is>
          <t>P3</t>
        </is>
      </c>
      <c r="D468" s="3" t="inlineStr">
        <is>
          <t>factor_comun</t>
        </is>
      </c>
      <c r="E468" s="3" t="inlineStr">
        <is>
          <t>regional_ccaa_ols</t>
        </is>
      </c>
      <c r="F468" s="3" t="n">
        <v>-2.21459</v>
      </c>
      <c r="G468" s="3" t="n"/>
      <c r="H468" s="3" t="n"/>
      <c r="I468" s="3" t="n">
        <v>0.773441</v>
      </c>
      <c r="J468" s="3" t="n">
        <v>-3.84331</v>
      </c>
      <c r="K468" s="3" t="n">
        <v>-1.04947</v>
      </c>
      <c r="L468" s="3" t="n">
        <v>-4.83182</v>
      </c>
      <c r="M468" s="3" t="n">
        <v>-0.22272</v>
      </c>
      <c r="N468" s="3" t="inlineStr">
        <is>
          <t>C4</t>
        </is>
      </c>
      <c r="O468" s="3" t="inlineStr">
        <is>
          <t>no</t>
        </is>
      </c>
      <c r="P468" s="3" t="inlineStr">
        <is>
          <t>no_compite</t>
        </is>
      </c>
      <c r="Q468" s="3" t="inlineStr">
        <is>
          <t>ols_solo_factor</t>
        </is>
      </c>
      <c r="R468" s="3" t="n"/>
      <c r="S468" s="3" t="inlineStr">
        <is>
          <t>contraste regional (R6); no vota</t>
        </is>
      </c>
      <c r="T468" s="3" t="inlineStr">
        <is>
          <t>output/v8/F5/atribucion_combinada.csv</t>
        </is>
      </c>
      <c r="U468" s="2">
        <f>IF(R468=0,"",F468/R468)</f>
        <v/>
      </c>
      <c r="V468" s="2">
        <f>SUMIFS(F$2:F$1589,A$2:A$1589,A468,C$2:C$1589,C468,E$2:E$1589,E468,Q$2:Q$1589,Q468)</f>
        <v/>
      </c>
    </row>
    <row r="469">
      <c r="A469" s="3" t="inlineStr">
        <is>
          <t>alquiler</t>
        </is>
      </c>
      <c r="B469" s="3" t="inlineStr">
        <is>
          <t>ccaa:07</t>
        </is>
      </c>
      <c r="C469" s="3" t="inlineStr">
        <is>
          <t>P3</t>
        </is>
      </c>
      <c r="D469" s="3" t="inlineStr">
        <is>
          <t>residuo</t>
        </is>
      </c>
      <c r="E469" s="3" t="inlineStr">
        <is>
          <t>regional_ccaa_ols</t>
        </is>
      </c>
      <c r="F469" s="3" t="n">
        <v>-0.648705</v>
      </c>
      <c r="G469" s="3" t="n"/>
      <c r="H469" s="3" t="n"/>
      <c r="I469" s="3" t="n">
        <v>0.226559</v>
      </c>
      <c r="J469" s="3" t="n"/>
      <c r="K469" s="3" t="n"/>
      <c r="L469" s="3" t="n"/>
      <c r="M469" s="3" t="n"/>
      <c r="N469" s="3" t="inlineStr">
        <is>
          <t>C4</t>
        </is>
      </c>
      <c r="O469" s="3" t="inlineStr">
        <is>
          <t>no</t>
        </is>
      </c>
      <c r="P469" s="3" t="inlineStr">
        <is>
          <t>no_compite</t>
        </is>
      </c>
      <c r="Q469" s="3" t="inlineStr">
        <is>
          <t>ols_solo_factor</t>
        </is>
      </c>
      <c r="R469" s="3" t="n"/>
      <c r="S469" s="3" t="inlineStr">
        <is>
          <t>contraste regional (R6); no vota</t>
        </is>
      </c>
      <c r="T469" s="3" t="inlineStr">
        <is>
          <t>output/v8/F5/atribucion_combinada.csv</t>
        </is>
      </c>
      <c r="U469" s="2">
        <f>IF(R469=0,"",F469/R469)</f>
        <v/>
      </c>
      <c r="V469" s="2">
        <f>SUMIFS(F$2:F$1589,A$2:A$1589,A469,C$2:C$1589,C469,E$2:E$1589,E469,Q$2:Q$1589,Q469)</f>
        <v/>
      </c>
    </row>
    <row r="470">
      <c r="A470" s="3" t="inlineStr">
        <is>
          <t>alquiler</t>
        </is>
      </c>
      <c r="B470" s="3" t="inlineStr">
        <is>
          <t>ccaa:08</t>
        </is>
      </c>
      <c r="C470" s="3" t="inlineStr">
        <is>
          <t>P3</t>
        </is>
      </c>
      <c r="D470" s="3" t="inlineStr">
        <is>
          <t>factor_comun</t>
        </is>
      </c>
      <c r="E470" s="3" t="inlineStr">
        <is>
          <t>regional_ccaa_ols</t>
        </is>
      </c>
      <c r="F470" s="3" t="n">
        <v>-2.35313</v>
      </c>
      <c r="G470" s="3" t="n"/>
      <c r="H470" s="3" t="n"/>
      <c r="I470" s="3" t="n">
        <v>0.600585</v>
      </c>
      <c r="J470" s="3" t="n">
        <v>-3.62964</v>
      </c>
      <c r="K470" s="3" t="n">
        <v>-0.946906</v>
      </c>
      <c r="L470" s="3" t="n">
        <v>-4.95366</v>
      </c>
      <c r="M470" s="3" t="n">
        <v>-0.209326</v>
      </c>
      <c r="N470" s="3" t="inlineStr">
        <is>
          <t>C4</t>
        </is>
      </c>
      <c r="O470" s="3" t="inlineStr">
        <is>
          <t>no</t>
        </is>
      </c>
      <c r="P470" s="3" t="inlineStr">
        <is>
          <t>no_compite</t>
        </is>
      </c>
      <c r="Q470" s="3" t="inlineStr">
        <is>
          <t>ols_solo_factor</t>
        </is>
      </c>
      <c r="R470" s="3" t="n"/>
      <c r="S470" s="3" t="inlineStr">
        <is>
          <t>contraste regional (R6); no vota</t>
        </is>
      </c>
      <c r="T470" s="3" t="inlineStr">
        <is>
          <t>output/v8/F5/atribucion_combinada.csv</t>
        </is>
      </c>
      <c r="U470" s="2">
        <f>IF(R470=0,"",F470/R470)</f>
        <v/>
      </c>
      <c r="V470" s="2">
        <f>SUMIFS(F$2:F$1589,A$2:A$1589,A470,C$2:C$1589,C470,E$2:E$1589,E470,Q$2:Q$1589,Q470)</f>
        <v/>
      </c>
    </row>
    <row r="471">
      <c r="A471" s="3" t="inlineStr">
        <is>
          <t>alquiler</t>
        </is>
      </c>
      <c r="B471" s="3" t="inlineStr">
        <is>
          <t>ccaa:08</t>
        </is>
      </c>
      <c r="C471" s="3" t="inlineStr">
        <is>
          <t>P3</t>
        </is>
      </c>
      <c r="D471" s="3" t="inlineStr">
        <is>
          <t>residuo</t>
        </is>
      </c>
      <c r="E471" s="3" t="inlineStr">
        <is>
          <t>regional_ccaa_ols</t>
        </is>
      </c>
      <c r="F471" s="3" t="n">
        <v>-1.56494</v>
      </c>
      <c r="G471" s="3" t="n"/>
      <c r="H471" s="3" t="n"/>
      <c r="I471" s="3" t="n">
        <v>0.399415</v>
      </c>
      <c r="J471" s="3" t="n"/>
      <c r="K471" s="3" t="n"/>
      <c r="L471" s="3" t="n"/>
      <c r="M471" s="3" t="n"/>
      <c r="N471" s="3" t="inlineStr">
        <is>
          <t>C4</t>
        </is>
      </c>
      <c r="O471" s="3" t="inlineStr">
        <is>
          <t>no</t>
        </is>
      </c>
      <c r="P471" s="3" t="inlineStr">
        <is>
          <t>no_compite</t>
        </is>
      </c>
      <c r="Q471" s="3" t="inlineStr">
        <is>
          <t>ols_solo_factor</t>
        </is>
      </c>
      <c r="R471" s="3" t="n"/>
      <c r="S471" s="3" t="inlineStr">
        <is>
          <t>contraste regional (R6); no vota</t>
        </is>
      </c>
      <c r="T471" s="3" t="inlineStr">
        <is>
          <t>output/v8/F5/atribucion_combinada.csv</t>
        </is>
      </c>
      <c r="U471" s="2">
        <f>IF(R471=0,"",F471/R471)</f>
        <v/>
      </c>
      <c r="V471" s="2">
        <f>SUMIFS(F$2:F$1589,A$2:A$1589,A471,C$2:C$1589,C471,E$2:E$1589,E471,Q$2:Q$1589,Q471)</f>
        <v/>
      </c>
    </row>
    <row r="472">
      <c r="A472" s="3" t="inlineStr">
        <is>
          <t>alquiler</t>
        </is>
      </c>
      <c r="B472" s="3" t="inlineStr">
        <is>
          <t>ccaa:09</t>
        </is>
      </c>
      <c r="C472" s="3" t="inlineStr">
        <is>
          <t>P3</t>
        </is>
      </c>
      <c r="D472" s="3" t="inlineStr">
        <is>
          <t>factor_comun</t>
        </is>
      </c>
      <c r="E472" s="3" t="inlineStr">
        <is>
          <t>regional_ccaa_ols</t>
        </is>
      </c>
      <c r="F472" s="3" t="n">
        <v>-2.55884</v>
      </c>
      <c r="G472" s="3" t="n"/>
      <c r="H472" s="3" t="n"/>
      <c r="I472" s="3" t="n">
        <v>-6.26416</v>
      </c>
      <c r="J472" s="3" t="n">
        <v>-4.1963</v>
      </c>
      <c r="K472" s="3" t="n">
        <v>-1.05193</v>
      </c>
      <c r="L472" s="3" t="n">
        <v>-5.22036</v>
      </c>
      <c r="M472" s="3" t="n">
        <v>-0.35092</v>
      </c>
      <c r="N472" s="3" t="inlineStr">
        <is>
          <t>C4</t>
        </is>
      </c>
      <c r="O472" s="3" t="inlineStr">
        <is>
          <t>no</t>
        </is>
      </c>
      <c r="P472" s="3" t="inlineStr">
        <is>
          <t>no_compite</t>
        </is>
      </c>
      <c r="Q472" s="3" t="inlineStr">
        <is>
          <t>ols_solo_factor</t>
        </is>
      </c>
      <c r="R472" s="3" t="n"/>
      <c r="S472" s="3" t="inlineStr">
        <is>
          <t>contraste regional (R6); no vota</t>
        </is>
      </c>
      <c r="T472" s="3" t="inlineStr">
        <is>
          <t>output/v8/F5/atribucion_combinada.csv</t>
        </is>
      </c>
      <c r="U472" s="2">
        <f>IF(R472=0,"",F472/R472)</f>
        <v/>
      </c>
      <c r="V472" s="2">
        <f>SUMIFS(F$2:F$1589,A$2:A$1589,A472,C$2:C$1589,C472,E$2:E$1589,E472,Q$2:Q$1589,Q472)</f>
        <v/>
      </c>
    </row>
    <row r="473">
      <c r="A473" s="3" t="inlineStr">
        <is>
          <t>alquiler</t>
        </is>
      </c>
      <c r="B473" s="3" t="inlineStr">
        <is>
          <t>ccaa:09</t>
        </is>
      </c>
      <c r="C473" s="3" t="inlineStr">
        <is>
          <t>P3</t>
        </is>
      </c>
      <c r="D473" s="3" t="inlineStr">
        <is>
          <t>residuo</t>
        </is>
      </c>
      <c r="E473" s="3" t="inlineStr">
        <is>
          <t>regional_ccaa_ols</t>
        </is>
      </c>
      <c r="F473" s="3" t="n">
        <v>2.96733</v>
      </c>
      <c r="G473" s="3" t="n"/>
      <c r="H473" s="3" t="n"/>
      <c r="I473" s="3" t="n">
        <v>7.26416</v>
      </c>
      <c r="J473" s="3" t="n"/>
      <c r="K473" s="3" t="n"/>
      <c r="L473" s="3" t="n"/>
      <c r="M473" s="3" t="n"/>
      <c r="N473" s="3" t="inlineStr">
        <is>
          <t>C4</t>
        </is>
      </c>
      <c r="O473" s="3" t="inlineStr">
        <is>
          <t>no</t>
        </is>
      </c>
      <c r="P473" s="3" t="inlineStr">
        <is>
          <t>no_compite</t>
        </is>
      </c>
      <c r="Q473" s="3" t="inlineStr">
        <is>
          <t>ols_solo_factor</t>
        </is>
      </c>
      <c r="R473" s="3" t="n"/>
      <c r="S473" s="3" t="inlineStr">
        <is>
          <t>contraste regional (R6); no vota</t>
        </is>
      </c>
      <c r="T473" s="3" t="inlineStr">
        <is>
          <t>output/v8/F5/atribucion_combinada.csv</t>
        </is>
      </c>
      <c r="U473" s="2">
        <f>IF(R473=0,"",F473/R473)</f>
        <v/>
      </c>
      <c r="V473" s="2">
        <f>SUMIFS(F$2:F$1589,A$2:A$1589,A473,C$2:C$1589,C473,E$2:E$1589,E473,Q$2:Q$1589,Q473)</f>
        <v/>
      </c>
    </row>
    <row r="474">
      <c r="A474" s="3" t="inlineStr">
        <is>
          <t>alquiler</t>
        </is>
      </c>
      <c r="B474" s="3" t="inlineStr">
        <is>
          <t>ccaa:10</t>
        </is>
      </c>
      <c r="C474" s="3" t="inlineStr">
        <is>
          <t>P3</t>
        </is>
      </c>
      <c r="D474" s="3" t="inlineStr">
        <is>
          <t>factor_comun</t>
        </is>
      </c>
      <c r="E474" s="3" t="inlineStr">
        <is>
          <t>regional_ccaa_ols</t>
        </is>
      </c>
      <c r="F474" s="3" t="n">
        <v>-2.52476</v>
      </c>
      <c r="G474" s="3" t="n"/>
      <c r="H474" s="3" t="n"/>
      <c r="I474" s="3" t="n">
        <v>1.22196</v>
      </c>
      <c r="J474" s="3" t="n">
        <v>-3.55052</v>
      </c>
      <c r="K474" s="3" t="n">
        <v>-1.17386</v>
      </c>
      <c r="L474" s="3" t="n">
        <v>-4.76253</v>
      </c>
      <c r="M474" s="3" t="n">
        <v>-0.305565</v>
      </c>
      <c r="N474" s="3" t="inlineStr">
        <is>
          <t>C4</t>
        </is>
      </c>
      <c r="O474" s="3" t="inlineStr">
        <is>
          <t>no</t>
        </is>
      </c>
      <c r="P474" s="3" t="inlineStr">
        <is>
          <t>no_compite</t>
        </is>
      </c>
      <c r="Q474" s="3" t="inlineStr">
        <is>
          <t>ols_solo_factor</t>
        </is>
      </c>
      <c r="R474" s="3" t="n"/>
      <c r="S474" s="3" t="inlineStr">
        <is>
          <t>contraste regional (R6); no vota</t>
        </is>
      </c>
      <c r="T474" s="3" t="inlineStr">
        <is>
          <t>output/v8/F5/atribucion_combinada.csv</t>
        </is>
      </c>
      <c r="U474" s="2">
        <f>IF(R474=0,"",F474/R474)</f>
        <v/>
      </c>
      <c r="V474" s="2">
        <f>SUMIFS(F$2:F$1589,A$2:A$1589,A474,C$2:C$1589,C474,E$2:E$1589,E474,Q$2:Q$1589,Q474)</f>
        <v/>
      </c>
    </row>
    <row r="475">
      <c r="A475" s="3" t="inlineStr">
        <is>
          <t>alquiler</t>
        </is>
      </c>
      <c r="B475" s="3" t="inlineStr">
        <is>
          <t>ccaa:10</t>
        </is>
      </c>
      <c r="C475" s="3" t="inlineStr">
        <is>
          <t>P3</t>
        </is>
      </c>
      <c r="D475" s="3" t="inlineStr">
        <is>
          <t>residuo</t>
        </is>
      </c>
      <c r="E475" s="3" t="inlineStr">
        <is>
          <t>regional_ccaa_ols</t>
        </is>
      </c>
      <c r="F475" s="3" t="n">
        <v>0.458606</v>
      </c>
      <c r="G475" s="3" t="n"/>
      <c r="H475" s="3" t="n"/>
      <c r="I475" s="3" t="n">
        <v>-0.221961</v>
      </c>
      <c r="J475" s="3" t="n"/>
      <c r="K475" s="3" t="n"/>
      <c r="L475" s="3" t="n"/>
      <c r="M475" s="3" t="n"/>
      <c r="N475" s="3" t="inlineStr">
        <is>
          <t>C4</t>
        </is>
      </c>
      <c r="O475" s="3" t="inlineStr">
        <is>
          <t>no</t>
        </is>
      </c>
      <c r="P475" s="3" t="inlineStr">
        <is>
          <t>no_compite</t>
        </is>
      </c>
      <c r="Q475" s="3" t="inlineStr">
        <is>
          <t>ols_solo_factor</t>
        </is>
      </c>
      <c r="R475" s="3" t="n"/>
      <c r="S475" s="3" t="inlineStr">
        <is>
          <t>contraste regional (R6); no vota</t>
        </is>
      </c>
      <c r="T475" s="3" t="inlineStr">
        <is>
          <t>output/v8/F5/atribucion_combinada.csv</t>
        </is>
      </c>
      <c r="U475" s="2">
        <f>IF(R475=0,"",F475/R475)</f>
        <v/>
      </c>
      <c r="V475" s="2">
        <f>SUMIFS(F$2:F$1589,A$2:A$1589,A475,C$2:C$1589,C475,E$2:E$1589,E475,Q$2:Q$1589,Q475)</f>
        <v/>
      </c>
    </row>
    <row r="476">
      <c r="A476" s="3" t="inlineStr">
        <is>
          <t>alquiler</t>
        </is>
      </c>
      <c r="B476" s="3" t="inlineStr">
        <is>
          <t>ccaa:11</t>
        </is>
      </c>
      <c r="C476" s="3" t="inlineStr">
        <is>
          <t>P3</t>
        </is>
      </c>
      <c r="D476" s="3" t="inlineStr">
        <is>
          <t>factor_comun</t>
        </is>
      </c>
      <c r="E476" s="3" t="inlineStr">
        <is>
          <t>regional_ccaa_ols</t>
        </is>
      </c>
      <c r="F476" s="3" t="n">
        <v>-1.52665</v>
      </c>
      <c r="G476" s="3" t="n"/>
      <c r="H476" s="3" t="n"/>
      <c r="I476" s="3" t="n">
        <v>0.346506</v>
      </c>
      <c r="J476" s="3" t="n">
        <v>-2.48281</v>
      </c>
      <c r="K476" s="3" t="n">
        <v>-0.637222</v>
      </c>
      <c r="L476" s="3" t="n">
        <v>-3.18057</v>
      </c>
      <c r="M476" s="3" t="n">
        <v>-0.139217</v>
      </c>
      <c r="N476" s="3" t="inlineStr">
        <is>
          <t>C4</t>
        </is>
      </c>
      <c r="O476" s="3" t="inlineStr">
        <is>
          <t>no</t>
        </is>
      </c>
      <c r="P476" s="3" t="inlineStr">
        <is>
          <t>no_compite</t>
        </is>
      </c>
      <c r="Q476" s="3" t="inlineStr">
        <is>
          <t>ols_solo_factor</t>
        </is>
      </c>
      <c r="R476" s="3" t="n"/>
      <c r="S476" s="3" t="inlineStr">
        <is>
          <t>contraste regional (R6); no vota</t>
        </is>
      </c>
      <c r="T476" s="3" t="inlineStr">
        <is>
          <t>output/v8/F5/atribucion_combinada.csv</t>
        </is>
      </c>
      <c r="U476" s="2">
        <f>IF(R476=0,"",F476/R476)</f>
        <v/>
      </c>
      <c r="V476" s="2">
        <f>SUMIFS(F$2:F$1589,A$2:A$1589,A476,C$2:C$1589,C476,E$2:E$1589,E476,Q$2:Q$1589,Q476)</f>
        <v/>
      </c>
    </row>
    <row r="477">
      <c r="A477" s="3" t="inlineStr">
        <is>
          <t>alquiler</t>
        </is>
      </c>
      <c r="B477" s="3" t="inlineStr">
        <is>
          <t>ccaa:11</t>
        </is>
      </c>
      <c r="C477" s="3" t="inlineStr">
        <is>
          <t>P3</t>
        </is>
      </c>
      <c r="D477" s="3" t="inlineStr">
        <is>
          <t>residuo</t>
        </is>
      </c>
      <c r="E477" s="3" t="inlineStr">
        <is>
          <t>regional_ccaa_ols</t>
        </is>
      </c>
      <c r="F477" s="3" t="n">
        <v>-2.87919</v>
      </c>
      <c r="G477" s="3" t="n"/>
      <c r="H477" s="3" t="n"/>
      <c r="I477" s="3" t="n">
        <v>0.653494</v>
      </c>
      <c r="J477" s="3" t="n"/>
      <c r="K477" s="3" t="n"/>
      <c r="L477" s="3" t="n"/>
      <c r="M477" s="3" t="n"/>
      <c r="N477" s="3" t="inlineStr">
        <is>
          <t>C4</t>
        </is>
      </c>
      <c r="O477" s="3" t="inlineStr">
        <is>
          <t>no</t>
        </is>
      </c>
      <c r="P477" s="3" t="inlineStr">
        <is>
          <t>no_compite</t>
        </is>
      </c>
      <c r="Q477" s="3" t="inlineStr">
        <is>
          <t>ols_solo_factor</t>
        </is>
      </c>
      <c r="R477" s="3" t="n"/>
      <c r="S477" s="3" t="inlineStr">
        <is>
          <t>contraste regional (R6); no vota</t>
        </is>
      </c>
      <c r="T477" s="3" t="inlineStr">
        <is>
          <t>output/v8/F5/atribucion_combinada.csv</t>
        </is>
      </c>
      <c r="U477" s="2">
        <f>IF(R477=0,"",F477/R477)</f>
        <v/>
      </c>
      <c r="V477" s="2">
        <f>SUMIFS(F$2:F$1589,A$2:A$1589,A477,C$2:C$1589,C477,E$2:E$1589,E477,Q$2:Q$1589,Q477)</f>
        <v/>
      </c>
    </row>
    <row r="478">
      <c r="A478" s="3" t="inlineStr">
        <is>
          <t>alquiler</t>
        </is>
      </c>
      <c r="B478" s="3" t="inlineStr">
        <is>
          <t>ccaa:12</t>
        </is>
      </c>
      <c r="C478" s="3" t="inlineStr">
        <is>
          <t>P3</t>
        </is>
      </c>
      <c r="D478" s="3" t="inlineStr">
        <is>
          <t>factor_comun</t>
        </is>
      </c>
      <c r="E478" s="3" t="inlineStr">
        <is>
          <t>regional_ccaa_ols</t>
        </is>
      </c>
      <c r="F478" s="3" t="n">
        <v>-2.66605</v>
      </c>
      <c r="G478" s="3" t="n"/>
      <c r="H478" s="3" t="n"/>
      <c r="I478" s="3" t="n">
        <v>4.50501</v>
      </c>
      <c r="J478" s="3" t="n">
        <v>-4.30719</v>
      </c>
      <c r="K478" s="3" t="n">
        <v>-0.985847</v>
      </c>
      <c r="L478" s="3" t="n">
        <v>-5.6868</v>
      </c>
      <c r="M478" s="3" t="n">
        <v>-0.089182</v>
      </c>
      <c r="N478" s="3" t="inlineStr">
        <is>
          <t>C4</t>
        </is>
      </c>
      <c r="O478" s="3" t="inlineStr">
        <is>
          <t>no</t>
        </is>
      </c>
      <c r="P478" s="3" t="inlineStr">
        <is>
          <t>no_compite</t>
        </is>
      </c>
      <c r="Q478" s="3" t="inlineStr">
        <is>
          <t>ols_solo_factor</t>
        </is>
      </c>
      <c r="R478" s="3" t="n"/>
      <c r="S478" s="3" t="inlineStr">
        <is>
          <t>contraste regional (R6); no vota</t>
        </is>
      </c>
      <c r="T478" s="3" t="inlineStr">
        <is>
          <t>output/v8/F5/atribucion_combinada.csv</t>
        </is>
      </c>
      <c r="U478" s="2">
        <f>IF(R478=0,"",F478/R478)</f>
        <v/>
      </c>
      <c r="V478" s="2">
        <f>SUMIFS(F$2:F$1589,A$2:A$1589,A478,C$2:C$1589,C478,E$2:E$1589,E478,Q$2:Q$1589,Q478)</f>
        <v/>
      </c>
    </row>
    <row r="479">
      <c r="A479" s="3" t="inlineStr">
        <is>
          <t>alquiler</t>
        </is>
      </c>
      <c r="B479" s="3" t="inlineStr">
        <is>
          <t>ccaa:12</t>
        </is>
      </c>
      <c r="C479" s="3" t="inlineStr">
        <is>
          <t>P3</t>
        </is>
      </c>
      <c r="D479" s="3" t="inlineStr">
        <is>
          <t>residuo</t>
        </is>
      </c>
      <c r="E479" s="3" t="inlineStr">
        <is>
          <t>regional_ccaa_ols</t>
        </is>
      </c>
      <c r="F479" s="3" t="n">
        <v>2.07426</v>
      </c>
      <c r="G479" s="3" t="n"/>
      <c r="H479" s="3" t="n"/>
      <c r="I479" s="3" t="n">
        <v>-3.50501</v>
      </c>
      <c r="J479" s="3" t="n"/>
      <c r="K479" s="3" t="n"/>
      <c r="L479" s="3" t="n"/>
      <c r="M479" s="3" t="n"/>
      <c r="N479" s="3" t="inlineStr">
        <is>
          <t>C4</t>
        </is>
      </c>
      <c r="O479" s="3" t="inlineStr">
        <is>
          <t>no</t>
        </is>
      </c>
      <c r="P479" s="3" t="inlineStr">
        <is>
          <t>no_compite</t>
        </is>
      </c>
      <c r="Q479" s="3" t="inlineStr">
        <is>
          <t>ols_solo_factor</t>
        </is>
      </c>
      <c r="R479" s="3" t="n"/>
      <c r="S479" s="3" t="inlineStr">
        <is>
          <t>contraste regional (R6); no vota</t>
        </is>
      </c>
      <c r="T479" s="3" t="inlineStr">
        <is>
          <t>output/v8/F5/atribucion_combinada.csv</t>
        </is>
      </c>
      <c r="U479" s="2">
        <f>IF(R479=0,"",F479/R479)</f>
        <v/>
      </c>
      <c r="V479" s="2">
        <f>SUMIFS(F$2:F$1589,A$2:A$1589,A479,C$2:C$1589,C479,E$2:E$1589,E479,Q$2:Q$1589,Q479)</f>
        <v/>
      </c>
    </row>
    <row r="480">
      <c r="A480" s="3" t="inlineStr">
        <is>
          <t>alquiler</t>
        </is>
      </c>
      <c r="B480" s="3" t="inlineStr">
        <is>
          <t>ccaa:13</t>
        </is>
      </c>
      <c r="C480" s="3" t="inlineStr">
        <is>
          <t>P3</t>
        </is>
      </c>
      <c r="D480" s="3" t="inlineStr">
        <is>
          <t>factor_comun</t>
        </is>
      </c>
      <c r="E480" s="3" t="inlineStr">
        <is>
          <t>regional_ccaa_ols</t>
        </is>
      </c>
      <c r="F480" s="3" t="n">
        <v>-2.79333</v>
      </c>
      <c r="G480" s="3" t="n"/>
      <c r="H480" s="3" t="n"/>
      <c r="I480" s="3" t="n">
        <v>1.14453</v>
      </c>
      <c r="J480" s="3" t="n">
        <v>-4.12932</v>
      </c>
      <c r="K480" s="3" t="n">
        <v>-1.20994</v>
      </c>
      <c r="L480" s="3" t="n">
        <v>-5.43087</v>
      </c>
      <c r="M480" s="3" t="n">
        <v>-0.42384</v>
      </c>
      <c r="N480" s="3" t="inlineStr">
        <is>
          <t>C4</t>
        </is>
      </c>
      <c r="O480" s="3" t="inlineStr">
        <is>
          <t>no</t>
        </is>
      </c>
      <c r="P480" s="3" t="inlineStr">
        <is>
          <t>no_compite</t>
        </is>
      </c>
      <c r="Q480" s="3" t="inlineStr">
        <is>
          <t>ols_solo_factor</t>
        </is>
      </c>
      <c r="R480" s="3" t="n"/>
      <c r="S480" s="3" t="inlineStr">
        <is>
          <t>contraste regional (R6); no vota</t>
        </is>
      </c>
      <c r="T480" s="3" t="inlineStr">
        <is>
          <t>output/v8/F5/atribucion_combinada.csv</t>
        </is>
      </c>
      <c r="U480" s="2">
        <f>IF(R480=0,"",F480/R480)</f>
        <v/>
      </c>
      <c r="V480" s="2">
        <f>SUMIFS(F$2:F$1589,A$2:A$1589,A480,C$2:C$1589,C480,E$2:E$1589,E480,Q$2:Q$1589,Q480)</f>
        <v/>
      </c>
    </row>
    <row r="481">
      <c r="A481" s="3" t="inlineStr">
        <is>
          <t>alquiler</t>
        </is>
      </c>
      <c r="B481" s="3" t="inlineStr">
        <is>
          <t>ccaa:13</t>
        </is>
      </c>
      <c r="C481" s="3" t="inlineStr">
        <is>
          <t>P3</t>
        </is>
      </c>
      <c r="D481" s="3" t="inlineStr">
        <is>
          <t>residuo</t>
        </is>
      </c>
      <c r="E481" s="3" t="inlineStr">
        <is>
          <t>regional_ccaa_ols</t>
        </is>
      </c>
      <c r="F481" s="3" t="n">
        <v>0.352731</v>
      </c>
      <c r="G481" s="3" t="n"/>
      <c r="H481" s="3" t="n"/>
      <c r="I481" s="3" t="n">
        <v>-0.144526</v>
      </c>
      <c r="J481" s="3" t="n"/>
      <c r="K481" s="3" t="n"/>
      <c r="L481" s="3" t="n"/>
      <c r="M481" s="3" t="n"/>
      <c r="N481" s="3" t="inlineStr">
        <is>
          <t>C4</t>
        </is>
      </c>
      <c r="O481" s="3" t="inlineStr">
        <is>
          <t>no</t>
        </is>
      </c>
      <c r="P481" s="3" t="inlineStr">
        <is>
          <t>no_compite</t>
        </is>
      </c>
      <c r="Q481" s="3" t="inlineStr">
        <is>
          <t>ols_solo_factor</t>
        </is>
      </c>
      <c r="R481" s="3" t="n"/>
      <c r="S481" s="3" t="inlineStr">
        <is>
          <t>contraste regional (R6); no vota</t>
        </is>
      </c>
      <c r="T481" s="3" t="inlineStr">
        <is>
          <t>output/v8/F5/atribucion_combinada.csv</t>
        </is>
      </c>
      <c r="U481" s="2">
        <f>IF(R481=0,"",F481/R481)</f>
        <v/>
      </c>
      <c r="V481" s="2">
        <f>SUMIFS(F$2:F$1589,A$2:A$1589,A481,C$2:C$1589,C481,E$2:E$1589,E481,Q$2:Q$1589,Q481)</f>
        <v/>
      </c>
    </row>
    <row r="482">
      <c r="A482" s="3" t="inlineStr">
        <is>
          <t>alquiler</t>
        </is>
      </c>
      <c r="B482" s="3" t="inlineStr">
        <is>
          <t>ccaa:14</t>
        </is>
      </c>
      <c r="C482" s="3" t="inlineStr">
        <is>
          <t>P3</t>
        </is>
      </c>
      <c r="D482" s="3" t="inlineStr">
        <is>
          <t>factor_comun</t>
        </is>
      </c>
      <c r="E482" s="3" t="inlineStr">
        <is>
          <t>regional_ccaa_ols</t>
        </is>
      </c>
      <c r="F482" s="3" t="n">
        <v>-2.08451</v>
      </c>
      <c r="G482" s="3" t="n"/>
      <c r="H482" s="3" t="n"/>
      <c r="I482" s="3" t="n">
        <v>0.492916</v>
      </c>
      <c r="J482" s="3" t="n">
        <v>-3.15498</v>
      </c>
      <c r="K482" s="3" t="n">
        <v>-0.897518</v>
      </c>
      <c r="L482" s="3" t="n">
        <v>-4.01886</v>
      </c>
      <c r="M482" s="3" t="n">
        <v>-0.301836</v>
      </c>
      <c r="N482" s="3" t="inlineStr">
        <is>
          <t>C4</t>
        </is>
      </c>
      <c r="O482" s="3" t="inlineStr">
        <is>
          <t>no</t>
        </is>
      </c>
      <c r="P482" s="3" t="inlineStr">
        <is>
          <t>no_compite</t>
        </is>
      </c>
      <c r="Q482" s="3" t="inlineStr">
        <is>
          <t>ols_solo_factor</t>
        </is>
      </c>
      <c r="R482" s="3" t="n"/>
      <c r="S482" s="3" t="inlineStr">
        <is>
          <t>contraste regional (R6); no vota</t>
        </is>
      </c>
      <c r="T482" s="3" t="inlineStr">
        <is>
          <t>output/v8/F5/atribucion_combinada.csv</t>
        </is>
      </c>
      <c r="U482" s="2">
        <f>IF(R482=0,"",F482/R482)</f>
        <v/>
      </c>
      <c r="V482" s="2">
        <f>SUMIFS(F$2:F$1589,A$2:A$1589,A482,C$2:C$1589,C482,E$2:E$1589,E482,Q$2:Q$1589,Q482)</f>
        <v/>
      </c>
    </row>
    <row r="483">
      <c r="A483" s="3" t="inlineStr">
        <is>
          <t>alquiler</t>
        </is>
      </c>
      <c r="B483" s="3" t="inlineStr">
        <is>
          <t>ccaa:14</t>
        </is>
      </c>
      <c r="C483" s="3" t="inlineStr">
        <is>
          <t>P3</t>
        </is>
      </c>
      <c r="D483" s="3" t="inlineStr">
        <is>
          <t>residuo</t>
        </is>
      </c>
      <c r="E483" s="3" t="inlineStr">
        <is>
          <t>regional_ccaa_ols</t>
        </is>
      </c>
      <c r="F483" s="3" t="n">
        <v>-2.14442</v>
      </c>
      <c r="G483" s="3" t="n"/>
      <c r="H483" s="3" t="n"/>
      <c r="I483" s="3" t="n">
        <v>0.507084</v>
      </c>
      <c r="J483" s="3" t="n"/>
      <c r="K483" s="3" t="n"/>
      <c r="L483" s="3" t="n"/>
      <c r="M483" s="3" t="n"/>
      <c r="N483" s="3" t="inlineStr">
        <is>
          <t>C4</t>
        </is>
      </c>
      <c r="O483" s="3" t="inlineStr">
        <is>
          <t>no</t>
        </is>
      </c>
      <c r="P483" s="3" t="inlineStr">
        <is>
          <t>no_compite</t>
        </is>
      </c>
      <c r="Q483" s="3" t="inlineStr">
        <is>
          <t>ols_solo_factor</t>
        </is>
      </c>
      <c r="R483" s="3" t="n"/>
      <c r="S483" s="3" t="inlineStr">
        <is>
          <t>contraste regional (R6); no vota</t>
        </is>
      </c>
      <c r="T483" s="3" t="inlineStr">
        <is>
          <t>output/v8/F5/atribucion_combinada.csv</t>
        </is>
      </c>
      <c r="U483" s="2">
        <f>IF(R483=0,"",F483/R483)</f>
        <v/>
      </c>
      <c r="V483" s="2">
        <f>SUMIFS(F$2:F$1589,A$2:A$1589,A483,C$2:C$1589,C483,E$2:E$1589,E483,Q$2:Q$1589,Q483)</f>
        <v/>
      </c>
    </row>
    <row r="484">
      <c r="A484" s="3" t="inlineStr">
        <is>
          <t>alquiler</t>
        </is>
      </c>
      <c r="B484" s="3" t="inlineStr">
        <is>
          <t>ccaa:15</t>
        </is>
      </c>
      <c r="C484" s="3" t="inlineStr">
        <is>
          <t>P3</t>
        </is>
      </c>
      <c r="D484" s="3" t="inlineStr">
        <is>
          <t>factor_comun</t>
        </is>
      </c>
      <c r="E484" s="3" t="inlineStr">
        <is>
          <t>regional_ccaa_ols</t>
        </is>
      </c>
      <c r="F484" s="3" t="n">
        <v>-2.85339</v>
      </c>
      <c r="G484" s="3" t="n"/>
      <c r="H484" s="3" t="n"/>
      <c r="I484" s="3" t="n">
        <v>0.984611</v>
      </c>
      <c r="J484" s="3" t="n">
        <v>-3.9049</v>
      </c>
      <c r="K484" s="3" t="n">
        <v>-1.43749</v>
      </c>
      <c r="L484" s="3" t="n">
        <v>-4.75722</v>
      </c>
      <c r="M484" s="3" t="n">
        <v>-0.349093</v>
      </c>
      <c r="N484" s="3" t="inlineStr">
        <is>
          <t>C4</t>
        </is>
      </c>
      <c r="O484" s="3" t="inlineStr">
        <is>
          <t>no</t>
        </is>
      </c>
      <c r="P484" s="3" t="inlineStr">
        <is>
          <t>no_compite</t>
        </is>
      </c>
      <c r="Q484" s="3" t="inlineStr">
        <is>
          <t>ols_solo_factor</t>
        </is>
      </c>
      <c r="R484" s="3" t="n"/>
      <c r="S484" s="3" t="inlineStr">
        <is>
          <t>contraste regional (R6); no vota</t>
        </is>
      </c>
      <c r="T484" s="3" t="inlineStr">
        <is>
          <t>output/v8/F5/atribucion_combinada.csv</t>
        </is>
      </c>
      <c r="U484" s="2">
        <f>IF(R484=0,"",F484/R484)</f>
        <v/>
      </c>
      <c r="V484" s="2">
        <f>SUMIFS(F$2:F$1589,A$2:A$1589,A484,C$2:C$1589,C484,E$2:E$1589,E484,Q$2:Q$1589,Q484)</f>
        <v/>
      </c>
    </row>
    <row r="485">
      <c r="A485" s="3" t="inlineStr">
        <is>
          <t>alquiler</t>
        </is>
      </c>
      <c r="B485" s="3" t="inlineStr">
        <is>
          <t>ccaa:15</t>
        </is>
      </c>
      <c r="C485" s="3" t="inlineStr">
        <is>
          <t>P3</t>
        </is>
      </c>
      <c r="D485" s="3" t="inlineStr">
        <is>
          <t>residuo</t>
        </is>
      </c>
      <c r="E485" s="3" t="inlineStr">
        <is>
          <t>regional_ccaa_ols</t>
        </is>
      </c>
      <c r="F485" s="3" t="n">
        <v>-0.044598</v>
      </c>
      <c r="G485" s="3" t="n"/>
      <c r="H485" s="3" t="n"/>
      <c r="I485" s="3" t="n">
        <v>0.0153893</v>
      </c>
      <c r="J485" s="3" t="n"/>
      <c r="K485" s="3" t="n"/>
      <c r="L485" s="3" t="n"/>
      <c r="M485" s="3" t="n"/>
      <c r="N485" s="3" t="inlineStr">
        <is>
          <t>C4</t>
        </is>
      </c>
      <c r="O485" s="3" t="inlineStr">
        <is>
          <t>no</t>
        </is>
      </c>
      <c r="P485" s="3" t="inlineStr">
        <is>
          <t>no_compite</t>
        </is>
      </c>
      <c r="Q485" s="3" t="inlineStr">
        <is>
          <t>ols_solo_factor</t>
        </is>
      </c>
      <c r="R485" s="3" t="n"/>
      <c r="S485" s="3" t="inlineStr">
        <is>
          <t>contraste regional (R6); no vota</t>
        </is>
      </c>
      <c r="T485" s="3" t="inlineStr">
        <is>
          <t>output/v8/F5/atribucion_combinada.csv</t>
        </is>
      </c>
      <c r="U485" s="2">
        <f>IF(R485=0,"",F485/R485)</f>
        <v/>
      </c>
      <c r="V485" s="2">
        <f>SUMIFS(F$2:F$1589,A$2:A$1589,A485,C$2:C$1589,C485,E$2:E$1589,E485,Q$2:Q$1589,Q485)</f>
        <v/>
      </c>
    </row>
    <row r="486">
      <c r="A486" s="3" t="inlineStr">
        <is>
          <t>alquiler</t>
        </is>
      </c>
      <c r="B486" s="3" t="inlineStr">
        <is>
          <t>ccaa:16</t>
        </is>
      </c>
      <c r="C486" s="3" t="inlineStr">
        <is>
          <t>P3</t>
        </is>
      </c>
      <c r="D486" s="3" t="inlineStr">
        <is>
          <t>factor_comun</t>
        </is>
      </c>
      <c r="E486" s="3" t="inlineStr">
        <is>
          <t>regional_ccaa_ols</t>
        </is>
      </c>
      <c r="F486" s="3" t="n">
        <v>-2.38031</v>
      </c>
      <c r="G486" s="3" t="n"/>
      <c r="H486" s="3" t="n"/>
      <c r="I486" s="3" t="n">
        <v>0.8162469999999999</v>
      </c>
      <c r="J486" s="3" t="n">
        <v>-3.92519</v>
      </c>
      <c r="K486" s="3" t="n">
        <v>-0.69451</v>
      </c>
      <c r="L486" s="3" t="n">
        <v>-5.12748</v>
      </c>
      <c r="M486" s="3" t="n">
        <v>-0.189288</v>
      </c>
      <c r="N486" s="3" t="inlineStr">
        <is>
          <t>C4</t>
        </is>
      </c>
      <c r="O486" s="3" t="inlineStr">
        <is>
          <t>no</t>
        </is>
      </c>
      <c r="P486" s="3" t="inlineStr">
        <is>
          <t>no_compite</t>
        </is>
      </c>
      <c r="Q486" s="3" t="inlineStr">
        <is>
          <t>ols_solo_factor</t>
        </is>
      </c>
      <c r="R486" s="3" t="n"/>
      <c r="S486" s="3" t="inlineStr">
        <is>
          <t>contraste regional (R6); no vota</t>
        </is>
      </c>
      <c r="T486" s="3" t="inlineStr">
        <is>
          <t>output/v8/F5/atribucion_combinada.csv</t>
        </is>
      </c>
      <c r="U486" s="2">
        <f>IF(R486=0,"",F486/R486)</f>
        <v/>
      </c>
      <c r="V486" s="2">
        <f>SUMIFS(F$2:F$1589,A$2:A$1589,A486,C$2:C$1589,C486,E$2:E$1589,E486,Q$2:Q$1589,Q486)</f>
        <v/>
      </c>
    </row>
    <row r="487">
      <c r="A487" s="3" t="inlineStr">
        <is>
          <t>alquiler</t>
        </is>
      </c>
      <c r="B487" s="3" t="inlineStr">
        <is>
          <t>ccaa:16</t>
        </is>
      </c>
      <c r="C487" s="3" t="inlineStr">
        <is>
          <t>P3</t>
        </is>
      </c>
      <c r="D487" s="3" t="inlineStr">
        <is>
          <t>residuo</t>
        </is>
      </c>
      <c r="E487" s="3" t="inlineStr">
        <is>
          <t>regional_ccaa_ols</t>
        </is>
      </c>
      <c r="F487" s="3" t="n">
        <v>-0.5358540000000001</v>
      </c>
      <c r="G487" s="3" t="n"/>
      <c r="H487" s="3" t="n"/>
      <c r="I487" s="3" t="n">
        <v>0.183753</v>
      </c>
      <c r="J487" s="3" t="n"/>
      <c r="K487" s="3" t="n"/>
      <c r="L487" s="3" t="n"/>
      <c r="M487" s="3" t="n"/>
      <c r="N487" s="3" t="inlineStr">
        <is>
          <t>C4</t>
        </is>
      </c>
      <c r="O487" s="3" t="inlineStr">
        <is>
          <t>no</t>
        </is>
      </c>
      <c r="P487" s="3" t="inlineStr">
        <is>
          <t>no_compite</t>
        </is>
      </c>
      <c r="Q487" s="3" t="inlineStr">
        <is>
          <t>ols_solo_factor</t>
        </is>
      </c>
      <c r="R487" s="3" t="n"/>
      <c r="S487" s="3" t="inlineStr">
        <is>
          <t>contraste regional (R6); no vota</t>
        </is>
      </c>
      <c r="T487" s="3" t="inlineStr">
        <is>
          <t>output/v8/F5/atribucion_combinada.csv</t>
        </is>
      </c>
      <c r="U487" s="2">
        <f>IF(R487=0,"",F487/R487)</f>
        <v/>
      </c>
      <c r="V487" s="2">
        <f>SUMIFS(F$2:F$1589,A$2:A$1589,A487,C$2:C$1589,C487,E$2:E$1589,E487,Q$2:Q$1589,Q487)</f>
        <v/>
      </c>
    </row>
    <row r="488">
      <c r="A488" s="3" t="inlineStr">
        <is>
          <t>alquiler</t>
        </is>
      </c>
      <c r="B488" s="3" t="inlineStr">
        <is>
          <t>ccaa:17</t>
        </is>
      </c>
      <c r="C488" s="3" t="inlineStr">
        <is>
          <t>P3</t>
        </is>
      </c>
      <c r="D488" s="3" t="inlineStr">
        <is>
          <t>factor_comun</t>
        </is>
      </c>
      <c r="E488" s="3" t="inlineStr">
        <is>
          <t>regional_ccaa_ols</t>
        </is>
      </c>
      <c r="F488" s="3" t="n">
        <v>-1.88287</v>
      </c>
      <c r="G488" s="3" t="n"/>
      <c r="H488" s="3" t="n"/>
      <c r="I488" s="3" t="n">
        <v>0.275649</v>
      </c>
      <c r="J488" s="3" t="n">
        <v>-2.78121</v>
      </c>
      <c r="K488" s="3" t="n">
        <v>-0.818197</v>
      </c>
      <c r="L488" s="3" t="n">
        <v>-3.65714</v>
      </c>
      <c r="M488" s="3" t="n">
        <v>-0.195131</v>
      </c>
      <c r="N488" s="3" t="inlineStr">
        <is>
          <t>C4</t>
        </is>
      </c>
      <c r="O488" s="3" t="inlineStr">
        <is>
          <t>no</t>
        </is>
      </c>
      <c r="P488" s="3" t="inlineStr">
        <is>
          <t>no_compite</t>
        </is>
      </c>
      <c r="Q488" s="3" t="inlineStr">
        <is>
          <t>ols_solo_factor</t>
        </is>
      </c>
      <c r="R488" s="3" t="n"/>
      <c r="S488" s="3" t="inlineStr">
        <is>
          <t>contraste regional (R6); no vota</t>
        </is>
      </c>
      <c r="T488" s="3" t="inlineStr">
        <is>
          <t>output/v8/F5/atribucion_combinada.csv</t>
        </is>
      </c>
      <c r="U488" s="2">
        <f>IF(R488=0,"",F488/R488)</f>
        <v/>
      </c>
      <c r="V488" s="2">
        <f>SUMIFS(F$2:F$1589,A$2:A$1589,A488,C$2:C$1589,C488,E$2:E$1589,E488,Q$2:Q$1589,Q488)</f>
        <v/>
      </c>
    </row>
    <row r="489">
      <c r="A489" s="3" t="inlineStr">
        <is>
          <t>alquiler</t>
        </is>
      </c>
      <c r="B489" s="3" t="inlineStr">
        <is>
          <t>ccaa:17</t>
        </is>
      </c>
      <c r="C489" s="3" t="inlineStr">
        <is>
          <t>P3</t>
        </is>
      </c>
      <c r="D489" s="3" t="inlineStr">
        <is>
          <t>residuo</t>
        </is>
      </c>
      <c r="E489" s="3" t="inlineStr">
        <is>
          <t>regional_ccaa_ols</t>
        </is>
      </c>
      <c r="F489" s="3" t="n">
        <v>-4.94779</v>
      </c>
      <c r="G489" s="3" t="n"/>
      <c r="H489" s="3" t="n"/>
      <c r="I489" s="3" t="n">
        <v>0.724351</v>
      </c>
      <c r="J489" s="3" t="n"/>
      <c r="K489" s="3" t="n"/>
      <c r="L489" s="3" t="n"/>
      <c r="M489" s="3" t="n"/>
      <c r="N489" s="3" t="inlineStr">
        <is>
          <t>C4</t>
        </is>
      </c>
      <c r="O489" s="3" t="inlineStr">
        <is>
          <t>no</t>
        </is>
      </c>
      <c r="P489" s="3" t="inlineStr">
        <is>
          <t>no_compite</t>
        </is>
      </c>
      <c r="Q489" s="3" t="inlineStr">
        <is>
          <t>ols_solo_factor</t>
        </is>
      </c>
      <c r="R489" s="3" t="n"/>
      <c r="S489" s="3" t="inlineStr">
        <is>
          <t>contraste regional (R6); no vota</t>
        </is>
      </c>
      <c r="T489" s="3" t="inlineStr">
        <is>
          <t>output/v8/F5/atribucion_combinada.csv</t>
        </is>
      </c>
      <c r="U489" s="2">
        <f>IF(R489=0,"",F489/R489)</f>
        <v/>
      </c>
      <c r="V489" s="2">
        <f>SUMIFS(F$2:F$1589,A$2:A$1589,A489,C$2:C$1589,C489,E$2:E$1589,E489,Q$2:Q$1589,Q489)</f>
        <v/>
      </c>
    </row>
    <row r="490">
      <c r="A490" s="3" t="inlineStr">
        <is>
          <t>alquiler</t>
        </is>
      </c>
      <c r="B490" s="3" t="inlineStr">
        <is>
          <t>ccaa:01</t>
        </is>
      </c>
      <c r="C490" s="3" t="inlineStr">
        <is>
          <t>P4</t>
        </is>
      </c>
      <c r="D490" s="3" t="inlineStr">
        <is>
          <t>factor_comun</t>
        </is>
      </c>
      <c r="E490" s="3" t="inlineStr">
        <is>
          <t>regional_ccaa_ols</t>
        </is>
      </c>
      <c r="F490" s="3" t="n">
        <v>-4.93996</v>
      </c>
      <c r="G490" s="3" t="n"/>
      <c r="H490" s="3" t="n"/>
      <c r="I490" s="3" t="n">
        <v>1.0287</v>
      </c>
      <c r="J490" s="3" t="n">
        <v>-8.07968</v>
      </c>
      <c r="K490" s="3" t="n">
        <v>-1.56532</v>
      </c>
      <c r="L490" s="3" t="n">
        <v>-10.1178</v>
      </c>
      <c r="M490" s="3" t="n">
        <v>0.7048140000000001</v>
      </c>
      <c r="N490" s="3" t="inlineStr">
        <is>
          <t>C4</t>
        </is>
      </c>
      <c r="O490" s="3" t="inlineStr">
        <is>
          <t>no</t>
        </is>
      </c>
      <c r="P490" s="3" t="inlineStr">
        <is>
          <t>no_compite</t>
        </is>
      </c>
      <c r="Q490" s="3" t="inlineStr">
        <is>
          <t>ols_solo_factor</t>
        </is>
      </c>
      <c r="R490" s="3" t="n"/>
      <c r="S490" s="3" t="inlineStr">
        <is>
          <t>contraste regional (R6); no vota</t>
        </is>
      </c>
      <c r="T490" s="3" t="inlineStr">
        <is>
          <t>output/v8/F5/atribucion_combinada.csv</t>
        </is>
      </c>
      <c r="U490" s="2">
        <f>IF(R490=0,"",F490/R490)</f>
        <v/>
      </c>
      <c r="V490" s="2">
        <f>SUMIFS(F$2:F$1589,A$2:A$1589,A490,C$2:C$1589,C490,E$2:E$1589,E490,Q$2:Q$1589,Q490)</f>
        <v/>
      </c>
    </row>
    <row r="491">
      <c r="A491" s="3" t="inlineStr">
        <is>
          <t>alquiler</t>
        </is>
      </c>
      <c r="B491" s="3" t="inlineStr">
        <is>
          <t>ccaa:01</t>
        </is>
      </c>
      <c r="C491" s="3" t="inlineStr">
        <is>
          <t>P4</t>
        </is>
      </c>
      <c r="D491" s="3" t="inlineStr">
        <is>
          <t>residuo</t>
        </is>
      </c>
      <c r="E491" s="3" t="inlineStr">
        <is>
          <t>regional_ccaa_ols</t>
        </is>
      </c>
      <c r="F491" s="3" t="n">
        <v>0.137818</v>
      </c>
      <c r="G491" s="3" t="n"/>
      <c r="H491" s="3" t="n"/>
      <c r="I491" s="3" t="n">
        <v>-0.0286993</v>
      </c>
      <c r="J491" s="3" t="n"/>
      <c r="K491" s="3" t="n"/>
      <c r="L491" s="3" t="n"/>
      <c r="M491" s="3" t="n"/>
      <c r="N491" s="3" t="inlineStr">
        <is>
          <t>C4</t>
        </is>
      </c>
      <c r="O491" s="3" t="inlineStr">
        <is>
          <t>no</t>
        </is>
      </c>
      <c r="P491" s="3" t="inlineStr">
        <is>
          <t>no_compite</t>
        </is>
      </c>
      <c r="Q491" s="3" t="inlineStr">
        <is>
          <t>ols_solo_factor</t>
        </is>
      </c>
      <c r="R491" s="3" t="n"/>
      <c r="S491" s="3" t="inlineStr">
        <is>
          <t>contraste regional (R6); no vota</t>
        </is>
      </c>
      <c r="T491" s="3" t="inlineStr">
        <is>
          <t>output/v8/F5/atribucion_combinada.csv</t>
        </is>
      </c>
      <c r="U491" s="2">
        <f>IF(R491=0,"",F491/R491)</f>
        <v/>
      </c>
      <c r="V491" s="2">
        <f>SUMIFS(F$2:F$1589,A$2:A$1589,A491,C$2:C$1589,C491,E$2:E$1589,E491,Q$2:Q$1589,Q491)</f>
        <v/>
      </c>
    </row>
    <row r="492">
      <c r="A492" s="3" t="inlineStr">
        <is>
          <t>alquiler</t>
        </is>
      </c>
      <c r="B492" s="3" t="inlineStr">
        <is>
          <t>ccaa:02</t>
        </is>
      </c>
      <c r="C492" s="3" t="inlineStr">
        <is>
          <t>P4</t>
        </is>
      </c>
      <c r="D492" s="3" t="inlineStr">
        <is>
          <t>factor_comun</t>
        </is>
      </c>
      <c r="E492" s="3" t="inlineStr">
        <is>
          <t>regional_ccaa_ols</t>
        </is>
      </c>
      <c r="F492" s="3" t="n">
        <v>-4.93408</v>
      </c>
      <c r="G492" s="3" t="n"/>
      <c r="H492" s="3" t="n"/>
      <c r="I492" s="3" t="n">
        <v>1.0526</v>
      </c>
      <c r="J492" s="3" t="n">
        <v>-8.172739999999999</v>
      </c>
      <c r="K492" s="3" t="n">
        <v>-1.71342</v>
      </c>
      <c r="L492" s="3" t="n">
        <v>-10.7114</v>
      </c>
      <c r="M492" s="3" t="n">
        <v>0.351773</v>
      </c>
      <c r="N492" s="3" t="inlineStr">
        <is>
          <t>C4</t>
        </is>
      </c>
      <c r="O492" s="3" t="inlineStr">
        <is>
          <t>no</t>
        </is>
      </c>
      <c r="P492" s="3" t="inlineStr">
        <is>
          <t>no_compite</t>
        </is>
      </c>
      <c r="Q492" s="3" t="inlineStr">
        <is>
          <t>ols_solo_factor</t>
        </is>
      </c>
      <c r="R492" s="3" t="n"/>
      <c r="S492" s="3" t="inlineStr">
        <is>
          <t>contraste regional (R6); no vota</t>
        </is>
      </c>
      <c r="T492" s="3" t="inlineStr">
        <is>
          <t>output/v8/F5/atribucion_combinada.csv</t>
        </is>
      </c>
      <c r="U492" s="2">
        <f>IF(R492=0,"",F492/R492)</f>
        <v/>
      </c>
      <c r="V492" s="2">
        <f>SUMIFS(F$2:F$1589,A$2:A$1589,A492,C$2:C$1589,C492,E$2:E$1589,E492,Q$2:Q$1589,Q492)</f>
        <v/>
      </c>
    </row>
    <row r="493">
      <c r="A493" s="3" t="inlineStr">
        <is>
          <t>alquiler</t>
        </is>
      </c>
      <c r="B493" s="3" t="inlineStr">
        <is>
          <t>ccaa:02</t>
        </is>
      </c>
      <c r="C493" s="3" t="inlineStr">
        <is>
          <t>P4</t>
        </is>
      </c>
      <c r="D493" s="3" t="inlineStr">
        <is>
          <t>residuo</t>
        </is>
      </c>
      <c r="E493" s="3" t="inlineStr">
        <is>
          <t>regional_ccaa_ols</t>
        </is>
      </c>
      <c r="F493" s="3" t="n">
        <v>0.246573</v>
      </c>
      <c r="G493" s="3" t="n"/>
      <c r="H493" s="3" t="n"/>
      <c r="I493" s="3" t="n">
        <v>-0.0526022</v>
      </c>
      <c r="J493" s="3" t="n"/>
      <c r="K493" s="3" t="n"/>
      <c r="L493" s="3" t="n"/>
      <c r="M493" s="3" t="n"/>
      <c r="N493" s="3" t="inlineStr">
        <is>
          <t>C4</t>
        </is>
      </c>
      <c r="O493" s="3" t="inlineStr">
        <is>
          <t>no</t>
        </is>
      </c>
      <c r="P493" s="3" t="inlineStr">
        <is>
          <t>no_compite</t>
        </is>
      </c>
      <c r="Q493" s="3" t="inlineStr">
        <is>
          <t>ols_solo_factor</t>
        </is>
      </c>
      <c r="R493" s="3" t="n"/>
      <c r="S493" s="3" t="inlineStr">
        <is>
          <t>contraste regional (R6); no vota</t>
        </is>
      </c>
      <c r="T493" s="3" t="inlineStr">
        <is>
          <t>output/v8/F5/atribucion_combinada.csv</t>
        </is>
      </c>
      <c r="U493" s="2">
        <f>IF(R493=0,"",F493/R493)</f>
        <v/>
      </c>
      <c r="V493" s="2">
        <f>SUMIFS(F$2:F$1589,A$2:A$1589,A493,C$2:C$1589,C493,E$2:E$1589,E493,Q$2:Q$1589,Q493)</f>
        <v/>
      </c>
    </row>
    <row r="494">
      <c r="A494" s="3" t="inlineStr">
        <is>
          <t>alquiler</t>
        </is>
      </c>
      <c r="B494" s="3" t="inlineStr">
        <is>
          <t>ccaa:03</t>
        </is>
      </c>
      <c r="C494" s="3" t="inlineStr">
        <is>
          <t>P4</t>
        </is>
      </c>
      <c r="D494" s="3" t="inlineStr">
        <is>
          <t>factor_comun</t>
        </is>
      </c>
      <c r="E494" s="3" t="inlineStr">
        <is>
          <t>regional_ccaa_ols</t>
        </is>
      </c>
      <c r="F494" s="3" t="n">
        <v>-4.62465</v>
      </c>
      <c r="G494" s="3" t="n"/>
      <c r="H494" s="3" t="n"/>
      <c r="I494" s="3" t="n">
        <v>0.881252</v>
      </c>
      <c r="J494" s="3" t="n">
        <v>-8.128629999999999</v>
      </c>
      <c r="K494" s="3" t="n">
        <v>-1.52337</v>
      </c>
      <c r="L494" s="3" t="n">
        <v>-10.0493</v>
      </c>
      <c r="M494" s="3" t="n">
        <v>0.5519810000000001</v>
      </c>
      <c r="N494" s="3" t="inlineStr">
        <is>
          <t>C4</t>
        </is>
      </c>
      <c r="O494" s="3" t="inlineStr">
        <is>
          <t>no</t>
        </is>
      </c>
      <c r="P494" s="3" t="inlineStr">
        <is>
          <t>no_compite</t>
        </is>
      </c>
      <c r="Q494" s="3" t="inlineStr">
        <is>
          <t>ols_solo_factor</t>
        </is>
      </c>
      <c r="R494" s="3" t="n"/>
      <c r="S494" s="3" t="inlineStr">
        <is>
          <t>contraste regional (R6); no vota</t>
        </is>
      </c>
      <c r="T494" s="3" t="inlineStr">
        <is>
          <t>output/v8/F5/atribucion_combinada.csv</t>
        </is>
      </c>
      <c r="U494" s="2">
        <f>IF(R494=0,"",F494/R494)</f>
        <v/>
      </c>
      <c r="V494" s="2">
        <f>SUMIFS(F$2:F$1589,A$2:A$1589,A494,C$2:C$1589,C494,E$2:E$1589,E494,Q$2:Q$1589,Q494)</f>
        <v/>
      </c>
    </row>
    <row r="495">
      <c r="A495" s="3" t="inlineStr">
        <is>
          <t>alquiler</t>
        </is>
      </c>
      <c r="B495" s="3" t="inlineStr">
        <is>
          <t>ccaa:03</t>
        </is>
      </c>
      <c r="C495" s="3" t="inlineStr">
        <is>
          <t>P4</t>
        </is>
      </c>
      <c r="D495" s="3" t="inlineStr">
        <is>
          <t>residuo</t>
        </is>
      </c>
      <c r="E495" s="3" t="inlineStr">
        <is>
          <t>regional_ccaa_ols</t>
        </is>
      </c>
      <c r="F495" s="3" t="n">
        <v>-0.6231680000000001</v>
      </c>
      <c r="G495" s="3" t="n"/>
      <c r="H495" s="3" t="n"/>
      <c r="I495" s="3" t="n">
        <v>0.118748</v>
      </c>
      <c r="J495" s="3" t="n"/>
      <c r="K495" s="3" t="n"/>
      <c r="L495" s="3" t="n"/>
      <c r="M495" s="3" t="n"/>
      <c r="N495" s="3" t="inlineStr">
        <is>
          <t>C4</t>
        </is>
      </c>
      <c r="O495" s="3" t="inlineStr">
        <is>
          <t>no</t>
        </is>
      </c>
      <c r="P495" s="3" t="inlineStr">
        <is>
          <t>no_compite</t>
        </is>
      </c>
      <c r="Q495" s="3" t="inlineStr">
        <is>
          <t>ols_solo_factor</t>
        </is>
      </c>
      <c r="R495" s="3" t="n"/>
      <c r="S495" s="3" t="inlineStr">
        <is>
          <t>contraste regional (R6); no vota</t>
        </is>
      </c>
      <c r="T495" s="3" t="inlineStr">
        <is>
          <t>output/v8/F5/atribucion_combinada.csv</t>
        </is>
      </c>
      <c r="U495" s="2">
        <f>IF(R495=0,"",F495/R495)</f>
        <v/>
      </c>
      <c r="V495" s="2">
        <f>SUMIFS(F$2:F$1589,A$2:A$1589,A495,C$2:C$1589,C495,E$2:E$1589,E495,Q$2:Q$1589,Q495)</f>
        <v/>
      </c>
    </row>
    <row r="496">
      <c r="A496" s="3" t="inlineStr">
        <is>
          <t>alquiler</t>
        </is>
      </c>
      <c r="B496" s="3" t="inlineStr">
        <is>
          <t>ccaa:04</t>
        </is>
      </c>
      <c r="C496" s="3" t="inlineStr">
        <is>
          <t>P4</t>
        </is>
      </c>
      <c r="D496" s="3" t="inlineStr">
        <is>
          <t>factor_comun</t>
        </is>
      </c>
      <c r="E496" s="3" t="inlineStr">
        <is>
          <t>regional_ccaa_ols</t>
        </is>
      </c>
      <c r="F496" s="3" t="n">
        <v>-3.97643</v>
      </c>
      <c r="G496" s="3" t="n"/>
      <c r="H496" s="3" t="n"/>
      <c r="I496" s="3" t="n">
        <v>0.807395</v>
      </c>
      <c r="J496" s="3" t="n">
        <v>-7.05035</v>
      </c>
      <c r="K496" s="3" t="n">
        <v>-1.07707</v>
      </c>
      <c r="L496" s="3" t="n">
        <v>-9.47993</v>
      </c>
      <c r="M496" s="3" t="n">
        <v>-0.0668132</v>
      </c>
      <c r="N496" s="3" t="inlineStr">
        <is>
          <t>C4</t>
        </is>
      </c>
      <c r="O496" s="3" t="inlineStr">
        <is>
          <t>no</t>
        </is>
      </c>
      <c r="P496" s="3" t="inlineStr">
        <is>
          <t>no_compite</t>
        </is>
      </c>
      <c r="Q496" s="3" t="inlineStr">
        <is>
          <t>ols_solo_factor</t>
        </is>
      </c>
      <c r="R496" s="3" t="n"/>
      <c r="S496" s="3" t="inlineStr">
        <is>
          <t>contraste regional (R6); no vota</t>
        </is>
      </c>
      <c r="T496" s="3" t="inlineStr">
        <is>
          <t>output/v8/F5/atribucion_combinada.csv</t>
        </is>
      </c>
      <c r="U496" s="2">
        <f>IF(R496=0,"",F496/R496)</f>
        <v/>
      </c>
      <c r="V496" s="2">
        <f>SUMIFS(F$2:F$1589,A$2:A$1589,A496,C$2:C$1589,C496,E$2:E$1589,E496,Q$2:Q$1589,Q496)</f>
        <v/>
      </c>
    </row>
    <row r="497">
      <c r="A497" s="3" t="inlineStr">
        <is>
          <t>alquiler</t>
        </is>
      </c>
      <c r="B497" s="3" t="inlineStr">
        <is>
          <t>ccaa:04</t>
        </is>
      </c>
      <c r="C497" s="3" t="inlineStr">
        <is>
          <t>P4</t>
        </is>
      </c>
      <c r="D497" s="3" t="inlineStr">
        <is>
          <t>residuo</t>
        </is>
      </c>
      <c r="E497" s="3" t="inlineStr">
        <is>
          <t>regional_ccaa_ols</t>
        </is>
      </c>
      <c r="F497" s="3" t="n">
        <v>-0.948583</v>
      </c>
      <c r="G497" s="3" t="n"/>
      <c r="H497" s="3" t="n"/>
      <c r="I497" s="3" t="n">
        <v>0.192605</v>
      </c>
      <c r="J497" s="3" t="n"/>
      <c r="K497" s="3" t="n"/>
      <c r="L497" s="3" t="n"/>
      <c r="M497" s="3" t="n"/>
      <c r="N497" s="3" t="inlineStr">
        <is>
          <t>C4</t>
        </is>
      </c>
      <c r="O497" s="3" t="inlineStr">
        <is>
          <t>no</t>
        </is>
      </c>
      <c r="P497" s="3" t="inlineStr">
        <is>
          <t>no_compite</t>
        </is>
      </c>
      <c r="Q497" s="3" t="inlineStr">
        <is>
          <t>ols_solo_factor</t>
        </is>
      </c>
      <c r="R497" s="3" t="n"/>
      <c r="S497" s="3" t="inlineStr">
        <is>
          <t>contraste regional (R6); no vota</t>
        </is>
      </c>
      <c r="T497" s="3" t="inlineStr">
        <is>
          <t>output/v8/F5/atribucion_combinada.csv</t>
        </is>
      </c>
      <c r="U497" s="2">
        <f>IF(R497=0,"",F497/R497)</f>
        <v/>
      </c>
      <c r="V497" s="2">
        <f>SUMIFS(F$2:F$1589,A$2:A$1589,A497,C$2:C$1589,C497,E$2:E$1589,E497,Q$2:Q$1589,Q497)</f>
        <v/>
      </c>
    </row>
    <row r="498">
      <c r="A498" s="3" t="inlineStr">
        <is>
          <t>alquiler</t>
        </is>
      </c>
      <c r="B498" s="3" t="inlineStr">
        <is>
          <t>ccaa:05</t>
        </is>
      </c>
      <c r="C498" s="3" t="inlineStr">
        <is>
          <t>P4</t>
        </is>
      </c>
      <c r="D498" s="3" t="inlineStr">
        <is>
          <t>factor_comun</t>
        </is>
      </c>
      <c r="E498" s="3" t="inlineStr">
        <is>
          <t>regional_ccaa_ols</t>
        </is>
      </c>
      <c r="F498" s="3" t="n">
        <v>-4.60529</v>
      </c>
      <c r="G498" s="3" t="n"/>
      <c r="H498" s="3" t="n"/>
      <c r="I498" s="3" t="n">
        <v>0.9408</v>
      </c>
      <c r="J498" s="3" t="n">
        <v>-7.94222</v>
      </c>
      <c r="K498" s="3" t="n">
        <v>-1.50102</v>
      </c>
      <c r="L498" s="3" t="n">
        <v>-10.0938</v>
      </c>
      <c r="M498" s="3" t="n">
        <v>0.656175</v>
      </c>
      <c r="N498" s="3" t="inlineStr">
        <is>
          <t>C4</t>
        </is>
      </c>
      <c r="O498" s="3" t="inlineStr">
        <is>
          <t>no</t>
        </is>
      </c>
      <c r="P498" s="3" t="inlineStr">
        <is>
          <t>no_compite</t>
        </is>
      </c>
      <c r="Q498" s="3" t="inlineStr">
        <is>
          <t>ols_solo_factor</t>
        </is>
      </c>
      <c r="R498" s="3" t="n"/>
      <c r="S498" s="3" t="inlineStr">
        <is>
          <t>contraste regional (R6); no vota</t>
        </is>
      </c>
      <c r="T498" s="3" t="inlineStr">
        <is>
          <t>output/v8/F5/atribucion_combinada.csv</t>
        </is>
      </c>
      <c r="U498" s="2">
        <f>IF(R498=0,"",F498/R498)</f>
        <v/>
      </c>
      <c r="V498" s="2">
        <f>SUMIFS(F$2:F$1589,A$2:A$1589,A498,C$2:C$1589,C498,E$2:E$1589,E498,Q$2:Q$1589,Q498)</f>
        <v/>
      </c>
    </row>
    <row r="499">
      <c r="A499" s="3" t="inlineStr">
        <is>
          <t>alquiler</t>
        </is>
      </c>
      <c r="B499" s="3" t="inlineStr">
        <is>
          <t>ccaa:05</t>
        </is>
      </c>
      <c r="C499" s="3" t="inlineStr">
        <is>
          <t>P4</t>
        </is>
      </c>
      <c r="D499" s="3" t="inlineStr">
        <is>
          <t>residuo</t>
        </is>
      </c>
      <c r="E499" s="3" t="inlineStr">
        <is>
          <t>regional_ccaa_ols</t>
        </is>
      </c>
      <c r="F499" s="3" t="n">
        <v>-0.289787</v>
      </c>
      <c r="G499" s="3" t="n"/>
      <c r="H499" s="3" t="n"/>
      <c r="I499" s="3" t="n">
        <v>0.0591997</v>
      </c>
      <c r="J499" s="3" t="n"/>
      <c r="K499" s="3" t="n"/>
      <c r="L499" s="3" t="n"/>
      <c r="M499" s="3" t="n"/>
      <c r="N499" s="3" t="inlineStr">
        <is>
          <t>C4</t>
        </is>
      </c>
      <c r="O499" s="3" t="inlineStr">
        <is>
          <t>no</t>
        </is>
      </c>
      <c r="P499" s="3" t="inlineStr">
        <is>
          <t>no_compite</t>
        </is>
      </c>
      <c r="Q499" s="3" t="inlineStr">
        <is>
          <t>ols_solo_factor</t>
        </is>
      </c>
      <c r="R499" s="3" t="n"/>
      <c r="S499" s="3" t="inlineStr">
        <is>
          <t>contraste regional (R6); no vota</t>
        </is>
      </c>
      <c r="T499" s="3" t="inlineStr">
        <is>
          <t>output/v8/F5/atribucion_combinada.csv</t>
        </is>
      </c>
      <c r="U499" s="2">
        <f>IF(R499=0,"",F499/R499)</f>
        <v/>
      </c>
      <c r="V499" s="2">
        <f>SUMIFS(F$2:F$1589,A$2:A$1589,A499,C$2:C$1589,C499,E$2:E$1589,E499,Q$2:Q$1589,Q499)</f>
        <v/>
      </c>
    </row>
    <row r="500">
      <c r="A500" s="3" t="inlineStr">
        <is>
          <t>alquiler</t>
        </is>
      </c>
      <c r="B500" s="3" t="inlineStr">
        <is>
          <t>ccaa:06</t>
        </is>
      </c>
      <c r="C500" s="3" t="inlineStr">
        <is>
          <t>P4</t>
        </is>
      </c>
      <c r="D500" s="3" t="inlineStr">
        <is>
          <t>factor_comun</t>
        </is>
      </c>
      <c r="E500" s="3" t="inlineStr">
        <is>
          <t>regional_ccaa_ols</t>
        </is>
      </c>
      <c r="F500" s="3" t="n">
        <v>-4.38234</v>
      </c>
      <c r="G500" s="3" t="n"/>
      <c r="H500" s="3" t="n"/>
      <c r="I500" s="3" t="n">
        <v>0.779765</v>
      </c>
      <c r="J500" s="3" t="n">
        <v>-8.021929999999999</v>
      </c>
      <c r="K500" s="3" t="n">
        <v>-1.95836</v>
      </c>
      <c r="L500" s="3" t="n">
        <v>-9.544169999999999</v>
      </c>
      <c r="M500" s="3" t="n">
        <v>-0.154185</v>
      </c>
      <c r="N500" s="3" t="inlineStr">
        <is>
          <t>C4</t>
        </is>
      </c>
      <c r="O500" s="3" t="inlineStr">
        <is>
          <t>no</t>
        </is>
      </c>
      <c r="P500" s="3" t="inlineStr">
        <is>
          <t>no_compite</t>
        </is>
      </c>
      <c r="Q500" s="3" t="inlineStr">
        <is>
          <t>ols_solo_factor</t>
        </is>
      </c>
      <c r="R500" s="3" t="n"/>
      <c r="S500" s="3" t="inlineStr">
        <is>
          <t>contraste regional (R6); no vota</t>
        </is>
      </c>
      <c r="T500" s="3" t="inlineStr">
        <is>
          <t>output/v8/F5/atribucion_combinada.csv</t>
        </is>
      </c>
      <c r="U500" s="2">
        <f>IF(R500=0,"",F500/R500)</f>
        <v/>
      </c>
      <c r="V500" s="2">
        <f>SUMIFS(F$2:F$1589,A$2:A$1589,A500,C$2:C$1589,C500,E$2:E$1589,E500,Q$2:Q$1589,Q500)</f>
        <v/>
      </c>
    </row>
    <row r="501">
      <c r="A501" s="3" t="inlineStr">
        <is>
          <t>alquiler</t>
        </is>
      </c>
      <c r="B501" s="3" t="inlineStr">
        <is>
          <t>ccaa:06</t>
        </is>
      </c>
      <c r="C501" s="3" t="inlineStr">
        <is>
          <t>P4</t>
        </is>
      </c>
      <c r="D501" s="3" t="inlineStr">
        <is>
          <t>residuo</t>
        </is>
      </c>
      <c r="E501" s="3" t="inlineStr">
        <is>
          <t>regional_ccaa_ols</t>
        </is>
      </c>
      <c r="F501" s="3" t="n">
        <v>-1.23774</v>
      </c>
      <c r="G501" s="3" t="n"/>
      <c r="H501" s="3" t="n"/>
      <c r="I501" s="3" t="n">
        <v>0.220235</v>
      </c>
      <c r="J501" s="3" t="n"/>
      <c r="K501" s="3" t="n"/>
      <c r="L501" s="3" t="n"/>
      <c r="M501" s="3" t="n"/>
      <c r="N501" s="3" t="inlineStr">
        <is>
          <t>C4</t>
        </is>
      </c>
      <c r="O501" s="3" t="inlineStr">
        <is>
          <t>no</t>
        </is>
      </c>
      <c r="P501" s="3" t="inlineStr">
        <is>
          <t>no_compite</t>
        </is>
      </c>
      <c r="Q501" s="3" t="inlineStr">
        <is>
          <t>ols_solo_factor</t>
        </is>
      </c>
      <c r="R501" s="3" t="n"/>
      <c r="S501" s="3" t="inlineStr">
        <is>
          <t>contraste regional (R6); no vota</t>
        </is>
      </c>
      <c r="T501" s="3" t="inlineStr">
        <is>
          <t>output/v8/F5/atribucion_combinada.csv</t>
        </is>
      </c>
      <c r="U501" s="2">
        <f>IF(R501=0,"",F501/R501)</f>
        <v/>
      </c>
      <c r="V501" s="2">
        <f>SUMIFS(F$2:F$1589,A$2:A$1589,A501,C$2:C$1589,C501,E$2:E$1589,E501,Q$2:Q$1589,Q501)</f>
        <v/>
      </c>
    </row>
    <row r="502">
      <c r="A502" s="3" t="inlineStr">
        <is>
          <t>alquiler</t>
        </is>
      </c>
      <c r="B502" s="3" t="inlineStr">
        <is>
          <t>ccaa:07</t>
        </is>
      </c>
      <c r="C502" s="3" t="inlineStr">
        <is>
          <t>P4</t>
        </is>
      </c>
      <c r="D502" s="3" t="inlineStr">
        <is>
          <t>factor_comun</t>
        </is>
      </c>
      <c r="E502" s="3" t="inlineStr">
        <is>
          <t>regional_ccaa_ols</t>
        </is>
      </c>
      <c r="F502" s="3" t="n">
        <v>-4.63586</v>
      </c>
      <c r="G502" s="3" t="n"/>
      <c r="H502" s="3" t="n"/>
      <c r="I502" s="3" t="n">
        <v>0.936414</v>
      </c>
      <c r="J502" s="3" t="n">
        <v>-8.001799999999999</v>
      </c>
      <c r="K502" s="3" t="n">
        <v>-1.287</v>
      </c>
      <c r="L502" s="3" t="n">
        <v>-10.2835</v>
      </c>
      <c r="M502" s="3" t="n">
        <v>0.67015</v>
      </c>
      <c r="N502" s="3" t="inlineStr">
        <is>
          <t>C4</t>
        </is>
      </c>
      <c r="O502" s="3" t="inlineStr">
        <is>
          <t>no</t>
        </is>
      </c>
      <c r="P502" s="3" t="inlineStr">
        <is>
          <t>no_compite</t>
        </is>
      </c>
      <c r="Q502" s="3" t="inlineStr">
        <is>
          <t>ols_solo_factor</t>
        </is>
      </c>
      <c r="R502" s="3" t="n"/>
      <c r="S502" s="3" t="inlineStr">
        <is>
          <t>contraste regional (R6); no vota</t>
        </is>
      </c>
      <c r="T502" s="3" t="inlineStr">
        <is>
          <t>output/v8/F5/atribucion_combinada.csv</t>
        </is>
      </c>
      <c r="U502" s="2">
        <f>IF(R502=0,"",F502/R502)</f>
        <v/>
      </c>
      <c r="V502" s="2">
        <f>SUMIFS(F$2:F$1589,A$2:A$1589,A502,C$2:C$1589,C502,E$2:E$1589,E502,Q$2:Q$1589,Q502)</f>
        <v/>
      </c>
    </row>
    <row r="503">
      <c r="A503" s="3" t="inlineStr">
        <is>
          <t>alquiler</t>
        </is>
      </c>
      <c r="B503" s="3" t="inlineStr">
        <is>
          <t>ccaa:07</t>
        </is>
      </c>
      <c r="C503" s="3" t="inlineStr">
        <is>
          <t>P4</t>
        </is>
      </c>
      <c r="D503" s="3" t="inlineStr">
        <is>
          <t>residuo</t>
        </is>
      </c>
      <c r="E503" s="3" t="inlineStr">
        <is>
          <t>regional_ccaa_ols</t>
        </is>
      </c>
      <c r="F503" s="3" t="n">
        <v>-0.314792</v>
      </c>
      <c r="G503" s="3" t="n"/>
      <c r="H503" s="3" t="n"/>
      <c r="I503" s="3" t="n">
        <v>0.063586</v>
      </c>
      <c r="J503" s="3" t="n"/>
      <c r="K503" s="3" t="n"/>
      <c r="L503" s="3" t="n"/>
      <c r="M503" s="3" t="n"/>
      <c r="N503" s="3" t="inlineStr">
        <is>
          <t>C4</t>
        </is>
      </c>
      <c r="O503" s="3" t="inlineStr">
        <is>
          <t>no</t>
        </is>
      </c>
      <c r="P503" s="3" t="inlineStr">
        <is>
          <t>no_compite</t>
        </is>
      </c>
      <c r="Q503" s="3" t="inlineStr">
        <is>
          <t>ols_solo_factor</t>
        </is>
      </c>
      <c r="R503" s="3" t="n"/>
      <c r="S503" s="3" t="inlineStr">
        <is>
          <t>contraste regional (R6); no vota</t>
        </is>
      </c>
      <c r="T503" s="3" t="inlineStr">
        <is>
          <t>output/v8/F5/atribucion_combinada.csv</t>
        </is>
      </c>
      <c r="U503" s="2">
        <f>IF(R503=0,"",F503/R503)</f>
        <v/>
      </c>
      <c r="V503" s="2">
        <f>SUMIFS(F$2:F$1589,A$2:A$1589,A503,C$2:C$1589,C503,E$2:E$1589,E503,Q$2:Q$1589,Q503)</f>
        <v/>
      </c>
    </row>
    <row r="504">
      <c r="A504" s="3" t="inlineStr">
        <is>
          <t>alquiler</t>
        </is>
      </c>
      <c r="B504" s="3" t="inlineStr">
        <is>
          <t>ccaa:08</t>
        </is>
      </c>
      <c r="C504" s="3" t="inlineStr">
        <is>
          <t>P4</t>
        </is>
      </c>
      <c r="D504" s="3" t="inlineStr">
        <is>
          <t>factor_comun</t>
        </is>
      </c>
      <c r="E504" s="3" t="inlineStr">
        <is>
          <t>regional_ccaa_ols</t>
        </is>
      </c>
      <c r="F504" s="3" t="n">
        <v>-4.88621</v>
      </c>
      <c r="G504" s="3" t="n"/>
      <c r="H504" s="3" t="n"/>
      <c r="I504" s="3" t="n">
        <v>0.933034</v>
      </c>
      <c r="J504" s="3" t="n">
        <v>-7.83877</v>
      </c>
      <c r="K504" s="3" t="n">
        <v>-1.34815</v>
      </c>
      <c r="L504" s="3" t="n">
        <v>-10.4251</v>
      </c>
      <c r="M504" s="3" t="n">
        <v>0.662488</v>
      </c>
      <c r="N504" s="3" t="inlineStr">
        <is>
          <t>C4</t>
        </is>
      </c>
      <c r="O504" s="3" t="inlineStr">
        <is>
          <t>no</t>
        </is>
      </c>
      <c r="P504" s="3" t="inlineStr">
        <is>
          <t>no_compite</t>
        </is>
      </c>
      <c r="Q504" s="3" t="inlineStr">
        <is>
          <t>ols_solo_factor</t>
        </is>
      </c>
      <c r="R504" s="3" t="n"/>
      <c r="S504" s="3" t="inlineStr">
        <is>
          <t>contraste regional (R6); no vota</t>
        </is>
      </c>
      <c r="T504" s="3" t="inlineStr">
        <is>
          <t>output/v8/F5/atribucion_combinada.csv</t>
        </is>
      </c>
      <c r="U504" s="2">
        <f>IF(R504=0,"",F504/R504)</f>
        <v/>
      </c>
      <c r="V504" s="2">
        <f>SUMIFS(F$2:F$1589,A$2:A$1589,A504,C$2:C$1589,C504,E$2:E$1589,E504,Q$2:Q$1589,Q504)</f>
        <v/>
      </c>
    </row>
    <row r="505">
      <c r="A505" s="3" t="inlineStr">
        <is>
          <t>alquiler</t>
        </is>
      </c>
      <c r="B505" s="3" t="inlineStr">
        <is>
          <t>ccaa:08</t>
        </is>
      </c>
      <c r="C505" s="3" t="inlineStr">
        <is>
          <t>P4</t>
        </is>
      </c>
      <c r="D505" s="3" t="inlineStr">
        <is>
          <t>residuo</t>
        </is>
      </c>
      <c r="E505" s="3" t="inlineStr">
        <is>
          <t>regional_ccaa_ols</t>
        </is>
      </c>
      <c r="F505" s="3" t="n">
        <v>-0.350695</v>
      </c>
      <c r="G505" s="3" t="n"/>
      <c r="H505" s="3" t="n"/>
      <c r="I505" s="3" t="n">
        <v>0.0669661</v>
      </c>
      <c r="J505" s="3" t="n"/>
      <c r="K505" s="3" t="n"/>
      <c r="L505" s="3" t="n"/>
      <c r="M505" s="3" t="n"/>
      <c r="N505" s="3" t="inlineStr">
        <is>
          <t>C4</t>
        </is>
      </c>
      <c r="O505" s="3" t="inlineStr">
        <is>
          <t>no</t>
        </is>
      </c>
      <c r="P505" s="3" t="inlineStr">
        <is>
          <t>no_compite</t>
        </is>
      </c>
      <c r="Q505" s="3" t="inlineStr">
        <is>
          <t>ols_solo_factor</t>
        </is>
      </c>
      <c r="R505" s="3" t="n"/>
      <c r="S505" s="3" t="inlineStr">
        <is>
          <t>contraste regional (R6); no vota</t>
        </is>
      </c>
      <c r="T505" s="3" t="inlineStr">
        <is>
          <t>output/v8/F5/atribucion_combinada.csv</t>
        </is>
      </c>
      <c r="U505" s="2">
        <f>IF(R505=0,"",F505/R505)</f>
        <v/>
      </c>
      <c r="V505" s="2">
        <f>SUMIFS(F$2:F$1589,A$2:A$1589,A505,C$2:C$1589,C505,E$2:E$1589,E505,Q$2:Q$1589,Q505)</f>
        <v/>
      </c>
    </row>
    <row r="506">
      <c r="A506" s="3" t="inlineStr">
        <is>
          <t>alquiler</t>
        </is>
      </c>
      <c r="B506" s="3" t="inlineStr">
        <is>
          <t>ccaa:09</t>
        </is>
      </c>
      <c r="C506" s="3" t="inlineStr">
        <is>
          <t>P4</t>
        </is>
      </c>
      <c r="D506" s="3" t="inlineStr">
        <is>
          <t>factor_comun</t>
        </is>
      </c>
      <c r="E506" s="3" t="inlineStr">
        <is>
          <t>regional_ccaa_ols</t>
        </is>
      </c>
      <c r="F506" s="3" t="n">
        <v>-5.26734</v>
      </c>
      <c r="G506" s="3" t="n"/>
      <c r="H506" s="3" t="n"/>
      <c r="I506" s="3" t="n">
        <v>1.22201</v>
      </c>
      <c r="J506" s="3" t="n">
        <v>-8.919919999999999</v>
      </c>
      <c r="K506" s="3" t="n">
        <v>-1.9735</v>
      </c>
      <c r="L506" s="3" t="n">
        <v>-11.5019</v>
      </c>
      <c r="M506" s="3" t="n">
        <v>0.405994</v>
      </c>
      <c r="N506" s="3" t="inlineStr">
        <is>
          <t>C4</t>
        </is>
      </c>
      <c r="O506" s="3" t="inlineStr">
        <is>
          <t>no</t>
        </is>
      </c>
      <c r="P506" s="3" t="inlineStr">
        <is>
          <t>no_compite</t>
        </is>
      </c>
      <c r="Q506" s="3" t="inlineStr">
        <is>
          <t>ols_solo_factor</t>
        </is>
      </c>
      <c r="R506" s="3" t="n"/>
      <c r="S506" s="3" t="inlineStr">
        <is>
          <t>contraste regional (R6); no vota</t>
        </is>
      </c>
      <c r="T506" s="3" t="inlineStr">
        <is>
          <t>output/v8/F5/atribucion_combinada.csv</t>
        </is>
      </c>
      <c r="U506" s="2">
        <f>IF(R506=0,"",F506/R506)</f>
        <v/>
      </c>
      <c r="V506" s="2">
        <f>SUMIFS(F$2:F$1589,A$2:A$1589,A506,C$2:C$1589,C506,E$2:E$1589,E506,Q$2:Q$1589,Q506)</f>
        <v/>
      </c>
    </row>
    <row r="507">
      <c r="A507" s="3" t="inlineStr">
        <is>
          <t>alquiler</t>
        </is>
      </c>
      <c r="B507" s="3" t="inlineStr">
        <is>
          <t>ccaa:09</t>
        </is>
      </c>
      <c r="C507" s="3" t="inlineStr">
        <is>
          <t>P4</t>
        </is>
      </c>
      <c r="D507" s="3" t="inlineStr">
        <is>
          <t>residuo</t>
        </is>
      </c>
      <c r="E507" s="3" t="inlineStr">
        <is>
          <t>regional_ccaa_ols</t>
        </is>
      </c>
      <c r="F507" s="3" t="n">
        <v>0.956946</v>
      </c>
      <c r="G507" s="3" t="n"/>
      <c r="H507" s="3" t="n"/>
      <c r="I507" s="3" t="n">
        <v>-0.222009</v>
      </c>
      <c r="J507" s="3" t="n"/>
      <c r="K507" s="3" t="n"/>
      <c r="L507" s="3" t="n"/>
      <c r="M507" s="3" t="n"/>
      <c r="N507" s="3" t="inlineStr">
        <is>
          <t>C4</t>
        </is>
      </c>
      <c r="O507" s="3" t="inlineStr">
        <is>
          <t>no</t>
        </is>
      </c>
      <c r="P507" s="3" t="inlineStr">
        <is>
          <t>no_compite</t>
        </is>
      </c>
      <c r="Q507" s="3" t="inlineStr">
        <is>
          <t>ols_solo_factor</t>
        </is>
      </c>
      <c r="R507" s="3" t="n"/>
      <c r="S507" s="3" t="inlineStr">
        <is>
          <t>contraste regional (R6); no vota</t>
        </is>
      </c>
      <c r="T507" s="3" t="inlineStr">
        <is>
          <t>output/v8/F5/atribucion_combinada.csv</t>
        </is>
      </c>
      <c r="U507" s="2">
        <f>IF(R507=0,"",F507/R507)</f>
        <v/>
      </c>
      <c r="V507" s="2">
        <f>SUMIFS(F$2:F$1589,A$2:A$1589,A507,C$2:C$1589,C507,E$2:E$1589,E507,Q$2:Q$1589,Q507)</f>
        <v/>
      </c>
    </row>
    <row r="508">
      <c r="A508" s="3" t="inlineStr">
        <is>
          <t>alquiler</t>
        </is>
      </c>
      <c r="B508" s="3" t="inlineStr">
        <is>
          <t>ccaa:10</t>
        </is>
      </c>
      <c r="C508" s="3" t="inlineStr">
        <is>
          <t>P4</t>
        </is>
      </c>
      <c r="D508" s="3" t="inlineStr">
        <is>
          <t>factor_comun</t>
        </is>
      </c>
      <c r="E508" s="3" t="inlineStr">
        <is>
          <t>regional_ccaa_ols</t>
        </is>
      </c>
      <c r="F508" s="3" t="n">
        <v>-4.81837</v>
      </c>
      <c r="G508" s="3" t="n"/>
      <c r="H508" s="3" t="n"/>
      <c r="I508" s="3" t="n">
        <v>1.22755</v>
      </c>
      <c r="J508" s="3" t="n">
        <v>-8.01745</v>
      </c>
      <c r="K508" s="3" t="n">
        <v>-0.836114</v>
      </c>
      <c r="L508" s="3" t="n">
        <v>-9.25375</v>
      </c>
      <c r="M508" s="3" t="n">
        <v>0.752631</v>
      </c>
      <c r="N508" s="3" t="inlineStr">
        <is>
          <t>C4</t>
        </is>
      </c>
      <c r="O508" s="3" t="inlineStr">
        <is>
          <t>no</t>
        </is>
      </c>
      <c r="P508" s="3" t="inlineStr">
        <is>
          <t>no_compite</t>
        </is>
      </c>
      <c r="Q508" s="3" t="inlineStr">
        <is>
          <t>ols_solo_factor</t>
        </is>
      </c>
      <c r="R508" s="3" t="n"/>
      <c r="S508" s="3" t="inlineStr">
        <is>
          <t>contraste regional (R6); no vota</t>
        </is>
      </c>
      <c r="T508" s="3" t="inlineStr">
        <is>
          <t>output/v8/F5/atribucion_combinada.csv</t>
        </is>
      </c>
      <c r="U508" s="2">
        <f>IF(R508=0,"",F508/R508)</f>
        <v/>
      </c>
      <c r="V508" s="2">
        <f>SUMIFS(F$2:F$1589,A$2:A$1589,A508,C$2:C$1589,C508,E$2:E$1589,E508,Q$2:Q$1589,Q508)</f>
        <v/>
      </c>
    </row>
    <row r="509">
      <c r="A509" s="3" t="inlineStr">
        <is>
          <t>alquiler</t>
        </is>
      </c>
      <c r="B509" s="3" t="inlineStr">
        <is>
          <t>ccaa:10</t>
        </is>
      </c>
      <c r="C509" s="3" t="inlineStr">
        <is>
          <t>P4</t>
        </is>
      </c>
      <c r="D509" s="3" t="inlineStr">
        <is>
          <t>residuo</t>
        </is>
      </c>
      <c r="E509" s="3" t="inlineStr">
        <is>
          <t>regional_ccaa_ols</t>
        </is>
      </c>
      <c r="F509" s="3" t="n">
        <v>0.89319</v>
      </c>
      <c r="G509" s="3" t="n"/>
      <c r="H509" s="3" t="n"/>
      <c r="I509" s="3" t="n">
        <v>-0.227554</v>
      </c>
      <c r="J509" s="3" t="n"/>
      <c r="K509" s="3" t="n"/>
      <c r="L509" s="3" t="n"/>
      <c r="M509" s="3" t="n"/>
      <c r="N509" s="3" t="inlineStr">
        <is>
          <t>C4</t>
        </is>
      </c>
      <c r="O509" s="3" t="inlineStr">
        <is>
          <t>no</t>
        </is>
      </c>
      <c r="P509" s="3" t="inlineStr">
        <is>
          <t>no_compite</t>
        </is>
      </c>
      <c r="Q509" s="3" t="inlineStr">
        <is>
          <t>ols_solo_factor</t>
        </is>
      </c>
      <c r="R509" s="3" t="n"/>
      <c r="S509" s="3" t="inlineStr">
        <is>
          <t>contraste regional (R6); no vota</t>
        </is>
      </c>
      <c r="T509" s="3" t="inlineStr">
        <is>
          <t>output/v8/F5/atribucion_combinada.csv</t>
        </is>
      </c>
      <c r="U509" s="2">
        <f>IF(R509=0,"",F509/R509)</f>
        <v/>
      </c>
      <c r="V509" s="2">
        <f>SUMIFS(F$2:F$1589,A$2:A$1589,A509,C$2:C$1589,C509,E$2:E$1589,E509,Q$2:Q$1589,Q509)</f>
        <v/>
      </c>
    </row>
    <row r="510">
      <c r="A510" s="3" t="inlineStr">
        <is>
          <t>alquiler</t>
        </is>
      </c>
      <c r="B510" s="3" t="inlineStr">
        <is>
          <t>ccaa:11</t>
        </is>
      </c>
      <c r="C510" s="3" t="inlineStr">
        <is>
          <t>P4</t>
        </is>
      </c>
      <c r="D510" s="3" t="inlineStr">
        <is>
          <t>factor_comun</t>
        </is>
      </c>
      <c r="E510" s="3" t="inlineStr">
        <is>
          <t>regional_ccaa_ols</t>
        </is>
      </c>
      <c r="F510" s="3" t="n">
        <v>-4.8676</v>
      </c>
      <c r="G510" s="3" t="n"/>
      <c r="H510" s="3" t="n"/>
      <c r="I510" s="3" t="n">
        <v>0.9690879999999999</v>
      </c>
      <c r="J510" s="3" t="n">
        <v>-8.303599999999999</v>
      </c>
      <c r="K510" s="3" t="n">
        <v>-1.34973</v>
      </c>
      <c r="L510" s="3" t="n">
        <v>-10.8014</v>
      </c>
      <c r="M510" s="3" t="n">
        <v>0.538461</v>
      </c>
      <c r="N510" s="3" t="inlineStr">
        <is>
          <t>C4</t>
        </is>
      </c>
      <c r="O510" s="3" t="inlineStr">
        <is>
          <t>no</t>
        </is>
      </c>
      <c r="P510" s="3" t="inlineStr">
        <is>
          <t>no_compite</t>
        </is>
      </c>
      <c r="Q510" s="3" t="inlineStr">
        <is>
          <t>ols_solo_factor</t>
        </is>
      </c>
      <c r="R510" s="3" t="n"/>
      <c r="S510" s="3" t="inlineStr">
        <is>
          <t>contraste regional (R6); no vota</t>
        </is>
      </c>
      <c r="T510" s="3" t="inlineStr">
        <is>
          <t>output/v8/F5/atribucion_combinada.csv</t>
        </is>
      </c>
      <c r="U510" s="2">
        <f>IF(R510=0,"",F510/R510)</f>
        <v/>
      </c>
      <c r="V510" s="2">
        <f>SUMIFS(F$2:F$1589,A$2:A$1589,A510,C$2:C$1589,C510,E$2:E$1589,E510,Q$2:Q$1589,Q510)</f>
        <v/>
      </c>
    </row>
    <row r="511">
      <c r="A511" s="3" t="inlineStr">
        <is>
          <t>alquiler</t>
        </is>
      </c>
      <c r="B511" s="3" t="inlineStr">
        <is>
          <t>ccaa:11</t>
        </is>
      </c>
      <c r="C511" s="3" t="inlineStr">
        <is>
          <t>P4</t>
        </is>
      </c>
      <c r="D511" s="3" t="inlineStr">
        <is>
          <t>residuo</t>
        </is>
      </c>
      <c r="E511" s="3" t="inlineStr">
        <is>
          <t>regional_ccaa_ols</t>
        </is>
      </c>
      <c r="F511" s="3" t="n">
        <v>-0.155269</v>
      </c>
      <c r="G511" s="3" t="n"/>
      <c r="H511" s="3" t="n"/>
      <c r="I511" s="3" t="n">
        <v>0.0309123</v>
      </c>
      <c r="J511" s="3" t="n"/>
      <c r="K511" s="3" t="n"/>
      <c r="L511" s="3" t="n"/>
      <c r="M511" s="3" t="n"/>
      <c r="N511" s="3" t="inlineStr">
        <is>
          <t>C4</t>
        </is>
      </c>
      <c r="O511" s="3" t="inlineStr">
        <is>
          <t>no</t>
        </is>
      </c>
      <c r="P511" s="3" t="inlineStr">
        <is>
          <t>no_compite</t>
        </is>
      </c>
      <c r="Q511" s="3" t="inlineStr">
        <is>
          <t>ols_solo_factor</t>
        </is>
      </c>
      <c r="R511" s="3" t="n"/>
      <c r="S511" s="3" t="inlineStr">
        <is>
          <t>contraste regional (R6); no vota</t>
        </is>
      </c>
      <c r="T511" s="3" t="inlineStr">
        <is>
          <t>output/v8/F5/atribucion_combinada.csv</t>
        </is>
      </c>
      <c r="U511" s="2">
        <f>IF(R511=0,"",F511/R511)</f>
        <v/>
      </c>
      <c r="V511" s="2">
        <f>SUMIFS(F$2:F$1589,A$2:A$1589,A511,C$2:C$1589,C511,E$2:E$1589,E511,Q$2:Q$1589,Q511)</f>
        <v/>
      </c>
    </row>
    <row r="512">
      <c r="A512" s="3" t="inlineStr">
        <is>
          <t>alquiler</t>
        </is>
      </c>
      <c r="B512" s="3" t="inlineStr">
        <is>
          <t>ccaa:12</t>
        </is>
      </c>
      <c r="C512" s="3" t="inlineStr">
        <is>
          <t>P4</t>
        </is>
      </c>
      <c r="D512" s="3" t="inlineStr">
        <is>
          <t>factor_comun</t>
        </is>
      </c>
      <c r="E512" s="3" t="inlineStr">
        <is>
          <t>regional_ccaa_ols</t>
        </is>
      </c>
      <c r="F512" s="3" t="n">
        <v>-4.55854</v>
      </c>
      <c r="G512" s="3" t="n"/>
      <c r="H512" s="3" t="n"/>
      <c r="I512" s="3" t="n">
        <v>0.930017</v>
      </c>
      <c r="J512" s="3" t="n">
        <v>-7.55953</v>
      </c>
      <c r="K512" s="3" t="n">
        <v>-1.43185</v>
      </c>
      <c r="L512" s="3" t="n">
        <v>-9.04476</v>
      </c>
      <c r="M512" s="3" t="n">
        <v>0.647793</v>
      </c>
      <c r="N512" s="3" t="inlineStr">
        <is>
          <t>C4</t>
        </is>
      </c>
      <c r="O512" s="3" t="inlineStr">
        <is>
          <t>no</t>
        </is>
      </c>
      <c r="P512" s="3" t="inlineStr">
        <is>
          <t>no_compite</t>
        </is>
      </c>
      <c r="Q512" s="3" t="inlineStr">
        <is>
          <t>ols_solo_factor</t>
        </is>
      </c>
      <c r="R512" s="3" t="n"/>
      <c r="S512" s="3" t="inlineStr">
        <is>
          <t>contraste regional (R6); no vota</t>
        </is>
      </c>
      <c r="T512" s="3" t="inlineStr">
        <is>
          <t>output/v8/F5/atribucion_combinada.csv</t>
        </is>
      </c>
      <c r="U512" s="2">
        <f>IF(R512=0,"",F512/R512)</f>
        <v/>
      </c>
      <c r="V512" s="2">
        <f>SUMIFS(F$2:F$1589,A$2:A$1589,A512,C$2:C$1589,C512,E$2:E$1589,E512,Q$2:Q$1589,Q512)</f>
        <v/>
      </c>
    </row>
    <row r="513">
      <c r="A513" s="3" t="inlineStr">
        <is>
          <t>alquiler</t>
        </is>
      </c>
      <c r="B513" s="3" t="inlineStr">
        <is>
          <t>ccaa:12</t>
        </is>
      </c>
      <c r="C513" s="3" t="inlineStr">
        <is>
          <t>P4</t>
        </is>
      </c>
      <c r="D513" s="3" t="inlineStr">
        <is>
          <t>residuo</t>
        </is>
      </c>
      <c r="E513" s="3" t="inlineStr">
        <is>
          <t>regional_ccaa_ols</t>
        </is>
      </c>
      <c r="F513" s="3" t="n">
        <v>-0.343024</v>
      </c>
      <c r="G513" s="3" t="n"/>
      <c r="H513" s="3" t="n"/>
      <c r="I513" s="3" t="n">
        <v>0.0699825</v>
      </c>
      <c r="J513" s="3" t="n"/>
      <c r="K513" s="3" t="n"/>
      <c r="L513" s="3" t="n"/>
      <c r="M513" s="3" t="n"/>
      <c r="N513" s="3" t="inlineStr">
        <is>
          <t>C4</t>
        </is>
      </c>
      <c r="O513" s="3" t="inlineStr">
        <is>
          <t>no</t>
        </is>
      </c>
      <c r="P513" s="3" t="inlineStr">
        <is>
          <t>no_compite</t>
        </is>
      </c>
      <c r="Q513" s="3" t="inlineStr">
        <is>
          <t>ols_solo_factor</t>
        </is>
      </c>
      <c r="R513" s="3" t="n"/>
      <c r="S513" s="3" t="inlineStr">
        <is>
          <t>contraste regional (R6); no vota</t>
        </is>
      </c>
      <c r="T513" s="3" t="inlineStr">
        <is>
          <t>output/v8/F5/atribucion_combinada.csv</t>
        </is>
      </c>
      <c r="U513" s="2">
        <f>IF(R513=0,"",F513/R513)</f>
        <v/>
      </c>
      <c r="V513" s="2">
        <f>SUMIFS(F$2:F$1589,A$2:A$1589,A513,C$2:C$1589,C513,E$2:E$1589,E513,Q$2:Q$1589,Q513)</f>
        <v/>
      </c>
    </row>
    <row r="514">
      <c r="A514" s="3" t="inlineStr">
        <is>
          <t>alquiler</t>
        </is>
      </c>
      <c r="B514" s="3" t="inlineStr">
        <is>
          <t>ccaa:13</t>
        </is>
      </c>
      <c r="C514" s="3" t="inlineStr">
        <is>
          <t>P4</t>
        </is>
      </c>
      <c r="D514" s="3" t="inlineStr">
        <is>
          <t>factor_comun</t>
        </is>
      </c>
      <c r="E514" s="3" t="inlineStr">
        <is>
          <t>regional_ccaa_ols</t>
        </is>
      </c>
      <c r="F514" s="3" t="n">
        <v>-5.20614</v>
      </c>
      <c r="G514" s="3" t="n"/>
      <c r="H514" s="3" t="n"/>
      <c r="I514" s="3" t="n">
        <v>0.9995849999999999</v>
      </c>
      <c r="J514" s="3" t="n">
        <v>-8.687749999999999</v>
      </c>
      <c r="K514" s="3" t="n">
        <v>-1.64757</v>
      </c>
      <c r="L514" s="3" t="n">
        <v>-10.8704</v>
      </c>
      <c r="M514" s="3" t="n">
        <v>0.863397</v>
      </c>
      <c r="N514" s="3" t="inlineStr">
        <is>
          <t>C4</t>
        </is>
      </c>
      <c r="O514" s="3" t="inlineStr">
        <is>
          <t>no</t>
        </is>
      </c>
      <c r="P514" s="3" t="inlineStr">
        <is>
          <t>no_compite</t>
        </is>
      </c>
      <c r="Q514" s="3" t="inlineStr">
        <is>
          <t>ols_solo_factor</t>
        </is>
      </c>
      <c r="R514" s="3" t="n"/>
      <c r="S514" s="3" t="inlineStr">
        <is>
          <t>contraste regional (R6); no vota</t>
        </is>
      </c>
      <c r="T514" s="3" t="inlineStr">
        <is>
          <t>output/v8/F5/atribucion_combinada.csv</t>
        </is>
      </c>
      <c r="U514" s="2">
        <f>IF(R514=0,"",F514/R514)</f>
        <v/>
      </c>
      <c r="V514" s="2">
        <f>SUMIFS(F$2:F$1589,A$2:A$1589,A514,C$2:C$1589,C514,E$2:E$1589,E514,Q$2:Q$1589,Q514)</f>
        <v/>
      </c>
    </row>
    <row r="515">
      <c r="A515" s="3" t="inlineStr">
        <is>
          <t>alquiler</t>
        </is>
      </c>
      <c r="B515" s="3" t="inlineStr">
        <is>
          <t>ccaa:13</t>
        </is>
      </c>
      <c r="C515" s="3" t="inlineStr">
        <is>
          <t>P4</t>
        </is>
      </c>
      <c r="D515" s="3" t="inlineStr">
        <is>
          <t>residuo</t>
        </is>
      </c>
      <c r="E515" s="3" t="inlineStr">
        <is>
          <t>regional_ccaa_ols</t>
        </is>
      </c>
      <c r="F515" s="3" t="n">
        <v>-0.00216051</v>
      </c>
      <c r="G515" s="3" t="n"/>
      <c r="H515" s="3" t="n"/>
      <c r="I515" s="3" t="n">
        <v>0.000414821</v>
      </c>
      <c r="J515" s="3" t="n"/>
      <c r="K515" s="3" t="n"/>
      <c r="L515" s="3" t="n"/>
      <c r="M515" s="3" t="n"/>
      <c r="N515" s="3" t="inlineStr">
        <is>
          <t>C4</t>
        </is>
      </c>
      <c r="O515" s="3" t="inlineStr">
        <is>
          <t>no</t>
        </is>
      </c>
      <c r="P515" s="3" t="inlineStr">
        <is>
          <t>no_compite</t>
        </is>
      </c>
      <c r="Q515" s="3" t="inlineStr">
        <is>
          <t>ols_solo_factor</t>
        </is>
      </c>
      <c r="R515" s="3" t="n"/>
      <c r="S515" s="3" t="inlineStr">
        <is>
          <t>contraste regional (R6); no vota</t>
        </is>
      </c>
      <c r="T515" s="3" t="inlineStr">
        <is>
          <t>output/v8/F5/atribucion_combinada.csv</t>
        </is>
      </c>
      <c r="U515" s="2">
        <f>IF(R515=0,"",F515/R515)</f>
        <v/>
      </c>
      <c r="V515" s="2">
        <f>SUMIFS(F$2:F$1589,A$2:A$1589,A515,C$2:C$1589,C515,E$2:E$1589,E515,Q$2:Q$1589,Q515)</f>
        <v/>
      </c>
    </row>
    <row r="516">
      <c r="A516" s="3" t="inlineStr">
        <is>
          <t>alquiler</t>
        </is>
      </c>
      <c r="B516" s="3" t="inlineStr">
        <is>
          <t>ccaa:14</t>
        </is>
      </c>
      <c r="C516" s="3" t="inlineStr">
        <is>
          <t>P4</t>
        </is>
      </c>
      <c r="D516" s="3" t="inlineStr">
        <is>
          <t>factor_comun</t>
        </is>
      </c>
      <c r="E516" s="3" t="inlineStr">
        <is>
          <t>regional_ccaa_ols</t>
        </is>
      </c>
      <c r="F516" s="3" t="n">
        <v>-5.3088</v>
      </c>
      <c r="G516" s="3" t="n"/>
      <c r="H516" s="3" t="n"/>
      <c r="I516" s="3" t="n">
        <v>1.10207</v>
      </c>
      <c r="J516" s="3" t="n">
        <v>-9.607139999999999</v>
      </c>
      <c r="K516" s="3" t="n">
        <v>-1.41495</v>
      </c>
      <c r="L516" s="3" t="n">
        <v>-12.0271</v>
      </c>
      <c r="M516" s="3" t="n">
        <v>0.7171380000000001</v>
      </c>
      <c r="N516" s="3" t="inlineStr">
        <is>
          <t>C4</t>
        </is>
      </c>
      <c r="O516" s="3" t="inlineStr">
        <is>
          <t>no</t>
        </is>
      </c>
      <c r="P516" s="3" t="inlineStr">
        <is>
          <t>no_compite</t>
        </is>
      </c>
      <c r="Q516" s="3" t="inlineStr">
        <is>
          <t>ols_solo_factor</t>
        </is>
      </c>
      <c r="R516" s="3" t="n"/>
      <c r="S516" s="3" t="inlineStr">
        <is>
          <t>contraste regional (R6); no vota</t>
        </is>
      </c>
      <c r="T516" s="3" t="inlineStr">
        <is>
          <t>output/v8/F5/atribucion_combinada.csv</t>
        </is>
      </c>
      <c r="U516" s="2">
        <f>IF(R516=0,"",F516/R516)</f>
        <v/>
      </c>
      <c r="V516" s="2">
        <f>SUMIFS(F$2:F$1589,A$2:A$1589,A516,C$2:C$1589,C516,E$2:E$1589,E516,Q$2:Q$1589,Q516)</f>
        <v/>
      </c>
    </row>
    <row r="517">
      <c r="A517" s="3" t="inlineStr">
        <is>
          <t>alquiler</t>
        </is>
      </c>
      <c r="B517" s="3" t="inlineStr">
        <is>
          <t>ccaa:14</t>
        </is>
      </c>
      <c r="C517" s="3" t="inlineStr">
        <is>
          <t>P4</t>
        </is>
      </c>
      <c r="D517" s="3" t="inlineStr">
        <is>
          <t>residuo</t>
        </is>
      </c>
      <c r="E517" s="3" t="inlineStr">
        <is>
          <t>regional_ccaa_ols</t>
        </is>
      </c>
      <c r="F517" s="3" t="n">
        <v>0.491691</v>
      </c>
      <c r="G517" s="3" t="n"/>
      <c r="H517" s="3" t="n"/>
      <c r="I517" s="3" t="n">
        <v>-0.102072</v>
      </c>
      <c r="J517" s="3" t="n"/>
      <c r="K517" s="3" t="n"/>
      <c r="L517" s="3" t="n"/>
      <c r="M517" s="3" t="n"/>
      <c r="N517" s="3" t="inlineStr">
        <is>
          <t>C4</t>
        </is>
      </c>
      <c r="O517" s="3" t="inlineStr">
        <is>
          <t>no</t>
        </is>
      </c>
      <c r="P517" s="3" t="inlineStr">
        <is>
          <t>no_compite</t>
        </is>
      </c>
      <c r="Q517" s="3" t="inlineStr">
        <is>
          <t>ols_solo_factor</t>
        </is>
      </c>
      <c r="R517" s="3" t="n"/>
      <c r="S517" s="3" t="inlineStr">
        <is>
          <t>contraste regional (R6); no vota</t>
        </is>
      </c>
      <c r="T517" s="3" t="inlineStr">
        <is>
          <t>output/v8/F5/atribucion_combinada.csv</t>
        </is>
      </c>
      <c r="U517" s="2">
        <f>IF(R517=0,"",F517/R517)</f>
        <v/>
      </c>
      <c r="V517" s="2">
        <f>SUMIFS(F$2:F$1589,A$2:A$1589,A517,C$2:C$1589,C517,E$2:E$1589,E517,Q$2:Q$1589,Q517)</f>
        <v/>
      </c>
    </row>
    <row r="518">
      <c r="A518" s="3" t="inlineStr">
        <is>
          <t>alquiler</t>
        </is>
      </c>
      <c r="B518" s="3" t="inlineStr">
        <is>
          <t>ccaa:15</t>
        </is>
      </c>
      <c r="C518" s="3" t="inlineStr">
        <is>
          <t>P4</t>
        </is>
      </c>
      <c r="D518" s="3" t="inlineStr">
        <is>
          <t>factor_comun</t>
        </is>
      </c>
      <c r="E518" s="3" t="inlineStr">
        <is>
          <t>regional_ccaa_ols</t>
        </is>
      </c>
      <c r="F518" s="3" t="n">
        <v>-5.38105</v>
      </c>
      <c r="G518" s="3" t="n"/>
      <c r="H518" s="3" t="n"/>
      <c r="I518" s="3" t="n">
        <v>1.33598</v>
      </c>
      <c r="J518" s="3" t="n">
        <v>-8.798859999999999</v>
      </c>
      <c r="K518" s="3" t="n">
        <v>-1.64059</v>
      </c>
      <c r="L518" s="3" t="n">
        <v>-11.5852</v>
      </c>
      <c r="M518" s="3" t="n">
        <v>0.7578819999999999</v>
      </c>
      <c r="N518" s="3" t="inlineStr">
        <is>
          <t>C4</t>
        </is>
      </c>
      <c r="O518" s="3" t="inlineStr">
        <is>
          <t>no</t>
        </is>
      </c>
      <c r="P518" s="3" t="inlineStr">
        <is>
          <t>no_compite</t>
        </is>
      </c>
      <c r="Q518" s="3" t="inlineStr">
        <is>
          <t>ols_solo_factor</t>
        </is>
      </c>
      <c r="R518" s="3" t="n"/>
      <c r="S518" s="3" t="inlineStr">
        <is>
          <t>contraste regional (R6); no vota</t>
        </is>
      </c>
      <c r="T518" s="3" t="inlineStr">
        <is>
          <t>output/v8/F5/atribucion_combinada.csv</t>
        </is>
      </c>
      <c r="U518" s="2">
        <f>IF(R518=0,"",F518/R518)</f>
        <v/>
      </c>
      <c r="V518" s="2">
        <f>SUMIFS(F$2:F$1589,A$2:A$1589,A518,C$2:C$1589,C518,E$2:E$1589,E518,Q$2:Q$1589,Q518)</f>
        <v/>
      </c>
    </row>
    <row r="519">
      <c r="A519" s="3" t="inlineStr">
        <is>
          <t>alquiler</t>
        </is>
      </c>
      <c r="B519" s="3" t="inlineStr">
        <is>
          <t>ccaa:15</t>
        </is>
      </c>
      <c r="C519" s="3" t="inlineStr">
        <is>
          <t>P4</t>
        </is>
      </c>
      <c r="D519" s="3" t="inlineStr">
        <is>
          <t>residuo</t>
        </is>
      </c>
      <c r="E519" s="3" t="inlineStr">
        <is>
          <t>regional_ccaa_ols</t>
        </is>
      </c>
      <c r="F519" s="3" t="n">
        <v>1.35325</v>
      </c>
      <c r="G519" s="3" t="n"/>
      <c r="H519" s="3" t="n"/>
      <c r="I519" s="3" t="n">
        <v>-0.335977</v>
      </c>
      <c r="J519" s="3" t="n"/>
      <c r="K519" s="3" t="n"/>
      <c r="L519" s="3" t="n"/>
      <c r="M519" s="3" t="n"/>
      <c r="N519" s="3" t="inlineStr">
        <is>
          <t>C4</t>
        </is>
      </c>
      <c r="O519" s="3" t="inlineStr">
        <is>
          <t>no</t>
        </is>
      </c>
      <c r="P519" s="3" t="inlineStr">
        <is>
          <t>no_compite</t>
        </is>
      </c>
      <c r="Q519" s="3" t="inlineStr">
        <is>
          <t>ols_solo_factor</t>
        </is>
      </c>
      <c r="R519" s="3" t="n"/>
      <c r="S519" s="3" t="inlineStr">
        <is>
          <t>contraste regional (R6); no vota</t>
        </is>
      </c>
      <c r="T519" s="3" t="inlineStr">
        <is>
          <t>output/v8/F5/atribucion_combinada.csv</t>
        </is>
      </c>
      <c r="U519" s="2">
        <f>IF(R519=0,"",F519/R519)</f>
        <v/>
      </c>
      <c r="V519" s="2">
        <f>SUMIFS(F$2:F$1589,A$2:A$1589,A519,C$2:C$1589,C519,E$2:E$1589,E519,Q$2:Q$1589,Q519)</f>
        <v/>
      </c>
    </row>
    <row r="520">
      <c r="A520" s="3" t="inlineStr">
        <is>
          <t>alquiler</t>
        </is>
      </c>
      <c r="B520" s="3" t="inlineStr">
        <is>
          <t>ccaa:16</t>
        </is>
      </c>
      <c r="C520" s="3" t="inlineStr">
        <is>
          <t>P4</t>
        </is>
      </c>
      <c r="D520" s="3" t="inlineStr">
        <is>
          <t>factor_comun</t>
        </is>
      </c>
      <c r="E520" s="3" t="inlineStr">
        <is>
          <t>regional_ccaa_ols</t>
        </is>
      </c>
      <c r="F520" s="3" t="n">
        <v>-4.50847</v>
      </c>
      <c r="G520" s="3" t="n"/>
      <c r="H520" s="3" t="n"/>
      <c r="I520" s="3" t="n">
        <v>0.983482</v>
      </c>
      <c r="J520" s="3" t="n">
        <v>-8.122680000000001</v>
      </c>
      <c r="K520" s="3" t="n">
        <v>-1.24503</v>
      </c>
      <c r="L520" s="3" t="n">
        <v>-10.0026</v>
      </c>
      <c r="M520" s="3" t="n">
        <v>0.650988</v>
      </c>
      <c r="N520" s="3" t="inlineStr">
        <is>
          <t>C4</t>
        </is>
      </c>
      <c r="O520" s="3" t="inlineStr">
        <is>
          <t>no</t>
        </is>
      </c>
      <c r="P520" s="3" t="inlineStr">
        <is>
          <t>no_compite</t>
        </is>
      </c>
      <c r="Q520" s="3" t="inlineStr">
        <is>
          <t>ols_solo_factor</t>
        </is>
      </c>
      <c r="R520" s="3" t="n"/>
      <c r="S520" s="3" t="inlineStr">
        <is>
          <t>contraste regional (R6); no vota</t>
        </is>
      </c>
      <c r="T520" s="3" t="inlineStr">
        <is>
          <t>output/v8/F5/atribucion_combinada.csv</t>
        </is>
      </c>
      <c r="U520" s="2">
        <f>IF(R520=0,"",F520/R520)</f>
        <v/>
      </c>
      <c r="V520" s="2">
        <f>SUMIFS(F$2:F$1589,A$2:A$1589,A520,C$2:C$1589,C520,E$2:E$1589,E520,Q$2:Q$1589,Q520)</f>
        <v/>
      </c>
    </row>
    <row r="521">
      <c r="A521" s="3" t="inlineStr">
        <is>
          <t>alquiler</t>
        </is>
      </c>
      <c r="B521" s="3" t="inlineStr">
        <is>
          <t>ccaa:16</t>
        </is>
      </c>
      <c r="C521" s="3" t="inlineStr">
        <is>
          <t>P4</t>
        </is>
      </c>
      <c r="D521" s="3" t="inlineStr">
        <is>
          <t>residuo</t>
        </is>
      </c>
      <c r="E521" s="3" t="inlineStr">
        <is>
          <t>regional_ccaa_ols</t>
        </is>
      </c>
      <c r="F521" s="3" t="n">
        <v>-0.0757197</v>
      </c>
      <c r="G521" s="3" t="n"/>
      <c r="H521" s="3" t="n"/>
      <c r="I521" s="3" t="n">
        <v>0.0165176</v>
      </c>
      <c r="J521" s="3" t="n"/>
      <c r="K521" s="3" t="n"/>
      <c r="L521" s="3" t="n"/>
      <c r="M521" s="3" t="n"/>
      <c r="N521" s="3" t="inlineStr">
        <is>
          <t>C4</t>
        </is>
      </c>
      <c r="O521" s="3" t="inlineStr">
        <is>
          <t>no</t>
        </is>
      </c>
      <c r="P521" s="3" t="inlineStr">
        <is>
          <t>no_compite</t>
        </is>
      </c>
      <c r="Q521" s="3" t="inlineStr">
        <is>
          <t>ols_solo_factor</t>
        </is>
      </c>
      <c r="R521" s="3" t="n"/>
      <c r="S521" s="3" t="inlineStr">
        <is>
          <t>contraste regional (R6); no vota</t>
        </is>
      </c>
      <c r="T521" s="3" t="inlineStr">
        <is>
          <t>output/v8/F5/atribucion_combinada.csv</t>
        </is>
      </c>
      <c r="U521" s="2">
        <f>IF(R521=0,"",F521/R521)</f>
        <v/>
      </c>
      <c r="V521" s="2">
        <f>SUMIFS(F$2:F$1589,A$2:A$1589,A521,C$2:C$1589,C521,E$2:E$1589,E521,Q$2:Q$1589,Q521)</f>
        <v/>
      </c>
    </row>
    <row r="522">
      <c r="A522" s="3" t="inlineStr">
        <is>
          <t>alquiler</t>
        </is>
      </c>
      <c r="B522" s="3" t="inlineStr">
        <is>
          <t>ccaa:17</t>
        </is>
      </c>
      <c r="C522" s="3" t="inlineStr">
        <is>
          <t>P4</t>
        </is>
      </c>
      <c r="D522" s="3" t="inlineStr">
        <is>
          <t>factor_comun</t>
        </is>
      </c>
      <c r="E522" s="3" t="inlineStr">
        <is>
          <t>regional_ccaa_ols</t>
        </is>
      </c>
      <c r="F522" s="3" t="n">
        <v>-4.79569</v>
      </c>
      <c r="G522" s="3" t="n"/>
      <c r="H522" s="3" t="n"/>
      <c r="I522" s="3" t="n">
        <v>1.07779</v>
      </c>
      <c r="J522" s="3" t="n">
        <v>-8.043530000000001</v>
      </c>
      <c r="K522" s="3" t="n">
        <v>-1.39535</v>
      </c>
      <c r="L522" s="3" t="n">
        <v>-9.985799999999999</v>
      </c>
      <c r="M522" s="3" t="n">
        <v>0.690092</v>
      </c>
      <c r="N522" s="3" t="inlineStr">
        <is>
          <t>C4</t>
        </is>
      </c>
      <c r="O522" s="3" t="inlineStr">
        <is>
          <t>no</t>
        </is>
      </c>
      <c r="P522" s="3" t="inlineStr">
        <is>
          <t>no_compite</t>
        </is>
      </c>
      <c r="Q522" s="3" t="inlineStr">
        <is>
          <t>ols_solo_factor</t>
        </is>
      </c>
      <c r="R522" s="3" t="n"/>
      <c r="S522" s="3" t="inlineStr">
        <is>
          <t>contraste regional (R6); no vota</t>
        </is>
      </c>
      <c r="T522" s="3" t="inlineStr">
        <is>
          <t>output/v8/F5/atribucion_combinada.csv</t>
        </is>
      </c>
      <c r="U522" s="2">
        <f>IF(R522=0,"",F522/R522)</f>
        <v/>
      </c>
      <c r="V522" s="2">
        <f>SUMIFS(F$2:F$1589,A$2:A$1589,A522,C$2:C$1589,C522,E$2:E$1589,E522,Q$2:Q$1589,Q522)</f>
        <v/>
      </c>
    </row>
    <row r="523">
      <c r="A523" s="3" t="inlineStr">
        <is>
          <t>alquiler</t>
        </is>
      </c>
      <c r="B523" s="3" t="inlineStr">
        <is>
          <t>ccaa:17</t>
        </is>
      </c>
      <c r="C523" s="3" t="inlineStr">
        <is>
          <t>P4</t>
        </is>
      </c>
      <c r="D523" s="3" t="inlineStr">
        <is>
          <t>residuo</t>
        </is>
      </c>
      <c r="E523" s="3" t="inlineStr">
        <is>
          <t>regional_ccaa_ols</t>
        </is>
      </c>
      <c r="F523" s="3" t="n">
        <v>0.346148</v>
      </c>
      <c r="G523" s="3" t="n"/>
      <c r="H523" s="3" t="n"/>
      <c r="I523" s="3" t="n">
        <v>-0.0777941</v>
      </c>
      <c r="J523" s="3" t="n"/>
      <c r="K523" s="3" t="n"/>
      <c r="L523" s="3" t="n"/>
      <c r="M523" s="3" t="n"/>
      <c r="N523" s="3" t="inlineStr">
        <is>
          <t>C4</t>
        </is>
      </c>
      <c r="O523" s="3" t="inlineStr">
        <is>
          <t>no</t>
        </is>
      </c>
      <c r="P523" s="3" t="inlineStr">
        <is>
          <t>no_compite</t>
        </is>
      </c>
      <c r="Q523" s="3" t="inlineStr">
        <is>
          <t>ols_solo_factor</t>
        </is>
      </c>
      <c r="R523" s="3" t="n"/>
      <c r="S523" s="3" t="inlineStr">
        <is>
          <t>contraste regional (R6); no vota</t>
        </is>
      </c>
      <c r="T523" s="3" t="inlineStr">
        <is>
          <t>output/v8/F5/atribucion_combinada.csv</t>
        </is>
      </c>
      <c r="U523" s="2">
        <f>IF(R523=0,"",F523/R523)</f>
        <v/>
      </c>
      <c r="V523" s="2">
        <f>SUMIFS(F$2:F$1589,A$2:A$1589,A523,C$2:C$1589,C523,E$2:E$1589,E523,Q$2:Q$1589,Q523)</f>
        <v/>
      </c>
    </row>
    <row r="524">
      <c r="A524" s="3" t="inlineStr">
        <is>
          <t>alquiler</t>
        </is>
      </c>
      <c r="B524" s="3" t="inlineStr">
        <is>
          <t>ccaa:01</t>
        </is>
      </c>
      <c r="C524" s="3" t="inlineStr">
        <is>
          <t>P5</t>
        </is>
      </c>
      <c r="D524" s="3" t="inlineStr">
        <is>
          <t>factor_comun</t>
        </is>
      </c>
      <c r="E524" s="3" t="inlineStr">
        <is>
          <t>regional_ccaa_ols</t>
        </is>
      </c>
      <c r="F524" s="3" t="n">
        <v>-6.11657</v>
      </c>
      <c r="G524" s="3" t="n"/>
      <c r="H524" s="3" t="n"/>
      <c r="I524" s="3" t="n">
        <v>1.41087</v>
      </c>
      <c r="J524" s="3" t="n">
        <v>-9.12608</v>
      </c>
      <c r="K524" s="3" t="n">
        <v>-2.74643</v>
      </c>
      <c r="L524" s="3" t="n">
        <v>-10.7647</v>
      </c>
      <c r="M524" s="3" t="n">
        <v>-1.68889</v>
      </c>
      <c r="N524" s="3" t="inlineStr">
        <is>
          <t>C4</t>
        </is>
      </c>
      <c r="O524" s="3" t="inlineStr">
        <is>
          <t>no</t>
        </is>
      </c>
      <c r="P524" s="3" t="inlineStr">
        <is>
          <t>no_compite</t>
        </is>
      </c>
      <c r="Q524" s="3" t="inlineStr">
        <is>
          <t>ols_solo_factor</t>
        </is>
      </c>
      <c r="R524" s="3" t="n"/>
      <c r="S524" s="3" t="inlineStr">
        <is>
          <t>contraste regional (R6); no vota</t>
        </is>
      </c>
      <c r="T524" s="3" t="inlineStr">
        <is>
          <t>output/v8/F5/atribucion_combinada.csv</t>
        </is>
      </c>
      <c r="U524" s="2">
        <f>IF(R524=0,"",F524/R524)</f>
        <v/>
      </c>
      <c r="V524" s="2">
        <f>SUMIFS(F$2:F$1589,A$2:A$1589,A524,C$2:C$1589,C524,E$2:E$1589,E524,Q$2:Q$1589,Q524)</f>
        <v/>
      </c>
    </row>
    <row r="525">
      <c r="A525" s="3" t="inlineStr">
        <is>
          <t>alquiler</t>
        </is>
      </c>
      <c r="B525" s="3" t="inlineStr">
        <is>
          <t>ccaa:01</t>
        </is>
      </c>
      <c r="C525" s="3" t="inlineStr">
        <is>
          <t>P5</t>
        </is>
      </c>
      <c r="D525" s="3" t="inlineStr">
        <is>
          <t>residuo</t>
        </is>
      </c>
      <c r="E525" s="3" t="inlineStr">
        <is>
          <t>regional_ccaa_ols</t>
        </is>
      </c>
      <c r="F525" s="3" t="n">
        <v>1.78126</v>
      </c>
      <c r="G525" s="3" t="n"/>
      <c r="H525" s="3" t="n"/>
      <c r="I525" s="3" t="n">
        <v>-0.410871</v>
      </c>
      <c r="J525" s="3" t="n"/>
      <c r="K525" s="3" t="n"/>
      <c r="L525" s="3" t="n"/>
      <c r="M525" s="3" t="n"/>
      <c r="N525" s="3" t="inlineStr">
        <is>
          <t>C4</t>
        </is>
      </c>
      <c r="O525" s="3" t="inlineStr">
        <is>
          <t>no</t>
        </is>
      </c>
      <c r="P525" s="3" t="inlineStr">
        <is>
          <t>no_compite</t>
        </is>
      </c>
      <c r="Q525" s="3" t="inlineStr">
        <is>
          <t>ols_solo_factor</t>
        </is>
      </c>
      <c r="R525" s="3" t="n"/>
      <c r="S525" s="3" t="inlineStr">
        <is>
          <t>contraste regional (R6); no vota</t>
        </is>
      </c>
      <c r="T525" s="3" t="inlineStr">
        <is>
          <t>output/v8/F5/atribucion_combinada.csv</t>
        </is>
      </c>
      <c r="U525" s="2">
        <f>IF(R525=0,"",F525/R525)</f>
        <v/>
      </c>
      <c r="V525" s="2">
        <f>SUMIFS(F$2:F$1589,A$2:A$1589,A525,C$2:C$1589,C525,E$2:E$1589,E525,Q$2:Q$1589,Q525)</f>
        <v/>
      </c>
    </row>
    <row r="526">
      <c r="A526" s="3" t="inlineStr">
        <is>
          <t>alquiler</t>
        </is>
      </c>
      <c r="B526" s="3" t="inlineStr">
        <is>
          <t>ccaa:02</t>
        </is>
      </c>
      <c r="C526" s="3" t="inlineStr">
        <is>
          <t>P5</t>
        </is>
      </c>
      <c r="D526" s="3" t="inlineStr">
        <is>
          <t>factor_comun</t>
        </is>
      </c>
      <c r="E526" s="3" t="inlineStr">
        <is>
          <t>regional_ccaa_ols</t>
        </is>
      </c>
      <c r="F526" s="3" t="n">
        <v>-5.60962</v>
      </c>
      <c r="G526" s="3" t="n"/>
      <c r="H526" s="3" t="n"/>
      <c r="I526" s="3" t="n">
        <v>1.0934</v>
      </c>
      <c r="J526" s="3" t="n">
        <v>-8.489750000000001</v>
      </c>
      <c r="K526" s="3" t="n">
        <v>-2.99305</v>
      </c>
      <c r="L526" s="3" t="n">
        <v>-10.383</v>
      </c>
      <c r="M526" s="3" t="n">
        <v>-2.12427</v>
      </c>
      <c r="N526" s="3" t="inlineStr">
        <is>
          <t>C4</t>
        </is>
      </c>
      <c r="O526" s="3" t="inlineStr">
        <is>
          <t>no</t>
        </is>
      </c>
      <c r="P526" s="3" t="inlineStr">
        <is>
          <t>no_compite</t>
        </is>
      </c>
      <c r="Q526" s="3" t="inlineStr">
        <is>
          <t>ols_solo_factor</t>
        </is>
      </c>
      <c r="R526" s="3" t="n"/>
      <c r="S526" s="3" t="inlineStr">
        <is>
          <t>contraste regional (R6); no vota</t>
        </is>
      </c>
      <c r="T526" s="3" t="inlineStr">
        <is>
          <t>output/v8/F5/atribucion_combinada.csv</t>
        </is>
      </c>
      <c r="U526" s="2">
        <f>IF(R526=0,"",F526/R526)</f>
        <v/>
      </c>
      <c r="V526" s="2">
        <f>SUMIFS(F$2:F$1589,A$2:A$1589,A526,C$2:C$1589,C526,E$2:E$1589,E526,Q$2:Q$1589,Q526)</f>
        <v/>
      </c>
    </row>
    <row r="527">
      <c r="A527" s="3" t="inlineStr">
        <is>
          <t>alquiler</t>
        </is>
      </c>
      <c r="B527" s="3" t="inlineStr">
        <is>
          <t>ccaa:02</t>
        </is>
      </c>
      <c r="C527" s="3" t="inlineStr">
        <is>
          <t>P5</t>
        </is>
      </c>
      <c r="D527" s="3" t="inlineStr">
        <is>
          <t>residuo</t>
        </is>
      </c>
      <c r="E527" s="3" t="inlineStr">
        <is>
          <t>regional_ccaa_ols</t>
        </is>
      </c>
      <c r="F527" s="3" t="n">
        <v>0.479197</v>
      </c>
      <c r="G527" s="3" t="n"/>
      <c r="H527" s="3" t="n"/>
      <c r="I527" s="3" t="n">
        <v>-0.0934029</v>
      </c>
      <c r="J527" s="3" t="n"/>
      <c r="K527" s="3" t="n"/>
      <c r="L527" s="3" t="n"/>
      <c r="M527" s="3" t="n"/>
      <c r="N527" s="3" t="inlineStr">
        <is>
          <t>C4</t>
        </is>
      </c>
      <c r="O527" s="3" t="inlineStr">
        <is>
          <t>no</t>
        </is>
      </c>
      <c r="P527" s="3" t="inlineStr">
        <is>
          <t>no_compite</t>
        </is>
      </c>
      <c r="Q527" s="3" t="inlineStr">
        <is>
          <t>ols_solo_factor</t>
        </is>
      </c>
      <c r="R527" s="3" t="n"/>
      <c r="S527" s="3" t="inlineStr">
        <is>
          <t>contraste regional (R6); no vota</t>
        </is>
      </c>
      <c r="T527" s="3" t="inlineStr">
        <is>
          <t>output/v8/F5/atribucion_combinada.csv</t>
        </is>
      </c>
      <c r="U527" s="2">
        <f>IF(R527=0,"",F527/R527)</f>
        <v/>
      </c>
      <c r="V527" s="2">
        <f>SUMIFS(F$2:F$1589,A$2:A$1589,A527,C$2:C$1589,C527,E$2:E$1589,E527,Q$2:Q$1589,Q527)</f>
        <v/>
      </c>
    </row>
    <row r="528">
      <c r="A528" s="3" t="inlineStr">
        <is>
          <t>alquiler</t>
        </is>
      </c>
      <c r="B528" s="3" t="inlineStr">
        <is>
          <t>ccaa:03</t>
        </is>
      </c>
      <c r="C528" s="3" t="inlineStr">
        <is>
          <t>P5</t>
        </is>
      </c>
      <c r="D528" s="3" t="inlineStr">
        <is>
          <t>factor_comun</t>
        </is>
      </c>
      <c r="E528" s="3" t="inlineStr">
        <is>
          <t>regional_ccaa_ols</t>
        </is>
      </c>
      <c r="F528" s="3" t="n">
        <v>-5.64827</v>
      </c>
      <c r="G528" s="3" t="n"/>
      <c r="H528" s="3" t="n"/>
      <c r="I528" s="3" t="n">
        <v>0.792388</v>
      </c>
      <c r="J528" s="3" t="n">
        <v>-8.05466</v>
      </c>
      <c r="K528" s="3" t="n">
        <v>-3.27808</v>
      </c>
      <c r="L528" s="3" t="n">
        <v>-9.657450000000001</v>
      </c>
      <c r="M528" s="3" t="n">
        <v>-2.22173</v>
      </c>
      <c r="N528" s="3" t="inlineStr">
        <is>
          <t>C4</t>
        </is>
      </c>
      <c r="O528" s="3" t="inlineStr">
        <is>
          <t>no</t>
        </is>
      </c>
      <c r="P528" s="3" t="inlineStr">
        <is>
          <t>no_compite</t>
        </is>
      </c>
      <c r="Q528" s="3" t="inlineStr">
        <is>
          <t>ols_solo_factor</t>
        </is>
      </c>
      <c r="R528" s="3" t="n"/>
      <c r="S528" s="3" t="inlineStr">
        <is>
          <t>contraste regional (R6); no vota</t>
        </is>
      </c>
      <c r="T528" s="3" t="inlineStr">
        <is>
          <t>output/v8/F5/atribucion_combinada.csv</t>
        </is>
      </c>
      <c r="U528" s="2">
        <f>IF(R528=0,"",F528/R528)</f>
        <v/>
      </c>
      <c r="V528" s="2">
        <f>SUMIFS(F$2:F$1589,A$2:A$1589,A528,C$2:C$1589,C528,E$2:E$1589,E528,Q$2:Q$1589,Q528)</f>
        <v/>
      </c>
    </row>
    <row r="529">
      <c r="A529" s="3" t="inlineStr">
        <is>
          <t>alquiler</t>
        </is>
      </c>
      <c r="B529" s="3" t="inlineStr">
        <is>
          <t>ccaa:03</t>
        </is>
      </c>
      <c r="C529" s="3" t="inlineStr">
        <is>
          <t>P5</t>
        </is>
      </c>
      <c r="D529" s="3" t="inlineStr">
        <is>
          <t>residuo</t>
        </is>
      </c>
      <c r="E529" s="3" t="inlineStr">
        <is>
          <t>regional_ccaa_ols</t>
        </is>
      </c>
      <c r="F529" s="3" t="n">
        <v>-1.47989</v>
      </c>
      <c r="G529" s="3" t="n"/>
      <c r="H529" s="3" t="n"/>
      <c r="I529" s="3" t="n">
        <v>0.207612</v>
      </c>
      <c r="J529" s="3" t="n"/>
      <c r="K529" s="3" t="n"/>
      <c r="L529" s="3" t="n"/>
      <c r="M529" s="3" t="n"/>
      <c r="N529" s="3" t="inlineStr">
        <is>
          <t>C4</t>
        </is>
      </c>
      <c r="O529" s="3" t="inlineStr">
        <is>
          <t>no</t>
        </is>
      </c>
      <c r="P529" s="3" t="inlineStr">
        <is>
          <t>no_compite</t>
        </is>
      </c>
      <c r="Q529" s="3" t="inlineStr">
        <is>
          <t>ols_solo_factor</t>
        </is>
      </c>
      <c r="R529" s="3" t="n"/>
      <c r="S529" s="3" t="inlineStr">
        <is>
          <t>contraste regional (R6); no vota</t>
        </is>
      </c>
      <c r="T529" s="3" t="inlineStr">
        <is>
          <t>output/v8/F5/atribucion_combinada.csv</t>
        </is>
      </c>
      <c r="U529" s="2">
        <f>IF(R529=0,"",F529/R529)</f>
        <v/>
      </c>
      <c r="V529" s="2">
        <f>SUMIFS(F$2:F$1589,A$2:A$1589,A529,C$2:C$1589,C529,E$2:E$1589,E529,Q$2:Q$1589,Q529)</f>
        <v/>
      </c>
    </row>
    <row r="530">
      <c r="A530" s="3" t="inlineStr">
        <is>
          <t>alquiler</t>
        </is>
      </c>
      <c r="B530" s="3" t="inlineStr">
        <is>
          <t>ccaa:04</t>
        </is>
      </c>
      <c r="C530" s="3" t="inlineStr">
        <is>
          <t>P5</t>
        </is>
      </c>
      <c r="D530" s="3" t="inlineStr">
        <is>
          <t>factor_comun</t>
        </is>
      </c>
      <c r="E530" s="3" t="inlineStr">
        <is>
          <t>regional_ccaa_ols</t>
        </is>
      </c>
      <c r="F530" s="3" t="n">
        <v>-6.41566</v>
      </c>
      <c r="G530" s="3" t="n"/>
      <c r="H530" s="3" t="n"/>
      <c r="I530" s="3" t="n">
        <v>1.73852</v>
      </c>
      <c r="J530" s="3" t="n">
        <v>-9.057779999999999</v>
      </c>
      <c r="K530" s="3" t="n">
        <v>-3.44961</v>
      </c>
      <c r="L530" s="3" t="n">
        <v>-10.9418</v>
      </c>
      <c r="M530" s="3" t="n">
        <v>-2.32934</v>
      </c>
      <c r="N530" s="3" t="inlineStr">
        <is>
          <t>C4</t>
        </is>
      </c>
      <c r="O530" s="3" t="inlineStr">
        <is>
          <t>no</t>
        </is>
      </c>
      <c r="P530" s="3" t="inlineStr">
        <is>
          <t>no_compite</t>
        </is>
      </c>
      <c r="Q530" s="3" t="inlineStr">
        <is>
          <t>ols_solo_factor</t>
        </is>
      </c>
      <c r="R530" s="3" t="n"/>
      <c r="S530" s="3" t="inlineStr">
        <is>
          <t>contraste regional (R6); no vota</t>
        </is>
      </c>
      <c r="T530" s="3" t="inlineStr">
        <is>
          <t>output/v8/F5/atribucion_combinada.csv</t>
        </is>
      </c>
      <c r="U530" s="2">
        <f>IF(R530=0,"",F530/R530)</f>
        <v/>
      </c>
      <c r="V530" s="2">
        <f>SUMIFS(F$2:F$1589,A$2:A$1589,A530,C$2:C$1589,C530,E$2:E$1589,E530,Q$2:Q$1589,Q530)</f>
        <v/>
      </c>
    </row>
    <row r="531">
      <c r="A531" s="3" t="inlineStr">
        <is>
          <t>alquiler</t>
        </is>
      </c>
      <c r="B531" s="3" t="inlineStr">
        <is>
          <t>ccaa:04</t>
        </is>
      </c>
      <c r="C531" s="3" t="inlineStr">
        <is>
          <t>P5</t>
        </is>
      </c>
      <c r="D531" s="3" t="inlineStr">
        <is>
          <t>residuo</t>
        </is>
      </c>
      <c r="E531" s="3" t="inlineStr">
        <is>
          <t>regional_ccaa_ols</t>
        </is>
      </c>
      <c r="F531" s="3" t="n">
        <v>2.72537</v>
      </c>
      <c r="G531" s="3" t="n"/>
      <c r="H531" s="3" t="n"/>
      <c r="I531" s="3" t="n">
        <v>-0.738523</v>
      </c>
      <c r="J531" s="3" t="n"/>
      <c r="K531" s="3" t="n"/>
      <c r="L531" s="3" t="n"/>
      <c r="M531" s="3" t="n"/>
      <c r="N531" s="3" t="inlineStr">
        <is>
          <t>C4</t>
        </is>
      </c>
      <c r="O531" s="3" t="inlineStr">
        <is>
          <t>no</t>
        </is>
      </c>
      <c r="P531" s="3" t="inlineStr">
        <is>
          <t>no_compite</t>
        </is>
      </c>
      <c r="Q531" s="3" t="inlineStr">
        <is>
          <t>ols_solo_factor</t>
        </is>
      </c>
      <c r="R531" s="3" t="n"/>
      <c r="S531" s="3" t="inlineStr">
        <is>
          <t>contraste regional (R6); no vota</t>
        </is>
      </c>
      <c r="T531" s="3" t="inlineStr">
        <is>
          <t>output/v8/F5/atribucion_combinada.csv</t>
        </is>
      </c>
      <c r="U531" s="2">
        <f>IF(R531=0,"",F531/R531)</f>
        <v/>
      </c>
      <c r="V531" s="2">
        <f>SUMIFS(F$2:F$1589,A$2:A$1589,A531,C$2:C$1589,C531,E$2:E$1589,E531,Q$2:Q$1589,Q531)</f>
        <v/>
      </c>
    </row>
    <row r="532">
      <c r="A532" s="3" t="inlineStr">
        <is>
          <t>alquiler</t>
        </is>
      </c>
      <c r="B532" s="3" t="inlineStr">
        <is>
          <t>ccaa:05</t>
        </is>
      </c>
      <c r="C532" s="3" t="inlineStr">
        <is>
          <t>P5</t>
        </is>
      </c>
      <c r="D532" s="3" t="inlineStr">
        <is>
          <t>factor_comun</t>
        </is>
      </c>
      <c r="E532" s="3" t="inlineStr">
        <is>
          <t>regional_ccaa_ols</t>
        </is>
      </c>
      <c r="F532" s="3" t="n">
        <v>-5.68053</v>
      </c>
      <c r="G532" s="3" t="n"/>
      <c r="H532" s="3" t="n"/>
      <c r="I532" s="3" t="n">
        <v>1.09158</v>
      </c>
      <c r="J532" s="3" t="n">
        <v>-8.54195</v>
      </c>
      <c r="K532" s="3" t="n">
        <v>-2.13434</v>
      </c>
      <c r="L532" s="3" t="n">
        <v>-10.5366</v>
      </c>
      <c r="M532" s="3" t="n">
        <v>-1.53633</v>
      </c>
      <c r="N532" s="3" t="inlineStr">
        <is>
          <t>C4</t>
        </is>
      </c>
      <c r="O532" s="3" t="inlineStr">
        <is>
          <t>no</t>
        </is>
      </c>
      <c r="P532" s="3" t="inlineStr">
        <is>
          <t>no_compite</t>
        </is>
      </c>
      <c r="Q532" s="3" t="inlineStr">
        <is>
          <t>ols_solo_factor</t>
        </is>
      </c>
      <c r="R532" s="3" t="n"/>
      <c r="S532" s="3" t="inlineStr">
        <is>
          <t>contraste regional (R6); no vota</t>
        </is>
      </c>
      <c r="T532" s="3" t="inlineStr">
        <is>
          <t>output/v8/F5/atribucion_combinada.csv</t>
        </is>
      </c>
      <c r="U532" s="2">
        <f>IF(R532=0,"",F532/R532)</f>
        <v/>
      </c>
      <c r="V532" s="2">
        <f>SUMIFS(F$2:F$1589,A$2:A$1589,A532,C$2:C$1589,C532,E$2:E$1589,E532,Q$2:Q$1589,Q532)</f>
        <v/>
      </c>
    </row>
    <row r="533">
      <c r="A533" s="3" t="inlineStr">
        <is>
          <t>alquiler</t>
        </is>
      </c>
      <c r="B533" s="3" t="inlineStr">
        <is>
          <t>ccaa:05</t>
        </is>
      </c>
      <c r="C533" s="3" t="inlineStr">
        <is>
          <t>P5</t>
        </is>
      </c>
      <c r="D533" s="3" t="inlineStr">
        <is>
          <t>residuo</t>
        </is>
      </c>
      <c r="E533" s="3" t="inlineStr">
        <is>
          <t>regional_ccaa_ols</t>
        </is>
      </c>
      <c r="F533" s="3" t="n">
        <v>0.476572</v>
      </c>
      <c r="G533" s="3" t="n"/>
      <c r="H533" s="3" t="n"/>
      <c r="I533" s="3" t="n">
        <v>-0.0915788</v>
      </c>
      <c r="J533" s="3" t="n"/>
      <c r="K533" s="3" t="n"/>
      <c r="L533" s="3" t="n"/>
      <c r="M533" s="3" t="n"/>
      <c r="N533" s="3" t="inlineStr">
        <is>
          <t>C4</t>
        </is>
      </c>
      <c r="O533" s="3" t="inlineStr">
        <is>
          <t>no</t>
        </is>
      </c>
      <c r="P533" s="3" t="inlineStr">
        <is>
          <t>no_compite</t>
        </is>
      </c>
      <c r="Q533" s="3" t="inlineStr">
        <is>
          <t>ols_solo_factor</t>
        </is>
      </c>
      <c r="R533" s="3" t="n"/>
      <c r="S533" s="3" t="inlineStr">
        <is>
          <t>contraste regional (R6); no vota</t>
        </is>
      </c>
      <c r="T533" s="3" t="inlineStr">
        <is>
          <t>output/v8/F5/atribucion_combinada.csv</t>
        </is>
      </c>
      <c r="U533" s="2">
        <f>IF(R533=0,"",F533/R533)</f>
        <v/>
      </c>
      <c r="V533" s="2">
        <f>SUMIFS(F$2:F$1589,A$2:A$1589,A533,C$2:C$1589,C533,E$2:E$1589,E533,Q$2:Q$1589,Q533)</f>
        <v/>
      </c>
    </row>
    <row r="534">
      <c r="A534" s="3" t="inlineStr">
        <is>
          <t>alquiler</t>
        </is>
      </c>
      <c r="B534" s="3" t="inlineStr">
        <is>
          <t>ccaa:06</t>
        </is>
      </c>
      <c r="C534" s="3" t="inlineStr">
        <is>
          <t>P5</t>
        </is>
      </c>
      <c r="D534" s="3" t="inlineStr">
        <is>
          <t>factor_comun</t>
        </is>
      </c>
      <c r="E534" s="3" t="inlineStr">
        <is>
          <t>regional_ccaa_ols</t>
        </is>
      </c>
      <c r="F534" s="3" t="n">
        <v>-5.92308</v>
      </c>
      <c r="G534" s="3" t="n"/>
      <c r="H534" s="3" t="n"/>
      <c r="I534" s="3" t="n">
        <v>1.06306</v>
      </c>
      <c r="J534" s="3" t="n">
        <v>-8.87703</v>
      </c>
      <c r="K534" s="3" t="n">
        <v>-3.19663</v>
      </c>
      <c r="L534" s="3" t="n">
        <v>-10.7404</v>
      </c>
      <c r="M534" s="3" t="n">
        <v>-1.90907</v>
      </c>
      <c r="N534" s="3" t="inlineStr">
        <is>
          <t>C4</t>
        </is>
      </c>
      <c r="O534" s="3" t="inlineStr">
        <is>
          <t>no</t>
        </is>
      </c>
      <c r="P534" s="3" t="inlineStr">
        <is>
          <t>no_compite</t>
        </is>
      </c>
      <c r="Q534" s="3" t="inlineStr">
        <is>
          <t>ols_solo_factor</t>
        </is>
      </c>
      <c r="R534" s="3" t="n"/>
      <c r="S534" s="3" t="inlineStr">
        <is>
          <t>contraste regional (R6); no vota</t>
        </is>
      </c>
      <c r="T534" s="3" t="inlineStr">
        <is>
          <t>output/v8/F5/atribucion_combinada.csv</t>
        </is>
      </c>
      <c r="U534" s="2">
        <f>IF(R534=0,"",F534/R534)</f>
        <v/>
      </c>
      <c r="V534" s="2">
        <f>SUMIFS(F$2:F$1589,A$2:A$1589,A534,C$2:C$1589,C534,E$2:E$1589,E534,Q$2:Q$1589,Q534)</f>
        <v/>
      </c>
    </row>
    <row r="535">
      <c r="A535" s="3" t="inlineStr">
        <is>
          <t>alquiler</t>
        </is>
      </c>
      <c r="B535" s="3" t="inlineStr">
        <is>
          <t>ccaa:06</t>
        </is>
      </c>
      <c r="C535" s="3" t="inlineStr">
        <is>
          <t>P5</t>
        </is>
      </c>
      <c r="D535" s="3" t="inlineStr">
        <is>
          <t>residuo</t>
        </is>
      </c>
      <c r="E535" s="3" t="inlineStr">
        <is>
          <t>regional_ccaa_ols</t>
        </is>
      </c>
      <c r="F535" s="3" t="n">
        <v>0.351345</v>
      </c>
      <c r="G535" s="3" t="n"/>
      <c r="H535" s="3" t="n"/>
      <c r="I535" s="3" t="n">
        <v>-0.0630584</v>
      </c>
      <c r="J535" s="3" t="n"/>
      <c r="K535" s="3" t="n"/>
      <c r="L535" s="3" t="n"/>
      <c r="M535" s="3" t="n"/>
      <c r="N535" s="3" t="inlineStr">
        <is>
          <t>C4</t>
        </is>
      </c>
      <c r="O535" s="3" t="inlineStr">
        <is>
          <t>no</t>
        </is>
      </c>
      <c r="P535" s="3" t="inlineStr">
        <is>
          <t>no_compite</t>
        </is>
      </c>
      <c r="Q535" s="3" t="inlineStr">
        <is>
          <t>ols_solo_factor</t>
        </is>
      </c>
      <c r="R535" s="3" t="n"/>
      <c r="S535" s="3" t="inlineStr">
        <is>
          <t>contraste regional (R6); no vota</t>
        </is>
      </c>
      <c r="T535" s="3" t="inlineStr">
        <is>
          <t>output/v8/F5/atribucion_combinada.csv</t>
        </is>
      </c>
      <c r="U535" s="2">
        <f>IF(R535=0,"",F535/R535)</f>
        <v/>
      </c>
      <c r="V535" s="2">
        <f>SUMIFS(F$2:F$1589,A$2:A$1589,A535,C$2:C$1589,C535,E$2:E$1589,E535,Q$2:Q$1589,Q535)</f>
        <v/>
      </c>
    </row>
    <row r="536">
      <c r="A536" s="3" t="inlineStr">
        <is>
          <t>alquiler</t>
        </is>
      </c>
      <c r="B536" s="3" t="inlineStr">
        <is>
          <t>ccaa:07</t>
        </is>
      </c>
      <c r="C536" s="3" t="inlineStr">
        <is>
          <t>P5</t>
        </is>
      </c>
      <c r="D536" s="3" t="inlineStr">
        <is>
          <t>factor_comun</t>
        </is>
      </c>
      <c r="E536" s="3" t="inlineStr">
        <is>
          <t>regional_ccaa_ols</t>
        </is>
      </c>
      <c r="F536" s="3" t="n">
        <v>-5.51263</v>
      </c>
      <c r="G536" s="3" t="n"/>
      <c r="H536" s="3" t="n"/>
      <c r="I536" s="3" t="n">
        <v>0.900376</v>
      </c>
      <c r="J536" s="3" t="n">
        <v>-8.029809999999999</v>
      </c>
      <c r="K536" s="3" t="n">
        <v>-2.68883</v>
      </c>
      <c r="L536" s="3" t="n">
        <v>-9.82222</v>
      </c>
      <c r="M536" s="3" t="n">
        <v>-1.89455</v>
      </c>
      <c r="N536" s="3" t="inlineStr">
        <is>
          <t>C4</t>
        </is>
      </c>
      <c r="O536" s="3" t="inlineStr">
        <is>
          <t>no</t>
        </is>
      </c>
      <c r="P536" s="3" t="inlineStr">
        <is>
          <t>no_compite</t>
        </is>
      </c>
      <c r="Q536" s="3" t="inlineStr">
        <is>
          <t>ols_solo_factor</t>
        </is>
      </c>
      <c r="R536" s="3" t="n"/>
      <c r="S536" s="3" t="inlineStr">
        <is>
          <t>contraste regional (R6); no vota</t>
        </is>
      </c>
      <c r="T536" s="3" t="inlineStr">
        <is>
          <t>output/v8/F5/atribucion_combinada.csv</t>
        </is>
      </c>
      <c r="U536" s="2">
        <f>IF(R536=0,"",F536/R536)</f>
        <v/>
      </c>
      <c r="V536" s="2">
        <f>SUMIFS(F$2:F$1589,A$2:A$1589,A536,C$2:C$1589,C536,E$2:E$1589,E536,Q$2:Q$1589,Q536)</f>
        <v/>
      </c>
    </row>
    <row r="537">
      <c r="A537" s="3" t="inlineStr">
        <is>
          <t>alquiler</t>
        </is>
      </c>
      <c r="B537" s="3" t="inlineStr">
        <is>
          <t>ccaa:07</t>
        </is>
      </c>
      <c r="C537" s="3" t="inlineStr">
        <is>
          <t>P5</t>
        </is>
      </c>
      <c r="D537" s="3" t="inlineStr">
        <is>
          <t>residuo</t>
        </is>
      </c>
      <c r="E537" s="3" t="inlineStr">
        <is>
          <t>regional_ccaa_ols</t>
        </is>
      </c>
      <c r="F537" s="3" t="n">
        <v>-0.609958</v>
      </c>
      <c r="G537" s="3" t="n"/>
      <c r="H537" s="3" t="n"/>
      <c r="I537" s="3" t="n">
        <v>0.0996242</v>
      </c>
      <c r="J537" s="3" t="n"/>
      <c r="K537" s="3" t="n"/>
      <c r="L537" s="3" t="n"/>
      <c r="M537" s="3" t="n"/>
      <c r="N537" s="3" t="inlineStr">
        <is>
          <t>C4</t>
        </is>
      </c>
      <c r="O537" s="3" t="inlineStr">
        <is>
          <t>no</t>
        </is>
      </c>
      <c r="P537" s="3" t="inlineStr">
        <is>
          <t>no_compite</t>
        </is>
      </c>
      <c r="Q537" s="3" t="inlineStr">
        <is>
          <t>ols_solo_factor</t>
        </is>
      </c>
      <c r="R537" s="3" t="n"/>
      <c r="S537" s="3" t="inlineStr">
        <is>
          <t>contraste regional (R6); no vota</t>
        </is>
      </c>
      <c r="T537" s="3" t="inlineStr">
        <is>
          <t>output/v8/F5/atribucion_combinada.csv</t>
        </is>
      </c>
      <c r="U537" s="2">
        <f>IF(R537=0,"",F537/R537)</f>
        <v/>
      </c>
      <c r="V537" s="2">
        <f>SUMIFS(F$2:F$1589,A$2:A$1589,A537,C$2:C$1589,C537,E$2:E$1589,E537,Q$2:Q$1589,Q537)</f>
        <v/>
      </c>
    </row>
    <row r="538">
      <c r="A538" s="3" t="inlineStr">
        <is>
          <t>alquiler</t>
        </is>
      </c>
      <c r="B538" s="3" t="inlineStr">
        <is>
          <t>ccaa:08</t>
        </is>
      </c>
      <c r="C538" s="3" t="inlineStr">
        <is>
          <t>P5</t>
        </is>
      </c>
      <c r="D538" s="3" t="inlineStr">
        <is>
          <t>factor_comun</t>
        </is>
      </c>
      <c r="E538" s="3" t="inlineStr">
        <is>
          <t>regional_ccaa_ols</t>
        </is>
      </c>
      <c r="F538" s="3" t="n">
        <v>-5.88507</v>
      </c>
      <c r="G538" s="3" t="n"/>
      <c r="H538" s="3" t="n"/>
      <c r="I538" s="3" t="n">
        <v>1.14335</v>
      </c>
      <c r="J538" s="3" t="n">
        <v>-8.34792</v>
      </c>
      <c r="K538" s="3" t="n">
        <v>-2.63911</v>
      </c>
      <c r="L538" s="3" t="n">
        <v>-10.6972</v>
      </c>
      <c r="M538" s="3" t="n">
        <v>-1.70501</v>
      </c>
      <c r="N538" s="3" t="inlineStr">
        <is>
          <t>C4</t>
        </is>
      </c>
      <c r="O538" s="3" t="inlineStr">
        <is>
          <t>no</t>
        </is>
      </c>
      <c r="P538" s="3" t="inlineStr">
        <is>
          <t>no_compite</t>
        </is>
      </c>
      <c r="Q538" s="3" t="inlineStr">
        <is>
          <t>ols_solo_factor</t>
        </is>
      </c>
      <c r="R538" s="3" t="n"/>
      <c r="S538" s="3" t="inlineStr">
        <is>
          <t>contraste regional (R6); no vota</t>
        </is>
      </c>
      <c r="T538" s="3" t="inlineStr">
        <is>
          <t>output/v8/F5/atribucion_combinada.csv</t>
        </is>
      </c>
      <c r="U538" s="2">
        <f>IF(R538=0,"",F538/R538)</f>
        <v/>
      </c>
      <c r="V538" s="2">
        <f>SUMIFS(F$2:F$1589,A$2:A$1589,A538,C$2:C$1589,C538,E$2:E$1589,E538,Q$2:Q$1589,Q538)</f>
        <v/>
      </c>
    </row>
    <row r="539">
      <c r="A539" s="3" t="inlineStr">
        <is>
          <t>alquiler</t>
        </is>
      </c>
      <c r="B539" s="3" t="inlineStr">
        <is>
          <t>ccaa:08</t>
        </is>
      </c>
      <c r="C539" s="3" t="inlineStr">
        <is>
          <t>P5</t>
        </is>
      </c>
      <c r="D539" s="3" t="inlineStr">
        <is>
          <t>residuo</t>
        </is>
      </c>
      <c r="E539" s="3" t="inlineStr">
        <is>
          <t>regional_ccaa_ols</t>
        </is>
      </c>
      <c r="F539" s="3" t="n">
        <v>0.737847</v>
      </c>
      <c r="G539" s="3" t="n"/>
      <c r="H539" s="3" t="n"/>
      <c r="I539" s="3" t="n">
        <v>-0.143348</v>
      </c>
      <c r="J539" s="3" t="n"/>
      <c r="K539" s="3" t="n"/>
      <c r="L539" s="3" t="n"/>
      <c r="M539" s="3" t="n"/>
      <c r="N539" s="3" t="inlineStr">
        <is>
          <t>C4</t>
        </is>
      </c>
      <c r="O539" s="3" t="inlineStr">
        <is>
          <t>no</t>
        </is>
      </c>
      <c r="P539" s="3" t="inlineStr">
        <is>
          <t>no_compite</t>
        </is>
      </c>
      <c r="Q539" s="3" t="inlineStr">
        <is>
          <t>ols_solo_factor</t>
        </is>
      </c>
      <c r="R539" s="3" t="n"/>
      <c r="S539" s="3" t="inlineStr">
        <is>
          <t>contraste regional (R6); no vota</t>
        </is>
      </c>
      <c r="T539" s="3" t="inlineStr">
        <is>
          <t>output/v8/F5/atribucion_combinada.csv</t>
        </is>
      </c>
      <c r="U539" s="2">
        <f>IF(R539=0,"",F539/R539)</f>
        <v/>
      </c>
      <c r="V539" s="2">
        <f>SUMIFS(F$2:F$1589,A$2:A$1589,A539,C$2:C$1589,C539,E$2:E$1589,E539,Q$2:Q$1589,Q539)</f>
        <v/>
      </c>
    </row>
    <row r="540">
      <c r="A540" s="3" t="inlineStr">
        <is>
          <t>alquiler</t>
        </is>
      </c>
      <c r="B540" s="3" t="inlineStr">
        <is>
          <t>ccaa:09</t>
        </is>
      </c>
      <c r="C540" s="3" t="inlineStr">
        <is>
          <t>P5</t>
        </is>
      </c>
      <c r="D540" s="3" t="inlineStr">
        <is>
          <t>factor_comun</t>
        </is>
      </c>
      <c r="E540" s="3" t="inlineStr">
        <is>
          <t>regional_ccaa_ols</t>
        </is>
      </c>
      <c r="F540" s="3" t="n">
        <v>-5.22055</v>
      </c>
      <c r="G540" s="3" t="n"/>
      <c r="H540" s="3" t="n"/>
      <c r="I540" s="3" t="n">
        <v>0.697781</v>
      </c>
      <c r="J540" s="3" t="n">
        <v>-7.76196</v>
      </c>
      <c r="K540" s="3" t="n">
        <v>-1.92261</v>
      </c>
      <c r="L540" s="3" t="n">
        <v>-9.74192</v>
      </c>
      <c r="M540" s="3" t="n">
        <v>-1.22318</v>
      </c>
      <c r="N540" s="3" t="inlineStr">
        <is>
          <t>C4</t>
        </is>
      </c>
      <c r="O540" s="3" t="inlineStr">
        <is>
          <t>no</t>
        </is>
      </c>
      <c r="P540" s="3" t="inlineStr">
        <is>
          <t>no_compite</t>
        </is>
      </c>
      <c r="Q540" s="3" t="inlineStr">
        <is>
          <t>ols_solo_factor</t>
        </is>
      </c>
      <c r="R540" s="3" t="n"/>
      <c r="S540" s="3" t="inlineStr">
        <is>
          <t>contraste regional (R6); no vota</t>
        </is>
      </c>
      <c r="T540" s="3" t="inlineStr">
        <is>
          <t>output/v8/F5/atribucion_combinada.csv</t>
        </is>
      </c>
      <c r="U540" s="2">
        <f>IF(R540=0,"",F540/R540)</f>
        <v/>
      </c>
      <c r="V540" s="2">
        <f>SUMIFS(F$2:F$1589,A$2:A$1589,A540,C$2:C$1589,C540,E$2:E$1589,E540,Q$2:Q$1589,Q540)</f>
        <v/>
      </c>
    </row>
    <row r="541">
      <c r="A541" s="3" t="inlineStr">
        <is>
          <t>alquiler</t>
        </is>
      </c>
      <c r="B541" s="3" t="inlineStr">
        <is>
          <t>ccaa:09</t>
        </is>
      </c>
      <c r="C541" s="3" t="inlineStr">
        <is>
          <t>P5</t>
        </is>
      </c>
      <c r="D541" s="3" t="inlineStr">
        <is>
          <t>residuo</t>
        </is>
      </c>
      <c r="E541" s="3" t="inlineStr">
        <is>
          <t>regional_ccaa_ols</t>
        </is>
      </c>
      <c r="F541" s="3" t="n">
        <v>-2.26109</v>
      </c>
      <c r="G541" s="3" t="n"/>
      <c r="H541" s="3" t="n"/>
      <c r="I541" s="3" t="n">
        <v>0.302219</v>
      </c>
      <c r="J541" s="3" t="n"/>
      <c r="K541" s="3" t="n"/>
      <c r="L541" s="3" t="n"/>
      <c r="M541" s="3" t="n"/>
      <c r="N541" s="3" t="inlineStr">
        <is>
          <t>C4</t>
        </is>
      </c>
      <c r="O541" s="3" t="inlineStr">
        <is>
          <t>no</t>
        </is>
      </c>
      <c r="P541" s="3" t="inlineStr">
        <is>
          <t>no_compite</t>
        </is>
      </c>
      <c r="Q541" s="3" t="inlineStr">
        <is>
          <t>ols_solo_factor</t>
        </is>
      </c>
      <c r="R541" s="3" t="n"/>
      <c r="S541" s="3" t="inlineStr">
        <is>
          <t>contraste regional (R6); no vota</t>
        </is>
      </c>
      <c r="T541" s="3" t="inlineStr">
        <is>
          <t>output/v8/F5/atribucion_combinada.csv</t>
        </is>
      </c>
      <c r="U541" s="2">
        <f>IF(R541=0,"",F541/R541)</f>
        <v/>
      </c>
      <c r="V541" s="2">
        <f>SUMIFS(F$2:F$1589,A$2:A$1589,A541,C$2:C$1589,C541,E$2:E$1589,E541,Q$2:Q$1589,Q541)</f>
        <v/>
      </c>
    </row>
    <row r="542">
      <c r="A542" s="3" t="inlineStr">
        <is>
          <t>alquiler</t>
        </is>
      </c>
      <c r="B542" s="3" t="inlineStr">
        <is>
          <t>ccaa:10</t>
        </is>
      </c>
      <c r="C542" s="3" t="inlineStr">
        <is>
          <t>P5</t>
        </is>
      </c>
      <c r="D542" s="3" t="inlineStr">
        <is>
          <t>factor_comun</t>
        </is>
      </c>
      <c r="E542" s="3" t="inlineStr">
        <is>
          <t>regional_ccaa_ols</t>
        </is>
      </c>
      <c r="F542" s="3" t="n">
        <v>-6.5088</v>
      </c>
      <c r="G542" s="3" t="n"/>
      <c r="H542" s="3" t="n"/>
      <c r="I542" s="3" t="n">
        <v>2.70227</v>
      </c>
      <c r="J542" s="3" t="n">
        <v>-9.43238</v>
      </c>
      <c r="K542" s="3" t="n">
        <v>-4.09735</v>
      </c>
      <c r="L542" s="3" t="n">
        <v>-12.2467</v>
      </c>
      <c r="M542" s="3" t="n">
        <v>-3.11715</v>
      </c>
      <c r="N542" s="3" t="inlineStr">
        <is>
          <t>C4</t>
        </is>
      </c>
      <c r="O542" s="3" t="inlineStr">
        <is>
          <t>no</t>
        </is>
      </c>
      <c r="P542" s="3" t="inlineStr">
        <is>
          <t>no_compite</t>
        </is>
      </c>
      <c r="Q542" s="3" t="inlineStr">
        <is>
          <t>ols_solo_factor</t>
        </is>
      </c>
      <c r="R542" s="3" t="n"/>
      <c r="S542" s="3" t="inlineStr">
        <is>
          <t>contraste regional (R6); no vota</t>
        </is>
      </c>
      <c r="T542" s="3" t="inlineStr">
        <is>
          <t>output/v8/F5/atribucion_combinada.csv</t>
        </is>
      </c>
      <c r="U542" s="2">
        <f>IF(R542=0,"",F542/R542)</f>
        <v/>
      </c>
      <c r="V542" s="2">
        <f>SUMIFS(F$2:F$1589,A$2:A$1589,A542,C$2:C$1589,C542,E$2:E$1589,E542,Q$2:Q$1589,Q542)</f>
        <v/>
      </c>
    </row>
    <row r="543">
      <c r="A543" s="3" t="inlineStr">
        <is>
          <t>alquiler</t>
        </is>
      </c>
      <c r="B543" s="3" t="inlineStr">
        <is>
          <t>ccaa:10</t>
        </is>
      </c>
      <c r="C543" s="3" t="inlineStr">
        <is>
          <t>P5</t>
        </is>
      </c>
      <c r="D543" s="3" t="inlineStr">
        <is>
          <t>residuo</t>
        </is>
      </c>
      <c r="E543" s="3" t="inlineStr">
        <is>
          <t>regional_ccaa_ols</t>
        </is>
      </c>
      <c r="F543" s="3" t="n">
        <v>4.10016</v>
      </c>
      <c r="G543" s="3" t="n"/>
      <c r="H543" s="3" t="n"/>
      <c r="I543" s="3" t="n">
        <v>-1.70227</v>
      </c>
      <c r="J543" s="3" t="n"/>
      <c r="K543" s="3" t="n"/>
      <c r="L543" s="3" t="n"/>
      <c r="M543" s="3" t="n"/>
      <c r="N543" s="3" t="inlineStr">
        <is>
          <t>C4</t>
        </is>
      </c>
      <c r="O543" s="3" t="inlineStr">
        <is>
          <t>no</t>
        </is>
      </c>
      <c r="P543" s="3" t="inlineStr">
        <is>
          <t>no_compite</t>
        </is>
      </c>
      <c r="Q543" s="3" t="inlineStr">
        <is>
          <t>ols_solo_factor</t>
        </is>
      </c>
      <c r="R543" s="3" t="n"/>
      <c r="S543" s="3" t="inlineStr">
        <is>
          <t>contraste regional (R6); no vota</t>
        </is>
      </c>
      <c r="T543" s="3" t="inlineStr">
        <is>
          <t>output/v8/F5/atribucion_combinada.csv</t>
        </is>
      </c>
      <c r="U543" s="2">
        <f>IF(R543=0,"",F543/R543)</f>
        <v/>
      </c>
      <c r="V543" s="2">
        <f>SUMIFS(F$2:F$1589,A$2:A$1589,A543,C$2:C$1589,C543,E$2:E$1589,E543,Q$2:Q$1589,Q543)</f>
        <v/>
      </c>
    </row>
    <row r="544">
      <c r="A544" s="3" t="inlineStr">
        <is>
          <t>alquiler</t>
        </is>
      </c>
      <c r="B544" s="3" t="inlineStr">
        <is>
          <t>ccaa:11</t>
        </is>
      </c>
      <c r="C544" s="3" t="inlineStr">
        <is>
          <t>P5</t>
        </is>
      </c>
      <c r="D544" s="3" t="inlineStr">
        <is>
          <t>factor_comun</t>
        </is>
      </c>
      <c r="E544" s="3" t="inlineStr">
        <is>
          <t>regional_ccaa_ols</t>
        </is>
      </c>
      <c r="F544" s="3" t="n">
        <v>-6.13377</v>
      </c>
      <c r="G544" s="3" t="n"/>
      <c r="H544" s="3" t="n"/>
      <c r="I544" s="3" t="n">
        <v>0.927553</v>
      </c>
      <c r="J544" s="3" t="n">
        <v>-9.461499999999999</v>
      </c>
      <c r="K544" s="3" t="n">
        <v>-3.28278</v>
      </c>
      <c r="L544" s="3" t="n">
        <v>-11.0439</v>
      </c>
      <c r="M544" s="3" t="n">
        <v>-1.68365</v>
      </c>
      <c r="N544" s="3" t="inlineStr">
        <is>
          <t>C4</t>
        </is>
      </c>
      <c r="O544" s="3" t="inlineStr">
        <is>
          <t>no</t>
        </is>
      </c>
      <c r="P544" s="3" t="inlineStr">
        <is>
          <t>no_compite</t>
        </is>
      </c>
      <c r="Q544" s="3" t="inlineStr">
        <is>
          <t>ols_solo_factor</t>
        </is>
      </c>
      <c r="R544" s="3" t="n"/>
      <c r="S544" s="3" t="inlineStr">
        <is>
          <t>contraste regional (R6); no vota</t>
        </is>
      </c>
      <c r="T544" s="3" t="inlineStr">
        <is>
          <t>output/v8/F5/atribucion_combinada.csv</t>
        </is>
      </c>
      <c r="U544" s="2">
        <f>IF(R544=0,"",F544/R544)</f>
        <v/>
      </c>
      <c r="V544" s="2">
        <f>SUMIFS(F$2:F$1589,A$2:A$1589,A544,C$2:C$1589,C544,E$2:E$1589,E544,Q$2:Q$1589,Q544)</f>
        <v/>
      </c>
    </row>
    <row r="545">
      <c r="A545" s="3" t="inlineStr">
        <is>
          <t>alquiler</t>
        </is>
      </c>
      <c r="B545" s="3" t="inlineStr">
        <is>
          <t>ccaa:11</t>
        </is>
      </c>
      <c r="C545" s="3" t="inlineStr">
        <is>
          <t>P5</t>
        </is>
      </c>
      <c r="D545" s="3" t="inlineStr">
        <is>
          <t>residuo</t>
        </is>
      </c>
      <c r="E545" s="3" t="inlineStr">
        <is>
          <t>regional_ccaa_ols</t>
        </is>
      </c>
      <c r="F545" s="3" t="n">
        <v>-0.479081</v>
      </c>
      <c r="G545" s="3" t="n"/>
      <c r="H545" s="3" t="n"/>
      <c r="I545" s="3" t="n">
        <v>0.072447</v>
      </c>
      <c r="J545" s="3" t="n"/>
      <c r="K545" s="3" t="n"/>
      <c r="L545" s="3" t="n"/>
      <c r="M545" s="3" t="n"/>
      <c r="N545" s="3" t="inlineStr">
        <is>
          <t>C4</t>
        </is>
      </c>
      <c r="O545" s="3" t="inlineStr">
        <is>
          <t>no</t>
        </is>
      </c>
      <c r="P545" s="3" t="inlineStr">
        <is>
          <t>no_compite</t>
        </is>
      </c>
      <c r="Q545" s="3" t="inlineStr">
        <is>
          <t>ols_solo_factor</t>
        </is>
      </c>
      <c r="R545" s="3" t="n"/>
      <c r="S545" s="3" t="inlineStr">
        <is>
          <t>contraste regional (R6); no vota</t>
        </is>
      </c>
      <c r="T545" s="3" t="inlineStr">
        <is>
          <t>output/v8/F5/atribucion_combinada.csv</t>
        </is>
      </c>
      <c r="U545" s="2">
        <f>IF(R545=0,"",F545/R545)</f>
        <v/>
      </c>
      <c r="V545" s="2">
        <f>SUMIFS(F$2:F$1589,A$2:A$1589,A545,C$2:C$1589,C545,E$2:E$1589,E545,Q$2:Q$1589,Q545)</f>
        <v/>
      </c>
    </row>
    <row r="546">
      <c r="A546" s="3" t="inlineStr">
        <is>
          <t>alquiler</t>
        </is>
      </c>
      <c r="B546" s="3" t="inlineStr">
        <is>
          <t>ccaa:12</t>
        </is>
      </c>
      <c r="C546" s="3" t="inlineStr">
        <is>
          <t>P5</t>
        </is>
      </c>
      <c r="D546" s="3" t="inlineStr">
        <is>
          <t>factor_comun</t>
        </is>
      </c>
      <c r="E546" s="3" t="inlineStr">
        <is>
          <t>regional_ccaa_ols</t>
        </is>
      </c>
      <c r="F546" s="3" t="n">
        <v>-5.14114</v>
      </c>
      <c r="G546" s="3" t="n"/>
      <c r="H546" s="3" t="n"/>
      <c r="I546" s="3" t="n">
        <v>0.93013</v>
      </c>
      <c r="J546" s="3" t="n">
        <v>-7.66668</v>
      </c>
      <c r="K546" s="3" t="n">
        <v>-2.92085</v>
      </c>
      <c r="L546" s="3" t="n">
        <v>-9.375959999999999</v>
      </c>
      <c r="M546" s="3" t="n">
        <v>-2.09004</v>
      </c>
      <c r="N546" s="3" t="inlineStr">
        <is>
          <t>C4</t>
        </is>
      </c>
      <c r="O546" s="3" t="inlineStr">
        <is>
          <t>no</t>
        </is>
      </c>
      <c r="P546" s="3" t="inlineStr">
        <is>
          <t>no_compite</t>
        </is>
      </c>
      <c r="Q546" s="3" t="inlineStr">
        <is>
          <t>ols_solo_factor</t>
        </is>
      </c>
      <c r="R546" s="3" t="n"/>
      <c r="S546" s="3" t="inlineStr">
        <is>
          <t>contraste regional (R6); no vota</t>
        </is>
      </c>
      <c r="T546" s="3" t="inlineStr">
        <is>
          <t>output/v8/F5/atribucion_combinada.csv</t>
        </is>
      </c>
      <c r="U546" s="2">
        <f>IF(R546=0,"",F546/R546)</f>
        <v/>
      </c>
      <c r="V546" s="2">
        <f>SUMIFS(F$2:F$1589,A$2:A$1589,A546,C$2:C$1589,C546,E$2:E$1589,E546,Q$2:Q$1589,Q546)</f>
        <v/>
      </c>
    </row>
    <row r="547">
      <c r="A547" s="3" t="inlineStr">
        <is>
          <t>alquiler</t>
        </is>
      </c>
      <c r="B547" s="3" t="inlineStr">
        <is>
          <t>ccaa:12</t>
        </is>
      </c>
      <c r="C547" s="3" t="inlineStr">
        <is>
          <t>P5</t>
        </is>
      </c>
      <c r="D547" s="3" t="inlineStr">
        <is>
          <t>residuo</t>
        </is>
      </c>
      <c r="E547" s="3" t="inlineStr">
        <is>
          <t>regional_ccaa_ols</t>
        </is>
      </c>
      <c r="F547" s="3" t="n">
        <v>-0.386195</v>
      </c>
      <c r="G547" s="3" t="n"/>
      <c r="H547" s="3" t="n"/>
      <c r="I547" s="3" t="n">
        <v>0.0698699</v>
      </c>
      <c r="J547" s="3" t="n"/>
      <c r="K547" s="3" t="n"/>
      <c r="L547" s="3" t="n"/>
      <c r="M547" s="3" t="n"/>
      <c r="N547" s="3" t="inlineStr">
        <is>
          <t>C4</t>
        </is>
      </c>
      <c r="O547" s="3" t="inlineStr">
        <is>
          <t>no</t>
        </is>
      </c>
      <c r="P547" s="3" t="inlineStr">
        <is>
          <t>no_compite</t>
        </is>
      </c>
      <c r="Q547" s="3" t="inlineStr">
        <is>
          <t>ols_solo_factor</t>
        </is>
      </c>
      <c r="R547" s="3" t="n"/>
      <c r="S547" s="3" t="inlineStr">
        <is>
          <t>contraste regional (R6); no vota</t>
        </is>
      </c>
      <c r="T547" s="3" t="inlineStr">
        <is>
          <t>output/v8/F5/atribucion_combinada.csv</t>
        </is>
      </c>
      <c r="U547" s="2">
        <f>IF(R547=0,"",F547/R547)</f>
        <v/>
      </c>
      <c r="V547" s="2">
        <f>SUMIFS(F$2:F$1589,A$2:A$1589,A547,C$2:C$1589,C547,E$2:E$1589,E547,Q$2:Q$1589,Q547)</f>
        <v/>
      </c>
    </row>
    <row r="548">
      <c r="A548" s="3" t="inlineStr">
        <is>
          <t>alquiler</t>
        </is>
      </c>
      <c r="B548" s="3" t="inlineStr">
        <is>
          <t>ccaa:13</t>
        </is>
      </c>
      <c r="C548" s="3" t="inlineStr">
        <is>
          <t>P5</t>
        </is>
      </c>
      <c r="D548" s="3" t="inlineStr">
        <is>
          <t>factor_comun</t>
        </is>
      </c>
      <c r="E548" s="3" t="inlineStr">
        <is>
          <t>regional_ccaa_ols</t>
        </is>
      </c>
      <c r="F548" s="3" t="n">
        <v>-6.25781</v>
      </c>
      <c r="G548" s="3" t="n"/>
      <c r="H548" s="3" t="n"/>
      <c r="I548" s="3" t="n">
        <v>1.4878</v>
      </c>
      <c r="J548" s="3" t="n">
        <v>-8.66911</v>
      </c>
      <c r="K548" s="3" t="n">
        <v>-3.95204</v>
      </c>
      <c r="L548" s="3" t="n">
        <v>-10.6148</v>
      </c>
      <c r="M548" s="3" t="n">
        <v>-2.87533</v>
      </c>
      <c r="N548" s="3" t="inlineStr">
        <is>
          <t>C4</t>
        </is>
      </c>
      <c r="O548" s="3" t="inlineStr">
        <is>
          <t>no</t>
        </is>
      </c>
      <c r="P548" s="3" t="inlineStr">
        <is>
          <t>no_compite</t>
        </is>
      </c>
      <c r="Q548" s="3" t="inlineStr">
        <is>
          <t>ols_solo_factor</t>
        </is>
      </c>
      <c r="R548" s="3" t="n"/>
      <c r="S548" s="3" t="inlineStr">
        <is>
          <t>contraste regional (R6); no vota</t>
        </is>
      </c>
      <c r="T548" s="3" t="inlineStr">
        <is>
          <t>output/v8/F5/atribucion_combinada.csv</t>
        </is>
      </c>
      <c r="U548" s="2">
        <f>IF(R548=0,"",F548/R548)</f>
        <v/>
      </c>
      <c r="V548" s="2">
        <f>SUMIFS(F$2:F$1589,A$2:A$1589,A548,C$2:C$1589,C548,E$2:E$1589,E548,Q$2:Q$1589,Q548)</f>
        <v/>
      </c>
    </row>
    <row r="549">
      <c r="A549" s="3" t="inlineStr">
        <is>
          <t>alquiler</t>
        </is>
      </c>
      <c r="B549" s="3" t="inlineStr">
        <is>
          <t>ccaa:13</t>
        </is>
      </c>
      <c r="C549" s="3" t="inlineStr">
        <is>
          <t>P5</t>
        </is>
      </c>
      <c r="D549" s="3" t="inlineStr">
        <is>
          <t>residuo</t>
        </is>
      </c>
      <c r="E549" s="3" t="inlineStr">
        <is>
          <t>regional_ccaa_ols</t>
        </is>
      </c>
      <c r="F549" s="3" t="n">
        <v>2.05173</v>
      </c>
      <c r="G549" s="3" t="n"/>
      <c r="H549" s="3" t="n"/>
      <c r="I549" s="3" t="n">
        <v>-0.4878</v>
      </c>
      <c r="J549" s="3" t="n"/>
      <c r="K549" s="3" t="n"/>
      <c r="L549" s="3" t="n"/>
      <c r="M549" s="3" t="n"/>
      <c r="N549" s="3" t="inlineStr">
        <is>
          <t>C4</t>
        </is>
      </c>
      <c r="O549" s="3" t="inlineStr">
        <is>
          <t>no</t>
        </is>
      </c>
      <c r="P549" s="3" t="inlineStr">
        <is>
          <t>no_compite</t>
        </is>
      </c>
      <c r="Q549" s="3" t="inlineStr">
        <is>
          <t>ols_solo_factor</t>
        </is>
      </c>
      <c r="R549" s="3" t="n"/>
      <c r="S549" s="3" t="inlineStr">
        <is>
          <t>contraste regional (R6); no vota</t>
        </is>
      </c>
      <c r="T549" s="3" t="inlineStr">
        <is>
          <t>output/v8/F5/atribucion_combinada.csv</t>
        </is>
      </c>
      <c r="U549" s="2">
        <f>IF(R549=0,"",F549/R549)</f>
        <v/>
      </c>
      <c r="V549" s="2">
        <f>SUMIFS(F$2:F$1589,A$2:A$1589,A549,C$2:C$1589,C549,E$2:E$1589,E549,Q$2:Q$1589,Q549)</f>
        <v/>
      </c>
    </row>
    <row r="550">
      <c r="A550" s="3" t="inlineStr">
        <is>
          <t>alquiler</t>
        </is>
      </c>
      <c r="B550" s="3" t="inlineStr">
        <is>
          <t>ccaa:14</t>
        </is>
      </c>
      <c r="C550" s="3" t="inlineStr">
        <is>
          <t>P5</t>
        </is>
      </c>
      <c r="D550" s="3" t="inlineStr">
        <is>
          <t>factor_comun</t>
        </is>
      </c>
      <c r="E550" s="3" t="inlineStr">
        <is>
          <t>regional_ccaa_ols</t>
        </is>
      </c>
      <c r="F550" s="3" t="n">
        <v>-6.06749</v>
      </c>
      <c r="G550" s="3" t="n"/>
      <c r="H550" s="3" t="n"/>
      <c r="I550" s="3" t="n">
        <v>0.726571</v>
      </c>
      <c r="J550" s="3" t="n">
        <v>-8.83868</v>
      </c>
      <c r="K550" s="3" t="n">
        <v>-3.41971</v>
      </c>
      <c r="L550" s="3" t="n">
        <v>-10.9304</v>
      </c>
      <c r="M550" s="3" t="n">
        <v>-1.94617</v>
      </c>
      <c r="N550" s="3" t="inlineStr">
        <is>
          <t>C4</t>
        </is>
      </c>
      <c r="O550" s="3" t="inlineStr">
        <is>
          <t>no</t>
        </is>
      </c>
      <c r="P550" s="3" t="inlineStr">
        <is>
          <t>no_compite</t>
        </is>
      </c>
      <c r="Q550" s="3" t="inlineStr">
        <is>
          <t>ols_solo_factor</t>
        </is>
      </c>
      <c r="R550" s="3" t="n"/>
      <c r="S550" s="3" t="inlineStr">
        <is>
          <t>contraste regional (R6); no vota</t>
        </is>
      </c>
      <c r="T550" s="3" t="inlineStr">
        <is>
          <t>output/v8/F5/atribucion_combinada.csv</t>
        </is>
      </c>
      <c r="U550" s="2">
        <f>IF(R550=0,"",F550/R550)</f>
        <v/>
      </c>
      <c r="V550" s="2">
        <f>SUMIFS(F$2:F$1589,A$2:A$1589,A550,C$2:C$1589,C550,E$2:E$1589,E550,Q$2:Q$1589,Q550)</f>
        <v/>
      </c>
    </row>
    <row r="551">
      <c r="A551" s="3" t="inlineStr">
        <is>
          <t>alquiler</t>
        </is>
      </c>
      <c r="B551" s="3" t="inlineStr">
        <is>
          <t>ccaa:14</t>
        </is>
      </c>
      <c r="C551" s="3" t="inlineStr">
        <is>
          <t>P5</t>
        </is>
      </c>
      <c r="D551" s="3" t="inlineStr">
        <is>
          <t>residuo</t>
        </is>
      </c>
      <c r="E551" s="3" t="inlineStr">
        <is>
          <t>regional_ccaa_ols</t>
        </is>
      </c>
      <c r="F551" s="3" t="n">
        <v>-2.28337</v>
      </c>
      <c r="G551" s="3" t="n"/>
      <c r="H551" s="3" t="n"/>
      <c r="I551" s="3" t="n">
        <v>0.273429</v>
      </c>
      <c r="J551" s="3" t="n"/>
      <c r="K551" s="3" t="n"/>
      <c r="L551" s="3" t="n"/>
      <c r="M551" s="3" t="n"/>
      <c r="N551" s="3" t="inlineStr">
        <is>
          <t>C4</t>
        </is>
      </c>
      <c r="O551" s="3" t="inlineStr">
        <is>
          <t>no</t>
        </is>
      </c>
      <c r="P551" s="3" t="inlineStr">
        <is>
          <t>no_compite</t>
        </is>
      </c>
      <c r="Q551" s="3" t="inlineStr">
        <is>
          <t>ols_solo_factor</t>
        </is>
      </c>
      <c r="R551" s="3" t="n"/>
      <c r="S551" s="3" t="inlineStr">
        <is>
          <t>contraste regional (R6); no vota</t>
        </is>
      </c>
      <c r="T551" s="3" t="inlineStr">
        <is>
          <t>output/v8/F5/atribucion_combinada.csv</t>
        </is>
      </c>
      <c r="U551" s="2">
        <f>IF(R551=0,"",F551/R551)</f>
        <v/>
      </c>
      <c r="V551" s="2">
        <f>SUMIFS(F$2:F$1589,A$2:A$1589,A551,C$2:C$1589,C551,E$2:E$1589,E551,Q$2:Q$1589,Q551)</f>
        <v/>
      </c>
    </row>
    <row r="552">
      <c r="A552" s="3" t="inlineStr">
        <is>
          <t>alquiler</t>
        </is>
      </c>
      <c r="B552" s="3" t="inlineStr">
        <is>
          <t>ccaa:15</t>
        </is>
      </c>
      <c r="C552" s="3" t="inlineStr">
        <is>
          <t>P5</t>
        </is>
      </c>
      <c r="D552" s="3" t="inlineStr">
        <is>
          <t>factor_comun</t>
        </is>
      </c>
      <c r="E552" s="3" t="inlineStr">
        <is>
          <t>regional_ccaa_ols</t>
        </is>
      </c>
      <c r="F552" s="3" t="n">
        <v>-5.34428</v>
      </c>
      <c r="G552" s="3" t="n"/>
      <c r="H552" s="3" t="n"/>
      <c r="I552" s="3" t="n">
        <v>0.811126</v>
      </c>
      <c r="J552" s="3" t="n">
        <v>-8.009119999999999</v>
      </c>
      <c r="K552" s="3" t="n">
        <v>-2.55888</v>
      </c>
      <c r="L552" s="3" t="n">
        <v>-9.082990000000001</v>
      </c>
      <c r="M552" s="3" t="n">
        <v>-1.83864</v>
      </c>
      <c r="N552" s="3" t="inlineStr">
        <is>
          <t>C4</t>
        </is>
      </c>
      <c r="O552" s="3" t="inlineStr">
        <is>
          <t>no</t>
        </is>
      </c>
      <c r="P552" s="3" t="inlineStr">
        <is>
          <t>no_compite</t>
        </is>
      </c>
      <c r="Q552" s="3" t="inlineStr">
        <is>
          <t>ols_solo_factor</t>
        </is>
      </c>
      <c r="R552" s="3" t="n"/>
      <c r="S552" s="3" t="inlineStr">
        <is>
          <t>contraste regional (R6); no vota</t>
        </is>
      </c>
      <c r="T552" s="3" t="inlineStr">
        <is>
          <t>output/v8/F5/atribucion_combinada.csv</t>
        </is>
      </c>
      <c r="U552" s="2">
        <f>IF(R552=0,"",F552/R552)</f>
        <v/>
      </c>
      <c r="V552" s="2">
        <f>SUMIFS(F$2:F$1589,A$2:A$1589,A552,C$2:C$1589,C552,E$2:E$1589,E552,Q$2:Q$1589,Q552)</f>
        <v/>
      </c>
    </row>
    <row r="553">
      <c r="A553" s="3" t="inlineStr">
        <is>
          <t>alquiler</t>
        </is>
      </c>
      <c r="B553" s="3" t="inlineStr">
        <is>
          <t>ccaa:15</t>
        </is>
      </c>
      <c r="C553" s="3" t="inlineStr">
        <is>
          <t>P5</t>
        </is>
      </c>
      <c r="D553" s="3" t="inlineStr">
        <is>
          <t>residuo</t>
        </is>
      </c>
      <c r="E553" s="3" t="inlineStr">
        <is>
          <t>regional_ccaa_ols</t>
        </is>
      </c>
      <c r="F553" s="3" t="n">
        <v>-1.24444</v>
      </c>
      <c r="G553" s="3" t="n"/>
      <c r="H553" s="3" t="n"/>
      <c r="I553" s="3" t="n">
        <v>0.188874</v>
      </c>
      <c r="J553" s="3" t="n"/>
      <c r="K553" s="3" t="n"/>
      <c r="L553" s="3" t="n"/>
      <c r="M553" s="3" t="n"/>
      <c r="N553" s="3" t="inlineStr">
        <is>
          <t>C4</t>
        </is>
      </c>
      <c r="O553" s="3" t="inlineStr">
        <is>
          <t>no</t>
        </is>
      </c>
      <c r="P553" s="3" t="inlineStr">
        <is>
          <t>no_compite</t>
        </is>
      </c>
      <c r="Q553" s="3" t="inlineStr">
        <is>
          <t>ols_solo_factor</t>
        </is>
      </c>
      <c r="R553" s="3" t="n"/>
      <c r="S553" s="3" t="inlineStr">
        <is>
          <t>contraste regional (R6); no vota</t>
        </is>
      </c>
      <c r="T553" s="3" t="inlineStr">
        <is>
          <t>output/v8/F5/atribucion_combinada.csv</t>
        </is>
      </c>
      <c r="U553" s="2">
        <f>IF(R553=0,"",F553/R553)</f>
        <v/>
      </c>
      <c r="V553" s="2">
        <f>SUMIFS(F$2:F$1589,A$2:A$1589,A553,C$2:C$1589,C553,E$2:E$1589,E553,Q$2:Q$1589,Q553)</f>
        <v/>
      </c>
    </row>
    <row r="554">
      <c r="A554" s="3" t="inlineStr">
        <is>
          <t>alquiler</t>
        </is>
      </c>
      <c r="B554" s="3" t="inlineStr">
        <is>
          <t>ccaa:16</t>
        </is>
      </c>
      <c r="C554" s="3" t="inlineStr">
        <is>
          <t>P5</t>
        </is>
      </c>
      <c r="D554" s="3" t="inlineStr">
        <is>
          <t>factor_comun</t>
        </is>
      </c>
      <c r="E554" s="3" t="inlineStr">
        <is>
          <t>regional_ccaa_ols</t>
        </is>
      </c>
      <c r="F554" s="3" t="n">
        <v>-5.03591</v>
      </c>
      <c r="G554" s="3" t="n"/>
      <c r="H554" s="3" t="n"/>
      <c r="I554" s="3" t="n">
        <v>0.667249</v>
      </c>
      <c r="J554" s="3" t="n">
        <v>-7.64134</v>
      </c>
      <c r="K554" s="3" t="n">
        <v>-2.08185</v>
      </c>
      <c r="L554" s="3" t="n">
        <v>-9.16728</v>
      </c>
      <c r="M554" s="3" t="n">
        <v>-0.655931</v>
      </c>
      <c r="N554" s="3" t="inlineStr">
        <is>
          <t>C4</t>
        </is>
      </c>
      <c r="O554" s="3" t="inlineStr">
        <is>
          <t>no</t>
        </is>
      </c>
      <c r="P554" s="3" t="inlineStr">
        <is>
          <t>no_compite</t>
        </is>
      </c>
      <c r="Q554" s="3" t="inlineStr">
        <is>
          <t>ols_solo_factor</t>
        </is>
      </c>
      <c r="R554" s="3" t="n"/>
      <c r="S554" s="3" t="inlineStr">
        <is>
          <t>contraste regional (R6); no vota</t>
        </is>
      </c>
      <c r="T554" s="3" t="inlineStr">
        <is>
          <t>output/v8/F5/atribucion_combinada.csv</t>
        </is>
      </c>
      <c r="U554" s="2">
        <f>IF(R554=0,"",F554/R554)</f>
        <v/>
      </c>
      <c r="V554" s="2">
        <f>SUMIFS(F$2:F$1589,A$2:A$1589,A554,C$2:C$1589,C554,E$2:E$1589,E554,Q$2:Q$1589,Q554)</f>
        <v/>
      </c>
    </row>
    <row r="555">
      <c r="A555" s="3" t="inlineStr">
        <is>
          <t>alquiler</t>
        </is>
      </c>
      <c r="B555" s="3" t="inlineStr">
        <is>
          <t>ccaa:16</t>
        </is>
      </c>
      <c r="C555" s="3" t="inlineStr">
        <is>
          <t>P5</t>
        </is>
      </c>
      <c r="D555" s="3" t="inlineStr">
        <is>
          <t>residuo</t>
        </is>
      </c>
      <c r="E555" s="3" t="inlineStr">
        <is>
          <t>regional_ccaa_ols</t>
        </is>
      </c>
      <c r="F555" s="3" t="n">
        <v>-2.51137</v>
      </c>
      <c r="G555" s="3" t="n"/>
      <c r="H555" s="3" t="n"/>
      <c r="I555" s="3" t="n">
        <v>0.332751</v>
      </c>
      <c r="J555" s="3" t="n"/>
      <c r="K555" s="3" t="n"/>
      <c r="L555" s="3" t="n"/>
      <c r="M555" s="3" t="n"/>
      <c r="N555" s="3" t="inlineStr">
        <is>
          <t>C4</t>
        </is>
      </c>
      <c r="O555" s="3" t="inlineStr">
        <is>
          <t>no</t>
        </is>
      </c>
      <c r="P555" s="3" t="inlineStr">
        <is>
          <t>no_compite</t>
        </is>
      </c>
      <c r="Q555" s="3" t="inlineStr">
        <is>
          <t>ols_solo_factor</t>
        </is>
      </c>
      <c r="R555" s="3" t="n"/>
      <c r="S555" s="3" t="inlineStr">
        <is>
          <t>contraste regional (R6); no vota</t>
        </is>
      </c>
      <c r="T555" s="3" t="inlineStr">
        <is>
          <t>output/v8/F5/atribucion_combinada.csv</t>
        </is>
      </c>
      <c r="U555" s="2">
        <f>IF(R555=0,"",F555/R555)</f>
        <v/>
      </c>
      <c r="V555" s="2">
        <f>SUMIFS(F$2:F$1589,A$2:A$1589,A555,C$2:C$1589,C555,E$2:E$1589,E555,Q$2:Q$1589,Q555)</f>
        <v/>
      </c>
    </row>
    <row r="556">
      <c r="A556" s="3" t="inlineStr">
        <is>
          <t>alquiler</t>
        </is>
      </c>
      <c r="B556" s="3" t="inlineStr">
        <is>
          <t>ccaa:17</t>
        </is>
      </c>
      <c r="C556" s="3" t="inlineStr">
        <is>
          <t>P5</t>
        </is>
      </c>
      <c r="D556" s="3" t="inlineStr">
        <is>
          <t>factor_comun</t>
        </is>
      </c>
      <c r="E556" s="3" t="inlineStr">
        <is>
          <t>regional_ccaa_ols</t>
        </is>
      </c>
      <c r="F556" s="3" t="n">
        <v>-4.922</v>
      </c>
      <c r="G556" s="3" t="n"/>
      <c r="H556" s="3" t="n"/>
      <c r="I556" s="3" t="n">
        <v>0.7712</v>
      </c>
      <c r="J556" s="3" t="n">
        <v>-7.47711</v>
      </c>
      <c r="K556" s="3" t="n">
        <v>-2.17943</v>
      </c>
      <c r="L556" s="3" t="n">
        <v>-9.51416</v>
      </c>
      <c r="M556" s="3" t="n">
        <v>-1.29192</v>
      </c>
      <c r="N556" s="3" t="inlineStr">
        <is>
          <t>C4</t>
        </is>
      </c>
      <c r="O556" s="3" t="inlineStr">
        <is>
          <t>no</t>
        </is>
      </c>
      <c r="P556" s="3" t="inlineStr">
        <is>
          <t>no_compite</t>
        </is>
      </c>
      <c r="Q556" s="3" t="inlineStr">
        <is>
          <t>ols_solo_factor</t>
        </is>
      </c>
      <c r="R556" s="3" t="n"/>
      <c r="S556" s="3" t="inlineStr">
        <is>
          <t>contraste regional (R6); no vota</t>
        </is>
      </c>
      <c r="T556" s="3" t="inlineStr">
        <is>
          <t>output/v8/F5/atribucion_combinada.csv</t>
        </is>
      </c>
      <c r="U556" s="2">
        <f>IF(R556=0,"",F556/R556)</f>
        <v/>
      </c>
      <c r="V556" s="2">
        <f>SUMIFS(F$2:F$1589,A$2:A$1589,A556,C$2:C$1589,C556,E$2:E$1589,E556,Q$2:Q$1589,Q556)</f>
        <v/>
      </c>
    </row>
    <row r="557">
      <c r="A557" s="3" t="inlineStr">
        <is>
          <t>alquiler</t>
        </is>
      </c>
      <c r="B557" s="3" t="inlineStr">
        <is>
          <t>ccaa:17</t>
        </is>
      </c>
      <c r="C557" s="3" t="inlineStr">
        <is>
          <t>P5</t>
        </is>
      </c>
      <c r="D557" s="3" t="inlineStr">
        <is>
          <t>residuo</t>
        </is>
      </c>
      <c r="E557" s="3" t="inlineStr">
        <is>
          <t>regional_ccaa_ols</t>
        </is>
      </c>
      <c r="F557" s="3" t="n">
        <v>-1.46026</v>
      </c>
      <c r="G557" s="3" t="n"/>
      <c r="H557" s="3" t="n"/>
      <c r="I557" s="3" t="n">
        <v>0.2288</v>
      </c>
      <c r="J557" s="3" t="n"/>
      <c r="K557" s="3" t="n"/>
      <c r="L557" s="3" t="n"/>
      <c r="M557" s="3" t="n"/>
      <c r="N557" s="3" t="inlineStr">
        <is>
          <t>C4</t>
        </is>
      </c>
      <c r="O557" s="3" t="inlineStr">
        <is>
          <t>no</t>
        </is>
      </c>
      <c r="P557" s="3" t="inlineStr">
        <is>
          <t>no_compite</t>
        </is>
      </c>
      <c r="Q557" s="3" t="inlineStr">
        <is>
          <t>ols_solo_factor</t>
        </is>
      </c>
      <c r="R557" s="3" t="n"/>
      <c r="S557" s="3" t="inlineStr">
        <is>
          <t>contraste regional (R6); no vota</t>
        </is>
      </c>
      <c r="T557" s="3" t="inlineStr">
        <is>
          <t>output/v8/F5/atribucion_combinada.csv</t>
        </is>
      </c>
      <c r="U557" s="2">
        <f>IF(R557=0,"",F557/R557)</f>
        <v/>
      </c>
      <c r="V557" s="2">
        <f>SUMIFS(F$2:F$1589,A$2:A$1589,A557,C$2:C$1589,C557,E$2:E$1589,E557,Q$2:Q$1589,Q557)</f>
        <v/>
      </c>
    </row>
    <row r="558">
      <c r="A558" s="3" t="inlineStr">
        <is>
          <t>compra</t>
        </is>
      </c>
      <c r="B558" s="3" t="inlineStr">
        <is>
          <t>ccaa:01</t>
        </is>
      </c>
      <c r="C558" s="3" t="inlineStr">
        <is>
          <t>P1</t>
        </is>
      </c>
      <c r="D558" s="3" t="inlineStr">
        <is>
          <t>factor_comun</t>
        </is>
      </c>
      <c r="E558" s="3" t="inlineStr">
        <is>
          <t>regional_panel</t>
        </is>
      </c>
      <c r="F558" s="3" t="n">
        <v>74.3853</v>
      </c>
      <c r="G558" s="3" t="n"/>
      <c r="H558" s="3" t="n"/>
      <c r="I558" s="3" t="n">
        <v>0.842611</v>
      </c>
      <c r="J558" s="3" t="n">
        <v>63.2347</v>
      </c>
      <c r="K558" s="3" t="n">
        <v>88.0656</v>
      </c>
      <c r="L558" s="3" t="n">
        <v>53.4481</v>
      </c>
      <c r="M558" s="3" t="n">
        <v>94.25</v>
      </c>
      <c r="N558" s="3" t="inlineStr">
        <is>
          <t>C4</t>
        </is>
      </c>
      <c r="O558" s="3" t="inlineStr">
        <is>
          <t>no</t>
        </is>
      </c>
      <c r="P558" s="3" t="inlineStr">
        <is>
          <t>no_compite</t>
        </is>
      </c>
      <c r="Q558" s="3" t="inlineStr">
        <is>
          <t>panel_covariables</t>
        </is>
      </c>
      <c r="R558" s="3" t="n"/>
      <c r="S558" s="3" t="inlineStr">
        <is>
          <t>contraste regional (R6); no vota</t>
        </is>
      </c>
      <c r="T558" s="3" t="inlineStr">
        <is>
          <t>output/v8/F5/atribucion_combinada.csv</t>
        </is>
      </c>
      <c r="U558" s="2">
        <f>IF(R558=0,"",F558/R558)</f>
        <v/>
      </c>
      <c r="V558" s="2">
        <f>SUMIFS(F$2:F$1589,A$2:A$1589,A558,C$2:C$1589,C558,E$2:E$1589,E558,Q$2:Q$1589,Q558)</f>
        <v/>
      </c>
    </row>
    <row r="559">
      <c r="A559" s="3" t="inlineStr">
        <is>
          <t>compra</t>
        </is>
      </c>
      <c r="B559" s="3" t="inlineStr">
        <is>
          <t>ccaa:01</t>
        </is>
      </c>
      <c r="C559" s="3" t="inlineStr">
        <is>
          <t>P1</t>
        </is>
      </c>
      <c r="D559" s="3" t="inlineStr">
        <is>
          <t>residuo</t>
        </is>
      </c>
      <c r="E559" s="3" t="inlineStr">
        <is>
          <t>regional_panel</t>
        </is>
      </c>
      <c r="F559" s="3" t="n">
        <v>13.8942</v>
      </c>
      <c r="G559" s="3" t="n"/>
      <c r="H559" s="3" t="n"/>
      <c r="I559" s="3" t="n">
        <v>0.157389</v>
      </c>
      <c r="J559" s="3" t="n">
        <v>6.20006</v>
      </c>
      <c r="K559" s="3" t="n">
        <v>22.3217</v>
      </c>
      <c r="L559" s="3" t="n">
        <v>1.90103</v>
      </c>
      <c r="M559" s="3" t="n">
        <v>27.293</v>
      </c>
      <c r="N559" s="3" t="inlineStr">
        <is>
          <t>C4</t>
        </is>
      </c>
      <c r="O559" s="3" t="inlineStr">
        <is>
          <t>no</t>
        </is>
      </c>
      <c r="P559" s="3" t="inlineStr">
        <is>
          <t>no_compite</t>
        </is>
      </c>
      <c r="Q559" s="3" t="inlineStr">
        <is>
          <t>panel_covariables</t>
        </is>
      </c>
      <c r="R559" s="3" t="n"/>
      <c r="S559" s="3" t="inlineStr">
        <is>
          <t>contraste regional (R6); no vota</t>
        </is>
      </c>
      <c r="T559" s="3" t="inlineStr">
        <is>
          <t>output/v8/F5/atribucion_combinada.csv</t>
        </is>
      </c>
      <c r="U559" s="2">
        <f>IF(R559=0,"",F559/R559)</f>
        <v/>
      </c>
      <c r="V559" s="2">
        <f>SUMIFS(F$2:F$1589,A$2:A$1589,A559,C$2:C$1589,C559,E$2:E$1589,E559,Q$2:Q$1589,Q559)</f>
        <v/>
      </c>
    </row>
    <row r="560">
      <c r="A560" s="3" t="inlineStr">
        <is>
          <t>compra</t>
        </is>
      </c>
      <c r="B560" s="3" t="inlineStr">
        <is>
          <t>ccaa:02</t>
        </is>
      </c>
      <c r="C560" s="3" t="inlineStr">
        <is>
          <t>P1</t>
        </is>
      </c>
      <c r="D560" s="3" t="inlineStr">
        <is>
          <t>factor_comun</t>
        </is>
      </c>
      <c r="E560" s="3" t="inlineStr">
        <is>
          <t>regional_panel</t>
        </is>
      </c>
      <c r="F560" s="3" t="n">
        <v>74.3853</v>
      </c>
      <c r="G560" s="3" t="n"/>
      <c r="H560" s="3" t="n"/>
      <c r="I560" s="3" t="n">
        <v>0.8811369999999999</v>
      </c>
      <c r="J560" s="3" t="n">
        <v>63.2347</v>
      </c>
      <c r="K560" s="3" t="n">
        <v>88.0656</v>
      </c>
      <c r="L560" s="3" t="n">
        <v>53.4481</v>
      </c>
      <c r="M560" s="3" t="n">
        <v>94.25</v>
      </c>
      <c r="N560" s="3" t="inlineStr">
        <is>
          <t>C4</t>
        </is>
      </c>
      <c r="O560" s="3" t="inlineStr">
        <is>
          <t>no</t>
        </is>
      </c>
      <c r="P560" s="3" t="inlineStr">
        <is>
          <t>no_compite</t>
        </is>
      </c>
      <c r="Q560" s="3" t="inlineStr">
        <is>
          <t>panel_covariables</t>
        </is>
      </c>
      <c r="R560" s="3" t="n"/>
      <c r="S560" s="3" t="inlineStr">
        <is>
          <t>contraste regional (R6); no vota</t>
        </is>
      </c>
      <c r="T560" s="3" t="inlineStr">
        <is>
          <t>output/v8/F5/atribucion_combinada.csv</t>
        </is>
      </c>
      <c r="U560" s="2">
        <f>IF(R560=0,"",F560/R560)</f>
        <v/>
      </c>
      <c r="V560" s="2">
        <f>SUMIFS(F$2:F$1589,A$2:A$1589,A560,C$2:C$1589,C560,E$2:E$1589,E560,Q$2:Q$1589,Q560)</f>
        <v/>
      </c>
    </row>
    <row r="561">
      <c r="A561" s="3" t="inlineStr">
        <is>
          <t>compra</t>
        </is>
      </c>
      <c r="B561" s="3" t="inlineStr">
        <is>
          <t>ccaa:02</t>
        </is>
      </c>
      <c r="C561" s="3" t="inlineStr">
        <is>
          <t>P1</t>
        </is>
      </c>
      <c r="D561" s="3" t="inlineStr">
        <is>
          <t>residuo</t>
        </is>
      </c>
      <c r="E561" s="3" t="inlineStr">
        <is>
          <t>regional_panel</t>
        </is>
      </c>
      <c r="F561" s="3" t="n">
        <v>10.0343</v>
      </c>
      <c r="G561" s="3" t="n"/>
      <c r="H561" s="3" t="n"/>
      <c r="I561" s="3" t="n">
        <v>0.118863</v>
      </c>
      <c r="J561" s="3" t="n">
        <v>3.20189</v>
      </c>
      <c r="K561" s="3" t="n">
        <v>17.4907</v>
      </c>
      <c r="L561" s="3" t="n">
        <v>-0.585484</v>
      </c>
      <c r="M561" s="3" t="n">
        <v>22.3327</v>
      </c>
      <c r="N561" s="3" t="inlineStr">
        <is>
          <t>C4</t>
        </is>
      </c>
      <c r="O561" s="3" t="inlineStr">
        <is>
          <t>no</t>
        </is>
      </c>
      <c r="P561" s="3" t="inlineStr">
        <is>
          <t>no_compite</t>
        </is>
      </c>
      <c r="Q561" s="3" t="inlineStr">
        <is>
          <t>panel_covariables</t>
        </is>
      </c>
      <c r="R561" s="3" t="n"/>
      <c r="S561" s="3" t="inlineStr">
        <is>
          <t>contraste regional (R6); no vota</t>
        </is>
      </c>
      <c r="T561" s="3" t="inlineStr">
        <is>
          <t>output/v8/F5/atribucion_combinada.csv</t>
        </is>
      </c>
      <c r="U561" s="2">
        <f>IF(R561=0,"",F561/R561)</f>
        <v/>
      </c>
      <c r="V561" s="2">
        <f>SUMIFS(F$2:F$1589,A$2:A$1589,A561,C$2:C$1589,C561,E$2:E$1589,E561,Q$2:Q$1589,Q561)</f>
        <v/>
      </c>
    </row>
    <row r="562">
      <c r="A562" s="3" t="inlineStr">
        <is>
          <t>compra</t>
        </is>
      </c>
      <c r="B562" s="3" t="inlineStr">
        <is>
          <t>ccaa:03</t>
        </is>
      </c>
      <c r="C562" s="3" t="inlineStr">
        <is>
          <t>P1</t>
        </is>
      </c>
      <c r="D562" s="3" t="inlineStr">
        <is>
          <t>factor_comun</t>
        </is>
      </c>
      <c r="E562" s="3" t="inlineStr">
        <is>
          <t>regional_panel</t>
        </is>
      </c>
      <c r="F562" s="3" t="n">
        <v>74.3853</v>
      </c>
      <c r="G562" s="3" t="n"/>
      <c r="H562" s="3" t="n"/>
      <c r="I562" s="3" t="n">
        <v>1.16285</v>
      </c>
      <c r="J562" s="3" t="n">
        <v>63.2347</v>
      </c>
      <c r="K562" s="3" t="n">
        <v>88.0656</v>
      </c>
      <c r="L562" s="3" t="n">
        <v>53.4481</v>
      </c>
      <c r="M562" s="3" t="n">
        <v>94.25</v>
      </c>
      <c r="N562" s="3" t="inlineStr">
        <is>
          <t>C4</t>
        </is>
      </c>
      <c r="O562" s="3" t="inlineStr">
        <is>
          <t>no</t>
        </is>
      </c>
      <c r="P562" s="3" t="inlineStr">
        <is>
          <t>no_compite</t>
        </is>
      </c>
      <c r="Q562" s="3" t="inlineStr">
        <is>
          <t>panel_covariables</t>
        </is>
      </c>
      <c r="R562" s="3" t="n"/>
      <c r="S562" s="3" t="inlineStr">
        <is>
          <t>contraste regional (R6); no vota</t>
        </is>
      </c>
      <c r="T562" s="3" t="inlineStr">
        <is>
          <t>output/v8/F5/atribucion_combinada.csv</t>
        </is>
      </c>
      <c r="U562" s="2">
        <f>IF(R562=0,"",F562/R562)</f>
        <v/>
      </c>
      <c r="V562" s="2">
        <f>SUMIFS(F$2:F$1589,A$2:A$1589,A562,C$2:C$1589,C562,E$2:E$1589,E562,Q$2:Q$1589,Q562)</f>
        <v/>
      </c>
    </row>
    <row r="563">
      <c r="A563" s="3" t="inlineStr">
        <is>
          <t>compra</t>
        </is>
      </c>
      <c r="B563" s="3" t="inlineStr">
        <is>
          <t>ccaa:03</t>
        </is>
      </c>
      <c r="C563" s="3" t="inlineStr">
        <is>
          <t>P1</t>
        </is>
      </c>
      <c r="D563" s="3" t="inlineStr">
        <is>
          <t>residuo</t>
        </is>
      </c>
      <c r="E563" s="3" t="inlineStr">
        <is>
          <t>regional_panel</t>
        </is>
      </c>
      <c r="F563" s="3" t="n">
        <v>-10.417</v>
      </c>
      <c r="G563" s="3" t="n"/>
      <c r="H563" s="3" t="n"/>
      <c r="I563" s="3" t="n">
        <v>-0.162847</v>
      </c>
      <c r="J563" s="3" t="n">
        <v>-15.1017</v>
      </c>
      <c r="K563" s="3" t="n">
        <v>-6.02628</v>
      </c>
      <c r="L563" s="3" t="n">
        <v>-18.103</v>
      </c>
      <c r="M563" s="3" t="n">
        <v>-2.13119</v>
      </c>
      <c r="N563" s="3" t="inlineStr">
        <is>
          <t>C4</t>
        </is>
      </c>
      <c r="O563" s="3" t="inlineStr">
        <is>
          <t>no</t>
        </is>
      </c>
      <c r="P563" s="3" t="inlineStr">
        <is>
          <t>no_compite</t>
        </is>
      </c>
      <c r="Q563" s="3" t="inlineStr">
        <is>
          <t>panel_covariables</t>
        </is>
      </c>
      <c r="R563" s="3" t="n"/>
      <c r="S563" s="3" t="inlineStr">
        <is>
          <t>contraste regional (R6); no vota</t>
        </is>
      </c>
      <c r="T563" s="3" t="inlineStr">
        <is>
          <t>output/v8/F5/atribucion_combinada.csv</t>
        </is>
      </c>
      <c r="U563" s="2">
        <f>IF(R563=0,"",F563/R563)</f>
        <v/>
      </c>
      <c r="V563" s="2">
        <f>SUMIFS(F$2:F$1589,A$2:A$1589,A563,C$2:C$1589,C563,E$2:E$1589,E563,Q$2:Q$1589,Q563)</f>
        <v/>
      </c>
    </row>
    <row r="564">
      <c r="A564" s="3" t="inlineStr">
        <is>
          <t>compra</t>
        </is>
      </c>
      <c r="B564" s="3" t="inlineStr">
        <is>
          <t>ccaa:04</t>
        </is>
      </c>
      <c r="C564" s="3" t="inlineStr">
        <is>
          <t>P1</t>
        </is>
      </c>
      <c r="D564" s="3" t="inlineStr">
        <is>
          <t>factor_comun</t>
        </is>
      </c>
      <c r="E564" s="3" t="inlineStr">
        <is>
          <t>regional_panel</t>
        </is>
      </c>
      <c r="F564" s="3" t="n">
        <v>74.3853</v>
      </c>
      <c r="G564" s="3" t="n"/>
      <c r="H564" s="3" t="n"/>
      <c r="I564" s="3" t="n">
        <v>0.714879</v>
      </c>
      <c r="J564" s="3" t="n">
        <v>63.2347</v>
      </c>
      <c r="K564" s="3" t="n">
        <v>88.0656</v>
      </c>
      <c r="L564" s="3" t="n">
        <v>53.4481</v>
      </c>
      <c r="M564" s="3" t="n">
        <v>94.25</v>
      </c>
      <c r="N564" s="3" t="inlineStr">
        <is>
          <t>C4</t>
        </is>
      </c>
      <c r="O564" s="3" t="inlineStr">
        <is>
          <t>no</t>
        </is>
      </c>
      <c r="P564" s="3" t="inlineStr">
        <is>
          <t>no_compite</t>
        </is>
      </c>
      <c r="Q564" s="3" t="inlineStr">
        <is>
          <t>panel_covariables</t>
        </is>
      </c>
      <c r="R564" s="3" t="n"/>
      <c r="S564" s="3" t="inlineStr">
        <is>
          <t>contraste regional (R6); no vota</t>
        </is>
      </c>
      <c r="T564" s="3" t="inlineStr">
        <is>
          <t>output/v8/F5/atribucion_combinada.csv</t>
        </is>
      </c>
      <c r="U564" s="2">
        <f>IF(R564=0,"",F564/R564)</f>
        <v/>
      </c>
      <c r="V564" s="2">
        <f>SUMIFS(F$2:F$1589,A$2:A$1589,A564,C$2:C$1589,C564,E$2:E$1589,E564,Q$2:Q$1589,Q564)</f>
        <v/>
      </c>
    </row>
    <row r="565">
      <c r="A565" s="3" t="inlineStr">
        <is>
          <t>compra</t>
        </is>
      </c>
      <c r="B565" s="3" t="inlineStr">
        <is>
          <t>ccaa:04</t>
        </is>
      </c>
      <c r="C565" s="3" t="inlineStr">
        <is>
          <t>P1</t>
        </is>
      </c>
      <c r="D565" s="3" t="inlineStr">
        <is>
          <t>residuo</t>
        </is>
      </c>
      <c r="E565" s="3" t="inlineStr">
        <is>
          <t>regional_panel</t>
        </is>
      </c>
      <c r="F565" s="3" t="n">
        <v>29.6677</v>
      </c>
      <c r="G565" s="3" t="n"/>
      <c r="H565" s="3" t="n"/>
      <c r="I565" s="3" t="n">
        <v>0.285121</v>
      </c>
      <c r="J565" s="3" t="n">
        <v>13.2574</v>
      </c>
      <c r="K565" s="3" t="n">
        <v>44.6167</v>
      </c>
      <c r="L565" s="3" t="n">
        <v>0.182402</v>
      </c>
      <c r="M565" s="3" t="n">
        <v>57.8366</v>
      </c>
      <c r="N565" s="3" t="inlineStr">
        <is>
          <t>C4</t>
        </is>
      </c>
      <c r="O565" s="3" t="inlineStr">
        <is>
          <t>no</t>
        </is>
      </c>
      <c r="P565" s="3" t="inlineStr">
        <is>
          <t>no_compite</t>
        </is>
      </c>
      <c r="Q565" s="3" t="inlineStr">
        <is>
          <t>panel_covariables</t>
        </is>
      </c>
      <c r="R565" s="3" t="n"/>
      <c r="S565" s="3" t="inlineStr">
        <is>
          <t>contraste regional (R6); no vota</t>
        </is>
      </c>
      <c r="T565" s="3" t="inlineStr">
        <is>
          <t>output/v8/F5/atribucion_combinada.csv</t>
        </is>
      </c>
      <c r="U565" s="2">
        <f>IF(R565=0,"",F565/R565)</f>
        <v/>
      </c>
      <c r="V565" s="2">
        <f>SUMIFS(F$2:F$1589,A$2:A$1589,A565,C$2:C$1589,C565,E$2:E$1589,E565,Q$2:Q$1589,Q565)</f>
        <v/>
      </c>
    </row>
    <row r="566">
      <c r="A566" s="3" t="inlineStr">
        <is>
          <t>compra</t>
        </is>
      </c>
      <c r="B566" s="3" t="inlineStr">
        <is>
          <t>ccaa:05</t>
        </is>
      </c>
      <c r="C566" s="3" t="inlineStr">
        <is>
          <t>P1</t>
        </is>
      </c>
      <c r="D566" s="3" t="inlineStr">
        <is>
          <t>factor_comun</t>
        </is>
      </c>
      <c r="E566" s="3" t="inlineStr">
        <is>
          <t>regional_panel</t>
        </is>
      </c>
      <c r="F566" s="3" t="n">
        <v>74.3853</v>
      </c>
      <c r="G566" s="3" t="n"/>
      <c r="H566" s="3" t="n"/>
      <c r="I566" s="3" t="n">
        <v>0.975073</v>
      </c>
      <c r="J566" s="3" t="n">
        <v>63.2347</v>
      </c>
      <c r="K566" s="3" t="n">
        <v>88.0656</v>
      </c>
      <c r="L566" s="3" t="n">
        <v>53.4481</v>
      </c>
      <c r="M566" s="3" t="n">
        <v>94.25</v>
      </c>
      <c r="N566" s="3" t="inlineStr">
        <is>
          <t>C4</t>
        </is>
      </c>
      <c r="O566" s="3" t="inlineStr">
        <is>
          <t>no</t>
        </is>
      </c>
      <c r="P566" s="3" t="inlineStr">
        <is>
          <t>no_compite</t>
        </is>
      </c>
      <c r="Q566" s="3" t="inlineStr">
        <is>
          <t>panel_covariables</t>
        </is>
      </c>
      <c r="R566" s="3" t="n"/>
      <c r="S566" s="3" t="inlineStr">
        <is>
          <t>contraste regional (R6); no vota</t>
        </is>
      </c>
      <c r="T566" s="3" t="inlineStr">
        <is>
          <t>output/v8/F5/atribucion_combinada.csv</t>
        </is>
      </c>
      <c r="U566" s="2">
        <f>IF(R566=0,"",F566/R566)</f>
        <v/>
      </c>
      <c r="V566" s="2">
        <f>SUMIFS(F$2:F$1589,A$2:A$1589,A566,C$2:C$1589,C566,E$2:E$1589,E566,Q$2:Q$1589,Q566)</f>
        <v/>
      </c>
    </row>
    <row r="567">
      <c r="A567" s="3" t="inlineStr">
        <is>
          <t>compra</t>
        </is>
      </c>
      <c r="B567" s="3" t="inlineStr">
        <is>
          <t>ccaa:05</t>
        </is>
      </c>
      <c r="C567" s="3" t="inlineStr">
        <is>
          <t>P1</t>
        </is>
      </c>
      <c r="D567" s="3" t="inlineStr">
        <is>
          <t>residuo</t>
        </is>
      </c>
      <c r="E567" s="3" t="inlineStr">
        <is>
          <t>regional_panel</t>
        </is>
      </c>
      <c r="F567" s="3" t="n">
        <v>1.9016</v>
      </c>
      <c r="G567" s="3" t="n"/>
      <c r="H567" s="3" t="n"/>
      <c r="I567" s="3" t="n">
        <v>0.024927</v>
      </c>
      <c r="J567" s="3" t="n">
        <v>-8.68317</v>
      </c>
      <c r="K567" s="3" t="n">
        <v>11.3124</v>
      </c>
      <c r="L567" s="3" t="n">
        <v>-16.1827</v>
      </c>
      <c r="M567" s="3" t="n">
        <v>18.3159</v>
      </c>
      <c r="N567" s="3" t="inlineStr">
        <is>
          <t>C4</t>
        </is>
      </c>
      <c r="O567" s="3" t="inlineStr">
        <is>
          <t>no</t>
        </is>
      </c>
      <c r="P567" s="3" t="inlineStr">
        <is>
          <t>no_compite</t>
        </is>
      </c>
      <c r="Q567" s="3" t="inlineStr">
        <is>
          <t>panel_covariables</t>
        </is>
      </c>
      <c r="R567" s="3" t="n"/>
      <c r="S567" s="3" t="inlineStr">
        <is>
          <t>contraste regional (R6); no vota</t>
        </is>
      </c>
      <c r="T567" s="3" t="inlineStr">
        <is>
          <t>output/v8/F5/atribucion_combinada.csv</t>
        </is>
      </c>
      <c r="U567" s="2">
        <f>IF(R567=0,"",F567/R567)</f>
        <v/>
      </c>
      <c r="V567" s="2">
        <f>SUMIFS(F$2:F$1589,A$2:A$1589,A567,C$2:C$1589,C567,E$2:E$1589,E567,Q$2:Q$1589,Q567)</f>
        <v/>
      </c>
    </row>
    <row r="568">
      <c r="A568" s="3" t="inlineStr">
        <is>
          <t>compra</t>
        </is>
      </c>
      <c r="B568" s="3" t="inlineStr">
        <is>
          <t>ccaa:06</t>
        </is>
      </c>
      <c r="C568" s="3" t="inlineStr">
        <is>
          <t>P1</t>
        </is>
      </c>
      <c r="D568" s="3" t="inlineStr">
        <is>
          <t>factor_comun</t>
        </is>
      </c>
      <c r="E568" s="3" t="inlineStr">
        <is>
          <t>regional_panel</t>
        </is>
      </c>
      <c r="F568" s="3" t="n">
        <v>74.3853</v>
      </c>
      <c r="G568" s="3" t="n"/>
      <c r="H568" s="3" t="n"/>
      <c r="I568" s="3" t="n">
        <v>1.10789</v>
      </c>
      <c r="J568" s="3" t="n">
        <v>63.2347</v>
      </c>
      <c r="K568" s="3" t="n">
        <v>88.0656</v>
      </c>
      <c r="L568" s="3" t="n">
        <v>53.4481</v>
      </c>
      <c r="M568" s="3" t="n">
        <v>94.25</v>
      </c>
      <c r="N568" s="3" t="inlineStr">
        <is>
          <t>C4</t>
        </is>
      </c>
      <c r="O568" s="3" t="inlineStr">
        <is>
          <t>no</t>
        </is>
      </c>
      <c r="P568" s="3" t="inlineStr">
        <is>
          <t>no_compite</t>
        </is>
      </c>
      <c r="Q568" s="3" t="inlineStr">
        <is>
          <t>panel_covariables</t>
        </is>
      </c>
      <c r="R568" s="3" t="n"/>
      <c r="S568" s="3" t="inlineStr">
        <is>
          <t>contraste regional (R6); no vota</t>
        </is>
      </c>
      <c r="T568" s="3" t="inlineStr">
        <is>
          <t>output/v8/F5/atribucion_combinada.csv</t>
        </is>
      </c>
      <c r="U568" s="2">
        <f>IF(R568=0,"",F568/R568)</f>
        <v/>
      </c>
      <c r="V568" s="2">
        <f>SUMIFS(F$2:F$1589,A$2:A$1589,A568,C$2:C$1589,C568,E$2:E$1589,E568,Q$2:Q$1589,Q568)</f>
        <v/>
      </c>
    </row>
    <row r="569">
      <c r="A569" s="3" t="inlineStr">
        <is>
          <t>compra</t>
        </is>
      </c>
      <c r="B569" s="3" t="inlineStr">
        <is>
          <t>ccaa:06</t>
        </is>
      </c>
      <c r="C569" s="3" t="inlineStr">
        <is>
          <t>P1</t>
        </is>
      </c>
      <c r="D569" s="3" t="inlineStr">
        <is>
          <t>residuo</t>
        </is>
      </c>
      <c r="E569" s="3" t="inlineStr">
        <is>
          <t>regional_panel</t>
        </is>
      </c>
      <c r="F569" s="3" t="n">
        <v>-7.2437</v>
      </c>
      <c r="G569" s="3" t="n"/>
      <c r="H569" s="3" t="n"/>
      <c r="I569" s="3" t="n">
        <v>-0.107887</v>
      </c>
      <c r="J569" s="3" t="n">
        <v>-14.0784</v>
      </c>
      <c r="K569" s="3" t="n">
        <v>0.336508</v>
      </c>
      <c r="L569" s="3" t="n">
        <v>-19.0059</v>
      </c>
      <c r="M569" s="3" t="n">
        <v>4.16952</v>
      </c>
      <c r="N569" s="3" t="inlineStr">
        <is>
          <t>C4</t>
        </is>
      </c>
      <c r="O569" s="3" t="inlineStr">
        <is>
          <t>no</t>
        </is>
      </c>
      <c r="P569" s="3" t="inlineStr">
        <is>
          <t>no_compite</t>
        </is>
      </c>
      <c r="Q569" s="3" t="inlineStr">
        <is>
          <t>panel_covariables</t>
        </is>
      </c>
      <c r="R569" s="3" t="n"/>
      <c r="S569" s="3" t="inlineStr">
        <is>
          <t>contraste regional (R6); no vota</t>
        </is>
      </c>
      <c r="T569" s="3" t="inlineStr">
        <is>
          <t>output/v8/F5/atribucion_combinada.csv</t>
        </is>
      </c>
      <c r="U569" s="2">
        <f>IF(R569=0,"",F569/R569)</f>
        <v/>
      </c>
      <c r="V569" s="2">
        <f>SUMIFS(F$2:F$1589,A$2:A$1589,A569,C$2:C$1589,C569,E$2:E$1589,E569,Q$2:Q$1589,Q569)</f>
        <v/>
      </c>
    </row>
    <row r="570">
      <c r="A570" s="3" t="inlineStr">
        <is>
          <t>compra</t>
        </is>
      </c>
      <c r="B570" s="3" t="inlineStr">
        <is>
          <t>ccaa:07</t>
        </is>
      </c>
      <c r="C570" s="3" t="inlineStr">
        <is>
          <t>P1</t>
        </is>
      </c>
      <c r="D570" s="3" t="inlineStr">
        <is>
          <t>factor_comun</t>
        </is>
      </c>
      <c r="E570" s="3" t="inlineStr">
        <is>
          <t>regional_panel</t>
        </is>
      </c>
      <c r="F570" s="3" t="n">
        <v>74.3853</v>
      </c>
      <c r="G570" s="3" t="n"/>
      <c r="H570" s="3" t="n"/>
      <c r="I570" s="3" t="n">
        <v>1.42689</v>
      </c>
      <c r="J570" s="3" t="n">
        <v>63.2347</v>
      </c>
      <c r="K570" s="3" t="n">
        <v>88.0656</v>
      </c>
      <c r="L570" s="3" t="n">
        <v>53.4481</v>
      </c>
      <c r="M570" s="3" t="n">
        <v>94.25</v>
      </c>
      <c r="N570" s="3" t="inlineStr">
        <is>
          <t>C4</t>
        </is>
      </c>
      <c r="O570" s="3" t="inlineStr">
        <is>
          <t>no</t>
        </is>
      </c>
      <c r="P570" s="3" t="inlineStr">
        <is>
          <t>no_compite</t>
        </is>
      </c>
      <c r="Q570" s="3" t="inlineStr">
        <is>
          <t>panel_covariables</t>
        </is>
      </c>
      <c r="R570" s="3" t="n"/>
      <c r="S570" s="3" t="inlineStr">
        <is>
          <t>contraste regional (R6); no vota</t>
        </is>
      </c>
      <c r="T570" s="3" t="inlineStr">
        <is>
          <t>output/v8/F5/atribucion_combinada.csv</t>
        </is>
      </c>
      <c r="U570" s="2">
        <f>IF(R570=0,"",F570/R570)</f>
        <v/>
      </c>
      <c r="V570" s="2">
        <f>SUMIFS(F$2:F$1589,A$2:A$1589,A570,C$2:C$1589,C570,E$2:E$1589,E570,Q$2:Q$1589,Q570)</f>
        <v/>
      </c>
    </row>
    <row r="571">
      <c r="A571" s="3" t="inlineStr">
        <is>
          <t>compra</t>
        </is>
      </c>
      <c r="B571" s="3" t="inlineStr">
        <is>
          <t>ccaa:07</t>
        </is>
      </c>
      <c r="C571" s="3" t="inlineStr">
        <is>
          <t>P1</t>
        </is>
      </c>
      <c r="D571" s="3" t="inlineStr">
        <is>
          <t>residuo</t>
        </is>
      </c>
      <c r="E571" s="3" t="inlineStr">
        <is>
          <t>regional_panel</t>
        </is>
      </c>
      <c r="F571" s="3" t="n">
        <v>-22.2544</v>
      </c>
      <c r="G571" s="3" t="n"/>
      <c r="H571" s="3" t="n"/>
      <c r="I571" s="3" t="n">
        <v>-0.426894</v>
      </c>
      <c r="J571" s="3" t="n">
        <v>-28.0927</v>
      </c>
      <c r="K571" s="3" t="n">
        <v>-17.3131</v>
      </c>
      <c r="L571" s="3" t="n">
        <v>-31.0771</v>
      </c>
      <c r="M571" s="3" t="n">
        <v>-14.0262</v>
      </c>
      <c r="N571" s="3" t="inlineStr">
        <is>
          <t>C4</t>
        </is>
      </c>
      <c r="O571" s="3" t="inlineStr">
        <is>
          <t>no</t>
        </is>
      </c>
      <c r="P571" s="3" t="inlineStr">
        <is>
          <t>no_compite</t>
        </is>
      </c>
      <c r="Q571" s="3" t="inlineStr">
        <is>
          <t>panel_covariables</t>
        </is>
      </c>
      <c r="R571" s="3" t="n"/>
      <c r="S571" s="3" t="inlineStr">
        <is>
          <t>contraste regional (R6); no vota</t>
        </is>
      </c>
      <c r="T571" s="3" t="inlineStr">
        <is>
          <t>output/v8/F5/atribucion_combinada.csv</t>
        </is>
      </c>
      <c r="U571" s="2">
        <f>IF(R571=0,"",F571/R571)</f>
        <v/>
      </c>
      <c r="V571" s="2">
        <f>SUMIFS(F$2:F$1589,A$2:A$1589,A571,C$2:C$1589,C571,E$2:E$1589,E571,Q$2:Q$1589,Q571)</f>
        <v/>
      </c>
    </row>
    <row r="572">
      <c r="A572" s="3" t="inlineStr">
        <is>
          <t>compra</t>
        </is>
      </c>
      <c r="B572" s="3" t="inlineStr">
        <is>
          <t>ccaa:08</t>
        </is>
      </c>
      <c r="C572" s="3" t="inlineStr">
        <is>
          <t>P1</t>
        </is>
      </c>
      <c r="D572" s="3" t="inlineStr">
        <is>
          <t>factor_comun</t>
        </is>
      </c>
      <c r="E572" s="3" t="inlineStr">
        <is>
          <t>regional_panel</t>
        </is>
      </c>
      <c r="F572" s="3" t="n">
        <v>74.3853</v>
      </c>
      <c r="G572" s="3" t="n"/>
      <c r="H572" s="3" t="n"/>
      <c r="I572" s="3" t="n">
        <v>1.07672</v>
      </c>
      <c r="J572" s="3" t="n">
        <v>63.2347</v>
      </c>
      <c r="K572" s="3" t="n">
        <v>88.0656</v>
      </c>
      <c r="L572" s="3" t="n">
        <v>53.4481</v>
      </c>
      <c r="M572" s="3" t="n">
        <v>94.25</v>
      </c>
      <c r="N572" s="3" t="inlineStr">
        <is>
          <t>C4</t>
        </is>
      </c>
      <c r="O572" s="3" t="inlineStr">
        <is>
          <t>no</t>
        </is>
      </c>
      <c r="P572" s="3" t="inlineStr">
        <is>
          <t>no_compite</t>
        </is>
      </c>
      <c r="Q572" s="3" t="inlineStr">
        <is>
          <t>panel_covariables</t>
        </is>
      </c>
      <c r="R572" s="3" t="n"/>
      <c r="S572" s="3" t="inlineStr">
        <is>
          <t>contraste regional (R6); no vota</t>
        </is>
      </c>
      <c r="T572" s="3" t="inlineStr">
        <is>
          <t>output/v8/F5/atribucion_combinada.csv</t>
        </is>
      </c>
      <c r="U572" s="2">
        <f>IF(R572=0,"",F572/R572)</f>
        <v/>
      </c>
      <c r="V572" s="2">
        <f>SUMIFS(F$2:F$1589,A$2:A$1589,A572,C$2:C$1589,C572,E$2:E$1589,E572,Q$2:Q$1589,Q572)</f>
        <v/>
      </c>
    </row>
    <row r="573">
      <c r="A573" s="3" t="inlineStr">
        <is>
          <t>compra</t>
        </is>
      </c>
      <c r="B573" s="3" t="inlineStr">
        <is>
          <t>ccaa:08</t>
        </is>
      </c>
      <c r="C573" s="3" t="inlineStr">
        <is>
          <t>P1</t>
        </is>
      </c>
      <c r="D573" s="3" t="inlineStr">
        <is>
          <t>residuo</t>
        </is>
      </c>
      <c r="E573" s="3" t="inlineStr">
        <is>
          <t>regional_panel</t>
        </is>
      </c>
      <c r="F573" s="3" t="n">
        <v>-5.30002</v>
      </c>
      <c r="G573" s="3" t="n"/>
      <c r="H573" s="3" t="n"/>
      <c r="I573" s="3" t="n">
        <v>-0.0767172</v>
      </c>
      <c r="J573" s="3" t="n">
        <v>-15.0234</v>
      </c>
      <c r="K573" s="3" t="n">
        <v>4.82911</v>
      </c>
      <c r="L573" s="3" t="n">
        <v>-22.3326</v>
      </c>
      <c r="M573" s="3" t="n">
        <v>12.8418</v>
      </c>
      <c r="N573" s="3" t="inlineStr">
        <is>
          <t>C4</t>
        </is>
      </c>
      <c r="O573" s="3" t="inlineStr">
        <is>
          <t>no</t>
        </is>
      </c>
      <c r="P573" s="3" t="inlineStr">
        <is>
          <t>no_compite</t>
        </is>
      </c>
      <c r="Q573" s="3" t="inlineStr">
        <is>
          <t>panel_covariables</t>
        </is>
      </c>
      <c r="R573" s="3" t="n"/>
      <c r="S573" s="3" t="inlineStr">
        <is>
          <t>contraste regional (R6); no vota</t>
        </is>
      </c>
      <c r="T573" s="3" t="inlineStr">
        <is>
          <t>output/v8/F5/atribucion_combinada.csv</t>
        </is>
      </c>
      <c r="U573" s="2">
        <f>IF(R573=0,"",F573/R573)</f>
        <v/>
      </c>
      <c r="V573" s="2">
        <f>SUMIFS(F$2:F$1589,A$2:A$1589,A573,C$2:C$1589,C573,E$2:E$1589,E573,Q$2:Q$1589,Q573)</f>
        <v/>
      </c>
    </row>
    <row r="574">
      <c r="A574" s="3" t="inlineStr">
        <is>
          <t>compra</t>
        </is>
      </c>
      <c r="B574" s="3" t="inlineStr">
        <is>
          <t>ccaa:09</t>
        </is>
      </c>
      <c r="C574" s="3" t="inlineStr">
        <is>
          <t>P1</t>
        </is>
      </c>
      <c r="D574" s="3" t="inlineStr">
        <is>
          <t>factor_comun</t>
        </is>
      </c>
      <c r="E574" s="3" t="inlineStr">
        <is>
          <t>regional_panel</t>
        </is>
      </c>
      <c r="F574" s="3" t="n">
        <v>74.3853</v>
      </c>
      <c r="G574" s="3" t="n"/>
      <c r="H574" s="3" t="n"/>
      <c r="I574" s="3" t="n">
        <v>0.904849</v>
      </c>
      <c r="J574" s="3" t="n">
        <v>63.2347</v>
      </c>
      <c r="K574" s="3" t="n">
        <v>88.0656</v>
      </c>
      <c r="L574" s="3" t="n">
        <v>53.4481</v>
      </c>
      <c r="M574" s="3" t="n">
        <v>94.25</v>
      </c>
      <c r="N574" s="3" t="inlineStr">
        <is>
          <t>C4</t>
        </is>
      </c>
      <c r="O574" s="3" t="inlineStr">
        <is>
          <t>no</t>
        </is>
      </c>
      <c r="P574" s="3" t="inlineStr">
        <is>
          <t>no_compite</t>
        </is>
      </c>
      <c r="Q574" s="3" t="inlineStr">
        <is>
          <t>panel_covariables</t>
        </is>
      </c>
      <c r="R574" s="3" t="n"/>
      <c r="S574" s="3" t="inlineStr">
        <is>
          <t>contraste regional (R6); no vota</t>
        </is>
      </c>
      <c r="T574" s="3" t="inlineStr">
        <is>
          <t>output/v8/F5/atribucion_combinada.csv</t>
        </is>
      </c>
      <c r="U574" s="2">
        <f>IF(R574=0,"",F574/R574)</f>
        <v/>
      </c>
      <c r="V574" s="2">
        <f>SUMIFS(F$2:F$1589,A$2:A$1589,A574,C$2:C$1589,C574,E$2:E$1589,E574,Q$2:Q$1589,Q574)</f>
        <v/>
      </c>
    </row>
    <row r="575">
      <c r="A575" s="3" t="inlineStr">
        <is>
          <t>compra</t>
        </is>
      </c>
      <c r="B575" s="3" t="inlineStr">
        <is>
          <t>ccaa:09</t>
        </is>
      </c>
      <c r="C575" s="3" t="inlineStr">
        <is>
          <t>P1</t>
        </is>
      </c>
      <c r="D575" s="3" t="inlineStr">
        <is>
          <t>residuo</t>
        </is>
      </c>
      <c r="E575" s="3" t="inlineStr">
        <is>
          <t>regional_panel</t>
        </is>
      </c>
      <c r="F575" s="3" t="n">
        <v>7.82209</v>
      </c>
      <c r="G575" s="3" t="n"/>
      <c r="H575" s="3" t="n"/>
      <c r="I575" s="3" t="n">
        <v>0.0951507</v>
      </c>
      <c r="J575" s="3" t="n">
        <v>3.47372</v>
      </c>
      <c r="K575" s="3" t="n">
        <v>12.5148</v>
      </c>
      <c r="L575" s="3" t="n">
        <v>-0.022973</v>
      </c>
      <c r="M575" s="3" t="n">
        <v>14.9416</v>
      </c>
      <c r="N575" s="3" t="inlineStr">
        <is>
          <t>C4</t>
        </is>
      </c>
      <c r="O575" s="3" t="inlineStr">
        <is>
          <t>no</t>
        </is>
      </c>
      <c r="P575" s="3" t="inlineStr">
        <is>
          <t>no_compite</t>
        </is>
      </c>
      <c r="Q575" s="3" t="inlineStr">
        <is>
          <t>panel_covariables</t>
        </is>
      </c>
      <c r="R575" s="3" t="n"/>
      <c r="S575" s="3" t="inlineStr">
        <is>
          <t>contraste regional (R6); no vota</t>
        </is>
      </c>
      <c r="T575" s="3" t="inlineStr">
        <is>
          <t>output/v8/F5/atribucion_combinada.csv</t>
        </is>
      </c>
      <c r="U575" s="2">
        <f>IF(R575=0,"",F575/R575)</f>
        <v/>
      </c>
      <c r="V575" s="2">
        <f>SUMIFS(F$2:F$1589,A$2:A$1589,A575,C$2:C$1589,C575,E$2:E$1589,E575,Q$2:Q$1589,Q575)</f>
        <v/>
      </c>
    </row>
    <row r="576">
      <c r="A576" s="3" t="inlineStr">
        <is>
          <t>compra</t>
        </is>
      </c>
      <c r="B576" s="3" t="inlineStr">
        <is>
          <t>ccaa:10</t>
        </is>
      </c>
      <c r="C576" s="3" t="inlineStr">
        <is>
          <t>P1</t>
        </is>
      </c>
      <c r="D576" s="3" t="inlineStr">
        <is>
          <t>factor_comun</t>
        </is>
      </c>
      <c r="E576" s="3" t="inlineStr">
        <is>
          <t>regional_panel</t>
        </is>
      </c>
      <c r="F576" s="3" t="n">
        <v>74.3853</v>
      </c>
      <c r="G576" s="3" t="n"/>
      <c r="H576" s="3" t="n"/>
      <c r="I576" s="3" t="n">
        <v>0.847296</v>
      </c>
      <c r="J576" s="3" t="n">
        <v>63.2347</v>
      </c>
      <c r="K576" s="3" t="n">
        <v>88.0656</v>
      </c>
      <c r="L576" s="3" t="n">
        <v>53.4481</v>
      </c>
      <c r="M576" s="3" t="n">
        <v>94.25</v>
      </c>
      <c r="N576" s="3" t="inlineStr">
        <is>
          <t>C4</t>
        </is>
      </c>
      <c r="O576" s="3" t="inlineStr">
        <is>
          <t>no</t>
        </is>
      </c>
      <c r="P576" s="3" t="inlineStr">
        <is>
          <t>no_compite</t>
        </is>
      </c>
      <c r="Q576" s="3" t="inlineStr">
        <is>
          <t>panel_covariables</t>
        </is>
      </c>
      <c r="R576" s="3" t="n"/>
      <c r="S576" s="3" t="inlineStr">
        <is>
          <t>contraste regional (R6); no vota</t>
        </is>
      </c>
      <c r="T576" s="3" t="inlineStr">
        <is>
          <t>output/v8/F5/atribucion_combinada.csv</t>
        </is>
      </c>
      <c r="U576" s="2">
        <f>IF(R576=0,"",F576/R576)</f>
        <v/>
      </c>
      <c r="V576" s="2">
        <f>SUMIFS(F$2:F$1589,A$2:A$1589,A576,C$2:C$1589,C576,E$2:E$1589,E576,Q$2:Q$1589,Q576)</f>
        <v/>
      </c>
    </row>
    <row r="577">
      <c r="A577" s="3" t="inlineStr">
        <is>
          <t>compra</t>
        </is>
      </c>
      <c r="B577" s="3" t="inlineStr">
        <is>
          <t>ccaa:10</t>
        </is>
      </c>
      <c r="C577" s="3" t="inlineStr">
        <is>
          <t>P1</t>
        </is>
      </c>
      <c r="D577" s="3" t="inlineStr">
        <is>
          <t>residuo</t>
        </is>
      </c>
      <c r="E577" s="3" t="inlineStr">
        <is>
          <t>regional_panel</t>
        </is>
      </c>
      <c r="F577" s="3" t="n">
        <v>13.4061</v>
      </c>
      <c r="G577" s="3" t="n"/>
      <c r="H577" s="3" t="n"/>
      <c r="I577" s="3" t="n">
        <v>0.152704</v>
      </c>
      <c r="J577" s="3" t="n">
        <v>8.426909999999999</v>
      </c>
      <c r="K577" s="3" t="n">
        <v>18.0653</v>
      </c>
      <c r="L577" s="3" t="n">
        <v>5.25767</v>
      </c>
      <c r="M577" s="3" t="n">
        <v>20.6426</v>
      </c>
      <c r="N577" s="3" t="inlineStr">
        <is>
          <t>C4</t>
        </is>
      </c>
      <c r="O577" s="3" t="inlineStr">
        <is>
          <t>no</t>
        </is>
      </c>
      <c r="P577" s="3" t="inlineStr">
        <is>
          <t>no_compite</t>
        </is>
      </c>
      <c r="Q577" s="3" t="inlineStr">
        <is>
          <t>panel_covariables</t>
        </is>
      </c>
      <c r="R577" s="3" t="n"/>
      <c r="S577" s="3" t="inlineStr">
        <is>
          <t>contraste regional (R6); no vota</t>
        </is>
      </c>
      <c r="T577" s="3" t="inlineStr">
        <is>
          <t>output/v8/F5/atribucion_combinada.csv</t>
        </is>
      </c>
      <c r="U577" s="2">
        <f>IF(R577=0,"",F577/R577)</f>
        <v/>
      </c>
      <c r="V577" s="2">
        <f>SUMIFS(F$2:F$1589,A$2:A$1589,A577,C$2:C$1589,C577,E$2:E$1589,E577,Q$2:Q$1589,Q577)</f>
        <v/>
      </c>
    </row>
    <row r="578">
      <c r="A578" s="3" t="inlineStr">
        <is>
          <t>compra</t>
        </is>
      </c>
      <c r="B578" s="3" t="inlineStr">
        <is>
          <t>ccaa:11</t>
        </is>
      </c>
      <c r="C578" s="3" t="inlineStr">
        <is>
          <t>P1</t>
        </is>
      </c>
      <c r="D578" s="3" t="inlineStr">
        <is>
          <t>factor_comun</t>
        </is>
      </c>
      <c r="E578" s="3" t="inlineStr">
        <is>
          <t>regional_panel</t>
        </is>
      </c>
      <c r="F578" s="3" t="n">
        <v>74.3853</v>
      </c>
      <c r="G578" s="3" t="n"/>
      <c r="H578" s="3" t="n"/>
      <c r="I578" s="3" t="n">
        <v>1.27052</v>
      </c>
      <c r="J578" s="3" t="n">
        <v>63.2347</v>
      </c>
      <c r="K578" s="3" t="n">
        <v>88.0656</v>
      </c>
      <c r="L578" s="3" t="n">
        <v>53.4481</v>
      </c>
      <c r="M578" s="3" t="n">
        <v>94.25</v>
      </c>
      <c r="N578" s="3" t="inlineStr">
        <is>
          <t>C4</t>
        </is>
      </c>
      <c r="O578" s="3" t="inlineStr">
        <is>
          <t>no</t>
        </is>
      </c>
      <c r="P578" s="3" t="inlineStr">
        <is>
          <t>no_compite</t>
        </is>
      </c>
      <c r="Q578" s="3" t="inlineStr">
        <is>
          <t>panel_covariables</t>
        </is>
      </c>
      <c r="R578" s="3" t="n"/>
      <c r="S578" s="3" t="inlineStr">
        <is>
          <t>contraste regional (R6); no vota</t>
        </is>
      </c>
      <c r="T578" s="3" t="inlineStr">
        <is>
          <t>output/v8/F5/atribucion_combinada.csv</t>
        </is>
      </c>
      <c r="U578" s="2">
        <f>IF(R578=0,"",F578/R578)</f>
        <v/>
      </c>
      <c r="V578" s="2">
        <f>SUMIFS(F$2:F$1589,A$2:A$1589,A578,C$2:C$1589,C578,E$2:E$1589,E578,Q$2:Q$1589,Q578)</f>
        <v/>
      </c>
    </row>
    <row r="579">
      <c r="A579" s="3" t="inlineStr">
        <is>
          <t>compra</t>
        </is>
      </c>
      <c r="B579" s="3" t="inlineStr">
        <is>
          <t>ccaa:11</t>
        </is>
      </c>
      <c r="C579" s="3" t="inlineStr">
        <is>
          <t>P1</t>
        </is>
      </c>
      <c r="D579" s="3" t="inlineStr">
        <is>
          <t>residuo</t>
        </is>
      </c>
      <c r="E579" s="3" t="inlineStr">
        <is>
          <t>regional_panel</t>
        </is>
      </c>
      <c r="F579" s="3" t="n">
        <v>-15.8383</v>
      </c>
      <c r="G579" s="3" t="n"/>
      <c r="H579" s="3" t="n"/>
      <c r="I579" s="3" t="n">
        <v>-0.270524</v>
      </c>
      <c r="J579" s="3" t="n">
        <v>-23.2499</v>
      </c>
      <c r="K579" s="3" t="n">
        <v>-9.08741</v>
      </c>
      <c r="L579" s="3" t="n">
        <v>-27.4659</v>
      </c>
      <c r="M579" s="3" t="n">
        <v>-4.52413</v>
      </c>
      <c r="N579" s="3" t="inlineStr">
        <is>
          <t>C4</t>
        </is>
      </c>
      <c r="O579" s="3" t="inlineStr">
        <is>
          <t>no</t>
        </is>
      </c>
      <c r="P579" s="3" t="inlineStr">
        <is>
          <t>no_compite</t>
        </is>
      </c>
      <c r="Q579" s="3" t="inlineStr">
        <is>
          <t>panel_covariables</t>
        </is>
      </c>
      <c r="R579" s="3" t="n"/>
      <c r="S579" s="3" t="inlineStr">
        <is>
          <t>contraste regional (R6); no vota</t>
        </is>
      </c>
      <c r="T579" s="3" t="inlineStr">
        <is>
          <t>output/v8/F5/atribucion_combinada.csv</t>
        </is>
      </c>
      <c r="U579" s="2">
        <f>IF(R579=0,"",F579/R579)</f>
        <v/>
      </c>
      <c r="V579" s="2">
        <f>SUMIFS(F$2:F$1589,A$2:A$1589,A579,C$2:C$1589,C579,E$2:E$1589,E579,Q$2:Q$1589,Q579)</f>
        <v/>
      </c>
    </row>
    <row r="580">
      <c r="A580" s="3" t="inlineStr">
        <is>
          <t>compra</t>
        </is>
      </c>
      <c r="B580" s="3" t="inlineStr">
        <is>
          <t>ccaa:12</t>
        </is>
      </c>
      <c r="C580" s="3" t="inlineStr">
        <is>
          <t>P1</t>
        </is>
      </c>
      <c r="D580" s="3" t="inlineStr">
        <is>
          <t>factor_comun</t>
        </is>
      </c>
      <c r="E580" s="3" t="inlineStr">
        <is>
          <t>regional_panel</t>
        </is>
      </c>
      <c r="F580" s="3" t="n">
        <v>74.3853</v>
      </c>
      <c r="G580" s="3" t="n"/>
      <c r="H580" s="3" t="n"/>
      <c r="I580" s="3" t="n">
        <v>1.29406</v>
      </c>
      <c r="J580" s="3" t="n">
        <v>63.2347</v>
      </c>
      <c r="K580" s="3" t="n">
        <v>88.0656</v>
      </c>
      <c r="L580" s="3" t="n">
        <v>53.4481</v>
      </c>
      <c r="M580" s="3" t="n">
        <v>94.25</v>
      </c>
      <c r="N580" s="3" t="inlineStr">
        <is>
          <t>C4</t>
        </is>
      </c>
      <c r="O580" s="3" t="inlineStr">
        <is>
          <t>no</t>
        </is>
      </c>
      <c r="P580" s="3" t="inlineStr">
        <is>
          <t>no_compite</t>
        </is>
      </c>
      <c r="Q580" s="3" t="inlineStr">
        <is>
          <t>panel_covariables</t>
        </is>
      </c>
      <c r="R580" s="3" t="n"/>
      <c r="S580" s="3" t="inlineStr">
        <is>
          <t>contraste regional (R6); no vota</t>
        </is>
      </c>
      <c r="T580" s="3" t="inlineStr">
        <is>
          <t>output/v8/F5/atribucion_combinada.csv</t>
        </is>
      </c>
      <c r="U580" s="2">
        <f>IF(R580=0,"",F580/R580)</f>
        <v/>
      </c>
      <c r="V580" s="2">
        <f>SUMIFS(F$2:F$1589,A$2:A$1589,A580,C$2:C$1589,C580,E$2:E$1589,E580,Q$2:Q$1589,Q580)</f>
        <v/>
      </c>
    </row>
    <row r="581">
      <c r="A581" s="3" t="inlineStr">
        <is>
          <t>compra</t>
        </is>
      </c>
      <c r="B581" s="3" t="inlineStr">
        <is>
          <t>ccaa:12</t>
        </is>
      </c>
      <c r="C581" s="3" t="inlineStr">
        <is>
          <t>P1</t>
        </is>
      </c>
      <c r="D581" s="3" t="inlineStr">
        <is>
          <t>residuo</t>
        </is>
      </c>
      <c r="E581" s="3" t="inlineStr">
        <is>
          <t>regional_panel</t>
        </is>
      </c>
      <c r="F581" s="3" t="n">
        <v>-16.9034</v>
      </c>
      <c r="G581" s="3" t="n"/>
      <c r="H581" s="3" t="n"/>
      <c r="I581" s="3" t="n">
        <v>-0.294064</v>
      </c>
      <c r="J581" s="3" t="n">
        <v>-27.5358</v>
      </c>
      <c r="K581" s="3" t="n">
        <v>-6.36542</v>
      </c>
      <c r="L581" s="3" t="n">
        <v>-35.4291</v>
      </c>
      <c r="M581" s="3" t="n">
        <v>-0.968418</v>
      </c>
      <c r="N581" s="3" t="inlineStr">
        <is>
          <t>C4</t>
        </is>
      </c>
      <c r="O581" s="3" t="inlineStr">
        <is>
          <t>no</t>
        </is>
      </c>
      <c r="P581" s="3" t="inlineStr">
        <is>
          <t>no_compite</t>
        </is>
      </c>
      <c r="Q581" s="3" t="inlineStr">
        <is>
          <t>panel_covariables</t>
        </is>
      </c>
      <c r="R581" s="3" t="n"/>
      <c r="S581" s="3" t="inlineStr">
        <is>
          <t>contraste regional (R6); no vota</t>
        </is>
      </c>
      <c r="T581" s="3" t="inlineStr">
        <is>
          <t>output/v8/F5/atribucion_combinada.csv</t>
        </is>
      </c>
      <c r="U581" s="2">
        <f>IF(R581=0,"",F581/R581)</f>
        <v/>
      </c>
      <c r="V581" s="2">
        <f>SUMIFS(F$2:F$1589,A$2:A$1589,A581,C$2:C$1589,C581,E$2:E$1589,E581,Q$2:Q$1589,Q581)</f>
        <v/>
      </c>
    </row>
    <row r="582">
      <c r="A582" s="3" t="inlineStr">
        <is>
          <t>compra</t>
        </is>
      </c>
      <c r="B582" s="3" t="inlineStr">
        <is>
          <t>ccaa:13</t>
        </is>
      </c>
      <c r="C582" s="3" t="inlineStr">
        <is>
          <t>P1</t>
        </is>
      </c>
      <c r="D582" s="3" t="inlineStr">
        <is>
          <t>factor_comun</t>
        </is>
      </c>
      <c r="E582" s="3" t="inlineStr">
        <is>
          <t>regional_panel</t>
        </is>
      </c>
      <c r="F582" s="3" t="n">
        <v>74.3853</v>
      </c>
      <c r="G582" s="3" t="n"/>
      <c r="H582" s="3" t="n"/>
      <c r="I582" s="3" t="n">
        <v>1.11352</v>
      </c>
      <c r="J582" s="3" t="n">
        <v>63.2347</v>
      </c>
      <c r="K582" s="3" t="n">
        <v>88.0656</v>
      </c>
      <c r="L582" s="3" t="n">
        <v>53.4481</v>
      </c>
      <c r="M582" s="3" t="n">
        <v>94.25</v>
      </c>
      <c r="N582" s="3" t="inlineStr">
        <is>
          <t>C4</t>
        </is>
      </c>
      <c r="O582" s="3" t="inlineStr">
        <is>
          <t>no</t>
        </is>
      </c>
      <c r="P582" s="3" t="inlineStr">
        <is>
          <t>no_compite</t>
        </is>
      </c>
      <c r="Q582" s="3" t="inlineStr">
        <is>
          <t>panel_covariables</t>
        </is>
      </c>
      <c r="R582" s="3" t="n"/>
      <c r="S582" s="3" t="inlineStr">
        <is>
          <t>contraste regional (R6); no vota</t>
        </is>
      </c>
      <c r="T582" s="3" t="inlineStr">
        <is>
          <t>output/v8/F5/atribucion_combinada.csv</t>
        </is>
      </c>
      <c r="U582" s="2">
        <f>IF(R582=0,"",F582/R582)</f>
        <v/>
      </c>
      <c r="V582" s="2">
        <f>SUMIFS(F$2:F$1589,A$2:A$1589,A582,C$2:C$1589,C582,E$2:E$1589,E582,Q$2:Q$1589,Q582)</f>
        <v/>
      </c>
    </row>
    <row r="583">
      <c r="A583" s="3" t="inlineStr">
        <is>
          <t>compra</t>
        </is>
      </c>
      <c r="B583" s="3" t="inlineStr">
        <is>
          <t>ccaa:13</t>
        </is>
      </c>
      <c r="C583" s="3" t="inlineStr">
        <is>
          <t>P1</t>
        </is>
      </c>
      <c r="D583" s="3" t="inlineStr">
        <is>
          <t>residuo</t>
        </is>
      </c>
      <c r="E583" s="3" t="inlineStr">
        <is>
          <t>regional_panel</t>
        </is>
      </c>
      <c r="F583" s="3" t="n">
        <v>-7.58353</v>
      </c>
      <c r="G583" s="3" t="n"/>
      <c r="H583" s="3" t="n"/>
      <c r="I583" s="3" t="n">
        <v>-0.113523</v>
      </c>
      <c r="J583" s="3" t="n">
        <v>-19.6059</v>
      </c>
      <c r="K583" s="3" t="n">
        <v>7.18633</v>
      </c>
      <c r="L583" s="3" t="n">
        <v>-28.3118</v>
      </c>
      <c r="M583" s="3" t="n">
        <v>15.1751</v>
      </c>
      <c r="N583" s="3" t="inlineStr">
        <is>
          <t>C4</t>
        </is>
      </c>
      <c r="O583" s="3" t="inlineStr">
        <is>
          <t>no</t>
        </is>
      </c>
      <c r="P583" s="3" t="inlineStr">
        <is>
          <t>no_compite</t>
        </is>
      </c>
      <c r="Q583" s="3" t="inlineStr">
        <is>
          <t>panel_covariables</t>
        </is>
      </c>
      <c r="R583" s="3" t="n"/>
      <c r="S583" s="3" t="inlineStr">
        <is>
          <t>contraste regional (R6); no vota</t>
        </is>
      </c>
      <c r="T583" s="3" t="inlineStr">
        <is>
          <t>output/v8/F5/atribucion_combinada.csv</t>
        </is>
      </c>
      <c r="U583" s="2">
        <f>IF(R583=0,"",F583/R583)</f>
        <v/>
      </c>
      <c r="V583" s="2">
        <f>SUMIFS(F$2:F$1589,A$2:A$1589,A583,C$2:C$1589,C583,E$2:E$1589,E583,Q$2:Q$1589,Q583)</f>
        <v/>
      </c>
    </row>
    <row r="584">
      <c r="A584" s="3" t="inlineStr">
        <is>
          <t>compra</t>
        </is>
      </c>
      <c r="B584" s="3" t="inlineStr">
        <is>
          <t>ccaa:14</t>
        </is>
      </c>
      <c r="C584" s="3" t="inlineStr">
        <is>
          <t>P1</t>
        </is>
      </c>
      <c r="D584" s="3" t="inlineStr">
        <is>
          <t>factor_comun</t>
        </is>
      </c>
      <c r="E584" s="3" t="inlineStr">
        <is>
          <t>regional_panel</t>
        </is>
      </c>
      <c r="F584" s="3" t="n">
        <v>74.3853</v>
      </c>
      <c r="G584" s="3" t="n"/>
      <c r="H584" s="3" t="n"/>
      <c r="I584" s="3" t="n">
        <v>0.768317</v>
      </c>
      <c r="J584" s="3" t="n">
        <v>63.2347</v>
      </c>
      <c r="K584" s="3" t="n">
        <v>88.0656</v>
      </c>
      <c r="L584" s="3" t="n">
        <v>53.4481</v>
      </c>
      <c r="M584" s="3" t="n">
        <v>94.25</v>
      </c>
      <c r="N584" s="3" t="inlineStr">
        <is>
          <t>C4</t>
        </is>
      </c>
      <c r="O584" s="3" t="inlineStr">
        <is>
          <t>no</t>
        </is>
      </c>
      <c r="P584" s="3" t="inlineStr">
        <is>
          <t>no_compite</t>
        </is>
      </c>
      <c r="Q584" s="3" t="inlineStr">
        <is>
          <t>panel_covariables</t>
        </is>
      </c>
      <c r="R584" s="3" t="n"/>
      <c r="S584" s="3" t="inlineStr">
        <is>
          <t>contraste regional (R6); no vota</t>
        </is>
      </c>
      <c r="T584" s="3" t="inlineStr">
        <is>
          <t>output/v8/F5/atribucion_combinada.csv</t>
        </is>
      </c>
      <c r="U584" s="2">
        <f>IF(R584=0,"",F584/R584)</f>
        <v/>
      </c>
      <c r="V584" s="2">
        <f>SUMIFS(F$2:F$1589,A$2:A$1589,A584,C$2:C$1589,C584,E$2:E$1589,E584,Q$2:Q$1589,Q584)</f>
        <v/>
      </c>
    </row>
    <row r="585">
      <c r="A585" s="3" t="inlineStr">
        <is>
          <t>compra</t>
        </is>
      </c>
      <c r="B585" s="3" t="inlineStr">
        <is>
          <t>ccaa:14</t>
        </is>
      </c>
      <c r="C585" s="3" t="inlineStr">
        <is>
          <t>P1</t>
        </is>
      </c>
      <c r="D585" s="3" t="inlineStr">
        <is>
          <t>residuo</t>
        </is>
      </c>
      <c r="E585" s="3" t="inlineStr">
        <is>
          <t>regional_panel</t>
        </is>
      </c>
      <c r="F585" s="3" t="n">
        <v>22.4306</v>
      </c>
      <c r="G585" s="3" t="n"/>
      <c r="H585" s="3" t="n"/>
      <c r="I585" s="3" t="n">
        <v>0.231683</v>
      </c>
      <c r="J585" s="3" t="n">
        <v>11.4105</v>
      </c>
      <c r="K585" s="3" t="n">
        <v>32.9095</v>
      </c>
      <c r="L585" s="3" t="n">
        <v>4.5495</v>
      </c>
      <c r="M585" s="3" t="n">
        <v>39.2769</v>
      </c>
      <c r="N585" s="3" t="inlineStr">
        <is>
          <t>C4</t>
        </is>
      </c>
      <c r="O585" s="3" t="inlineStr">
        <is>
          <t>no</t>
        </is>
      </c>
      <c r="P585" s="3" t="inlineStr">
        <is>
          <t>no_compite</t>
        </is>
      </c>
      <c r="Q585" s="3" t="inlineStr">
        <is>
          <t>panel_covariables</t>
        </is>
      </c>
      <c r="R585" s="3" t="n"/>
      <c r="S585" s="3" t="inlineStr">
        <is>
          <t>contraste regional (R6); no vota</t>
        </is>
      </c>
      <c r="T585" s="3" t="inlineStr">
        <is>
          <t>output/v8/F5/atribucion_combinada.csv</t>
        </is>
      </c>
      <c r="U585" s="2">
        <f>IF(R585=0,"",F585/R585)</f>
        <v/>
      </c>
      <c r="V585" s="2">
        <f>SUMIFS(F$2:F$1589,A$2:A$1589,A585,C$2:C$1589,C585,E$2:E$1589,E585,Q$2:Q$1589,Q585)</f>
        <v/>
      </c>
    </row>
    <row r="586">
      <c r="A586" s="3" t="inlineStr">
        <is>
          <t>compra</t>
        </is>
      </c>
      <c r="B586" s="3" t="inlineStr">
        <is>
          <t>ccaa:15</t>
        </is>
      </c>
      <c r="C586" s="3" t="inlineStr">
        <is>
          <t>P1</t>
        </is>
      </c>
      <c r="D586" s="3" t="inlineStr">
        <is>
          <t>factor_comun</t>
        </is>
      </c>
      <c r="E586" s="3" t="inlineStr">
        <is>
          <t>regional_panel</t>
        </is>
      </c>
      <c r="F586" s="3" t="n">
        <v>74.3853</v>
      </c>
      <c r="G586" s="3" t="n"/>
      <c r="H586" s="3" t="n"/>
      <c r="I586" s="3" t="n">
        <v>1.505</v>
      </c>
      <c r="J586" s="3" t="n">
        <v>63.2347</v>
      </c>
      <c r="K586" s="3" t="n">
        <v>88.0656</v>
      </c>
      <c r="L586" s="3" t="n">
        <v>53.4481</v>
      </c>
      <c r="M586" s="3" t="n">
        <v>94.25</v>
      </c>
      <c r="N586" s="3" t="inlineStr">
        <is>
          <t>C4</t>
        </is>
      </c>
      <c r="O586" s="3" t="inlineStr">
        <is>
          <t>no</t>
        </is>
      </c>
      <c r="P586" s="3" t="inlineStr">
        <is>
          <t>no_compite</t>
        </is>
      </c>
      <c r="Q586" s="3" t="inlineStr">
        <is>
          <t>panel_covariables</t>
        </is>
      </c>
      <c r="R586" s="3" t="n"/>
      <c r="S586" s="3" t="inlineStr">
        <is>
          <t>contraste regional (R6); no vota</t>
        </is>
      </c>
      <c r="T586" s="3" t="inlineStr">
        <is>
          <t>output/v8/F5/atribucion_combinada.csv</t>
        </is>
      </c>
      <c r="U586" s="2">
        <f>IF(R586=0,"",F586/R586)</f>
        <v/>
      </c>
      <c r="V586" s="2">
        <f>SUMIFS(F$2:F$1589,A$2:A$1589,A586,C$2:C$1589,C586,E$2:E$1589,E586,Q$2:Q$1589,Q586)</f>
        <v/>
      </c>
    </row>
    <row r="587">
      <c r="A587" s="3" t="inlineStr">
        <is>
          <t>compra</t>
        </is>
      </c>
      <c r="B587" s="3" t="inlineStr">
        <is>
          <t>ccaa:15</t>
        </is>
      </c>
      <c r="C587" s="3" t="inlineStr">
        <is>
          <t>P1</t>
        </is>
      </c>
      <c r="D587" s="3" t="inlineStr">
        <is>
          <t>residuo</t>
        </is>
      </c>
      <c r="E587" s="3" t="inlineStr">
        <is>
          <t>regional_panel</t>
        </is>
      </c>
      <c r="F587" s="3" t="n">
        <v>-24.9597</v>
      </c>
      <c r="G587" s="3" t="n"/>
      <c r="H587" s="3" t="n"/>
      <c r="I587" s="3" t="n">
        <v>-0.504995</v>
      </c>
      <c r="J587" s="3" t="n">
        <v>-34.5386</v>
      </c>
      <c r="K587" s="3" t="n">
        <v>-15.0256</v>
      </c>
      <c r="L587" s="3" t="n">
        <v>-40.1285</v>
      </c>
      <c r="M587" s="3" t="n">
        <v>-9.281090000000001</v>
      </c>
      <c r="N587" s="3" t="inlineStr">
        <is>
          <t>C4</t>
        </is>
      </c>
      <c r="O587" s="3" t="inlineStr">
        <is>
          <t>no</t>
        </is>
      </c>
      <c r="P587" s="3" t="inlineStr">
        <is>
          <t>no_compite</t>
        </is>
      </c>
      <c r="Q587" s="3" t="inlineStr">
        <is>
          <t>panel_covariables</t>
        </is>
      </c>
      <c r="R587" s="3" t="n"/>
      <c r="S587" s="3" t="inlineStr">
        <is>
          <t>contraste regional (R6); no vota</t>
        </is>
      </c>
      <c r="T587" s="3" t="inlineStr">
        <is>
          <t>output/v8/F5/atribucion_combinada.csv</t>
        </is>
      </c>
      <c r="U587" s="2">
        <f>IF(R587=0,"",F587/R587)</f>
        <v/>
      </c>
      <c r="V587" s="2">
        <f>SUMIFS(F$2:F$1589,A$2:A$1589,A587,C$2:C$1589,C587,E$2:E$1589,E587,Q$2:Q$1589,Q587)</f>
        <v/>
      </c>
    </row>
    <row r="588">
      <c r="A588" s="3" t="inlineStr">
        <is>
          <t>compra</t>
        </is>
      </c>
      <c r="B588" s="3" t="inlineStr">
        <is>
          <t>ccaa:16</t>
        </is>
      </c>
      <c r="C588" s="3" t="inlineStr">
        <is>
          <t>P1</t>
        </is>
      </c>
      <c r="D588" s="3" t="inlineStr">
        <is>
          <t>factor_comun</t>
        </is>
      </c>
      <c r="E588" s="3" t="inlineStr">
        <is>
          <t>regional_panel</t>
        </is>
      </c>
      <c r="F588" s="3" t="n">
        <v>74.3853</v>
      </c>
      <c r="G588" s="3" t="n"/>
      <c r="H588" s="3" t="n"/>
      <c r="I588" s="3" t="n">
        <v>0.913333</v>
      </c>
      <c r="J588" s="3" t="n">
        <v>63.2347</v>
      </c>
      <c r="K588" s="3" t="n">
        <v>88.0656</v>
      </c>
      <c r="L588" s="3" t="n">
        <v>53.4481</v>
      </c>
      <c r="M588" s="3" t="n">
        <v>94.25</v>
      </c>
      <c r="N588" s="3" t="inlineStr">
        <is>
          <t>C4</t>
        </is>
      </c>
      <c r="O588" s="3" t="inlineStr">
        <is>
          <t>no</t>
        </is>
      </c>
      <c r="P588" s="3" t="inlineStr">
        <is>
          <t>no_compite</t>
        </is>
      </c>
      <c r="Q588" s="3" t="inlineStr">
        <is>
          <t>panel_covariables</t>
        </is>
      </c>
      <c r="R588" s="3" t="n"/>
      <c r="S588" s="3" t="inlineStr">
        <is>
          <t>contraste regional (R6); no vota</t>
        </is>
      </c>
      <c r="T588" s="3" t="inlineStr">
        <is>
          <t>output/v8/F5/atribucion_combinada.csv</t>
        </is>
      </c>
      <c r="U588" s="2">
        <f>IF(R588=0,"",F588/R588)</f>
        <v/>
      </c>
      <c r="V588" s="2">
        <f>SUMIFS(F$2:F$1589,A$2:A$1589,A588,C$2:C$1589,C588,E$2:E$1589,E588,Q$2:Q$1589,Q588)</f>
        <v/>
      </c>
    </row>
    <row r="589">
      <c r="A589" s="3" t="inlineStr">
        <is>
          <t>compra</t>
        </is>
      </c>
      <c r="B589" s="3" t="inlineStr">
        <is>
          <t>ccaa:16</t>
        </is>
      </c>
      <c r="C589" s="3" t="inlineStr">
        <is>
          <t>P1</t>
        </is>
      </c>
      <c r="D589" s="3" t="inlineStr">
        <is>
          <t>residuo</t>
        </is>
      </c>
      <c r="E589" s="3" t="inlineStr">
        <is>
          <t>regional_panel</t>
        </is>
      </c>
      <c r="F589" s="3" t="n">
        <v>7.05849</v>
      </c>
      <c r="G589" s="3" t="n"/>
      <c r="H589" s="3" t="n"/>
      <c r="I589" s="3" t="n">
        <v>0.08666699999999999</v>
      </c>
      <c r="J589" s="3" t="n">
        <v>-3.22138</v>
      </c>
      <c r="K589" s="3" t="n">
        <v>17.6406</v>
      </c>
      <c r="L589" s="3" t="n">
        <v>-10.1165</v>
      </c>
      <c r="M589" s="3" t="n">
        <v>26.0366</v>
      </c>
      <c r="N589" s="3" t="inlineStr">
        <is>
          <t>C4</t>
        </is>
      </c>
      <c r="O589" s="3" t="inlineStr">
        <is>
          <t>no</t>
        </is>
      </c>
      <c r="P589" s="3" t="inlineStr">
        <is>
          <t>no_compite</t>
        </is>
      </c>
      <c r="Q589" s="3" t="inlineStr">
        <is>
          <t>panel_covariables</t>
        </is>
      </c>
      <c r="R589" s="3" t="n"/>
      <c r="S589" s="3" t="inlineStr">
        <is>
          <t>contraste regional (R6); no vota</t>
        </is>
      </c>
      <c r="T589" s="3" t="inlineStr">
        <is>
          <t>output/v8/F5/atribucion_combinada.csv</t>
        </is>
      </c>
      <c r="U589" s="2">
        <f>IF(R589=0,"",F589/R589)</f>
        <v/>
      </c>
      <c r="V589" s="2">
        <f>SUMIFS(F$2:F$1589,A$2:A$1589,A589,C$2:C$1589,C589,E$2:E$1589,E589,Q$2:Q$1589,Q589)</f>
        <v/>
      </c>
    </row>
    <row r="590">
      <c r="A590" s="3" t="inlineStr">
        <is>
          <t>compra</t>
        </is>
      </c>
      <c r="B590" s="3" t="inlineStr">
        <is>
          <t>ccaa:17</t>
        </is>
      </c>
      <c r="C590" s="3" t="inlineStr">
        <is>
          <t>P1</t>
        </is>
      </c>
      <c r="D590" s="3" t="inlineStr">
        <is>
          <t>factor_comun</t>
        </is>
      </c>
      <c r="E590" s="3" t="inlineStr">
        <is>
          <t>regional_panel</t>
        </is>
      </c>
      <c r="F590" s="3" t="n">
        <v>74.3853</v>
      </c>
      <c r="G590" s="3" t="n"/>
      <c r="H590" s="3" t="n"/>
      <c r="I590" s="3" t="n">
        <v>1.17912</v>
      </c>
      <c r="J590" s="3" t="n">
        <v>63.2347</v>
      </c>
      <c r="K590" s="3" t="n">
        <v>88.0656</v>
      </c>
      <c r="L590" s="3" t="n">
        <v>53.4481</v>
      </c>
      <c r="M590" s="3" t="n">
        <v>94.25</v>
      </c>
      <c r="N590" s="3" t="inlineStr">
        <is>
          <t>C4</t>
        </is>
      </c>
      <c r="O590" s="3" t="inlineStr">
        <is>
          <t>no</t>
        </is>
      </c>
      <c r="P590" s="3" t="inlineStr">
        <is>
          <t>no_compite</t>
        </is>
      </c>
      <c r="Q590" s="3" t="inlineStr">
        <is>
          <t>panel_covariables</t>
        </is>
      </c>
      <c r="R590" s="3" t="n"/>
      <c r="S590" s="3" t="inlineStr">
        <is>
          <t>contraste regional (R6); no vota</t>
        </is>
      </c>
      <c r="T590" s="3" t="inlineStr">
        <is>
          <t>output/v8/F5/atribucion_combinada.csv</t>
        </is>
      </c>
      <c r="U590" s="2">
        <f>IF(R590=0,"",F590/R590)</f>
        <v/>
      </c>
      <c r="V590" s="2">
        <f>SUMIFS(F$2:F$1589,A$2:A$1589,A590,C$2:C$1589,C590,E$2:E$1589,E590,Q$2:Q$1589,Q590)</f>
        <v/>
      </c>
    </row>
    <row r="591">
      <c r="A591" s="3" t="inlineStr">
        <is>
          <t>compra</t>
        </is>
      </c>
      <c r="B591" s="3" t="inlineStr">
        <is>
          <t>ccaa:17</t>
        </is>
      </c>
      <c r="C591" s="3" t="inlineStr">
        <is>
          <t>P1</t>
        </is>
      </c>
      <c r="D591" s="3" t="inlineStr">
        <is>
          <t>residuo</t>
        </is>
      </c>
      <c r="E591" s="3" t="inlineStr">
        <is>
          <t>regional_panel</t>
        </is>
      </c>
      <c r="F591" s="3" t="n">
        <v>-11.2997</v>
      </c>
      <c r="G591" s="3" t="n"/>
      <c r="H591" s="3" t="n"/>
      <c r="I591" s="3" t="n">
        <v>-0.179116</v>
      </c>
      <c r="J591" s="3" t="n">
        <v>-19.267</v>
      </c>
      <c r="K591" s="3" t="n">
        <v>-3.50443</v>
      </c>
      <c r="L591" s="3" t="n">
        <v>-25.2815</v>
      </c>
      <c r="M591" s="3" t="n">
        <v>2.27695</v>
      </c>
      <c r="N591" s="3" t="inlineStr">
        <is>
          <t>C4</t>
        </is>
      </c>
      <c r="O591" s="3" t="inlineStr">
        <is>
          <t>no</t>
        </is>
      </c>
      <c r="P591" s="3" t="inlineStr">
        <is>
          <t>no_compite</t>
        </is>
      </c>
      <c r="Q591" s="3" t="inlineStr">
        <is>
          <t>panel_covariables</t>
        </is>
      </c>
      <c r="R591" s="3" t="n"/>
      <c r="S591" s="3" t="inlineStr">
        <is>
          <t>contraste regional (R6); no vota</t>
        </is>
      </c>
      <c r="T591" s="3" t="inlineStr">
        <is>
          <t>output/v8/F5/atribucion_combinada.csv</t>
        </is>
      </c>
      <c r="U591" s="2">
        <f>IF(R591=0,"",F591/R591)</f>
        <v/>
      </c>
      <c r="V591" s="2">
        <f>SUMIFS(F$2:F$1589,A$2:A$1589,A591,C$2:C$1589,C591,E$2:E$1589,E591,Q$2:Q$1589,Q591)</f>
        <v/>
      </c>
    </row>
    <row r="592">
      <c r="A592" s="3" t="inlineStr">
        <is>
          <t>compra</t>
        </is>
      </c>
      <c r="B592" s="3" t="inlineStr">
        <is>
          <t>ccaa:01</t>
        </is>
      </c>
      <c r="C592" s="3" t="inlineStr">
        <is>
          <t>P2</t>
        </is>
      </c>
      <c r="D592" s="3" t="inlineStr">
        <is>
          <t>factor_comun</t>
        </is>
      </c>
      <c r="E592" s="3" t="inlineStr">
        <is>
          <t>regional_panel</t>
        </is>
      </c>
      <c r="F592" s="3" t="n">
        <v>-35.0812</v>
      </c>
      <c r="G592" s="3" t="n"/>
      <c r="H592" s="3" t="n"/>
      <c r="I592" s="3" t="n">
        <v>0.795189</v>
      </c>
      <c r="J592" s="3" t="n">
        <v>-41.5124</v>
      </c>
      <c r="K592" s="3" t="n">
        <v>-30.6884</v>
      </c>
      <c r="L592" s="3" t="n">
        <v>-45.0398</v>
      </c>
      <c r="M592" s="3" t="n">
        <v>-26.975</v>
      </c>
      <c r="N592" s="3" t="inlineStr">
        <is>
          <t>C4</t>
        </is>
      </c>
      <c r="O592" s="3" t="inlineStr">
        <is>
          <t>no</t>
        </is>
      </c>
      <c r="P592" s="3" t="inlineStr">
        <is>
          <t>no_compite</t>
        </is>
      </c>
      <c r="Q592" s="3" t="inlineStr">
        <is>
          <t>panel_covariables</t>
        </is>
      </c>
      <c r="R592" s="3" t="n"/>
      <c r="S592" s="3" t="inlineStr">
        <is>
          <t>contraste regional (R6); no vota</t>
        </is>
      </c>
      <c r="T592" s="3" t="inlineStr">
        <is>
          <t>output/v8/F5/atribucion_combinada.csv</t>
        </is>
      </c>
      <c r="U592" s="2">
        <f>IF(R592=0,"",F592/R592)</f>
        <v/>
      </c>
      <c r="V592" s="2">
        <f>SUMIFS(F$2:F$1589,A$2:A$1589,A592,C$2:C$1589,C592,E$2:E$1589,E592,Q$2:Q$1589,Q592)</f>
        <v/>
      </c>
    </row>
    <row r="593">
      <c r="A593" s="3" t="inlineStr">
        <is>
          <t>compra</t>
        </is>
      </c>
      <c r="B593" s="3" t="inlineStr">
        <is>
          <t>ccaa:01</t>
        </is>
      </c>
      <c r="C593" s="3" t="inlineStr">
        <is>
          <t>P2</t>
        </is>
      </c>
      <c r="D593" s="3" t="inlineStr">
        <is>
          <t>empleo_renta</t>
        </is>
      </c>
      <c r="E593" s="3" t="inlineStr">
        <is>
          <t>regional_panel</t>
        </is>
      </c>
      <c r="F593" s="3" t="n">
        <v>-2.19706</v>
      </c>
      <c r="G593" s="3" t="n"/>
      <c r="H593" s="3" t="n"/>
      <c r="I593" s="3" t="n">
        <v>0.0498011</v>
      </c>
      <c r="J593" s="3" t="n">
        <v>-4.13835</v>
      </c>
      <c r="K593" s="3" t="n">
        <v>-0.393135</v>
      </c>
      <c r="L593" s="3" t="n">
        <v>-5.44116</v>
      </c>
      <c r="M593" s="3" t="n">
        <v>0.905802</v>
      </c>
      <c r="N593" s="3" t="inlineStr">
        <is>
          <t>C4</t>
        </is>
      </c>
      <c r="O593" s="3" t="inlineStr">
        <is>
          <t>si</t>
        </is>
      </c>
      <c r="P593" s="3" t="inlineStr">
        <is>
          <t>no_vota</t>
        </is>
      </c>
      <c r="Q593" s="3" t="inlineStr">
        <is>
          <t>panel_covariables</t>
        </is>
      </c>
      <c r="R593" s="3" t="n"/>
      <c r="S593" s="3" t="inlineStr">
        <is>
          <t>contraste regional (R6); no vota</t>
        </is>
      </c>
      <c r="T593" s="3" t="inlineStr">
        <is>
          <t>output/v8/F5/atribucion_combinada.csv</t>
        </is>
      </c>
      <c r="U593" s="2">
        <f>IF(R593=0,"",F593/R593)</f>
        <v/>
      </c>
      <c r="V593" s="2">
        <f>SUMIFS(F$2:F$1589,A$2:A$1589,A593,C$2:C$1589,C593,E$2:E$1589,E593,Q$2:Q$1589,Q593)</f>
        <v/>
      </c>
    </row>
    <row r="594">
      <c r="A594" s="3" t="inlineStr">
        <is>
          <t>compra</t>
        </is>
      </c>
      <c r="B594" s="3" t="inlineStr">
        <is>
          <t>ccaa:01</t>
        </is>
      </c>
      <c r="C594" s="3" t="inlineStr">
        <is>
          <t>P2</t>
        </is>
      </c>
      <c r="D594" s="3" t="inlineStr">
        <is>
          <t>demografia</t>
        </is>
      </c>
      <c r="E594" s="3" t="inlineStr">
        <is>
          <t>regional_panel</t>
        </is>
      </c>
      <c r="F594" s="3" t="n">
        <v>2.79461</v>
      </c>
      <c r="G594" s="3" t="n"/>
      <c r="H594" s="3" t="n"/>
      <c r="I594" s="3" t="n">
        <v>-0.06334579999999999</v>
      </c>
      <c r="J594" s="3" t="n">
        <v>1.08593</v>
      </c>
      <c r="K594" s="3" t="n">
        <v>5.05706</v>
      </c>
      <c r="L594" s="3" t="n">
        <v>0.218951</v>
      </c>
      <c r="M594" s="3" t="n">
        <v>6.40373</v>
      </c>
      <c r="N594" s="3" t="inlineStr">
        <is>
          <t>C4</t>
        </is>
      </c>
      <c r="O594" s="3" t="inlineStr">
        <is>
          <t>si</t>
        </is>
      </c>
      <c r="P594" s="3" t="inlineStr">
        <is>
          <t>no_vota</t>
        </is>
      </c>
      <c r="Q594" s="3" t="inlineStr">
        <is>
          <t>panel_covariables</t>
        </is>
      </c>
      <c r="R594" s="3" t="n"/>
      <c r="S594" s="3" t="inlineStr">
        <is>
          <t>contraste regional (R6); no vota</t>
        </is>
      </c>
      <c r="T594" s="3" t="inlineStr">
        <is>
          <t>output/v8/F5/atribucion_combinada.csv</t>
        </is>
      </c>
      <c r="U594" s="2">
        <f>IF(R594=0,"",F594/R594)</f>
        <v/>
      </c>
      <c r="V594" s="2">
        <f>SUMIFS(F$2:F$1589,A$2:A$1589,A594,C$2:C$1589,C594,E$2:E$1589,E594,Q$2:Q$1589,Q594)</f>
        <v/>
      </c>
    </row>
    <row r="595">
      <c r="A595" s="3" t="inlineStr">
        <is>
          <t>compra</t>
        </is>
      </c>
      <c r="B595" s="3" t="inlineStr">
        <is>
          <t>ccaa:01</t>
        </is>
      </c>
      <c r="C595" s="3" t="inlineStr">
        <is>
          <t>P2</t>
        </is>
      </c>
      <c r="D595" s="3" t="inlineStr">
        <is>
          <t>oferta</t>
        </is>
      </c>
      <c r="E595" s="3" t="inlineStr">
        <is>
          <t>regional_panel</t>
        </is>
      </c>
      <c r="F595" s="3" t="n">
        <v>-0.0628862</v>
      </c>
      <c r="G595" s="3" t="n"/>
      <c r="H595" s="3" t="n"/>
      <c r="I595" s="3" t="n">
        <v>0.00142545</v>
      </c>
      <c r="J595" s="3" t="n">
        <v>-0.511757</v>
      </c>
      <c r="K595" s="3" t="n">
        <v>0.371458</v>
      </c>
      <c r="L595" s="3" t="n">
        <v>-0.855058</v>
      </c>
      <c r="M595" s="3" t="n">
        <v>0.722347</v>
      </c>
      <c r="N595" s="3" t="inlineStr">
        <is>
          <t>C4</t>
        </is>
      </c>
      <c r="O595" s="3" t="inlineStr">
        <is>
          <t>si</t>
        </is>
      </c>
      <c r="P595" s="3" t="inlineStr">
        <is>
          <t>no_vota</t>
        </is>
      </c>
      <c r="Q595" s="3" t="inlineStr">
        <is>
          <t>panel_covariables</t>
        </is>
      </c>
      <c r="R595" s="3" t="n"/>
      <c r="S595" s="3" t="inlineStr">
        <is>
          <t>contraste regional (R6); no vota</t>
        </is>
      </c>
      <c r="T595" s="3" t="inlineStr">
        <is>
          <t>output/v8/F5/atribucion_combinada.csv</t>
        </is>
      </c>
      <c r="U595" s="2">
        <f>IF(R595=0,"",F595/R595)</f>
        <v/>
      </c>
      <c r="V595" s="2">
        <f>SUMIFS(F$2:F$1589,A$2:A$1589,A595,C$2:C$1589,C595,E$2:E$1589,E595,Q$2:Q$1589,Q595)</f>
        <v/>
      </c>
    </row>
    <row r="596">
      <c r="A596" s="3" t="inlineStr">
        <is>
          <t>compra</t>
        </is>
      </c>
      <c r="B596" s="3" t="inlineStr">
        <is>
          <t>ccaa:01</t>
        </is>
      </c>
      <c r="C596" s="3" t="inlineStr">
        <is>
          <t>P2</t>
        </is>
      </c>
      <c r="D596" s="3" t="inlineStr">
        <is>
          <t>demanda_externa</t>
        </is>
      </c>
      <c r="E596" s="3" t="inlineStr">
        <is>
          <t>regional_panel</t>
        </is>
      </c>
      <c r="F596" s="3" t="n">
        <v>-0.285377</v>
      </c>
      <c r="G596" s="3" t="n"/>
      <c r="H596" s="3" t="n"/>
      <c r="I596" s="3" t="n">
        <v>0.00646868</v>
      </c>
      <c r="J596" s="3" t="n">
        <v>-0.662818</v>
      </c>
      <c r="K596" s="3" t="n">
        <v>-0.0419262</v>
      </c>
      <c r="L596" s="3" t="n">
        <v>-1.05708</v>
      </c>
      <c r="M596" s="3" t="n">
        <v>0.0183921</v>
      </c>
      <c r="N596" s="3" t="inlineStr">
        <is>
          <t>C4</t>
        </is>
      </c>
      <c r="O596" s="3" t="inlineStr">
        <is>
          <t>si</t>
        </is>
      </c>
      <c r="P596" s="3" t="inlineStr">
        <is>
          <t>no_vota</t>
        </is>
      </c>
      <c r="Q596" s="3" t="inlineStr">
        <is>
          <t>panel_covariables</t>
        </is>
      </c>
      <c r="R596" s="3" t="n"/>
      <c r="S596" s="3" t="inlineStr">
        <is>
          <t>contraste regional (R6); no vota</t>
        </is>
      </c>
      <c r="T596" s="3" t="inlineStr">
        <is>
          <t>output/v8/F5/atribucion_combinada.csv</t>
        </is>
      </c>
      <c r="U596" s="2">
        <f>IF(R596=0,"",F596/R596)</f>
        <v/>
      </c>
      <c r="V596" s="2">
        <f>SUMIFS(F$2:F$1589,A$2:A$1589,A596,C$2:C$1589,C596,E$2:E$1589,E596,Q$2:Q$1589,Q596)</f>
        <v/>
      </c>
    </row>
    <row r="597">
      <c r="A597" s="3" t="inlineStr">
        <is>
          <t>compra</t>
        </is>
      </c>
      <c r="B597" s="3" t="inlineStr">
        <is>
          <t>ccaa:01</t>
        </is>
      </c>
      <c r="C597" s="3" t="inlineStr">
        <is>
          <t>P2</t>
        </is>
      </c>
      <c r="D597" s="3" t="inlineStr">
        <is>
          <t>residuo</t>
        </is>
      </c>
      <c r="E597" s="3" t="inlineStr">
        <is>
          <t>regional_panel</t>
        </is>
      </c>
      <c r="F597" s="3" t="n">
        <v>-9.28492</v>
      </c>
      <c r="G597" s="3" t="n"/>
      <c r="H597" s="3" t="n"/>
      <c r="I597" s="3" t="n">
        <v>0.210462</v>
      </c>
      <c r="J597" s="3" t="n">
        <v>-13.7448</v>
      </c>
      <c r="K597" s="3" t="n">
        <v>-3.75639</v>
      </c>
      <c r="L597" s="3" t="n">
        <v>-16.6117</v>
      </c>
      <c r="M597" s="3" t="n">
        <v>-0.50836</v>
      </c>
      <c r="N597" s="3" t="inlineStr">
        <is>
          <t>C4</t>
        </is>
      </c>
      <c r="O597" s="3" t="inlineStr">
        <is>
          <t>no</t>
        </is>
      </c>
      <c r="P597" s="3" t="inlineStr">
        <is>
          <t>no_compite</t>
        </is>
      </c>
      <c r="Q597" s="3" t="inlineStr">
        <is>
          <t>panel_covariables</t>
        </is>
      </c>
      <c r="R597" s="3" t="n"/>
      <c r="S597" s="3" t="inlineStr">
        <is>
          <t>contraste regional (R6); no vota</t>
        </is>
      </c>
      <c r="T597" s="3" t="inlineStr">
        <is>
          <t>output/v8/F5/atribucion_combinada.csv</t>
        </is>
      </c>
      <c r="U597" s="2">
        <f>IF(R597=0,"",F597/R597)</f>
        <v/>
      </c>
      <c r="V597" s="2">
        <f>SUMIFS(F$2:F$1589,A$2:A$1589,A597,C$2:C$1589,C597,E$2:E$1589,E597,Q$2:Q$1589,Q597)</f>
        <v/>
      </c>
    </row>
    <row r="598">
      <c r="A598" s="3" t="inlineStr">
        <is>
          <t>compra</t>
        </is>
      </c>
      <c r="B598" s="3" t="inlineStr">
        <is>
          <t>ccaa:02</t>
        </is>
      </c>
      <c r="C598" s="3" t="inlineStr">
        <is>
          <t>P2</t>
        </is>
      </c>
      <c r="D598" s="3" t="inlineStr">
        <is>
          <t>factor_comun</t>
        </is>
      </c>
      <c r="E598" s="3" t="inlineStr">
        <is>
          <t>regional_panel</t>
        </is>
      </c>
      <c r="F598" s="3" t="n">
        <v>-35.0812</v>
      </c>
      <c r="G598" s="3" t="n"/>
      <c r="H598" s="3" t="n"/>
      <c r="I598" s="3" t="n">
        <v>0.662944</v>
      </c>
      <c r="J598" s="3" t="n">
        <v>-41.5124</v>
      </c>
      <c r="K598" s="3" t="n">
        <v>-30.6884</v>
      </c>
      <c r="L598" s="3" t="n">
        <v>-45.0398</v>
      </c>
      <c r="M598" s="3" t="n">
        <v>-26.975</v>
      </c>
      <c r="N598" s="3" t="inlineStr">
        <is>
          <t>C4</t>
        </is>
      </c>
      <c r="O598" s="3" t="inlineStr">
        <is>
          <t>no</t>
        </is>
      </c>
      <c r="P598" s="3" t="inlineStr">
        <is>
          <t>no_compite</t>
        </is>
      </c>
      <c r="Q598" s="3" t="inlineStr">
        <is>
          <t>panel_covariables</t>
        </is>
      </c>
      <c r="R598" s="3" t="n"/>
      <c r="S598" s="3" t="inlineStr">
        <is>
          <t>contraste regional (R6); no vota</t>
        </is>
      </c>
      <c r="T598" s="3" t="inlineStr">
        <is>
          <t>output/v8/F5/atribucion_combinada.csv</t>
        </is>
      </c>
      <c r="U598" s="2">
        <f>IF(R598=0,"",F598/R598)</f>
        <v/>
      </c>
      <c r="V598" s="2">
        <f>SUMIFS(F$2:F$1589,A$2:A$1589,A598,C$2:C$1589,C598,E$2:E$1589,E598,Q$2:Q$1589,Q598)</f>
        <v/>
      </c>
    </row>
    <row r="599">
      <c r="A599" s="3" t="inlineStr">
        <is>
          <t>compra</t>
        </is>
      </c>
      <c r="B599" s="3" t="inlineStr">
        <is>
          <t>ccaa:02</t>
        </is>
      </c>
      <c r="C599" s="3" t="inlineStr">
        <is>
          <t>P2</t>
        </is>
      </c>
      <c r="D599" s="3" t="inlineStr">
        <is>
          <t>empleo_renta</t>
        </is>
      </c>
      <c r="E599" s="3" t="inlineStr">
        <is>
          <t>regional_panel</t>
        </is>
      </c>
      <c r="F599" s="3" t="n">
        <v>-1.09253</v>
      </c>
      <c r="G599" s="3" t="n"/>
      <c r="H599" s="3" t="n"/>
      <c r="I599" s="3" t="n">
        <v>0.020646</v>
      </c>
      <c r="J599" s="3" t="n">
        <v>-2.12374</v>
      </c>
      <c r="K599" s="3" t="n">
        <v>0.534631</v>
      </c>
      <c r="L599" s="3" t="n">
        <v>-2.97471</v>
      </c>
      <c r="M599" s="3" t="n">
        <v>1.22076</v>
      </c>
      <c r="N599" s="3" t="inlineStr">
        <is>
          <t>C4</t>
        </is>
      </c>
      <c r="O599" s="3" t="inlineStr">
        <is>
          <t>si</t>
        </is>
      </c>
      <c r="P599" s="3" t="inlineStr">
        <is>
          <t>no_vota</t>
        </is>
      </c>
      <c r="Q599" s="3" t="inlineStr">
        <is>
          <t>panel_covariables</t>
        </is>
      </c>
      <c r="R599" s="3" t="n"/>
      <c r="S599" s="3" t="inlineStr">
        <is>
          <t>contraste regional (R6); no vota</t>
        </is>
      </c>
      <c r="T599" s="3" t="inlineStr">
        <is>
          <t>output/v8/F5/atribucion_combinada.csv</t>
        </is>
      </c>
      <c r="U599" s="2">
        <f>IF(R599=0,"",F599/R599)</f>
        <v/>
      </c>
      <c r="V599" s="2">
        <f>SUMIFS(F$2:F$1589,A$2:A$1589,A599,C$2:C$1589,C599,E$2:E$1589,E599,Q$2:Q$1589,Q599)</f>
        <v/>
      </c>
    </row>
    <row r="600">
      <c r="A600" s="3" t="inlineStr">
        <is>
          <t>compra</t>
        </is>
      </c>
      <c r="B600" s="3" t="inlineStr">
        <is>
          <t>ccaa:02</t>
        </is>
      </c>
      <c r="C600" s="3" t="inlineStr">
        <is>
          <t>P2</t>
        </is>
      </c>
      <c r="D600" s="3" t="inlineStr">
        <is>
          <t>demografia</t>
        </is>
      </c>
      <c r="E600" s="3" t="inlineStr">
        <is>
          <t>regional_panel</t>
        </is>
      </c>
      <c r="F600" s="3" t="n">
        <v>0.273459</v>
      </c>
      <c r="G600" s="3" t="n"/>
      <c r="H600" s="3" t="n"/>
      <c r="I600" s="3" t="n">
        <v>-0.00516766</v>
      </c>
      <c r="J600" s="3" t="n">
        <v>-0.619374</v>
      </c>
      <c r="K600" s="3" t="n">
        <v>1.7058</v>
      </c>
      <c r="L600" s="3" t="n">
        <v>-1.34837</v>
      </c>
      <c r="M600" s="3" t="n">
        <v>4.04504</v>
      </c>
      <c r="N600" s="3" t="inlineStr">
        <is>
          <t>C4</t>
        </is>
      </c>
      <c r="O600" s="3" t="inlineStr">
        <is>
          <t>si</t>
        </is>
      </c>
      <c r="P600" s="3" t="inlineStr">
        <is>
          <t>no_vota</t>
        </is>
      </c>
      <c r="Q600" s="3" t="inlineStr">
        <is>
          <t>panel_covariables</t>
        </is>
      </c>
      <c r="R600" s="3" t="n"/>
      <c r="S600" s="3" t="inlineStr">
        <is>
          <t>contraste regional (R6); no vota</t>
        </is>
      </c>
      <c r="T600" s="3" t="inlineStr">
        <is>
          <t>output/v8/F5/atribucion_combinada.csv</t>
        </is>
      </c>
      <c r="U600" s="2">
        <f>IF(R600=0,"",F600/R600)</f>
        <v/>
      </c>
      <c r="V600" s="2">
        <f>SUMIFS(F$2:F$1589,A$2:A$1589,A600,C$2:C$1589,C600,E$2:E$1589,E600,Q$2:Q$1589,Q600)</f>
        <v/>
      </c>
    </row>
    <row r="601">
      <c r="A601" s="3" t="inlineStr">
        <is>
          <t>compra</t>
        </is>
      </c>
      <c r="B601" s="3" t="inlineStr">
        <is>
          <t>ccaa:02</t>
        </is>
      </c>
      <c r="C601" s="3" t="inlineStr">
        <is>
          <t>P2</t>
        </is>
      </c>
      <c r="D601" s="3" t="inlineStr">
        <is>
          <t>oferta</t>
        </is>
      </c>
      <c r="E601" s="3" t="inlineStr">
        <is>
          <t>regional_panel</t>
        </is>
      </c>
      <c r="F601" s="3" t="n">
        <v>-0.0507423</v>
      </c>
      <c r="G601" s="3" t="n"/>
      <c r="H601" s="3" t="n"/>
      <c r="I601" s="3" t="n">
        <v>0.000958898</v>
      </c>
      <c r="J601" s="3" t="n">
        <v>-0.443788</v>
      </c>
      <c r="K601" s="3" t="n">
        <v>0.233874</v>
      </c>
      <c r="L601" s="3" t="n">
        <v>-0.898207</v>
      </c>
      <c r="M601" s="3" t="n">
        <v>0.498896</v>
      </c>
      <c r="N601" s="3" t="inlineStr">
        <is>
          <t>C4</t>
        </is>
      </c>
      <c r="O601" s="3" t="inlineStr">
        <is>
          <t>si</t>
        </is>
      </c>
      <c r="P601" s="3" t="inlineStr">
        <is>
          <t>no_vota</t>
        </is>
      </c>
      <c r="Q601" s="3" t="inlineStr">
        <is>
          <t>panel_covariables</t>
        </is>
      </c>
      <c r="R601" s="3" t="n"/>
      <c r="S601" s="3" t="inlineStr">
        <is>
          <t>contraste regional (R6); no vota</t>
        </is>
      </c>
      <c r="T601" s="3" t="inlineStr">
        <is>
          <t>output/v8/F5/atribucion_combinada.csv</t>
        </is>
      </c>
      <c r="U601" s="2">
        <f>IF(R601=0,"",F601/R601)</f>
        <v/>
      </c>
      <c r="V601" s="2">
        <f>SUMIFS(F$2:F$1589,A$2:A$1589,A601,C$2:C$1589,C601,E$2:E$1589,E601,Q$2:Q$1589,Q601)</f>
        <v/>
      </c>
    </row>
    <row r="602">
      <c r="A602" s="3" t="inlineStr">
        <is>
          <t>compra</t>
        </is>
      </c>
      <c r="B602" s="3" t="inlineStr">
        <is>
          <t>ccaa:02</t>
        </is>
      </c>
      <c r="C602" s="3" t="inlineStr">
        <is>
          <t>P2</t>
        </is>
      </c>
      <c r="D602" s="3" t="inlineStr">
        <is>
          <t>demanda_externa</t>
        </is>
      </c>
      <c r="E602" s="3" t="inlineStr">
        <is>
          <t>regional_panel</t>
        </is>
      </c>
      <c r="F602" s="3" t="n">
        <v>0.114117</v>
      </c>
      <c r="G602" s="3" t="n"/>
      <c r="H602" s="3" t="n"/>
      <c r="I602" s="3" t="n">
        <v>-0.00215651</v>
      </c>
      <c r="J602" s="3" t="n">
        <v>-0.41175</v>
      </c>
      <c r="K602" s="3" t="n">
        <v>1.40596</v>
      </c>
      <c r="L602" s="3" t="n">
        <v>-0.7848619999999999</v>
      </c>
      <c r="M602" s="3" t="n">
        <v>2.68246</v>
      </c>
      <c r="N602" s="3" t="inlineStr">
        <is>
          <t>C4</t>
        </is>
      </c>
      <c r="O602" s="3" t="inlineStr">
        <is>
          <t>si</t>
        </is>
      </c>
      <c r="P602" s="3" t="inlineStr">
        <is>
          <t>no_vota</t>
        </is>
      </c>
      <c r="Q602" s="3" t="inlineStr">
        <is>
          <t>panel_covariables</t>
        </is>
      </c>
      <c r="R602" s="3" t="n"/>
      <c r="S602" s="3" t="inlineStr">
        <is>
          <t>contraste regional (R6); no vota</t>
        </is>
      </c>
      <c r="T602" s="3" t="inlineStr">
        <is>
          <t>output/v8/F5/atribucion_combinada.csv</t>
        </is>
      </c>
      <c r="U602" s="2">
        <f>IF(R602=0,"",F602/R602)</f>
        <v/>
      </c>
      <c r="V602" s="2">
        <f>SUMIFS(F$2:F$1589,A$2:A$1589,A602,C$2:C$1589,C602,E$2:E$1589,E602,Q$2:Q$1589,Q602)</f>
        <v/>
      </c>
    </row>
    <row r="603">
      <c r="A603" s="3" t="inlineStr">
        <is>
          <t>compra</t>
        </is>
      </c>
      <c r="B603" s="3" t="inlineStr">
        <is>
          <t>ccaa:02</t>
        </is>
      </c>
      <c r="C603" s="3" t="inlineStr">
        <is>
          <t>P2</t>
        </is>
      </c>
      <c r="D603" s="3" t="inlineStr">
        <is>
          <t>residuo</t>
        </is>
      </c>
      <c r="E603" s="3" t="inlineStr">
        <is>
          <t>regional_panel</t>
        </is>
      </c>
      <c r="F603" s="3" t="n">
        <v>-17.0804</v>
      </c>
      <c r="G603" s="3" t="n"/>
      <c r="H603" s="3" t="n"/>
      <c r="I603" s="3" t="n">
        <v>0.322776</v>
      </c>
      <c r="J603" s="3" t="n">
        <v>-20.5201</v>
      </c>
      <c r="K603" s="3" t="n">
        <v>-13.8883</v>
      </c>
      <c r="L603" s="3" t="n">
        <v>-24.5001</v>
      </c>
      <c r="M603" s="3" t="n">
        <v>-11.7885</v>
      </c>
      <c r="N603" s="3" t="inlineStr">
        <is>
          <t>C4</t>
        </is>
      </c>
      <c r="O603" s="3" t="inlineStr">
        <is>
          <t>no</t>
        </is>
      </c>
      <c r="P603" s="3" t="inlineStr">
        <is>
          <t>no_compite</t>
        </is>
      </c>
      <c r="Q603" s="3" t="inlineStr">
        <is>
          <t>panel_covariables</t>
        </is>
      </c>
      <c r="R603" s="3" t="n"/>
      <c r="S603" s="3" t="inlineStr">
        <is>
          <t>contraste regional (R6); no vota</t>
        </is>
      </c>
      <c r="T603" s="3" t="inlineStr">
        <is>
          <t>output/v8/F5/atribucion_combinada.csv</t>
        </is>
      </c>
      <c r="U603" s="2">
        <f>IF(R603=0,"",F603/R603)</f>
        <v/>
      </c>
      <c r="V603" s="2">
        <f>SUMIFS(F$2:F$1589,A$2:A$1589,A603,C$2:C$1589,C603,E$2:E$1589,E603,Q$2:Q$1589,Q603)</f>
        <v/>
      </c>
    </row>
    <row r="604">
      <c r="A604" s="3" t="inlineStr">
        <is>
          <t>compra</t>
        </is>
      </c>
      <c r="B604" s="3" t="inlineStr">
        <is>
          <t>ccaa:03</t>
        </is>
      </c>
      <c r="C604" s="3" t="inlineStr">
        <is>
          <t>P2</t>
        </is>
      </c>
      <c r="D604" s="3" t="inlineStr">
        <is>
          <t>factor_comun</t>
        </is>
      </c>
      <c r="E604" s="3" t="inlineStr">
        <is>
          <t>regional_panel</t>
        </is>
      </c>
      <c r="F604" s="3" t="n">
        <v>-35.0812</v>
      </c>
      <c r="G604" s="3" t="n"/>
      <c r="H604" s="3" t="n"/>
      <c r="I604" s="3" t="n">
        <v>1.03554</v>
      </c>
      <c r="J604" s="3" t="n">
        <v>-41.5124</v>
      </c>
      <c r="K604" s="3" t="n">
        <v>-30.6884</v>
      </c>
      <c r="L604" s="3" t="n">
        <v>-45.0398</v>
      </c>
      <c r="M604" s="3" t="n">
        <v>-26.975</v>
      </c>
      <c r="N604" s="3" t="inlineStr">
        <is>
          <t>C4</t>
        </is>
      </c>
      <c r="O604" s="3" t="inlineStr">
        <is>
          <t>no</t>
        </is>
      </c>
      <c r="P604" s="3" t="inlineStr">
        <is>
          <t>no_compite</t>
        </is>
      </c>
      <c r="Q604" s="3" t="inlineStr">
        <is>
          <t>panel_covariables</t>
        </is>
      </c>
      <c r="R604" s="3" t="n"/>
      <c r="S604" s="3" t="inlineStr">
        <is>
          <t>contraste regional (R6); no vota</t>
        </is>
      </c>
      <c r="T604" s="3" t="inlineStr">
        <is>
          <t>output/v8/F5/atribucion_combinada.csv</t>
        </is>
      </c>
      <c r="U604" s="2">
        <f>IF(R604=0,"",F604/R604)</f>
        <v/>
      </c>
      <c r="V604" s="2">
        <f>SUMIFS(F$2:F$1589,A$2:A$1589,A604,C$2:C$1589,C604,E$2:E$1589,E604,Q$2:Q$1589,Q604)</f>
        <v/>
      </c>
    </row>
    <row r="605">
      <c r="A605" s="3" t="inlineStr">
        <is>
          <t>compra</t>
        </is>
      </c>
      <c r="B605" s="3" t="inlineStr">
        <is>
          <t>ccaa:03</t>
        </is>
      </c>
      <c r="C605" s="3" t="inlineStr">
        <is>
          <t>P2</t>
        </is>
      </c>
      <c r="D605" s="3" t="inlineStr">
        <is>
          <t>empleo_renta</t>
        </is>
      </c>
      <c r="E605" s="3" t="inlineStr">
        <is>
          <t>regional_panel</t>
        </is>
      </c>
      <c r="F605" s="3" t="n">
        <v>-1.27921</v>
      </c>
      <c r="G605" s="3" t="n"/>
      <c r="H605" s="3" t="n"/>
      <c r="I605" s="3" t="n">
        <v>0.0377604</v>
      </c>
      <c r="J605" s="3" t="n">
        <v>-2.85146</v>
      </c>
      <c r="K605" s="3" t="n">
        <v>0.174951</v>
      </c>
      <c r="L605" s="3" t="n">
        <v>-3.96537</v>
      </c>
      <c r="M605" s="3" t="n">
        <v>0.868645</v>
      </c>
      <c r="N605" s="3" t="inlineStr">
        <is>
          <t>C4</t>
        </is>
      </c>
      <c r="O605" s="3" t="inlineStr">
        <is>
          <t>si</t>
        </is>
      </c>
      <c r="P605" s="3" t="inlineStr">
        <is>
          <t>no_vota</t>
        </is>
      </c>
      <c r="Q605" s="3" t="inlineStr">
        <is>
          <t>panel_covariables</t>
        </is>
      </c>
      <c r="R605" s="3" t="n"/>
      <c r="S605" s="3" t="inlineStr">
        <is>
          <t>contraste regional (R6); no vota</t>
        </is>
      </c>
      <c r="T605" s="3" t="inlineStr">
        <is>
          <t>output/v8/F5/atribucion_combinada.csv</t>
        </is>
      </c>
      <c r="U605" s="2">
        <f>IF(R605=0,"",F605/R605)</f>
        <v/>
      </c>
      <c r="V605" s="2">
        <f>SUMIFS(F$2:F$1589,A$2:A$1589,A605,C$2:C$1589,C605,E$2:E$1589,E605,Q$2:Q$1589,Q605)</f>
        <v/>
      </c>
    </row>
    <row r="606">
      <c r="A606" s="3" t="inlineStr">
        <is>
          <t>compra</t>
        </is>
      </c>
      <c r="B606" s="3" t="inlineStr">
        <is>
          <t>ccaa:03</t>
        </is>
      </c>
      <c r="C606" s="3" t="inlineStr">
        <is>
          <t>P2</t>
        </is>
      </c>
      <c r="D606" s="3" t="inlineStr">
        <is>
          <t>demografia</t>
        </is>
      </c>
      <c r="E606" s="3" t="inlineStr">
        <is>
          <t>regional_panel</t>
        </is>
      </c>
      <c r="F606" s="3" t="n">
        <v>-1.02382</v>
      </c>
      <c r="G606" s="3" t="n"/>
      <c r="H606" s="3" t="n"/>
      <c r="I606" s="3" t="n">
        <v>0.0302217</v>
      </c>
      <c r="J606" s="3" t="n">
        <v>-6.70071</v>
      </c>
      <c r="K606" s="3" t="n">
        <v>0.330022</v>
      </c>
      <c r="L606" s="3" t="n">
        <v>-9.06634</v>
      </c>
      <c r="M606" s="3" t="n">
        <v>1.2297</v>
      </c>
      <c r="N606" s="3" t="inlineStr">
        <is>
          <t>C4</t>
        </is>
      </c>
      <c r="O606" s="3" t="inlineStr">
        <is>
          <t>si</t>
        </is>
      </c>
      <c r="P606" s="3" t="inlineStr">
        <is>
          <t>no_vota</t>
        </is>
      </c>
      <c r="Q606" s="3" t="inlineStr">
        <is>
          <t>panel_covariables</t>
        </is>
      </c>
      <c r="R606" s="3" t="n"/>
      <c r="S606" s="3" t="inlineStr">
        <is>
          <t>contraste regional (R6); no vota</t>
        </is>
      </c>
      <c r="T606" s="3" t="inlineStr">
        <is>
          <t>output/v8/F5/atribucion_combinada.csv</t>
        </is>
      </c>
      <c r="U606" s="2">
        <f>IF(R606=0,"",F606/R606)</f>
        <v/>
      </c>
      <c r="V606" s="2">
        <f>SUMIFS(F$2:F$1589,A$2:A$1589,A606,C$2:C$1589,C606,E$2:E$1589,E606,Q$2:Q$1589,Q606)</f>
        <v/>
      </c>
    </row>
    <row r="607">
      <c r="A607" s="3" t="inlineStr">
        <is>
          <t>compra</t>
        </is>
      </c>
      <c r="B607" s="3" t="inlineStr">
        <is>
          <t>ccaa:03</t>
        </is>
      </c>
      <c r="C607" s="3" t="inlineStr">
        <is>
          <t>P2</t>
        </is>
      </c>
      <c r="D607" s="3" t="inlineStr">
        <is>
          <t>oferta</t>
        </is>
      </c>
      <c r="E607" s="3" t="inlineStr">
        <is>
          <t>regional_panel</t>
        </is>
      </c>
      <c r="F607" s="3" t="n">
        <v>-0.0874965</v>
      </c>
      <c r="G607" s="3" t="n"/>
      <c r="H607" s="3" t="n"/>
      <c r="I607" s="3" t="n">
        <v>0.00258277</v>
      </c>
      <c r="J607" s="3" t="n">
        <v>-0.732142</v>
      </c>
      <c r="K607" s="3" t="n">
        <v>0.507548</v>
      </c>
      <c r="L607" s="3" t="n">
        <v>-1.14874</v>
      </c>
      <c r="M607" s="3" t="n">
        <v>1.00453</v>
      </c>
      <c r="N607" s="3" t="inlineStr">
        <is>
          <t>C4</t>
        </is>
      </c>
      <c r="O607" s="3" t="inlineStr">
        <is>
          <t>si</t>
        </is>
      </c>
      <c r="P607" s="3" t="inlineStr">
        <is>
          <t>no_vota</t>
        </is>
      </c>
      <c r="Q607" s="3" t="inlineStr">
        <is>
          <t>panel_covariables</t>
        </is>
      </c>
      <c r="R607" s="3" t="n"/>
      <c r="S607" s="3" t="inlineStr">
        <is>
          <t>contraste regional (R6); no vota</t>
        </is>
      </c>
      <c r="T607" s="3" t="inlineStr">
        <is>
          <t>output/v8/F5/atribucion_combinada.csv</t>
        </is>
      </c>
      <c r="U607" s="2">
        <f>IF(R607=0,"",F607/R607)</f>
        <v/>
      </c>
      <c r="V607" s="2">
        <f>SUMIFS(F$2:F$1589,A$2:A$1589,A607,C$2:C$1589,C607,E$2:E$1589,E607,Q$2:Q$1589,Q607)</f>
        <v/>
      </c>
    </row>
    <row r="608">
      <c r="A608" s="3" t="inlineStr">
        <is>
          <t>compra</t>
        </is>
      </c>
      <c r="B608" s="3" t="inlineStr">
        <is>
          <t>ccaa:03</t>
        </is>
      </c>
      <c r="C608" s="3" t="inlineStr">
        <is>
          <t>P2</t>
        </is>
      </c>
      <c r="D608" s="3" t="inlineStr">
        <is>
          <t>demanda_externa</t>
        </is>
      </c>
      <c r="E608" s="3" t="inlineStr">
        <is>
          <t>regional_panel</t>
        </is>
      </c>
      <c r="F608" s="3" t="n">
        <v>0.368744</v>
      </c>
      <c r="G608" s="3" t="n"/>
      <c r="H608" s="3" t="n"/>
      <c r="I608" s="3" t="n">
        <v>-0.0108848</v>
      </c>
      <c r="J608" s="3" t="n">
        <v>-0.338281</v>
      </c>
      <c r="K608" s="3" t="n">
        <v>2.11455</v>
      </c>
      <c r="L608" s="3" t="n">
        <v>-0.756399</v>
      </c>
      <c r="M608" s="3" t="n">
        <v>3.63381</v>
      </c>
      <c r="N608" s="3" t="inlineStr">
        <is>
          <t>C4</t>
        </is>
      </c>
      <c r="O608" s="3" t="inlineStr">
        <is>
          <t>si</t>
        </is>
      </c>
      <c r="P608" s="3" t="inlineStr">
        <is>
          <t>no_vota</t>
        </is>
      </c>
      <c r="Q608" s="3" t="inlineStr">
        <is>
          <t>panel_covariables</t>
        </is>
      </c>
      <c r="R608" s="3" t="n"/>
      <c r="S608" s="3" t="inlineStr">
        <is>
          <t>contraste regional (R6); no vota</t>
        </is>
      </c>
      <c r="T608" s="3" t="inlineStr">
        <is>
          <t>output/v8/F5/atribucion_combinada.csv</t>
        </is>
      </c>
      <c r="U608" s="2">
        <f>IF(R608=0,"",F608/R608)</f>
        <v/>
      </c>
      <c r="V608" s="2">
        <f>SUMIFS(F$2:F$1589,A$2:A$1589,A608,C$2:C$1589,C608,E$2:E$1589,E608,Q$2:Q$1589,Q608)</f>
        <v/>
      </c>
    </row>
    <row r="609">
      <c r="A609" s="3" t="inlineStr">
        <is>
          <t>compra</t>
        </is>
      </c>
      <c r="B609" s="3" t="inlineStr">
        <is>
          <t>ccaa:03</t>
        </is>
      </c>
      <c r="C609" s="3" t="inlineStr">
        <is>
          <t>P2</t>
        </is>
      </c>
      <c r="D609" s="3" t="inlineStr">
        <is>
          <t>residuo</t>
        </is>
      </c>
      <c r="E609" s="3" t="inlineStr">
        <is>
          <t>regional_panel</t>
        </is>
      </c>
      <c r="F609" s="3" t="n">
        <v>3.22593</v>
      </c>
      <c r="G609" s="3" t="n"/>
      <c r="H609" s="3" t="n"/>
      <c r="I609" s="3" t="n">
        <v>-0.0952247</v>
      </c>
      <c r="J609" s="3" t="n">
        <v>-2.62554</v>
      </c>
      <c r="K609" s="3" t="n">
        <v>14.5428</v>
      </c>
      <c r="L609" s="3" t="n">
        <v>-6.71775</v>
      </c>
      <c r="M609" s="3" t="n">
        <v>19.9188</v>
      </c>
      <c r="N609" s="3" t="inlineStr">
        <is>
          <t>C4</t>
        </is>
      </c>
      <c r="O609" s="3" t="inlineStr">
        <is>
          <t>no</t>
        </is>
      </c>
      <c r="P609" s="3" t="inlineStr">
        <is>
          <t>no_compite</t>
        </is>
      </c>
      <c r="Q609" s="3" t="inlineStr">
        <is>
          <t>panel_covariables</t>
        </is>
      </c>
      <c r="R609" s="3" t="n"/>
      <c r="S609" s="3" t="inlineStr">
        <is>
          <t>contraste regional (R6); no vota</t>
        </is>
      </c>
      <c r="T609" s="3" t="inlineStr">
        <is>
          <t>output/v8/F5/atribucion_combinada.csv</t>
        </is>
      </c>
      <c r="U609" s="2">
        <f>IF(R609=0,"",F609/R609)</f>
        <v/>
      </c>
      <c r="V609" s="2">
        <f>SUMIFS(F$2:F$1589,A$2:A$1589,A609,C$2:C$1589,C609,E$2:E$1589,E609,Q$2:Q$1589,Q609)</f>
        <v/>
      </c>
    </row>
    <row r="610">
      <c r="A610" s="3" t="inlineStr">
        <is>
          <t>compra</t>
        </is>
      </c>
      <c r="B610" s="3" t="inlineStr">
        <is>
          <t>ccaa:04</t>
        </is>
      </c>
      <c r="C610" s="3" t="inlineStr">
        <is>
          <t>P2</t>
        </is>
      </c>
      <c r="D610" s="3" t="inlineStr">
        <is>
          <t>factor_comun</t>
        </is>
      </c>
      <c r="E610" s="3" t="inlineStr">
        <is>
          <t>regional_panel</t>
        </is>
      </c>
      <c r="F610" s="3" t="n">
        <v>-35.0812</v>
      </c>
      <c r="G610" s="3" t="n"/>
      <c r="H610" s="3" t="n"/>
      <c r="I610" s="3" t="n">
        <v>1.01731</v>
      </c>
      <c r="J610" s="3" t="n">
        <v>-41.5124</v>
      </c>
      <c r="K610" s="3" t="n">
        <v>-30.6884</v>
      </c>
      <c r="L610" s="3" t="n">
        <v>-45.0398</v>
      </c>
      <c r="M610" s="3" t="n">
        <v>-26.975</v>
      </c>
      <c r="N610" s="3" t="inlineStr">
        <is>
          <t>C4</t>
        </is>
      </c>
      <c r="O610" s="3" t="inlineStr">
        <is>
          <t>no</t>
        </is>
      </c>
      <c r="P610" s="3" t="inlineStr">
        <is>
          <t>no_compite</t>
        </is>
      </c>
      <c r="Q610" s="3" t="inlineStr">
        <is>
          <t>panel_covariables</t>
        </is>
      </c>
      <c r="R610" s="3" t="n"/>
      <c r="S610" s="3" t="inlineStr">
        <is>
          <t>contraste regional (R6); no vota</t>
        </is>
      </c>
      <c r="T610" s="3" t="inlineStr">
        <is>
          <t>output/v8/F5/atribucion_combinada.csv</t>
        </is>
      </c>
      <c r="U610" s="2">
        <f>IF(R610=0,"",F610/R610)</f>
        <v/>
      </c>
      <c r="V610" s="2">
        <f>SUMIFS(F$2:F$1589,A$2:A$1589,A610,C$2:C$1589,C610,E$2:E$1589,E610,Q$2:Q$1589,Q610)</f>
        <v/>
      </c>
    </row>
    <row r="611">
      <c r="A611" s="3" t="inlineStr">
        <is>
          <t>compra</t>
        </is>
      </c>
      <c r="B611" s="3" t="inlineStr">
        <is>
          <t>ccaa:04</t>
        </is>
      </c>
      <c r="C611" s="3" t="inlineStr">
        <is>
          <t>P2</t>
        </is>
      </c>
      <c r="D611" s="3" t="inlineStr">
        <is>
          <t>empleo_renta</t>
        </is>
      </c>
      <c r="E611" s="3" t="inlineStr">
        <is>
          <t>regional_panel</t>
        </is>
      </c>
      <c r="F611" s="3" t="n">
        <v>-2.32479</v>
      </c>
      <c r="G611" s="3" t="n"/>
      <c r="H611" s="3" t="n"/>
      <c r="I611" s="3" t="n">
        <v>0.067416</v>
      </c>
      <c r="J611" s="3" t="n">
        <v>-3.93642</v>
      </c>
      <c r="K611" s="3" t="n">
        <v>-0.239266</v>
      </c>
      <c r="L611" s="3" t="n">
        <v>-5.21232</v>
      </c>
      <c r="M611" s="3" t="n">
        <v>0.903298</v>
      </c>
      <c r="N611" s="3" t="inlineStr">
        <is>
          <t>C4</t>
        </is>
      </c>
      <c r="O611" s="3" t="inlineStr">
        <is>
          <t>si</t>
        </is>
      </c>
      <c r="P611" s="3" t="inlineStr">
        <is>
          <t>no_vota</t>
        </is>
      </c>
      <c r="Q611" s="3" t="inlineStr">
        <is>
          <t>panel_covariables</t>
        </is>
      </c>
      <c r="R611" s="3" t="n"/>
      <c r="S611" s="3" t="inlineStr">
        <is>
          <t>contraste regional (R6); no vota</t>
        </is>
      </c>
      <c r="T611" s="3" t="inlineStr">
        <is>
          <t>output/v8/F5/atribucion_combinada.csv</t>
        </is>
      </c>
      <c r="U611" s="2">
        <f>IF(R611=0,"",F611/R611)</f>
        <v/>
      </c>
      <c r="V611" s="2">
        <f>SUMIFS(F$2:F$1589,A$2:A$1589,A611,C$2:C$1589,C611,E$2:E$1589,E611,Q$2:Q$1589,Q611)</f>
        <v/>
      </c>
    </row>
    <row r="612">
      <c r="A612" s="3" t="inlineStr">
        <is>
          <t>compra</t>
        </is>
      </c>
      <c r="B612" s="3" t="inlineStr">
        <is>
          <t>ccaa:04</t>
        </is>
      </c>
      <c r="C612" s="3" t="inlineStr">
        <is>
          <t>P2</t>
        </is>
      </c>
      <c r="D612" s="3" t="inlineStr">
        <is>
          <t>demografia</t>
        </is>
      </c>
      <c r="E612" s="3" t="inlineStr">
        <is>
          <t>regional_panel</t>
        </is>
      </c>
      <c r="F612" s="3" t="n">
        <v>5.06125</v>
      </c>
      <c r="G612" s="3" t="n"/>
      <c r="H612" s="3" t="n"/>
      <c r="I612" s="3" t="n">
        <v>-0.14677</v>
      </c>
      <c r="J612" s="3" t="n">
        <v>1.33466</v>
      </c>
      <c r="K612" s="3" t="n">
        <v>12.6508</v>
      </c>
      <c r="L612" s="3" t="n">
        <v>-1.2682</v>
      </c>
      <c r="M612" s="3" t="n">
        <v>16.5952</v>
      </c>
      <c r="N612" s="3" t="inlineStr">
        <is>
          <t>C4</t>
        </is>
      </c>
      <c r="O612" s="3" t="inlineStr">
        <is>
          <t>si</t>
        </is>
      </c>
      <c r="P612" s="3" t="inlineStr">
        <is>
          <t>no_vota</t>
        </is>
      </c>
      <c r="Q612" s="3" t="inlineStr">
        <is>
          <t>panel_covariables</t>
        </is>
      </c>
      <c r="R612" s="3" t="n"/>
      <c r="S612" s="3" t="inlineStr">
        <is>
          <t>contraste regional (R6); no vota</t>
        </is>
      </c>
      <c r="T612" s="3" t="inlineStr">
        <is>
          <t>output/v8/F5/atribucion_combinada.csv</t>
        </is>
      </c>
      <c r="U612" s="2">
        <f>IF(R612=0,"",F612/R612)</f>
        <v/>
      </c>
      <c r="V612" s="2">
        <f>SUMIFS(F$2:F$1589,A$2:A$1589,A612,C$2:C$1589,C612,E$2:E$1589,E612,Q$2:Q$1589,Q612)</f>
        <v/>
      </c>
    </row>
    <row r="613">
      <c r="A613" s="3" t="inlineStr">
        <is>
          <t>compra</t>
        </is>
      </c>
      <c r="B613" s="3" t="inlineStr">
        <is>
          <t>ccaa:04</t>
        </is>
      </c>
      <c r="C613" s="3" t="inlineStr">
        <is>
          <t>P2</t>
        </is>
      </c>
      <c r="D613" s="3" t="inlineStr">
        <is>
          <t>oferta</t>
        </is>
      </c>
      <c r="E613" s="3" t="inlineStr">
        <is>
          <t>regional_panel</t>
        </is>
      </c>
      <c r="F613" s="3" t="n">
        <v>-0.0510822</v>
      </c>
      <c r="G613" s="3" t="n"/>
      <c r="H613" s="3" t="n"/>
      <c r="I613" s="3" t="n">
        <v>0.00148132</v>
      </c>
      <c r="J613" s="3" t="n">
        <v>-0.404981</v>
      </c>
      <c r="K613" s="3" t="n">
        <v>0.291789</v>
      </c>
      <c r="L613" s="3" t="n">
        <v>-0.691381</v>
      </c>
      <c r="M613" s="3" t="n">
        <v>0.593516</v>
      </c>
      <c r="N613" s="3" t="inlineStr">
        <is>
          <t>C4</t>
        </is>
      </c>
      <c r="O613" s="3" t="inlineStr">
        <is>
          <t>si</t>
        </is>
      </c>
      <c r="P613" s="3" t="inlineStr">
        <is>
          <t>no_vota</t>
        </is>
      </c>
      <c r="Q613" s="3" t="inlineStr">
        <is>
          <t>panel_covariables</t>
        </is>
      </c>
      <c r="R613" s="3" t="n"/>
      <c r="S613" s="3" t="inlineStr">
        <is>
          <t>contraste regional (R6); no vota</t>
        </is>
      </c>
      <c r="T613" s="3" t="inlineStr">
        <is>
          <t>output/v8/F5/atribucion_combinada.csv</t>
        </is>
      </c>
      <c r="U613" s="2">
        <f>IF(R613=0,"",F613/R613)</f>
        <v/>
      </c>
      <c r="V613" s="2">
        <f>SUMIFS(F$2:F$1589,A$2:A$1589,A613,C$2:C$1589,C613,E$2:E$1589,E613,Q$2:Q$1589,Q613)</f>
        <v/>
      </c>
    </row>
    <row r="614">
      <c r="A614" s="3" t="inlineStr">
        <is>
          <t>compra</t>
        </is>
      </c>
      <c r="B614" s="3" t="inlineStr">
        <is>
          <t>ccaa:04</t>
        </is>
      </c>
      <c r="C614" s="3" t="inlineStr">
        <is>
          <t>P2</t>
        </is>
      </c>
      <c r="D614" s="3" t="inlineStr">
        <is>
          <t>demanda_externa</t>
        </is>
      </c>
      <c r="E614" s="3" t="inlineStr">
        <is>
          <t>regional_panel</t>
        </is>
      </c>
      <c r="F614" s="3" t="n">
        <v>-0.575643</v>
      </c>
      <c r="G614" s="3" t="n"/>
      <c r="H614" s="3" t="n"/>
      <c r="I614" s="3" t="n">
        <v>0.016693</v>
      </c>
      <c r="J614" s="3" t="n">
        <v>-0.919117</v>
      </c>
      <c r="K614" s="3" t="n">
        <v>-0.13867</v>
      </c>
      <c r="L614" s="3" t="n">
        <v>-1.29201</v>
      </c>
      <c r="M614" s="3" t="n">
        <v>0.013168</v>
      </c>
      <c r="N614" s="3" t="inlineStr">
        <is>
          <t>C4</t>
        </is>
      </c>
      <c r="O614" s="3" t="inlineStr">
        <is>
          <t>si</t>
        </is>
      </c>
      <c r="P614" s="3" t="inlineStr">
        <is>
          <t>no_vota</t>
        </is>
      </c>
      <c r="Q614" s="3" t="inlineStr">
        <is>
          <t>panel_covariables</t>
        </is>
      </c>
      <c r="R614" s="3" t="n"/>
      <c r="S614" s="3" t="inlineStr">
        <is>
          <t>contraste regional (R6); no vota</t>
        </is>
      </c>
      <c r="T614" s="3" t="inlineStr">
        <is>
          <t>output/v8/F5/atribucion_combinada.csv</t>
        </is>
      </c>
      <c r="U614" s="2">
        <f>IF(R614=0,"",F614/R614)</f>
        <v/>
      </c>
      <c r="V614" s="2">
        <f>SUMIFS(F$2:F$1589,A$2:A$1589,A614,C$2:C$1589,C614,E$2:E$1589,E614,Q$2:Q$1589,Q614)</f>
        <v/>
      </c>
    </row>
    <row r="615">
      <c r="A615" s="3" t="inlineStr">
        <is>
          <t>compra</t>
        </is>
      </c>
      <c r="B615" s="3" t="inlineStr">
        <is>
          <t>ccaa:04</t>
        </is>
      </c>
      <c r="C615" s="3" t="inlineStr">
        <is>
          <t>P2</t>
        </is>
      </c>
      <c r="D615" s="3" t="inlineStr">
        <is>
          <t>residuo</t>
        </is>
      </c>
      <c r="E615" s="3" t="inlineStr">
        <is>
          <t>regional_panel</t>
        </is>
      </c>
      <c r="F615" s="3" t="n">
        <v>-1.51274</v>
      </c>
      <c r="G615" s="3" t="n"/>
      <c r="H615" s="3" t="n"/>
      <c r="I615" s="3" t="n">
        <v>0.0438676</v>
      </c>
      <c r="J615" s="3" t="n">
        <v>-15.8547</v>
      </c>
      <c r="K615" s="3" t="n">
        <v>9.14907</v>
      </c>
      <c r="L615" s="3" t="n">
        <v>-21.3543</v>
      </c>
      <c r="M615" s="3" t="n">
        <v>17.945</v>
      </c>
      <c r="N615" s="3" t="inlineStr">
        <is>
          <t>C4</t>
        </is>
      </c>
      <c r="O615" s="3" t="inlineStr">
        <is>
          <t>no</t>
        </is>
      </c>
      <c r="P615" s="3" t="inlineStr">
        <is>
          <t>no_compite</t>
        </is>
      </c>
      <c r="Q615" s="3" t="inlineStr">
        <is>
          <t>panel_covariables</t>
        </is>
      </c>
      <c r="R615" s="3" t="n"/>
      <c r="S615" s="3" t="inlineStr">
        <is>
          <t>contraste regional (R6); no vota</t>
        </is>
      </c>
      <c r="T615" s="3" t="inlineStr">
        <is>
          <t>output/v8/F5/atribucion_combinada.csv</t>
        </is>
      </c>
      <c r="U615" s="2">
        <f>IF(R615=0,"",F615/R615)</f>
        <v/>
      </c>
      <c r="V615" s="2">
        <f>SUMIFS(F$2:F$1589,A$2:A$1589,A615,C$2:C$1589,C615,E$2:E$1589,E615,Q$2:Q$1589,Q615)</f>
        <v/>
      </c>
    </row>
    <row r="616">
      <c r="A616" s="3" t="inlineStr">
        <is>
          <t>compra</t>
        </is>
      </c>
      <c r="B616" s="3" t="inlineStr">
        <is>
          <t>ccaa:05</t>
        </is>
      </c>
      <c r="C616" s="3" t="inlineStr">
        <is>
          <t>P2</t>
        </is>
      </c>
      <c r="D616" s="3" t="inlineStr">
        <is>
          <t>factor_comun</t>
        </is>
      </c>
      <c r="E616" s="3" t="inlineStr">
        <is>
          <t>regional_panel</t>
        </is>
      </c>
      <c r="F616" s="3" t="n">
        <v>-35.0812</v>
      </c>
      <c r="G616" s="3" t="n"/>
      <c r="H616" s="3" t="n"/>
      <c r="I616" s="3" t="n">
        <v>0.829823</v>
      </c>
      <c r="J616" s="3" t="n">
        <v>-41.5124</v>
      </c>
      <c r="K616" s="3" t="n">
        <v>-30.6884</v>
      </c>
      <c r="L616" s="3" t="n">
        <v>-45.0398</v>
      </c>
      <c r="M616" s="3" t="n">
        <v>-26.975</v>
      </c>
      <c r="N616" s="3" t="inlineStr">
        <is>
          <t>C4</t>
        </is>
      </c>
      <c r="O616" s="3" t="inlineStr">
        <is>
          <t>no</t>
        </is>
      </c>
      <c r="P616" s="3" t="inlineStr">
        <is>
          <t>no_compite</t>
        </is>
      </c>
      <c r="Q616" s="3" t="inlineStr">
        <is>
          <t>panel_covariables</t>
        </is>
      </c>
      <c r="R616" s="3" t="n"/>
      <c r="S616" s="3" t="inlineStr">
        <is>
          <t>contraste regional (R6); no vota</t>
        </is>
      </c>
      <c r="T616" s="3" t="inlineStr">
        <is>
          <t>output/v8/F5/atribucion_combinada.csv</t>
        </is>
      </c>
      <c r="U616" s="2">
        <f>IF(R616=0,"",F616/R616)</f>
        <v/>
      </c>
      <c r="V616" s="2">
        <f>SUMIFS(F$2:F$1589,A$2:A$1589,A616,C$2:C$1589,C616,E$2:E$1589,E616,Q$2:Q$1589,Q616)</f>
        <v/>
      </c>
    </row>
    <row r="617">
      <c r="A617" s="3" t="inlineStr">
        <is>
          <t>compra</t>
        </is>
      </c>
      <c r="B617" s="3" t="inlineStr">
        <is>
          <t>ccaa:05</t>
        </is>
      </c>
      <c r="C617" s="3" t="inlineStr">
        <is>
          <t>P2</t>
        </is>
      </c>
      <c r="D617" s="3" t="inlineStr">
        <is>
          <t>empleo_renta</t>
        </is>
      </c>
      <c r="E617" s="3" t="inlineStr">
        <is>
          <t>regional_panel</t>
        </is>
      </c>
      <c r="F617" s="3" t="n">
        <v>-2.62694</v>
      </c>
      <c r="G617" s="3" t="n"/>
      <c r="H617" s="3" t="n"/>
      <c r="I617" s="3" t="n">
        <v>0.0621387</v>
      </c>
      <c r="J617" s="3" t="n">
        <v>-4.37104</v>
      </c>
      <c r="K617" s="3" t="n">
        <v>-0.614184</v>
      </c>
      <c r="L617" s="3" t="n">
        <v>-5.78308</v>
      </c>
      <c r="M617" s="3" t="n">
        <v>0.61261</v>
      </c>
      <c r="N617" s="3" t="inlineStr">
        <is>
          <t>C4</t>
        </is>
      </c>
      <c r="O617" s="3" t="inlineStr">
        <is>
          <t>si</t>
        </is>
      </c>
      <c r="P617" s="3" t="inlineStr">
        <is>
          <t>no_vota</t>
        </is>
      </c>
      <c r="Q617" s="3" t="inlineStr">
        <is>
          <t>panel_covariables</t>
        </is>
      </c>
      <c r="R617" s="3" t="n"/>
      <c r="S617" s="3" t="inlineStr">
        <is>
          <t>contraste regional (R6); no vota</t>
        </is>
      </c>
      <c r="T617" s="3" t="inlineStr">
        <is>
          <t>output/v8/F5/atribucion_combinada.csv</t>
        </is>
      </c>
      <c r="U617" s="2">
        <f>IF(R617=0,"",F617/R617)</f>
        <v/>
      </c>
      <c r="V617" s="2">
        <f>SUMIFS(F$2:F$1589,A$2:A$1589,A617,C$2:C$1589,C617,E$2:E$1589,E617,Q$2:Q$1589,Q617)</f>
        <v/>
      </c>
    </row>
    <row r="618">
      <c r="A618" s="3" t="inlineStr">
        <is>
          <t>compra</t>
        </is>
      </c>
      <c r="B618" s="3" t="inlineStr">
        <is>
          <t>ccaa:05</t>
        </is>
      </c>
      <c r="C618" s="3" t="inlineStr">
        <is>
          <t>P2</t>
        </is>
      </c>
      <c r="D618" s="3" t="inlineStr">
        <is>
          <t>demografia</t>
        </is>
      </c>
      <c r="E618" s="3" t="inlineStr">
        <is>
          <t>regional_panel</t>
        </is>
      </c>
      <c r="F618" s="3" t="n">
        <v>4.629</v>
      </c>
      <c r="G618" s="3" t="n"/>
      <c r="H618" s="3" t="n"/>
      <c r="I618" s="3" t="n">
        <v>-0.109496</v>
      </c>
      <c r="J618" s="3" t="n">
        <v>1.47892</v>
      </c>
      <c r="K618" s="3" t="n">
        <v>10.6544</v>
      </c>
      <c r="L618" s="3" t="n">
        <v>-0.414877</v>
      </c>
      <c r="M618" s="3" t="n">
        <v>13.6822</v>
      </c>
      <c r="N618" s="3" t="inlineStr">
        <is>
          <t>C4</t>
        </is>
      </c>
      <c r="O618" s="3" t="inlineStr">
        <is>
          <t>si</t>
        </is>
      </c>
      <c r="P618" s="3" t="inlineStr">
        <is>
          <t>no_vota</t>
        </is>
      </c>
      <c r="Q618" s="3" t="inlineStr">
        <is>
          <t>panel_covariables</t>
        </is>
      </c>
      <c r="R618" s="3" t="n"/>
      <c r="S618" s="3" t="inlineStr">
        <is>
          <t>contraste regional (R6); no vota</t>
        </is>
      </c>
      <c r="T618" s="3" t="inlineStr">
        <is>
          <t>output/v8/F5/atribucion_combinada.csv</t>
        </is>
      </c>
      <c r="U618" s="2">
        <f>IF(R618=0,"",F618/R618)</f>
        <v/>
      </c>
      <c r="V618" s="2">
        <f>SUMIFS(F$2:F$1589,A$2:A$1589,A618,C$2:C$1589,C618,E$2:E$1589,E618,Q$2:Q$1589,Q618)</f>
        <v/>
      </c>
    </row>
    <row r="619">
      <c r="A619" s="3" t="inlineStr">
        <is>
          <t>compra</t>
        </is>
      </c>
      <c r="B619" s="3" t="inlineStr">
        <is>
          <t>ccaa:05</t>
        </is>
      </c>
      <c r="C619" s="3" t="inlineStr">
        <is>
          <t>P2</t>
        </is>
      </c>
      <c r="D619" s="3" t="inlineStr">
        <is>
          <t>oferta</t>
        </is>
      </c>
      <c r="E619" s="3" t="inlineStr">
        <is>
          <t>regional_panel</t>
        </is>
      </c>
      <c r="F619" s="3" t="n">
        <v>-0.0860769</v>
      </c>
      <c r="G619" s="3" t="n"/>
      <c r="H619" s="3" t="n"/>
      <c r="I619" s="3" t="n">
        <v>0.00203609</v>
      </c>
      <c r="J619" s="3" t="n">
        <v>-0.797924</v>
      </c>
      <c r="K619" s="3" t="n">
        <v>0.383803</v>
      </c>
      <c r="L619" s="3" t="n">
        <v>-1.28155</v>
      </c>
      <c r="M619" s="3" t="n">
        <v>0.793345</v>
      </c>
      <c r="N619" s="3" t="inlineStr">
        <is>
          <t>C4</t>
        </is>
      </c>
      <c r="O619" s="3" t="inlineStr">
        <is>
          <t>si</t>
        </is>
      </c>
      <c r="P619" s="3" t="inlineStr">
        <is>
          <t>no_vota</t>
        </is>
      </c>
      <c r="Q619" s="3" t="inlineStr">
        <is>
          <t>panel_covariables</t>
        </is>
      </c>
      <c r="R619" s="3" t="n"/>
      <c r="S619" s="3" t="inlineStr">
        <is>
          <t>contraste regional (R6); no vota</t>
        </is>
      </c>
      <c r="T619" s="3" t="inlineStr">
        <is>
          <t>output/v8/F5/atribucion_combinada.csv</t>
        </is>
      </c>
      <c r="U619" s="2">
        <f>IF(R619=0,"",F619/R619)</f>
        <v/>
      </c>
      <c r="V619" s="2">
        <f>SUMIFS(F$2:F$1589,A$2:A$1589,A619,C$2:C$1589,C619,E$2:E$1589,E619,Q$2:Q$1589,Q619)</f>
        <v/>
      </c>
    </row>
    <row r="620">
      <c r="A620" s="3" t="inlineStr">
        <is>
          <t>compra</t>
        </is>
      </c>
      <c r="B620" s="3" t="inlineStr">
        <is>
          <t>ccaa:05</t>
        </is>
      </c>
      <c r="C620" s="3" t="inlineStr">
        <is>
          <t>P2</t>
        </is>
      </c>
      <c r="D620" s="3" t="inlineStr">
        <is>
          <t>demanda_externa</t>
        </is>
      </c>
      <c r="E620" s="3" t="inlineStr">
        <is>
          <t>regional_panel</t>
        </is>
      </c>
      <c r="F620" s="3" t="n">
        <v>-0.26796</v>
      </c>
      <c r="G620" s="3" t="n"/>
      <c r="H620" s="3" t="n"/>
      <c r="I620" s="3" t="n">
        <v>0.00633842</v>
      </c>
      <c r="J620" s="3" t="n">
        <v>-0.783137</v>
      </c>
      <c r="K620" s="3" t="n">
        <v>-0.00659625</v>
      </c>
      <c r="L620" s="3" t="n">
        <v>-1.15258</v>
      </c>
      <c r="M620" s="3" t="n">
        <v>0.118222</v>
      </c>
      <c r="N620" s="3" t="inlineStr">
        <is>
          <t>C4</t>
        </is>
      </c>
      <c r="O620" s="3" t="inlineStr">
        <is>
          <t>si</t>
        </is>
      </c>
      <c r="P620" s="3" t="inlineStr">
        <is>
          <t>no_vota</t>
        </is>
      </c>
      <c r="Q620" s="3" t="inlineStr">
        <is>
          <t>panel_covariables</t>
        </is>
      </c>
      <c r="R620" s="3" t="n"/>
      <c r="S620" s="3" t="inlineStr">
        <is>
          <t>contraste regional (R6); no vota</t>
        </is>
      </c>
      <c r="T620" s="3" t="inlineStr">
        <is>
          <t>output/v8/F5/atribucion_combinada.csv</t>
        </is>
      </c>
      <c r="U620" s="2">
        <f>IF(R620=0,"",F620/R620)</f>
        <v/>
      </c>
      <c r="V620" s="2">
        <f>SUMIFS(F$2:F$1589,A$2:A$1589,A620,C$2:C$1589,C620,E$2:E$1589,E620,Q$2:Q$1589,Q620)</f>
        <v/>
      </c>
    </row>
    <row r="621">
      <c r="A621" s="3" t="inlineStr">
        <is>
          <t>compra</t>
        </is>
      </c>
      <c r="B621" s="3" t="inlineStr">
        <is>
          <t>ccaa:05</t>
        </is>
      </c>
      <c r="C621" s="3" t="inlineStr">
        <is>
          <t>P2</t>
        </is>
      </c>
      <c r="D621" s="3" t="inlineStr">
        <is>
          <t>residuo</t>
        </is>
      </c>
      <c r="E621" s="3" t="inlineStr">
        <is>
          <t>regional_panel</t>
        </is>
      </c>
      <c r="F621" s="3" t="n">
        <v>-8.84234</v>
      </c>
      <c r="G621" s="3" t="n"/>
      <c r="H621" s="3" t="n"/>
      <c r="I621" s="3" t="n">
        <v>0.20916</v>
      </c>
      <c r="J621" s="3" t="n">
        <v>-19.1724</v>
      </c>
      <c r="K621" s="3" t="n">
        <v>-0.590959</v>
      </c>
      <c r="L621" s="3" t="n">
        <v>-24.2452</v>
      </c>
      <c r="M621" s="3" t="n">
        <v>5.84517</v>
      </c>
      <c r="N621" s="3" t="inlineStr">
        <is>
          <t>C4</t>
        </is>
      </c>
      <c r="O621" s="3" t="inlineStr">
        <is>
          <t>no</t>
        </is>
      </c>
      <c r="P621" s="3" t="inlineStr">
        <is>
          <t>no_compite</t>
        </is>
      </c>
      <c r="Q621" s="3" t="inlineStr">
        <is>
          <t>panel_covariables</t>
        </is>
      </c>
      <c r="R621" s="3" t="n"/>
      <c r="S621" s="3" t="inlineStr">
        <is>
          <t>contraste regional (R6); no vota</t>
        </is>
      </c>
      <c r="T621" s="3" t="inlineStr">
        <is>
          <t>output/v8/F5/atribucion_combinada.csv</t>
        </is>
      </c>
      <c r="U621" s="2">
        <f>IF(R621=0,"",F621/R621)</f>
        <v/>
      </c>
      <c r="V621" s="2">
        <f>SUMIFS(F$2:F$1589,A$2:A$1589,A621,C$2:C$1589,C621,E$2:E$1589,E621,Q$2:Q$1589,Q621)</f>
        <v/>
      </c>
    </row>
    <row r="622">
      <c r="A622" s="3" t="inlineStr">
        <is>
          <t>compra</t>
        </is>
      </c>
      <c r="B622" s="3" t="inlineStr">
        <is>
          <t>ccaa:06</t>
        </is>
      </c>
      <c r="C622" s="3" t="inlineStr">
        <is>
          <t>P2</t>
        </is>
      </c>
      <c r="D622" s="3" t="inlineStr">
        <is>
          <t>factor_comun</t>
        </is>
      </c>
      <c r="E622" s="3" t="inlineStr">
        <is>
          <t>regional_panel</t>
        </is>
      </c>
      <c r="F622" s="3" t="n">
        <v>-35.0812</v>
      </c>
      <c r="G622" s="3" t="n"/>
      <c r="H622" s="3" t="n"/>
      <c r="I622" s="3" t="n">
        <v>0.976089</v>
      </c>
      <c r="J622" s="3" t="n">
        <v>-41.5124</v>
      </c>
      <c r="K622" s="3" t="n">
        <v>-30.6884</v>
      </c>
      <c r="L622" s="3" t="n">
        <v>-45.0398</v>
      </c>
      <c r="M622" s="3" t="n">
        <v>-26.975</v>
      </c>
      <c r="N622" s="3" t="inlineStr">
        <is>
          <t>C4</t>
        </is>
      </c>
      <c r="O622" s="3" t="inlineStr">
        <is>
          <t>no</t>
        </is>
      </c>
      <c r="P622" s="3" t="inlineStr">
        <is>
          <t>no_compite</t>
        </is>
      </c>
      <c r="Q622" s="3" t="inlineStr">
        <is>
          <t>panel_covariables</t>
        </is>
      </c>
      <c r="R622" s="3" t="n"/>
      <c r="S622" s="3" t="inlineStr">
        <is>
          <t>contraste regional (R6); no vota</t>
        </is>
      </c>
      <c r="T622" s="3" t="inlineStr">
        <is>
          <t>output/v8/F5/atribucion_combinada.csv</t>
        </is>
      </c>
      <c r="U622" s="2">
        <f>IF(R622=0,"",F622/R622)</f>
        <v/>
      </c>
      <c r="V622" s="2">
        <f>SUMIFS(F$2:F$1589,A$2:A$1589,A622,C$2:C$1589,C622,E$2:E$1589,E622,Q$2:Q$1589,Q622)</f>
        <v/>
      </c>
    </row>
    <row r="623">
      <c r="A623" s="3" t="inlineStr">
        <is>
          <t>compra</t>
        </is>
      </c>
      <c r="B623" s="3" t="inlineStr">
        <is>
          <t>ccaa:06</t>
        </is>
      </c>
      <c r="C623" s="3" t="inlineStr">
        <is>
          <t>P2</t>
        </is>
      </c>
      <c r="D623" s="3" t="inlineStr">
        <is>
          <t>empleo_renta</t>
        </is>
      </c>
      <c r="E623" s="3" t="inlineStr">
        <is>
          <t>regional_panel</t>
        </is>
      </c>
      <c r="F623" s="3" t="n">
        <v>-1.1957</v>
      </c>
      <c r="G623" s="3" t="n"/>
      <c r="H623" s="3" t="n"/>
      <c r="I623" s="3" t="n">
        <v>0.0332687</v>
      </c>
      <c r="J623" s="3" t="n">
        <v>-2.44269</v>
      </c>
      <c r="K623" s="3" t="n">
        <v>0.183006</v>
      </c>
      <c r="L623" s="3" t="n">
        <v>-3.29199</v>
      </c>
      <c r="M623" s="3" t="n">
        <v>0.762884</v>
      </c>
      <c r="N623" s="3" t="inlineStr">
        <is>
          <t>C4</t>
        </is>
      </c>
      <c r="O623" s="3" t="inlineStr">
        <is>
          <t>si</t>
        </is>
      </c>
      <c r="P623" s="3" t="inlineStr">
        <is>
          <t>no_vota</t>
        </is>
      </c>
      <c r="Q623" s="3" t="inlineStr">
        <is>
          <t>panel_covariables</t>
        </is>
      </c>
      <c r="R623" s="3" t="n"/>
      <c r="S623" s="3" t="inlineStr">
        <is>
          <t>contraste regional (R6); no vota</t>
        </is>
      </c>
      <c r="T623" s="3" t="inlineStr">
        <is>
          <t>output/v8/F5/atribucion_combinada.csv</t>
        </is>
      </c>
      <c r="U623" s="2">
        <f>IF(R623=0,"",F623/R623)</f>
        <v/>
      </c>
      <c r="V623" s="2">
        <f>SUMIFS(F$2:F$1589,A$2:A$1589,A623,C$2:C$1589,C623,E$2:E$1589,E623,Q$2:Q$1589,Q623)</f>
        <v/>
      </c>
    </row>
    <row r="624">
      <c r="A624" s="3" t="inlineStr">
        <is>
          <t>compra</t>
        </is>
      </c>
      <c r="B624" s="3" t="inlineStr">
        <is>
          <t>ccaa:06</t>
        </is>
      </c>
      <c r="C624" s="3" t="inlineStr">
        <is>
          <t>P2</t>
        </is>
      </c>
      <c r="D624" s="3" t="inlineStr">
        <is>
          <t>demografia</t>
        </is>
      </c>
      <c r="E624" s="3" t="inlineStr">
        <is>
          <t>regional_panel</t>
        </is>
      </c>
      <c r="F624" s="3" t="n">
        <v>1.52978</v>
      </c>
      <c r="G624" s="3" t="n"/>
      <c r="H624" s="3" t="n"/>
      <c r="I624" s="3" t="n">
        <v>-0.0425641</v>
      </c>
      <c r="J624" s="3" t="n">
        <v>0.0238371</v>
      </c>
      <c r="K624" s="3" t="n">
        <v>3.33077</v>
      </c>
      <c r="L624" s="3" t="n">
        <v>-1.39789</v>
      </c>
      <c r="M624" s="3" t="n">
        <v>5.06651</v>
      </c>
      <c r="N624" s="3" t="inlineStr">
        <is>
          <t>C4</t>
        </is>
      </c>
      <c r="O624" s="3" t="inlineStr">
        <is>
          <t>si</t>
        </is>
      </c>
      <c r="P624" s="3" t="inlineStr">
        <is>
          <t>no_vota</t>
        </is>
      </c>
      <c r="Q624" s="3" t="inlineStr">
        <is>
          <t>panel_covariables</t>
        </is>
      </c>
      <c r="R624" s="3" t="n"/>
      <c r="S624" s="3" t="inlineStr">
        <is>
          <t>contraste regional (R6); no vota</t>
        </is>
      </c>
      <c r="T624" s="3" t="inlineStr">
        <is>
          <t>output/v8/F5/atribucion_combinada.csv</t>
        </is>
      </c>
      <c r="U624" s="2">
        <f>IF(R624=0,"",F624/R624)</f>
        <v/>
      </c>
      <c r="V624" s="2">
        <f>SUMIFS(F$2:F$1589,A$2:A$1589,A624,C$2:C$1589,C624,E$2:E$1589,E624,Q$2:Q$1589,Q624)</f>
        <v/>
      </c>
    </row>
    <row r="625">
      <c r="A625" s="3" t="inlineStr">
        <is>
          <t>compra</t>
        </is>
      </c>
      <c r="B625" s="3" t="inlineStr">
        <is>
          <t>ccaa:06</t>
        </is>
      </c>
      <c r="C625" s="3" t="inlineStr">
        <is>
          <t>P2</t>
        </is>
      </c>
      <c r="D625" s="3" t="inlineStr">
        <is>
          <t>oferta</t>
        </is>
      </c>
      <c r="E625" s="3" t="inlineStr">
        <is>
          <t>regional_panel</t>
        </is>
      </c>
      <c r="F625" s="3" t="n">
        <v>-0.0651534</v>
      </c>
      <c r="G625" s="3" t="n"/>
      <c r="H625" s="3" t="n"/>
      <c r="I625" s="3" t="n">
        <v>0.00181281</v>
      </c>
      <c r="J625" s="3" t="n">
        <v>-0.325635</v>
      </c>
      <c r="K625" s="3" t="n">
        <v>0.669465</v>
      </c>
      <c r="L625" s="3" t="n">
        <v>-0.629269</v>
      </c>
      <c r="M625" s="3" t="n">
        <v>1.38501</v>
      </c>
      <c r="N625" s="3" t="inlineStr">
        <is>
          <t>C4</t>
        </is>
      </c>
      <c r="O625" s="3" t="inlineStr">
        <is>
          <t>si</t>
        </is>
      </c>
      <c r="P625" s="3" t="inlineStr">
        <is>
          <t>no_vota</t>
        </is>
      </c>
      <c r="Q625" s="3" t="inlineStr">
        <is>
          <t>panel_covariables</t>
        </is>
      </c>
      <c r="R625" s="3" t="n"/>
      <c r="S625" s="3" t="inlineStr">
        <is>
          <t>contraste regional (R6); no vota</t>
        </is>
      </c>
      <c r="T625" s="3" t="inlineStr">
        <is>
          <t>output/v8/F5/atribucion_combinada.csv</t>
        </is>
      </c>
      <c r="U625" s="2">
        <f>IF(R625=0,"",F625/R625)</f>
        <v/>
      </c>
      <c r="V625" s="2">
        <f>SUMIFS(F$2:F$1589,A$2:A$1589,A625,C$2:C$1589,C625,E$2:E$1589,E625,Q$2:Q$1589,Q625)</f>
        <v/>
      </c>
    </row>
    <row r="626">
      <c r="A626" s="3" t="inlineStr">
        <is>
          <t>compra</t>
        </is>
      </c>
      <c r="B626" s="3" t="inlineStr">
        <is>
          <t>ccaa:06</t>
        </is>
      </c>
      <c r="C626" s="3" t="inlineStr">
        <is>
          <t>P2</t>
        </is>
      </c>
      <c r="D626" s="3" t="inlineStr">
        <is>
          <t>demanda_externa</t>
        </is>
      </c>
      <c r="E626" s="3" t="inlineStr">
        <is>
          <t>regional_panel</t>
        </is>
      </c>
      <c r="F626" s="3" t="n">
        <v>0.288989</v>
      </c>
      <c r="G626" s="3" t="n"/>
      <c r="H626" s="3" t="n"/>
      <c r="I626" s="3" t="n">
        <v>-0.008040739999999999</v>
      </c>
      <c r="J626" s="3" t="n">
        <v>-0.165693</v>
      </c>
      <c r="K626" s="3" t="n">
        <v>1.38739</v>
      </c>
      <c r="L626" s="3" t="n">
        <v>-0.539285</v>
      </c>
      <c r="M626" s="3" t="n">
        <v>2.23245</v>
      </c>
      <c r="N626" s="3" t="inlineStr">
        <is>
          <t>C4</t>
        </is>
      </c>
      <c r="O626" s="3" t="inlineStr">
        <is>
          <t>si</t>
        </is>
      </c>
      <c r="P626" s="3" t="inlineStr">
        <is>
          <t>no_vota</t>
        </is>
      </c>
      <c r="Q626" s="3" t="inlineStr">
        <is>
          <t>panel_covariables</t>
        </is>
      </c>
      <c r="R626" s="3" t="n"/>
      <c r="S626" s="3" t="inlineStr">
        <is>
          <t>contraste regional (R6); no vota</t>
        </is>
      </c>
      <c r="T626" s="3" t="inlineStr">
        <is>
          <t>output/v8/F5/atribucion_combinada.csv</t>
        </is>
      </c>
      <c r="U626" s="2">
        <f>IF(R626=0,"",F626/R626)</f>
        <v/>
      </c>
      <c r="V626" s="2">
        <f>SUMIFS(F$2:F$1589,A$2:A$1589,A626,C$2:C$1589,C626,E$2:E$1589,E626,Q$2:Q$1589,Q626)</f>
        <v/>
      </c>
    </row>
    <row r="627">
      <c r="A627" s="3" t="inlineStr">
        <is>
          <t>compra</t>
        </is>
      </c>
      <c r="B627" s="3" t="inlineStr">
        <is>
          <t>ccaa:06</t>
        </is>
      </c>
      <c r="C627" s="3" t="inlineStr">
        <is>
          <t>P2</t>
        </is>
      </c>
      <c r="D627" s="3" t="inlineStr">
        <is>
          <t>residuo</t>
        </is>
      </c>
      <c r="E627" s="3" t="inlineStr">
        <is>
          <t>regional_panel</t>
        </is>
      </c>
      <c r="F627" s="3" t="n">
        <v>-1.41729</v>
      </c>
      <c r="G627" s="3" t="n"/>
      <c r="H627" s="3" t="n"/>
      <c r="I627" s="3" t="n">
        <v>0.0394344</v>
      </c>
      <c r="J627" s="3" t="n">
        <v>-8.317069999999999</v>
      </c>
      <c r="K627" s="3" t="n">
        <v>5.84861</v>
      </c>
      <c r="L627" s="3" t="n">
        <v>-13.6077</v>
      </c>
      <c r="M627" s="3" t="n">
        <v>10.8099</v>
      </c>
      <c r="N627" s="3" t="inlineStr">
        <is>
          <t>C4</t>
        </is>
      </c>
      <c r="O627" s="3" t="inlineStr">
        <is>
          <t>no</t>
        </is>
      </c>
      <c r="P627" s="3" t="inlineStr">
        <is>
          <t>no_compite</t>
        </is>
      </c>
      <c r="Q627" s="3" t="inlineStr">
        <is>
          <t>panel_covariables</t>
        </is>
      </c>
      <c r="R627" s="3" t="n"/>
      <c r="S627" s="3" t="inlineStr">
        <is>
          <t>contraste regional (R6); no vota</t>
        </is>
      </c>
      <c r="T627" s="3" t="inlineStr">
        <is>
          <t>output/v8/F5/atribucion_combinada.csv</t>
        </is>
      </c>
      <c r="U627" s="2">
        <f>IF(R627=0,"",F627/R627)</f>
        <v/>
      </c>
      <c r="V627" s="2">
        <f>SUMIFS(F$2:F$1589,A$2:A$1589,A627,C$2:C$1589,C627,E$2:E$1589,E627,Q$2:Q$1589,Q627)</f>
        <v/>
      </c>
    </row>
    <row r="628">
      <c r="A628" s="3" t="inlineStr">
        <is>
          <t>compra</t>
        </is>
      </c>
      <c r="B628" s="3" t="inlineStr">
        <is>
          <t>ccaa:07</t>
        </is>
      </c>
      <c r="C628" s="3" t="inlineStr">
        <is>
          <t>P2</t>
        </is>
      </c>
      <c r="D628" s="3" t="inlineStr">
        <is>
          <t>factor_comun</t>
        </is>
      </c>
      <c r="E628" s="3" t="inlineStr">
        <is>
          <t>regional_panel</t>
        </is>
      </c>
      <c r="F628" s="3" t="n">
        <v>-35.0812</v>
      </c>
      <c r="G628" s="3" t="n"/>
      <c r="H628" s="3" t="n"/>
      <c r="I628" s="3" t="n">
        <v>0.936737</v>
      </c>
      <c r="J628" s="3" t="n">
        <v>-41.5124</v>
      </c>
      <c r="K628" s="3" t="n">
        <v>-30.6884</v>
      </c>
      <c r="L628" s="3" t="n">
        <v>-45.0398</v>
      </c>
      <c r="M628" s="3" t="n">
        <v>-26.975</v>
      </c>
      <c r="N628" s="3" t="inlineStr">
        <is>
          <t>C4</t>
        </is>
      </c>
      <c r="O628" s="3" t="inlineStr">
        <is>
          <t>no</t>
        </is>
      </c>
      <c r="P628" s="3" t="inlineStr">
        <is>
          <t>no_compite</t>
        </is>
      </c>
      <c r="Q628" s="3" t="inlineStr">
        <is>
          <t>panel_covariables</t>
        </is>
      </c>
      <c r="R628" s="3" t="n"/>
      <c r="S628" s="3" t="inlineStr">
        <is>
          <t>contraste regional (R6); no vota</t>
        </is>
      </c>
      <c r="T628" s="3" t="inlineStr">
        <is>
          <t>output/v8/F5/atribucion_combinada.csv</t>
        </is>
      </c>
      <c r="U628" s="2">
        <f>IF(R628=0,"",F628/R628)</f>
        <v/>
      </c>
      <c r="V628" s="2">
        <f>SUMIFS(F$2:F$1589,A$2:A$1589,A628,C$2:C$1589,C628,E$2:E$1589,E628,Q$2:Q$1589,Q628)</f>
        <v/>
      </c>
    </row>
    <row r="629">
      <c r="A629" s="3" t="inlineStr">
        <is>
          <t>compra</t>
        </is>
      </c>
      <c r="B629" s="3" t="inlineStr">
        <is>
          <t>ccaa:07</t>
        </is>
      </c>
      <c r="C629" s="3" t="inlineStr">
        <is>
          <t>P2</t>
        </is>
      </c>
      <c r="D629" s="3" t="inlineStr">
        <is>
          <t>empleo_renta</t>
        </is>
      </c>
      <c r="E629" s="3" t="inlineStr">
        <is>
          <t>regional_panel</t>
        </is>
      </c>
      <c r="F629" s="3" t="n">
        <v>-1.05772</v>
      </c>
      <c r="G629" s="3" t="n"/>
      <c r="H629" s="3" t="n"/>
      <c r="I629" s="3" t="n">
        <v>0.0282433</v>
      </c>
      <c r="J629" s="3" t="n">
        <v>-2.12334</v>
      </c>
      <c r="K629" s="3" t="n">
        <v>-0.0520532</v>
      </c>
      <c r="L629" s="3" t="n">
        <v>-2.90859</v>
      </c>
      <c r="M629" s="3" t="n">
        <v>0.494225</v>
      </c>
      <c r="N629" s="3" t="inlineStr">
        <is>
          <t>C4</t>
        </is>
      </c>
      <c r="O629" s="3" t="inlineStr">
        <is>
          <t>si</t>
        </is>
      </c>
      <c r="P629" s="3" t="inlineStr">
        <is>
          <t>no_vota</t>
        </is>
      </c>
      <c r="Q629" s="3" t="inlineStr">
        <is>
          <t>panel_covariables</t>
        </is>
      </c>
      <c r="R629" s="3" t="n"/>
      <c r="S629" s="3" t="inlineStr">
        <is>
          <t>contraste regional (R6); no vota</t>
        </is>
      </c>
      <c r="T629" s="3" t="inlineStr">
        <is>
          <t>output/v8/F5/atribucion_combinada.csv</t>
        </is>
      </c>
      <c r="U629" s="2">
        <f>IF(R629=0,"",F629/R629)</f>
        <v/>
      </c>
      <c r="V629" s="2">
        <f>SUMIFS(F$2:F$1589,A$2:A$1589,A629,C$2:C$1589,C629,E$2:E$1589,E629,Q$2:Q$1589,Q629)</f>
        <v/>
      </c>
    </row>
    <row r="630">
      <c r="A630" s="3" t="inlineStr">
        <is>
          <t>compra</t>
        </is>
      </c>
      <c r="B630" s="3" t="inlineStr">
        <is>
          <t>ccaa:07</t>
        </is>
      </c>
      <c r="C630" s="3" t="inlineStr">
        <is>
          <t>P2</t>
        </is>
      </c>
      <c r="D630" s="3" t="inlineStr">
        <is>
          <t>demografia</t>
        </is>
      </c>
      <c r="E630" s="3" t="inlineStr">
        <is>
          <t>regional_panel</t>
        </is>
      </c>
      <c r="F630" s="3" t="n">
        <v>-1.42269</v>
      </c>
      <c r="G630" s="3" t="n"/>
      <c r="H630" s="3" t="n"/>
      <c r="I630" s="3" t="n">
        <v>0.0379885</v>
      </c>
      <c r="J630" s="3" t="n">
        <v>-2.64252</v>
      </c>
      <c r="K630" s="3" t="n">
        <v>-0.647017</v>
      </c>
      <c r="L630" s="3" t="n">
        <v>-3.5166</v>
      </c>
      <c r="M630" s="3" t="n">
        <v>-0.08770219999999999</v>
      </c>
      <c r="N630" s="3" t="inlineStr">
        <is>
          <t>C4</t>
        </is>
      </c>
      <c r="O630" s="3" t="inlineStr">
        <is>
          <t>si</t>
        </is>
      </c>
      <c r="P630" s="3" t="inlineStr">
        <is>
          <t>no_vota</t>
        </is>
      </c>
      <c r="Q630" s="3" t="inlineStr">
        <is>
          <t>panel_covariables</t>
        </is>
      </c>
      <c r="R630" s="3" t="n"/>
      <c r="S630" s="3" t="inlineStr">
        <is>
          <t>contraste regional (R6); no vota</t>
        </is>
      </c>
      <c r="T630" s="3" t="inlineStr">
        <is>
          <t>output/v8/F5/atribucion_combinada.csv</t>
        </is>
      </c>
      <c r="U630" s="2">
        <f>IF(R630=0,"",F630/R630)</f>
        <v/>
      </c>
      <c r="V630" s="2">
        <f>SUMIFS(F$2:F$1589,A$2:A$1589,A630,C$2:C$1589,C630,E$2:E$1589,E630,Q$2:Q$1589,Q630)</f>
        <v/>
      </c>
    </row>
    <row r="631">
      <c r="A631" s="3" t="inlineStr">
        <is>
          <t>compra</t>
        </is>
      </c>
      <c r="B631" s="3" t="inlineStr">
        <is>
          <t>ccaa:07</t>
        </is>
      </c>
      <c r="C631" s="3" t="inlineStr">
        <is>
          <t>P2</t>
        </is>
      </c>
      <c r="D631" s="3" t="inlineStr">
        <is>
          <t>oferta</t>
        </is>
      </c>
      <c r="E631" s="3" t="inlineStr">
        <is>
          <t>regional_panel</t>
        </is>
      </c>
      <c r="F631" s="3" t="n">
        <v>-0.05817</v>
      </c>
      <c r="G631" s="3" t="n"/>
      <c r="H631" s="3" t="n"/>
      <c r="I631" s="3" t="n">
        <v>0.00155325</v>
      </c>
      <c r="J631" s="3" t="n">
        <v>-0.440391</v>
      </c>
      <c r="K631" s="3" t="n">
        <v>0.357676</v>
      </c>
      <c r="L631" s="3" t="n">
        <v>-0.724942</v>
      </c>
      <c r="M631" s="3" t="n">
        <v>0.714365</v>
      </c>
      <c r="N631" s="3" t="inlineStr">
        <is>
          <t>C4</t>
        </is>
      </c>
      <c r="O631" s="3" t="inlineStr">
        <is>
          <t>si</t>
        </is>
      </c>
      <c r="P631" s="3" t="inlineStr">
        <is>
          <t>no_vota</t>
        </is>
      </c>
      <c r="Q631" s="3" t="inlineStr">
        <is>
          <t>panel_covariables</t>
        </is>
      </c>
      <c r="R631" s="3" t="n"/>
      <c r="S631" s="3" t="inlineStr">
        <is>
          <t>contraste regional (R6); no vota</t>
        </is>
      </c>
      <c r="T631" s="3" t="inlineStr">
        <is>
          <t>output/v8/F5/atribucion_combinada.csv</t>
        </is>
      </c>
      <c r="U631" s="2">
        <f>IF(R631=0,"",F631/R631)</f>
        <v/>
      </c>
      <c r="V631" s="2">
        <f>SUMIFS(F$2:F$1589,A$2:A$1589,A631,C$2:C$1589,C631,E$2:E$1589,E631,Q$2:Q$1589,Q631)</f>
        <v/>
      </c>
    </row>
    <row r="632">
      <c r="A632" s="3" t="inlineStr">
        <is>
          <t>compra</t>
        </is>
      </c>
      <c r="B632" s="3" t="inlineStr">
        <is>
          <t>ccaa:07</t>
        </is>
      </c>
      <c r="C632" s="3" t="inlineStr">
        <is>
          <t>P2</t>
        </is>
      </c>
      <c r="D632" s="3" t="inlineStr">
        <is>
          <t>demanda_externa</t>
        </is>
      </c>
      <c r="E632" s="3" t="inlineStr">
        <is>
          <t>regional_panel</t>
        </is>
      </c>
      <c r="F632" s="3" t="n">
        <v>0.5609499999999999</v>
      </c>
      <c r="G632" s="3" t="n"/>
      <c r="H632" s="3" t="n"/>
      <c r="I632" s="3" t="n">
        <v>-0.0149785</v>
      </c>
      <c r="J632" s="3" t="n">
        <v>-0.210205</v>
      </c>
      <c r="K632" s="3" t="n">
        <v>2.32204</v>
      </c>
      <c r="L632" s="3" t="n">
        <v>-0.572276</v>
      </c>
      <c r="M632" s="3" t="n">
        <v>3.55762</v>
      </c>
      <c r="N632" s="3" t="inlineStr">
        <is>
          <t>C4</t>
        </is>
      </c>
      <c r="O632" s="3" t="inlineStr">
        <is>
          <t>si</t>
        </is>
      </c>
      <c r="P632" s="3" t="inlineStr">
        <is>
          <t>no_vota</t>
        </is>
      </c>
      <c r="Q632" s="3" t="inlineStr">
        <is>
          <t>panel_covariables</t>
        </is>
      </c>
      <c r="R632" s="3" t="n"/>
      <c r="S632" s="3" t="inlineStr">
        <is>
          <t>contraste regional (R6); no vota</t>
        </is>
      </c>
      <c r="T632" s="3" t="inlineStr">
        <is>
          <t>output/v8/F5/atribucion_combinada.csv</t>
        </is>
      </c>
      <c r="U632" s="2">
        <f>IF(R632=0,"",F632/R632)</f>
        <v/>
      </c>
      <c r="V632" s="2">
        <f>SUMIFS(F$2:F$1589,A$2:A$1589,A632,C$2:C$1589,C632,E$2:E$1589,E632,Q$2:Q$1589,Q632)</f>
        <v/>
      </c>
    </row>
    <row r="633">
      <c r="A633" s="3" t="inlineStr">
        <is>
          <t>compra</t>
        </is>
      </c>
      <c r="B633" s="3" t="inlineStr">
        <is>
          <t>ccaa:07</t>
        </is>
      </c>
      <c r="C633" s="3" t="inlineStr">
        <is>
          <t>P2</t>
        </is>
      </c>
      <c r="D633" s="3" t="inlineStr">
        <is>
          <t>residuo</t>
        </is>
      </c>
      <c r="E633" s="3" t="inlineStr">
        <is>
          <t>regional_panel</t>
        </is>
      </c>
      <c r="F633" s="3" t="n">
        <v>-0.391596</v>
      </c>
      <c r="G633" s="3" t="n"/>
      <c r="H633" s="3" t="n"/>
      <c r="I633" s="3" t="n">
        <v>0.0104564</v>
      </c>
      <c r="J633" s="3" t="n">
        <v>-3.40552</v>
      </c>
      <c r="K633" s="3" t="n">
        <v>4.57633</v>
      </c>
      <c r="L633" s="3" t="n">
        <v>-5.89185</v>
      </c>
      <c r="M633" s="3" t="n">
        <v>6.37595</v>
      </c>
      <c r="N633" s="3" t="inlineStr">
        <is>
          <t>C4</t>
        </is>
      </c>
      <c r="O633" s="3" t="inlineStr">
        <is>
          <t>no</t>
        </is>
      </c>
      <c r="P633" s="3" t="inlineStr">
        <is>
          <t>no_compite</t>
        </is>
      </c>
      <c r="Q633" s="3" t="inlineStr">
        <is>
          <t>panel_covariables</t>
        </is>
      </c>
      <c r="R633" s="3" t="n"/>
      <c r="S633" s="3" t="inlineStr">
        <is>
          <t>contraste regional (R6); no vota</t>
        </is>
      </c>
      <c r="T633" s="3" t="inlineStr">
        <is>
          <t>output/v8/F5/atribucion_combinada.csv</t>
        </is>
      </c>
      <c r="U633" s="2">
        <f>IF(R633=0,"",F633/R633)</f>
        <v/>
      </c>
      <c r="V633" s="2">
        <f>SUMIFS(F$2:F$1589,A$2:A$1589,A633,C$2:C$1589,C633,E$2:E$1589,E633,Q$2:Q$1589,Q633)</f>
        <v/>
      </c>
    </row>
    <row r="634">
      <c r="A634" s="3" t="inlineStr">
        <is>
          <t>compra</t>
        </is>
      </c>
      <c r="B634" s="3" t="inlineStr">
        <is>
          <t>ccaa:08</t>
        </is>
      </c>
      <c r="C634" s="3" t="inlineStr">
        <is>
          <t>P2</t>
        </is>
      </c>
      <c r="D634" s="3" t="inlineStr">
        <is>
          <t>factor_comun</t>
        </is>
      </c>
      <c r="E634" s="3" t="inlineStr">
        <is>
          <t>regional_panel</t>
        </is>
      </c>
      <c r="F634" s="3" t="n">
        <v>-35.0812</v>
      </c>
      <c r="G634" s="3" t="n"/>
      <c r="H634" s="3" t="n"/>
      <c r="I634" s="3" t="n">
        <v>0.729106</v>
      </c>
      <c r="J634" s="3" t="n">
        <v>-41.5124</v>
      </c>
      <c r="K634" s="3" t="n">
        <v>-30.6884</v>
      </c>
      <c r="L634" s="3" t="n">
        <v>-45.0398</v>
      </c>
      <c r="M634" s="3" t="n">
        <v>-26.975</v>
      </c>
      <c r="N634" s="3" t="inlineStr">
        <is>
          <t>C4</t>
        </is>
      </c>
      <c r="O634" s="3" t="inlineStr">
        <is>
          <t>no</t>
        </is>
      </c>
      <c r="P634" s="3" t="inlineStr">
        <is>
          <t>no_compite</t>
        </is>
      </c>
      <c r="Q634" s="3" t="inlineStr">
        <is>
          <t>panel_covariables</t>
        </is>
      </c>
      <c r="R634" s="3" t="n"/>
      <c r="S634" s="3" t="inlineStr">
        <is>
          <t>contraste regional (R6); no vota</t>
        </is>
      </c>
      <c r="T634" s="3" t="inlineStr">
        <is>
          <t>output/v8/F5/atribucion_combinada.csv</t>
        </is>
      </c>
      <c r="U634" s="2">
        <f>IF(R634=0,"",F634/R634)</f>
        <v/>
      </c>
      <c r="V634" s="2">
        <f>SUMIFS(F$2:F$1589,A$2:A$1589,A634,C$2:C$1589,C634,E$2:E$1589,E634,Q$2:Q$1589,Q634)</f>
        <v/>
      </c>
    </row>
    <row r="635">
      <c r="A635" s="3" t="inlineStr">
        <is>
          <t>compra</t>
        </is>
      </c>
      <c r="B635" s="3" t="inlineStr">
        <is>
          <t>ccaa:08</t>
        </is>
      </c>
      <c r="C635" s="3" t="inlineStr">
        <is>
          <t>P2</t>
        </is>
      </c>
      <c r="D635" s="3" t="inlineStr">
        <is>
          <t>empleo_renta</t>
        </is>
      </c>
      <c r="E635" s="3" t="inlineStr">
        <is>
          <t>regional_panel</t>
        </is>
      </c>
      <c r="F635" s="3" t="n">
        <v>-2.3915</v>
      </c>
      <c r="G635" s="3" t="n"/>
      <c r="H635" s="3" t="n"/>
      <c r="I635" s="3" t="n">
        <v>0.0497034</v>
      </c>
      <c r="J635" s="3" t="n">
        <v>-4.36642</v>
      </c>
      <c r="K635" s="3" t="n">
        <v>-0.5331669999999999</v>
      </c>
      <c r="L635" s="3" t="n">
        <v>-5.89597</v>
      </c>
      <c r="M635" s="3" t="n">
        <v>0.819759</v>
      </c>
      <c r="N635" s="3" t="inlineStr">
        <is>
          <t>C4</t>
        </is>
      </c>
      <c r="O635" s="3" t="inlineStr">
        <is>
          <t>si</t>
        </is>
      </c>
      <c r="P635" s="3" t="inlineStr">
        <is>
          <t>no_vota</t>
        </is>
      </c>
      <c r="Q635" s="3" t="inlineStr">
        <is>
          <t>panel_covariables</t>
        </is>
      </c>
      <c r="R635" s="3" t="n"/>
      <c r="S635" s="3" t="inlineStr">
        <is>
          <t>contraste regional (R6); no vota</t>
        </is>
      </c>
      <c r="T635" s="3" t="inlineStr">
        <is>
          <t>output/v8/F5/atribucion_combinada.csv</t>
        </is>
      </c>
      <c r="U635" s="2">
        <f>IF(R635=0,"",F635/R635)</f>
        <v/>
      </c>
      <c r="V635" s="2">
        <f>SUMIFS(F$2:F$1589,A$2:A$1589,A635,C$2:C$1589,C635,E$2:E$1589,E635,Q$2:Q$1589,Q635)</f>
        <v/>
      </c>
    </row>
    <row r="636">
      <c r="A636" s="3" t="inlineStr">
        <is>
          <t>compra</t>
        </is>
      </c>
      <c r="B636" s="3" t="inlineStr">
        <is>
          <t>ccaa:08</t>
        </is>
      </c>
      <c r="C636" s="3" t="inlineStr">
        <is>
          <t>P2</t>
        </is>
      </c>
      <c r="D636" s="3" t="inlineStr">
        <is>
          <t>demografia</t>
        </is>
      </c>
      <c r="E636" s="3" t="inlineStr">
        <is>
          <t>regional_panel</t>
        </is>
      </c>
      <c r="F636" s="3" t="n">
        <v>2.15007</v>
      </c>
      <c r="G636" s="3" t="n"/>
      <c r="H636" s="3" t="n"/>
      <c r="I636" s="3" t="n">
        <v>-0.0446858</v>
      </c>
      <c r="J636" s="3" t="n">
        <v>-0.443884</v>
      </c>
      <c r="K636" s="3" t="n">
        <v>7.33114</v>
      </c>
      <c r="L636" s="3" t="n">
        <v>-2.47329</v>
      </c>
      <c r="M636" s="3" t="n">
        <v>10.3484</v>
      </c>
      <c r="N636" s="3" t="inlineStr">
        <is>
          <t>C4</t>
        </is>
      </c>
      <c r="O636" s="3" t="inlineStr">
        <is>
          <t>si</t>
        </is>
      </c>
      <c r="P636" s="3" t="inlineStr">
        <is>
          <t>no_vota</t>
        </is>
      </c>
      <c r="Q636" s="3" t="inlineStr">
        <is>
          <t>panel_covariables</t>
        </is>
      </c>
      <c r="R636" s="3" t="n"/>
      <c r="S636" s="3" t="inlineStr">
        <is>
          <t>contraste regional (R6); no vota</t>
        </is>
      </c>
      <c r="T636" s="3" t="inlineStr">
        <is>
          <t>output/v8/F5/atribucion_combinada.csv</t>
        </is>
      </c>
      <c r="U636" s="2">
        <f>IF(R636=0,"",F636/R636)</f>
        <v/>
      </c>
      <c r="V636" s="2">
        <f>SUMIFS(F$2:F$1589,A$2:A$1589,A636,C$2:C$1589,C636,E$2:E$1589,E636,Q$2:Q$1589,Q636)</f>
        <v/>
      </c>
    </row>
    <row r="637">
      <c r="A637" s="3" t="inlineStr">
        <is>
          <t>compra</t>
        </is>
      </c>
      <c r="B637" s="3" t="inlineStr">
        <is>
          <t>ccaa:08</t>
        </is>
      </c>
      <c r="C637" s="3" t="inlineStr">
        <is>
          <t>P2</t>
        </is>
      </c>
      <c r="D637" s="3" t="inlineStr">
        <is>
          <t>oferta</t>
        </is>
      </c>
      <c r="E637" s="3" t="inlineStr">
        <is>
          <t>regional_panel</t>
        </is>
      </c>
      <c r="F637" s="3" t="n">
        <v>-0.0653634</v>
      </c>
      <c r="G637" s="3" t="n"/>
      <c r="H637" s="3" t="n"/>
      <c r="I637" s="3" t="n">
        <v>0.00135847</v>
      </c>
      <c r="J637" s="3" t="n">
        <v>-0.503448</v>
      </c>
      <c r="K637" s="3" t="n">
        <v>0.385046</v>
      </c>
      <c r="L637" s="3" t="n">
        <v>-0.951941</v>
      </c>
      <c r="M637" s="3" t="n">
        <v>0.73239</v>
      </c>
      <c r="N637" s="3" t="inlineStr">
        <is>
          <t>C4</t>
        </is>
      </c>
      <c r="O637" s="3" t="inlineStr">
        <is>
          <t>si</t>
        </is>
      </c>
      <c r="P637" s="3" t="inlineStr">
        <is>
          <t>no_vota</t>
        </is>
      </c>
      <c r="Q637" s="3" t="inlineStr">
        <is>
          <t>panel_covariables</t>
        </is>
      </c>
      <c r="R637" s="3" t="n"/>
      <c r="S637" s="3" t="inlineStr">
        <is>
          <t>contraste regional (R6); no vota</t>
        </is>
      </c>
      <c r="T637" s="3" t="inlineStr">
        <is>
          <t>output/v8/F5/atribucion_combinada.csv</t>
        </is>
      </c>
      <c r="U637" s="2">
        <f>IF(R637=0,"",F637/R637)</f>
        <v/>
      </c>
      <c r="V637" s="2">
        <f>SUMIFS(F$2:F$1589,A$2:A$1589,A637,C$2:C$1589,C637,E$2:E$1589,E637,Q$2:Q$1589,Q637)</f>
        <v/>
      </c>
    </row>
    <row r="638">
      <c r="A638" s="3" t="inlineStr">
        <is>
          <t>compra</t>
        </is>
      </c>
      <c r="B638" s="3" t="inlineStr">
        <is>
          <t>ccaa:08</t>
        </is>
      </c>
      <c r="C638" s="3" t="inlineStr">
        <is>
          <t>P2</t>
        </is>
      </c>
      <c r="D638" s="3" t="inlineStr">
        <is>
          <t>demanda_externa</t>
        </is>
      </c>
      <c r="E638" s="3" t="inlineStr">
        <is>
          <t>regional_panel</t>
        </is>
      </c>
      <c r="F638" s="3" t="n">
        <v>0.5253949999999999</v>
      </c>
      <c r="G638" s="3" t="n"/>
      <c r="H638" s="3" t="n"/>
      <c r="I638" s="3" t="n">
        <v>-0.0109195</v>
      </c>
      <c r="J638" s="3" t="n">
        <v>-0.0122893</v>
      </c>
      <c r="K638" s="3" t="n">
        <v>1.63524</v>
      </c>
      <c r="L638" s="3" t="n">
        <v>-0.22088</v>
      </c>
      <c r="M638" s="3" t="n">
        <v>2.8459</v>
      </c>
      <c r="N638" s="3" t="inlineStr">
        <is>
          <t>C4</t>
        </is>
      </c>
      <c r="O638" s="3" t="inlineStr">
        <is>
          <t>si</t>
        </is>
      </c>
      <c r="P638" s="3" t="inlineStr">
        <is>
          <t>no_vota</t>
        </is>
      </c>
      <c r="Q638" s="3" t="inlineStr">
        <is>
          <t>panel_covariables</t>
        </is>
      </c>
      <c r="R638" s="3" t="n"/>
      <c r="S638" s="3" t="inlineStr">
        <is>
          <t>contraste regional (R6); no vota</t>
        </is>
      </c>
      <c r="T638" s="3" t="inlineStr">
        <is>
          <t>output/v8/F5/atribucion_combinada.csv</t>
        </is>
      </c>
      <c r="U638" s="2">
        <f>IF(R638=0,"",F638/R638)</f>
        <v/>
      </c>
      <c r="V638" s="2">
        <f>SUMIFS(F$2:F$1589,A$2:A$1589,A638,C$2:C$1589,C638,E$2:E$1589,E638,Q$2:Q$1589,Q638)</f>
        <v/>
      </c>
    </row>
    <row r="639">
      <c r="A639" s="3" t="inlineStr">
        <is>
          <t>compra</t>
        </is>
      </c>
      <c r="B639" s="3" t="inlineStr">
        <is>
          <t>ccaa:08</t>
        </is>
      </c>
      <c r="C639" s="3" t="inlineStr">
        <is>
          <t>P2</t>
        </is>
      </c>
      <c r="D639" s="3" t="inlineStr">
        <is>
          <t>residuo</t>
        </is>
      </c>
      <c r="E639" s="3" t="inlineStr">
        <is>
          <t>regional_panel</t>
        </is>
      </c>
      <c r="F639" s="3" t="n">
        <v>-13.2528</v>
      </c>
      <c r="G639" s="3" t="n"/>
      <c r="H639" s="3" t="n"/>
      <c r="I639" s="3" t="n">
        <v>0.275438</v>
      </c>
      <c r="J639" s="3" t="n">
        <v>-16.8597</v>
      </c>
      <c r="K639" s="3" t="n">
        <v>-9.64301</v>
      </c>
      <c r="L639" s="3" t="n">
        <v>-19.3109</v>
      </c>
      <c r="M639" s="3" t="n">
        <v>-6.76293</v>
      </c>
      <c r="N639" s="3" t="inlineStr">
        <is>
          <t>C4</t>
        </is>
      </c>
      <c r="O639" s="3" t="inlineStr">
        <is>
          <t>no</t>
        </is>
      </c>
      <c r="P639" s="3" t="inlineStr">
        <is>
          <t>no_compite</t>
        </is>
      </c>
      <c r="Q639" s="3" t="inlineStr">
        <is>
          <t>panel_covariables</t>
        </is>
      </c>
      <c r="R639" s="3" t="n"/>
      <c r="S639" s="3" t="inlineStr">
        <is>
          <t>contraste regional (R6); no vota</t>
        </is>
      </c>
      <c r="T639" s="3" t="inlineStr">
        <is>
          <t>output/v8/F5/atribucion_combinada.csv</t>
        </is>
      </c>
      <c r="U639" s="2">
        <f>IF(R639=0,"",F639/R639)</f>
        <v/>
      </c>
      <c r="V639" s="2">
        <f>SUMIFS(F$2:F$1589,A$2:A$1589,A639,C$2:C$1589,C639,E$2:E$1589,E639,Q$2:Q$1589,Q639)</f>
        <v/>
      </c>
    </row>
    <row r="640">
      <c r="A640" s="3" t="inlineStr">
        <is>
          <t>compra</t>
        </is>
      </c>
      <c r="B640" s="3" t="inlineStr">
        <is>
          <t>ccaa:09</t>
        </is>
      </c>
      <c r="C640" s="3" t="inlineStr">
        <is>
          <t>P2</t>
        </is>
      </c>
      <c r="D640" s="3" t="inlineStr">
        <is>
          <t>factor_comun</t>
        </is>
      </c>
      <c r="E640" s="3" t="inlineStr">
        <is>
          <t>regional_panel</t>
        </is>
      </c>
      <c r="F640" s="3" t="n">
        <v>-35.0812</v>
      </c>
      <c r="G640" s="3" t="n"/>
      <c r="H640" s="3" t="n"/>
      <c r="I640" s="3" t="n">
        <v>0.767822</v>
      </c>
      <c r="J640" s="3" t="n">
        <v>-41.5124</v>
      </c>
      <c r="K640" s="3" t="n">
        <v>-30.6884</v>
      </c>
      <c r="L640" s="3" t="n">
        <v>-45.0398</v>
      </c>
      <c r="M640" s="3" t="n">
        <v>-26.975</v>
      </c>
      <c r="N640" s="3" t="inlineStr">
        <is>
          <t>C4</t>
        </is>
      </c>
      <c r="O640" s="3" t="inlineStr">
        <is>
          <t>no</t>
        </is>
      </c>
      <c r="P640" s="3" t="inlineStr">
        <is>
          <t>no_compite</t>
        </is>
      </c>
      <c r="Q640" s="3" t="inlineStr">
        <is>
          <t>panel_covariables</t>
        </is>
      </c>
      <c r="R640" s="3" t="n"/>
      <c r="S640" s="3" t="inlineStr">
        <is>
          <t>contraste regional (R6); no vota</t>
        </is>
      </c>
      <c r="T640" s="3" t="inlineStr">
        <is>
          <t>output/v8/F5/atribucion_combinada.csv</t>
        </is>
      </c>
      <c r="U640" s="2">
        <f>IF(R640=0,"",F640/R640)</f>
        <v/>
      </c>
      <c r="V640" s="2">
        <f>SUMIFS(F$2:F$1589,A$2:A$1589,A640,C$2:C$1589,C640,E$2:E$1589,E640,Q$2:Q$1589,Q640)</f>
        <v/>
      </c>
    </row>
    <row r="641">
      <c r="A641" s="3" t="inlineStr">
        <is>
          <t>compra</t>
        </is>
      </c>
      <c r="B641" s="3" t="inlineStr">
        <is>
          <t>ccaa:09</t>
        </is>
      </c>
      <c r="C641" s="3" t="inlineStr">
        <is>
          <t>P2</t>
        </is>
      </c>
      <c r="D641" s="3" t="inlineStr">
        <is>
          <t>empleo_renta</t>
        </is>
      </c>
      <c r="E641" s="3" t="inlineStr">
        <is>
          <t>regional_panel</t>
        </is>
      </c>
      <c r="F641" s="3" t="n">
        <v>-1.2411</v>
      </c>
      <c r="G641" s="3" t="n"/>
      <c r="H641" s="3" t="n"/>
      <c r="I641" s="3" t="n">
        <v>0.027164</v>
      </c>
      <c r="J641" s="3" t="n">
        <v>-2.43917</v>
      </c>
      <c r="K641" s="3" t="n">
        <v>-0.120663</v>
      </c>
      <c r="L641" s="3" t="n">
        <v>-3.35874</v>
      </c>
      <c r="M641" s="3" t="n">
        <v>0.571923</v>
      </c>
      <c r="N641" s="3" t="inlineStr">
        <is>
          <t>C4</t>
        </is>
      </c>
      <c r="O641" s="3" t="inlineStr">
        <is>
          <t>si</t>
        </is>
      </c>
      <c r="P641" s="3" t="inlineStr">
        <is>
          <t>no_vota</t>
        </is>
      </c>
      <c r="Q641" s="3" t="inlineStr">
        <is>
          <t>panel_covariables</t>
        </is>
      </c>
      <c r="R641" s="3" t="n"/>
      <c r="S641" s="3" t="inlineStr">
        <is>
          <t>contraste regional (R6); no vota</t>
        </is>
      </c>
      <c r="T641" s="3" t="inlineStr">
        <is>
          <t>output/v8/F5/atribucion_combinada.csv</t>
        </is>
      </c>
      <c r="U641" s="2">
        <f>IF(R641=0,"",F641/R641)</f>
        <v/>
      </c>
      <c r="V641" s="2">
        <f>SUMIFS(F$2:F$1589,A$2:A$1589,A641,C$2:C$1589,C641,E$2:E$1589,E641,Q$2:Q$1589,Q641)</f>
        <v/>
      </c>
    </row>
    <row r="642">
      <c r="A642" s="3" t="inlineStr">
        <is>
          <t>compra</t>
        </is>
      </c>
      <c r="B642" s="3" t="inlineStr">
        <is>
          <t>ccaa:09</t>
        </is>
      </c>
      <c r="C642" s="3" t="inlineStr">
        <is>
          <t>P2</t>
        </is>
      </c>
      <c r="D642" s="3" t="inlineStr">
        <is>
          <t>demografia</t>
        </is>
      </c>
      <c r="E642" s="3" t="inlineStr">
        <is>
          <t>regional_panel</t>
        </is>
      </c>
      <c r="F642" s="3" t="n">
        <v>1.70081</v>
      </c>
      <c r="G642" s="3" t="n"/>
      <c r="H642" s="3" t="n"/>
      <c r="I642" s="3" t="n">
        <v>-0.0372257</v>
      </c>
      <c r="J642" s="3" t="n">
        <v>-0.738605</v>
      </c>
      <c r="K642" s="3" t="n">
        <v>7.17992</v>
      </c>
      <c r="L642" s="3" t="n">
        <v>-2.54103</v>
      </c>
      <c r="M642" s="3" t="n">
        <v>10.9907</v>
      </c>
      <c r="N642" s="3" t="inlineStr">
        <is>
          <t>C4</t>
        </is>
      </c>
      <c r="O642" s="3" t="inlineStr">
        <is>
          <t>si</t>
        </is>
      </c>
      <c r="P642" s="3" t="inlineStr">
        <is>
          <t>no_vota</t>
        </is>
      </c>
      <c r="Q642" s="3" t="inlineStr">
        <is>
          <t>panel_covariables</t>
        </is>
      </c>
      <c r="R642" s="3" t="n"/>
      <c r="S642" s="3" t="inlineStr">
        <is>
          <t>contraste regional (R6); no vota</t>
        </is>
      </c>
      <c r="T642" s="3" t="inlineStr">
        <is>
          <t>output/v8/F5/atribucion_combinada.csv</t>
        </is>
      </c>
      <c r="U642" s="2">
        <f>IF(R642=0,"",F642/R642)</f>
        <v/>
      </c>
      <c r="V642" s="2">
        <f>SUMIFS(F$2:F$1589,A$2:A$1589,A642,C$2:C$1589,C642,E$2:E$1589,E642,Q$2:Q$1589,Q642)</f>
        <v/>
      </c>
    </row>
    <row r="643">
      <c r="A643" s="3" t="inlineStr">
        <is>
          <t>compra</t>
        </is>
      </c>
      <c r="B643" s="3" t="inlineStr">
        <is>
          <t>ccaa:09</t>
        </is>
      </c>
      <c r="C643" s="3" t="inlineStr">
        <is>
          <t>P2</t>
        </is>
      </c>
      <c r="D643" s="3" t="inlineStr">
        <is>
          <t>oferta</t>
        </is>
      </c>
      <c r="E643" s="3" t="inlineStr">
        <is>
          <t>regional_panel</t>
        </is>
      </c>
      <c r="F643" s="3" t="n">
        <v>-0.0656492</v>
      </c>
      <c r="G643" s="3" t="n"/>
      <c r="H643" s="3" t="n"/>
      <c r="I643" s="3" t="n">
        <v>0.00143686</v>
      </c>
      <c r="J643" s="3" t="n">
        <v>-0.491293</v>
      </c>
      <c r="K643" s="3" t="n">
        <v>0.434242</v>
      </c>
      <c r="L643" s="3" t="n">
        <v>-0.716217</v>
      </c>
      <c r="M643" s="3" t="n">
        <v>0.932471</v>
      </c>
      <c r="N643" s="3" t="inlineStr">
        <is>
          <t>C4</t>
        </is>
      </c>
      <c r="O643" s="3" t="inlineStr">
        <is>
          <t>si</t>
        </is>
      </c>
      <c r="P643" s="3" t="inlineStr">
        <is>
          <t>no_vota</t>
        </is>
      </c>
      <c r="Q643" s="3" t="inlineStr">
        <is>
          <t>panel_covariables</t>
        </is>
      </c>
      <c r="R643" s="3" t="n"/>
      <c r="S643" s="3" t="inlineStr">
        <is>
          <t>contraste regional (R6); no vota</t>
        </is>
      </c>
      <c r="T643" s="3" t="inlineStr">
        <is>
          <t>output/v8/F5/atribucion_combinada.csv</t>
        </is>
      </c>
      <c r="U643" s="2">
        <f>IF(R643=0,"",F643/R643)</f>
        <v/>
      </c>
      <c r="V643" s="2">
        <f>SUMIFS(F$2:F$1589,A$2:A$1589,A643,C$2:C$1589,C643,E$2:E$1589,E643,Q$2:Q$1589,Q643)</f>
        <v/>
      </c>
    </row>
    <row r="644">
      <c r="A644" s="3" t="inlineStr">
        <is>
          <t>compra</t>
        </is>
      </c>
      <c r="B644" s="3" t="inlineStr">
        <is>
          <t>ccaa:09</t>
        </is>
      </c>
      <c r="C644" s="3" t="inlineStr">
        <is>
          <t>P2</t>
        </is>
      </c>
      <c r="D644" s="3" t="inlineStr">
        <is>
          <t>demanda_externa</t>
        </is>
      </c>
      <c r="E644" s="3" t="inlineStr">
        <is>
          <t>regional_panel</t>
        </is>
      </c>
      <c r="F644" s="3" t="n">
        <v>-0.561595</v>
      </c>
      <c r="G644" s="3" t="n"/>
      <c r="H644" s="3" t="n"/>
      <c r="I644" s="3" t="n">
        <v>0.0122916</v>
      </c>
      <c r="J644" s="3" t="n">
        <v>-0.961738</v>
      </c>
      <c r="K644" s="3" t="n">
        <v>-0.174459</v>
      </c>
      <c r="L644" s="3" t="n">
        <v>-1.28082</v>
      </c>
      <c r="M644" s="3" t="n">
        <v>-0.0393695</v>
      </c>
      <c r="N644" s="3" t="inlineStr">
        <is>
          <t>C4</t>
        </is>
      </c>
      <c r="O644" s="3" t="inlineStr">
        <is>
          <t>si</t>
        </is>
      </c>
      <c r="P644" s="3" t="inlineStr">
        <is>
          <t>no_vota</t>
        </is>
      </c>
      <c r="Q644" s="3" t="inlineStr">
        <is>
          <t>panel_covariables</t>
        </is>
      </c>
      <c r="R644" s="3" t="n"/>
      <c r="S644" s="3" t="inlineStr">
        <is>
          <t>contraste regional (R6); no vota</t>
        </is>
      </c>
      <c r="T644" s="3" t="inlineStr">
        <is>
          <t>output/v8/F5/atribucion_combinada.csv</t>
        </is>
      </c>
      <c r="U644" s="2">
        <f>IF(R644=0,"",F644/R644)</f>
        <v/>
      </c>
      <c r="V644" s="2">
        <f>SUMIFS(F$2:F$1589,A$2:A$1589,A644,C$2:C$1589,C644,E$2:E$1589,E644,Q$2:Q$1589,Q644)</f>
        <v/>
      </c>
    </row>
    <row r="645">
      <c r="A645" s="3" t="inlineStr">
        <is>
          <t>compra</t>
        </is>
      </c>
      <c r="B645" s="3" t="inlineStr">
        <is>
          <t>ccaa:09</t>
        </is>
      </c>
      <c r="C645" s="3" t="inlineStr">
        <is>
          <t>P2</t>
        </is>
      </c>
      <c r="D645" s="3" t="inlineStr">
        <is>
          <t>residuo</t>
        </is>
      </c>
      <c r="E645" s="3" t="inlineStr">
        <is>
          <t>regional_panel</t>
        </is>
      </c>
      <c r="F645" s="3" t="n">
        <v>-10.4405</v>
      </c>
      <c r="G645" s="3" t="n"/>
      <c r="H645" s="3" t="n"/>
      <c r="I645" s="3" t="n">
        <v>0.228511</v>
      </c>
      <c r="J645" s="3" t="n">
        <v>-15.999</v>
      </c>
      <c r="K645" s="3" t="n">
        <v>-6.31436</v>
      </c>
      <c r="L645" s="3" t="n">
        <v>-20.1718</v>
      </c>
      <c r="M645" s="3" t="n">
        <v>-3.25025</v>
      </c>
      <c r="N645" s="3" t="inlineStr">
        <is>
          <t>C4</t>
        </is>
      </c>
      <c r="O645" s="3" t="inlineStr">
        <is>
          <t>no</t>
        </is>
      </c>
      <c r="P645" s="3" t="inlineStr">
        <is>
          <t>no_compite</t>
        </is>
      </c>
      <c r="Q645" s="3" t="inlineStr">
        <is>
          <t>panel_covariables</t>
        </is>
      </c>
      <c r="R645" s="3" t="n"/>
      <c r="S645" s="3" t="inlineStr">
        <is>
          <t>contraste regional (R6); no vota</t>
        </is>
      </c>
      <c r="T645" s="3" t="inlineStr">
        <is>
          <t>output/v8/F5/atribucion_combinada.csv</t>
        </is>
      </c>
      <c r="U645" s="2">
        <f>IF(R645=0,"",F645/R645)</f>
        <v/>
      </c>
      <c r="V645" s="2">
        <f>SUMIFS(F$2:F$1589,A$2:A$1589,A645,C$2:C$1589,C645,E$2:E$1589,E645,Q$2:Q$1589,Q645)</f>
        <v/>
      </c>
    </row>
    <row r="646">
      <c r="A646" s="3" t="inlineStr">
        <is>
          <t>compra</t>
        </is>
      </c>
      <c r="B646" s="3" t="inlineStr">
        <is>
          <t>ccaa:10</t>
        </is>
      </c>
      <c r="C646" s="3" t="inlineStr">
        <is>
          <t>P2</t>
        </is>
      </c>
      <c r="D646" s="3" t="inlineStr">
        <is>
          <t>factor_comun</t>
        </is>
      </c>
      <c r="E646" s="3" t="inlineStr">
        <is>
          <t>regional_panel</t>
        </is>
      </c>
      <c r="F646" s="3" t="n">
        <v>-35.0812</v>
      </c>
      <c r="G646" s="3" t="n"/>
      <c r="H646" s="3" t="n"/>
      <c r="I646" s="3" t="n">
        <v>0.755544</v>
      </c>
      <c r="J646" s="3" t="n">
        <v>-41.5124</v>
      </c>
      <c r="K646" s="3" t="n">
        <v>-30.6884</v>
      </c>
      <c r="L646" s="3" t="n">
        <v>-45.0398</v>
      </c>
      <c r="M646" s="3" t="n">
        <v>-26.975</v>
      </c>
      <c r="N646" s="3" t="inlineStr">
        <is>
          <t>C4</t>
        </is>
      </c>
      <c r="O646" s="3" t="inlineStr">
        <is>
          <t>no</t>
        </is>
      </c>
      <c r="P646" s="3" t="inlineStr">
        <is>
          <t>no_compite</t>
        </is>
      </c>
      <c r="Q646" s="3" t="inlineStr">
        <is>
          <t>panel_covariables</t>
        </is>
      </c>
      <c r="R646" s="3" t="n"/>
      <c r="S646" s="3" t="inlineStr">
        <is>
          <t>contraste regional (R6); no vota</t>
        </is>
      </c>
      <c r="T646" s="3" t="inlineStr">
        <is>
          <t>output/v8/F5/atribucion_combinada.csv</t>
        </is>
      </c>
      <c r="U646" s="2">
        <f>IF(R646=0,"",F646/R646)</f>
        <v/>
      </c>
      <c r="V646" s="2">
        <f>SUMIFS(F$2:F$1589,A$2:A$1589,A646,C$2:C$1589,C646,E$2:E$1589,E646,Q$2:Q$1589,Q646)</f>
        <v/>
      </c>
    </row>
    <row r="647">
      <c r="A647" s="3" t="inlineStr">
        <is>
          <t>compra</t>
        </is>
      </c>
      <c r="B647" s="3" t="inlineStr">
        <is>
          <t>ccaa:10</t>
        </is>
      </c>
      <c r="C647" s="3" t="inlineStr">
        <is>
          <t>P2</t>
        </is>
      </c>
      <c r="D647" s="3" t="inlineStr">
        <is>
          <t>empleo_renta</t>
        </is>
      </c>
      <c r="E647" s="3" t="inlineStr">
        <is>
          <t>regional_panel</t>
        </is>
      </c>
      <c r="F647" s="3" t="n">
        <v>-1.19872</v>
      </c>
      <c r="G647" s="3" t="n"/>
      <c r="H647" s="3" t="n"/>
      <c r="I647" s="3" t="n">
        <v>0.0258168</v>
      </c>
      <c r="J647" s="3" t="n">
        <v>-2.65026</v>
      </c>
      <c r="K647" s="3" t="n">
        <v>0.281112</v>
      </c>
      <c r="L647" s="3" t="n">
        <v>-3.72656</v>
      </c>
      <c r="M647" s="3" t="n">
        <v>1.03726</v>
      </c>
      <c r="N647" s="3" t="inlineStr">
        <is>
          <t>C4</t>
        </is>
      </c>
      <c r="O647" s="3" t="inlineStr">
        <is>
          <t>si</t>
        </is>
      </c>
      <c r="P647" s="3" t="inlineStr">
        <is>
          <t>no_vota</t>
        </is>
      </c>
      <c r="Q647" s="3" t="inlineStr">
        <is>
          <t>panel_covariables</t>
        </is>
      </c>
      <c r="R647" s="3" t="n"/>
      <c r="S647" s="3" t="inlineStr">
        <is>
          <t>contraste regional (R6); no vota</t>
        </is>
      </c>
      <c r="T647" s="3" t="inlineStr">
        <is>
          <t>output/v8/F5/atribucion_combinada.csv</t>
        </is>
      </c>
      <c r="U647" s="2">
        <f>IF(R647=0,"",F647/R647)</f>
        <v/>
      </c>
      <c r="V647" s="2">
        <f>SUMIFS(F$2:F$1589,A$2:A$1589,A647,C$2:C$1589,C647,E$2:E$1589,E647,Q$2:Q$1589,Q647)</f>
        <v/>
      </c>
    </row>
    <row r="648">
      <c r="A648" s="3" t="inlineStr">
        <is>
          <t>compra</t>
        </is>
      </c>
      <c r="B648" s="3" t="inlineStr">
        <is>
          <t>ccaa:10</t>
        </is>
      </c>
      <c r="C648" s="3" t="inlineStr">
        <is>
          <t>P2</t>
        </is>
      </c>
      <c r="D648" s="3" t="inlineStr">
        <is>
          <t>demografia</t>
        </is>
      </c>
      <c r="E648" s="3" t="inlineStr">
        <is>
          <t>regional_panel</t>
        </is>
      </c>
      <c r="F648" s="3" t="n">
        <v>0.787569</v>
      </c>
      <c r="G648" s="3" t="n"/>
      <c r="H648" s="3" t="n"/>
      <c r="I648" s="3" t="n">
        <v>-0.0169619</v>
      </c>
      <c r="J648" s="3" t="n">
        <v>-1.23382</v>
      </c>
      <c r="K648" s="3" t="n">
        <v>5.87747</v>
      </c>
      <c r="L648" s="3" t="n">
        <v>-2.50378</v>
      </c>
      <c r="M648" s="3" t="n">
        <v>8.9786</v>
      </c>
      <c r="N648" s="3" t="inlineStr">
        <is>
          <t>C4</t>
        </is>
      </c>
      <c r="O648" s="3" t="inlineStr">
        <is>
          <t>si</t>
        </is>
      </c>
      <c r="P648" s="3" t="inlineStr">
        <is>
          <t>no_vota</t>
        </is>
      </c>
      <c r="Q648" s="3" t="inlineStr">
        <is>
          <t>panel_covariables</t>
        </is>
      </c>
      <c r="R648" s="3" t="n"/>
      <c r="S648" s="3" t="inlineStr">
        <is>
          <t>contraste regional (R6); no vota</t>
        </is>
      </c>
      <c r="T648" s="3" t="inlineStr">
        <is>
          <t>output/v8/F5/atribucion_combinada.csv</t>
        </is>
      </c>
      <c r="U648" s="2">
        <f>IF(R648=0,"",F648/R648)</f>
        <v/>
      </c>
      <c r="V648" s="2">
        <f>SUMIFS(F$2:F$1589,A$2:A$1589,A648,C$2:C$1589,C648,E$2:E$1589,E648,Q$2:Q$1589,Q648)</f>
        <v/>
      </c>
    </row>
    <row r="649">
      <c r="A649" s="3" t="inlineStr">
        <is>
          <t>compra</t>
        </is>
      </c>
      <c r="B649" s="3" t="inlineStr">
        <is>
          <t>ccaa:10</t>
        </is>
      </c>
      <c r="C649" s="3" t="inlineStr">
        <is>
          <t>P2</t>
        </is>
      </c>
      <c r="D649" s="3" t="inlineStr">
        <is>
          <t>oferta</t>
        </is>
      </c>
      <c r="E649" s="3" t="inlineStr">
        <is>
          <t>regional_panel</t>
        </is>
      </c>
      <c r="F649" s="3" t="n">
        <v>-0.0558472</v>
      </c>
      <c r="G649" s="3" t="n"/>
      <c r="H649" s="3" t="n"/>
      <c r="I649" s="3" t="n">
        <v>0.00120278</v>
      </c>
      <c r="J649" s="3" t="n">
        <v>-0.503912</v>
      </c>
      <c r="K649" s="3" t="n">
        <v>0.213013</v>
      </c>
      <c r="L649" s="3" t="n">
        <v>-1.02839</v>
      </c>
      <c r="M649" s="3" t="n">
        <v>0.472936</v>
      </c>
      <c r="N649" s="3" t="inlineStr">
        <is>
          <t>C4</t>
        </is>
      </c>
      <c r="O649" s="3" t="inlineStr">
        <is>
          <t>si</t>
        </is>
      </c>
      <c r="P649" s="3" t="inlineStr">
        <is>
          <t>no_vota</t>
        </is>
      </c>
      <c r="Q649" s="3" t="inlineStr">
        <is>
          <t>panel_covariables</t>
        </is>
      </c>
      <c r="R649" s="3" t="n"/>
      <c r="S649" s="3" t="inlineStr">
        <is>
          <t>contraste regional (R6); no vota</t>
        </is>
      </c>
      <c r="T649" s="3" t="inlineStr">
        <is>
          <t>output/v8/F5/atribucion_combinada.csv</t>
        </is>
      </c>
      <c r="U649" s="2">
        <f>IF(R649=0,"",F649/R649)</f>
        <v/>
      </c>
      <c r="V649" s="2">
        <f>SUMIFS(F$2:F$1589,A$2:A$1589,A649,C$2:C$1589,C649,E$2:E$1589,E649,Q$2:Q$1589,Q649)</f>
        <v/>
      </c>
    </row>
    <row r="650">
      <c r="A650" s="3" t="inlineStr">
        <is>
          <t>compra</t>
        </is>
      </c>
      <c r="B650" s="3" t="inlineStr">
        <is>
          <t>ccaa:10</t>
        </is>
      </c>
      <c r="C650" s="3" t="inlineStr">
        <is>
          <t>P2</t>
        </is>
      </c>
      <c r="D650" s="3" t="inlineStr">
        <is>
          <t>demanda_externa</t>
        </is>
      </c>
      <c r="E650" s="3" t="inlineStr">
        <is>
          <t>regional_panel</t>
        </is>
      </c>
      <c r="F650" s="3" t="n">
        <v>-0.531877</v>
      </c>
      <c r="G650" s="3" t="n"/>
      <c r="H650" s="3" t="n"/>
      <c r="I650" s="3" t="n">
        <v>0.0114551</v>
      </c>
      <c r="J650" s="3" t="n">
        <v>-0.926268</v>
      </c>
      <c r="K650" s="3" t="n">
        <v>-0.197097</v>
      </c>
      <c r="L650" s="3" t="n">
        <v>-1.21305</v>
      </c>
      <c r="M650" s="3" t="n">
        <v>-0.098971</v>
      </c>
      <c r="N650" s="3" t="inlineStr">
        <is>
          <t>C4</t>
        </is>
      </c>
      <c r="O650" s="3" t="inlineStr">
        <is>
          <t>si</t>
        </is>
      </c>
      <c r="P650" s="3" t="inlineStr">
        <is>
          <t>no_vota</t>
        </is>
      </c>
      <c r="Q650" s="3" t="inlineStr">
        <is>
          <t>panel_covariables</t>
        </is>
      </c>
      <c r="R650" s="3" t="n"/>
      <c r="S650" s="3" t="inlineStr">
        <is>
          <t>contraste regional (R6); no vota</t>
        </is>
      </c>
      <c r="T650" s="3" t="inlineStr">
        <is>
          <t>output/v8/F5/atribucion_combinada.csv</t>
        </is>
      </c>
      <c r="U650" s="2">
        <f>IF(R650=0,"",F650/R650)</f>
        <v/>
      </c>
      <c r="V650" s="2">
        <f>SUMIFS(F$2:F$1589,A$2:A$1589,A650,C$2:C$1589,C650,E$2:E$1589,E650,Q$2:Q$1589,Q650)</f>
        <v/>
      </c>
    </row>
    <row r="651">
      <c r="A651" s="3" t="inlineStr">
        <is>
          <t>compra</t>
        </is>
      </c>
      <c r="B651" s="3" t="inlineStr">
        <is>
          <t>ccaa:10</t>
        </is>
      </c>
      <c r="C651" s="3" t="inlineStr">
        <is>
          <t>P2</t>
        </is>
      </c>
      <c r="D651" s="3" t="inlineStr">
        <is>
          <t>residuo</t>
        </is>
      </c>
      <c r="E651" s="3" t="inlineStr">
        <is>
          <t>regional_panel</t>
        </is>
      </c>
      <c r="F651" s="3" t="n">
        <v>-10.3516</v>
      </c>
      <c r="G651" s="3" t="n"/>
      <c r="H651" s="3" t="n"/>
      <c r="I651" s="3" t="n">
        <v>0.222943</v>
      </c>
      <c r="J651" s="3" t="n">
        <v>-19.0693</v>
      </c>
      <c r="K651" s="3" t="n">
        <v>-3.55227</v>
      </c>
      <c r="L651" s="3" t="n">
        <v>-23.5505</v>
      </c>
      <c r="M651" s="3" t="n">
        <v>1.77287</v>
      </c>
      <c r="N651" s="3" t="inlineStr">
        <is>
          <t>C4</t>
        </is>
      </c>
      <c r="O651" s="3" t="inlineStr">
        <is>
          <t>no</t>
        </is>
      </c>
      <c r="P651" s="3" t="inlineStr">
        <is>
          <t>no_compite</t>
        </is>
      </c>
      <c r="Q651" s="3" t="inlineStr">
        <is>
          <t>panel_covariables</t>
        </is>
      </c>
      <c r="R651" s="3" t="n"/>
      <c r="S651" s="3" t="inlineStr">
        <is>
          <t>contraste regional (R6); no vota</t>
        </is>
      </c>
      <c r="T651" s="3" t="inlineStr">
        <is>
          <t>output/v8/F5/atribucion_combinada.csv</t>
        </is>
      </c>
      <c r="U651" s="2">
        <f>IF(R651=0,"",F651/R651)</f>
        <v/>
      </c>
      <c r="V651" s="2">
        <f>SUMIFS(F$2:F$1589,A$2:A$1589,A651,C$2:C$1589,C651,E$2:E$1589,E651,Q$2:Q$1589,Q651)</f>
        <v/>
      </c>
    </row>
    <row r="652">
      <c r="A652" s="3" t="inlineStr">
        <is>
          <t>compra</t>
        </is>
      </c>
      <c r="B652" s="3" t="inlineStr">
        <is>
          <t>ccaa:11</t>
        </is>
      </c>
      <c r="C652" s="3" t="inlineStr">
        <is>
          <t>P2</t>
        </is>
      </c>
      <c r="D652" s="3" t="inlineStr">
        <is>
          <t>factor_comun</t>
        </is>
      </c>
      <c r="E652" s="3" t="inlineStr">
        <is>
          <t>regional_panel</t>
        </is>
      </c>
      <c r="F652" s="3" t="n">
        <v>-35.0812</v>
      </c>
      <c r="G652" s="3" t="n"/>
      <c r="H652" s="3" t="n"/>
      <c r="I652" s="3" t="n">
        <v>1.50533</v>
      </c>
      <c r="J652" s="3" t="n">
        <v>-41.5124</v>
      </c>
      <c r="K652" s="3" t="n">
        <v>-30.6884</v>
      </c>
      <c r="L652" s="3" t="n">
        <v>-45.0398</v>
      </c>
      <c r="M652" s="3" t="n">
        <v>-26.975</v>
      </c>
      <c r="N652" s="3" t="inlineStr">
        <is>
          <t>C4</t>
        </is>
      </c>
      <c r="O652" s="3" t="inlineStr">
        <is>
          <t>no</t>
        </is>
      </c>
      <c r="P652" s="3" t="inlineStr">
        <is>
          <t>no_compite</t>
        </is>
      </c>
      <c r="Q652" s="3" t="inlineStr">
        <is>
          <t>panel_covariables</t>
        </is>
      </c>
      <c r="R652" s="3" t="n"/>
      <c r="S652" s="3" t="inlineStr">
        <is>
          <t>contraste regional (R6); no vota</t>
        </is>
      </c>
      <c r="T652" s="3" t="inlineStr">
        <is>
          <t>output/v8/F5/atribucion_combinada.csv</t>
        </is>
      </c>
      <c r="U652" s="2">
        <f>IF(R652=0,"",F652/R652)</f>
        <v/>
      </c>
      <c r="V652" s="2">
        <f>SUMIFS(F$2:F$1589,A$2:A$1589,A652,C$2:C$1589,C652,E$2:E$1589,E652,Q$2:Q$1589,Q652)</f>
        <v/>
      </c>
    </row>
    <row r="653">
      <c r="A653" s="3" t="inlineStr">
        <is>
          <t>compra</t>
        </is>
      </c>
      <c r="B653" s="3" t="inlineStr">
        <is>
          <t>ccaa:11</t>
        </is>
      </c>
      <c r="C653" s="3" t="inlineStr">
        <is>
          <t>P2</t>
        </is>
      </c>
      <c r="D653" s="3" t="inlineStr">
        <is>
          <t>empleo_renta</t>
        </is>
      </c>
      <c r="E653" s="3" t="inlineStr">
        <is>
          <t>regional_panel</t>
        </is>
      </c>
      <c r="F653" s="3" t="n">
        <v>-2.46216</v>
      </c>
      <c r="G653" s="3" t="n"/>
      <c r="H653" s="3" t="n"/>
      <c r="I653" s="3" t="n">
        <v>0.105651</v>
      </c>
      <c r="J653" s="3" t="n">
        <v>-5.34629</v>
      </c>
      <c r="K653" s="3" t="n">
        <v>-0.462536</v>
      </c>
      <c r="L653" s="3" t="n">
        <v>-6.86938</v>
      </c>
      <c r="M653" s="3" t="n">
        <v>0.725901</v>
      </c>
      <c r="N653" s="3" t="inlineStr">
        <is>
          <t>C4</t>
        </is>
      </c>
      <c r="O653" s="3" t="inlineStr">
        <is>
          <t>si</t>
        </is>
      </c>
      <c r="P653" s="3" t="inlineStr">
        <is>
          <t>no_vota</t>
        </is>
      </c>
      <c r="Q653" s="3" t="inlineStr">
        <is>
          <t>panel_covariables</t>
        </is>
      </c>
      <c r="R653" s="3" t="n"/>
      <c r="S653" s="3" t="inlineStr">
        <is>
          <t>contraste regional (R6); no vota</t>
        </is>
      </c>
      <c r="T653" s="3" t="inlineStr">
        <is>
          <t>output/v8/F5/atribucion_combinada.csv</t>
        </is>
      </c>
      <c r="U653" s="2">
        <f>IF(R653=0,"",F653/R653)</f>
        <v/>
      </c>
      <c r="V653" s="2">
        <f>SUMIFS(F$2:F$1589,A$2:A$1589,A653,C$2:C$1589,C653,E$2:E$1589,E653,Q$2:Q$1589,Q653)</f>
        <v/>
      </c>
    </row>
    <row r="654">
      <c r="A654" s="3" t="inlineStr">
        <is>
          <t>compra</t>
        </is>
      </c>
      <c r="B654" s="3" t="inlineStr">
        <is>
          <t>ccaa:11</t>
        </is>
      </c>
      <c r="C654" s="3" t="inlineStr">
        <is>
          <t>P2</t>
        </is>
      </c>
      <c r="D654" s="3" t="inlineStr">
        <is>
          <t>demografia</t>
        </is>
      </c>
      <c r="E654" s="3" t="inlineStr">
        <is>
          <t>regional_panel</t>
        </is>
      </c>
      <c r="F654" s="3" t="n">
        <v>0.635068</v>
      </c>
      <c r="G654" s="3" t="n"/>
      <c r="H654" s="3" t="n"/>
      <c r="I654" s="3" t="n">
        <v>-0.0272506</v>
      </c>
      <c r="J654" s="3" t="n">
        <v>-1.47598</v>
      </c>
      <c r="K654" s="3" t="n">
        <v>0.932381</v>
      </c>
      <c r="L654" s="3" t="n">
        <v>-2.8882</v>
      </c>
      <c r="M654" s="3" t="n">
        <v>1.62</v>
      </c>
      <c r="N654" s="3" t="inlineStr">
        <is>
          <t>C4</t>
        </is>
      </c>
      <c r="O654" s="3" t="inlineStr">
        <is>
          <t>si</t>
        </is>
      </c>
      <c r="P654" s="3" t="inlineStr">
        <is>
          <t>no_vota</t>
        </is>
      </c>
      <c r="Q654" s="3" t="inlineStr">
        <is>
          <t>panel_covariables</t>
        </is>
      </c>
      <c r="R654" s="3" t="n"/>
      <c r="S654" s="3" t="inlineStr">
        <is>
          <t>contraste regional (R6); no vota</t>
        </is>
      </c>
      <c r="T654" s="3" t="inlineStr">
        <is>
          <t>output/v8/F5/atribucion_combinada.csv</t>
        </is>
      </c>
      <c r="U654" s="2">
        <f>IF(R654=0,"",F654/R654)</f>
        <v/>
      </c>
      <c r="V654" s="2">
        <f>SUMIFS(F$2:F$1589,A$2:A$1589,A654,C$2:C$1589,C654,E$2:E$1589,E654,Q$2:Q$1589,Q654)</f>
        <v/>
      </c>
    </row>
    <row r="655">
      <c r="A655" s="3" t="inlineStr">
        <is>
          <t>compra</t>
        </is>
      </c>
      <c r="B655" s="3" t="inlineStr">
        <is>
          <t>ccaa:11</t>
        </is>
      </c>
      <c r="C655" s="3" t="inlineStr">
        <is>
          <t>P2</t>
        </is>
      </c>
      <c r="D655" s="3" t="inlineStr">
        <is>
          <t>oferta</t>
        </is>
      </c>
      <c r="E655" s="3" t="inlineStr">
        <is>
          <t>regional_panel</t>
        </is>
      </c>
      <c r="F655" s="3" t="n">
        <v>-0.0495749</v>
      </c>
      <c r="G655" s="3" t="n"/>
      <c r="H655" s="3" t="n"/>
      <c r="I655" s="3" t="n">
        <v>0.00212725</v>
      </c>
      <c r="J655" s="3" t="n">
        <v>-0.458786</v>
      </c>
      <c r="K655" s="3" t="n">
        <v>0.23868</v>
      </c>
      <c r="L655" s="3" t="n">
        <v>-0.821807</v>
      </c>
      <c r="M655" s="3" t="n">
        <v>0.444344</v>
      </c>
      <c r="N655" s="3" t="inlineStr">
        <is>
          <t>C4</t>
        </is>
      </c>
      <c r="O655" s="3" t="inlineStr">
        <is>
          <t>si</t>
        </is>
      </c>
      <c r="P655" s="3" t="inlineStr">
        <is>
          <t>no_vota</t>
        </is>
      </c>
      <c r="Q655" s="3" t="inlineStr">
        <is>
          <t>panel_covariables</t>
        </is>
      </c>
      <c r="R655" s="3" t="n"/>
      <c r="S655" s="3" t="inlineStr">
        <is>
          <t>contraste regional (R6); no vota</t>
        </is>
      </c>
      <c r="T655" s="3" t="inlineStr">
        <is>
          <t>output/v8/F5/atribucion_combinada.csv</t>
        </is>
      </c>
      <c r="U655" s="2">
        <f>IF(R655=0,"",F655/R655)</f>
        <v/>
      </c>
      <c r="V655" s="2">
        <f>SUMIFS(F$2:F$1589,A$2:A$1589,A655,C$2:C$1589,C655,E$2:E$1589,E655,Q$2:Q$1589,Q655)</f>
        <v/>
      </c>
    </row>
    <row r="656">
      <c r="A656" s="3" t="inlineStr">
        <is>
          <t>compra</t>
        </is>
      </c>
      <c r="B656" s="3" t="inlineStr">
        <is>
          <t>ccaa:11</t>
        </is>
      </c>
      <c r="C656" s="3" t="inlineStr">
        <is>
          <t>P2</t>
        </is>
      </c>
      <c r="D656" s="3" t="inlineStr">
        <is>
          <t>demanda_externa</t>
        </is>
      </c>
      <c r="E656" s="3" t="inlineStr">
        <is>
          <t>regional_panel</t>
        </is>
      </c>
      <c r="F656" s="3" t="n">
        <v>1.13961</v>
      </c>
      <c r="G656" s="3" t="n"/>
      <c r="H656" s="3" t="n"/>
      <c r="I656" s="3" t="n">
        <v>-0.0489005</v>
      </c>
      <c r="J656" s="3" t="n">
        <v>0.119094</v>
      </c>
      <c r="K656" s="3" t="n">
        <v>3.21295</v>
      </c>
      <c r="L656" s="3" t="n">
        <v>-0.167375</v>
      </c>
      <c r="M656" s="3" t="n">
        <v>5.19023</v>
      </c>
      <c r="N656" s="3" t="inlineStr">
        <is>
          <t>C4</t>
        </is>
      </c>
      <c r="O656" s="3" t="inlineStr">
        <is>
          <t>si</t>
        </is>
      </c>
      <c r="P656" s="3" t="inlineStr">
        <is>
          <t>no_vota</t>
        </is>
      </c>
      <c r="Q656" s="3" t="inlineStr">
        <is>
          <t>panel_covariables</t>
        </is>
      </c>
      <c r="R656" s="3" t="n"/>
      <c r="S656" s="3" t="inlineStr">
        <is>
          <t>contraste regional (R6); no vota</t>
        </is>
      </c>
      <c r="T656" s="3" t="inlineStr">
        <is>
          <t>output/v8/F5/atribucion_combinada.csv</t>
        </is>
      </c>
      <c r="U656" s="2">
        <f>IF(R656=0,"",F656/R656)</f>
        <v/>
      </c>
      <c r="V656" s="2">
        <f>SUMIFS(F$2:F$1589,A$2:A$1589,A656,C$2:C$1589,C656,E$2:E$1589,E656,Q$2:Q$1589,Q656)</f>
        <v/>
      </c>
    </row>
    <row r="657">
      <c r="A657" s="3" t="inlineStr">
        <is>
          <t>compra</t>
        </is>
      </c>
      <c r="B657" s="3" t="inlineStr">
        <is>
          <t>ccaa:11</t>
        </is>
      </c>
      <c r="C657" s="3" t="inlineStr">
        <is>
          <t>P2</t>
        </is>
      </c>
      <c r="D657" s="3" t="inlineStr">
        <is>
          <t>residuo</t>
        </is>
      </c>
      <c r="E657" s="3" t="inlineStr">
        <is>
          <t>regional_panel</t>
        </is>
      </c>
      <c r="F657" s="3" t="n">
        <v>12.5136</v>
      </c>
      <c r="G657" s="3" t="n"/>
      <c r="H657" s="3" t="n"/>
      <c r="I657" s="3" t="n">
        <v>-0.536955</v>
      </c>
      <c r="J657" s="3" t="n">
        <v>7.27304</v>
      </c>
      <c r="K657" s="3" t="n">
        <v>20.3151</v>
      </c>
      <c r="L657" s="3" t="n">
        <v>3.26352</v>
      </c>
      <c r="M657" s="3" t="n">
        <v>25.0553</v>
      </c>
      <c r="N657" s="3" t="inlineStr">
        <is>
          <t>C4</t>
        </is>
      </c>
      <c r="O657" s="3" t="inlineStr">
        <is>
          <t>no</t>
        </is>
      </c>
      <c r="P657" s="3" t="inlineStr">
        <is>
          <t>no_compite</t>
        </is>
      </c>
      <c r="Q657" s="3" t="inlineStr">
        <is>
          <t>panel_covariables</t>
        </is>
      </c>
      <c r="R657" s="3" t="n"/>
      <c r="S657" s="3" t="inlineStr">
        <is>
          <t>contraste regional (R6); no vota</t>
        </is>
      </c>
      <c r="T657" s="3" t="inlineStr">
        <is>
          <t>output/v8/F5/atribucion_combinada.csv</t>
        </is>
      </c>
      <c r="U657" s="2">
        <f>IF(R657=0,"",F657/R657)</f>
        <v/>
      </c>
      <c r="V657" s="2">
        <f>SUMIFS(F$2:F$1589,A$2:A$1589,A657,C$2:C$1589,C657,E$2:E$1589,E657,Q$2:Q$1589,Q657)</f>
        <v/>
      </c>
    </row>
    <row r="658">
      <c r="A658" s="3" t="inlineStr">
        <is>
          <t>compra</t>
        </is>
      </c>
      <c r="B658" s="3" t="inlineStr">
        <is>
          <t>ccaa:12</t>
        </is>
      </c>
      <c r="C658" s="3" t="inlineStr">
        <is>
          <t>P2</t>
        </is>
      </c>
      <c r="D658" s="3" t="inlineStr">
        <is>
          <t>factor_comun</t>
        </is>
      </c>
      <c r="E658" s="3" t="inlineStr">
        <is>
          <t>regional_panel</t>
        </is>
      </c>
      <c r="F658" s="3" t="n">
        <v>-35.0812</v>
      </c>
      <c r="G658" s="3" t="n"/>
      <c r="H658" s="3" t="n"/>
      <c r="I658" s="3" t="n">
        <v>1.05177</v>
      </c>
      <c r="J658" s="3" t="n">
        <v>-41.5124</v>
      </c>
      <c r="K658" s="3" t="n">
        <v>-30.6884</v>
      </c>
      <c r="L658" s="3" t="n">
        <v>-45.0398</v>
      </c>
      <c r="M658" s="3" t="n">
        <v>-26.975</v>
      </c>
      <c r="N658" s="3" t="inlineStr">
        <is>
          <t>C4</t>
        </is>
      </c>
      <c r="O658" s="3" t="inlineStr">
        <is>
          <t>no</t>
        </is>
      </c>
      <c r="P658" s="3" t="inlineStr">
        <is>
          <t>no_compite</t>
        </is>
      </c>
      <c r="Q658" s="3" t="inlineStr">
        <is>
          <t>panel_covariables</t>
        </is>
      </c>
      <c r="R658" s="3" t="n"/>
      <c r="S658" s="3" t="inlineStr">
        <is>
          <t>contraste regional (R6); no vota</t>
        </is>
      </c>
      <c r="T658" s="3" t="inlineStr">
        <is>
          <t>output/v8/F5/atribucion_combinada.csv</t>
        </is>
      </c>
      <c r="U658" s="2">
        <f>IF(R658=0,"",F658/R658)</f>
        <v/>
      </c>
      <c r="V658" s="2">
        <f>SUMIFS(F$2:F$1589,A$2:A$1589,A658,C$2:C$1589,C658,E$2:E$1589,E658,Q$2:Q$1589,Q658)</f>
        <v/>
      </c>
    </row>
    <row r="659">
      <c r="A659" s="3" t="inlineStr">
        <is>
          <t>compra</t>
        </is>
      </c>
      <c r="B659" s="3" t="inlineStr">
        <is>
          <t>ccaa:12</t>
        </is>
      </c>
      <c r="C659" s="3" t="inlineStr">
        <is>
          <t>P2</t>
        </is>
      </c>
      <c r="D659" s="3" t="inlineStr">
        <is>
          <t>empleo_renta</t>
        </is>
      </c>
      <c r="E659" s="3" t="inlineStr">
        <is>
          <t>regional_panel</t>
        </is>
      </c>
      <c r="F659" s="3" t="n">
        <v>-1.15942</v>
      </c>
      <c r="G659" s="3" t="n"/>
      <c r="H659" s="3" t="n"/>
      <c r="I659" s="3" t="n">
        <v>0.0347607</v>
      </c>
      <c r="J659" s="3" t="n">
        <v>-2.22439</v>
      </c>
      <c r="K659" s="3" t="n">
        <v>0.234173</v>
      </c>
      <c r="L659" s="3" t="n">
        <v>-3.12837</v>
      </c>
      <c r="M659" s="3" t="n">
        <v>0.95668</v>
      </c>
      <c r="N659" s="3" t="inlineStr">
        <is>
          <t>C4</t>
        </is>
      </c>
      <c r="O659" s="3" t="inlineStr">
        <is>
          <t>si</t>
        </is>
      </c>
      <c r="P659" s="3" t="inlineStr">
        <is>
          <t>no_vota</t>
        </is>
      </c>
      <c r="Q659" s="3" t="inlineStr">
        <is>
          <t>panel_covariables</t>
        </is>
      </c>
      <c r="R659" s="3" t="n"/>
      <c r="S659" s="3" t="inlineStr">
        <is>
          <t>contraste regional (R6); no vota</t>
        </is>
      </c>
      <c r="T659" s="3" t="inlineStr">
        <is>
          <t>output/v8/F5/atribucion_combinada.csv</t>
        </is>
      </c>
      <c r="U659" s="2">
        <f>IF(R659=0,"",F659/R659)</f>
        <v/>
      </c>
      <c r="V659" s="2">
        <f>SUMIFS(F$2:F$1589,A$2:A$1589,A659,C$2:C$1589,C659,E$2:E$1589,E659,Q$2:Q$1589,Q659)</f>
        <v/>
      </c>
    </row>
    <row r="660">
      <c r="A660" s="3" t="inlineStr">
        <is>
          <t>compra</t>
        </is>
      </c>
      <c r="B660" s="3" t="inlineStr">
        <is>
          <t>ccaa:12</t>
        </is>
      </c>
      <c r="C660" s="3" t="inlineStr">
        <is>
          <t>P2</t>
        </is>
      </c>
      <c r="D660" s="3" t="inlineStr">
        <is>
          <t>demografia</t>
        </is>
      </c>
      <c r="E660" s="3" t="inlineStr">
        <is>
          <t>regional_panel</t>
        </is>
      </c>
      <c r="F660" s="3" t="n">
        <v>-0.202006</v>
      </c>
      <c r="G660" s="3" t="n"/>
      <c r="H660" s="3" t="n"/>
      <c r="I660" s="3" t="n">
        <v>0.00605636</v>
      </c>
      <c r="J660" s="3" t="n">
        <v>-1.58715</v>
      </c>
      <c r="K660" s="3" t="n">
        <v>0.109334</v>
      </c>
      <c r="L660" s="3" t="n">
        <v>-2.28144</v>
      </c>
      <c r="M660" s="3" t="n">
        <v>0.698147</v>
      </c>
      <c r="N660" s="3" t="inlineStr">
        <is>
          <t>C4</t>
        </is>
      </c>
      <c r="O660" s="3" t="inlineStr">
        <is>
          <t>si</t>
        </is>
      </c>
      <c r="P660" s="3" t="inlineStr">
        <is>
          <t>no_vota</t>
        </is>
      </c>
      <c r="Q660" s="3" t="inlineStr">
        <is>
          <t>panel_covariables</t>
        </is>
      </c>
      <c r="R660" s="3" t="n"/>
      <c r="S660" s="3" t="inlineStr">
        <is>
          <t>contraste regional (R6); no vota</t>
        </is>
      </c>
      <c r="T660" s="3" t="inlineStr">
        <is>
          <t>output/v8/F5/atribucion_combinada.csv</t>
        </is>
      </c>
      <c r="U660" s="2">
        <f>IF(R660=0,"",F660/R660)</f>
        <v/>
      </c>
      <c r="V660" s="2">
        <f>SUMIFS(F$2:F$1589,A$2:A$1589,A660,C$2:C$1589,C660,E$2:E$1589,E660,Q$2:Q$1589,Q660)</f>
        <v/>
      </c>
    </row>
    <row r="661">
      <c r="A661" s="3" t="inlineStr">
        <is>
          <t>compra</t>
        </is>
      </c>
      <c r="B661" s="3" t="inlineStr">
        <is>
          <t>ccaa:12</t>
        </is>
      </c>
      <c r="C661" s="3" t="inlineStr">
        <is>
          <t>P2</t>
        </is>
      </c>
      <c r="D661" s="3" t="inlineStr">
        <is>
          <t>oferta</t>
        </is>
      </c>
      <c r="E661" s="3" t="inlineStr">
        <is>
          <t>regional_panel</t>
        </is>
      </c>
      <c r="F661" s="3" t="n">
        <v>-0.0652306</v>
      </c>
      <c r="G661" s="3" t="n"/>
      <c r="H661" s="3" t="n"/>
      <c r="I661" s="3" t="n">
        <v>0.00195568</v>
      </c>
      <c r="J661" s="3" t="n">
        <v>-0.517265</v>
      </c>
      <c r="K661" s="3" t="n">
        <v>0.366</v>
      </c>
      <c r="L661" s="3" t="n">
        <v>-0.854539</v>
      </c>
      <c r="M661" s="3" t="n">
        <v>0.739692</v>
      </c>
      <c r="N661" s="3" t="inlineStr">
        <is>
          <t>C4</t>
        </is>
      </c>
      <c r="O661" s="3" t="inlineStr">
        <is>
          <t>si</t>
        </is>
      </c>
      <c r="P661" s="3" t="inlineStr">
        <is>
          <t>no_vota</t>
        </is>
      </c>
      <c r="Q661" s="3" t="inlineStr">
        <is>
          <t>panel_covariables</t>
        </is>
      </c>
      <c r="R661" s="3" t="n"/>
      <c r="S661" s="3" t="inlineStr">
        <is>
          <t>contraste regional (R6); no vota</t>
        </is>
      </c>
      <c r="T661" s="3" t="inlineStr">
        <is>
          <t>output/v8/F5/atribucion_combinada.csv</t>
        </is>
      </c>
      <c r="U661" s="2">
        <f>IF(R661=0,"",F661/R661)</f>
        <v/>
      </c>
      <c r="V661" s="2">
        <f>SUMIFS(F$2:F$1589,A$2:A$1589,A661,C$2:C$1589,C661,E$2:E$1589,E661,Q$2:Q$1589,Q661)</f>
        <v/>
      </c>
    </row>
    <row r="662">
      <c r="A662" s="3" t="inlineStr">
        <is>
          <t>compra</t>
        </is>
      </c>
      <c r="B662" s="3" t="inlineStr">
        <is>
          <t>ccaa:12</t>
        </is>
      </c>
      <c r="C662" s="3" t="inlineStr">
        <is>
          <t>P2</t>
        </is>
      </c>
      <c r="D662" s="3" t="inlineStr">
        <is>
          <t>demanda_externa</t>
        </is>
      </c>
      <c r="E662" s="3" t="inlineStr">
        <is>
          <t>regional_panel</t>
        </is>
      </c>
      <c r="F662" s="3" t="n">
        <v>0.761556</v>
      </c>
      <c r="G662" s="3" t="n"/>
      <c r="H662" s="3" t="n"/>
      <c r="I662" s="3" t="n">
        <v>-0.0228322</v>
      </c>
      <c r="J662" s="3" t="n">
        <v>0.102596</v>
      </c>
      <c r="K662" s="3" t="n">
        <v>2.05854</v>
      </c>
      <c r="L662" s="3" t="n">
        <v>-0.06695329999999999</v>
      </c>
      <c r="M662" s="3" t="n">
        <v>2.93985</v>
      </c>
      <c r="N662" s="3" t="inlineStr">
        <is>
          <t>C4</t>
        </is>
      </c>
      <c r="O662" s="3" t="inlineStr">
        <is>
          <t>si</t>
        </is>
      </c>
      <c r="P662" s="3" t="inlineStr">
        <is>
          <t>no_vota</t>
        </is>
      </c>
      <c r="Q662" s="3" t="inlineStr">
        <is>
          <t>panel_covariables</t>
        </is>
      </c>
      <c r="R662" s="3" t="n"/>
      <c r="S662" s="3" t="inlineStr">
        <is>
          <t>contraste regional (R6); no vota</t>
        </is>
      </c>
      <c r="T662" s="3" t="inlineStr">
        <is>
          <t>output/v8/F5/atribucion_combinada.csv</t>
        </is>
      </c>
      <c r="U662" s="2">
        <f>IF(R662=0,"",F662/R662)</f>
        <v/>
      </c>
      <c r="V662" s="2">
        <f>SUMIFS(F$2:F$1589,A$2:A$1589,A662,C$2:C$1589,C662,E$2:E$1589,E662,Q$2:Q$1589,Q662)</f>
        <v/>
      </c>
    </row>
    <row r="663">
      <c r="A663" s="3" t="inlineStr">
        <is>
          <t>compra</t>
        </is>
      </c>
      <c r="B663" s="3" t="inlineStr">
        <is>
          <t>ccaa:12</t>
        </is>
      </c>
      <c r="C663" s="3" t="inlineStr">
        <is>
          <t>P2</t>
        </is>
      </c>
      <c r="D663" s="3" t="inlineStr">
        <is>
          <t>residuo</t>
        </is>
      </c>
      <c r="E663" s="3" t="inlineStr">
        <is>
          <t>regional_panel</t>
        </is>
      </c>
      <c r="F663" s="3" t="n">
        <v>2.39185</v>
      </c>
      <c r="G663" s="3" t="n"/>
      <c r="H663" s="3" t="n"/>
      <c r="I663" s="3" t="n">
        <v>-0.0717103</v>
      </c>
      <c r="J663" s="3" t="n">
        <v>-0.22948</v>
      </c>
      <c r="K663" s="3" t="n">
        <v>6.97205</v>
      </c>
      <c r="L663" s="3" t="n">
        <v>-2.89538</v>
      </c>
      <c r="M663" s="3" t="n">
        <v>8.91315</v>
      </c>
      <c r="N663" s="3" t="inlineStr">
        <is>
          <t>C4</t>
        </is>
      </c>
      <c r="O663" s="3" t="inlineStr">
        <is>
          <t>no</t>
        </is>
      </c>
      <c r="P663" s="3" t="inlineStr">
        <is>
          <t>no_compite</t>
        </is>
      </c>
      <c r="Q663" s="3" t="inlineStr">
        <is>
          <t>panel_covariables</t>
        </is>
      </c>
      <c r="R663" s="3" t="n"/>
      <c r="S663" s="3" t="inlineStr">
        <is>
          <t>contraste regional (R6); no vota</t>
        </is>
      </c>
      <c r="T663" s="3" t="inlineStr">
        <is>
          <t>output/v8/F5/atribucion_combinada.csv</t>
        </is>
      </c>
      <c r="U663" s="2">
        <f>IF(R663=0,"",F663/R663)</f>
        <v/>
      </c>
      <c r="V663" s="2">
        <f>SUMIFS(F$2:F$1589,A$2:A$1589,A663,C$2:C$1589,C663,E$2:E$1589,E663,Q$2:Q$1589,Q663)</f>
        <v/>
      </c>
    </row>
    <row r="664">
      <c r="A664" s="3" t="inlineStr">
        <is>
          <t>compra</t>
        </is>
      </c>
      <c r="B664" s="3" t="inlineStr">
        <is>
          <t>ccaa:13</t>
        </is>
      </c>
      <c r="C664" s="3" t="inlineStr">
        <is>
          <t>P2</t>
        </is>
      </c>
      <c r="D664" s="3" t="inlineStr">
        <is>
          <t>factor_comun</t>
        </is>
      </c>
      <c r="E664" s="3" t="inlineStr">
        <is>
          <t>regional_panel</t>
        </is>
      </c>
      <c r="F664" s="3" t="n">
        <v>-35.0812</v>
      </c>
      <c r="G664" s="3" t="n"/>
      <c r="H664" s="3" t="n"/>
      <c r="I664" s="3" t="n">
        <v>0.780675</v>
      </c>
      <c r="J664" s="3" t="n">
        <v>-41.5124</v>
      </c>
      <c r="K664" s="3" t="n">
        <v>-30.6884</v>
      </c>
      <c r="L664" s="3" t="n">
        <v>-45.0398</v>
      </c>
      <c r="M664" s="3" t="n">
        <v>-26.975</v>
      </c>
      <c r="N664" s="3" t="inlineStr">
        <is>
          <t>C4</t>
        </is>
      </c>
      <c r="O664" s="3" t="inlineStr">
        <is>
          <t>no</t>
        </is>
      </c>
      <c r="P664" s="3" t="inlineStr">
        <is>
          <t>no_compite</t>
        </is>
      </c>
      <c r="Q664" s="3" t="inlineStr">
        <is>
          <t>panel_covariables</t>
        </is>
      </c>
      <c r="R664" s="3" t="n"/>
      <c r="S664" s="3" t="inlineStr">
        <is>
          <t>contraste regional (R6); no vota</t>
        </is>
      </c>
      <c r="T664" s="3" t="inlineStr">
        <is>
          <t>output/v8/F5/atribucion_combinada.csv</t>
        </is>
      </c>
      <c r="U664" s="2">
        <f>IF(R664=0,"",F664/R664)</f>
        <v/>
      </c>
      <c r="V664" s="2">
        <f>SUMIFS(F$2:F$1589,A$2:A$1589,A664,C$2:C$1589,C664,E$2:E$1589,E664,Q$2:Q$1589,Q664)</f>
        <v/>
      </c>
    </row>
    <row r="665">
      <c r="A665" s="3" t="inlineStr">
        <is>
          <t>compra</t>
        </is>
      </c>
      <c r="B665" s="3" t="inlineStr">
        <is>
          <t>ccaa:13</t>
        </is>
      </c>
      <c r="C665" s="3" t="inlineStr">
        <is>
          <t>P2</t>
        </is>
      </c>
      <c r="D665" s="3" t="inlineStr">
        <is>
          <t>empleo_renta</t>
        </is>
      </c>
      <c r="E665" s="3" t="inlineStr">
        <is>
          <t>regional_panel</t>
        </is>
      </c>
      <c r="F665" s="3" t="n">
        <v>-1.05247</v>
      </c>
      <c r="G665" s="3" t="n"/>
      <c r="H665" s="3" t="n"/>
      <c r="I665" s="3" t="n">
        <v>0.0234211</v>
      </c>
      <c r="J665" s="3" t="n">
        <v>-2.05818</v>
      </c>
      <c r="K665" s="3" t="n">
        <v>0.0193504</v>
      </c>
      <c r="L665" s="3" t="n">
        <v>-2.81247</v>
      </c>
      <c r="M665" s="3" t="n">
        <v>0.653603</v>
      </c>
      <c r="N665" s="3" t="inlineStr">
        <is>
          <t>C4</t>
        </is>
      </c>
      <c r="O665" s="3" t="inlineStr">
        <is>
          <t>si</t>
        </is>
      </c>
      <c r="P665" s="3" t="inlineStr">
        <is>
          <t>no_vota</t>
        </is>
      </c>
      <c r="Q665" s="3" t="inlineStr">
        <is>
          <t>panel_covariables</t>
        </is>
      </c>
      <c r="R665" s="3" t="n"/>
      <c r="S665" s="3" t="inlineStr">
        <is>
          <t>contraste regional (R6); no vota</t>
        </is>
      </c>
      <c r="T665" s="3" t="inlineStr">
        <is>
          <t>output/v8/F5/atribucion_combinada.csv</t>
        </is>
      </c>
      <c r="U665" s="2">
        <f>IF(R665=0,"",F665/R665)</f>
        <v/>
      </c>
      <c r="V665" s="2">
        <f>SUMIFS(F$2:F$1589,A$2:A$1589,A665,C$2:C$1589,C665,E$2:E$1589,E665,Q$2:Q$1589,Q665)</f>
        <v/>
      </c>
    </row>
    <row r="666">
      <c r="A666" s="3" t="inlineStr">
        <is>
          <t>compra</t>
        </is>
      </c>
      <c r="B666" s="3" t="inlineStr">
        <is>
          <t>ccaa:13</t>
        </is>
      </c>
      <c r="C666" s="3" t="inlineStr">
        <is>
          <t>P2</t>
        </is>
      </c>
      <c r="D666" s="3" t="inlineStr">
        <is>
          <t>demografia</t>
        </is>
      </c>
      <c r="E666" s="3" t="inlineStr">
        <is>
          <t>regional_panel</t>
        </is>
      </c>
      <c r="F666" s="3" t="n">
        <v>2.41755</v>
      </c>
      <c r="G666" s="3" t="n"/>
      <c r="H666" s="3" t="n"/>
      <c r="I666" s="3" t="n">
        <v>-0.0537987</v>
      </c>
      <c r="J666" s="3" t="n">
        <v>-1.17554</v>
      </c>
      <c r="K666" s="3" t="n">
        <v>11.0719</v>
      </c>
      <c r="L666" s="3" t="n">
        <v>-3.82501</v>
      </c>
      <c r="M666" s="3" t="n">
        <v>17.9138</v>
      </c>
      <c r="N666" s="3" t="inlineStr">
        <is>
          <t>C4</t>
        </is>
      </c>
      <c r="O666" s="3" t="inlineStr">
        <is>
          <t>si</t>
        </is>
      </c>
      <c r="P666" s="3" t="inlineStr">
        <is>
          <t>no_vota</t>
        </is>
      </c>
      <c r="Q666" s="3" t="inlineStr">
        <is>
          <t>panel_covariables</t>
        </is>
      </c>
      <c r="R666" s="3" t="n"/>
      <c r="S666" s="3" t="inlineStr">
        <is>
          <t>contraste regional (R6); no vota</t>
        </is>
      </c>
      <c r="T666" s="3" t="inlineStr">
        <is>
          <t>output/v8/F5/atribucion_combinada.csv</t>
        </is>
      </c>
      <c r="U666" s="2">
        <f>IF(R666=0,"",F666/R666)</f>
        <v/>
      </c>
      <c r="V666" s="2">
        <f>SUMIFS(F$2:F$1589,A$2:A$1589,A666,C$2:C$1589,C666,E$2:E$1589,E666,Q$2:Q$1589,Q666)</f>
        <v/>
      </c>
    </row>
    <row r="667">
      <c r="A667" s="3" t="inlineStr">
        <is>
          <t>compra</t>
        </is>
      </c>
      <c r="B667" s="3" t="inlineStr">
        <is>
          <t>ccaa:13</t>
        </is>
      </c>
      <c r="C667" s="3" t="inlineStr">
        <is>
          <t>P2</t>
        </is>
      </c>
      <c r="D667" s="3" t="inlineStr">
        <is>
          <t>oferta</t>
        </is>
      </c>
      <c r="E667" s="3" t="inlineStr">
        <is>
          <t>regional_panel</t>
        </is>
      </c>
      <c r="F667" s="3" t="n">
        <v>-0.0400412</v>
      </c>
      <c r="G667" s="3" t="n"/>
      <c r="H667" s="3" t="n"/>
      <c r="I667" s="3" t="n">
        <v>0.000891053</v>
      </c>
      <c r="J667" s="3" t="n">
        <v>-0.385534</v>
      </c>
      <c r="K667" s="3" t="n">
        <v>0.16388</v>
      </c>
      <c r="L667" s="3" t="n">
        <v>-0.6672</v>
      </c>
      <c r="M667" s="3" t="n">
        <v>0.430589</v>
      </c>
      <c r="N667" s="3" t="inlineStr">
        <is>
          <t>C4</t>
        </is>
      </c>
      <c r="O667" s="3" t="inlineStr">
        <is>
          <t>si</t>
        </is>
      </c>
      <c r="P667" s="3" t="inlineStr">
        <is>
          <t>no_vota</t>
        </is>
      </c>
      <c r="Q667" s="3" t="inlineStr">
        <is>
          <t>panel_covariables</t>
        </is>
      </c>
      <c r="R667" s="3" t="n"/>
      <c r="S667" s="3" t="inlineStr">
        <is>
          <t>contraste regional (R6); no vota</t>
        </is>
      </c>
      <c r="T667" s="3" t="inlineStr">
        <is>
          <t>output/v8/F5/atribucion_combinada.csv</t>
        </is>
      </c>
      <c r="U667" s="2">
        <f>IF(R667=0,"",F667/R667)</f>
        <v/>
      </c>
      <c r="V667" s="2">
        <f>SUMIFS(F$2:F$1589,A$2:A$1589,A667,C$2:C$1589,C667,E$2:E$1589,E667,Q$2:Q$1589,Q667)</f>
        <v/>
      </c>
    </row>
    <row r="668">
      <c r="A668" s="3" t="inlineStr">
        <is>
          <t>compra</t>
        </is>
      </c>
      <c r="B668" s="3" t="inlineStr">
        <is>
          <t>ccaa:13</t>
        </is>
      </c>
      <c r="C668" s="3" t="inlineStr">
        <is>
          <t>P2</t>
        </is>
      </c>
      <c r="D668" s="3" t="inlineStr">
        <is>
          <t>demanda_externa</t>
        </is>
      </c>
      <c r="E668" s="3" t="inlineStr">
        <is>
          <t>regional_panel</t>
        </is>
      </c>
      <c r="F668" s="3" t="n">
        <v>-0.433083</v>
      </c>
      <c r="G668" s="3" t="n"/>
      <c r="H668" s="3" t="n"/>
      <c r="I668" s="3" t="n">
        <v>0.00963757</v>
      </c>
      <c r="J668" s="3" t="n">
        <v>-0.808622</v>
      </c>
      <c r="K668" s="3" t="n">
        <v>0.325284</v>
      </c>
      <c r="L668" s="3" t="n">
        <v>-1.14351</v>
      </c>
      <c r="M668" s="3" t="n">
        <v>0.841261</v>
      </c>
      <c r="N668" s="3" t="inlineStr">
        <is>
          <t>C4</t>
        </is>
      </c>
      <c r="O668" s="3" t="inlineStr">
        <is>
          <t>si</t>
        </is>
      </c>
      <c r="P668" s="3" t="inlineStr">
        <is>
          <t>no_vota</t>
        </is>
      </c>
      <c r="Q668" s="3" t="inlineStr">
        <is>
          <t>panel_covariables</t>
        </is>
      </c>
      <c r="R668" s="3" t="n"/>
      <c r="S668" s="3" t="inlineStr">
        <is>
          <t>contraste regional (R6); no vota</t>
        </is>
      </c>
      <c r="T668" s="3" t="inlineStr">
        <is>
          <t>output/v8/F5/atribucion_combinada.csv</t>
        </is>
      </c>
      <c r="U668" s="2">
        <f>IF(R668=0,"",F668/R668)</f>
        <v/>
      </c>
      <c r="V668" s="2">
        <f>SUMIFS(F$2:F$1589,A$2:A$1589,A668,C$2:C$1589,C668,E$2:E$1589,E668,Q$2:Q$1589,Q668)</f>
        <v/>
      </c>
    </row>
    <row r="669">
      <c r="A669" s="3" t="inlineStr">
        <is>
          <t>compra</t>
        </is>
      </c>
      <c r="B669" s="3" t="inlineStr">
        <is>
          <t>ccaa:13</t>
        </is>
      </c>
      <c r="C669" s="3" t="inlineStr">
        <is>
          <t>P2</t>
        </is>
      </c>
      <c r="D669" s="3" t="inlineStr">
        <is>
          <t>residuo</t>
        </is>
      </c>
      <c r="E669" s="3" t="inlineStr">
        <is>
          <t>regional_panel</t>
        </is>
      </c>
      <c r="F669" s="3" t="n">
        <v>-10.7477</v>
      </c>
      <c r="G669" s="3" t="n"/>
      <c r="H669" s="3" t="n"/>
      <c r="I669" s="3" t="n">
        <v>0.239174</v>
      </c>
      <c r="J669" s="3" t="n">
        <v>-24.1858</v>
      </c>
      <c r="K669" s="3" t="n">
        <v>-0.805508</v>
      </c>
      <c r="L669" s="3" t="n">
        <v>-33.8198</v>
      </c>
      <c r="M669" s="3" t="n">
        <v>6.46866</v>
      </c>
      <c r="N669" s="3" t="inlineStr">
        <is>
          <t>C4</t>
        </is>
      </c>
      <c r="O669" s="3" t="inlineStr">
        <is>
          <t>no</t>
        </is>
      </c>
      <c r="P669" s="3" t="inlineStr">
        <is>
          <t>no_compite</t>
        </is>
      </c>
      <c r="Q669" s="3" t="inlineStr">
        <is>
          <t>panel_covariables</t>
        </is>
      </c>
      <c r="R669" s="3" t="n"/>
      <c r="S669" s="3" t="inlineStr">
        <is>
          <t>contraste regional (R6); no vota</t>
        </is>
      </c>
      <c r="T669" s="3" t="inlineStr">
        <is>
          <t>output/v8/F5/atribucion_combinada.csv</t>
        </is>
      </c>
      <c r="U669" s="2">
        <f>IF(R669=0,"",F669/R669)</f>
        <v/>
      </c>
      <c r="V669" s="2">
        <f>SUMIFS(F$2:F$1589,A$2:A$1589,A669,C$2:C$1589,C669,E$2:E$1589,E669,Q$2:Q$1589,Q669)</f>
        <v/>
      </c>
    </row>
    <row r="670">
      <c r="A670" s="3" t="inlineStr">
        <is>
          <t>compra</t>
        </is>
      </c>
      <c r="B670" s="3" t="inlineStr">
        <is>
          <t>ccaa:14</t>
        </is>
      </c>
      <c r="C670" s="3" t="inlineStr">
        <is>
          <t>P2</t>
        </is>
      </c>
      <c r="D670" s="3" t="inlineStr">
        <is>
          <t>factor_comun</t>
        </is>
      </c>
      <c r="E670" s="3" t="inlineStr">
        <is>
          <t>regional_panel</t>
        </is>
      </c>
      <c r="F670" s="3" t="n">
        <v>-35.0812</v>
      </c>
      <c r="G670" s="3" t="n"/>
      <c r="H670" s="3" t="n"/>
      <c r="I670" s="3" t="n">
        <v>0.700021</v>
      </c>
      <c r="J670" s="3" t="n">
        <v>-41.5124</v>
      </c>
      <c r="K670" s="3" t="n">
        <v>-30.6884</v>
      </c>
      <c r="L670" s="3" t="n">
        <v>-45.0398</v>
      </c>
      <c r="M670" s="3" t="n">
        <v>-26.975</v>
      </c>
      <c r="N670" s="3" t="inlineStr">
        <is>
          <t>C4</t>
        </is>
      </c>
      <c r="O670" s="3" t="inlineStr">
        <is>
          <t>no</t>
        </is>
      </c>
      <c r="P670" s="3" t="inlineStr">
        <is>
          <t>no_compite</t>
        </is>
      </c>
      <c r="Q670" s="3" t="inlineStr">
        <is>
          <t>panel_covariables</t>
        </is>
      </c>
      <c r="R670" s="3" t="n"/>
      <c r="S670" s="3" t="inlineStr">
        <is>
          <t>contraste regional (R6); no vota</t>
        </is>
      </c>
      <c r="T670" s="3" t="inlineStr">
        <is>
          <t>output/v8/F5/atribucion_combinada.csv</t>
        </is>
      </c>
      <c r="U670" s="2">
        <f>IF(R670=0,"",F670/R670)</f>
        <v/>
      </c>
      <c r="V670" s="2">
        <f>SUMIFS(F$2:F$1589,A$2:A$1589,A670,C$2:C$1589,C670,E$2:E$1589,E670,Q$2:Q$1589,Q670)</f>
        <v/>
      </c>
    </row>
    <row r="671">
      <c r="A671" s="3" t="inlineStr">
        <is>
          <t>compra</t>
        </is>
      </c>
      <c r="B671" s="3" t="inlineStr">
        <is>
          <t>ccaa:14</t>
        </is>
      </c>
      <c r="C671" s="3" t="inlineStr">
        <is>
          <t>P2</t>
        </is>
      </c>
      <c r="D671" s="3" t="inlineStr">
        <is>
          <t>empleo_renta</t>
        </is>
      </c>
      <c r="E671" s="3" t="inlineStr">
        <is>
          <t>regional_panel</t>
        </is>
      </c>
      <c r="F671" s="3" t="n">
        <v>-1.79301</v>
      </c>
      <c r="G671" s="3" t="n"/>
      <c r="H671" s="3" t="n"/>
      <c r="I671" s="3" t="n">
        <v>0.0357782</v>
      </c>
      <c r="J671" s="3" t="n">
        <v>-3.41012</v>
      </c>
      <c r="K671" s="3" t="n">
        <v>-0.324491</v>
      </c>
      <c r="L671" s="3" t="n">
        <v>-4.42995</v>
      </c>
      <c r="M671" s="3" t="n">
        <v>0.653017</v>
      </c>
      <c r="N671" s="3" t="inlineStr">
        <is>
          <t>C4</t>
        </is>
      </c>
      <c r="O671" s="3" t="inlineStr">
        <is>
          <t>si</t>
        </is>
      </c>
      <c r="P671" s="3" t="inlineStr">
        <is>
          <t>no_vota</t>
        </is>
      </c>
      <c r="Q671" s="3" t="inlineStr">
        <is>
          <t>panel_covariables</t>
        </is>
      </c>
      <c r="R671" s="3" t="n"/>
      <c r="S671" s="3" t="inlineStr">
        <is>
          <t>contraste regional (R6); no vota</t>
        </is>
      </c>
      <c r="T671" s="3" t="inlineStr">
        <is>
          <t>output/v8/F5/atribucion_combinada.csv</t>
        </is>
      </c>
      <c r="U671" s="2">
        <f>IF(R671=0,"",F671/R671)</f>
        <v/>
      </c>
      <c r="V671" s="2">
        <f>SUMIFS(F$2:F$1589,A$2:A$1589,A671,C$2:C$1589,C671,E$2:E$1589,E671,Q$2:Q$1589,Q671)</f>
        <v/>
      </c>
    </row>
    <row r="672">
      <c r="A672" s="3" t="inlineStr">
        <is>
          <t>compra</t>
        </is>
      </c>
      <c r="B672" s="3" t="inlineStr">
        <is>
          <t>ccaa:14</t>
        </is>
      </c>
      <c r="C672" s="3" t="inlineStr">
        <is>
          <t>P2</t>
        </is>
      </c>
      <c r="D672" s="3" t="inlineStr">
        <is>
          <t>demografia</t>
        </is>
      </c>
      <c r="E672" s="3" t="inlineStr">
        <is>
          <t>regional_panel</t>
        </is>
      </c>
      <c r="F672" s="3" t="n">
        <v>2.55515</v>
      </c>
      <c r="G672" s="3" t="n"/>
      <c r="H672" s="3" t="n"/>
      <c r="I672" s="3" t="n">
        <v>-0.0509862</v>
      </c>
      <c r="J672" s="3" t="n">
        <v>0.159319</v>
      </c>
      <c r="K672" s="3" t="n">
        <v>8.244339999999999</v>
      </c>
      <c r="L672" s="3" t="n">
        <v>-1.61239</v>
      </c>
      <c r="M672" s="3" t="n">
        <v>11.9517</v>
      </c>
      <c r="N672" s="3" t="inlineStr">
        <is>
          <t>C4</t>
        </is>
      </c>
      <c r="O672" s="3" t="inlineStr">
        <is>
          <t>si</t>
        </is>
      </c>
      <c r="P672" s="3" t="inlineStr">
        <is>
          <t>no_vota</t>
        </is>
      </c>
      <c r="Q672" s="3" t="inlineStr">
        <is>
          <t>panel_covariables</t>
        </is>
      </c>
      <c r="R672" s="3" t="n"/>
      <c r="S672" s="3" t="inlineStr">
        <is>
          <t>contraste regional (R6); no vota</t>
        </is>
      </c>
      <c r="T672" s="3" t="inlineStr">
        <is>
          <t>output/v8/F5/atribucion_combinada.csv</t>
        </is>
      </c>
      <c r="U672" s="2">
        <f>IF(R672=0,"",F672/R672)</f>
        <v/>
      </c>
      <c r="V672" s="2">
        <f>SUMIFS(F$2:F$1589,A$2:A$1589,A672,C$2:C$1589,C672,E$2:E$1589,E672,Q$2:Q$1589,Q672)</f>
        <v/>
      </c>
    </row>
    <row r="673">
      <c r="A673" s="3" t="inlineStr">
        <is>
          <t>compra</t>
        </is>
      </c>
      <c r="B673" s="3" t="inlineStr">
        <is>
          <t>ccaa:14</t>
        </is>
      </c>
      <c r="C673" s="3" t="inlineStr">
        <is>
          <t>P2</t>
        </is>
      </c>
      <c r="D673" s="3" t="inlineStr">
        <is>
          <t>oferta</t>
        </is>
      </c>
      <c r="E673" s="3" t="inlineStr">
        <is>
          <t>regional_panel</t>
        </is>
      </c>
      <c r="F673" s="3" t="n">
        <v>-0.093407</v>
      </c>
      <c r="G673" s="3" t="n"/>
      <c r="H673" s="3" t="n"/>
      <c r="I673" s="3" t="n">
        <v>0.00186387</v>
      </c>
      <c r="J673" s="3" t="n">
        <v>-0.729331</v>
      </c>
      <c r="K673" s="3" t="n">
        <v>0.570781</v>
      </c>
      <c r="L673" s="3" t="n">
        <v>-1.29841</v>
      </c>
      <c r="M673" s="3" t="n">
        <v>1.17068</v>
      </c>
      <c r="N673" s="3" t="inlineStr">
        <is>
          <t>C4</t>
        </is>
      </c>
      <c r="O673" s="3" t="inlineStr">
        <is>
          <t>si</t>
        </is>
      </c>
      <c r="P673" s="3" t="inlineStr">
        <is>
          <t>no_vota</t>
        </is>
      </c>
      <c r="Q673" s="3" t="inlineStr">
        <is>
          <t>panel_covariables</t>
        </is>
      </c>
      <c r="R673" s="3" t="n"/>
      <c r="S673" s="3" t="inlineStr">
        <is>
          <t>contraste regional (R6); no vota</t>
        </is>
      </c>
      <c r="T673" s="3" t="inlineStr">
        <is>
          <t>output/v8/F5/atribucion_combinada.csv</t>
        </is>
      </c>
      <c r="U673" s="2">
        <f>IF(R673=0,"",F673/R673)</f>
        <v/>
      </c>
      <c r="V673" s="2">
        <f>SUMIFS(F$2:F$1589,A$2:A$1589,A673,C$2:C$1589,C673,E$2:E$1589,E673,Q$2:Q$1589,Q673)</f>
        <v/>
      </c>
    </row>
    <row r="674">
      <c r="A674" s="3" t="inlineStr">
        <is>
          <t>compra</t>
        </is>
      </c>
      <c r="B674" s="3" t="inlineStr">
        <is>
          <t>ccaa:14</t>
        </is>
      </c>
      <c r="C674" s="3" t="inlineStr">
        <is>
          <t>P2</t>
        </is>
      </c>
      <c r="D674" s="3" t="inlineStr">
        <is>
          <t>demanda_externa</t>
        </is>
      </c>
      <c r="E674" s="3" t="inlineStr">
        <is>
          <t>regional_panel</t>
        </is>
      </c>
      <c r="F674" s="3" t="n">
        <v>0.162584</v>
      </c>
      <c r="G674" s="3" t="n"/>
      <c r="H674" s="3" t="n"/>
      <c r="I674" s="3" t="n">
        <v>-0.00324425</v>
      </c>
      <c r="J674" s="3" t="n">
        <v>-0.367557</v>
      </c>
      <c r="K674" s="3" t="n">
        <v>0.316669</v>
      </c>
      <c r="L674" s="3" t="n">
        <v>-0.937452</v>
      </c>
      <c r="M674" s="3" t="n">
        <v>0.473929</v>
      </c>
      <c r="N674" s="3" t="inlineStr">
        <is>
          <t>C4</t>
        </is>
      </c>
      <c r="O674" s="3" t="inlineStr">
        <is>
          <t>si</t>
        </is>
      </c>
      <c r="P674" s="3" t="inlineStr">
        <is>
          <t>no_vota</t>
        </is>
      </c>
      <c r="Q674" s="3" t="inlineStr">
        <is>
          <t>panel_covariables</t>
        </is>
      </c>
      <c r="R674" s="3" t="n"/>
      <c r="S674" s="3" t="inlineStr">
        <is>
          <t>contraste regional (R6); no vota</t>
        </is>
      </c>
      <c r="T674" s="3" t="inlineStr">
        <is>
          <t>output/v8/F5/atribucion_combinada.csv</t>
        </is>
      </c>
      <c r="U674" s="2">
        <f>IF(R674=0,"",F674/R674)</f>
        <v/>
      </c>
      <c r="V674" s="2">
        <f>SUMIFS(F$2:F$1589,A$2:A$1589,A674,C$2:C$1589,C674,E$2:E$1589,E674,Q$2:Q$1589,Q674)</f>
        <v/>
      </c>
    </row>
    <row r="675">
      <c r="A675" s="3" t="inlineStr">
        <is>
          <t>compra</t>
        </is>
      </c>
      <c r="B675" s="3" t="inlineStr">
        <is>
          <t>ccaa:14</t>
        </is>
      </c>
      <c r="C675" s="3" t="inlineStr">
        <is>
          <t>P2</t>
        </is>
      </c>
      <c r="D675" s="3" t="inlineStr">
        <is>
          <t>residuo</t>
        </is>
      </c>
      <c r="E675" s="3" t="inlineStr">
        <is>
          <t>regional_panel</t>
        </is>
      </c>
      <c r="F675" s="3" t="n">
        <v>-15.8646</v>
      </c>
      <c r="G675" s="3" t="n"/>
      <c r="H675" s="3" t="n"/>
      <c r="I675" s="3" t="n">
        <v>0.316568</v>
      </c>
      <c r="J675" s="3" t="n">
        <v>-21.0774</v>
      </c>
      <c r="K675" s="3" t="n">
        <v>-11.2087</v>
      </c>
      <c r="L675" s="3" t="n">
        <v>-23.1062</v>
      </c>
      <c r="M675" s="3" t="n">
        <v>-7.89659</v>
      </c>
      <c r="N675" s="3" t="inlineStr">
        <is>
          <t>C4</t>
        </is>
      </c>
      <c r="O675" s="3" t="inlineStr">
        <is>
          <t>no</t>
        </is>
      </c>
      <c r="P675" s="3" t="inlineStr">
        <is>
          <t>no_compite</t>
        </is>
      </c>
      <c r="Q675" s="3" t="inlineStr">
        <is>
          <t>panel_covariables</t>
        </is>
      </c>
      <c r="R675" s="3" t="n"/>
      <c r="S675" s="3" t="inlineStr">
        <is>
          <t>contraste regional (R6); no vota</t>
        </is>
      </c>
      <c r="T675" s="3" t="inlineStr">
        <is>
          <t>output/v8/F5/atribucion_combinada.csv</t>
        </is>
      </c>
      <c r="U675" s="2">
        <f>IF(R675=0,"",F675/R675)</f>
        <v/>
      </c>
      <c r="V675" s="2">
        <f>SUMIFS(F$2:F$1589,A$2:A$1589,A675,C$2:C$1589,C675,E$2:E$1589,E675,Q$2:Q$1589,Q675)</f>
        <v/>
      </c>
    </row>
    <row r="676">
      <c r="A676" s="3" t="inlineStr">
        <is>
          <t>compra</t>
        </is>
      </c>
      <c r="B676" s="3" t="inlineStr">
        <is>
          <t>ccaa:15</t>
        </is>
      </c>
      <c r="C676" s="3" t="inlineStr">
        <is>
          <t>P2</t>
        </is>
      </c>
      <c r="D676" s="3" t="inlineStr">
        <is>
          <t>factor_comun</t>
        </is>
      </c>
      <c r="E676" s="3" t="inlineStr">
        <is>
          <t>regional_panel</t>
        </is>
      </c>
      <c r="F676" s="3" t="n">
        <v>-35.0812</v>
      </c>
      <c r="G676" s="3" t="n"/>
      <c r="H676" s="3" t="n"/>
      <c r="I676" s="3" t="n">
        <v>1.13231</v>
      </c>
      <c r="J676" s="3" t="n">
        <v>-41.5124</v>
      </c>
      <c r="K676" s="3" t="n">
        <v>-30.6884</v>
      </c>
      <c r="L676" s="3" t="n">
        <v>-45.0398</v>
      </c>
      <c r="M676" s="3" t="n">
        <v>-26.975</v>
      </c>
      <c r="N676" s="3" t="inlineStr">
        <is>
          <t>C4</t>
        </is>
      </c>
      <c r="O676" s="3" t="inlineStr">
        <is>
          <t>no</t>
        </is>
      </c>
      <c r="P676" s="3" t="inlineStr">
        <is>
          <t>no_compite</t>
        </is>
      </c>
      <c r="Q676" s="3" t="inlineStr">
        <is>
          <t>panel_covariables</t>
        </is>
      </c>
      <c r="R676" s="3" t="n"/>
      <c r="S676" s="3" t="inlineStr">
        <is>
          <t>contraste regional (R6); no vota</t>
        </is>
      </c>
      <c r="T676" s="3" t="inlineStr">
        <is>
          <t>output/v8/F5/atribucion_combinada.csv</t>
        </is>
      </c>
      <c r="U676" s="2">
        <f>IF(R676=0,"",F676/R676)</f>
        <v/>
      </c>
      <c r="V676" s="2">
        <f>SUMIFS(F$2:F$1589,A$2:A$1589,A676,C$2:C$1589,C676,E$2:E$1589,E676,Q$2:Q$1589,Q676)</f>
        <v/>
      </c>
    </row>
    <row r="677">
      <c r="A677" s="3" t="inlineStr">
        <is>
          <t>compra</t>
        </is>
      </c>
      <c r="B677" s="3" t="inlineStr">
        <is>
          <t>ccaa:15</t>
        </is>
      </c>
      <c r="C677" s="3" t="inlineStr">
        <is>
          <t>P2</t>
        </is>
      </c>
      <c r="D677" s="3" t="inlineStr">
        <is>
          <t>empleo_renta</t>
        </is>
      </c>
      <c r="E677" s="3" t="inlineStr">
        <is>
          <t>regional_panel</t>
        </is>
      </c>
      <c r="F677" s="3" t="n">
        <v>-1.14109</v>
      </c>
      <c r="G677" s="3" t="n"/>
      <c r="H677" s="3" t="n"/>
      <c r="I677" s="3" t="n">
        <v>0.036831</v>
      </c>
      <c r="J677" s="3" t="n">
        <v>-2.30454</v>
      </c>
      <c r="K677" s="3" t="n">
        <v>-0.161286</v>
      </c>
      <c r="L677" s="3" t="n">
        <v>-2.95162</v>
      </c>
      <c r="M677" s="3" t="n">
        <v>0.346581</v>
      </c>
      <c r="N677" s="3" t="inlineStr">
        <is>
          <t>C4</t>
        </is>
      </c>
      <c r="O677" s="3" t="inlineStr">
        <is>
          <t>si</t>
        </is>
      </c>
      <c r="P677" s="3" t="inlineStr">
        <is>
          <t>no_vota</t>
        </is>
      </c>
      <c r="Q677" s="3" t="inlineStr">
        <is>
          <t>panel_covariables</t>
        </is>
      </c>
      <c r="R677" s="3" t="n"/>
      <c r="S677" s="3" t="inlineStr">
        <is>
          <t>contraste regional (R6); no vota</t>
        </is>
      </c>
      <c r="T677" s="3" t="inlineStr">
        <is>
          <t>output/v8/F5/atribucion_combinada.csv</t>
        </is>
      </c>
      <c r="U677" s="2">
        <f>IF(R677=0,"",F677/R677)</f>
        <v/>
      </c>
      <c r="V677" s="2">
        <f>SUMIFS(F$2:F$1589,A$2:A$1589,A677,C$2:C$1589,C677,E$2:E$1589,E677,Q$2:Q$1589,Q677)</f>
        <v/>
      </c>
    </row>
    <row r="678">
      <c r="A678" s="3" t="inlineStr">
        <is>
          <t>compra</t>
        </is>
      </c>
      <c r="B678" s="3" t="inlineStr">
        <is>
          <t>ccaa:15</t>
        </is>
      </c>
      <c r="C678" s="3" t="inlineStr">
        <is>
          <t>P2</t>
        </is>
      </c>
      <c r="D678" s="3" t="inlineStr">
        <is>
          <t>demografia</t>
        </is>
      </c>
      <c r="E678" s="3" t="inlineStr">
        <is>
          <t>regional_panel</t>
        </is>
      </c>
      <c r="F678" s="3" t="n">
        <v>3.0377</v>
      </c>
      <c r="G678" s="3" t="n"/>
      <c r="H678" s="3" t="n"/>
      <c r="I678" s="3" t="n">
        <v>-0.09804789999999999</v>
      </c>
      <c r="J678" s="3" t="n">
        <v>-0.285882</v>
      </c>
      <c r="K678" s="3" t="n">
        <v>10.2004</v>
      </c>
      <c r="L678" s="3" t="n">
        <v>-2.81019</v>
      </c>
      <c r="M678" s="3" t="n">
        <v>15.8747</v>
      </c>
      <c r="N678" s="3" t="inlineStr">
        <is>
          <t>C4</t>
        </is>
      </c>
      <c r="O678" s="3" t="inlineStr">
        <is>
          <t>si</t>
        </is>
      </c>
      <c r="P678" s="3" t="inlineStr">
        <is>
          <t>no_vota</t>
        </is>
      </c>
      <c r="Q678" s="3" t="inlineStr">
        <is>
          <t>panel_covariables</t>
        </is>
      </c>
      <c r="R678" s="3" t="n"/>
      <c r="S678" s="3" t="inlineStr">
        <is>
          <t>contraste regional (R6); no vota</t>
        </is>
      </c>
      <c r="T678" s="3" t="inlineStr">
        <is>
          <t>output/v8/F5/atribucion_combinada.csv</t>
        </is>
      </c>
      <c r="U678" s="2">
        <f>IF(R678=0,"",F678/R678)</f>
        <v/>
      </c>
      <c r="V678" s="2">
        <f>SUMIFS(F$2:F$1589,A$2:A$1589,A678,C$2:C$1589,C678,E$2:E$1589,E678,Q$2:Q$1589,Q678)</f>
        <v/>
      </c>
    </row>
    <row r="679">
      <c r="A679" s="3" t="inlineStr">
        <is>
          <t>compra</t>
        </is>
      </c>
      <c r="B679" s="3" t="inlineStr">
        <is>
          <t>ccaa:15</t>
        </is>
      </c>
      <c r="C679" s="3" t="inlineStr">
        <is>
          <t>P2</t>
        </is>
      </c>
      <c r="D679" s="3" t="inlineStr">
        <is>
          <t>oferta</t>
        </is>
      </c>
      <c r="E679" s="3" t="inlineStr">
        <is>
          <t>regional_panel</t>
        </is>
      </c>
      <c r="F679" s="3" t="n">
        <v>-0.0545361</v>
      </c>
      <c r="G679" s="3" t="n"/>
      <c r="H679" s="3" t="n"/>
      <c r="I679" s="3" t="n">
        <v>0.00176026</v>
      </c>
      <c r="J679" s="3" t="n">
        <v>-0.373256</v>
      </c>
      <c r="K679" s="3" t="n">
        <v>0.348787</v>
      </c>
      <c r="L679" s="3" t="n">
        <v>-0.624486</v>
      </c>
      <c r="M679" s="3" t="n">
        <v>0.813039</v>
      </c>
      <c r="N679" s="3" t="inlineStr">
        <is>
          <t>C4</t>
        </is>
      </c>
      <c r="O679" s="3" t="inlineStr">
        <is>
          <t>si</t>
        </is>
      </c>
      <c r="P679" s="3" t="inlineStr">
        <is>
          <t>no_vota</t>
        </is>
      </c>
      <c r="Q679" s="3" t="inlineStr">
        <is>
          <t>panel_covariables</t>
        </is>
      </c>
      <c r="R679" s="3" t="n"/>
      <c r="S679" s="3" t="inlineStr">
        <is>
          <t>contraste regional (R6); no vota</t>
        </is>
      </c>
      <c r="T679" s="3" t="inlineStr">
        <is>
          <t>output/v8/F5/atribucion_combinada.csv</t>
        </is>
      </c>
      <c r="U679" s="2">
        <f>IF(R679=0,"",F679/R679)</f>
        <v/>
      </c>
      <c r="V679" s="2">
        <f>SUMIFS(F$2:F$1589,A$2:A$1589,A679,C$2:C$1589,C679,E$2:E$1589,E679,Q$2:Q$1589,Q679)</f>
        <v/>
      </c>
    </row>
    <row r="680">
      <c r="A680" s="3" t="inlineStr">
        <is>
          <t>compra</t>
        </is>
      </c>
      <c r="B680" s="3" t="inlineStr">
        <is>
          <t>ccaa:15</t>
        </is>
      </c>
      <c r="C680" s="3" t="inlineStr">
        <is>
          <t>P2</t>
        </is>
      </c>
      <c r="D680" s="3" t="inlineStr">
        <is>
          <t>demanda_externa</t>
        </is>
      </c>
      <c r="E680" s="3" t="inlineStr">
        <is>
          <t>regional_panel</t>
        </is>
      </c>
      <c r="F680" s="3" t="n">
        <v>0.211024</v>
      </c>
      <c r="G680" s="3" t="n"/>
      <c r="H680" s="3" t="n"/>
      <c r="I680" s="3" t="n">
        <v>-0.00681121</v>
      </c>
      <c r="J680" s="3" t="n">
        <v>-0.0854705</v>
      </c>
      <c r="K680" s="3" t="n">
        <v>0.9403319999999999</v>
      </c>
      <c r="L680" s="3" t="n">
        <v>-0.235095</v>
      </c>
      <c r="M680" s="3" t="n">
        <v>1.69964</v>
      </c>
      <c r="N680" s="3" t="inlineStr">
        <is>
          <t>C4</t>
        </is>
      </c>
      <c r="O680" s="3" t="inlineStr">
        <is>
          <t>si</t>
        </is>
      </c>
      <c r="P680" s="3" t="inlineStr">
        <is>
          <t>no_vota</t>
        </is>
      </c>
      <c r="Q680" s="3" t="inlineStr">
        <is>
          <t>panel_covariables</t>
        </is>
      </c>
      <c r="R680" s="3" t="n"/>
      <c r="S680" s="3" t="inlineStr">
        <is>
          <t>contraste regional (R6); no vota</t>
        </is>
      </c>
      <c r="T680" s="3" t="inlineStr">
        <is>
          <t>output/v8/F5/atribucion_combinada.csv</t>
        </is>
      </c>
      <c r="U680" s="2">
        <f>IF(R680=0,"",F680/R680)</f>
        <v/>
      </c>
      <c r="V680" s="2">
        <f>SUMIFS(F$2:F$1589,A$2:A$1589,A680,C$2:C$1589,C680,E$2:E$1589,E680,Q$2:Q$1589,Q680)</f>
        <v/>
      </c>
    </row>
    <row r="681">
      <c r="A681" s="3" t="inlineStr">
        <is>
          <t>compra</t>
        </is>
      </c>
      <c r="B681" s="3" t="inlineStr">
        <is>
          <t>ccaa:15</t>
        </is>
      </c>
      <c r="C681" s="3" t="inlineStr">
        <is>
          <t>P2</t>
        </is>
      </c>
      <c r="D681" s="3" t="inlineStr">
        <is>
          <t>residuo</t>
        </is>
      </c>
      <c r="E681" s="3" t="inlineStr">
        <is>
          <t>regional_panel</t>
        </is>
      </c>
      <c r="F681" s="3" t="n">
        <v>2.04623</v>
      </c>
      <c r="G681" s="3" t="n"/>
      <c r="H681" s="3" t="n"/>
      <c r="I681" s="3" t="n">
        <v>-0.0660459</v>
      </c>
      <c r="J681" s="3" t="n">
        <v>-13.0409</v>
      </c>
      <c r="K681" s="3" t="n">
        <v>14.97</v>
      </c>
      <c r="L681" s="3" t="n">
        <v>-20.5297</v>
      </c>
      <c r="M681" s="3" t="n">
        <v>24.0849</v>
      </c>
      <c r="N681" s="3" t="inlineStr">
        <is>
          <t>C4</t>
        </is>
      </c>
      <c r="O681" s="3" t="inlineStr">
        <is>
          <t>no</t>
        </is>
      </c>
      <c r="P681" s="3" t="inlineStr">
        <is>
          <t>no_compite</t>
        </is>
      </c>
      <c r="Q681" s="3" t="inlineStr">
        <is>
          <t>panel_covariables</t>
        </is>
      </c>
      <c r="R681" s="3" t="n"/>
      <c r="S681" s="3" t="inlineStr">
        <is>
          <t>contraste regional (R6); no vota</t>
        </is>
      </c>
      <c r="T681" s="3" t="inlineStr">
        <is>
          <t>output/v8/F5/atribucion_combinada.csv</t>
        </is>
      </c>
      <c r="U681" s="2">
        <f>IF(R681=0,"",F681/R681)</f>
        <v/>
      </c>
      <c r="V681" s="2">
        <f>SUMIFS(F$2:F$1589,A$2:A$1589,A681,C$2:C$1589,C681,E$2:E$1589,E681,Q$2:Q$1589,Q681)</f>
        <v/>
      </c>
    </row>
    <row r="682">
      <c r="A682" s="3" t="inlineStr">
        <is>
          <t>compra</t>
        </is>
      </c>
      <c r="B682" s="3" t="inlineStr">
        <is>
          <t>ccaa:16</t>
        </is>
      </c>
      <c r="C682" s="3" t="inlineStr">
        <is>
          <t>P2</t>
        </is>
      </c>
      <c r="D682" s="3" t="inlineStr">
        <is>
          <t>factor_comun</t>
        </is>
      </c>
      <c r="E682" s="3" t="inlineStr">
        <is>
          <t>regional_panel</t>
        </is>
      </c>
      <c r="F682" s="3" t="n">
        <v>-35.0812</v>
      </c>
      <c r="G682" s="3" t="n"/>
      <c r="H682" s="3" t="n"/>
      <c r="I682" s="3" t="n">
        <v>1.33086</v>
      </c>
      <c r="J682" s="3" t="n">
        <v>-41.5124</v>
      </c>
      <c r="K682" s="3" t="n">
        <v>-30.6884</v>
      </c>
      <c r="L682" s="3" t="n">
        <v>-45.0398</v>
      </c>
      <c r="M682" s="3" t="n">
        <v>-26.975</v>
      </c>
      <c r="N682" s="3" t="inlineStr">
        <is>
          <t>C4</t>
        </is>
      </c>
      <c r="O682" s="3" t="inlineStr">
        <is>
          <t>no</t>
        </is>
      </c>
      <c r="P682" s="3" t="inlineStr">
        <is>
          <t>no_compite</t>
        </is>
      </c>
      <c r="Q682" s="3" t="inlineStr">
        <is>
          <t>panel_covariables</t>
        </is>
      </c>
      <c r="R682" s="3" t="n"/>
      <c r="S682" s="3" t="inlineStr">
        <is>
          <t>contraste regional (R6); no vota</t>
        </is>
      </c>
      <c r="T682" s="3" t="inlineStr">
        <is>
          <t>output/v8/F5/atribucion_combinada.csv</t>
        </is>
      </c>
      <c r="U682" s="2">
        <f>IF(R682=0,"",F682/R682)</f>
        <v/>
      </c>
      <c r="V682" s="2">
        <f>SUMIFS(F$2:F$1589,A$2:A$1589,A682,C$2:C$1589,C682,E$2:E$1589,E682,Q$2:Q$1589,Q682)</f>
        <v/>
      </c>
    </row>
    <row r="683">
      <c r="A683" s="3" t="inlineStr">
        <is>
          <t>compra</t>
        </is>
      </c>
      <c r="B683" s="3" t="inlineStr">
        <is>
          <t>ccaa:16</t>
        </is>
      </c>
      <c r="C683" s="3" t="inlineStr">
        <is>
          <t>P2</t>
        </is>
      </c>
      <c r="D683" s="3" t="inlineStr">
        <is>
          <t>empleo_renta</t>
        </is>
      </c>
      <c r="E683" s="3" t="inlineStr">
        <is>
          <t>regional_panel</t>
        </is>
      </c>
      <c r="F683" s="3" t="n">
        <v>-0.644039</v>
      </c>
      <c r="G683" s="3" t="n"/>
      <c r="H683" s="3" t="n"/>
      <c r="I683" s="3" t="n">
        <v>0.0244326</v>
      </c>
      <c r="J683" s="3" t="n">
        <v>-1.53804</v>
      </c>
      <c r="K683" s="3" t="n">
        <v>0.217022</v>
      </c>
      <c r="L683" s="3" t="n">
        <v>-2.52396</v>
      </c>
      <c r="M683" s="3" t="n">
        <v>0.956867</v>
      </c>
      <c r="N683" s="3" t="inlineStr">
        <is>
          <t>C4</t>
        </is>
      </c>
      <c r="O683" s="3" t="inlineStr">
        <is>
          <t>si</t>
        </is>
      </c>
      <c r="P683" s="3" t="inlineStr">
        <is>
          <t>no_vota</t>
        </is>
      </c>
      <c r="Q683" s="3" t="inlineStr">
        <is>
          <t>panel_covariables</t>
        </is>
      </c>
      <c r="R683" s="3" t="n"/>
      <c r="S683" s="3" t="inlineStr">
        <is>
          <t>contraste regional (R6); no vota</t>
        </is>
      </c>
      <c r="T683" s="3" t="inlineStr">
        <is>
          <t>output/v8/F5/atribucion_combinada.csv</t>
        </is>
      </c>
      <c r="U683" s="2">
        <f>IF(R683=0,"",F683/R683)</f>
        <v/>
      </c>
      <c r="V683" s="2">
        <f>SUMIFS(F$2:F$1589,A$2:A$1589,A683,C$2:C$1589,C683,E$2:E$1589,E683,Q$2:Q$1589,Q683)</f>
        <v/>
      </c>
    </row>
    <row r="684">
      <c r="A684" s="3" t="inlineStr">
        <is>
          <t>compra</t>
        </is>
      </c>
      <c r="B684" s="3" t="inlineStr">
        <is>
          <t>ccaa:16</t>
        </is>
      </c>
      <c r="C684" s="3" t="inlineStr">
        <is>
          <t>P2</t>
        </is>
      </c>
      <c r="D684" s="3" t="inlineStr">
        <is>
          <t>demografia</t>
        </is>
      </c>
      <c r="E684" s="3" t="inlineStr">
        <is>
          <t>regional_panel</t>
        </is>
      </c>
      <c r="F684" s="3" t="n">
        <v>0.572462</v>
      </c>
      <c r="G684" s="3" t="n"/>
      <c r="H684" s="3" t="n"/>
      <c r="I684" s="3" t="n">
        <v>-0.0217172</v>
      </c>
      <c r="J684" s="3" t="n">
        <v>-0.774798</v>
      </c>
      <c r="K684" s="3" t="n">
        <v>1.88558</v>
      </c>
      <c r="L684" s="3" t="n">
        <v>-2.43254</v>
      </c>
      <c r="M684" s="3" t="n">
        <v>4.08436</v>
      </c>
      <c r="N684" s="3" t="inlineStr">
        <is>
          <t>C4</t>
        </is>
      </c>
      <c r="O684" s="3" t="inlineStr">
        <is>
          <t>si</t>
        </is>
      </c>
      <c r="P684" s="3" t="inlineStr">
        <is>
          <t>no_vota</t>
        </is>
      </c>
      <c r="Q684" s="3" t="inlineStr">
        <is>
          <t>panel_covariables</t>
        </is>
      </c>
      <c r="R684" s="3" t="n"/>
      <c r="S684" s="3" t="inlineStr">
        <is>
          <t>contraste regional (R6); no vota</t>
        </is>
      </c>
      <c r="T684" s="3" t="inlineStr">
        <is>
          <t>output/v8/F5/atribucion_combinada.csv</t>
        </is>
      </c>
      <c r="U684" s="2">
        <f>IF(R684=0,"",F684/R684)</f>
        <v/>
      </c>
      <c r="V684" s="2">
        <f>SUMIFS(F$2:F$1589,A$2:A$1589,A684,C$2:C$1589,C684,E$2:E$1589,E684,Q$2:Q$1589,Q684)</f>
        <v/>
      </c>
    </row>
    <row r="685">
      <c r="A685" s="3" t="inlineStr">
        <is>
          <t>compra</t>
        </is>
      </c>
      <c r="B685" s="3" t="inlineStr">
        <is>
          <t>ccaa:16</t>
        </is>
      </c>
      <c r="C685" s="3" t="inlineStr">
        <is>
          <t>P2</t>
        </is>
      </c>
      <c r="D685" s="3" t="inlineStr">
        <is>
          <t>oferta</t>
        </is>
      </c>
      <c r="E685" s="3" t="inlineStr">
        <is>
          <t>regional_panel</t>
        </is>
      </c>
      <c r="F685" s="3" t="n">
        <v>-0.032482</v>
      </c>
      <c r="G685" s="3" t="n"/>
      <c r="H685" s="3" t="n"/>
      <c r="I685" s="3" t="n">
        <v>0.00123225</v>
      </c>
      <c r="J685" s="3" t="n">
        <v>-0.285175</v>
      </c>
      <c r="K685" s="3" t="n">
        <v>0.176978</v>
      </c>
      <c r="L685" s="3" t="n">
        <v>-0.484321</v>
      </c>
      <c r="M685" s="3" t="n">
        <v>0.425921</v>
      </c>
      <c r="N685" s="3" t="inlineStr">
        <is>
          <t>C4</t>
        </is>
      </c>
      <c r="O685" s="3" t="inlineStr">
        <is>
          <t>si</t>
        </is>
      </c>
      <c r="P685" s="3" t="inlineStr">
        <is>
          <t>no_vota</t>
        </is>
      </c>
      <c r="Q685" s="3" t="inlineStr">
        <is>
          <t>panel_covariables</t>
        </is>
      </c>
      <c r="R685" s="3" t="n"/>
      <c r="S685" s="3" t="inlineStr">
        <is>
          <t>contraste regional (R6); no vota</t>
        </is>
      </c>
      <c r="T685" s="3" t="inlineStr">
        <is>
          <t>output/v8/F5/atribucion_combinada.csv</t>
        </is>
      </c>
      <c r="U685" s="2">
        <f>IF(R685=0,"",F685/R685)</f>
        <v/>
      </c>
      <c r="V685" s="2">
        <f>SUMIFS(F$2:F$1589,A$2:A$1589,A685,C$2:C$1589,C685,E$2:E$1589,E685,Q$2:Q$1589,Q685)</f>
        <v/>
      </c>
    </row>
    <row r="686">
      <c r="A686" s="3" t="inlineStr">
        <is>
          <t>compra</t>
        </is>
      </c>
      <c r="B686" s="3" t="inlineStr">
        <is>
          <t>ccaa:16</t>
        </is>
      </c>
      <c r="C686" s="3" t="inlineStr">
        <is>
          <t>P2</t>
        </is>
      </c>
      <c r="D686" s="3" t="inlineStr">
        <is>
          <t>demanda_externa</t>
        </is>
      </c>
      <c r="E686" s="3" t="inlineStr">
        <is>
          <t>regional_panel</t>
        </is>
      </c>
      <c r="F686" s="3" t="n">
        <v>0.129831</v>
      </c>
      <c r="G686" s="3" t="n"/>
      <c r="H686" s="3" t="n"/>
      <c r="I686" s="3" t="n">
        <v>-0.00492535</v>
      </c>
      <c r="J686" s="3" t="n">
        <v>-0.440298</v>
      </c>
      <c r="K686" s="3" t="n">
        <v>1.38479</v>
      </c>
      <c r="L686" s="3" t="n">
        <v>-1.01259</v>
      </c>
      <c r="M686" s="3" t="n">
        <v>2.44383</v>
      </c>
      <c r="N686" s="3" t="inlineStr">
        <is>
          <t>C4</t>
        </is>
      </c>
      <c r="O686" s="3" t="inlineStr">
        <is>
          <t>si</t>
        </is>
      </c>
      <c r="P686" s="3" t="inlineStr">
        <is>
          <t>no_vota</t>
        </is>
      </c>
      <c r="Q686" s="3" t="inlineStr">
        <is>
          <t>panel_covariables</t>
        </is>
      </c>
      <c r="R686" s="3" t="n"/>
      <c r="S686" s="3" t="inlineStr">
        <is>
          <t>contraste regional (R6); no vota</t>
        </is>
      </c>
      <c r="T686" s="3" t="inlineStr">
        <is>
          <t>output/v8/F5/atribucion_combinada.csv</t>
        </is>
      </c>
      <c r="U686" s="2">
        <f>IF(R686=0,"",F686/R686)</f>
        <v/>
      </c>
      <c r="V686" s="2">
        <f>SUMIFS(F$2:F$1589,A$2:A$1589,A686,C$2:C$1589,C686,E$2:E$1589,E686,Q$2:Q$1589,Q686)</f>
        <v/>
      </c>
    </row>
    <row r="687">
      <c r="A687" s="3" t="inlineStr">
        <is>
          <t>compra</t>
        </is>
      </c>
      <c r="B687" s="3" t="inlineStr">
        <is>
          <t>ccaa:16</t>
        </is>
      </c>
      <c r="C687" s="3" t="inlineStr">
        <is>
          <t>P2</t>
        </is>
      </c>
      <c r="D687" s="3" t="inlineStr">
        <is>
          <t>residuo</t>
        </is>
      </c>
      <c r="E687" s="3" t="inlineStr">
        <is>
          <t>regional_panel</t>
        </is>
      </c>
      <c r="F687" s="3" t="n">
        <v>8.69558</v>
      </c>
      <c r="G687" s="3" t="n"/>
      <c r="H687" s="3" t="n"/>
      <c r="I687" s="3" t="n">
        <v>-0.32988</v>
      </c>
      <c r="J687" s="3" t="n">
        <v>1.8503</v>
      </c>
      <c r="K687" s="3" t="n">
        <v>17.4326</v>
      </c>
      <c r="L687" s="3" t="n">
        <v>-1.05418</v>
      </c>
      <c r="M687" s="3" t="n">
        <v>23.1275</v>
      </c>
      <c r="N687" s="3" t="inlineStr">
        <is>
          <t>C4</t>
        </is>
      </c>
      <c r="O687" s="3" t="inlineStr">
        <is>
          <t>no</t>
        </is>
      </c>
      <c r="P687" s="3" t="inlineStr">
        <is>
          <t>no_compite</t>
        </is>
      </c>
      <c r="Q687" s="3" t="inlineStr">
        <is>
          <t>panel_covariables</t>
        </is>
      </c>
      <c r="R687" s="3" t="n"/>
      <c r="S687" s="3" t="inlineStr">
        <is>
          <t>contraste regional (R6); no vota</t>
        </is>
      </c>
      <c r="T687" s="3" t="inlineStr">
        <is>
          <t>output/v8/F5/atribucion_combinada.csv</t>
        </is>
      </c>
      <c r="U687" s="2">
        <f>IF(R687=0,"",F687/R687)</f>
        <v/>
      </c>
      <c r="V687" s="2">
        <f>SUMIFS(F$2:F$1589,A$2:A$1589,A687,C$2:C$1589,C687,E$2:E$1589,E687,Q$2:Q$1589,Q687)</f>
        <v/>
      </c>
    </row>
    <row r="688">
      <c r="A688" s="3" t="inlineStr">
        <is>
          <t>compra</t>
        </is>
      </c>
      <c r="B688" s="3" t="inlineStr">
        <is>
          <t>ccaa:17</t>
        </is>
      </c>
      <c r="C688" s="3" t="inlineStr">
        <is>
          <t>P2</t>
        </is>
      </c>
      <c r="D688" s="3" t="inlineStr">
        <is>
          <t>factor_comun</t>
        </is>
      </c>
      <c r="E688" s="3" t="inlineStr">
        <is>
          <t>regional_panel</t>
        </is>
      </c>
      <c r="F688" s="3" t="n">
        <v>-35.0812</v>
      </c>
      <c r="G688" s="3" t="n"/>
      <c r="H688" s="3" t="n"/>
      <c r="I688" s="3" t="n">
        <v>0.8820249999999999</v>
      </c>
      <c r="J688" s="3" t="n">
        <v>-41.5124</v>
      </c>
      <c r="K688" s="3" t="n">
        <v>-30.6884</v>
      </c>
      <c r="L688" s="3" t="n">
        <v>-45.0398</v>
      </c>
      <c r="M688" s="3" t="n">
        <v>-26.975</v>
      </c>
      <c r="N688" s="3" t="inlineStr">
        <is>
          <t>C4</t>
        </is>
      </c>
      <c r="O688" s="3" t="inlineStr">
        <is>
          <t>no</t>
        </is>
      </c>
      <c r="P688" s="3" t="inlineStr">
        <is>
          <t>no_compite</t>
        </is>
      </c>
      <c r="Q688" s="3" t="inlineStr">
        <is>
          <t>panel_covariables</t>
        </is>
      </c>
      <c r="R688" s="3" t="n"/>
      <c r="S688" s="3" t="inlineStr">
        <is>
          <t>contraste regional (R6); no vota</t>
        </is>
      </c>
      <c r="T688" s="3" t="inlineStr">
        <is>
          <t>output/v8/F5/atribucion_combinada.csv</t>
        </is>
      </c>
      <c r="U688" s="2">
        <f>IF(R688=0,"",F688/R688)</f>
        <v/>
      </c>
      <c r="V688" s="2">
        <f>SUMIFS(F$2:F$1589,A$2:A$1589,A688,C$2:C$1589,C688,E$2:E$1589,E688,Q$2:Q$1589,Q688)</f>
        <v/>
      </c>
    </row>
    <row r="689">
      <c r="A689" s="3" t="inlineStr">
        <is>
          <t>compra</t>
        </is>
      </c>
      <c r="B689" s="3" t="inlineStr">
        <is>
          <t>ccaa:17</t>
        </is>
      </c>
      <c r="C689" s="3" t="inlineStr">
        <is>
          <t>P2</t>
        </is>
      </c>
      <c r="D689" s="3" t="inlineStr">
        <is>
          <t>empleo_renta</t>
        </is>
      </c>
      <c r="E689" s="3" t="inlineStr">
        <is>
          <t>regional_panel</t>
        </is>
      </c>
      <c r="F689" s="3" t="n">
        <v>-0.766215</v>
      </c>
      <c r="G689" s="3" t="n"/>
      <c r="H689" s="3" t="n"/>
      <c r="I689" s="3" t="n">
        <v>0.0192645</v>
      </c>
      <c r="J689" s="3" t="n">
        <v>-2.02093</v>
      </c>
      <c r="K689" s="3" t="n">
        <v>0.622974</v>
      </c>
      <c r="L689" s="3" t="n">
        <v>-3.06778</v>
      </c>
      <c r="M689" s="3" t="n">
        <v>1.33616</v>
      </c>
      <c r="N689" s="3" t="inlineStr">
        <is>
          <t>C4</t>
        </is>
      </c>
      <c r="O689" s="3" t="inlineStr">
        <is>
          <t>si</t>
        </is>
      </c>
      <c r="P689" s="3" t="inlineStr">
        <is>
          <t>no_vota</t>
        </is>
      </c>
      <c r="Q689" s="3" t="inlineStr">
        <is>
          <t>panel_covariables</t>
        </is>
      </c>
      <c r="R689" s="3" t="n"/>
      <c r="S689" s="3" t="inlineStr">
        <is>
          <t>contraste regional (R6); no vota</t>
        </is>
      </c>
      <c r="T689" s="3" t="inlineStr">
        <is>
          <t>output/v8/F5/atribucion_combinada.csv</t>
        </is>
      </c>
      <c r="U689" s="2">
        <f>IF(R689=0,"",F689/R689)</f>
        <v/>
      </c>
      <c r="V689" s="2">
        <f>SUMIFS(F$2:F$1589,A$2:A$1589,A689,C$2:C$1589,C689,E$2:E$1589,E689,Q$2:Q$1589,Q689)</f>
        <v/>
      </c>
    </row>
    <row r="690">
      <c r="A690" s="3" t="inlineStr">
        <is>
          <t>compra</t>
        </is>
      </c>
      <c r="B690" s="3" t="inlineStr">
        <is>
          <t>ccaa:17</t>
        </is>
      </c>
      <c r="C690" s="3" t="inlineStr">
        <is>
          <t>P2</t>
        </is>
      </c>
      <c r="D690" s="3" t="inlineStr">
        <is>
          <t>demografia</t>
        </is>
      </c>
      <c r="E690" s="3" t="inlineStr">
        <is>
          <t>regional_panel</t>
        </is>
      </c>
      <c r="F690" s="3" t="n">
        <v>0.231664</v>
      </c>
      <c r="G690" s="3" t="n"/>
      <c r="H690" s="3" t="n"/>
      <c r="I690" s="3" t="n">
        <v>-0.00582458</v>
      </c>
      <c r="J690" s="3" t="n">
        <v>-2.00679</v>
      </c>
      <c r="K690" s="3" t="n">
        <v>4.27329</v>
      </c>
      <c r="L690" s="3" t="n">
        <v>-3.96639</v>
      </c>
      <c r="M690" s="3" t="n">
        <v>7.7684</v>
      </c>
      <c r="N690" s="3" t="inlineStr">
        <is>
          <t>C4</t>
        </is>
      </c>
      <c r="O690" s="3" t="inlineStr">
        <is>
          <t>si</t>
        </is>
      </c>
      <c r="P690" s="3" t="inlineStr">
        <is>
          <t>no_vota</t>
        </is>
      </c>
      <c r="Q690" s="3" t="inlineStr">
        <is>
          <t>panel_covariables</t>
        </is>
      </c>
      <c r="R690" s="3" t="n"/>
      <c r="S690" s="3" t="inlineStr">
        <is>
          <t>contraste regional (R6); no vota</t>
        </is>
      </c>
      <c r="T690" s="3" t="inlineStr">
        <is>
          <t>output/v8/F5/atribucion_combinada.csv</t>
        </is>
      </c>
      <c r="U690" s="2">
        <f>IF(R690=0,"",F690/R690)</f>
        <v/>
      </c>
      <c r="V690" s="2">
        <f>SUMIFS(F$2:F$1589,A$2:A$1589,A690,C$2:C$1589,C690,E$2:E$1589,E690,Q$2:Q$1589,Q690)</f>
        <v/>
      </c>
    </row>
    <row r="691">
      <c r="A691" s="3" t="inlineStr">
        <is>
          <t>compra</t>
        </is>
      </c>
      <c r="B691" s="3" t="inlineStr">
        <is>
          <t>ccaa:17</t>
        </is>
      </c>
      <c r="C691" s="3" t="inlineStr">
        <is>
          <t>P2</t>
        </is>
      </c>
      <c r="D691" s="3" t="inlineStr">
        <is>
          <t>oferta</t>
        </is>
      </c>
      <c r="E691" s="3" t="inlineStr">
        <is>
          <t>regional_panel</t>
        </is>
      </c>
      <c r="F691" s="3" t="n">
        <v>-0.0474744</v>
      </c>
      <c r="G691" s="3" t="n"/>
      <c r="H691" s="3" t="n"/>
      <c r="I691" s="3" t="n">
        <v>0.00119362</v>
      </c>
      <c r="J691" s="3" t="n">
        <v>-0.265845</v>
      </c>
      <c r="K691" s="3" t="n">
        <v>0.318144</v>
      </c>
      <c r="L691" s="3" t="n">
        <v>-0.492883</v>
      </c>
      <c r="M691" s="3" t="n">
        <v>0.81573</v>
      </c>
      <c r="N691" s="3" t="inlineStr">
        <is>
          <t>C4</t>
        </is>
      </c>
      <c r="O691" s="3" t="inlineStr">
        <is>
          <t>si</t>
        </is>
      </c>
      <c r="P691" s="3" t="inlineStr">
        <is>
          <t>no_vota</t>
        </is>
      </c>
      <c r="Q691" s="3" t="inlineStr">
        <is>
          <t>panel_covariables</t>
        </is>
      </c>
      <c r="R691" s="3" t="n"/>
      <c r="S691" s="3" t="inlineStr">
        <is>
          <t>contraste regional (R6); no vota</t>
        </is>
      </c>
      <c r="T691" s="3" t="inlineStr">
        <is>
          <t>output/v8/F5/atribucion_combinada.csv</t>
        </is>
      </c>
      <c r="U691" s="2">
        <f>IF(R691=0,"",F691/R691)</f>
        <v/>
      </c>
      <c r="V691" s="2">
        <f>SUMIFS(F$2:F$1589,A$2:A$1589,A691,C$2:C$1589,C691,E$2:E$1589,E691,Q$2:Q$1589,Q691)</f>
        <v/>
      </c>
    </row>
    <row r="692">
      <c r="A692" s="3" t="inlineStr">
        <is>
          <t>compra</t>
        </is>
      </c>
      <c r="B692" s="3" t="inlineStr">
        <is>
          <t>ccaa:17</t>
        </is>
      </c>
      <c r="C692" s="3" t="inlineStr">
        <is>
          <t>P2</t>
        </is>
      </c>
      <c r="D692" s="3" t="inlineStr">
        <is>
          <t>demanda_externa</t>
        </is>
      </c>
      <c r="E692" s="3" t="inlineStr">
        <is>
          <t>regional_panel</t>
        </is>
      </c>
      <c r="F692" s="3" t="n">
        <v>0.742177</v>
      </c>
      <c r="G692" s="3" t="n"/>
      <c r="H692" s="3" t="n"/>
      <c r="I692" s="3" t="n">
        <v>-0.0186601</v>
      </c>
      <c r="J692" s="3" t="n">
        <v>-0.127711</v>
      </c>
      <c r="K692" s="3" t="n">
        <v>2.20031</v>
      </c>
      <c r="L692" s="3" t="n">
        <v>-0.490225</v>
      </c>
      <c r="M692" s="3" t="n">
        <v>3.52181</v>
      </c>
      <c r="N692" s="3" t="inlineStr">
        <is>
          <t>C4</t>
        </is>
      </c>
      <c r="O692" s="3" t="inlineStr">
        <is>
          <t>si</t>
        </is>
      </c>
      <c r="P692" s="3" t="inlineStr">
        <is>
          <t>no_vota</t>
        </is>
      </c>
      <c r="Q692" s="3" t="inlineStr">
        <is>
          <t>panel_covariables</t>
        </is>
      </c>
      <c r="R692" s="3" t="n"/>
      <c r="S692" s="3" t="inlineStr">
        <is>
          <t>contraste regional (R6); no vota</t>
        </is>
      </c>
      <c r="T692" s="3" t="inlineStr">
        <is>
          <t>output/v8/F5/atribucion_combinada.csv</t>
        </is>
      </c>
      <c r="U692" s="2">
        <f>IF(R692=0,"",F692/R692)</f>
        <v/>
      </c>
      <c r="V692" s="2">
        <f>SUMIFS(F$2:F$1589,A$2:A$1589,A692,C$2:C$1589,C692,E$2:E$1589,E692,Q$2:Q$1589,Q692)</f>
        <v/>
      </c>
    </row>
    <row r="693">
      <c r="A693" s="3" t="inlineStr">
        <is>
          <t>compra</t>
        </is>
      </c>
      <c r="B693" s="3" t="inlineStr">
        <is>
          <t>ccaa:17</t>
        </is>
      </c>
      <c r="C693" s="3" t="inlineStr">
        <is>
          <t>P2</t>
        </is>
      </c>
      <c r="D693" s="3" t="inlineStr">
        <is>
          <t>residuo</t>
        </is>
      </c>
      <c r="E693" s="3" t="inlineStr">
        <is>
          <t>regional_panel</t>
        </is>
      </c>
      <c r="F693" s="3" t="n">
        <v>-4.85241</v>
      </c>
      <c r="G693" s="3" t="n"/>
      <c r="H693" s="3" t="n"/>
      <c r="I693" s="3" t="n">
        <v>0.122001</v>
      </c>
      <c r="J693" s="3" t="n">
        <v>-12.5693</v>
      </c>
      <c r="K693" s="3" t="n">
        <v>2.293</v>
      </c>
      <c r="L693" s="3" t="n">
        <v>-17.7055</v>
      </c>
      <c r="M693" s="3" t="n">
        <v>7.02496</v>
      </c>
      <c r="N693" s="3" t="inlineStr">
        <is>
          <t>C4</t>
        </is>
      </c>
      <c r="O693" s="3" t="inlineStr">
        <is>
          <t>no</t>
        </is>
      </c>
      <c r="P693" s="3" t="inlineStr">
        <is>
          <t>no_compite</t>
        </is>
      </c>
      <c r="Q693" s="3" t="inlineStr">
        <is>
          <t>panel_covariables</t>
        </is>
      </c>
      <c r="R693" s="3" t="n"/>
      <c r="S693" s="3" t="inlineStr">
        <is>
          <t>contraste regional (R6); no vota</t>
        </is>
      </c>
      <c r="T693" s="3" t="inlineStr">
        <is>
          <t>output/v8/F5/atribucion_combinada.csv</t>
        </is>
      </c>
      <c r="U693" s="2">
        <f>IF(R693=0,"",F693/R693)</f>
        <v/>
      </c>
      <c r="V693" s="2">
        <f>SUMIFS(F$2:F$1589,A$2:A$1589,A693,C$2:C$1589,C693,E$2:E$1589,E693,Q$2:Q$1589,Q693)</f>
        <v/>
      </c>
    </row>
    <row r="694">
      <c r="A694" s="3" t="inlineStr">
        <is>
          <t>compra</t>
        </is>
      </c>
      <c r="B694" s="3" t="inlineStr">
        <is>
          <t>ccaa:01</t>
        </is>
      </c>
      <c r="C694" s="3" t="inlineStr">
        <is>
          <t>P3</t>
        </is>
      </c>
      <c r="D694" s="3" t="inlineStr">
        <is>
          <t>factor_comun</t>
        </is>
      </c>
      <c r="E694" s="3" t="inlineStr">
        <is>
          <t>regional_panel</t>
        </is>
      </c>
      <c r="F694" s="3" t="n">
        <v>-0.548472</v>
      </c>
      <c r="G694" s="3" t="n"/>
      <c r="H694" s="3" t="n"/>
      <c r="I694" s="3" t="n">
        <v>-0.521769</v>
      </c>
      <c r="J694" s="3" t="n">
        <v>-3.50001</v>
      </c>
      <c r="K694" s="3" t="n">
        <v>2.45383</v>
      </c>
      <c r="L694" s="3" t="n">
        <v>-6.0503</v>
      </c>
      <c r="M694" s="3" t="n">
        <v>3.74556</v>
      </c>
      <c r="N694" s="3" t="inlineStr">
        <is>
          <t>C4</t>
        </is>
      </c>
      <c r="O694" s="3" t="inlineStr">
        <is>
          <t>no</t>
        </is>
      </c>
      <c r="P694" s="3" t="inlineStr">
        <is>
          <t>no_compite</t>
        </is>
      </c>
      <c r="Q694" s="3" t="inlineStr">
        <is>
          <t>panel_covariables</t>
        </is>
      </c>
      <c r="R694" s="3" t="n"/>
      <c r="S694" s="3" t="inlineStr">
        <is>
          <t>contraste regional (R6); no vota</t>
        </is>
      </c>
      <c r="T694" s="3" t="inlineStr">
        <is>
          <t>output/v8/F5/atribucion_combinada.csv</t>
        </is>
      </c>
      <c r="U694" s="2">
        <f>IF(R694=0,"",F694/R694)</f>
        <v/>
      </c>
      <c r="V694" s="2">
        <f>SUMIFS(F$2:F$1589,A$2:A$1589,A694,C$2:C$1589,C694,E$2:E$1589,E694,Q$2:Q$1589,Q694)</f>
        <v/>
      </c>
    </row>
    <row r="695">
      <c r="A695" s="3" t="inlineStr">
        <is>
          <t>compra</t>
        </is>
      </c>
      <c r="B695" s="3" t="inlineStr">
        <is>
          <t>ccaa:01</t>
        </is>
      </c>
      <c r="C695" s="3" t="inlineStr">
        <is>
          <t>P3</t>
        </is>
      </c>
      <c r="D695" s="3" t="inlineStr">
        <is>
          <t>empleo_renta</t>
        </is>
      </c>
      <c r="E695" s="3" t="inlineStr">
        <is>
          <t>regional_panel</t>
        </is>
      </c>
      <c r="F695" s="3" t="n">
        <v>0.778429</v>
      </c>
      <c r="G695" s="3" t="n"/>
      <c r="H695" s="3" t="n"/>
      <c r="I695" s="3" t="n">
        <v>0.74053</v>
      </c>
      <c r="J695" s="3" t="n">
        <v>-0.319123</v>
      </c>
      <c r="K695" s="3" t="n">
        <v>1.88281</v>
      </c>
      <c r="L695" s="3" t="n">
        <v>-1.0641</v>
      </c>
      <c r="M695" s="3" t="n">
        <v>2.70121</v>
      </c>
      <c r="N695" s="3" t="inlineStr">
        <is>
          <t>C4</t>
        </is>
      </c>
      <c r="O695" s="3" t="inlineStr">
        <is>
          <t>si</t>
        </is>
      </c>
      <c r="P695" s="3" t="inlineStr">
        <is>
          <t>no_vota</t>
        </is>
      </c>
      <c r="Q695" s="3" t="inlineStr">
        <is>
          <t>panel_covariables</t>
        </is>
      </c>
      <c r="R695" s="3" t="n"/>
      <c r="S695" s="3" t="inlineStr">
        <is>
          <t>contraste regional (R6); no vota</t>
        </is>
      </c>
      <c r="T695" s="3" t="inlineStr">
        <is>
          <t>output/v8/F5/atribucion_combinada.csv</t>
        </is>
      </c>
      <c r="U695" s="2">
        <f>IF(R695=0,"",F695/R695)</f>
        <v/>
      </c>
      <c r="V695" s="2">
        <f>SUMIFS(F$2:F$1589,A$2:A$1589,A695,C$2:C$1589,C695,E$2:E$1589,E695,Q$2:Q$1589,Q695)</f>
        <v/>
      </c>
    </row>
    <row r="696">
      <c r="A696" s="3" t="inlineStr">
        <is>
          <t>compra</t>
        </is>
      </c>
      <c r="B696" s="3" t="inlineStr">
        <is>
          <t>ccaa:01</t>
        </is>
      </c>
      <c r="C696" s="3" t="inlineStr">
        <is>
          <t>P3</t>
        </is>
      </c>
      <c r="D696" s="3" t="inlineStr">
        <is>
          <t>demografia</t>
        </is>
      </c>
      <c r="E696" s="3" t="inlineStr">
        <is>
          <t>regional_panel</t>
        </is>
      </c>
      <c r="F696" s="3" t="n">
        <v>0.518983</v>
      </c>
      <c r="G696" s="3" t="n"/>
      <c r="H696" s="3" t="n"/>
      <c r="I696" s="3" t="n">
        <v>0.493716</v>
      </c>
      <c r="J696" s="3" t="n">
        <v>0.327439</v>
      </c>
      <c r="K696" s="3" t="n">
        <v>0.8499910000000001</v>
      </c>
      <c r="L696" s="3" t="n">
        <v>0.097734</v>
      </c>
      <c r="M696" s="3" t="n">
        <v>1.12223</v>
      </c>
      <c r="N696" s="3" t="inlineStr">
        <is>
          <t>C4</t>
        </is>
      </c>
      <c r="O696" s="3" t="inlineStr">
        <is>
          <t>si</t>
        </is>
      </c>
      <c r="P696" s="3" t="inlineStr">
        <is>
          <t>no_vota</t>
        </is>
      </c>
      <c r="Q696" s="3" t="inlineStr">
        <is>
          <t>panel_covariables</t>
        </is>
      </c>
      <c r="R696" s="3" t="n"/>
      <c r="S696" s="3" t="inlineStr">
        <is>
          <t>contraste regional (R6); no vota</t>
        </is>
      </c>
      <c r="T696" s="3" t="inlineStr">
        <is>
          <t>output/v8/F5/atribucion_combinada.csv</t>
        </is>
      </c>
      <c r="U696" s="2">
        <f>IF(R696=0,"",F696/R696)</f>
        <v/>
      </c>
      <c r="V696" s="2">
        <f>SUMIFS(F$2:F$1589,A$2:A$1589,A696,C$2:C$1589,C696,E$2:E$1589,E696,Q$2:Q$1589,Q696)</f>
        <v/>
      </c>
    </row>
    <row r="697">
      <c r="A697" s="3" t="inlineStr">
        <is>
          <t>compra</t>
        </is>
      </c>
      <c r="B697" s="3" t="inlineStr">
        <is>
          <t>ccaa:01</t>
        </is>
      </c>
      <c r="C697" s="3" t="inlineStr">
        <is>
          <t>P3</t>
        </is>
      </c>
      <c r="D697" s="3" t="inlineStr">
        <is>
          <t>oferta</t>
        </is>
      </c>
      <c r="E697" s="3" t="inlineStr">
        <is>
          <t>regional_panel</t>
        </is>
      </c>
      <c r="F697" s="3" t="n">
        <v>-0.585073</v>
      </c>
      <c r="G697" s="3" t="n"/>
      <c r="H697" s="3" t="n"/>
      <c r="I697" s="3" t="n">
        <v>-0.556588</v>
      </c>
      <c r="J697" s="3" t="n">
        <v>-0.87815</v>
      </c>
      <c r="K697" s="3" t="n">
        <v>-0.136297</v>
      </c>
      <c r="L697" s="3" t="n">
        <v>-1.18967</v>
      </c>
      <c r="M697" s="3" t="n">
        <v>0.138315</v>
      </c>
      <c r="N697" s="3" t="inlineStr">
        <is>
          <t>C4</t>
        </is>
      </c>
      <c r="O697" s="3" t="inlineStr">
        <is>
          <t>si</t>
        </is>
      </c>
      <c r="P697" s="3" t="inlineStr">
        <is>
          <t>no_vota</t>
        </is>
      </c>
      <c r="Q697" s="3" t="inlineStr">
        <is>
          <t>panel_covariables</t>
        </is>
      </c>
      <c r="R697" s="3" t="n"/>
      <c r="S697" s="3" t="inlineStr">
        <is>
          <t>contraste regional (R6); no vota</t>
        </is>
      </c>
      <c r="T697" s="3" t="inlineStr">
        <is>
          <t>output/v8/F5/atribucion_combinada.csv</t>
        </is>
      </c>
      <c r="U697" s="2">
        <f>IF(R697=0,"",F697/R697)</f>
        <v/>
      </c>
      <c r="V697" s="2">
        <f>SUMIFS(F$2:F$1589,A$2:A$1589,A697,C$2:C$1589,C697,E$2:E$1589,E697,Q$2:Q$1589,Q697)</f>
        <v/>
      </c>
    </row>
    <row r="698">
      <c r="A698" s="3" t="inlineStr">
        <is>
          <t>compra</t>
        </is>
      </c>
      <c r="B698" s="3" t="inlineStr">
        <is>
          <t>ccaa:01</t>
        </is>
      </c>
      <c r="C698" s="3" t="inlineStr">
        <is>
          <t>P3</t>
        </is>
      </c>
      <c r="D698" s="3" t="inlineStr">
        <is>
          <t>demanda_externa</t>
        </is>
      </c>
      <c r="E698" s="3" t="inlineStr">
        <is>
          <t>regional_panel</t>
        </is>
      </c>
      <c r="F698" s="3" t="n">
        <v>0.690341</v>
      </c>
      <c r="G698" s="3" t="n"/>
      <c r="H698" s="3" t="n"/>
      <c r="I698" s="3" t="n">
        <v>0.65673</v>
      </c>
      <c r="J698" s="3" t="n">
        <v>0.28089</v>
      </c>
      <c r="K698" s="3" t="n">
        <v>1.15162</v>
      </c>
      <c r="L698" s="3" t="n">
        <v>-0.026359</v>
      </c>
      <c r="M698" s="3" t="n">
        <v>1.45817</v>
      </c>
      <c r="N698" s="3" t="inlineStr">
        <is>
          <t>C4</t>
        </is>
      </c>
      <c r="O698" s="3" t="inlineStr">
        <is>
          <t>si</t>
        </is>
      </c>
      <c r="P698" s="3" t="inlineStr">
        <is>
          <t>no_vota</t>
        </is>
      </c>
      <c r="Q698" s="3" t="inlineStr">
        <is>
          <t>panel_covariables</t>
        </is>
      </c>
      <c r="R698" s="3" t="n"/>
      <c r="S698" s="3" t="inlineStr">
        <is>
          <t>contraste regional (R6); no vota</t>
        </is>
      </c>
      <c r="T698" s="3" t="inlineStr">
        <is>
          <t>output/v8/F5/atribucion_combinada.csv</t>
        </is>
      </c>
      <c r="U698" s="2">
        <f>IF(R698=0,"",F698/R698)</f>
        <v/>
      </c>
      <c r="V698" s="2">
        <f>SUMIFS(F$2:F$1589,A$2:A$1589,A698,C$2:C$1589,C698,E$2:E$1589,E698,Q$2:Q$1589,Q698)</f>
        <v/>
      </c>
    </row>
    <row r="699">
      <c r="A699" s="3" t="inlineStr">
        <is>
          <t>compra</t>
        </is>
      </c>
      <c r="B699" s="3" t="inlineStr">
        <is>
          <t>ccaa:01</t>
        </is>
      </c>
      <c r="C699" s="3" t="inlineStr">
        <is>
          <t>P3</t>
        </is>
      </c>
      <c r="D699" s="3" t="inlineStr">
        <is>
          <t>residuo</t>
        </is>
      </c>
      <c r="E699" s="3" t="inlineStr">
        <is>
          <t>regional_panel</t>
        </is>
      </c>
      <c r="F699" s="3" t="n">
        <v>0.196971</v>
      </c>
      <c r="G699" s="3" t="n"/>
      <c r="H699" s="3" t="n"/>
      <c r="I699" s="3" t="n">
        <v>0.187381</v>
      </c>
      <c r="J699" s="3" t="n">
        <v>-2.06495</v>
      </c>
      <c r="K699" s="3" t="n">
        <v>2.28844</v>
      </c>
      <c r="L699" s="3" t="n">
        <v>-3.25774</v>
      </c>
      <c r="M699" s="3" t="n">
        <v>4.04356</v>
      </c>
      <c r="N699" s="3" t="inlineStr">
        <is>
          <t>C4</t>
        </is>
      </c>
      <c r="O699" s="3" t="inlineStr">
        <is>
          <t>no</t>
        </is>
      </c>
      <c r="P699" s="3" t="inlineStr">
        <is>
          <t>no_compite</t>
        </is>
      </c>
      <c r="Q699" s="3" t="inlineStr">
        <is>
          <t>panel_covariables</t>
        </is>
      </c>
      <c r="R699" s="3" t="n"/>
      <c r="S699" s="3" t="inlineStr">
        <is>
          <t>contraste regional (R6); no vota</t>
        </is>
      </c>
      <c r="T699" s="3" t="inlineStr">
        <is>
          <t>output/v8/F5/atribucion_combinada.csv</t>
        </is>
      </c>
      <c r="U699" s="2">
        <f>IF(R699=0,"",F699/R699)</f>
        <v/>
      </c>
      <c r="V699" s="2">
        <f>SUMIFS(F$2:F$1589,A$2:A$1589,A699,C$2:C$1589,C699,E$2:E$1589,E699,Q$2:Q$1589,Q699)</f>
        <v/>
      </c>
    </row>
    <row r="700">
      <c r="A700" s="3" t="inlineStr">
        <is>
          <t>compra</t>
        </is>
      </c>
      <c r="B700" s="3" t="inlineStr">
        <is>
          <t>ccaa:02</t>
        </is>
      </c>
      <c r="C700" s="3" t="inlineStr">
        <is>
          <t>P3</t>
        </is>
      </c>
      <c r="D700" s="3" t="inlineStr">
        <is>
          <t>factor_comun</t>
        </is>
      </c>
      <c r="E700" s="3" t="inlineStr">
        <is>
          <t>regional_panel</t>
        </is>
      </c>
      <c r="F700" s="3" t="n">
        <v>-0.548472</v>
      </c>
      <c r="G700" s="3" t="n"/>
      <c r="H700" s="3" t="n"/>
      <c r="I700" s="3" t="n">
        <v>0.23463</v>
      </c>
      <c r="J700" s="3" t="n">
        <v>-3.50001</v>
      </c>
      <c r="K700" s="3" t="n">
        <v>2.45383</v>
      </c>
      <c r="L700" s="3" t="n">
        <v>-6.0503</v>
      </c>
      <c r="M700" s="3" t="n">
        <v>3.74556</v>
      </c>
      <c r="N700" s="3" t="inlineStr">
        <is>
          <t>C4</t>
        </is>
      </c>
      <c r="O700" s="3" t="inlineStr">
        <is>
          <t>no</t>
        </is>
      </c>
      <c r="P700" s="3" t="inlineStr">
        <is>
          <t>no_compite</t>
        </is>
      </c>
      <c r="Q700" s="3" t="inlineStr">
        <is>
          <t>panel_covariables</t>
        </is>
      </c>
      <c r="R700" s="3" t="n"/>
      <c r="S700" s="3" t="inlineStr">
        <is>
          <t>contraste regional (R6); no vota</t>
        </is>
      </c>
      <c r="T700" s="3" t="inlineStr">
        <is>
          <t>output/v8/F5/atribucion_combinada.csv</t>
        </is>
      </c>
      <c r="U700" s="2">
        <f>IF(R700=0,"",F700/R700)</f>
        <v/>
      </c>
      <c r="V700" s="2">
        <f>SUMIFS(F$2:F$1589,A$2:A$1589,A700,C$2:C$1589,C700,E$2:E$1589,E700,Q$2:Q$1589,Q700)</f>
        <v/>
      </c>
    </row>
    <row r="701">
      <c r="A701" s="3" t="inlineStr">
        <is>
          <t>compra</t>
        </is>
      </c>
      <c r="B701" s="3" t="inlineStr">
        <is>
          <t>ccaa:02</t>
        </is>
      </c>
      <c r="C701" s="3" t="inlineStr">
        <is>
          <t>P3</t>
        </is>
      </c>
      <c r="D701" s="3" t="inlineStr">
        <is>
          <t>empleo_renta</t>
        </is>
      </c>
      <c r="E701" s="3" t="inlineStr">
        <is>
          <t>regional_panel</t>
        </is>
      </c>
      <c r="F701" s="3" t="n">
        <v>0.548712</v>
      </c>
      <c r="G701" s="3" t="n"/>
      <c r="H701" s="3" t="n"/>
      <c r="I701" s="3" t="n">
        <v>-0.234732</v>
      </c>
      <c r="J701" s="3" t="n">
        <v>-0.182568</v>
      </c>
      <c r="K701" s="3" t="n">
        <v>1.24794</v>
      </c>
      <c r="L701" s="3" t="n">
        <v>-0.638588</v>
      </c>
      <c r="M701" s="3" t="n">
        <v>1.83908</v>
      </c>
      <c r="N701" s="3" t="inlineStr">
        <is>
          <t>C4</t>
        </is>
      </c>
      <c r="O701" s="3" t="inlineStr">
        <is>
          <t>si</t>
        </is>
      </c>
      <c r="P701" s="3" t="inlineStr">
        <is>
          <t>no_vota</t>
        </is>
      </c>
      <c r="Q701" s="3" t="inlineStr">
        <is>
          <t>panel_covariables</t>
        </is>
      </c>
      <c r="R701" s="3" t="n"/>
      <c r="S701" s="3" t="inlineStr">
        <is>
          <t>contraste regional (R6); no vota</t>
        </is>
      </c>
      <c r="T701" s="3" t="inlineStr">
        <is>
          <t>output/v8/F5/atribucion_combinada.csv</t>
        </is>
      </c>
      <c r="U701" s="2">
        <f>IF(R701=0,"",F701/R701)</f>
        <v/>
      </c>
      <c r="V701" s="2">
        <f>SUMIFS(F$2:F$1589,A$2:A$1589,A701,C$2:C$1589,C701,E$2:E$1589,E701,Q$2:Q$1589,Q701)</f>
        <v/>
      </c>
    </row>
    <row r="702">
      <c r="A702" s="3" t="inlineStr">
        <is>
          <t>compra</t>
        </is>
      </c>
      <c r="B702" s="3" t="inlineStr">
        <is>
          <t>ccaa:02</t>
        </is>
      </c>
      <c r="C702" s="3" t="inlineStr">
        <is>
          <t>P3</t>
        </is>
      </c>
      <c r="D702" s="3" t="inlineStr">
        <is>
          <t>demografia</t>
        </is>
      </c>
      <c r="E702" s="3" t="inlineStr">
        <is>
          <t>regional_panel</t>
        </is>
      </c>
      <c r="F702" s="3" t="n">
        <v>-0.656494</v>
      </c>
      <c r="G702" s="3" t="n"/>
      <c r="H702" s="3" t="n"/>
      <c r="I702" s="3" t="n">
        <v>0.28084</v>
      </c>
      <c r="J702" s="3" t="n">
        <v>-1.51883</v>
      </c>
      <c r="K702" s="3" t="n">
        <v>0.152056</v>
      </c>
      <c r="L702" s="3" t="n">
        <v>-2.10682</v>
      </c>
      <c r="M702" s="3" t="n">
        <v>0.942518</v>
      </c>
      <c r="N702" s="3" t="inlineStr">
        <is>
          <t>C4</t>
        </is>
      </c>
      <c r="O702" s="3" t="inlineStr">
        <is>
          <t>si</t>
        </is>
      </c>
      <c r="P702" s="3" t="inlineStr">
        <is>
          <t>no_vota</t>
        </is>
      </c>
      <c r="Q702" s="3" t="inlineStr">
        <is>
          <t>panel_covariables</t>
        </is>
      </c>
      <c r="R702" s="3" t="n"/>
      <c r="S702" s="3" t="inlineStr">
        <is>
          <t>contraste regional (R6); no vota</t>
        </is>
      </c>
      <c r="T702" s="3" t="inlineStr">
        <is>
          <t>output/v8/F5/atribucion_combinada.csv</t>
        </is>
      </c>
      <c r="U702" s="2">
        <f>IF(R702=0,"",F702/R702)</f>
        <v/>
      </c>
      <c r="V702" s="2">
        <f>SUMIFS(F$2:F$1589,A$2:A$1589,A702,C$2:C$1589,C702,E$2:E$1589,E702,Q$2:Q$1589,Q702)</f>
        <v/>
      </c>
    </row>
    <row r="703">
      <c r="A703" s="3" t="inlineStr">
        <is>
          <t>compra</t>
        </is>
      </c>
      <c r="B703" s="3" t="inlineStr">
        <is>
          <t>ccaa:02</t>
        </is>
      </c>
      <c r="C703" s="3" t="inlineStr">
        <is>
          <t>P3</t>
        </is>
      </c>
      <c r="D703" s="3" t="inlineStr">
        <is>
          <t>oferta</t>
        </is>
      </c>
      <c r="E703" s="3" t="inlineStr">
        <is>
          <t>regional_panel</t>
        </is>
      </c>
      <c r="F703" s="3" t="n">
        <v>-0.188273</v>
      </c>
      <c r="G703" s="3" t="n"/>
      <c r="H703" s="3" t="n"/>
      <c r="I703" s="3" t="n">
        <v>0.080541</v>
      </c>
      <c r="J703" s="3" t="n">
        <v>-0.504452</v>
      </c>
      <c r="K703" s="3" t="n">
        <v>0.105658</v>
      </c>
      <c r="L703" s="3" t="n">
        <v>-0.820495</v>
      </c>
      <c r="M703" s="3" t="n">
        <v>0.287493</v>
      </c>
      <c r="N703" s="3" t="inlineStr">
        <is>
          <t>C4</t>
        </is>
      </c>
      <c r="O703" s="3" t="inlineStr">
        <is>
          <t>si</t>
        </is>
      </c>
      <c r="P703" s="3" t="inlineStr">
        <is>
          <t>no_vota</t>
        </is>
      </c>
      <c r="Q703" s="3" t="inlineStr">
        <is>
          <t>panel_covariables</t>
        </is>
      </c>
      <c r="R703" s="3" t="n"/>
      <c r="S703" s="3" t="inlineStr">
        <is>
          <t>contraste regional (R6); no vota</t>
        </is>
      </c>
      <c r="T703" s="3" t="inlineStr">
        <is>
          <t>output/v8/F5/atribucion_combinada.csv</t>
        </is>
      </c>
      <c r="U703" s="2">
        <f>IF(R703=0,"",F703/R703)</f>
        <v/>
      </c>
      <c r="V703" s="2">
        <f>SUMIFS(F$2:F$1589,A$2:A$1589,A703,C$2:C$1589,C703,E$2:E$1589,E703,Q$2:Q$1589,Q703)</f>
        <v/>
      </c>
    </row>
    <row r="704">
      <c r="A704" s="3" t="inlineStr">
        <is>
          <t>compra</t>
        </is>
      </c>
      <c r="B704" s="3" t="inlineStr">
        <is>
          <t>ccaa:02</t>
        </is>
      </c>
      <c r="C704" s="3" t="inlineStr">
        <is>
          <t>P3</t>
        </is>
      </c>
      <c r="D704" s="3" t="inlineStr">
        <is>
          <t>demanda_externa</t>
        </is>
      </c>
      <c r="E704" s="3" t="inlineStr">
        <is>
          <t>regional_panel</t>
        </is>
      </c>
      <c r="F704" s="3" t="n">
        <v>1.06336</v>
      </c>
      <c r="G704" s="3" t="n"/>
      <c r="H704" s="3" t="n"/>
      <c r="I704" s="3" t="n">
        <v>-0.454894</v>
      </c>
      <c r="J704" s="3" t="n">
        <v>0.424309</v>
      </c>
      <c r="K704" s="3" t="n">
        <v>1.35981</v>
      </c>
      <c r="L704" s="3" t="n">
        <v>-0.0880006</v>
      </c>
      <c r="M704" s="3" t="n">
        <v>1.67431</v>
      </c>
      <c r="N704" s="3" t="inlineStr">
        <is>
          <t>C4</t>
        </is>
      </c>
      <c r="O704" s="3" t="inlineStr">
        <is>
          <t>si</t>
        </is>
      </c>
      <c r="P704" s="3" t="inlineStr">
        <is>
          <t>no_vota</t>
        </is>
      </c>
      <c r="Q704" s="3" t="inlineStr">
        <is>
          <t>panel_covariables</t>
        </is>
      </c>
      <c r="R704" s="3" t="n"/>
      <c r="S704" s="3" t="inlineStr">
        <is>
          <t>contraste regional (R6); no vota</t>
        </is>
      </c>
      <c r="T704" s="3" t="inlineStr">
        <is>
          <t>output/v8/F5/atribucion_combinada.csv</t>
        </is>
      </c>
      <c r="U704" s="2">
        <f>IF(R704=0,"",F704/R704)</f>
        <v/>
      </c>
      <c r="V704" s="2">
        <f>SUMIFS(F$2:F$1589,A$2:A$1589,A704,C$2:C$1589,C704,E$2:E$1589,E704,Q$2:Q$1589,Q704)</f>
        <v/>
      </c>
    </row>
    <row r="705">
      <c r="A705" s="3" t="inlineStr">
        <is>
          <t>compra</t>
        </is>
      </c>
      <c r="B705" s="3" t="inlineStr">
        <is>
          <t>ccaa:02</t>
        </is>
      </c>
      <c r="C705" s="3" t="inlineStr">
        <is>
          <t>P3</t>
        </is>
      </c>
      <c r="D705" s="3" t="inlineStr">
        <is>
          <t>residuo</t>
        </is>
      </c>
      <c r="E705" s="3" t="inlineStr">
        <is>
          <t>regional_panel</t>
        </is>
      </c>
      <c r="F705" s="3" t="n">
        <v>-2.55644</v>
      </c>
      <c r="G705" s="3" t="n"/>
      <c r="H705" s="3" t="n"/>
      <c r="I705" s="3" t="n">
        <v>1.09362</v>
      </c>
      <c r="J705" s="3" t="n">
        <v>-5.63565</v>
      </c>
      <c r="K705" s="3" t="n">
        <v>1.03296</v>
      </c>
      <c r="L705" s="3" t="n">
        <v>-7.39544</v>
      </c>
      <c r="M705" s="3" t="n">
        <v>3.29207</v>
      </c>
      <c r="N705" s="3" t="inlineStr">
        <is>
          <t>C4</t>
        </is>
      </c>
      <c r="O705" s="3" t="inlineStr">
        <is>
          <t>no</t>
        </is>
      </c>
      <c r="P705" s="3" t="inlineStr">
        <is>
          <t>no_compite</t>
        </is>
      </c>
      <c r="Q705" s="3" t="inlineStr">
        <is>
          <t>panel_covariables</t>
        </is>
      </c>
      <c r="R705" s="3" t="n"/>
      <c r="S705" s="3" t="inlineStr">
        <is>
          <t>contraste regional (R6); no vota</t>
        </is>
      </c>
      <c r="T705" s="3" t="inlineStr">
        <is>
          <t>output/v8/F5/atribucion_combinada.csv</t>
        </is>
      </c>
      <c r="U705" s="2">
        <f>IF(R705=0,"",F705/R705)</f>
        <v/>
      </c>
      <c r="V705" s="2">
        <f>SUMIFS(F$2:F$1589,A$2:A$1589,A705,C$2:C$1589,C705,E$2:E$1589,E705,Q$2:Q$1589,Q705)</f>
        <v/>
      </c>
    </row>
    <row r="706">
      <c r="A706" s="3" t="inlineStr">
        <is>
          <t>compra</t>
        </is>
      </c>
      <c r="B706" s="3" t="inlineStr">
        <is>
          <t>ccaa:03</t>
        </is>
      </c>
      <c r="C706" s="3" t="inlineStr">
        <is>
          <t>P3</t>
        </is>
      </c>
      <c r="D706" s="3" t="inlineStr">
        <is>
          <t>factor_comun</t>
        </is>
      </c>
      <c r="E706" s="3" t="inlineStr">
        <is>
          <t>regional_panel</t>
        </is>
      </c>
      <c r="F706" s="3" t="n">
        <v>-0.548472</v>
      </c>
      <c r="G706" s="3" t="n"/>
      <c r="H706" s="3" t="n"/>
      <c r="I706" s="3" t="n">
        <v>0.0557211</v>
      </c>
      <c r="J706" s="3" t="n">
        <v>-3.50001</v>
      </c>
      <c r="K706" s="3" t="n">
        <v>2.45383</v>
      </c>
      <c r="L706" s="3" t="n">
        <v>-6.0503</v>
      </c>
      <c r="M706" s="3" t="n">
        <v>3.74556</v>
      </c>
      <c r="N706" s="3" t="inlineStr">
        <is>
          <t>C4</t>
        </is>
      </c>
      <c r="O706" s="3" t="inlineStr">
        <is>
          <t>no</t>
        </is>
      </c>
      <c r="P706" s="3" t="inlineStr">
        <is>
          <t>no_compite</t>
        </is>
      </c>
      <c r="Q706" s="3" t="inlineStr">
        <is>
          <t>panel_covariables</t>
        </is>
      </c>
      <c r="R706" s="3" t="n"/>
      <c r="S706" s="3" t="inlineStr">
        <is>
          <t>contraste regional (R6); no vota</t>
        </is>
      </c>
      <c r="T706" s="3" t="inlineStr">
        <is>
          <t>output/v8/F5/atribucion_combinada.csv</t>
        </is>
      </c>
      <c r="U706" s="2">
        <f>IF(R706=0,"",F706/R706)</f>
        <v/>
      </c>
      <c r="V706" s="2">
        <f>SUMIFS(F$2:F$1589,A$2:A$1589,A706,C$2:C$1589,C706,E$2:E$1589,E706,Q$2:Q$1589,Q706)</f>
        <v/>
      </c>
    </row>
    <row r="707">
      <c r="A707" s="3" t="inlineStr">
        <is>
          <t>compra</t>
        </is>
      </c>
      <c r="B707" s="3" t="inlineStr">
        <is>
          <t>ccaa:03</t>
        </is>
      </c>
      <c r="C707" s="3" t="inlineStr">
        <is>
          <t>P3</t>
        </is>
      </c>
      <c r="D707" s="3" t="inlineStr">
        <is>
          <t>empleo_renta</t>
        </is>
      </c>
      <c r="E707" s="3" t="inlineStr">
        <is>
          <t>regional_panel</t>
        </is>
      </c>
      <c r="F707" s="3" t="n">
        <v>0.34378</v>
      </c>
      <c r="G707" s="3" t="n"/>
      <c r="H707" s="3" t="n"/>
      <c r="I707" s="3" t="n">
        <v>-0.0349257</v>
      </c>
      <c r="J707" s="3" t="n">
        <v>-0.431825</v>
      </c>
      <c r="K707" s="3" t="n">
        <v>1.14083</v>
      </c>
      <c r="L707" s="3" t="n">
        <v>-1.07903</v>
      </c>
      <c r="M707" s="3" t="n">
        <v>1.79898</v>
      </c>
      <c r="N707" s="3" t="inlineStr">
        <is>
          <t>C4</t>
        </is>
      </c>
      <c r="O707" s="3" t="inlineStr">
        <is>
          <t>si</t>
        </is>
      </c>
      <c r="P707" s="3" t="inlineStr">
        <is>
          <t>no_vota</t>
        </is>
      </c>
      <c r="Q707" s="3" t="inlineStr">
        <is>
          <t>panel_covariables</t>
        </is>
      </c>
      <c r="R707" s="3" t="n"/>
      <c r="S707" s="3" t="inlineStr">
        <is>
          <t>contraste regional (R6); no vota</t>
        </is>
      </c>
      <c r="T707" s="3" t="inlineStr">
        <is>
          <t>output/v8/F5/atribucion_combinada.csv</t>
        </is>
      </c>
      <c r="U707" s="2">
        <f>IF(R707=0,"",F707/R707)</f>
        <v/>
      </c>
      <c r="V707" s="2">
        <f>SUMIFS(F$2:F$1589,A$2:A$1589,A707,C$2:C$1589,C707,E$2:E$1589,E707,Q$2:Q$1589,Q707)</f>
        <v/>
      </c>
    </row>
    <row r="708">
      <c r="A708" s="3" t="inlineStr">
        <is>
          <t>compra</t>
        </is>
      </c>
      <c r="B708" s="3" t="inlineStr">
        <is>
          <t>ccaa:03</t>
        </is>
      </c>
      <c r="C708" s="3" t="inlineStr">
        <is>
          <t>P3</t>
        </is>
      </c>
      <c r="D708" s="3" t="inlineStr">
        <is>
          <t>demografia</t>
        </is>
      </c>
      <c r="E708" s="3" t="inlineStr">
        <is>
          <t>regional_panel</t>
        </is>
      </c>
      <c r="F708" s="3" t="n">
        <v>-3.75236</v>
      </c>
      <c r="G708" s="3" t="n"/>
      <c r="H708" s="3" t="n"/>
      <c r="I708" s="3" t="n">
        <v>0.381215</v>
      </c>
      <c r="J708" s="3" t="n">
        <v>-5.95424</v>
      </c>
      <c r="K708" s="3" t="n">
        <v>-2.33152</v>
      </c>
      <c r="L708" s="3" t="n">
        <v>-7.67097</v>
      </c>
      <c r="M708" s="3" t="n">
        <v>-1.33584</v>
      </c>
      <c r="N708" s="3" t="inlineStr">
        <is>
          <t>C4</t>
        </is>
      </c>
      <c r="O708" s="3" t="inlineStr">
        <is>
          <t>si</t>
        </is>
      </c>
      <c r="P708" s="3" t="inlineStr">
        <is>
          <t>no_vota</t>
        </is>
      </c>
      <c r="Q708" s="3" t="inlineStr">
        <is>
          <t>panel_covariables</t>
        </is>
      </c>
      <c r="R708" s="3" t="n"/>
      <c r="S708" s="3" t="inlineStr">
        <is>
          <t>contraste regional (R6); no vota</t>
        </is>
      </c>
      <c r="T708" s="3" t="inlineStr">
        <is>
          <t>output/v8/F5/atribucion_combinada.csv</t>
        </is>
      </c>
      <c r="U708" s="2">
        <f>IF(R708=0,"",F708/R708)</f>
        <v/>
      </c>
      <c r="V708" s="2">
        <f>SUMIFS(F$2:F$1589,A$2:A$1589,A708,C$2:C$1589,C708,E$2:E$1589,E708,Q$2:Q$1589,Q708)</f>
        <v/>
      </c>
    </row>
    <row r="709">
      <c r="A709" s="3" t="inlineStr">
        <is>
          <t>compra</t>
        </is>
      </c>
      <c r="B709" s="3" t="inlineStr">
        <is>
          <t>ccaa:03</t>
        </is>
      </c>
      <c r="C709" s="3" t="inlineStr">
        <is>
          <t>P3</t>
        </is>
      </c>
      <c r="D709" s="3" t="inlineStr">
        <is>
          <t>oferta</t>
        </is>
      </c>
      <c r="E709" s="3" t="inlineStr">
        <is>
          <t>regional_panel</t>
        </is>
      </c>
      <c r="F709" s="3" t="n">
        <v>-0.630321</v>
      </c>
      <c r="G709" s="3" t="n"/>
      <c r="H709" s="3" t="n"/>
      <c r="I709" s="3" t="n">
        <v>0.0640363</v>
      </c>
      <c r="J709" s="3" t="n">
        <v>-1.38424</v>
      </c>
      <c r="K709" s="3" t="n">
        <v>0.021649</v>
      </c>
      <c r="L709" s="3" t="n">
        <v>-2.1815</v>
      </c>
      <c r="M709" s="3" t="n">
        <v>0.21168</v>
      </c>
      <c r="N709" s="3" t="inlineStr">
        <is>
          <t>C4</t>
        </is>
      </c>
      <c r="O709" s="3" t="inlineStr">
        <is>
          <t>si</t>
        </is>
      </c>
      <c r="P709" s="3" t="inlineStr">
        <is>
          <t>no_vota</t>
        </is>
      </c>
      <c r="Q709" s="3" t="inlineStr">
        <is>
          <t>panel_covariables</t>
        </is>
      </c>
      <c r="R709" s="3" t="n"/>
      <c r="S709" s="3" t="inlineStr">
        <is>
          <t>contraste regional (R6); no vota</t>
        </is>
      </c>
      <c r="T709" s="3" t="inlineStr">
        <is>
          <t>output/v8/F5/atribucion_combinada.csv</t>
        </is>
      </c>
      <c r="U709" s="2">
        <f>IF(R709=0,"",F709/R709)</f>
        <v/>
      </c>
      <c r="V709" s="2">
        <f>SUMIFS(F$2:F$1589,A$2:A$1589,A709,C$2:C$1589,C709,E$2:E$1589,E709,Q$2:Q$1589,Q709)</f>
        <v/>
      </c>
    </row>
    <row r="710">
      <c r="A710" s="3" t="inlineStr">
        <is>
          <t>compra</t>
        </is>
      </c>
      <c r="B710" s="3" t="inlineStr">
        <is>
          <t>ccaa:03</t>
        </is>
      </c>
      <c r="C710" s="3" t="inlineStr">
        <is>
          <t>P3</t>
        </is>
      </c>
      <c r="D710" s="3" t="inlineStr">
        <is>
          <t>demanda_externa</t>
        </is>
      </c>
      <c r="E710" s="3" t="inlineStr">
        <is>
          <t>regional_panel</t>
        </is>
      </c>
      <c r="F710" s="3" t="n">
        <v>1.18655</v>
      </c>
      <c r="G710" s="3" t="n"/>
      <c r="H710" s="3" t="n"/>
      <c r="I710" s="3" t="n">
        <v>-0.120546</v>
      </c>
      <c r="J710" s="3" t="n">
        <v>0.507261</v>
      </c>
      <c r="K710" s="3" t="n">
        <v>1.77598</v>
      </c>
      <c r="L710" s="3" t="n">
        <v>-0.0506824</v>
      </c>
      <c r="M710" s="3" t="n">
        <v>2.15824</v>
      </c>
      <c r="N710" s="3" t="inlineStr">
        <is>
          <t>C4</t>
        </is>
      </c>
      <c r="O710" s="3" t="inlineStr">
        <is>
          <t>si</t>
        </is>
      </c>
      <c r="P710" s="3" t="inlineStr">
        <is>
          <t>no_vota</t>
        </is>
      </c>
      <c r="Q710" s="3" t="inlineStr">
        <is>
          <t>panel_covariables</t>
        </is>
      </c>
      <c r="R710" s="3" t="n"/>
      <c r="S710" s="3" t="inlineStr">
        <is>
          <t>contraste regional (R6); no vota</t>
        </is>
      </c>
      <c r="T710" s="3" t="inlineStr">
        <is>
          <t>output/v8/F5/atribucion_combinada.csv</t>
        </is>
      </c>
      <c r="U710" s="2">
        <f>IF(R710=0,"",F710/R710)</f>
        <v/>
      </c>
      <c r="V710" s="2">
        <f>SUMIFS(F$2:F$1589,A$2:A$1589,A710,C$2:C$1589,C710,E$2:E$1589,E710,Q$2:Q$1589,Q710)</f>
        <v/>
      </c>
    </row>
    <row r="711">
      <c r="A711" s="3" t="inlineStr">
        <is>
          <t>compra</t>
        </is>
      </c>
      <c r="B711" s="3" t="inlineStr">
        <is>
          <t>ccaa:03</t>
        </is>
      </c>
      <c r="C711" s="3" t="inlineStr">
        <is>
          <t>P3</t>
        </is>
      </c>
      <c r="D711" s="3" t="inlineStr">
        <is>
          <t>residuo</t>
        </is>
      </c>
      <c r="E711" s="3" t="inlineStr">
        <is>
          <t>regional_panel</t>
        </is>
      </c>
      <c r="F711" s="3" t="n">
        <v>-6.44236</v>
      </c>
      <c r="G711" s="3" t="n"/>
      <c r="H711" s="3" t="n"/>
      <c r="I711" s="3" t="n">
        <v>0.6545</v>
      </c>
      <c r="J711" s="3" t="n">
        <v>-8.532</v>
      </c>
      <c r="K711" s="3" t="n">
        <v>-3.25115</v>
      </c>
      <c r="L711" s="3" t="n">
        <v>-10.3289</v>
      </c>
      <c r="M711" s="3" t="n">
        <v>-1.39883</v>
      </c>
      <c r="N711" s="3" t="inlineStr">
        <is>
          <t>C4</t>
        </is>
      </c>
      <c r="O711" s="3" t="inlineStr">
        <is>
          <t>no</t>
        </is>
      </c>
      <c r="P711" s="3" t="inlineStr">
        <is>
          <t>no_compite</t>
        </is>
      </c>
      <c r="Q711" s="3" t="inlineStr">
        <is>
          <t>panel_covariables</t>
        </is>
      </c>
      <c r="R711" s="3" t="n"/>
      <c r="S711" s="3" t="inlineStr">
        <is>
          <t>contraste regional (R6); no vota</t>
        </is>
      </c>
      <c r="T711" s="3" t="inlineStr">
        <is>
          <t>output/v8/F5/atribucion_combinada.csv</t>
        </is>
      </c>
      <c r="U711" s="2">
        <f>IF(R711=0,"",F711/R711)</f>
        <v/>
      </c>
      <c r="V711" s="2">
        <f>SUMIFS(F$2:F$1589,A$2:A$1589,A711,C$2:C$1589,C711,E$2:E$1589,E711,Q$2:Q$1589,Q711)</f>
        <v/>
      </c>
    </row>
    <row r="712">
      <c r="A712" s="3" t="inlineStr">
        <is>
          <t>compra</t>
        </is>
      </c>
      <c r="B712" s="3" t="inlineStr">
        <is>
          <t>ccaa:04</t>
        </is>
      </c>
      <c r="C712" s="3" t="inlineStr">
        <is>
          <t>P3</t>
        </is>
      </c>
      <c r="D712" s="3" t="inlineStr">
        <is>
          <t>factor_comun</t>
        </is>
      </c>
      <c r="E712" s="3" t="inlineStr">
        <is>
          <t>regional_panel</t>
        </is>
      </c>
      <c r="F712" s="3" t="n">
        <v>-0.548472</v>
      </c>
      <c r="G712" s="3" t="n"/>
      <c r="H712" s="3" t="n"/>
      <c r="I712" s="3" t="n">
        <v>-0.0308657</v>
      </c>
      <c r="J712" s="3" t="n">
        <v>-3.50001</v>
      </c>
      <c r="K712" s="3" t="n">
        <v>2.45383</v>
      </c>
      <c r="L712" s="3" t="n">
        <v>-6.0503</v>
      </c>
      <c r="M712" s="3" t="n">
        <v>3.74556</v>
      </c>
      <c r="N712" s="3" t="inlineStr">
        <is>
          <t>C4</t>
        </is>
      </c>
      <c r="O712" s="3" t="inlineStr">
        <is>
          <t>no</t>
        </is>
      </c>
      <c r="P712" s="3" t="inlineStr">
        <is>
          <t>no_compite</t>
        </is>
      </c>
      <c r="Q712" s="3" t="inlineStr">
        <is>
          <t>panel_covariables</t>
        </is>
      </c>
      <c r="R712" s="3" t="n"/>
      <c r="S712" s="3" t="inlineStr">
        <is>
          <t>contraste regional (R6); no vota</t>
        </is>
      </c>
      <c r="T712" s="3" t="inlineStr">
        <is>
          <t>output/v8/F5/atribucion_combinada.csv</t>
        </is>
      </c>
      <c r="U712" s="2">
        <f>IF(R712=0,"",F712/R712)</f>
        <v/>
      </c>
      <c r="V712" s="2">
        <f>SUMIFS(F$2:F$1589,A$2:A$1589,A712,C$2:C$1589,C712,E$2:E$1589,E712,Q$2:Q$1589,Q712)</f>
        <v/>
      </c>
    </row>
    <row r="713">
      <c r="A713" s="3" t="inlineStr">
        <is>
          <t>compra</t>
        </is>
      </c>
      <c r="B713" s="3" t="inlineStr">
        <is>
          <t>ccaa:04</t>
        </is>
      </c>
      <c r="C713" s="3" t="inlineStr">
        <is>
          <t>P3</t>
        </is>
      </c>
      <c r="D713" s="3" t="inlineStr">
        <is>
          <t>empleo_renta</t>
        </is>
      </c>
      <c r="E713" s="3" t="inlineStr">
        <is>
          <t>regional_panel</t>
        </is>
      </c>
      <c r="F713" s="3" t="n">
        <v>0.617559</v>
      </c>
      <c r="G713" s="3" t="n"/>
      <c r="H713" s="3" t="n"/>
      <c r="I713" s="3" t="n">
        <v>0.0347536</v>
      </c>
      <c r="J713" s="3" t="n">
        <v>-0.405698</v>
      </c>
      <c r="K713" s="3" t="n">
        <v>1.85935</v>
      </c>
      <c r="L713" s="3" t="n">
        <v>-1.23952</v>
      </c>
      <c r="M713" s="3" t="n">
        <v>2.94172</v>
      </c>
      <c r="N713" s="3" t="inlineStr">
        <is>
          <t>C4</t>
        </is>
      </c>
      <c r="O713" s="3" t="inlineStr">
        <is>
          <t>si</t>
        </is>
      </c>
      <c r="P713" s="3" t="inlineStr">
        <is>
          <t>no_vota</t>
        </is>
      </c>
      <c r="Q713" s="3" t="inlineStr">
        <is>
          <t>panel_covariables</t>
        </is>
      </c>
      <c r="R713" s="3" t="n"/>
      <c r="S713" s="3" t="inlineStr">
        <is>
          <t>contraste regional (R6); no vota</t>
        </is>
      </c>
      <c r="T713" s="3" t="inlineStr">
        <is>
          <t>output/v8/F5/atribucion_combinada.csv</t>
        </is>
      </c>
      <c r="U713" s="2">
        <f>IF(R713=0,"",F713/R713)</f>
        <v/>
      </c>
      <c r="V713" s="2">
        <f>SUMIFS(F$2:F$1589,A$2:A$1589,A713,C$2:C$1589,C713,E$2:E$1589,E713,Q$2:Q$1589,Q713)</f>
        <v/>
      </c>
    </row>
    <row r="714">
      <c r="A714" s="3" t="inlineStr">
        <is>
          <t>compra</t>
        </is>
      </c>
      <c r="B714" s="3" t="inlineStr">
        <is>
          <t>ccaa:04</t>
        </is>
      </c>
      <c r="C714" s="3" t="inlineStr">
        <is>
          <t>P3</t>
        </is>
      </c>
      <c r="D714" s="3" t="inlineStr">
        <is>
          <t>demografia</t>
        </is>
      </c>
      <c r="E714" s="3" t="inlineStr">
        <is>
          <t>regional_panel</t>
        </is>
      </c>
      <c r="F714" s="3" t="n">
        <v>4.83343</v>
      </c>
      <c r="G714" s="3" t="n"/>
      <c r="H714" s="3" t="n"/>
      <c r="I714" s="3" t="n">
        <v>0.272005</v>
      </c>
      <c r="J714" s="3" t="n">
        <v>2.81185</v>
      </c>
      <c r="K714" s="3" t="n">
        <v>8.24357</v>
      </c>
      <c r="L714" s="3" t="n">
        <v>0.984552</v>
      </c>
      <c r="M714" s="3" t="n">
        <v>10.7743</v>
      </c>
      <c r="N714" s="3" t="inlineStr">
        <is>
          <t>C4</t>
        </is>
      </c>
      <c r="O714" s="3" t="inlineStr">
        <is>
          <t>si</t>
        </is>
      </c>
      <c r="P714" s="3" t="inlineStr">
        <is>
          <t>no_vota</t>
        </is>
      </c>
      <c r="Q714" s="3" t="inlineStr">
        <is>
          <t>panel_covariables</t>
        </is>
      </c>
      <c r="R714" s="3" t="n"/>
      <c r="S714" s="3" t="inlineStr">
        <is>
          <t>contraste regional (R6); no vota</t>
        </is>
      </c>
      <c r="T714" s="3" t="inlineStr">
        <is>
          <t>output/v8/F5/atribucion_combinada.csv</t>
        </is>
      </c>
      <c r="U714" s="2">
        <f>IF(R714=0,"",F714/R714)</f>
        <v/>
      </c>
      <c r="V714" s="2">
        <f>SUMIFS(F$2:F$1589,A$2:A$1589,A714,C$2:C$1589,C714,E$2:E$1589,E714,Q$2:Q$1589,Q714)</f>
        <v/>
      </c>
    </row>
    <row r="715">
      <c r="A715" s="3" t="inlineStr">
        <is>
          <t>compra</t>
        </is>
      </c>
      <c r="B715" s="3" t="inlineStr">
        <is>
          <t>ccaa:04</t>
        </is>
      </c>
      <c r="C715" s="3" t="inlineStr">
        <is>
          <t>P3</t>
        </is>
      </c>
      <c r="D715" s="3" t="inlineStr">
        <is>
          <t>oferta</t>
        </is>
      </c>
      <c r="E715" s="3" t="inlineStr">
        <is>
          <t>regional_panel</t>
        </is>
      </c>
      <c r="F715" s="3" t="n">
        <v>-0.455642</v>
      </c>
      <c r="G715" s="3" t="n"/>
      <c r="H715" s="3" t="n"/>
      <c r="I715" s="3" t="n">
        <v>-0.0256416</v>
      </c>
      <c r="J715" s="3" t="n">
        <v>-0.829782</v>
      </c>
      <c r="K715" s="3" t="n">
        <v>-0.0288508</v>
      </c>
      <c r="L715" s="3" t="n">
        <v>-1.16565</v>
      </c>
      <c r="M715" s="3" t="n">
        <v>0.0958864</v>
      </c>
      <c r="N715" s="3" t="inlineStr">
        <is>
          <t>C4</t>
        </is>
      </c>
      <c r="O715" s="3" t="inlineStr">
        <is>
          <t>si</t>
        </is>
      </c>
      <c r="P715" s="3" t="inlineStr">
        <is>
          <t>no_vota</t>
        </is>
      </c>
      <c r="Q715" s="3" t="inlineStr">
        <is>
          <t>panel_covariables</t>
        </is>
      </c>
      <c r="R715" s="3" t="n"/>
      <c r="S715" s="3" t="inlineStr">
        <is>
          <t>contraste regional (R6); no vota</t>
        </is>
      </c>
      <c r="T715" s="3" t="inlineStr">
        <is>
          <t>output/v8/F5/atribucion_combinada.csv</t>
        </is>
      </c>
      <c r="U715" s="2">
        <f>IF(R715=0,"",F715/R715)</f>
        <v/>
      </c>
      <c r="V715" s="2">
        <f>SUMIFS(F$2:F$1589,A$2:A$1589,A715,C$2:C$1589,C715,E$2:E$1589,E715,Q$2:Q$1589,Q715)</f>
        <v/>
      </c>
    </row>
    <row r="716">
      <c r="A716" s="3" t="inlineStr">
        <is>
          <t>compra</t>
        </is>
      </c>
      <c r="B716" s="3" t="inlineStr">
        <is>
          <t>ccaa:04</t>
        </is>
      </c>
      <c r="C716" s="3" t="inlineStr">
        <is>
          <t>P3</t>
        </is>
      </c>
      <c r="D716" s="3" t="inlineStr">
        <is>
          <t>demanda_externa</t>
        </is>
      </c>
      <c r="E716" s="3" t="inlineStr">
        <is>
          <t>regional_panel</t>
        </is>
      </c>
      <c r="F716" s="3" t="n">
        <v>0.556719</v>
      </c>
      <c r="G716" s="3" t="n"/>
      <c r="H716" s="3" t="n"/>
      <c r="I716" s="3" t="n">
        <v>0.0313298</v>
      </c>
      <c r="J716" s="3" t="n">
        <v>0.0485376</v>
      </c>
      <c r="K716" s="3" t="n">
        <v>0.837919</v>
      </c>
      <c r="L716" s="3" t="n">
        <v>-0.251609</v>
      </c>
      <c r="M716" s="3" t="n">
        <v>1.12557</v>
      </c>
      <c r="N716" s="3" t="inlineStr">
        <is>
          <t>C4</t>
        </is>
      </c>
      <c r="O716" s="3" t="inlineStr">
        <is>
          <t>si</t>
        </is>
      </c>
      <c r="P716" s="3" t="inlineStr">
        <is>
          <t>no_vota</t>
        </is>
      </c>
      <c r="Q716" s="3" t="inlineStr">
        <is>
          <t>panel_covariables</t>
        </is>
      </c>
      <c r="R716" s="3" t="n"/>
      <c r="S716" s="3" t="inlineStr">
        <is>
          <t>contraste regional (R6); no vota</t>
        </is>
      </c>
      <c r="T716" s="3" t="inlineStr">
        <is>
          <t>output/v8/F5/atribucion_combinada.csv</t>
        </is>
      </c>
      <c r="U716" s="2">
        <f>IF(R716=0,"",F716/R716)</f>
        <v/>
      </c>
      <c r="V716" s="2">
        <f>SUMIFS(F$2:F$1589,A$2:A$1589,A716,C$2:C$1589,C716,E$2:E$1589,E716,Q$2:Q$1589,Q716)</f>
        <v/>
      </c>
    </row>
    <row r="717">
      <c r="A717" s="3" t="inlineStr">
        <is>
          <t>compra</t>
        </is>
      </c>
      <c r="B717" s="3" t="inlineStr">
        <is>
          <t>ccaa:04</t>
        </is>
      </c>
      <c r="C717" s="3" t="inlineStr">
        <is>
          <t>P3</t>
        </is>
      </c>
      <c r="D717" s="3" t="inlineStr">
        <is>
          <t>residuo</t>
        </is>
      </c>
      <c r="E717" s="3" t="inlineStr">
        <is>
          <t>regional_panel</t>
        </is>
      </c>
      <c r="F717" s="3" t="n">
        <v>12.766</v>
      </c>
      <c r="G717" s="3" t="n"/>
      <c r="H717" s="3" t="n"/>
      <c r="I717" s="3" t="n">
        <v>0.718418</v>
      </c>
      <c r="J717" s="3" t="n">
        <v>6.41735</v>
      </c>
      <c r="K717" s="3" t="n">
        <v>16.75</v>
      </c>
      <c r="L717" s="3" t="n">
        <v>3.45374</v>
      </c>
      <c r="M717" s="3" t="n">
        <v>20.0713</v>
      </c>
      <c r="N717" s="3" t="inlineStr">
        <is>
          <t>C4</t>
        </is>
      </c>
      <c r="O717" s="3" t="inlineStr">
        <is>
          <t>no</t>
        </is>
      </c>
      <c r="P717" s="3" t="inlineStr">
        <is>
          <t>no_compite</t>
        </is>
      </c>
      <c r="Q717" s="3" t="inlineStr">
        <is>
          <t>panel_covariables</t>
        </is>
      </c>
      <c r="R717" s="3" t="n"/>
      <c r="S717" s="3" t="inlineStr">
        <is>
          <t>contraste regional (R6); no vota</t>
        </is>
      </c>
      <c r="T717" s="3" t="inlineStr">
        <is>
          <t>output/v8/F5/atribucion_combinada.csv</t>
        </is>
      </c>
      <c r="U717" s="2">
        <f>IF(R717=0,"",F717/R717)</f>
        <v/>
      </c>
      <c r="V717" s="2">
        <f>SUMIFS(F$2:F$1589,A$2:A$1589,A717,C$2:C$1589,C717,E$2:E$1589,E717,Q$2:Q$1589,Q717)</f>
        <v/>
      </c>
    </row>
    <row r="718">
      <c r="A718" s="3" t="inlineStr">
        <is>
          <t>compra</t>
        </is>
      </c>
      <c r="B718" s="3" t="inlineStr">
        <is>
          <t>ccaa:05</t>
        </is>
      </c>
      <c r="C718" s="3" t="inlineStr">
        <is>
          <t>P3</t>
        </is>
      </c>
      <c r="D718" s="3" t="inlineStr">
        <is>
          <t>factor_comun</t>
        </is>
      </c>
      <c r="E718" s="3" t="inlineStr">
        <is>
          <t>regional_panel</t>
        </is>
      </c>
      <c r="F718" s="3" t="n">
        <v>-0.548472</v>
      </c>
      <c r="G718" s="3" t="n"/>
      <c r="H718" s="3" t="n"/>
      <c r="I718" s="3" t="n">
        <v>-0.0457295</v>
      </c>
      <c r="J718" s="3" t="n">
        <v>-3.50001</v>
      </c>
      <c r="K718" s="3" t="n">
        <v>2.45383</v>
      </c>
      <c r="L718" s="3" t="n">
        <v>-6.0503</v>
      </c>
      <c r="M718" s="3" t="n">
        <v>3.74556</v>
      </c>
      <c r="N718" s="3" t="inlineStr">
        <is>
          <t>C4</t>
        </is>
      </c>
      <c r="O718" s="3" t="inlineStr">
        <is>
          <t>no</t>
        </is>
      </c>
      <c r="P718" s="3" t="inlineStr">
        <is>
          <t>no_compite</t>
        </is>
      </c>
      <c r="Q718" s="3" t="inlineStr">
        <is>
          <t>panel_covariables</t>
        </is>
      </c>
      <c r="R718" s="3" t="n"/>
      <c r="S718" s="3" t="inlineStr">
        <is>
          <t>contraste regional (R6); no vota</t>
        </is>
      </c>
      <c r="T718" s="3" t="inlineStr">
        <is>
          <t>output/v8/F5/atribucion_combinada.csv</t>
        </is>
      </c>
      <c r="U718" s="2">
        <f>IF(R718=0,"",F718/R718)</f>
        <v/>
      </c>
      <c r="V718" s="2">
        <f>SUMIFS(F$2:F$1589,A$2:A$1589,A718,C$2:C$1589,C718,E$2:E$1589,E718,Q$2:Q$1589,Q718)</f>
        <v/>
      </c>
    </row>
    <row r="719">
      <c r="A719" s="3" t="inlineStr">
        <is>
          <t>compra</t>
        </is>
      </c>
      <c r="B719" s="3" t="inlineStr">
        <is>
          <t>ccaa:05</t>
        </is>
      </c>
      <c r="C719" s="3" t="inlineStr">
        <is>
          <t>P3</t>
        </is>
      </c>
      <c r="D719" s="3" t="inlineStr">
        <is>
          <t>empleo_renta</t>
        </is>
      </c>
      <c r="E719" s="3" t="inlineStr">
        <is>
          <t>regional_panel</t>
        </is>
      </c>
      <c r="F719" s="3" t="n">
        <v>0.707705</v>
      </c>
      <c r="G719" s="3" t="n"/>
      <c r="H719" s="3" t="n"/>
      <c r="I719" s="3" t="n">
        <v>0.0590058</v>
      </c>
      <c r="J719" s="3" t="n">
        <v>-0.491789</v>
      </c>
      <c r="K719" s="3" t="n">
        <v>2.19913</v>
      </c>
      <c r="L719" s="3" t="n">
        <v>-1.25191</v>
      </c>
      <c r="M719" s="3" t="n">
        <v>3.15002</v>
      </c>
      <c r="N719" s="3" t="inlineStr">
        <is>
          <t>C4</t>
        </is>
      </c>
      <c r="O719" s="3" t="inlineStr">
        <is>
          <t>si</t>
        </is>
      </c>
      <c r="P719" s="3" t="inlineStr">
        <is>
          <t>no_vota</t>
        </is>
      </c>
      <c r="Q719" s="3" t="inlineStr">
        <is>
          <t>panel_covariables</t>
        </is>
      </c>
      <c r="R719" s="3" t="n"/>
      <c r="S719" s="3" t="inlineStr">
        <is>
          <t>contraste regional (R6); no vota</t>
        </is>
      </c>
      <c r="T719" s="3" t="inlineStr">
        <is>
          <t>output/v8/F5/atribucion_combinada.csv</t>
        </is>
      </c>
      <c r="U719" s="2">
        <f>IF(R719=0,"",F719/R719)</f>
        <v/>
      </c>
      <c r="V719" s="2">
        <f>SUMIFS(F$2:F$1589,A$2:A$1589,A719,C$2:C$1589,C719,E$2:E$1589,E719,Q$2:Q$1589,Q719)</f>
        <v/>
      </c>
    </row>
    <row r="720">
      <c r="A720" s="3" t="inlineStr">
        <is>
          <t>compra</t>
        </is>
      </c>
      <c r="B720" s="3" t="inlineStr">
        <is>
          <t>ccaa:05</t>
        </is>
      </c>
      <c r="C720" s="3" t="inlineStr">
        <is>
          <t>P3</t>
        </is>
      </c>
      <c r="D720" s="3" t="inlineStr">
        <is>
          <t>demografia</t>
        </is>
      </c>
      <c r="E720" s="3" t="inlineStr">
        <is>
          <t>regional_panel</t>
        </is>
      </c>
      <c r="F720" s="3" t="n">
        <v>2.80025</v>
      </c>
      <c r="G720" s="3" t="n"/>
      <c r="H720" s="3" t="n"/>
      <c r="I720" s="3" t="n">
        <v>0.233475</v>
      </c>
      <c r="J720" s="3" t="n">
        <v>1.59738</v>
      </c>
      <c r="K720" s="3" t="n">
        <v>5.01615</v>
      </c>
      <c r="L720" s="3" t="n">
        <v>0.473099</v>
      </c>
      <c r="M720" s="3" t="n">
        <v>6.32918</v>
      </c>
      <c r="N720" s="3" t="inlineStr">
        <is>
          <t>C4</t>
        </is>
      </c>
      <c r="O720" s="3" t="inlineStr">
        <is>
          <t>si</t>
        </is>
      </c>
      <c r="P720" s="3" t="inlineStr">
        <is>
          <t>no_vota</t>
        </is>
      </c>
      <c r="Q720" s="3" t="inlineStr">
        <is>
          <t>panel_covariables</t>
        </is>
      </c>
      <c r="R720" s="3" t="n"/>
      <c r="S720" s="3" t="inlineStr">
        <is>
          <t>contraste regional (R6); no vota</t>
        </is>
      </c>
      <c r="T720" s="3" t="inlineStr">
        <is>
          <t>output/v8/F5/atribucion_combinada.csv</t>
        </is>
      </c>
      <c r="U720" s="2">
        <f>IF(R720=0,"",F720/R720)</f>
        <v/>
      </c>
      <c r="V720" s="2">
        <f>SUMIFS(F$2:F$1589,A$2:A$1589,A720,C$2:C$1589,C720,E$2:E$1589,E720,Q$2:Q$1589,Q720)</f>
        <v/>
      </c>
    </row>
    <row r="721">
      <c r="A721" s="3" t="inlineStr">
        <is>
          <t>compra</t>
        </is>
      </c>
      <c r="B721" s="3" t="inlineStr">
        <is>
          <t>ccaa:05</t>
        </is>
      </c>
      <c r="C721" s="3" t="inlineStr">
        <is>
          <t>P3</t>
        </is>
      </c>
      <c r="D721" s="3" t="inlineStr">
        <is>
          <t>oferta</t>
        </is>
      </c>
      <c r="E721" s="3" t="inlineStr">
        <is>
          <t>regional_panel</t>
        </is>
      </c>
      <c r="F721" s="3" t="n">
        <v>-0.72605</v>
      </c>
      <c r="G721" s="3" t="n"/>
      <c r="H721" s="3" t="n"/>
      <c r="I721" s="3" t="n">
        <v>-0.0605353</v>
      </c>
      <c r="J721" s="3" t="n">
        <v>-1.13171</v>
      </c>
      <c r="K721" s="3" t="n">
        <v>-0.0254186</v>
      </c>
      <c r="L721" s="3" t="n">
        <v>-1.57004</v>
      </c>
      <c r="M721" s="3" t="n">
        <v>0.300593</v>
      </c>
      <c r="N721" s="3" t="inlineStr">
        <is>
          <t>C4</t>
        </is>
      </c>
      <c r="O721" s="3" t="inlineStr">
        <is>
          <t>si</t>
        </is>
      </c>
      <c r="P721" s="3" t="inlineStr">
        <is>
          <t>no_vota</t>
        </is>
      </c>
      <c r="Q721" s="3" t="inlineStr">
        <is>
          <t>panel_covariables</t>
        </is>
      </c>
      <c r="R721" s="3" t="n"/>
      <c r="S721" s="3" t="inlineStr">
        <is>
          <t>contraste regional (R6); no vota</t>
        </is>
      </c>
      <c r="T721" s="3" t="inlineStr">
        <is>
          <t>output/v8/F5/atribucion_combinada.csv</t>
        </is>
      </c>
      <c r="U721" s="2">
        <f>IF(R721=0,"",F721/R721)</f>
        <v/>
      </c>
      <c r="V721" s="2">
        <f>SUMIFS(F$2:F$1589,A$2:A$1589,A721,C$2:C$1589,C721,E$2:E$1589,E721,Q$2:Q$1589,Q721)</f>
        <v/>
      </c>
    </row>
    <row r="722">
      <c r="A722" s="3" t="inlineStr">
        <is>
          <t>compra</t>
        </is>
      </c>
      <c r="B722" s="3" t="inlineStr">
        <is>
          <t>ccaa:05</t>
        </is>
      </c>
      <c r="C722" s="3" t="inlineStr">
        <is>
          <t>P3</t>
        </is>
      </c>
      <c r="D722" s="3" t="inlineStr">
        <is>
          <t>demanda_externa</t>
        </is>
      </c>
      <c r="E722" s="3" t="inlineStr">
        <is>
          <t>regional_panel</t>
        </is>
      </c>
      <c r="F722" s="3" t="n">
        <v>0.214309</v>
      </c>
      <c r="G722" s="3" t="n"/>
      <c r="H722" s="3" t="n"/>
      <c r="I722" s="3" t="n">
        <v>0.0178683</v>
      </c>
      <c r="J722" s="3" t="n">
        <v>-0.147253</v>
      </c>
      <c r="K722" s="3" t="n">
        <v>0.400629</v>
      </c>
      <c r="L722" s="3" t="n">
        <v>-0.61339</v>
      </c>
      <c r="M722" s="3" t="n">
        <v>0.676567</v>
      </c>
      <c r="N722" s="3" t="inlineStr">
        <is>
          <t>C4</t>
        </is>
      </c>
      <c r="O722" s="3" t="inlineStr">
        <is>
          <t>si</t>
        </is>
      </c>
      <c r="P722" s="3" t="inlineStr">
        <is>
          <t>no_vota</t>
        </is>
      </c>
      <c r="Q722" s="3" t="inlineStr">
        <is>
          <t>panel_covariables</t>
        </is>
      </c>
      <c r="R722" s="3" t="n"/>
      <c r="S722" s="3" t="inlineStr">
        <is>
          <t>contraste regional (R6); no vota</t>
        </is>
      </c>
      <c r="T722" s="3" t="inlineStr">
        <is>
          <t>output/v8/F5/atribucion_combinada.csv</t>
        </is>
      </c>
      <c r="U722" s="2">
        <f>IF(R722=0,"",F722/R722)</f>
        <v/>
      </c>
      <c r="V722" s="2">
        <f>SUMIFS(F$2:F$1589,A$2:A$1589,A722,C$2:C$1589,C722,E$2:E$1589,E722,Q$2:Q$1589,Q722)</f>
        <v/>
      </c>
    </row>
    <row r="723">
      <c r="A723" s="3" t="inlineStr">
        <is>
          <t>compra</t>
        </is>
      </c>
      <c r="B723" s="3" t="inlineStr">
        <is>
          <t>ccaa:05</t>
        </is>
      </c>
      <c r="C723" s="3" t="inlineStr">
        <is>
          <t>P3</t>
        </is>
      </c>
      <c r="D723" s="3" t="inlineStr">
        <is>
          <t>residuo</t>
        </is>
      </c>
      <c r="E723" s="3" t="inlineStr">
        <is>
          <t>regional_panel</t>
        </is>
      </c>
      <c r="F723" s="3" t="n">
        <v>9.54608</v>
      </c>
      <c r="G723" s="3" t="n"/>
      <c r="H723" s="3" t="n"/>
      <c r="I723" s="3" t="n">
        <v>0.795916</v>
      </c>
      <c r="J723" s="3" t="n">
        <v>5.85657</v>
      </c>
      <c r="K723" s="3" t="n">
        <v>11.9991</v>
      </c>
      <c r="L723" s="3" t="n">
        <v>4.01665</v>
      </c>
      <c r="M723" s="3" t="n">
        <v>13.3996</v>
      </c>
      <c r="N723" s="3" t="inlineStr">
        <is>
          <t>C4</t>
        </is>
      </c>
      <c r="O723" s="3" t="inlineStr">
        <is>
          <t>no</t>
        </is>
      </c>
      <c r="P723" s="3" t="inlineStr">
        <is>
          <t>no_compite</t>
        </is>
      </c>
      <c r="Q723" s="3" t="inlineStr">
        <is>
          <t>panel_covariables</t>
        </is>
      </c>
      <c r="R723" s="3" t="n"/>
      <c r="S723" s="3" t="inlineStr">
        <is>
          <t>contraste regional (R6); no vota</t>
        </is>
      </c>
      <c r="T723" s="3" t="inlineStr">
        <is>
          <t>output/v8/F5/atribucion_combinada.csv</t>
        </is>
      </c>
      <c r="U723" s="2">
        <f>IF(R723=0,"",F723/R723)</f>
        <v/>
      </c>
      <c r="V723" s="2">
        <f>SUMIFS(F$2:F$1589,A$2:A$1589,A723,C$2:C$1589,C723,E$2:E$1589,E723,Q$2:Q$1589,Q723)</f>
        <v/>
      </c>
    </row>
    <row r="724">
      <c r="A724" s="3" t="inlineStr">
        <is>
          <t>compra</t>
        </is>
      </c>
      <c r="B724" s="3" t="inlineStr">
        <is>
          <t>ccaa:06</t>
        </is>
      </c>
      <c r="C724" s="3" t="inlineStr">
        <is>
          <t>P3</t>
        </is>
      </c>
      <c r="D724" s="3" t="inlineStr">
        <is>
          <t>factor_comun</t>
        </is>
      </c>
      <c r="E724" s="3" t="inlineStr">
        <is>
          <t>regional_panel</t>
        </is>
      </c>
      <c r="F724" s="3" t="n">
        <v>-0.548472</v>
      </c>
      <c r="G724" s="3" t="n"/>
      <c r="H724" s="3" t="n"/>
      <c r="I724" s="3" t="n">
        <v>0.08490010000000001</v>
      </c>
      <c r="J724" s="3" t="n">
        <v>-3.50001</v>
      </c>
      <c r="K724" s="3" t="n">
        <v>2.45383</v>
      </c>
      <c r="L724" s="3" t="n">
        <v>-6.0503</v>
      </c>
      <c r="M724" s="3" t="n">
        <v>3.74556</v>
      </c>
      <c r="N724" s="3" t="inlineStr">
        <is>
          <t>C4</t>
        </is>
      </c>
      <c r="O724" s="3" t="inlineStr">
        <is>
          <t>no</t>
        </is>
      </c>
      <c r="P724" s="3" t="inlineStr">
        <is>
          <t>no_compite</t>
        </is>
      </c>
      <c r="Q724" s="3" t="inlineStr">
        <is>
          <t>panel_covariables</t>
        </is>
      </c>
      <c r="R724" s="3" t="n"/>
      <c r="S724" s="3" t="inlineStr">
        <is>
          <t>contraste regional (R6); no vota</t>
        </is>
      </c>
      <c r="T724" s="3" t="inlineStr">
        <is>
          <t>output/v8/F5/atribucion_combinada.csv</t>
        </is>
      </c>
      <c r="U724" s="2">
        <f>IF(R724=0,"",F724/R724)</f>
        <v/>
      </c>
      <c r="V724" s="2">
        <f>SUMIFS(F$2:F$1589,A$2:A$1589,A724,C$2:C$1589,C724,E$2:E$1589,E724,Q$2:Q$1589,Q724)</f>
        <v/>
      </c>
    </row>
    <row r="725">
      <c r="A725" s="3" t="inlineStr">
        <is>
          <t>compra</t>
        </is>
      </c>
      <c r="B725" s="3" t="inlineStr">
        <is>
          <t>ccaa:06</t>
        </is>
      </c>
      <c r="C725" s="3" t="inlineStr">
        <is>
          <t>P3</t>
        </is>
      </c>
      <c r="D725" s="3" t="inlineStr">
        <is>
          <t>empleo_renta</t>
        </is>
      </c>
      <c r="E725" s="3" t="inlineStr">
        <is>
          <t>regional_panel</t>
        </is>
      </c>
      <c r="F725" s="3" t="n">
        <v>0.442053</v>
      </c>
      <c r="G725" s="3" t="n"/>
      <c r="H725" s="3" t="n"/>
      <c r="I725" s="3" t="n">
        <v>-0.068427</v>
      </c>
      <c r="J725" s="3" t="n">
        <v>-0.189121</v>
      </c>
      <c r="K725" s="3" t="n">
        <v>0.890429</v>
      </c>
      <c r="L725" s="3" t="n">
        <v>-0.736007</v>
      </c>
      <c r="M725" s="3" t="n">
        <v>1.2308</v>
      </c>
      <c r="N725" s="3" t="inlineStr">
        <is>
          <t>C4</t>
        </is>
      </c>
      <c r="O725" s="3" t="inlineStr">
        <is>
          <t>si</t>
        </is>
      </c>
      <c r="P725" s="3" t="inlineStr">
        <is>
          <t>no_vota</t>
        </is>
      </c>
      <c r="Q725" s="3" t="inlineStr">
        <is>
          <t>panel_covariables</t>
        </is>
      </c>
      <c r="R725" s="3" t="n"/>
      <c r="S725" s="3" t="inlineStr">
        <is>
          <t>contraste regional (R6); no vota</t>
        </is>
      </c>
      <c r="T725" s="3" t="inlineStr">
        <is>
          <t>output/v8/F5/atribucion_combinada.csv</t>
        </is>
      </c>
      <c r="U725" s="2">
        <f>IF(R725=0,"",F725/R725)</f>
        <v/>
      </c>
      <c r="V725" s="2">
        <f>SUMIFS(F$2:F$1589,A$2:A$1589,A725,C$2:C$1589,C725,E$2:E$1589,E725,Q$2:Q$1589,Q725)</f>
        <v/>
      </c>
    </row>
    <row r="726">
      <c r="A726" s="3" t="inlineStr">
        <is>
          <t>compra</t>
        </is>
      </c>
      <c r="B726" s="3" t="inlineStr">
        <is>
          <t>ccaa:06</t>
        </is>
      </c>
      <c r="C726" s="3" t="inlineStr">
        <is>
          <t>P3</t>
        </is>
      </c>
      <c r="D726" s="3" t="inlineStr">
        <is>
          <t>demografia</t>
        </is>
      </c>
      <c r="E726" s="3" t="inlineStr">
        <is>
          <t>regional_panel</t>
        </is>
      </c>
      <c r="F726" s="3" t="n">
        <v>-0.933163</v>
      </c>
      <c r="G726" s="3" t="n"/>
      <c r="H726" s="3" t="n"/>
      <c r="I726" s="3" t="n">
        <v>0.144448</v>
      </c>
      <c r="J726" s="3" t="n">
        <v>-1.4319</v>
      </c>
      <c r="K726" s="3" t="n">
        <v>-0.456146</v>
      </c>
      <c r="L726" s="3" t="n">
        <v>-2.15096</v>
      </c>
      <c r="M726" s="3" t="n">
        <v>-0.108619</v>
      </c>
      <c r="N726" s="3" t="inlineStr">
        <is>
          <t>C4</t>
        </is>
      </c>
      <c r="O726" s="3" t="inlineStr">
        <is>
          <t>si</t>
        </is>
      </c>
      <c r="P726" s="3" t="inlineStr">
        <is>
          <t>no_vota</t>
        </is>
      </c>
      <c r="Q726" s="3" t="inlineStr">
        <is>
          <t>panel_covariables</t>
        </is>
      </c>
      <c r="R726" s="3" t="n"/>
      <c r="S726" s="3" t="inlineStr">
        <is>
          <t>contraste regional (R6); no vota</t>
        </is>
      </c>
      <c r="T726" s="3" t="inlineStr">
        <is>
          <t>output/v8/F5/atribucion_combinada.csv</t>
        </is>
      </c>
      <c r="U726" s="2">
        <f>IF(R726=0,"",F726/R726)</f>
        <v/>
      </c>
      <c r="V726" s="2">
        <f>SUMIFS(F$2:F$1589,A$2:A$1589,A726,C$2:C$1589,C726,E$2:E$1589,E726,Q$2:Q$1589,Q726)</f>
        <v/>
      </c>
    </row>
    <row r="727">
      <c r="A727" s="3" t="inlineStr">
        <is>
          <t>compra</t>
        </is>
      </c>
      <c r="B727" s="3" t="inlineStr">
        <is>
          <t>ccaa:06</t>
        </is>
      </c>
      <c r="C727" s="3" t="inlineStr">
        <is>
          <t>P3</t>
        </is>
      </c>
      <c r="D727" s="3" t="inlineStr">
        <is>
          <t>oferta</t>
        </is>
      </c>
      <c r="E727" s="3" t="inlineStr">
        <is>
          <t>regional_panel</t>
        </is>
      </c>
      <c r="F727" s="3" t="n">
        <v>-0.398281</v>
      </c>
      <c r="G727" s="3" t="n"/>
      <c r="H727" s="3" t="n"/>
      <c r="I727" s="3" t="n">
        <v>0.0616514</v>
      </c>
      <c r="J727" s="3" t="n">
        <v>-0.636639</v>
      </c>
      <c r="K727" s="3" t="n">
        <v>0.0112526</v>
      </c>
      <c r="L727" s="3" t="n">
        <v>-0.858755</v>
      </c>
      <c r="M727" s="3" t="n">
        <v>0.169835</v>
      </c>
      <c r="N727" s="3" t="inlineStr">
        <is>
          <t>C4</t>
        </is>
      </c>
      <c r="O727" s="3" t="inlineStr">
        <is>
          <t>si</t>
        </is>
      </c>
      <c r="P727" s="3" t="inlineStr">
        <is>
          <t>no_vota</t>
        </is>
      </c>
      <c r="Q727" s="3" t="inlineStr">
        <is>
          <t>panel_covariables</t>
        </is>
      </c>
      <c r="R727" s="3" t="n"/>
      <c r="S727" s="3" t="inlineStr">
        <is>
          <t>contraste regional (R6); no vota</t>
        </is>
      </c>
      <c r="T727" s="3" t="inlineStr">
        <is>
          <t>output/v8/F5/atribucion_combinada.csv</t>
        </is>
      </c>
      <c r="U727" s="2">
        <f>IF(R727=0,"",F727/R727)</f>
        <v/>
      </c>
      <c r="V727" s="2">
        <f>SUMIFS(F$2:F$1589,A$2:A$1589,A727,C$2:C$1589,C727,E$2:E$1589,E727,Q$2:Q$1589,Q727)</f>
        <v/>
      </c>
    </row>
    <row r="728">
      <c r="A728" s="3" t="inlineStr">
        <is>
          <t>compra</t>
        </is>
      </c>
      <c r="B728" s="3" t="inlineStr">
        <is>
          <t>ccaa:06</t>
        </is>
      </c>
      <c r="C728" s="3" t="inlineStr">
        <is>
          <t>P3</t>
        </is>
      </c>
      <c r="D728" s="3" t="inlineStr">
        <is>
          <t>demanda_externa</t>
        </is>
      </c>
      <c r="E728" s="3" t="inlineStr">
        <is>
          <t>regional_panel</t>
        </is>
      </c>
      <c r="F728" s="3" t="n">
        <v>1.28507</v>
      </c>
      <c r="G728" s="3" t="n"/>
      <c r="H728" s="3" t="n"/>
      <c r="I728" s="3" t="n">
        <v>-0.198921</v>
      </c>
      <c r="J728" s="3" t="n">
        <v>0.394842</v>
      </c>
      <c r="K728" s="3" t="n">
        <v>2.5316</v>
      </c>
      <c r="L728" s="3" t="n">
        <v>-0.0310794</v>
      </c>
      <c r="M728" s="3" t="n">
        <v>3.37726</v>
      </c>
      <c r="N728" s="3" t="inlineStr">
        <is>
          <t>C4</t>
        </is>
      </c>
      <c r="O728" s="3" t="inlineStr">
        <is>
          <t>si</t>
        </is>
      </c>
      <c r="P728" s="3" t="inlineStr">
        <is>
          <t>no_vota</t>
        </is>
      </c>
      <c r="Q728" s="3" t="inlineStr">
        <is>
          <t>panel_covariables</t>
        </is>
      </c>
      <c r="R728" s="3" t="n"/>
      <c r="S728" s="3" t="inlineStr">
        <is>
          <t>contraste regional (R6); no vota</t>
        </is>
      </c>
      <c r="T728" s="3" t="inlineStr">
        <is>
          <t>output/v8/F5/atribucion_combinada.csv</t>
        </is>
      </c>
      <c r="U728" s="2">
        <f>IF(R728=0,"",F728/R728)</f>
        <v/>
      </c>
      <c r="V728" s="2">
        <f>SUMIFS(F$2:F$1589,A$2:A$1589,A728,C$2:C$1589,C728,E$2:E$1589,E728,Q$2:Q$1589,Q728)</f>
        <v/>
      </c>
    </row>
    <row r="729">
      <c r="A729" s="3" t="inlineStr">
        <is>
          <t>compra</t>
        </is>
      </c>
      <c r="B729" s="3" t="inlineStr">
        <is>
          <t>ccaa:06</t>
        </is>
      </c>
      <c r="C729" s="3" t="inlineStr">
        <is>
          <t>P3</t>
        </is>
      </c>
      <c r="D729" s="3" t="inlineStr">
        <is>
          <t>residuo</t>
        </is>
      </c>
      <c r="E729" s="3" t="inlineStr">
        <is>
          <t>regional_panel</t>
        </is>
      </c>
      <c r="F729" s="3" t="n">
        <v>-6.30741</v>
      </c>
      <c r="G729" s="3" t="n"/>
      <c r="H729" s="3" t="n"/>
      <c r="I729" s="3" t="n">
        <v>0.976349</v>
      </c>
      <c r="J729" s="3" t="n">
        <v>-10.9798</v>
      </c>
      <c r="K729" s="3" t="n">
        <v>-2.29946</v>
      </c>
      <c r="L729" s="3" t="n">
        <v>-13.2048</v>
      </c>
      <c r="M729" s="3" t="n">
        <v>0.525048</v>
      </c>
      <c r="N729" s="3" t="inlineStr">
        <is>
          <t>C4</t>
        </is>
      </c>
      <c r="O729" s="3" t="inlineStr">
        <is>
          <t>no</t>
        </is>
      </c>
      <c r="P729" s="3" t="inlineStr">
        <is>
          <t>no_compite</t>
        </is>
      </c>
      <c r="Q729" s="3" t="inlineStr">
        <is>
          <t>panel_covariables</t>
        </is>
      </c>
      <c r="R729" s="3" t="n"/>
      <c r="S729" s="3" t="inlineStr">
        <is>
          <t>contraste regional (R6); no vota</t>
        </is>
      </c>
      <c r="T729" s="3" t="inlineStr">
        <is>
          <t>output/v8/F5/atribucion_combinada.csv</t>
        </is>
      </c>
      <c r="U729" s="2">
        <f>IF(R729=0,"",F729/R729)</f>
        <v/>
      </c>
      <c r="V729" s="2">
        <f>SUMIFS(F$2:F$1589,A$2:A$1589,A729,C$2:C$1589,C729,E$2:E$1589,E729,Q$2:Q$1589,Q729)</f>
        <v/>
      </c>
    </row>
    <row r="730">
      <c r="A730" s="3" t="inlineStr">
        <is>
          <t>compra</t>
        </is>
      </c>
      <c r="B730" s="3" t="inlineStr">
        <is>
          <t>ccaa:07</t>
        </is>
      </c>
      <c r="C730" s="3" t="inlineStr">
        <is>
          <t>P3</t>
        </is>
      </c>
      <c r="D730" s="3" t="inlineStr">
        <is>
          <t>factor_comun</t>
        </is>
      </c>
      <c r="E730" s="3" t="inlineStr">
        <is>
          <t>regional_panel</t>
        </is>
      </c>
      <c r="F730" s="3" t="n">
        <v>-0.548472</v>
      </c>
      <c r="G730" s="3" t="n"/>
      <c r="H730" s="3" t="n"/>
      <c r="I730" s="3" t="n">
        <v>0.0566727</v>
      </c>
      <c r="J730" s="3" t="n">
        <v>-3.50001</v>
      </c>
      <c r="K730" s="3" t="n">
        <v>2.45383</v>
      </c>
      <c r="L730" s="3" t="n">
        <v>-6.0503</v>
      </c>
      <c r="M730" s="3" t="n">
        <v>3.74556</v>
      </c>
      <c r="N730" s="3" t="inlineStr">
        <is>
          <t>C4</t>
        </is>
      </c>
      <c r="O730" s="3" t="inlineStr">
        <is>
          <t>no</t>
        </is>
      </c>
      <c r="P730" s="3" t="inlineStr">
        <is>
          <t>no_compite</t>
        </is>
      </c>
      <c r="Q730" s="3" t="inlineStr">
        <is>
          <t>panel_covariables</t>
        </is>
      </c>
      <c r="R730" s="3" t="n"/>
      <c r="S730" s="3" t="inlineStr">
        <is>
          <t>contraste regional (R6); no vota</t>
        </is>
      </c>
      <c r="T730" s="3" t="inlineStr">
        <is>
          <t>output/v8/F5/atribucion_combinada.csv</t>
        </is>
      </c>
      <c r="U730" s="2">
        <f>IF(R730=0,"",F730/R730)</f>
        <v/>
      </c>
      <c r="V730" s="2">
        <f>SUMIFS(F$2:F$1589,A$2:A$1589,A730,C$2:C$1589,C730,E$2:E$1589,E730,Q$2:Q$1589,Q730)</f>
        <v/>
      </c>
    </row>
    <row r="731">
      <c r="A731" s="3" t="inlineStr">
        <is>
          <t>compra</t>
        </is>
      </c>
      <c r="B731" s="3" t="inlineStr">
        <is>
          <t>ccaa:07</t>
        </is>
      </c>
      <c r="C731" s="3" t="inlineStr">
        <is>
          <t>P3</t>
        </is>
      </c>
      <c r="D731" s="3" t="inlineStr">
        <is>
          <t>empleo_renta</t>
        </is>
      </c>
      <c r="E731" s="3" t="inlineStr">
        <is>
          <t>regional_panel</t>
        </is>
      </c>
      <c r="F731" s="3" t="n">
        <v>0.421076</v>
      </c>
      <c r="G731" s="3" t="n"/>
      <c r="H731" s="3" t="n"/>
      <c r="I731" s="3" t="n">
        <v>-0.0435091</v>
      </c>
      <c r="J731" s="3" t="n">
        <v>-0.137061</v>
      </c>
      <c r="K731" s="3" t="n">
        <v>0.944698</v>
      </c>
      <c r="L731" s="3" t="n">
        <v>-0.67183</v>
      </c>
      <c r="M731" s="3" t="n">
        <v>1.26469</v>
      </c>
      <c r="N731" s="3" t="inlineStr">
        <is>
          <t>C4</t>
        </is>
      </c>
      <c r="O731" s="3" t="inlineStr">
        <is>
          <t>si</t>
        </is>
      </c>
      <c r="P731" s="3" t="inlineStr">
        <is>
          <t>no_vota</t>
        </is>
      </c>
      <c r="Q731" s="3" t="inlineStr">
        <is>
          <t>panel_covariables</t>
        </is>
      </c>
      <c r="R731" s="3" t="n"/>
      <c r="S731" s="3" t="inlineStr">
        <is>
          <t>contraste regional (R6); no vota</t>
        </is>
      </c>
      <c r="T731" s="3" t="inlineStr">
        <is>
          <t>output/v8/F5/atribucion_combinada.csv</t>
        </is>
      </c>
      <c r="U731" s="2">
        <f>IF(R731=0,"",F731/R731)</f>
        <v/>
      </c>
      <c r="V731" s="2">
        <f>SUMIFS(F$2:F$1589,A$2:A$1589,A731,C$2:C$1589,C731,E$2:E$1589,E731,Q$2:Q$1589,Q731)</f>
        <v/>
      </c>
    </row>
    <row r="732">
      <c r="A732" s="3" t="inlineStr">
        <is>
          <t>compra</t>
        </is>
      </c>
      <c r="B732" s="3" t="inlineStr">
        <is>
          <t>ccaa:07</t>
        </is>
      </c>
      <c r="C732" s="3" t="inlineStr">
        <is>
          <t>P3</t>
        </is>
      </c>
      <c r="D732" s="3" t="inlineStr">
        <is>
          <t>demografia</t>
        </is>
      </c>
      <c r="E732" s="3" t="inlineStr">
        <is>
          <t>regional_panel</t>
        </is>
      </c>
      <c r="F732" s="3" t="n">
        <v>-3.72676</v>
      </c>
      <c r="G732" s="3" t="n"/>
      <c r="H732" s="3" t="n"/>
      <c r="I732" s="3" t="n">
        <v>0.38508</v>
      </c>
      <c r="J732" s="3" t="n">
        <v>-5.89834</v>
      </c>
      <c r="K732" s="3" t="n">
        <v>-2.33138</v>
      </c>
      <c r="L732" s="3" t="n">
        <v>-7.63506</v>
      </c>
      <c r="M732" s="3" t="n">
        <v>-1.37724</v>
      </c>
      <c r="N732" s="3" t="inlineStr">
        <is>
          <t>C4</t>
        </is>
      </c>
      <c r="O732" s="3" t="inlineStr">
        <is>
          <t>si</t>
        </is>
      </c>
      <c r="P732" s="3" t="inlineStr">
        <is>
          <t>no_vota</t>
        </is>
      </c>
      <c r="Q732" s="3" t="inlineStr">
        <is>
          <t>panel_covariables</t>
        </is>
      </c>
      <c r="R732" s="3" t="n"/>
      <c r="S732" s="3" t="inlineStr">
        <is>
          <t>contraste regional (R6); no vota</t>
        </is>
      </c>
      <c r="T732" s="3" t="inlineStr">
        <is>
          <t>output/v8/F5/atribucion_combinada.csv</t>
        </is>
      </c>
      <c r="U732" s="2">
        <f>IF(R732=0,"",F732/R732)</f>
        <v/>
      </c>
      <c r="V732" s="2">
        <f>SUMIFS(F$2:F$1589,A$2:A$1589,A732,C$2:C$1589,C732,E$2:E$1589,E732,Q$2:Q$1589,Q732)</f>
        <v/>
      </c>
    </row>
    <row r="733">
      <c r="A733" s="3" t="inlineStr">
        <is>
          <t>compra</t>
        </is>
      </c>
      <c r="B733" s="3" t="inlineStr">
        <is>
          <t>ccaa:07</t>
        </is>
      </c>
      <c r="C733" s="3" t="inlineStr">
        <is>
          <t>P3</t>
        </is>
      </c>
      <c r="D733" s="3" t="inlineStr">
        <is>
          <t>oferta</t>
        </is>
      </c>
      <c r="E733" s="3" t="inlineStr">
        <is>
          <t>regional_panel</t>
        </is>
      </c>
      <c r="F733" s="3" t="n">
        <v>-0.318982</v>
      </c>
      <c r="G733" s="3" t="n"/>
      <c r="H733" s="3" t="n"/>
      <c r="I733" s="3" t="n">
        <v>0.0329599</v>
      </c>
      <c r="J733" s="3" t="n">
        <v>-0.417753</v>
      </c>
      <c r="K733" s="3" t="n">
        <v>-0.082894</v>
      </c>
      <c r="L733" s="3" t="n">
        <v>-0.503708</v>
      </c>
      <c r="M733" s="3" t="n">
        <v>0.106557</v>
      </c>
      <c r="N733" s="3" t="inlineStr">
        <is>
          <t>C4</t>
        </is>
      </c>
      <c r="O733" s="3" t="inlineStr">
        <is>
          <t>si</t>
        </is>
      </c>
      <c r="P733" s="3" t="inlineStr">
        <is>
          <t>no_vota</t>
        </is>
      </c>
      <c r="Q733" s="3" t="inlineStr">
        <is>
          <t>panel_covariables</t>
        </is>
      </c>
      <c r="R733" s="3" t="n"/>
      <c r="S733" s="3" t="inlineStr">
        <is>
          <t>contraste regional (R6); no vota</t>
        </is>
      </c>
      <c r="T733" s="3" t="inlineStr">
        <is>
          <t>output/v8/F5/atribucion_combinada.csv</t>
        </is>
      </c>
      <c r="U733" s="2">
        <f>IF(R733=0,"",F733/R733)</f>
        <v/>
      </c>
      <c r="V733" s="2">
        <f>SUMIFS(F$2:F$1589,A$2:A$1589,A733,C$2:C$1589,C733,E$2:E$1589,E733,Q$2:Q$1589,Q733)</f>
        <v/>
      </c>
    </row>
    <row r="734">
      <c r="A734" s="3" t="inlineStr">
        <is>
          <t>compra</t>
        </is>
      </c>
      <c r="B734" s="3" t="inlineStr">
        <is>
          <t>ccaa:07</t>
        </is>
      </c>
      <c r="C734" s="3" t="inlineStr">
        <is>
          <t>P3</t>
        </is>
      </c>
      <c r="D734" s="3" t="inlineStr">
        <is>
          <t>demanda_externa</t>
        </is>
      </c>
      <c r="E734" s="3" t="inlineStr">
        <is>
          <t>regional_panel</t>
        </is>
      </c>
      <c r="F734" s="3" t="n">
        <v>1.45438</v>
      </c>
      <c r="G734" s="3" t="n"/>
      <c r="H734" s="3" t="n"/>
      <c r="I734" s="3" t="n">
        <v>-0.150278</v>
      </c>
      <c r="J734" s="3" t="n">
        <v>0.639859</v>
      </c>
      <c r="K734" s="3" t="n">
        <v>2.19167</v>
      </c>
      <c r="L734" s="3" t="n">
        <v>-0.0672985</v>
      </c>
      <c r="M734" s="3" t="n">
        <v>2.54952</v>
      </c>
      <c r="N734" s="3" t="inlineStr">
        <is>
          <t>C4</t>
        </is>
      </c>
      <c r="O734" s="3" t="inlineStr">
        <is>
          <t>si</t>
        </is>
      </c>
      <c r="P734" s="3" t="inlineStr">
        <is>
          <t>no_vota</t>
        </is>
      </c>
      <c r="Q734" s="3" t="inlineStr">
        <is>
          <t>panel_covariables</t>
        </is>
      </c>
      <c r="R734" s="3" t="n"/>
      <c r="S734" s="3" t="inlineStr">
        <is>
          <t>contraste regional (R6); no vota</t>
        </is>
      </c>
      <c r="T734" s="3" t="inlineStr">
        <is>
          <t>output/v8/F5/atribucion_combinada.csv</t>
        </is>
      </c>
      <c r="U734" s="2">
        <f>IF(R734=0,"",F734/R734)</f>
        <v/>
      </c>
      <c r="V734" s="2">
        <f>SUMIFS(F$2:F$1589,A$2:A$1589,A734,C$2:C$1589,C734,E$2:E$1589,E734,Q$2:Q$1589,Q734)</f>
        <v/>
      </c>
    </row>
    <row r="735">
      <c r="A735" s="3" t="inlineStr">
        <is>
          <t>compra</t>
        </is>
      </c>
      <c r="B735" s="3" t="inlineStr">
        <is>
          <t>ccaa:07</t>
        </is>
      </c>
      <c r="C735" s="3" t="inlineStr">
        <is>
          <t>P3</t>
        </is>
      </c>
      <c r="D735" s="3" t="inlineStr">
        <is>
          <t>residuo</t>
        </is>
      </c>
      <c r="E735" s="3" t="inlineStr">
        <is>
          <t>regional_panel</t>
        </is>
      </c>
      <c r="F735" s="3" t="n">
        <v>-6.95912</v>
      </c>
      <c r="G735" s="3" t="n"/>
      <c r="H735" s="3" t="n"/>
      <c r="I735" s="3" t="n">
        <v>0.719075</v>
      </c>
      <c r="J735" s="3" t="n">
        <v>-8.802619999999999</v>
      </c>
      <c r="K735" s="3" t="n">
        <v>-3.94182</v>
      </c>
      <c r="L735" s="3" t="n">
        <v>-10.1326</v>
      </c>
      <c r="M735" s="3" t="n">
        <v>-1.70387</v>
      </c>
      <c r="N735" s="3" t="inlineStr">
        <is>
          <t>C4</t>
        </is>
      </c>
      <c r="O735" s="3" t="inlineStr">
        <is>
          <t>no</t>
        </is>
      </c>
      <c r="P735" s="3" t="inlineStr">
        <is>
          <t>no_compite</t>
        </is>
      </c>
      <c r="Q735" s="3" t="inlineStr">
        <is>
          <t>panel_covariables</t>
        </is>
      </c>
      <c r="R735" s="3" t="n"/>
      <c r="S735" s="3" t="inlineStr">
        <is>
          <t>contraste regional (R6); no vota</t>
        </is>
      </c>
      <c r="T735" s="3" t="inlineStr">
        <is>
          <t>output/v8/F5/atribucion_combinada.csv</t>
        </is>
      </c>
      <c r="U735" s="2">
        <f>IF(R735=0,"",F735/R735)</f>
        <v/>
      </c>
      <c r="V735" s="2">
        <f>SUMIFS(F$2:F$1589,A$2:A$1589,A735,C$2:C$1589,C735,E$2:E$1589,E735,Q$2:Q$1589,Q735)</f>
        <v/>
      </c>
    </row>
    <row r="736">
      <c r="A736" s="3" t="inlineStr">
        <is>
          <t>compra</t>
        </is>
      </c>
      <c r="B736" s="3" t="inlineStr">
        <is>
          <t>ccaa:08</t>
        </is>
      </c>
      <c r="C736" s="3" t="inlineStr">
        <is>
          <t>P3</t>
        </is>
      </c>
      <c r="D736" s="3" t="inlineStr">
        <is>
          <t>factor_comun</t>
        </is>
      </c>
      <c r="E736" s="3" t="inlineStr">
        <is>
          <t>regional_panel</t>
        </is>
      </c>
      <c r="F736" s="3" t="n">
        <v>-0.548472</v>
      </c>
      <c r="G736" s="3" t="n"/>
      <c r="H736" s="3" t="n"/>
      <c r="I736" s="3" t="n">
        <v>0.06399729999999999</v>
      </c>
      <c r="J736" s="3" t="n">
        <v>-3.50001</v>
      </c>
      <c r="K736" s="3" t="n">
        <v>2.45383</v>
      </c>
      <c r="L736" s="3" t="n">
        <v>-6.0503</v>
      </c>
      <c r="M736" s="3" t="n">
        <v>3.74556</v>
      </c>
      <c r="N736" s="3" t="inlineStr">
        <is>
          <t>C4</t>
        </is>
      </c>
      <c r="O736" s="3" t="inlineStr">
        <is>
          <t>no</t>
        </is>
      </c>
      <c r="P736" s="3" t="inlineStr">
        <is>
          <t>no_compite</t>
        </is>
      </c>
      <c r="Q736" s="3" t="inlineStr">
        <is>
          <t>panel_covariables</t>
        </is>
      </c>
      <c r="R736" s="3" t="n"/>
      <c r="S736" s="3" t="inlineStr">
        <is>
          <t>contraste regional (R6); no vota</t>
        </is>
      </c>
      <c r="T736" s="3" t="inlineStr">
        <is>
          <t>output/v8/F5/atribucion_combinada.csv</t>
        </is>
      </c>
      <c r="U736" s="2">
        <f>IF(R736=0,"",F736/R736)</f>
        <v/>
      </c>
      <c r="V736" s="2">
        <f>SUMIFS(F$2:F$1589,A$2:A$1589,A736,C$2:C$1589,C736,E$2:E$1589,E736,Q$2:Q$1589,Q736)</f>
        <v/>
      </c>
    </row>
    <row r="737">
      <c r="A737" s="3" t="inlineStr">
        <is>
          <t>compra</t>
        </is>
      </c>
      <c r="B737" s="3" t="inlineStr">
        <is>
          <t>ccaa:08</t>
        </is>
      </c>
      <c r="C737" s="3" t="inlineStr">
        <is>
          <t>P3</t>
        </is>
      </c>
      <c r="D737" s="3" t="inlineStr">
        <is>
          <t>empleo_renta</t>
        </is>
      </c>
      <c r="E737" s="3" t="inlineStr">
        <is>
          <t>regional_panel</t>
        </is>
      </c>
      <c r="F737" s="3" t="n">
        <v>0.63994</v>
      </c>
      <c r="G737" s="3" t="n"/>
      <c r="H737" s="3" t="n"/>
      <c r="I737" s="3" t="n">
        <v>-0.07467</v>
      </c>
      <c r="J737" s="3" t="n">
        <v>-0.0408231</v>
      </c>
      <c r="K737" s="3" t="n">
        <v>1.59877</v>
      </c>
      <c r="L737" s="3" t="n">
        <v>-0.612065</v>
      </c>
      <c r="M737" s="3" t="n">
        <v>2.30317</v>
      </c>
      <c r="N737" s="3" t="inlineStr">
        <is>
          <t>C4</t>
        </is>
      </c>
      <c r="O737" s="3" t="inlineStr">
        <is>
          <t>si</t>
        </is>
      </c>
      <c r="P737" s="3" t="inlineStr">
        <is>
          <t>no_vota</t>
        </is>
      </c>
      <c r="Q737" s="3" t="inlineStr">
        <is>
          <t>panel_covariables</t>
        </is>
      </c>
      <c r="R737" s="3" t="n"/>
      <c r="S737" s="3" t="inlineStr">
        <is>
          <t>contraste regional (R6); no vota</t>
        </is>
      </c>
      <c r="T737" s="3" t="inlineStr">
        <is>
          <t>output/v8/F5/atribucion_combinada.csv</t>
        </is>
      </c>
      <c r="U737" s="2">
        <f>IF(R737=0,"",F737/R737)</f>
        <v/>
      </c>
      <c r="V737" s="2">
        <f>SUMIFS(F$2:F$1589,A$2:A$1589,A737,C$2:C$1589,C737,E$2:E$1589,E737,Q$2:Q$1589,Q737)</f>
        <v/>
      </c>
    </row>
    <row r="738">
      <c r="A738" s="3" t="inlineStr">
        <is>
          <t>compra</t>
        </is>
      </c>
      <c r="B738" s="3" t="inlineStr">
        <is>
          <t>ccaa:08</t>
        </is>
      </c>
      <c r="C738" s="3" t="inlineStr">
        <is>
          <t>P3</t>
        </is>
      </c>
      <c r="D738" s="3" t="inlineStr">
        <is>
          <t>demografia</t>
        </is>
      </c>
      <c r="E738" s="3" t="inlineStr">
        <is>
          <t>regional_panel</t>
        </is>
      </c>
      <c r="F738" s="3" t="n">
        <v>-1.77694</v>
      </c>
      <c r="G738" s="3" t="n"/>
      <c r="H738" s="3" t="n"/>
      <c r="I738" s="3" t="n">
        <v>0.207338</v>
      </c>
      <c r="J738" s="3" t="n">
        <v>-2.93551</v>
      </c>
      <c r="K738" s="3" t="n">
        <v>-1.01543</v>
      </c>
      <c r="L738" s="3" t="n">
        <v>-3.81126</v>
      </c>
      <c r="M738" s="3" t="n">
        <v>-0.454145</v>
      </c>
      <c r="N738" s="3" t="inlineStr">
        <is>
          <t>C4</t>
        </is>
      </c>
      <c r="O738" s="3" t="inlineStr">
        <is>
          <t>si</t>
        </is>
      </c>
      <c r="P738" s="3" t="inlineStr">
        <is>
          <t>no_vota</t>
        </is>
      </c>
      <c r="Q738" s="3" t="inlineStr">
        <is>
          <t>panel_covariables</t>
        </is>
      </c>
      <c r="R738" s="3" t="n"/>
      <c r="S738" s="3" t="inlineStr">
        <is>
          <t>contraste regional (R6); no vota</t>
        </is>
      </c>
      <c r="T738" s="3" t="inlineStr">
        <is>
          <t>output/v8/F5/atribucion_combinada.csv</t>
        </is>
      </c>
      <c r="U738" s="2">
        <f>IF(R738=0,"",F738/R738)</f>
        <v/>
      </c>
      <c r="V738" s="2">
        <f>SUMIFS(F$2:F$1589,A$2:A$1589,A738,C$2:C$1589,C738,E$2:E$1589,E738,Q$2:Q$1589,Q738)</f>
        <v/>
      </c>
    </row>
    <row r="739">
      <c r="A739" s="3" t="inlineStr">
        <is>
          <t>compra</t>
        </is>
      </c>
      <c r="B739" s="3" t="inlineStr">
        <is>
          <t>ccaa:08</t>
        </is>
      </c>
      <c r="C739" s="3" t="inlineStr">
        <is>
          <t>P3</t>
        </is>
      </c>
      <c r="D739" s="3" t="inlineStr">
        <is>
          <t>oferta</t>
        </is>
      </c>
      <c r="E739" s="3" t="inlineStr">
        <is>
          <t>regional_panel</t>
        </is>
      </c>
      <c r="F739" s="3" t="n">
        <v>-0.16176</v>
      </c>
      <c r="G739" s="3" t="n"/>
      <c r="H739" s="3" t="n"/>
      <c r="I739" s="3" t="n">
        <v>0.0188746</v>
      </c>
      <c r="J739" s="3" t="n">
        <v>-0.261832</v>
      </c>
      <c r="K739" s="3" t="n">
        <v>0.00670541</v>
      </c>
      <c r="L739" s="3" t="n">
        <v>-0.385368</v>
      </c>
      <c r="M739" s="3" t="n">
        <v>0.06726699999999999</v>
      </c>
      <c r="N739" s="3" t="inlineStr">
        <is>
          <t>C4</t>
        </is>
      </c>
      <c r="O739" s="3" t="inlineStr">
        <is>
          <t>si</t>
        </is>
      </c>
      <c r="P739" s="3" t="inlineStr">
        <is>
          <t>no_vota</t>
        </is>
      </c>
      <c r="Q739" s="3" t="inlineStr">
        <is>
          <t>panel_covariables</t>
        </is>
      </c>
      <c r="R739" s="3" t="n"/>
      <c r="S739" s="3" t="inlineStr">
        <is>
          <t>contraste regional (R6); no vota</t>
        </is>
      </c>
      <c r="T739" s="3" t="inlineStr">
        <is>
          <t>output/v8/F5/atribucion_combinada.csv</t>
        </is>
      </c>
      <c r="U739" s="2">
        <f>IF(R739=0,"",F739/R739)</f>
        <v/>
      </c>
      <c r="V739" s="2">
        <f>SUMIFS(F$2:F$1589,A$2:A$1589,A739,C$2:C$1589,C739,E$2:E$1589,E739,Q$2:Q$1589,Q739)</f>
        <v/>
      </c>
    </row>
    <row r="740">
      <c r="A740" s="3" t="inlineStr">
        <is>
          <t>compra</t>
        </is>
      </c>
      <c r="B740" s="3" t="inlineStr">
        <is>
          <t>ccaa:08</t>
        </is>
      </c>
      <c r="C740" s="3" t="inlineStr">
        <is>
          <t>P3</t>
        </is>
      </c>
      <c r="D740" s="3" t="inlineStr">
        <is>
          <t>demanda_externa</t>
        </is>
      </c>
      <c r="E740" s="3" t="inlineStr">
        <is>
          <t>regional_panel</t>
        </is>
      </c>
      <c r="F740" s="3" t="n">
        <v>1.60184</v>
      </c>
      <c r="G740" s="3" t="n"/>
      <c r="H740" s="3" t="n"/>
      <c r="I740" s="3" t="n">
        <v>-0.186907</v>
      </c>
      <c r="J740" s="3" t="n">
        <v>0.679443</v>
      </c>
      <c r="K740" s="3" t="n">
        <v>2.42634</v>
      </c>
      <c r="L740" s="3" t="n">
        <v>-0.07590710000000001</v>
      </c>
      <c r="M740" s="3" t="n">
        <v>2.80522</v>
      </c>
      <c r="N740" s="3" t="inlineStr">
        <is>
          <t>C4</t>
        </is>
      </c>
      <c r="O740" s="3" t="inlineStr">
        <is>
          <t>si</t>
        </is>
      </c>
      <c r="P740" s="3" t="inlineStr">
        <is>
          <t>no_vota</t>
        </is>
      </c>
      <c r="Q740" s="3" t="inlineStr">
        <is>
          <t>panel_covariables</t>
        </is>
      </c>
      <c r="R740" s="3" t="n"/>
      <c r="S740" s="3" t="inlineStr">
        <is>
          <t>contraste regional (R6); no vota</t>
        </is>
      </c>
      <c r="T740" s="3" t="inlineStr">
        <is>
          <t>output/v8/F5/atribucion_combinada.csv</t>
        </is>
      </c>
      <c r="U740" s="2">
        <f>IF(R740=0,"",F740/R740)</f>
        <v/>
      </c>
      <c r="V740" s="2">
        <f>SUMIFS(F$2:F$1589,A$2:A$1589,A740,C$2:C$1589,C740,E$2:E$1589,E740,Q$2:Q$1589,Q740)</f>
        <v/>
      </c>
    </row>
    <row r="741">
      <c r="A741" s="3" t="inlineStr">
        <is>
          <t>compra</t>
        </is>
      </c>
      <c r="B741" s="3" t="inlineStr">
        <is>
          <t>ccaa:08</t>
        </is>
      </c>
      <c r="C741" s="3" t="inlineStr">
        <is>
          <t>P3</t>
        </is>
      </c>
      <c r="D741" s="3" t="inlineStr">
        <is>
          <t>residuo</t>
        </is>
      </c>
      <c r="E741" s="3" t="inlineStr">
        <is>
          <t>regional_panel</t>
        </is>
      </c>
      <c r="F741" s="3" t="n">
        <v>-8.324859999999999</v>
      </c>
      <c r="G741" s="3" t="n"/>
      <c r="H741" s="3" t="n"/>
      <c r="I741" s="3" t="n">
        <v>0.971368</v>
      </c>
      <c r="J741" s="3" t="n">
        <v>-10.3546</v>
      </c>
      <c r="K741" s="3" t="n">
        <v>-5.99393</v>
      </c>
      <c r="L741" s="3" t="n">
        <v>-11.2054</v>
      </c>
      <c r="M741" s="3" t="n">
        <v>-4.55851</v>
      </c>
      <c r="N741" s="3" t="inlineStr">
        <is>
          <t>C4</t>
        </is>
      </c>
      <c r="O741" s="3" t="inlineStr">
        <is>
          <t>no</t>
        </is>
      </c>
      <c r="P741" s="3" t="inlineStr">
        <is>
          <t>no_compite</t>
        </is>
      </c>
      <c r="Q741" s="3" t="inlineStr">
        <is>
          <t>panel_covariables</t>
        </is>
      </c>
      <c r="R741" s="3" t="n"/>
      <c r="S741" s="3" t="inlineStr">
        <is>
          <t>contraste regional (R6); no vota</t>
        </is>
      </c>
      <c r="T741" s="3" t="inlineStr">
        <is>
          <t>output/v8/F5/atribucion_combinada.csv</t>
        </is>
      </c>
      <c r="U741" s="2">
        <f>IF(R741=0,"",F741/R741)</f>
        <v/>
      </c>
      <c r="V741" s="2">
        <f>SUMIFS(F$2:F$1589,A$2:A$1589,A741,C$2:C$1589,C741,E$2:E$1589,E741,Q$2:Q$1589,Q741)</f>
        <v/>
      </c>
    </row>
    <row r="742">
      <c r="A742" s="3" t="inlineStr">
        <is>
          <t>compra</t>
        </is>
      </c>
      <c r="B742" s="3" t="inlineStr">
        <is>
          <t>ccaa:09</t>
        </is>
      </c>
      <c r="C742" s="3" t="inlineStr">
        <is>
          <t>P3</t>
        </is>
      </c>
      <c r="D742" s="3" t="inlineStr">
        <is>
          <t>factor_comun</t>
        </is>
      </c>
      <c r="E742" s="3" t="inlineStr">
        <is>
          <t>regional_panel</t>
        </is>
      </c>
      <c r="F742" s="3" t="n">
        <v>-0.548472</v>
      </c>
      <c r="G742" s="3" t="n"/>
      <c r="H742" s="3" t="n"/>
      <c r="I742" s="3" t="n">
        <v>-0.0480597</v>
      </c>
      <c r="J742" s="3" t="n">
        <v>-3.50001</v>
      </c>
      <c r="K742" s="3" t="n">
        <v>2.45383</v>
      </c>
      <c r="L742" s="3" t="n">
        <v>-6.0503</v>
      </c>
      <c r="M742" s="3" t="n">
        <v>3.74556</v>
      </c>
      <c r="N742" s="3" t="inlineStr">
        <is>
          <t>C4</t>
        </is>
      </c>
      <c r="O742" s="3" t="inlineStr">
        <is>
          <t>no</t>
        </is>
      </c>
      <c r="P742" s="3" t="inlineStr">
        <is>
          <t>no_compite</t>
        </is>
      </c>
      <c r="Q742" s="3" t="inlineStr">
        <is>
          <t>panel_covariables</t>
        </is>
      </c>
      <c r="R742" s="3" t="n"/>
      <c r="S742" s="3" t="inlineStr">
        <is>
          <t>contraste regional (R6); no vota</t>
        </is>
      </c>
      <c r="T742" s="3" t="inlineStr">
        <is>
          <t>output/v8/F5/atribucion_combinada.csv</t>
        </is>
      </c>
      <c r="U742" s="2">
        <f>IF(R742=0,"",F742/R742)</f>
        <v/>
      </c>
      <c r="V742" s="2">
        <f>SUMIFS(F$2:F$1589,A$2:A$1589,A742,C$2:C$1589,C742,E$2:E$1589,E742,Q$2:Q$1589,Q742)</f>
        <v/>
      </c>
    </row>
    <row r="743">
      <c r="A743" s="3" t="inlineStr">
        <is>
          <t>compra</t>
        </is>
      </c>
      <c r="B743" s="3" t="inlineStr">
        <is>
          <t>ccaa:09</t>
        </is>
      </c>
      <c r="C743" s="3" t="inlineStr">
        <is>
          <t>P3</t>
        </is>
      </c>
      <c r="D743" s="3" t="inlineStr">
        <is>
          <t>empleo_renta</t>
        </is>
      </c>
      <c r="E743" s="3" t="inlineStr">
        <is>
          <t>regional_panel</t>
        </is>
      </c>
      <c r="F743" s="3" t="n">
        <v>0.586863</v>
      </c>
      <c r="G743" s="3" t="n"/>
      <c r="H743" s="3" t="n"/>
      <c r="I743" s="3" t="n">
        <v>0.0514237</v>
      </c>
      <c r="J743" s="3" t="n">
        <v>-0.0809901</v>
      </c>
      <c r="K743" s="3" t="n">
        <v>1.3533</v>
      </c>
      <c r="L743" s="3" t="n">
        <v>-0.699389</v>
      </c>
      <c r="M743" s="3" t="n">
        <v>1.79471</v>
      </c>
      <c r="N743" s="3" t="inlineStr">
        <is>
          <t>C4</t>
        </is>
      </c>
      <c r="O743" s="3" t="inlineStr">
        <is>
          <t>si</t>
        </is>
      </c>
      <c r="P743" s="3" t="inlineStr">
        <is>
          <t>no_vota</t>
        </is>
      </c>
      <c r="Q743" s="3" t="inlineStr">
        <is>
          <t>panel_covariables</t>
        </is>
      </c>
      <c r="R743" s="3" t="n"/>
      <c r="S743" s="3" t="inlineStr">
        <is>
          <t>contraste regional (R6); no vota</t>
        </is>
      </c>
      <c r="T743" s="3" t="inlineStr">
        <is>
          <t>output/v8/F5/atribucion_combinada.csv</t>
        </is>
      </c>
      <c r="U743" s="2">
        <f>IF(R743=0,"",F743/R743)</f>
        <v/>
      </c>
      <c r="V743" s="2">
        <f>SUMIFS(F$2:F$1589,A$2:A$1589,A743,C$2:C$1589,C743,E$2:E$1589,E743,Q$2:Q$1589,Q743)</f>
        <v/>
      </c>
    </row>
    <row r="744">
      <c r="A744" s="3" t="inlineStr">
        <is>
          <t>compra</t>
        </is>
      </c>
      <c r="B744" s="3" t="inlineStr">
        <is>
          <t>ccaa:09</t>
        </is>
      </c>
      <c r="C744" s="3" t="inlineStr">
        <is>
          <t>P3</t>
        </is>
      </c>
      <c r="D744" s="3" t="inlineStr">
        <is>
          <t>demografia</t>
        </is>
      </c>
      <c r="E744" s="3" t="inlineStr">
        <is>
          <t>regional_panel</t>
        </is>
      </c>
      <c r="F744" s="3" t="n">
        <v>2.12685</v>
      </c>
      <c r="G744" s="3" t="n"/>
      <c r="H744" s="3" t="n"/>
      <c r="I744" s="3" t="n">
        <v>0.186365</v>
      </c>
      <c r="J744" s="3" t="n">
        <v>1.05998</v>
      </c>
      <c r="K744" s="3" t="n">
        <v>4.59567</v>
      </c>
      <c r="L744" s="3" t="n">
        <v>0.194903</v>
      </c>
      <c r="M744" s="3" t="n">
        <v>6.05763</v>
      </c>
      <c r="N744" s="3" t="inlineStr">
        <is>
          <t>C4</t>
        </is>
      </c>
      <c r="O744" s="3" t="inlineStr">
        <is>
          <t>si</t>
        </is>
      </c>
      <c r="P744" s="3" t="inlineStr">
        <is>
          <t>no_vota</t>
        </is>
      </c>
      <c r="Q744" s="3" t="inlineStr">
        <is>
          <t>panel_covariables</t>
        </is>
      </c>
      <c r="R744" s="3" t="n"/>
      <c r="S744" s="3" t="inlineStr">
        <is>
          <t>contraste regional (R6); no vota</t>
        </is>
      </c>
      <c r="T744" s="3" t="inlineStr">
        <is>
          <t>output/v8/F5/atribucion_combinada.csv</t>
        </is>
      </c>
      <c r="U744" s="2">
        <f>IF(R744=0,"",F744/R744)</f>
        <v/>
      </c>
      <c r="V744" s="2">
        <f>SUMIFS(F$2:F$1589,A$2:A$1589,A744,C$2:C$1589,C744,E$2:E$1589,E744,Q$2:Q$1589,Q744)</f>
        <v/>
      </c>
    </row>
    <row r="745">
      <c r="A745" s="3" t="inlineStr">
        <is>
          <t>compra</t>
        </is>
      </c>
      <c r="B745" s="3" t="inlineStr">
        <is>
          <t>ccaa:09</t>
        </is>
      </c>
      <c r="C745" s="3" t="inlineStr">
        <is>
          <t>P3</t>
        </is>
      </c>
      <c r="D745" s="3" t="inlineStr">
        <is>
          <t>oferta</t>
        </is>
      </c>
      <c r="E745" s="3" t="inlineStr">
        <is>
          <t>regional_panel</t>
        </is>
      </c>
      <c r="F745" s="3" t="n">
        <v>-0.596011</v>
      </c>
      <c r="G745" s="3" t="n"/>
      <c r="H745" s="3" t="n"/>
      <c r="I745" s="3" t="n">
        <v>-0.0522253</v>
      </c>
      <c r="J745" s="3" t="n">
        <v>-1.14692</v>
      </c>
      <c r="K745" s="3" t="n">
        <v>-0.128316</v>
      </c>
      <c r="L745" s="3" t="n">
        <v>-1.57803</v>
      </c>
      <c r="M745" s="3" t="n">
        <v>0.0837493</v>
      </c>
      <c r="N745" s="3" t="inlineStr">
        <is>
          <t>C4</t>
        </is>
      </c>
      <c r="O745" s="3" t="inlineStr">
        <is>
          <t>si</t>
        </is>
      </c>
      <c r="P745" s="3" t="inlineStr">
        <is>
          <t>no_vota</t>
        </is>
      </c>
      <c r="Q745" s="3" t="inlineStr">
        <is>
          <t>panel_covariables</t>
        </is>
      </c>
      <c r="R745" s="3" t="n"/>
      <c r="S745" s="3" t="inlineStr">
        <is>
          <t>contraste regional (R6); no vota</t>
        </is>
      </c>
      <c r="T745" s="3" t="inlineStr">
        <is>
          <t>output/v8/F5/atribucion_combinada.csv</t>
        </is>
      </c>
      <c r="U745" s="2">
        <f>IF(R745=0,"",F745/R745)</f>
        <v/>
      </c>
      <c r="V745" s="2">
        <f>SUMIFS(F$2:F$1589,A$2:A$1589,A745,C$2:C$1589,C745,E$2:E$1589,E745,Q$2:Q$1589,Q745)</f>
        <v/>
      </c>
    </row>
    <row r="746">
      <c r="A746" s="3" t="inlineStr">
        <is>
          <t>compra</t>
        </is>
      </c>
      <c r="B746" s="3" t="inlineStr">
        <is>
          <t>ccaa:09</t>
        </is>
      </c>
      <c r="C746" s="3" t="inlineStr">
        <is>
          <t>P3</t>
        </is>
      </c>
      <c r="D746" s="3" t="inlineStr">
        <is>
          <t>demanda_externa</t>
        </is>
      </c>
      <c r="E746" s="3" t="inlineStr">
        <is>
          <t>regional_panel</t>
        </is>
      </c>
      <c r="F746" s="3" t="n">
        <v>0.74342</v>
      </c>
      <c r="G746" s="3" t="n"/>
      <c r="H746" s="3" t="n"/>
      <c r="I746" s="3" t="n">
        <v>0.0651419</v>
      </c>
      <c r="J746" s="3" t="n">
        <v>0.299213</v>
      </c>
      <c r="K746" s="3" t="n">
        <v>1.07546</v>
      </c>
      <c r="L746" s="3" t="n">
        <v>-0.0405516</v>
      </c>
      <c r="M746" s="3" t="n">
        <v>1.31444</v>
      </c>
      <c r="N746" s="3" t="inlineStr">
        <is>
          <t>C4</t>
        </is>
      </c>
      <c r="O746" s="3" t="inlineStr">
        <is>
          <t>si</t>
        </is>
      </c>
      <c r="P746" s="3" t="inlineStr">
        <is>
          <t>no_vota</t>
        </is>
      </c>
      <c r="Q746" s="3" t="inlineStr">
        <is>
          <t>panel_covariables</t>
        </is>
      </c>
      <c r="R746" s="3" t="n"/>
      <c r="S746" s="3" t="inlineStr">
        <is>
          <t>contraste regional (R6); no vota</t>
        </is>
      </c>
      <c r="T746" s="3" t="inlineStr">
        <is>
          <t>output/v8/F5/atribucion_combinada.csv</t>
        </is>
      </c>
      <c r="U746" s="2">
        <f>IF(R746=0,"",F746/R746)</f>
        <v/>
      </c>
      <c r="V746" s="2">
        <f>SUMIFS(F$2:F$1589,A$2:A$1589,A746,C$2:C$1589,C746,E$2:E$1589,E746,Q$2:Q$1589,Q746)</f>
        <v/>
      </c>
    </row>
    <row r="747">
      <c r="A747" s="3" t="inlineStr">
        <is>
          <t>compra</t>
        </is>
      </c>
      <c r="B747" s="3" t="inlineStr">
        <is>
          <t>ccaa:09</t>
        </is>
      </c>
      <c r="C747" s="3" t="inlineStr">
        <is>
          <t>P3</t>
        </is>
      </c>
      <c r="D747" s="3" t="inlineStr">
        <is>
          <t>residuo</t>
        </is>
      </c>
      <c r="E747" s="3" t="inlineStr">
        <is>
          <t>regional_panel</t>
        </is>
      </c>
      <c r="F747" s="3" t="n">
        <v>9.09965</v>
      </c>
      <c r="G747" s="3" t="n"/>
      <c r="H747" s="3" t="n"/>
      <c r="I747" s="3" t="n">
        <v>0.797354</v>
      </c>
      <c r="J747" s="3" t="n">
        <v>6.32569</v>
      </c>
      <c r="K747" s="3" t="n">
        <v>11.2739</v>
      </c>
      <c r="L747" s="3" t="n">
        <v>4.84287</v>
      </c>
      <c r="M747" s="3" t="n">
        <v>12.973</v>
      </c>
      <c r="N747" s="3" t="inlineStr">
        <is>
          <t>C4</t>
        </is>
      </c>
      <c r="O747" s="3" t="inlineStr">
        <is>
          <t>no</t>
        </is>
      </c>
      <c r="P747" s="3" t="inlineStr">
        <is>
          <t>no_compite</t>
        </is>
      </c>
      <c r="Q747" s="3" t="inlineStr">
        <is>
          <t>panel_covariables</t>
        </is>
      </c>
      <c r="R747" s="3" t="n"/>
      <c r="S747" s="3" t="inlineStr">
        <is>
          <t>contraste regional (R6); no vota</t>
        </is>
      </c>
      <c r="T747" s="3" t="inlineStr">
        <is>
          <t>output/v8/F5/atribucion_combinada.csv</t>
        </is>
      </c>
      <c r="U747" s="2">
        <f>IF(R747=0,"",F747/R747)</f>
        <v/>
      </c>
      <c r="V747" s="2">
        <f>SUMIFS(F$2:F$1589,A$2:A$1589,A747,C$2:C$1589,C747,E$2:E$1589,E747,Q$2:Q$1589,Q747)</f>
        <v/>
      </c>
    </row>
    <row r="748">
      <c r="A748" s="3" t="inlineStr">
        <is>
          <t>compra</t>
        </is>
      </c>
      <c r="B748" s="3" t="inlineStr">
        <is>
          <t>ccaa:10</t>
        </is>
      </c>
      <c r="C748" s="3" t="inlineStr">
        <is>
          <t>P3</t>
        </is>
      </c>
      <c r="D748" s="3" t="inlineStr">
        <is>
          <t>factor_comun</t>
        </is>
      </c>
      <c r="E748" s="3" t="inlineStr">
        <is>
          <t>regional_panel</t>
        </is>
      </c>
      <c r="F748" s="3" t="n">
        <v>-0.548472</v>
      </c>
      <c r="G748" s="3" t="n"/>
      <c r="H748" s="3" t="n"/>
      <c r="I748" s="3" t="n">
        <v>-0.162465</v>
      </c>
      <c r="J748" s="3" t="n">
        <v>-3.50001</v>
      </c>
      <c r="K748" s="3" t="n">
        <v>2.45383</v>
      </c>
      <c r="L748" s="3" t="n">
        <v>-6.0503</v>
      </c>
      <c r="M748" s="3" t="n">
        <v>3.74556</v>
      </c>
      <c r="N748" s="3" t="inlineStr">
        <is>
          <t>C4</t>
        </is>
      </c>
      <c r="O748" s="3" t="inlineStr">
        <is>
          <t>no</t>
        </is>
      </c>
      <c r="P748" s="3" t="inlineStr">
        <is>
          <t>no_compite</t>
        </is>
      </c>
      <c r="Q748" s="3" t="inlineStr">
        <is>
          <t>panel_covariables</t>
        </is>
      </c>
      <c r="R748" s="3" t="n"/>
      <c r="S748" s="3" t="inlineStr">
        <is>
          <t>contraste regional (R6); no vota</t>
        </is>
      </c>
      <c r="T748" s="3" t="inlineStr">
        <is>
          <t>output/v8/F5/atribucion_combinada.csv</t>
        </is>
      </c>
      <c r="U748" s="2">
        <f>IF(R748=0,"",F748/R748)</f>
        <v/>
      </c>
      <c r="V748" s="2">
        <f>SUMIFS(F$2:F$1589,A$2:A$1589,A748,C$2:C$1589,C748,E$2:E$1589,E748,Q$2:Q$1589,Q748)</f>
        <v/>
      </c>
    </row>
    <row r="749">
      <c r="A749" s="3" t="inlineStr">
        <is>
          <t>compra</t>
        </is>
      </c>
      <c r="B749" s="3" t="inlineStr">
        <is>
          <t>ccaa:10</t>
        </is>
      </c>
      <c r="C749" s="3" t="inlineStr">
        <is>
          <t>P3</t>
        </is>
      </c>
      <c r="D749" s="3" t="inlineStr">
        <is>
          <t>empleo_renta</t>
        </is>
      </c>
      <c r="E749" s="3" t="inlineStr">
        <is>
          <t>regional_panel</t>
        </is>
      </c>
      <c r="F749" s="3" t="n">
        <v>0.683518</v>
      </c>
      <c r="G749" s="3" t="n"/>
      <c r="H749" s="3" t="n"/>
      <c r="I749" s="3" t="n">
        <v>0.202468</v>
      </c>
      <c r="J749" s="3" t="n">
        <v>-0.090725</v>
      </c>
      <c r="K749" s="3" t="n">
        <v>1.51198</v>
      </c>
      <c r="L749" s="3" t="n">
        <v>-0.79218</v>
      </c>
      <c r="M749" s="3" t="n">
        <v>2.08372</v>
      </c>
      <c r="N749" s="3" t="inlineStr">
        <is>
          <t>C4</t>
        </is>
      </c>
      <c r="O749" s="3" t="inlineStr">
        <is>
          <t>si</t>
        </is>
      </c>
      <c r="P749" s="3" t="inlineStr">
        <is>
          <t>no_vota</t>
        </is>
      </c>
      <c r="Q749" s="3" t="inlineStr">
        <is>
          <t>panel_covariables</t>
        </is>
      </c>
      <c r="R749" s="3" t="n"/>
      <c r="S749" s="3" t="inlineStr">
        <is>
          <t>contraste regional (R6); no vota</t>
        </is>
      </c>
      <c r="T749" s="3" t="inlineStr">
        <is>
          <t>output/v8/F5/atribucion_combinada.csv</t>
        </is>
      </c>
      <c r="U749" s="2">
        <f>IF(R749=0,"",F749/R749)</f>
        <v/>
      </c>
      <c r="V749" s="2">
        <f>SUMIFS(F$2:F$1589,A$2:A$1589,A749,C$2:C$1589,C749,E$2:E$1589,E749,Q$2:Q$1589,Q749)</f>
        <v/>
      </c>
    </row>
    <row r="750">
      <c r="A750" s="3" t="inlineStr">
        <is>
          <t>compra</t>
        </is>
      </c>
      <c r="B750" s="3" t="inlineStr">
        <is>
          <t>ccaa:10</t>
        </is>
      </c>
      <c r="C750" s="3" t="inlineStr">
        <is>
          <t>P3</t>
        </is>
      </c>
      <c r="D750" s="3" t="inlineStr">
        <is>
          <t>demografia</t>
        </is>
      </c>
      <c r="E750" s="3" t="inlineStr">
        <is>
          <t>regional_panel</t>
        </is>
      </c>
      <c r="F750" s="3" t="n">
        <v>0.636966</v>
      </c>
      <c r="G750" s="3" t="n"/>
      <c r="H750" s="3" t="n"/>
      <c r="I750" s="3" t="n">
        <v>0.188678</v>
      </c>
      <c r="J750" s="3" t="n">
        <v>0.012464</v>
      </c>
      <c r="K750" s="3" t="n">
        <v>1.83351</v>
      </c>
      <c r="L750" s="3" t="n">
        <v>-0.386658</v>
      </c>
      <c r="M750" s="3" t="n">
        <v>2.6837</v>
      </c>
      <c r="N750" s="3" t="inlineStr">
        <is>
          <t>C4</t>
        </is>
      </c>
      <c r="O750" s="3" t="inlineStr">
        <is>
          <t>si</t>
        </is>
      </c>
      <c r="P750" s="3" t="inlineStr">
        <is>
          <t>no_vota</t>
        </is>
      </c>
      <c r="Q750" s="3" t="inlineStr">
        <is>
          <t>panel_covariables</t>
        </is>
      </c>
      <c r="R750" s="3" t="n"/>
      <c r="S750" s="3" t="inlineStr">
        <is>
          <t>contraste regional (R6); no vota</t>
        </is>
      </c>
      <c r="T750" s="3" t="inlineStr">
        <is>
          <t>output/v8/F5/atribucion_combinada.csv</t>
        </is>
      </c>
      <c r="U750" s="2">
        <f>IF(R750=0,"",F750/R750)</f>
        <v/>
      </c>
      <c r="V750" s="2">
        <f>SUMIFS(F$2:F$1589,A$2:A$1589,A750,C$2:C$1589,C750,E$2:E$1589,E750,Q$2:Q$1589,Q750)</f>
        <v/>
      </c>
    </row>
    <row r="751">
      <c r="A751" s="3" t="inlineStr">
        <is>
          <t>compra</t>
        </is>
      </c>
      <c r="B751" s="3" t="inlineStr">
        <is>
          <t>ccaa:10</t>
        </is>
      </c>
      <c r="C751" s="3" t="inlineStr">
        <is>
          <t>P3</t>
        </is>
      </c>
      <c r="D751" s="3" t="inlineStr">
        <is>
          <t>oferta</t>
        </is>
      </c>
      <c r="E751" s="3" t="inlineStr">
        <is>
          <t>regional_panel</t>
        </is>
      </c>
      <c r="F751" s="3" t="n">
        <v>-0.444999</v>
      </c>
      <c r="G751" s="3" t="n"/>
      <c r="H751" s="3" t="n"/>
      <c r="I751" s="3" t="n">
        <v>-0.131815</v>
      </c>
      <c r="J751" s="3" t="n">
        <v>-0.737862</v>
      </c>
      <c r="K751" s="3" t="n">
        <v>-0.0806794</v>
      </c>
      <c r="L751" s="3" t="n">
        <v>-1.03928</v>
      </c>
      <c r="M751" s="3" t="n">
        <v>0.09271649999999999</v>
      </c>
      <c r="N751" s="3" t="inlineStr">
        <is>
          <t>C4</t>
        </is>
      </c>
      <c r="O751" s="3" t="inlineStr">
        <is>
          <t>si</t>
        </is>
      </c>
      <c r="P751" s="3" t="inlineStr">
        <is>
          <t>no_vota</t>
        </is>
      </c>
      <c r="Q751" s="3" t="inlineStr">
        <is>
          <t>panel_covariables</t>
        </is>
      </c>
      <c r="R751" s="3" t="n"/>
      <c r="S751" s="3" t="inlineStr">
        <is>
          <t>contraste regional (R6); no vota</t>
        </is>
      </c>
      <c r="T751" s="3" t="inlineStr">
        <is>
          <t>output/v8/F5/atribucion_combinada.csv</t>
        </is>
      </c>
      <c r="U751" s="2">
        <f>IF(R751=0,"",F751/R751)</f>
        <v/>
      </c>
      <c r="V751" s="2">
        <f>SUMIFS(F$2:F$1589,A$2:A$1589,A751,C$2:C$1589,C751,E$2:E$1589,E751,Q$2:Q$1589,Q751)</f>
        <v/>
      </c>
    </row>
    <row r="752">
      <c r="A752" s="3" t="inlineStr">
        <is>
          <t>compra</t>
        </is>
      </c>
      <c r="B752" s="3" t="inlineStr">
        <is>
          <t>ccaa:10</t>
        </is>
      </c>
      <c r="C752" s="3" t="inlineStr">
        <is>
          <t>P3</t>
        </is>
      </c>
      <c r="D752" s="3" t="inlineStr">
        <is>
          <t>demanda_externa</t>
        </is>
      </c>
      <c r="E752" s="3" t="inlineStr">
        <is>
          <t>regional_panel</t>
        </is>
      </c>
      <c r="F752" s="3" t="n">
        <v>0.660199</v>
      </c>
      <c r="G752" s="3" t="n"/>
      <c r="H752" s="3" t="n"/>
      <c r="I752" s="3" t="n">
        <v>0.19556</v>
      </c>
      <c r="J752" s="3" t="n">
        <v>0.247744</v>
      </c>
      <c r="K752" s="3" t="n">
        <v>1.17507</v>
      </c>
      <c r="L752" s="3" t="n">
        <v>-0.0242367</v>
      </c>
      <c r="M752" s="3" t="n">
        <v>1.53116</v>
      </c>
      <c r="N752" s="3" t="inlineStr">
        <is>
          <t>C4</t>
        </is>
      </c>
      <c r="O752" s="3" t="inlineStr">
        <is>
          <t>si</t>
        </is>
      </c>
      <c r="P752" s="3" t="inlineStr">
        <is>
          <t>no_vota</t>
        </is>
      </c>
      <c r="Q752" s="3" t="inlineStr">
        <is>
          <t>panel_covariables</t>
        </is>
      </c>
      <c r="R752" s="3" t="n"/>
      <c r="S752" s="3" t="inlineStr">
        <is>
          <t>contraste regional (R6); no vota</t>
        </is>
      </c>
      <c r="T752" s="3" t="inlineStr">
        <is>
          <t>output/v8/F5/atribucion_combinada.csv</t>
        </is>
      </c>
      <c r="U752" s="2">
        <f>IF(R752=0,"",F752/R752)</f>
        <v/>
      </c>
      <c r="V752" s="2">
        <f>SUMIFS(F$2:F$1589,A$2:A$1589,A752,C$2:C$1589,C752,E$2:E$1589,E752,Q$2:Q$1589,Q752)</f>
        <v/>
      </c>
    </row>
    <row r="753">
      <c r="A753" s="3" t="inlineStr">
        <is>
          <t>compra</t>
        </is>
      </c>
      <c r="B753" s="3" t="inlineStr">
        <is>
          <t>ccaa:10</t>
        </is>
      </c>
      <c r="C753" s="3" t="inlineStr">
        <is>
          <t>P3</t>
        </is>
      </c>
      <c r="D753" s="3" t="inlineStr">
        <is>
          <t>residuo</t>
        </is>
      </c>
      <c r="E753" s="3" t="inlineStr">
        <is>
          <t>regional_panel</t>
        </is>
      </c>
      <c r="F753" s="3" t="n">
        <v>2.38872</v>
      </c>
      <c r="G753" s="3" t="n"/>
      <c r="H753" s="3" t="n"/>
      <c r="I753" s="3" t="n">
        <v>0.707574</v>
      </c>
      <c r="J753" s="3" t="n">
        <v>-1.29424</v>
      </c>
      <c r="K753" s="3" t="n">
        <v>5.39855</v>
      </c>
      <c r="L753" s="3" t="n">
        <v>-3.44574</v>
      </c>
      <c r="M753" s="3" t="n">
        <v>7.1538</v>
      </c>
      <c r="N753" s="3" t="inlineStr">
        <is>
          <t>C4</t>
        </is>
      </c>
      <c r="O753" s="3" t="inlineStr">
        <is>
          <t>no</t>
        </is>
      </c>
      <c r="P753" s="3" t="inlineStr">
        <is>
          <t>no_compite</t>
        </is>
      </c>
      <c r="Q753" s="3" t="inlineStr">
        <is>
          <t>panel_covariables</t>
        </is>
      </c>
      <c r="R753" s="3" t="n"/>
      <c r="S753" s="3" t="inlineStr">
        <is>
          <t>contraste regional (R6); no vota</t>
        </is>
      </c>
      <c r="T753" s="3" t="inlineStr">
        <is>
          <t>output/v8/F5/atribucion_combinada.csv</t>
        </is>
      </c>
      <c r="U753" s="2">
        <f>IF(R753=0,"",F753/R753)</f>
        <v/>
      </c>
      <c r="V753" s="2">
        <f>SUMIFS(F$2:F$1589,A$2:A$1589,A753,C$2:C$1589,C753,E$2:E$1589,E753,Q$2:Q$1589,Q753)</f>
        <v/>
      </c>
    </row>
    <row r="754">
      <c r="A754" s="3" t="inlineStr">
        <is>
          <t>compra</t>
        </is>
      </c>
      <c r="B754" s="3" t="inlineStr">
        <is>
          <t>ccaa:11</t>
        </is>
      </c>
      <c r="C754" s="3" t="inlineStr">
        <is>
          <t>P3</t>
        </is>
      </c>
      <c r="D754" s="3" t="inlineStr">
        <is>
          <t>factor_comun</t>
        </is>
      </c>
      <c r="E754" s="3" t="inlineStr">
        <is>
          <t>regional_panel</t>
        </is>
      </c>
      <c r="F754" s="3" t="n">
        <v>-0.548472</v>
      </c>
      <c r="G754" s="3" t="n"/>
      <c r="H754" s="3" t="n"/>
      <c r="I754" s="3" t="n">
        <v>0.098469</v>
      </c>
      <c r="J754" s="3" t="n">
        <v>-3.50001</v>
      </c>
      <c r="K754" s="3" t="n">
        <v>2.45383</v>
      </c>
      <c r="L754" s="3" t="n">
        <v>-6.0503</v>
      </c>
      <c r="M754" s="3" t="n">
        <v>3.74556</v>
      </c>
      <c r="N754" s="3" t="inlineStr">
        <is>
          <t>C4</t>
        </is>
      </c>
      <c r="O754" s="3" t="inlineStr">
        <is>
          <t>no</t>
        </is>
      </c>
      <c r="P754" s="3" t="inlineStr">
        <is>
          <t>no_compite</t>
        </is>
      </c>
      <c r="Q754" s="3" t="inlineStr">
        <is>
          <t>panel_covariables</t>
        </is>
      </c>
      <c r="R754" s="3" t="n"/>
      <c r="S754" s="3" t="inlineStr">
        <is>
          <t>contraste regional (R6); no vota</t>
        </is>
      </c>
      <c r="T754" s="3" t="inlineStr">
        <is>
          <t>output/v8/F5/atribucion_combinada.csv</t>
        </is>
      </c>
      <c r="U754" s="2">
        <f>IF(R754=0,"",F754/R754)</f>
        <v/>
      </c>
      <c r="V754" s="2">
        <f>SUMIFS(F$2:F$1589,A$2:A$1589,A754,C$2:C$1589,C754,E$2:E$1589,E754,Q$2:Q$1589,Q754)</f>
        <v/>
      </c>
    </row>
    <row r="755">
      <c r="A755" s="3" t="inlineStr">
        <is>
          <t>compra</t>
        </is>
      </c>
      <c r="B755" s="3" t="inlineStr">
        <is>
          <t>ccaa:11</t>
        </is>
      </c>
      <c r="C755" s="3" t="inlineStr">
        <is>
          <t>P3</t>
        </is>
      </c>
      <c r="D755" s="3" t="inlineStr">
        <is>
          <t>empleo_renta</t>
        </is>
      </c>
      <c r="E755" s="3" t="inlineStr">
        <is>
          <t>regional_panel</t>
        </is>
      </c>
      <c r="F755" s="3" t="n">
        <v>0.609766</v>
      </c>
      <c r="G755" s="3" t="n"/>
      <c r="H755" s="3" t="n"/>
      <c r="I755" s="3" t="n">
        <v>-0.109473</v>
      </c>
      <c r="J755" s="3" t="n">
        <v>-0.131174</v>
      </c>
      <c r="K755" s="3" t="n">
        <v>1.24251</v>
      </c>
      <c r="L755" s="3" t="n">
        <v>-0.868577</v>
      </c>
      <c r="M755" s="3" t="n">
        <v>1.77573</v>
      </c>
      <c r="N755" s="3" t="inlineStr">
        <is>
          <t>C4</t>
        </is>
      </c>
      <c r="O755" s="3" t="inlineStr">
        <is>
          <t>si</t>
        </is>
      </c>
      <c r="P755" s="3" t="inlineStr">
        <is>
          <t>no_vota</t>
        </is>
      </c>
      <c r="Q755" s="3" t="inlineStr">
        <is>
          <t>panel_covariables</t>
        </is>
      </c>
      <c r="R755" s="3" t="n"/>
      <c r="S755" s="3" t="inlineStr">
        <is>
          <t>contraste regional (R6); no vota</t>
        </is>
      </c>
      <c r="T755" s="3" t="inlineStr">
        <is>
          <t>output/v8/F5/atribucion_combinada.csv</t>
        </is>
      </c>
      <c r="U755" s="2">
        <f>IF(R755=0,"",F755/R755)</f>
        <v/>
      </c>
      <c r="V755" s="2">
        <f>SUMIFS(F$2:F$1589,A$2:A$1589,A755,C$2:C$1589,C755,E$2:E$1589,E755,Q$2:Q$1589,Q755)</f>
        <v/>
      </c>
    </row>
    <row r="756">
      <c r="A756" s="3" t="inlineStr">
        <is>
          <t>compra</t>
        </is>
      </c>
      <c r="B756" s="3" t="inlineStr">
        <is>
          <t>ccaa:11</t>
        </is>
      </c>
      <c r="C756" s="3" t="inlineStr">
        <is>
          <t>P3</t>
        </is>
      </c>
      <c r="D756" s="3" t="inlineStr">
        <is>
          <t>demografia</t>
        </is>
      </c>
      <c r="E756" s="3" t="inlineStr">
        <is>
          <t>regional_panel</t>
        </is>
      </c>
      <c r="F756" s="3" t="n">
        <v>-2.47236</v>
      </c>
      <c r="G756" s="3" t="n"/>
      <c r="H756" s="3" t="n"/>
      <c r="I756" s="3" t="n">
        <v>0.443871</v>
      </c>
      <c r="J756" s="3" t="n">
        <v>-4.09206</v>
      </c>
      <c r="K756" s="3" t="n">
        <v>-1.57931</v>
      </c>
      <c r="L756" s="3" t="n">
        <v>-5.483</v>
      </c>
      <c r="M756" s="3" t="n">
        <v>-0.810244</v>
      </c>
      <c r="N756" s="3" t="inlineStr">
        <is>
          <t>C4</t>
        </is>
      </c>
      <c r="O756" s="3" t="inlineStr">
        <is>
          <t>si</t>
        </is>
      </c>
      <c r="P756" s="3" t="inlineStr">
        <is>
          <t>no_vota</t>
        </is>
      </c>
      <c r="Q756" s="3" t="inlineStr">
        <is>
          <t>panel_covariables</t>
        </is>
      </c>
      <c r="R756" s="3" t="n"/>
      <c r="S756" s="3" t="inlineStr">
        <is>
          <t>contraste regional (R6); no vota</t>
        </is>
      </c>
      <c r="T756" s="3" t="inlineStr">
        <is>
          <t>output/v8/F5/atribucion_combinada.csv</t>
        </is>
      </c>
      <c r="U756" s="2">
        <f>IF(R756=0,"",F756/R756)</f>
        <v/>
      </c>
      <c r="V756" s="2">
        <f>SUMIFS(F$2:F$1589,A$2:A$1589,A756,C$2:C$1589,C756,E$2:E$1589,E756,Q$2:Q$1589,Q756)</f>
        <v/>
      </c>
    </row>
    <row r="757">
      <c r="A757" s="3" t="inlineStr">
        <is>
          <t>compra</t>
        </is>
      </c>
      <c r="B757" s="3" t="inlineStr">
        <is>
          <t>ccaa:11</t>
        </is>
      </c>
      <c r="C757" s="3" t="inlineStr">
        <is>
          <t>P3</t>
        </is>
      </c>
      <c r="D757" s="3" t="inlineStr">
        <is>
          <t>oferta</t>
        </is>
      </c>
      <c r="E757" s="3" t="inlineStr">
        <is>
          <t>regional_panel</t>
        </is>
      </c>
      <c r="F757" s="3" t="n">
        <v>-0.146655</v>
      </c>
      <c r="G757" s="3" t="n"/>
      <c r="H757" s="3" t="n"/>
      <c r="I757" s="3" t="n">
        <v>0.0263295</v>
      </c>
      <c r="J757" s="3" t="n">
        <v>-0.314333</v>
      </c>
      <c r="K757" s="3" t="n">
        <v>0.0449379</v>
      </c>
      <c r="L757" s="3" t="n">
        <v>-0.485653</v>
      </c>
      <c r="M757" s="3" t="n">
        <v>0.261224</v>
      </c>
      <c r="N757" s="3" t="inlineStr">
        <is>
          <t>C4</t>
        </is>
      </c>
      <c r="O757" s="3" t="inlineStr">
        <is>
          <t>si</t>
        </is>
      </c>
      <c r="P757" s="3" t="inlineStr">
        <is>
          <t>no_vota</t>
        </is>
      </c>
      <c r="Q757" s="3" t="inlineStr">
        <is>
          <t>panel_covariables</t>
        </is>
      </c>
      <c r="R757" s="3" t="n"/>
      <c r="S757" s="3" t="inlineStr">
        <is>
          <t>contraste regional (R6); no vota</t>
        </is>
      </c>
      <c r="T757" s="3" t="inlineStr">
        <is>
          <t>output/v8/F5/atribucion_combinada.csv</t>
        </is>
      </c>
      <c r="U757" s="2">
        <f>IF(R757=0,"",F757/R757)</f>
        <v/>
      </c>
      <c r="V757" s="2">
        <f>SUMIFS(F$2:F$1589,A$2:A$1589,A757,C$2:C$1589,C757,E$2:E$1589,E757,Q$2:Q$1589,Q757)</f>
        <v/>
      </c>
    </row>
    <row r="758">
      <c r="A758" s="3" t="inlineStr">
        <is>
          <t>compra</t>
        </is>
      </c>
      <c r="B758" s="3" t="inlineStr">
        <is>
          <t>ccaa:11</t>
        </is>
      </c>
      <c r="C758" s="3" t="inlineStr">
        <is>
          <t>P3</t>
        </is>
      </c>
      <c r="D758" s="3" t="inlineStr">
        <is>
          <t>demanda_externa</t>
        </is>
      </c>
      <c r="E758" s="3" t="inlineStr">
        <is>
          <t>regional_panel</t>
        </is>
      </c>
      <c r="F758" s="3" t="n">
        <v>1.13806</v>
      </c>
      <c r="G758" s="3" t="n"/>
      <c r="H758" s="3" t="n"/>
      <c r="I758" s="3" t="n">
        <v>-0.204319</v>
      </c>
      <c r="J758" s="3" t="n">
        <v>0.450108</v>
      </c>
      <c r="K758" s="3" t="n">
        <v>1.7861</v>
      </c>
      <c r="L758" s="3" t="n">
        <v>-0.038769</v>
      </c>
      <c r="M758" s="3" t="n">
        <v>2.33254</v>
      </c>
      <c r="N758" s="3" t="inlineStr">
        <is>
          <t>C4</t>
        </is>
      </c>
      <c r="O758" s="3" t="inlineStr">
        <is>
          <t>si</t>
        </is>
      </c>
      <c r="P758" s="3" t="inlineStr">
        <is>
          <t>no_vota</t>
        </is>
      </c>
      <c r="Q758" s="3" t="inlineStr">
        <is>
          <t>panel_covariables</t>
        </is>
      </c>
      <c r="R758" s="3" t="n"/>
      <c r="S758" s="3" t="inlineStr">
        <is>
          <t>contraste regional (R6); no vota</t>
        </is>
      </c>
      <c r="T758" s="3" t="inlineStr">
        <is>
          <t>output/v8/F5/atribucion_combinada.csv</t>
        </is>
      </c>
      <c r="U758" s="2">
        <f>IF(R758=0,"",F758/R758)</f>
        <v/>
      </c>
      <c r="V758" s="2">
        <f>SUMIFS(F$2:F$1589,A$2:A$1589,A758,C$2:C$1589,C758,E$2:E$1589,E758,Q$2:Q$1589,Q758)</f>
        <v/>
      </c>
    </row>
    <row r="759">
      <c r="A759" s="3" t="inlineStr">
        <is>
          <t>compra</t>
        </is>
      </c>
      <c r="B759" s="3" t="inlineStr">
        <is>
          <t>ccaa:11</t>
        </is>
      </c>
      <c r="C759" s="3" t="inlineStr">
        <is>
          <t>P3</t>
        </is>
      </c>
      <c r="D759" s="3" t="inlineStr">
        <is>
          <t>residuo</t>
        </is>
      </c>
      <c r="E759" s="3" t="inlineStr">
        <is>
          <t>regional_panel</t>
        </is>
      </c>
      <c r="F759" s="3" t="n">
        <v>-4.15034</v>
      </c>
      <c r="G759" s="3" t="n"/>
      <c r="H759" s="3" t="n"/>
      <c r="I759" s="3" t="n">
        <v>0.745123</v>
      </c>
      <c r="J759" s="3" t="n">
        <v>-7.36251</v>
      </c>
      <c r="K759" s="3" t="n">
        <v>-0.142912</v>
      </c>
      <c r="L759" s="3" t="n">
        <v>-9.23691</v>
      </c>
      <c r="M759" s="3" t="n">
        <v>2.37706</v>
      </c>
      <c r="N759" s="3" t="inlineStr">
        <is>
          <t>C4</t>
        </is>
      </c>
      <c r="O759" s="3" t="inlineStr">
        <is>
          <t>no</t>
        </is>
      </c>
      <c r="P759" s="3" t="inlineStr">
        <is>
          <t>no_compite</t>
        </is>
      </c>
      <c r="Q759" s="3" t="inlineStr">
        <is>
          <t>panel_covariables</t>
        </is>
      </c>
      <c r="R759" s="3" t="n"/>
      <c r="S759" s="3" t="inlineStr">
        <is>
          <t>contraste regional (R6); no vota</t>
        </is>
      </c>
      <c r="T759" s="3" t="inlineStr">
        <is>
          <t>output/v8/F5/atribucion_combinada.csv</t>
        </is>
      </c>
      <c r="U759" s="2">
        <f>IF(R759=0,"",F759/R759)</f>
        <v/>
      </c>
      <c r="V759" s="2">
        <f>SUMIFS(F$2:F$1589,A$2:A$1589,A759,C$2:C$1589,C759,E$2:E$1589,E759,Q$2:Q$1589,Q759)</f>
        <v/>
      </c>
    </row>
    <row r="760">
      <c r="A760" s="3" t="inlineStr">
        <is>
          <t>compra</t>
        </is>
      </c>
      <c r="B760" s="3" t="inlineStr">
        <is>
          <t>ccaa:12</t>
        </is>
      </c>
      <c r="C760" s="3" t="inlineStr">
        <is>
          <t>P3</t>
        </is>
      </c>
      <c r="D760" s="3" t="inlineStr">
        <is>
          <t>factor_comun</t>
        </is>
      </c>
      <c r="E760" s="3" t="inlineStr">
        <is>
          <t>regional_panel</t>
        </is>
      </c>
      <c r="F760" s="3" t="n">
        <v>-0.548472</v>
      </c>
      <c r="G760" s="3" t="n"/>
      <c r="H760" s="3" t="n"/>
      <c r="I760" s="3" t="n">
        <v>0.136131</v>
      </c>
      <c r="J760" s="3" t="n">
        <v>-3.50001</v>
      </c>
      <c r="K760" s="3" t="n">
        <v>2.45383</v>
      </c>
      <c r="L760" s="3" t="n">
        <v>-6.0503</v>
      </c>
      <c r="M760" s="3" t="n">
        <v>3.74556</v>
      </c>
      <c r="N760" s="3" t="inlineStr">
        <is>
          <t>C4</t>
        </is>
      </c>
      <c r="O760" s="3" t="inlineStr">
        <is>
          <t>no</t>
        </is>
      </c>
      <c r="P760" s="3" t="inlineStr">
        <is>
          <t>no_compite</t>
        </is>
      </c>
      <c r="Q760" s="3" t="inlineStr">
        <is>
          <t>panel_covariables</t>
        </is>
      </c>
      <c r="R760" s="3" t="n"/>
      <c r="S760" s="3" t="inlineStr">
        <is>
          <t>contraste regional (R6); no vota</t>
        </is>
      </c>
      <c r="T760" s="3" t="inlineStr">
        <is>
          <t>output/v8/F5/atribucion_combinada.csv</t>
        </is>
      </c>
      <c r="U760" s="2">
        <f>IF(R760=0,"",F760/R760)</f>
        <v/>
      </c>
      <c r="V760" s="2">
        <f>SUMIFS(F$2:F$1589,A$2:A$1589,A760,C$2:C$1589,C760,E$2:E$1589,E760,Q$2:Q$1589,Q760)</f>
        <v/>
      </c>
    </row>
    <row r="761">
      <c r="A761" s="3" t="inlineStr">
        <is>
          <t>compra</t>
        </is>
      </c>
      <c r="B761" s="3" t="inlineStr">
        <is>
          <t>ccaa:12</t>
        </is>
      </c>
      <c r="C761" s="3" t="inlineStr">
        <is>
          <t>P3</t>
        </is>
      </c>
      <c r="D761" s="3" t="inlineStr">
        <is>
          <t>empleo_renta</t>
        </is>
      </c>
      <c r="E761" s="3" t="inlineStr">
        <is>
          <t>regional_panel</t>
        </is>
      </c>
      <c r="F761" s="3" t="n">
        <v>0.436582</v>
      </c>
      <c r="G761" s="3" t="n"/>
      <c r="H761" s="3" t="n"/>
      <c r="I761" s="3" t="n">
        <v>-0.10836</v>
      </c>
      <c r="J761" s="3" t="n">
        <v>-0.0932379</v>
      </c>
      <c r="K761" s="3" t="n">
        <v>1.0807</v>
      </c>
      <c r="L761" s="3" t="n">
        <v>-0.538748</v>
      </c>
      <c r="M761" s="3" t="n">
        <v>1.49624</v>
      </c>
      <c r="N761" s="3" t="inlineStr">
        <is>
          <t>C4</t>
        </is>
      </c>
      <c r="O761" s="3" t="inlineStr">
        <is>
          <t>si</t>
        </is>
      </c>
      <c r="P761" s="3" t="inlineStr">
        <is>
          <t>no_vota</t>
        </is>
      </c>
      <c r="Q761" s="3" t="inlineStr">
        <is>
          <t>panel_covariables</t>
        </is>
      </c>
      <c r="R761" s="3" t="n"/>
      <c r="S761" s="3" t="inlineStr">
        <is>
          <t>contraste regional (R6); no vota</t>
        </is>
      </c>
      <c r="T761" s="3" t="inlineStr">
        <is>
          <t>output/v8/F5/atribucion_combinada.csv</t>
        </is>
      </c>
      <c r="U761" s="2">
        <f>IF(R761=0,"",F761/R761)</f>
        <v/>
      </c>
      <c r="V761" s="2">
        <f>SUMIFS(F$2:F$1589,A$2:A$1589,A761,C$2:C$1589,C761,E$2:E$1589,E761,Q$2:Q$1589,Q761)</f>
        <v/>
      </c>
    </row>
    <row r="762">
      <c r="A762" s="3" t="inlineStr">
        <is>
          <t>compra</t>
        </is>
      </c>
      <c r="B762" s="3" t="inlineStr">
        <is>
          <t>ccaa:12</t>
        </is>
      </c>
      <c r="C762" s="3" t="inlineStr">
        <is>
          <t>P3</t>
        </is>
      </c>
      <c r="D762" s="3" t="inlineStr">
        <is>
          <t>demografia</t>
        </is>
      </c>
      <c r="E762" s="3" t="inlineStr">
        <is>
          <t>regional_panel</t>
        </is>
      </c>
      <c r="F762" s="3" t="n">
        <v>-1.91927</v>
      </c>
      <c r="G762" s="3" t="n"/>
      <c r="H762" s="3" t="n"/>
      <c r="I762" s="3" t="n">
        <v>0.476364</v>
      </c>
      <c r="J762" s="3" t="n">
        <v>-2.95856</v>
      </c>
      <c r="K762" s="3" t="n">
        <v>-0.956763</v>
      </c>
      <c r="L762" s="3" t="n">
        <v>-4.1279</v>
      </c>
      <c r="M762" s="3" t="n">
        <v>-0.52128</v>
      </c>
      <c r="N762" s="3" t="inlineStr">
        <is>
          <t>C4</t>
        </is>
      </c>
      <c r="O762" s="3" t="inlineStr">
        <is>
          <t>si</t>
        </is>
      </c>
      <c r="P762" s="3" t="inlineStr">
        <is>
          <t>no_vota</t>
        </is>
      </c>
      <c r="Q762" s="3" t="inlineStr">
        <is>
          <t>panel_covariables</t>
        </is>
      </c>
      <c r="R762" s="3" t="n"/>
      <c r="S762" s="3" t="inlineStr">
        <is>
          <t>contraste regional (R6); no vota</t>
        </is>
      </c>
      <c r="T762" s="3" t="inlineStr">
        <is>
          <t>output/v8/F5/atribucion_combinada.csv</t>
        </is>
      </c>
      <c r="U762" s="2">
        <f>IF(R762=0,"",F762/R762)</f>
        <v/>
      </c>
      <c r="V762" s="2">
        <f>SUMIFS(F$2:F$1589,A$2:A$1589,A762,C$2:C$1589,C762,E$2:E$1589,E762,Q$2:Q$1589,Q762)</f>
        <v/>
      </c>
    </row>
    <row r="763">
      <c r="A763" s="3" t="inlineStr">
        <is>
          <t>compra</t>
        </is>
      </c>
      <c r="B763" s="3" t="inlineStr">
        <is>
          <t>ccaa:12</t>
        </is>
      </c>
      <c r="C763" s="3" t="inlineStr">
        <is>
          <t>P3</t>
        </is>
      </c>
      <c r="D763" s="3" t="inlineStr">
        <is>
          <t>oferta</t>
        </is>
      </c>
      <c r="E763" s="3" t="inlineStr">
        <is>
          <t>regional_panel</t>
        </is>
      </c>
      <c r="F763" s="3" t="n">
        <v>-0.11806</v>
      </c>
      <c r="G763" s="3" t="n"/>
      <c r="H763" s="3" t="n"/>
      <c r="I763" s="3" t="n">
        <v>0.0293027</v>
      </c>
      <c r="J763" s="3" t="n">
        <v>-0.303889</v>
      </c>
      <c r="K763" s="3" t="n">
        <v>0.161994</v>
      </c>
      <c r="L763" s="3" t="n">
        <v>-0.466629</v>
      </c>
      <c r="M763" s="3" t="n">
        <v>0.418347</v>
      </c>
      <c r="N763" s="3" t="inlineStr">
        <is>
          <t>C4</t>
        </is>
      </c>
      <c r="O763" s="3" t="inlineStr">
        <is>
          <t>si</t>
        </is>
      </c>
      <c r="P763" s="3" t="inlineStr">
        <is>
          <t>no_vota</t>
        </is>
      </c>
      <c r="Q763" s="3" t="inlineStr">
        <is>
          <t>panel_covariables</t>
        </is>
      </c>
      <c r="R763" s="3" t="n"/>
      <c r="S763" s="3" t="inlineStr">
        <is>
          <t>contraste regional (R6); no vota</t>
        </is>
      </c>
      <c r="T763" s="3" t="inlineStr">
        <is>
          <t>output/v8/F5/atribucion_combinada.csv</t>
        </is>
      </c>
      <c r="U763" s="2">
        <f>IF(R763=0,"",F763/R763)</f>
        <v/>
      </c>
      <c r="V763" s="2">
        <f>SUMIFS(F$2:F$1589,A$2:A$1589,A763,C$2:C$1589,C763,E$2:E$1589,E763,Q$2:Q$1589,Q763)</f>
        <v/>
      </c>
    </row>
    <row r="764">
      <c r="A764" s="3" t="inlineStr">
        <is>
          <t>compra</t>
        </is>
      </c>
      <c r="B764" s="3" t="inlineStr">
        <is>
          <t>ccaa:12</t>
        </is>
      </c>
      <c r="C764" s="3" t="inlineStr">
        <is>
          <t>P3</t>
        </is>
      </c>
      <c r="D764" s="3" t="inlineStr">
        <is>
          <t>demanda_externa</t>
        </is>
      </c>
      <c r="E764" s="3" t="inlineStr">
        <is>
          <t>regional_panel</t>
        </is>
      </c>
      <c r="F764" s="3" t="n">
        <v>0.876563</v>
      </c>
      <c r="G764" s="3" t="n"/>
      <c r="H764" s="3" t="n"/>
      <c r="I764" s="3" t="n">
        <v>-0.217564</v>
      </c>
      <c r="J764" s="3" t="n">
        <v>0.314457</v>
      </c>
      <c r="K764" s="3" t="n">
        <v>1.33216</v>
      </c>
      <c r="L764" s="3" t="n">
        <v>-0.0764165</v>
      </c>
      <c r="M764" s="3" t="n">
        <v>1.79459</v>
      </c>
      <c r="N764" s="3" t="inlineStr">
        <is>
          <t>C4</t>
        </is>
      </c>
      <c r="O764" s="3" t="inlineStr">
        <is>
          <t>si</t>
        </is>
      </c>
      <c r="P764" s="3" t="inlineStr">
        <is>
          <t>no_vota</t>
        </is>
      </c>
      <c r="Q764" s="3" t="inlineStr">
        <is>
          <t>panel_covariables</t>
        </is>
      </c>
      <c r="R764" s="3" t="n"/>
      <c r="S764" s="3" t="inlineStr">
        <is>
          <t>contraste regional (R6); no vota</t>
        </is>
      </c>
      <c r="T764" s="3" t="inlineStr">
        <is>
          <t>output/v8/F5/atribucion_combinada.csv</t>
        </is>
      </c>
      <c r="U764" s="2">
        <f>IF(R764=0,"",F764/R764)</f>
        <v/>
      </c>
      <c r="V764" s="2">
        <f>SUMIFS(F$2:F$1589,A$2:A$1589,A764,C$2:C$1589,C764,E$2:E$1589,E764,Q$2:Q$1589,Q764)</f>
        <v/>
      </c>
    </row>
    <row r="765">
      <c r="A765" s="3" t="inlineStr">
        <is>
          <t>compra</t>
        </is>
      </c>
      <c r="B765" s="3" t="inlineStr">
        <is>
          <t>ccaa:12</t>
        </is>
      </c>
      <c r="C765" s="3" t="inlineStr">
        <is>
          <t>P3</t>
        </is>
      </c>
      <c r="D765" s="3" t="inlineStr">
        <is>
          <t>residuo</t>
        </is>
      </c>
      <c r="E765" s="3" t="inlineStr">
        <is>
          <t>regional_panel</t>
        </is>
      </c>
      <c r="F765" s="3" t="n">
        <v>-2.75634</v>
      </c>
      <c r="G765" s="3" t="n"/>
      <c r="H765" s="3" t="n"/>
      <c r="I765" s="3" t="n">
        <v>0.684126</v>
      </c>
      <c r="J765" s="3" t="n">
        <v>-4.81058</v>
      </c>
      <c r="K765" s="3" t="n">
        <v>-0.600538</v>
      </c>
      <c r="L765" s="3" t="n">
        <v>-6.27589</v>
      </c>
      <c r="M765" s="3" t="n">
        <v>0.72051</v>
      </c>
      <c r="N765" s="3" t="inlineStr">
        <is>
          <t>C4</t>
        </is>
      </c>
      <c r="O765" s="3" t="inlineStr">
        <is>
          <t>no</t>
        </is>
      </c>
      <c r="P765" s="3" t="inlineStr">
        <is>
          <t>no_compite</t>
        </is>
      </c>
      <c r="Q765" s="3" t="inlineStr">
        <is>
          <t>panel_covariables</t>
        </is>
      </c>
      <c r="R765" s="3" t="n"/>
      <c r="S765" s="3" t="inlineStr">
        <is>
          <t>contraste regional (R6); no vota</t>
        </is>
      </c>
      <c r="T765" s="3" t="inlineStr">
        <is>
          <t>output/v8/F5/atribucion_combinada.csv</t>
        </is>
      </c>
      <c r="U765" s="2">
        <f>IF(R765=0,"",F765/R765)</f>
        <v/>
      </c>
      <c r="V765" s="2">
        <f>SUMIFS(F$2:F$1589,A$2:A$1589,A765,C$2:C$1589,C765,E$2:E$1589,E765,Q$2:Q$1589,Q765)</f>
        <v/>
      </c>
    </row>
    <row r="766">
      <c r="A766" s="3" t="inlineStr">
        <is>
          <t>compra</t>
        </is>
      </c>
      <c r="B766" s="3" t="inlineStr">
        <is>
          <t>ccaa:13</t>
        </is>
      </c>
      <c r="C766" s="3" t="inlineStr">
        <is>
          <t>P3</t>
        </is>
      </c>
      <c r="D766" s="3" t="inlineStr">
        <is>
          <t>factor_comun</t>
        </is>
      </c>
      <c r="E766" s="3" t="inlineStr">
        <is>
          <t>regional_panel</t>
        </is>
      </c>
      <c r="F766" s="3" t="n">
        <v>-0.548472</v>
      </c>
      <c r="G766" s="3" t="n"/>
      <c r="H766" s="3" t="n"/>
      <c r="I766" s="3" t="n">
        <v>-0.0289403</v>
      </c>
      <c r="J766" s="3" t="n">
        <v>-3.50001</v>
      </c>
      <c r="K766" s="3" t="n">
        <v>2.45383</v>
      </c>
      <c r="L766" s="3" t="n">
        <v>-6.0503</v>
      </c>
      <c r="M766" s="3" t="n">
        <v>3.74556</v>
      </c>
      <c r="N766" s="3" t="inlineStr">
        <is>
          <t>C4</t>
        </is>
      </c>
      <c r="O766" s="3" t="inlineStr">
        <is>
          <t>no</t>
        </is>
      </c>
      <c r="P766" s="3" t="inlineStr">
        <is>
          <t>no_compite</t>
        </is>
      </c>
      <c r="Q766" s="3" t="inlineStr">
        <is>
          <t>panel_covariables</t>
        </is>
      </c>
      <c r="R766" s="3" t="n"/>
      <c r="S766" s="3" t="inlineStr">
        <is>
          <t>contraste regional (R6); no vota</t>
        </is>
      </c>
      <c r="T766" s="3" t="inlineStr">
        <is>
          <t>output/v8/F5/atribucion_combinada.csv</t>
        </is>
      </c>
      <c r="U766" s="2">
        <f>IF(R766=0,"",F766/R766)</f>
        <v/>
      </c>
      <c r="V766" s="2">
        <f>SUMIFS(F$2:F$1589,A$2:A$1589,A766,C$2:C$1589,C766,E$2:E$1589,E766,Q$2:Q$1589,Q766)</f>
        <v/>
      </c>
    </row>
    <row r="767">
      <c r="A767" s="3" t="inlineStr">
        <is>
          <t>compra</t>
        </is>
      </c>
      <c r="B767" s="3" t="inlineStr">
        <is>
          <t>ccaa:13</t>
        </is>
      </c>
      <c r="C767" s="3" t="inlineStr">
        <is>
          <t>P3</t>
        </is>
      </c>
      <c r="D767" s="3" t="inlineStr">
        <is>
          <t>empleo_renta</t>
        </is>
      </c>
      <c r="E767" s="3" t="inlineStr">
        <is>
          <t>regional_panel</t>
        </is>
      </c>
      <c r="F767" s="3" t="n">
        <v>0.483573</v>
      </c>
      <c r="G767" s="3" t="n"/>
      <c r="H767" s="3" t="n"/>
      <c r="I767" s="3" t="n">
        <v>0.0255159</v>
      </c>
      <c r="J767" s="3" t="n">
        <v>-0.186273</v>
      </c>
      <c r="K767" s="3" t="n">
        <v>1.30446</v>
      </c>
      <c r="L767" s="3" t="n">
        <v>-0.722645</v>
      </c>
      <c r="M767" s="3" t="n">
        <v>1.79405</v>
      </c>
      <c r="N767" s="3" t="inlineStr">
        <is>
          <t>C4</t>
        </is>
      </c>
      <c r="O767" s="3" t="inlineStr">
        <is>
          <t>si</t>
        </is>
      </c>
      <c r="P767" s="3" t="inlineStr">
        <is>
          <t>no_vota</t>
        </is>
      </c>
      <c r="Q767" s="3" t="inlineStr">
        <is>
          <t>panel_covariables</t>
        </is>
      </c>
      <c r="R767" s="3" t="n"/>
      <c r="S767" s="3" t="inlineStr">
        <is>
          <t>contraste regional (R6); no vota</t>
        </is>
      </c>
      <c r="T767" s="3" t="inlineStr">
        <is>
          <t>output/v8/F5/atribucion_combinada.csv</t>
        </is>
      </c>
      <c r="U767" s="2">
        <f>IF(R767=0,"",F767/R767)</f>
        <v/>
      </c>
      <c r="V767" s="2">
        <f>SUMIFS(F$2:F$1589,A$2:A$1589,A767,C$2:C$1589,C767,E$2:E$1589,E767,Q$2:Q$1589,Q767)</f>
        <v/>
      </c>
    </row>
    <row r="768">
      <c r="A768" s="3" t="inlineStr">
        <is>
          <t>compra</t>
        </is>
      </c>
      <c r="B768" s="3" t="inlineStr">
        <is>
          <t>ccaa:13</t>
        </is>
      </c>
      <c r="C768" s="3" t="inlineStr">
        <is>
          <t>P3</t>
        </is>
      </c>
      <c r="D768" s="3" t="inlineStr">
        <is>
          <t>demografia</t>
        </is>
      </c>
      <c r="E768" s="3" t="inlineStr">
        <is>
          <t>regional_panel</t>
        </is>
      </c>
      <c r="F768" s="3" t="n">
        <v>3.63093</v>
      </c>
      <c r="G768" s="3" t="n"/>
      <c r="H768" s="3" t="n"/>
      <c r="I768" s="3" t="n">
        <v>0.191587</v>
      </c>
      <c r="J768" s="3" t="n">
        <v>1.95787</v>
      </c>
      <c r="K768" s="3" t="n">
        <v>6.97565</v>
      </c>
      <c r="L768" s="3" t="n">
        <v>0.482162</v>
      </c>
      <c r="M768" s="3" t="n">
        <v>9.098039999999999</v>
      </c>
      <c r="N768" s="3" t="inlineStr">
        <is>
          <t>C4</t>
        </is>
      </c>
      <c r="O768" s="3" t="inlineStr">
        <is>
          <t>si</t>
        </is>
      </c>
      <c r="P768" s="3" t="inlineStr">
        <is>
          <t>no_vota</t>
        </is>
      </c>
      <c r="Q768" s="3" t="inlineStr">
        <is>
          <t>panel_covariables</t>
        </is>
      </c>
      <c r="R768" s="3" t="n"/>
      <c r="S768" s="3" t="inlineStr">
        <is>
          <t>contraste regional (R6); no vota</t>
        </is>
      </c>
      <c r="T768" s="3" t="inlineStr">
        <is>
          <t>output/v8/F5/atribucion_combinada.csv</t>
        </is>
      </c>
      <c r="U768" s="2">
        <f>IF(R768=0,"",F768/R768)</f>
        <v/>
      </c>
      <c r="V768" s="2">
        <f>SUMIFS(F$2:F$1589,A$2:A$1589,A768,C$2:C$1589,C768,E$2:E$1589,E768,Q$2:Q$1589,Q768)</f>
        <v/>
      </c>
    </row>
    <row r="769">
      <c r="A769" s="3" t="inlineStr">
        <is>
          <t>compra</t>
        </is>
      </c>
      <c r="B769" s="3" t="inlineStr">
        <is>
          <t>ccaa:13</t>
        </is>
      </c>
      <c r="C769" s="3" t="inlineStr">
        <is>
          <t>P3</t>
        </is>
      </c>
      <c r="D769" s="3" t="inlineStr">
        <is>
          <t>oferta</t>
        </is>
      </c>
      <c r="E769" s="3" t="inlineStr">
        <is>
          <t>regional_panel</t>
        </is>
      </c>
      <c r="F769" s="3" t="n">
        <v>-0.737247</v>
      </c>
      <c r="G769" s="3" t="n"/>
      <c r="H769" s="3" t="n"/>
      <c r="I769" s="3" t="n">
        <v>-0.0389011</v>
      </c>
      <c r="J769" s="3" t="n">
        <v>-1.40203</v>
      </c>
      <c r="K769" s="3" t="n">
        <v>-0.152467</v>
      </c>
      <c r="L769" s="3" t="n">
        <v>-1.77769</v>
      </c>
      <c r="M769" s="3" t="n">
        <v>0.0966933</v>
      </c>
      <c r="N769" s="3" t="inlineStr">
        <is>
          <t>C4</t>
        </is>
      </c>
      <c r="O769" s="3" t="inlineStr">
        <is>
          <t>si</t>
        </is>
      </c>
      <c r="P769" s="3" t="inlineStr">
        <is>
          <t>no_vota</t>
        </is>
      </c>
      <c r="Q769" s="3" t="inlineStr">
        <is>
          <t>panel_covariables</t>
        </is>
      </c>
      <c r="R769" s="3" t="n"/>
      <c r="S769" s="3" t="inlineStr">
        <is>
          <t>contraste regional (R6); no vota</t>
        </is>
      </c>
      <c r="T769" s="3" t="inlineStr">
        <is>
          <t>output/v8/F5/atribucion_combinada.csv</t>
        </is>
      </c>
      <c r="U769" s="2">
        <f>IF(R769=0,"",F769/R769)</f>
        <v/>
      </c>
      <c r="V769" s="2">
        <f>SUMIFS(F$2:F$1589,A$2:A$1589,A769,C$2:C$1589,C769,E$2:E$1589,E769,Q$2:Q$1589,Q769)</f>
        <v/>
      </c>
    </row>
    <row r="770">
      <c r="A770" s="3" t="inlineStr">
        <is>
          <t>compra</t>
        </is>
      </c>
      <c r="B770" s="3" t="inlineStr">
        <is>
          <t>ccaa:13</t>
        </is>
      </c>
      <c r="C770" s="3" t="inlineStr">
        <is>
          <t>P3</t>
        </is>
      </c>
      <c r="D770" s="3" t="inlineStr">
        <is>
          <t>demanda_externa</t>
        </is>
      </c>
      <c r="E770" s="3" t="inlineStr">
        <is>
          <t>regional_panel</t>
        </is>
      </c>
      <c r="F770" s="3" t="n">
        <v>0.864141</v>
      </c>
      <c r="G770" s="3" t="n"/>
      <c r="H770" s="3" t="n"/>
      <c r="I770" s="3" t="n">
        <v>0.0455967</v>
      </c>
      <c r="J770" s="3" t="n">
        <v>0.232854</v>
      </c>
      <c r="K770" s="3" t="n">
        <v>1.13703</v>
      </c>
      <c r="L770" s="3" t="n">
        <v>-0.278</v>
      </c>
      <c r="M770" s="3" t="n">
        <v>1.49629</v>
      </c>
      <c r="N770" s="3" t="inlineStr">
        <is>
          <t>C4</t>
        </is>
      </c>
      <c r="O770" s="3" t="inlineStr">
        <is>
          <t>si</t>
        </is>
      </c>
      <c r="P770" s="3" t="inlineStr">
        <is>
          <t>no_vota</t>
        </is>
      </c>
      <c r="Q770" s="3" t="inlineStr">
        <is>
          <t>panel_covariables</t>
        </is>
      </c>
      <c r="R770" s="3" t="n"/>
      <c r="S770" s="3" t="inlineStr">
        <is>
          <t>contraste regional (R6); no vota</t>
        </is>
      </c>
      <c r="T770" s="3" t="inlineStr">
        <is>
          <t>output/v8/F5/atribucion_combinada.csv</t>
        </is>
      </c>
      <c r="U770" s="2">
        <f>IF(R770=0,"",F770/R770)</f>
        <v/>
      </c>
      <c r="V770" s="2">
        <f>SUMIFS(F$2:F$1589,A$2:A$1589,A770,C$2:C$1589,C770,E$2:E$1589,E770,Q$2:Q$1589,Q770)</f>
        <v/>
      </c>
    </row>
    <row r="771">
      <c r="A771" s="3" t="inlineStr">
        <is>
          <t>compra</t>
        </is>
      </c>
      <c r="B771" s="3" t="inlineStr">
        <is>
          <t>ccaa:13</t>
        </is>
      </c>
      <c r="C771" s="3" t="inlineStr">
        <is>
          <t>P3</t>
        </is>
      </c>
      <c r="D771" s="3" t="inlineStr">
        <is>
          <t>residuo</t>
        </is>
      </c>
      <c r="E771" s="3" t="inlineStr">
        <is>
          <t>regional_panel</t>
        </is>
      </c>
      <c r="F771" s="3" t="n">
        <v>15.2589</v>
      </c>
      <c r="G771" s="3" t="n"/>
      <c r="H771" s="3" t="n"/>
      <c r="I771" s="3" t="n">
        <v>0.805142</v>
      </c>
      <c r="J771" s="3" t="n">
        <v>12.367</v>
      </c>
      <c r="K771" s="3" t="n">
        <v>17.0955</v>
      </c>
      <c r="L771" s="3" t="n">
        <v>10.3987</v>
      </c>
      <c r="M771" s="3" t="n">
        <v>18.0296</v>
      </c>
      <c r="N771" s="3" t="inlineStr">
        <is>
          <t>C4</t>
        </is>
      </c>
      <c r="O771" s="3" t="inlineStr">
        <is>
          <t>no</t>
        </is>
      </c>
      <c r="P771" s="3" t="inlineStr">
        <is>
          <t>no_compite</t>
        </is>
      </c>
      <c r="Q771" s="3" t="inlineStr">
        <is>
          <t>panel_covariables</t>
        </is>
      </c>
      <c r="R771" s="3" t="n"/>
      <c r="S771" s="3" t="inlineStr">
        <is>
          <t>contraste regional (R6); no vota</t>
        </is>
      </c>
      <c r="T771" s="3" t="inlineStr">
        <is>
          <t>output/v8/F5/atribucion_combinada.csv</t>
        </is>
      </c>
      <c r="U771" s="2">
        <f>IF(R771=0,"",F771/R771)</f>
        <v/>
      </c>
      <c r="V771" s="2">
        <f>SUMIFS(F$2:F$1589,A$2:A$1589,A771,C$2:C$1589,C771,E$2:E$1589,E771,Q$2:Q$1589,Q771)</f>
        <v/>
      </c>
    </row>
    <row r="772">
      <c r="A772" s="3" t="inlineStr">
        <is>
          <t>compra</t>
        </is>
      </c>
      <c r="B772" s="3" t="inlineStr">
        <is>
          <t>ccaa:14</t>
        </is>
      </c>
      <c r="C772" s="3" t="inlineStr">
        <is>
          <t>P3</t>
        </is>
      </c>
      <c r="D772" s="3" t="inlineStr">
        <is>
          <t>factor_comun</t>
        </is>
      </c>
      <c r="E772" s="3" t="inlineStr">
        <is>
          <t>regional_panel</t>
        </is>
      </c>
      <c r="F772" s="3" t="n">
        <v>-0.548472</v>
      </c>
      <c r="G772" s="3" t="n"/>
      <c r="H772" s="3" t="n"/>
      <c r="I772" s="3" t="n">
        <v>0.0701619</v>
      </c>
      <c r="J772" s="3" t="n">
        <v>-3.50001</v>
      </c>
      <c r="K772" s="3" t="n">
        <v>2.45383</v>
      </c>
      <c r="L772" s="3" t="n">
        <v>-6.0503</v>
      </c>
      <c r="M772" s="3" t="n">
        <v>3.74556</v>
      </c>
      <c r="N772" s="3" t="inlineStr">
        <is>
          <t>C4</t>
        </is>
      </c>
      <c r="O772" s="3" t="inlineStr">
        <is>
          <t>no</t>
        </is>
      </c>
      <c r="P772" s="3" t="inlineStr">
        <is>
          <t>no_compite</t>
        </is>
      </c>
      <c r="Q772" s="3" t="inlineStr">
        <is>
          <t>panel_covariables</t>
        </is>
      </c>
      <c r="R772" s="3" t="n"/>
      <c r="S772" s="3" t="inlineStr">
        <is>
          <t>contraste regional (R6); no vota</t>
        </is>
      </c>
      <c r="T772" s="3" t="inlineStr">
        <is>
          <t>output/v8/F5/atribucion_combinada.csv</t>
        </is>
      </c>
      <c r="U772" s="2">
        <f>IF(R772=0,"",F772/R772)</f>
        <v/>
      </c>
      <c r="V772" s="2">
        <f>SUMIFS(F$2:F$1589,A$2:A$1589,A772,C$2:C$1589,C772,E$2:E$1589,E772,Q$2:Q$1589,Q772)</f>
        <v/>
      </c>
    </row>
    <row r="773">
      <c r="A773" s="3" t="inlineStr">
        <is>
          <t>compra</t>
        </is>
      </c>
      <c r="B773" s="3" t="inlineStr">
        <is>
          <t>ccaa:14</t>
        </is>
      </c>
      <c r="C773" s="3" t="inlineStr">
        <is>
          <t>P3</t>
        </is>
      </c>
      <c r="D773" s="3" t="inlineStr">
        <is>
          <t>empleo_renta</t>
        </is>
      </c>
      <c r="E773" s="3" t="inlineStr">
        <is>
          <t>regional_panel</t>
        </is>
      </c>
      <c r="F773" s="3" t="n">
        <v>0.700315</v>
      </c>
      <c r="G773" s="3" t="n"/>
      <c r="H773" s="3" t="n"/>
      <c r="I773" s="3" t="n">
        <v>-0.089586</v>
      </c>
      <c r="J773" s="3" t="n">
        <v>-0.177574</v>
      </c>
      <c r="K773" s="3" t="n">
        <v>1.73042</v>
      </c>
      <c r="L773" s="3" t="n">
        <v>-0.859223</v>
      </c>
      <c r="M773" s="3" t="n">
        <v>2.68711</v>
      </c>
      <c r="N773" s="3" t="inlineStr">
        <is>
          <t>C4</t>
        </is>
      </c>
      <c r="O773" s="3" t="inlineStr">
        <is>
          <t>si</t>
        </is>
      </c>
      <c r="P773" s="3" t="inlineStr">
        <is>
          <t>no_vota</t>
        </is>
      </c>
      <c r="Q773" s="3" t="inlineStr">
        <is>
          <t>panel_covariables</t>
        </is>
      </c>
      <c r="R773" s="3" t="n"/>
      <c r="S773" s="3" t="inlineStr">
        <is>
          <t>contraste regional (R6); no vota</t>
        </is>
      </c>
      <c r="T773" s="3" t="inlineStr">
        <is>
          <t>output/v8/F5/atribucion_combinada.csv</t>
        </is>
      </c>
      <c r="U773" s="2">
        <f>IF(R773=0,"",F773/R773)</f>
        <v/>
      </c>
      <c r="V773" s="2">
        <f>SUMIFS(F$2:F$1589,A$2:A$1589,A773,C$2:C$1589,C773,E$2:E$1589,E773,Q$2:Q$1589,Q773)</f>
        <v/>
      </c>
    </row>
    <row r="774">
      <c r="A774" s="3" t="inlineStr">
        <is>
          <t>compra</t>
        </is>
      </c>
      <c r="B774" s="3" t="inlineStr">
        <is>
          <t>ccaa:14</t>
        </is>
      </c>
      <c r="C774" s="3" t="inlineStr">
        <is>
          <t>P3</t>
        </is>
      </c>
      <c r="D774" s="3" t="inlineStr">
        <is>
          <t>demografia</t>
        </is>
      </c>
      <c r="E774" s="3" t="inlineStr">
        <is>
          <t>regional_panel</t>
        </is>
      </c>
      <c r="F774" s="3" t="n">
        <v>2.35654</v>
      </c>
      <c r="G774" s="3" t="n"/>
      <c r="H774" s="3" t="n"/>
      <c r="I774" s="3" t="n">
        <v>-0.301454</v>
      </c>
      <c r="J774" s="3" t="n">
        <v>1.3283</v>
      </c>
      <c r="K774" s="3" t="n">
        <v>4.00638</v>
      </c>
      <c r="L774" s="3" t="n">
        <v>0.424404</v>
      </c>
      <c r="M774" s="3" t="n">
        <v>4.9276</v>
      </c>
      <c r="N774" s="3" t="inlineStr">
        <is>
          <t>C4</t>
        </is>
      </c>
      <c r="O774" s="3" t="inlineStr">
        <is>
          <t>si</t>
        </is>
      </c>
      <c r="P774" s="3" t="inlineStr">
        <is>
          <t>no_vota</t>
        </is>
      </c>
      <c r="Q774" s="3" t="inlineStr">
        <is>
          <t>panel_covariables</t>
        </is>
      </c>
      <c r="R774" s="3" t="n"/>
      <c r="S774" s="3" t="inlineStr">
        <is>
          <t>contraste regional (R6); no vota</t>
        </is>
      </c>
      <c r="T774" s="3" t="inlineStr">
        <is>
          <t>output/v8/F5/atribucion_combinada.csv</t>
        </is>
      </c>
      <c r="U774" s="2">
        <f>IF(R774=0,"",F774/R774)</f>
        <v/>
      </c>
      <c r="V774" s="2">
        <f>SUMIFS(F$2:F$1589,A$2:A$1589,A774,C$2:C$1589,C774,E$2:E$1589,E774,Q$2:Q$1589,Q774)</f>
        <v/>
      </c>
    </row>
    <row r="775">
      <c r="A775" s="3" t="inlineStr">
        <is>
          <t>compra</t>
        </is>
      </c>
      <c r="B775" s="3" t="inlineStr">
        <is>
          <t>ccaa:14</t>
        </is>
      </c>
      <c r="C775" s="3" t="inlineStr">
        <is>
          <t>P3</t>
        </is>
      </c>
      <c r="D775" s="3" t="inlineStr">
        <is>
          <t>oferta</t>
        </is>
      </c>
      <c r="E775" s="3" t="inlineStr">
        <is>
          <t>regional_panel</t>
        </is>
      </c>
      <c r="F775" s="3" t="n">
        <v>-0.372653</v>
      </c>
      <c r="G775" s="3" t="n"/>
      <c r="H775" s="3" t="n"/>
      <c r="I775" s="3" t="n">
        <v>0.0476707</v>
      </c>
      <c r="J775" s="3" t="n">
        <v>-0.592907</v>
      </c>
      <c r="K775" s="3" t="n">
        <v>0.0408114</v>
      </c>
      <c r="L775" s="3" t="n">
        <v>-0.808214</v>
      </c>
      <c r="M775" s="3" t="n">
        <v>0.257072</v>
      </c>
      <c r="N775" s="3" t="inlineStr">
        <is>
          <t>C4</t>
        </is>
      </c>
      <c r="O775" s="3" t="inlineStr">
        <is>
          <t>si</t>
        </is>
      </c>
      <c r="P775" s="3" t="inlineStr">
        <is>
          <t>no_vota</t>
        </is>
      </c>
      <c r="Q775" s="3" t="inlineStr">
        <is>
          <t>panel_covariables</t>
        </is>
      </c>
      <c r="R775" s="3" t="n"/>
      <c r="S775" s="3" t="inlineStr">
        <is>
          <t>contraste regional (R6); no vota</t>
        </is>
      </c>
      <c r="T775" s="3" t="inlineStr">
        <is>
          <t>output/v8/F5/atribucion_combinada.csv</t>
        </is>
      </c>
      <c r="U775" s="2">
        <f>IF(R775=0,"",F775/R775)</f>
        <v/>
      </c>
      <c r="V775" s="2">
        <f>SUMIFS(F$2:F$1589,A$2:A$1589,A775,C$2:C$1589,C775,E$2:E$1589,E775,Q$2:Q$1589,Q775)</f>
        <v/>
      </c>
    </row>
    <row r="776">
      <c r="A776" s="3" t="inlineStr">
        <is>
          <t>compra</t>
        </is>
      </c>
      <c r="B776" s="3" t="inlineStr">
        <is>
          <t>ccaa:14</t>
        </is>
      </c>
      <c r="C776" s="3" t="inlineStr">
        <is>
          <t>P3</t>
        </is>
      </c>
      <c r="D776" s="3" t="inlineStr">
        <is>
          <t>demanda_externa</t>
        </is>
      </c>
      <c r="E776" s="3" t="inlineStr">
        <is>
          <t>regional_panel</t>
        </is>
      </c>
      <c r="F776" s="3" t="n">
        <v>1.12511</v>
      </c>
      <c r="G776" s="3" t="n"/>
      <c r="H776" s="3" t="n"/>
      <c r="I776" s="3" t="n">
        <v>-0.143927</v>
      </c>
      <c r="J776" s="3" t="n">
        <v>0.346026</v>
      </c>
      <c r="K776" s="3" t="n">
        <v>2.40587</v>
      </c>
      <c r="L776" s="3" t="n">
        <v>-0.0362088</v>
      </c>
      <c r="M776" s="3" t="n">
        <v>2.8493</v>
      </c>
      <c r="N776" s="3" t="inlineStr">
        <is>
          <t>C4</t>
        </is>
      </c>
      <c r="O776" s="3" t="inlineStr">
        <is>
          <t>si</t>
        </is>
      </c>
      <c r="P776" s="3" t="inlineStr">
        <is>
          <t>no_vota</t>
        </is>
      </c>
      <c r="Q776" s="3" t="inlineStr">
        <is>
          <t>panel_covariables</t>
        </is>
      </c>
      <c r="R776" s="3" t="n"/>
      <c r="S776" s="3" t="inlineStr">
        <is>
          <t>contraste regional (R6); no vota</t>
        </is>
      </c>
      <c r="T776" s="3" t="inlineStr">
        <is>
          <t>output/v8/F5/atribucion_combinada.csv</t>
        </is>
      </c>
      <c r="U776" s="2">
        <f>IF(R776=0,"",F776/R776)</f>
        <v/>
      </c>
      <c r="V776" s="2">
        <f>SUMIFS(F$2:F$1589,A$2:A$1589,A776,C$2:C$1589,C776,E$2:E$1589,E776,Q$2:Q$1589,Q776)</f>
        <v/>
      </c>
    </row>
    <row r="777">
      <c r="A777" s="3" t="inlineStr">
        <is>
          <t>compra</t>
        </is>
      </c>
      <c r="B777" s="3" t="inlineStr">
        <is>
          <t>ccaa:14</t>
        </is>
      </c>
      <c r="C777" s="3" t="inlineStr">
        <is>
          <t>P3</t>
        </is>
      </c>
      <c r="D777" s="3" t="inlineStr">
        <is>
          <t>residuo</t>
        </is>
      </c>
      <c r="E777" s="3" t="inlineStr">
        <is>
          <t>regional_panel</t>
        </is>
      </c>
      <c r="F777" s="3" t="n">
        <v>-11.0781</v>
      </c>
      <c r="G777" s="3" t="n"/>
      <c r="H777" s="3" t="n"/>
      <c r="I777" s="3" t="n">
        <v>1.41713</v>
      </c>
      <c r="J777" s="3" t="n">
        <v>-14.5759</v>
      </c>
      <c r="K777" s="3" t="n">
        <v>-9.193250000000001</v>
      </c>
      <c r="L777" s="3" t="n">
        <v>-17.1065</v>
      </c>
      <c r="M777" s="3" t="n">
        <v>-7.48828</v>
      </c>
      <c r="N777" s="3" t="inlineStr">
        <is>
          <t>C4</t>
        </is>
      </c>
      <c r="O777" s="3" t="inlineStr">
        <is>
          <t>no</t>
        </is>
      </c>
      <c r="P777" s="3" t="inlineStr">
        <is>
          <t>no_compite</t>
        </is>
      </c>
      <c r="Q777" s="3" t="inlineStr">
        <is>
          <t>panel_covariables</t>
        </is>
      </c>
      <c r="R777" s="3" t="n"/>
      <c r="S777" s="3" t="inlineStr">
        <is>
          <t>contraste regional (R6); no vota</t>
        </is>
      </c>
      <c r="T777" s="3" t="inlineStr">
        <is>
          <t>output/v8/F5/atribucion_combinada.csv</t>
        </is>
      </c>
      <c r="U777" s="2">
        <f>IF(R777=0,"",F777/R777)</f>
        <v/>
      </c>
      <c r="V777" s="2">
        <f>SUMIFS(F$2:F$1589,A$2:A$1589,A777,C$2:C$1589,C777,E$2:E$1589,E777,Q$2:Q$1589,Q777)</f>
        <v/>
      </c>
    </row>
    <row r="778">
      <c r="A778" s="3" t="inlineStr">
        <is>
          <t>compra</t>
        </is>
      </c>
      <c r="B778" s="3" t="inlineStr">
        <is>
          <t>ccaa:15</t>
        </is>
      </c>
      <c r="C778" s="3" t="inlineStr">
        <is>
          <t>P3</t>
        </is>
      </c>
      <c r="D778" s="3" t="inlineStr">
        <is>
          <t>factor_comun</t>
        </is>
      </c>
      <c r="E778" s="3" t="inlineStr">
        <is>
          <t>regional_panel</t>
        </is>
      </c>
      <c r="F778" s="3" t="n">
        <v>-0.548472</v>
      </c>
      <c r="G778" s="3" t="n"/>
      <c r="H778" s="3" t="n"/>
      <c r="I778" s="3" t="n">
        <v>1.02363</v>
      </c>
      <c r="J778" s="3" t="n">
        <v>-3.50001</v>
      </c>
      <c r="K778" s="3" t="n">
        <v>2.45383</v>
      </c>
      <c r="L778" s="3" t="n">
        <v>-6.0503</v>
      </c>
      <c r="M778" s="3" t="n">
        <v>3.74556</v>
      </c>
      <c r="N778" s="3" t="inlineStr">
        <is>
          <t>C4</t>
        </is>
      </c>
      <c r="O778" s="3" t="inlineStr">
        <is>
          <t>no</t>
        </is>
      </c>
      <c r="P778" s="3" t="inlineStr">
        <is>
          <t>no_compite</t>
        </is>
      </c>
      <c r="Q778" s="3" t="inlineStr">
        <is>
          <t>panel_covariables</t>
        </is>
      </c>
      <c r="R778" s="3" t="n"/>
      <c r="S778" s="3" t="inlineStr">
        <is>
          <t>contraste regional (R6); no vota</t>
        </is>
      </c>
      <c r="T778" s="3" t="inlineStr">
        <is>
          <t>output/v8/F5/atribucion_combinada.csv</t>
        </is>
      </c>
      <c r="U778" s="2">
        <f>IF(R778=0,"",F778/R778)</f>
        <v/>
      </c>
      <c r="V778" s="2">
        <f>SUMIFS(F$2:F$1589,A$2:A$1589,A778,C$2:C$1589,C778,E$2:E$1589,E778,Q$2:Q$1589,Q778)</f>
        <v/>
      </c>
    </row>
    <row r="779">
      <c r="A779" s="3" t="inlineStr">
        <is>
          <t>compra</t>
        </is>
      </c>
      <c r="B779" s="3" t="inlineStr">
        <is>
          <t>ccaa:15</t>
        </is>
      </c>
      <c r="C779" s="3" t="inlineStr">
        <is>
          <t>P3</t>
        </is>
      </c>
      <c r="D779" s="3" t="inlineStr">
        <is>
          <t>empleo_renta</t>
        </is>
      </c>
      <c r="E779" s="3" t="inlineStr">
        <is>
          <t>regional_panel</t>
        </is>
      </c>
      <c r="F779" s="3" t="n">
        <v>0.496631</v>
      </c>
      <c r="G779" s="3" t="n"/>
      <c r="H779" s="3" t="n"/>
      <c r="I779" s="3" t="n">
        <v>-0.926877</v>
      </c>
      <c r="J779" s="3" t="n">
        <v>-0.0657021</v>
      </c>
      <c r="K779" s="3" t="n">
        <v>1.18485</v>
      </c>
      <c r="L779" s="3" t="n">
        <v>-0.573844</v>
      </c>
      <c r="M779" s="3" t="n">
        <v>1.59962</v>
      </c>
      <c r="N779" s="3" t="inlineStr">
        <is>
          <t>C4</t>
        </is>
      </c>
      <c r="O779" s="3" t="inlineStr">
        <is>
          <t>si</t>
        </is>
      </c>
      <c r="P779" s="3" t="inlineStr">
        <is>
          <t>no_vota</t>
        </is>
      </c>
      <c r="Q779" s="3" t="inlineStr">
        <is>
          <t>panel_covariables</t>
        </is>
      </c>
      <c r="R779" s="3" t="n"/>
      <c r="S779" s="3" t="inlineStr">
        <is>
          <t>contraste regional (R6); no vota</t>
        </is>
      </c>
      <c r="T779" s="3" t="inlineStr">
        <is>
          <t>output/v8/F5/atribucion_combinada.csv</t>
        </is>
      </c>
      <c r="U779" s="2">
        <f>IF(R779=0,"",F779/R779)</f>
        <v/>
      </c>
      <c r="V779" s="2">
        <f>SUMIFS(F$2:F$1589,A$2:A$1589,A779,C$2:C$1589,C779,E$2:E$1589,E779,Q$2:Q$1589,Q779)</f>
        <v/>
      </c>
    </row>
    <row r="780">
      <c r="A780" s="3" t="inlineStr">
        <is>
          <t>compra</t>
        </is>
      </c>
      <c r="B780" s="3" t="inlineStr">
        <is>
          <t>ccaa:15</t>
        </is>
      </c>
      <c r="C780" s="3" t="inlineStr">
        <is>
          <t>P3</t>
        </is>
      </c>
      <c r="D780" s="3" t="inlineStr">
        <is>
          <t>demografia</t>
        </is>
      </c>
      <c r="E780" s="3" t="inlineStr">
        <is>
          <t>regional_panel</t>
        </is>
      </c>
      <c r="F780" s="3" t="n">
        <v>2.27023</v>
      </c>
      <c r="G780" s="3" t="n"/>
      <c r="H780" s="3" t="n"/>
      <c r="I780" s="3" t="n">
        <v>-4.23701</v>
      </c>
      <c r="J780" s="3" t="n">
        <v>1.31807</v>
      </c>
      <c r="K780" s="3" t="n">
        <v>4.2836</v>
      </c>
      <c r="L780" s="3" t="n">
        <v>0.330222</v>
      </c>
      <c r="M780" s="3" t="n">
        <v>5.39738</v>
      </c>
      <c r="N780" s="3" t="inlineStr">
        <is>
          <t>C4</t>
        </is>
      </c>
      <c r="O780" s="3" t="inlineStr">
        <is>
          <t>si</t>
        </is>
      </c>
      <c r="P780" s="3" t="inlineStr">
        <is>
          <t>no_vota</t>
        </is>
      </c>
      <c r="Q780" s="3" t="inlineStr">
        <is>
          <t>panel_covariables</t>
        </is>
      </c>
      <c r="R780" s="3" t="n"/>
      <c r="S780" s="3" t="inlineStr">
        <is>
          <t>contraste regional (R6); no vota</t>
        </is>
      </c>
      <c r="T780" s="3" t="inlineStr">
        <is>
          <t>output/v8/F5/atribucion_combinada.csv</t>
        </is>
      </c>
      <c r="U780" s="2">
        <f>IF(R780=0,"",F780/R780)</f>
        <v/>
      </c>
      <c r="V780" s="2">
        <f>SUMIFS(F$2:F$1589,A$2:A$1589,A780,C$2:C$1589,C780,E$2:E$1589,E780,Q$2:Q$1589,Q780)</f>
        <v/>
      </c>
    </row>
    <row r="781">
      <c r="A781" s="3" t="inlineStr">
        <is>
          <t>compra</t>
        </is>
      </c>
      <c r="B781" s="3" t="inlineStr">
        <is>
          <t>ccaa:15</t>
        </is>
      </c>
      <c r="C781" s="3" t="inlineStr">
        <is>
          <t>P3</t>
        </is>
      </c>
      <c r="D781" s="3" t="inlineStr">
        <is>
          <t>oferta</t>
        </is>
      </c>
      <c r="E781" s="3" t="inlineStr">
        <is>
          <t>regional_panel</t>
        </is>
      </c>
      <c r="F781" s="3" t="n">
        <v>-0.708111</v>
      </c>
      <c r="G781" s="3" t="n"/>
      <c r="H781" s="3" t="n"/>
      <c r="I781" s="3" t="n">
        <v>1.32157</v>
      </c>
      <c r="J781" s="3" t="n">
        <v>-1.3995</v>
      </c>
      <c r="K781" s="3" t="n">
        <v>-0.0373964</v>
      </c>
      <c r="L781" s="3" t="n">
        <v>-1.97917</v>
      </c>
      <c r="M781" s="3" t="n">
        <v>0.153206</v>
      </c>
      <c r="N781" s="3" t="inlineStr">
        <is>
          <t>C4</t>
        </is>
      </c>
      <c r="O781" s="3" t="inlineStr">
        <is>
          <t>si</t>
        </is>
      </c>
      <c r="P781" s="3" t="inlineStr">
        <is>
          <t>no_vota</t>
        </is>
      </c>
      <c r="Q781" s="3" t="inlineStr">
        <is>
          <t>panel_covariables</t>
        </is>
      </c>
      <c r="R781" s="3" t="n"/>
      <c r="S781" s="3" t="inlineStr">
        <is>
          <t>contraste regional (R6); no vota</t>
        </is>
      </c>
      <c r="T781" s="3" t="inlineStr">
        <is>
          <t>output/v8/F5/atribucion_combinada.csv</t>
        </is>
      </c>
      <c r="U781" s="2">
        <f>IF(R781=0,"",F781/R781)</f>
        <v/>
      </c>
      <c r="V781" s="2">
        <f>SUMIFS(F$2:F$1589,A$2:A$1589,A781,C$2:C$1589,C781,E$2:E$1589,E781,Q$2:Q$1589,Q781)</f>
        <v/>
      </c>
    </row>
    <row r="782">
      <c r="A782" s="3" t="inlineStr">
        <is>
          <t>compra</t>
        </is>
      </c>
      <c r="B782" s="3" t="inlineStr">
        <is>
          <t>ccaa:15</t>
        </is>
      </c>
      <c r="C782" s="3" t="inlineStr">
        <is>
          <t>P3</t>
        </is>
      </c>
      <c r="D782" s="3" t="inlineStr">
        <is>
          <t>demanda_externa</t>
        </is>
      </c>
      <c r="E782" s="3" t="inlineStr">
        <is>
          <t>regional_panel</t>
        </is>
      </c>
      <c r="F782" s="3" t="n">
        <v>1.33184</v>
      </c>
      <c r="G782" s="3" t="n"/>
      <c r="H782" s="3" t="n"/>
      <c r="I782" s="3" t="n">
        <v>-2.48565</v>
      </c>
      <c r="J782" s="3" t="n">
        <v>0.514304</v>
      </c>
      <c r="K782" s="3" t="n">
        <v>2.02522</v>
      </c>
      <c r="L782" s="3" t="n">
        <v>-0.0621696</v>
      </c>
      <c r="M782" s="3" t="n">
        <v>2.49973</v>
      </c>
      <c r="N782" s="3" t="inlineStr">
        <is>
          <t>C4</t>
        </is>
      </c>
      <c r="O782" s="3" t="inlineStr">
        <is>
          <t>si</t>
        </is>
      </c>
      <c r="P782" s="3" t="inlineStr">
        <is>
          <t>no_vota</t>
        </is>
      </c>
      <c r="Q782" s="3" t="inlineStr">
        <is>
          <t>panel_covariables</t>
        </is>
      </c>
      <c r="R782" s="3" t="n"/>
      <c r="S782" s="3" t="inlineStr">
        <is>
          <t>contraste regional (R6); no vota</t>
        </is>
      </c>
      <c r="T782" s="3" t="inlineStr">
        <is>
          <t>output/v8/F5/atribucion_combinada.csv</t>
        </is>
      </c>
      <c r="U782" s="2">
        <f>IF(R782=0,"",F782/R782)</f>
        <v/>
      </c>
      <c r="V782" s="2">
        <f>SUMIFS(F$2:F$1589,A$2:A$1589,A782,C$2:C$1589,C782,E$2:E$1589,E782,Q$2:Q$1589,Q782)</f>
        <v/>
      </c>
    </row>
    <row r="783">
      <c r="A783" s="3" t="inlineStr">
        <is>
          <t>compra</t>
        </is>
      </c>
      <c r="B783" s="3" t="inlineStr">
        <is>
          <t>ccaa:15</t>
        </is>
      </c>
      <c r="C783" s="3" t="inlineStr">
        <is>
          <t>P3</t>
        </is>
      </c>
      <c r="D783" s="3" t="inlineStr">
        <is>
          <t>residuo</t>
        </is>
      </c>
      <c r="E783" s="3" t="inlineStr">
        <is>
          <t>regional_panel</t>
        </is>
      </c>
      <c r="F783" s="3" t="n">
        <v>-3.37793</v>
      </c>
      <c r="G783" s="3" t="n"/>
      <c r="H783" s="3" t="n"/>
      <c r="I783" s="3" t="n">
        <v>6.30434</v>
      </c>
      <c r="J783" s="3" t="n">
        <v>-6.11106</v>
      </c>
      <c r="K783" s="3" t="n">
        <v>-1.67646</v>
      </c>
      <c r="L783" s="3" t="n">
        <v>-7.65493</v>
      </c>
      <c r="M783" s="3" t="n">
        <v>0.0546283</v>
      </c>
      <c r="N783" s="3" t="inlineStr">
        <is>
          <t>C4</t>
        </is>
      </c>
      <c r="O783" s="3" t="inlineStr">
        <is>
          <t>no</t>
        </is>
      </c>
      <c r="P783" s="3" t="inlineStr">
        <is>
          <t>no_compite</t>
        </is>
      </c>
      <c r="Q783" s="3" t="inlineStr">
        <is>
          <t>panel_covariables</t>
        </is>
      </c>
      <c r="R783" s="3" t="n"/>
      <c r="S783" s="3" t="inlineStr">
        <is>
          <t>contraste regional (R6); no vota</t>
        </is>
      </c>
      <c r="T783" s="3" t="inlineStr">
        <is>
          <t>output/v8/F5/atribucion_combinada.csv</t>
        </is>
      </c>
      <c r="U783" s="2">
        <f>IF(R783=0,"",F783/R783)</f>
        <v/>
      </c>
      <c r="V783" s="2">
        <f>SUMIFS(F$2:F$1589,A$2:A$1589,A783,C$2:C$1589,C783,E$2:E$1589,E783,Q$2:Q$1589,Q783)</f>
        <v/>
      </c>
    </row>
    <row r="784">
      <c r="A784" s="3" t="inlineStr">
        <is>
          <t>compra</t>
        </is>
      </c>
      <c r="B784" s="3" t="inlineStr">
        <is>
          <t>ccaa:16</t>
        </is>
      </c>
      <c r="C784" s="3" t="inlineStr">
        <is>
          <t>P3</t>
        </is>
      </c>
      <c r="D784" s="3" t="inlineStr">
        <is>
          <t>factor_comun</t>
        </is>
      </c>
      <c r="E784" s="3" t="inlineStr">
        <is>
          <t>regional_panel</t>
        </is>
      </c>
      <c r="F784" s="3" t="n">
        <v>-0.548472</v>
      </c>
      <c r="G784" s="3" t="n"/>
      <c r="H784" s="3" t="n"/>
      <c r="I784" s="3" t="n">
        <v>0.0876156</v>
      </c>
      <c r="J784" s="3" t="n">
        <v>-3.50001</v>
      </c>
      <c r="K784" s="3" t="n">
        <v>2.45383</v>
      </c>
      <c r="L784" s="3" t="n">
        <v>-6.0503</v>
      </c>
      <c r="M784" s="3" t="n">
        <v>3.74556</v>
      </c>
      <c r="N784" s="3" t="inlineStr">
        <is>
          <t>C4</t>
        </is>
      </c>
      <c r="O784" s="3" t="inlineStr">
        <is>
          <t>no</t>
        </is>
      </c>
      <c r="P784" s="3" t="inlineStr">
        <is>
          <t>no_compite</t>
        </is>
      </c>
      <c r="Q784" s="3" t="inlineStr">
        <is>
          <t>panel_covariables</t>
        </is>
      </c>
      <c r="R784" s="3" t="n"/>
      <c r="S784" s="3" t="inlineStr">
        <is>
          <t>contraste regional (R6); no vota</t>
        </is>
      </c>
      <c r="T784" s="3" t="inlineStr">
        <is>
          <t>output/v8/F5/atribucion_combinada.csv</t>
        </is>
      </c>
      <c r="U784" s="2">
        <f>IF(R784=0,"",F784/R784)</f>
        <v/>
      </c>
      <c r="V784" s="2">
        <f>SUMIFS(F$2:F$1589,A$2:A$1589,A784,C$2:C$1589,C784,E$2:E$1589,E784,Q$2:Q$1589,Q784)</f>
        <v/>
      </c>
    </row>
    <row r="785">
      <c r="A785" s="3" t="inlineStr">
        <is>
          <t>compra</t>
        </is>
      </c>
      <c r="B785" s="3" t="inlineStr">
        <is>
          <t>ccaa:16</t>
        </is>
      </c>
      <c r="C785" s="3" t="inlineStr">
        <is>
          <t>P3</t>
        </is>
      </c>
      <c r="D785" s="3" t="inlineStr">
        <is>
          <t>empleo_renta</t>
        </is>
      </c>
      <c r="E785" s="3" t="inlineStr">
        <is>
          <t>regional_panel</t>
        </is>
      </c>
      <c r="F785" s="3" t="n">
        <v>0.30439</v>
      </c>
      <c r="G785" s="3" t="n"/>
      <c r="H785" s="3" t="n"/>
      <c r="I785" s="3" t="n">
        <v>-0.0486247</v>
      </c>
      <c r="J785" s="3" t="n">
        <v>-0.0607285</v>
      </c>
      <c r="K785" s="3" t="n">
        <v>0.85159</v>
      </c>
      <c r="L785" s="3" t="n">
        <v>-0.362151</v>
      </c>
      <c r="M785" s="3" t="n">
        <v>1.23247</v>
      </c>
      <c r="N785" s="3" t="inlineStr">
        <is>
          <t>C4</t>
        </is>
      </c>
      <c r="O785" s="3" t="inlineStr">
        <is>
          <t>si</t>
        </is>
      </c>
      <c r="P785" s="3" t="inlineStr">
        <is>
          <t>no_vota</t>
        </is>
      </c>
      <c r="Q785" s="3" t="inlineStr">
        <is>
          <t>panel_covariables</t>
        </is>
      </c>
      <c r="R785" s="3" t="n"/>
      <c r="S785" s="3" t="inlineStr">
        <is>
          <t>contraste regional (R6); no vota</t>
        </is>
      </c>
      <c r="T785" s="3" t="inlineStr">
        <is>
          <t>output/v8/F5/atribucion_combinada.csv</t>
        </is>
      </c>
      <c r="U785" s="2">
        <f>IF(R785=0,"",F785/R785)</f>
        <v/>
      </c>
      <c r="V785" s="2">
        <f>SUMIFS(F$2:F$1589,A$2:A$1589,A785,C$2:C$1589,C785,E$2:E$1589,E785,Q$2:Q$1589,Q785)</f>
        <v/>
      </c>
    </row>
    <row r="786">
      <c r="A786" s="3" t="inlineStr">
        <is>
          <t>compra</t>
        </is>
      </c>
      <c r="B786" s="3" t="inlineStr">
        <is>
          <t>ccaa:16</t>
        </is>
      </c>
      <c r="C786" s="3" t="inlineStr">
        <is>
          <t>P3</t>
        </is>
      </c>
      <c r="D786" s="3" t="inlineStr">
        <is>
          <t>demografia</t>
        </is>
      </c>
      <c r="E786" s="3" t="inlineStr">
        <is>
          <t>regional_panel</t>
        </is>
      </c>
      <c r="F786" s="3" t="n">
        <v>0.642182</v>
      </c>
      <c r="G786" s="3" t="n"/>
      <c r="H786" s="3" t="n"/>
      <c r="I786" s="3" t="n">
        <v>-0.102585</v>
      </c>
      <c r="J786" s="3" t="n">
        <v>0.342374</v>
      </c>
      <c r="K786" s="3" t="n">
        <v>1.58527</v>
      </c>
      <c r="L786" s="3" t="n">
        <v>0.114951</v>
      </c>
      <c r="M786" s="3" t="n">
        <v>2.42544</v>
      </c>
      <c r="N786" s="3" t="inlineStr">
        <is>
          <t>C4</t>
        </is>
      </c>
      <c r="O786" s="3" t="inlineStr">
        <is>
          <t>si</t>
        </is>
      </c>
      <c r="P786" s="3" t="inlineStr">
        <is>
          <t>no_vota</t>
        </is>
      </c>
      <c r="Q786" s="3" t="inlineStr">
        <is>
          <t>panel_covariables</t>
        </is>
      </c>
      <c r="R786" s="3" t="n"/>
      <c r="S786" s="3" t="inlineStr">
        <is>
          <t>contraste regional (R6); no vota</t>
        </is>
      </c>
      <c r="T786" s="3" t="inlineStr">
        <is>
          <t>output/v8/F5/atribucion_combinada.csv</t>
        </is>
      </c>
      <c r="U786" s="2">
        <f>IF(R786=0,"",F786/R786)</f>
        <v/>
      </c>
      <c r="V786" s="2">
        <f>SUMIFS(F$2:F$1589,A$2:A$1589,A786,C$2:C$1589,C786,E$2:E$1589,E786,Q$2:Q$1589,Q786)</f>
        <v/>
      </c>
    </row>
    <row r="787">
      <c r="A787" s="3" t="inlineStr">
        <is>
          <t>compra</t>
        </is>
      </c>
      <c r="B787" s="3" t="inlineStr">
        <is>
          <t>ccaa:16</t>
        </is>
      </c>
      <c r="C787" s="3" t="inlineStr">
        <is>
          <t>P3</t>
        </is>
      </c>
      <c r="D787" s="3" t="inlineStr">
        <is>
          <t>oferta</t>
        </is>
      </c>
      <c r="E787" s="3" t="inlineStr">
        <is>
          <t>regional_panel</t>
        </is>
      </c>
      <c r="F787" s="3" t="n">
        <v>-0.268011</v>
      </c>
      <c r="G787" s="3" t="n"/>
      <c r="H787" s="3" t="n"/>
      <c r="I787" s="3" t="n">
        <v>0.0428134</v>
      </c>
      <c r="J787" s="3" t="n">
        <v>-0.615486</v>
      </c>
      <c r="K787" s="3" t="n">
        <v>0.0250759</v>
      </c>
      <c r="L787" s="3" t="n">
        <v>-0.959406</v>
      </c>
      <c r="M787" s="3" t="n">
        <v>0.181242</v>
      </c>
      <c r="N787" s="3" t="inlineStr">
        <is>
          <t>C4</t>
        </is>
      </c>
      <c r="O787" s="3" t="inlineStr">
        <is>
          <t>si</t>
        </is>
      </c>
      <c r="P787" s="3" t="inlineStr">
        <is>
          <t>no_vota</t>
        </is>
      </c>
      <c r="Q787" s="3" t="inlineStr">
        <is>
          <t>panel_covariables</t>
        </is>
      </c>
      <c r="R787" s="3" t="n"/>
      <c r="S787" s="3" t="inlineStr">
        <is>
          <t>contraste regional (R6); no vota</t>
        </is>
      </c>
      <c r="T787" s="3" t="inlineStr">
        <is>
          <t>output/v8/F5/atribucion_combinada.csv</t>
        </is>
      </c>
      <c r="U787" s="2">
        <f>IF(R787=0,"",F787/R787)</f>
        <v/>
      </c>
      <c r="V787" s="2">
        <f>SUMIFS(F$2:F$1589,A$2:A$1589,A787,C$2:C$1589,C787,E$2:E$1589,E787,Q$2:Q$1589,Q787)</f>
        <v/>
      </c>
    </row>
    <row r="788">
      <c r="A788" s="3" t="inlineStr">
        <is>
          <t>compra</t>
        </is>
      </c>
      <c r="B788" s="3" t="inlineStr">
        <is>
          <t>ccaa:16</t>
        </is>
      </c>
      <c r="C788" s="3" t="inlineStr">
        <is>
          <t>P3</t>
        </is>
      </c>
      <c r="D788" s="3" t="inlineStr">
        <is>
          <t>demanda_externa</t>
        </is>
      </c>
      <c r="E788" s="3" t="inlineStr">
        <is>
          <t>regional_panel</t>
        </is>
      </c>
      <c r="F788" s="3" t="n">
        <v>1.38737</v>
      </c>
      <c r="G788" s="3" t="n"/>
      <c r="H788" s="3" t="n"/>
      <c r="I788" s="3" t="n">
        <v>-0.221625</v>
      </c>
      <c r="J788" s="3" t="n">
        <v>0.525654</v>
      </c>
      <c r="K788" s="3" t="n">
        <v>1.87393</v>
      </c>
      <c r="L788" s="3" t="n">
        <v>-0.129449</v>
      </c>
      <c r="M788" s="3" t="n">
        <v>2.41584</v>
      </c>
      <c r="N788" s="3" t="inlineStr">
        <is>
          <t>C4</t>
        </is>
      </c>
      <c r="O788" s="3" t="inlineStr">
        <is>
          <t>si</t>
        </is>
      </c>
      <c r="P788" s="3" t="inlineStr">
        <is>
          <t>no_vota</t>
        </is>
      </c>
      <c r="Q788" s="3" t="inlineStr">
        <is>
          <t>panel_covariables</t>
        </is>
      </c>
      <c r="R788" s="3" t="n"/>
      <c r="S788" s="3" t="inlineStr">
        <is>
          <t>contraste regional (R6); no vota</t>
        </is>
      </c>
      <c r="T788" s="3" t="inlineStr">
        <is>
          <t>output/v8/F5/atribucion_combinada.csv</t>
        </is>
      </c>
      <c r="U788" s="2">
        <f>IF(R788=0,"",F788/R788)</f>
        <v/>
      </c>
      <c r="V788" s="2">
        <f>SUMIFS(F$2:F$1589,A$2:A$1589,A788,C$2:C$1589,C788,E$2:E$1589,E788,Q$2:Q$1589,Q788)</f>
        <v/>
      </c>
    </row>
    <row r="789">
      <c r="A789" s="3" t="inlineStr">
        <is>
          <t>compra</t>
        </is>
      </c>
      <c r="B789" s="3" t="inlineStr">
        <is>
          <t>ccaa:16</t>
        </is>
      </c>
      <c r="C789" s="3" t="inlineStr">
        <is>
          <t>P3</t>
        </is>
      </c>
      <c r="D789" s="3" t="inlineStr">
        <is>
          <t>residuo</t>
        </is>
      </c>
      <c r="E789" s="3" t="inlineStr">
        <is>
          <t>regional_panel</t>
        </is>
      </c>
      <c r="F789" s="3" t="n">
        <v>-7.77744</v>
      </c>
      <c r="G789" s="3" t="n"/>
      <c r="H789" s="3" t="n"/>
      <c r="I789" s="3" t="n">
        <v>1.24241</v>
      </c>
      <c r="J789" s="3" t="n">
        <v>-11.0028</v>
      </c>
      <c r="K789" s="3" t="n">
        <v>-5.20952</v>
      </c>
      <c r="L789" s="3" t="n">
        <v>-13.2343</v>
      </c>
      <c r="M789" s="3" t="n">
        <v>-3.27521</v>
      </c>
      <c r="N789" s="3" t="inlineStr">
        <is>
          <t>C4</t>
        </is>
      </c>
      <c r="O789" s="3" t="inlineStr">
        <is>
          <t>no</t>
        </is>
      </c>
      <c r="P789" s="3" t="inlineStr">
        <is>
          <t>no_compite</t>
        </is>
      </c>
      <c r="Q789" s="3" t="inlineStr">
        <is>
          <t>panel_covariables</t>
        </is>
      </c>
      <c r="R789" s="3" t="n"/>
      <c r="S789" s="3" t="inlineStr">
        <is>
          <t>contraste regional (R6); no vota</t>
        </is>
      </c>
      <c r="T789" s="3" t="inlineStr">
        <is>
          <t>output/v8/F5/atribucion_combinada.csv</t>
        </is>
      </c>
      <c r="U789" s="2">
        <f>IF(R789=0,"",F789/R789)</f>
        <v/>
      </c>
      <c r="V789" s="2">
        <f>SUMIFS(F$2:F$1589,A$2:A$1589,A789,C$2:C$1589,C789,E$2:E$1589,E789,Q$2:Q$1589,Q789)</f>
        <v/>
      </c>
    </row>
    <row r="790">
      <c r="A790" s="3" t="inlineStr">
        <is>
          <t>compra</t>
        </is>
      </c>
      <c r="B790" s="3" t="inlineStr">
        <is>
          <t>ccaa:17</t>
        </is>
      </c>
      <c r="C790" s="3" t="inlineStr">
        <is>
          <t>P3</t>
        </is>
      </c>
      <c r="D790" s="3" t="inlineStr">
        <is>
          <t>factor_comun</t>
        </is>
      </c>
      <c r="E790" s="3" t="inlineStr">
        <is>
          <t>regional_panel</t>
        </is>
      </c>
      <c r="F790" s="3" t="n">
        <v>-0.548472</v>
      </c>
      <c r="G790" s="3" t="n"/>
      <c r="H790" s="3" t="n"/>
      <c r="I790" s="3" t="n">
        <v>0.06663239999999999</v>
      </c>
      <c r="J790" s="3" t="n">
        <v>-3.50001</v>
      </c>
      <c r="K790" s="3" t="n">
        <v>2.45383</v>
      </c>
      <c r="L790" s="3" t="n">
        <v>-6.0503</v>
      </c>
      <c r="M790" s="3" t="n">
        <v>3.74556</v>
      </c>
      <c r="N790" s="3" t="inlineStr">
        <is>
          <t>C4</t>
        </is>
      </c>
      <c r="O790" s="3" t="inlineStr">
        <is>
          <t>no</t>
        </is>
      </c>
      <c r="P790" s="3" t="inlineStr">
        <is>
          <t>no_compite</t>
        </is>
      </c>
      <c r="Q790" s="3" t="inlineStr">
        <is>
          <t>panel_covariables</t>
        </is>
      </c>
      <c r="R790" s="3" t="n"/>
      <c r="S790" s="3" t="inlineStr">
        <is>
          <t>contraste regional (R6); no vota</t>
        </is>
      </c>
      <c r="T790" s="3" t="inlineStr">
        <is>
          <t>output/v8/F5/atribucion_combinada.csv</t>
        </is>
      </c>
      <c r="U790" s="2">
        <f>IF(R790=0,"",F790/R790)</f>
        <v/>
      </c>
      <c r="V790" s="2">
        <f>SUMIFS(F$2:F$1589,A$2:A$1589,A790,C$2:C$1589,C790,E$2:E$1589,E790,Q$2:Q$1589,Q790)</f>
        <v/>
      </c>
    </row>
    <row r="791">
      <c r="A791" s="3" t="inlineStr">
        <is>
          <t>compra</t>
        </is>
      </c>
      <c r="B791" s="3" t="inlineStr">
        <is>
          <t>ccaa:17</t>
        </is>
      </c>
      <c r="C791" s="3" t="inlineStr">
        <is>
          <t>P3</t>
        </is>
      </c>
      <c r="D791" s="3" t="inlineStr">
        <is>
          <t>empleo_renta</t>
        </is>
      </c>
      <c r="E791" s="3" t="inlineStr">
        <is>
          <t>regional_panel</t>
        </is>
      </c>
      <c r="F791" s="3" t="n">
        <v>0.501627</v>
      </c>
      <c r="G791" s="3" t="n"/>
      <c r="H791" s="3" t="n"/>
      <c r="I791" s="3" t="n">
        <v>-0.0609413</v>
      </c>
      <c r="J791" s="3" t="n">
        <v>-0.300247</v>
      </c>
      <c r="K791" s="3" t="n">
        <v>1.06399</v>
      </c>
      <c r="L791" s="3" t="n">
        <v>-0.915448</v>
      </c>
      <c r="M791" s="3" t="n">
        <v>1.4671</v>
      </c>
      <c r="N791" s="3" t="inlineStr">
        <is>
          <t>C4</t>
        </is>
      </c>
      <c r="O791" s="3" t="inlineStr">
        <is>
          <t>si</t>
        </is>
      </c>
      <c r="P791" s="3" t="inlineStr">
        <is>
          <t>no_vota</t>
        </is>
      </c>
      <c r="Q791" s="3" t="inlineStr">
        <is>
          <t>panel_covariables</t>
        </is>
      </c>
      <c r="R791" s="3" t="n"/>
      <c r="S791" s="3" t="inlineStr">
        <is>
          <t>contraste regional (R6); no vota</t>
        </is>
      </c>
      <c r="T791" s="3" t="inlineStr">
        <is>
          <t>output/v8/F5/atribucion_combinada.csv</t>
        </is>
      </c>
      <c r="U791" s="2">
        <f>IF(R791=0,"",F791/R791)</f>
        <v/>
      </c>
      <c r="V791" s="2">
        <f>SUMIFS(F$2:F$1589,A$2:A$1589,A791,C$2:C$1589,C791,E$2:E$1589,E791,Q$2:Q$1589,Q791)</f>
        <v/>
      </c>
    </row>
    <row r="792">
      <c r="A792" s="3" t="inlineStr">
        <is>
          <t>compra</t>
        </is>
      </c>
      <c r="B792" s="3" t="inlineStr">
        <is>
          <t>ccaa:17</t>
        </is>
      </c>
      <c r="C792" s="3" t="inlineStr">
        <is>
          <t>P3</t>
        </is>
      </c>
      <c r="D792" s="3" t="inlineStr">
        <is>
          <t>demografia</t>
        </is>
      </c>
      <c r="E792" s="3" t="inlineStr">
        <is>
          <t>regional_panel</t>
        </is>
      </c>
      <c r="F792" s="3" t="n">
        <v>-0.120798</v>
      </c>
      <c r="G792" s="3" t="n"/>
      <c r="H792" s="3" t="n"/>
      <c r="I792" s="3" t="n">
        <v>0.0146754</v>
      </c>
      <c r="J792" s="3" t="n">
        <v>-0.564182</v>
      </c>
      <c r="K792" s="3" t="n">
        <v>0.691143</v>
      </c>
      <c r="L792" s="3" t="n">
        <v>-1.10469</v>
      </c>
      <c r="M792" s="3" t="n">
        <v>1.37935</v>
      </c>
      <c r="N792" s="3" t="inlineStr">
        <is>
          <t>C4</t>
        </is>
      </c>
      <c r="O792" s="3" t="inlineStr">
        <is>
          <t>si</t>
        </is>
      </c>
      <c r="P792" s="3" t="inlineStr">
        <is>
          <t>no_vota</t>
        </is>
      </c>
      <c r="Q792" s="3" t="inlineStr">
        <is>
          <t>panel_covariables</t>
        </is>
      </c>
      <c r="R792" s="3" t="n"/>
      <c r="S792" s="3" t="inlineStr">
        <is>
          <t>contraste regional (R6); no vota</t>
        </is>
      </c>
      <c r="T792" s="3" t="inlineStr">
        <is>
          <t>output/v8/F5/atribucion_combinada.csv</t>
        </is>
      </c>
      <c r="U792" s="2">
        <f>IF(R792=0,"",F792/R792)</f>
        <v/>
      </c>
      <c r="V792" s="2">
        <f>SUMIFS(F$2:F$1589,A$2:A$1589,A792,C$2:C$1589,C792,E$2:E$1589,E792,Q$2:Q$1589,Q792)</f>
        <v/>
      </c>
    </row>
    <row r="793">
      <c r="A793" s="3" t="inlineStr">
        <is>
          <t>compra</t>
        </is>
      </c>
      <c r="B793" s="3" t="inlineStr">
        <is>
          <t>ccaa:17</t>
        </is>
      </c>
      <c r="C793" s="3" t="inlineStr">
        <is>
          <t>P3</t>
        </is>
      </c>
      <c r="D793" s="3" t="inlineStr">
        <is>
          <t>oferta</t>
        </is>
      </c>
      <c r="E793" s="3" t="inlineStr">
        <is>
          <t>regional_panel</t>
        </is>
      </c>
      <c r="F793" s="3" t="n">
        <v>-0.210134</v>
      </c>
      <c r="G793" s="3" t="n"/>
      <c r="H793" s="3" t="n"/>
      <c r="I793" s="3" t="n">
        <v>0.0255286</v>
      </c>
      <c r="J793" s="3" t="n">
        <v>-0.556871</v>
      </c>
      <c r="K793" s="3" t="n">
        <v>0.151857</v>
      </c>
      <c r="L793" s="3" t="n">
        <v>-0.886906</v>
      </c>
      <c r="M793" s="3" t="n">
        <v>0.471769</v>
      </c>
      <c r="N793" s="3" t="inlineStr">
        <is>
          <t>C4</t>
        </is>
      </c>
      <c r="O793" s="3" t="inlineStr">
        <is>
          <t>si</t>
        </is>
      </c>
      <c r="P793" s="3" t="inlineStr">
        <is>
          <t>no_vota</t>
        </is>
      </c>
      <c r="Q793" s="3" t="inlineStr">
        <is>
          <t>panel_covariables</t>
        </is>
      </c>
      <c r="R793" s="3" t="n"/>
      <c r="S793" s="3" t="inlineStr">
        <is>
          <t>contraste regional (R6); no vota</t>
        </is>
      </c>
      <c r="T793" s="3" t="inlineStr">
        <is>
          <t>output/v8/F5/atribucion_combinada.csv</t>
        </is>
      </c>
      <c r="U793" s="2">
        <f>IF(R793=0,"",F793/R793)</f>
        <v/>
      </c>
      <c r="V793" s="2">
        <f>SUMIFS(F$2:F$1589,A$2:A$1589,A793,C$2:C$1589,C793,E$2:E$1589,E793,Q$2:Q$1589,Q793)</f>
        <v/>
      </c>
    </row>
    <row r="794">
      <c r="A794" s="3" t="inlineStr">
        <is>
          <t>compra</t>
        </is>
      </c>
      <c r="B794" s="3" t="inlineStr">
        <is>
          <t>ccaa:17</t>
        </is>
      </c>
      <c r="C794" s="3" t="inlineStr">
        <is>
          <t>P3</t>
        </is>
      </c>
      <c r="D794" s="3" t="inlineStr">
        <is>
          <t>demanda_externa</t>
        </is>
      </c>
      <c r="E794" s="3" t="inlineStr">
        <is>
          <t>regional_panel</t>
        </is>
      </c>
      <c r="F794" s="3" t="n">
        <v>1.21591</v>
      </c>
      <c r="G794" s="3" t="n"/>
      <c r="H794" s="3" t="n"/>
      <c r="I794" s="3" t="n">
        <v>-0.147718</v>
      </c>
      <c r="J794" s="3" t="n">
        <v>0.48067</v>
      </c>
      <c r="K794" s="3" t="n">
        <v>1.94485</v>
      </c>
      <c r="L794" s="3" t="n">
        <v>-0.0574502</v>
      </c>
      <c r="M794" s="3" t="n">
        <v>2.41692</v>
      </c>
      <c r="N794" s="3" t="inlineStr">
        <is>
          <t>C4</t>
        </is>
      </c>
      <c r="O794" s="3" t="inlineStr">
        <is>
          <t>si</t>
        </is>
      </c>
      <c r="P794" s="3" t="inlineStr">
        <is>
          <t>no_vota</t>
        </is>
      </c>
      <c r="Q794" s="3" t="inlineStr">
        <is>
          <t>panel_covariables</t>
        </is>
      </c>
      <c r="R794" s="3" t="n"/>
      <c r="S794" s="3" t="inlineStr">
        <is>
          <t>contraste regional (R6); no vota</t>
        </is>
      </c>
      <c r="T794" s="3" t="inlineStr">
        <is>
          <t>output/v8/F5/atribucion_combinada.csv</t>
        </is>
      </c>
      <c r="U794" s="2">
        <f>IF(R794=0,"",F794/R794)</f>
        <v/>
      </c>
      <c r="V794" s="2">
        <f>SUMIFS(F$2:F$1589,A$2:A$1589,A794,C$2:C$1589,C794,E$2:E$1589,E794,Q$2:Q$1589,Q794)</f>
        <v/>
      </c>
    </row>
    <row r="795">
      <c r="A795" s="3" t="inlineStr">
        <is>
          <t>compra</t>
        </is>
      </c>
      <c r="B795" s="3" t="inlineStr">
        <is>
          <t>ccaa:17</t>
        </is>
      </c>
      <c r="C795" s="3" t="inlineStr">
        <is>
          <t>P3</t>
        </is>
      </c>
      <c r="D795" s="3" t="inlineStr">
        <is>
          <t>residuo</t>
        </is>
      </c>
      <c r="E795" s="3" t="inlineStr">
        <is>
          <t>regional_panel</t>
        </is>
      </c>
      <c r="F795" s="3" t="n">
        <v>-9.069459999999999</v>
      </c>
      <c r="G795" s="3" t="n"/>
      <c r="H795" s="3" t="n"/>
      <c r="I795" s="3" t="n">
        <v>1.10182</v>
      </c>
      <c r="J795" s="3" t="n">
        <v>-13.2015</v>
      </c>
      <c r="K795" s="3" t="n">
        <v>-4.14015</v>
      </c>
      <c r="L795" s="3" t="n">
        <v>-15.8651</v>
      </c>
      <c r="M795" s="3" t="n">
        <v>-1.26369</v>
      </c>
      <c r="N795" s="3" t="inlineStr">
        <is>
          <t>C4</t>
        </is>
      </c>
      <c r="O795" s="3" t="inlineStr">
        <is>
          <t>no</t>
        </is>
      </c>
      <c r="P795" s="3" t="inlineStr">
        <is>
          <t>no_compite</t>
        </is>
      </c>
      <c r="Q795" s="3" t="inlineStr">
        <is>
          <t>panel_covariables</t>
        </is>
      </c>
      <c r="R795" s="3" t="n"/>
      <c r="S795" s="3" t="inlineStr">
        <is>
          <t>contraste regional (R6); no vota</t>
        </is>
      </c>
      <c r="T795" s="3" t="inlineStr">
        <is>
          <t>output/v8/F5/atribucion_combinada.csv</t>
        </is>
      </c>
      <c r="U795" s="2">
        <f>IF(R795=0,"",F795/R795)</f>
        <v/>
      </c>
      <c r="V795" s="2">
        <f>SUMIFS(F$2:F$1589,A$2:A$1589,A795,C$2:C$1589,C795,E$2:E$1589,E795,Q$2:Q$1589,Q795)</f>
        <v/>
      </c>
    </row>
    <row r="796">
      <c r="A796" s="3" t="inlineStr">
        <is>
          <t>compra</t>
        </is>
      </c>
      <c r="B796" s="3" t="inlineStr">
        <is>
          <t>ccaa:01</t>
        </is>
      </c>
      <c r="C796" s="3" t="inlineStr">
        <is>
          <t>P4</t>
        </is>
      </c>
      <c r="D796" s="3" t="inlineStr">
        <is>
          <t>factor_comun</t>
        </is>
      </c>
      <c r="E796" s="3" t="inlineStr">
        <is>
          <t>regional_panel</t>
        </is>
      </c>
      <c r="F796" s="3" t="n">
        <v>-4.21608</v>
      </c>
      <c r="G796" s="3" t="n"/>
      <c r="H796" s="3" t="n"/>
      <c r="I796" s="3" t="n">
        <v>2.75536</v>
      </c>
      <c r="J796" s="3" t="n">
        <v>-5.07352</v>
      </c>
      <c r="K796" s="3" t="n">
        <v>-2.674</v>
      </c>
      <c r="L796" s="3" t="n">
        <v>-5.88849</v>
      </c>
      <c r="M796" s="3" t="n">
        <v>-1.76843</v>
      </c>
      <c r="N796" s="3" t="inlineStr">
        <is>
          <t>C4</t>
        </is>
      </c>
      <c r="O796" s="3" t="inlineStr">
        <is>
          <t>no</t>
        </is>
      </c>
      <c r="P796" s="3" t="inlineStr">
        <is>
          <t>no_compite</t>
        </is>
      </c>
      <c r="Q796" s="3" t="inlineStr">
        <is>
          <t>panel_covariables</t>
        </is>
      </c>
      <c r="R796" s="3" t="n"/>
      <c r="S796" s="3" t="inlineStr">
        <is>
          <t>contraste regional (R6); no vota</t>
        </is>
      </c>
      <c r="T796" s="3" t="inlineStr">
        <is>
          <t>output/v8/F5/atribucion_combinada.csv</t>
        </is>
      </c>
      <c r="U796" s="2">
        <f>IF(R796=0,"",F796/R796)</f>
        <v/>
      </c>
      <c r="V796" s="2">
        <f>SUMIFS(F$2:F$1589,A$2:A$1589,A796,C$2:C$1589,C796,E$2:E$1589,E796,Q$2:Q$1589,Q796)</f>
        <v/>
      </c>
    </row>
    <row r="797">
      <c r="A797" s="3" t="inlineStr">
        <is>
          <t>compra</t>
        </is>
      </c>
      <c r="B797" s="3" t="inlineStr">
        <is>
          <t>ccaa:01</t>
        </is>
      </c>
      <c r="C797" s="3" t="inlineStr">
        <is>
          <t>P4</t>
        </is>
      </c>
      <c r="D797" s="3" t="inlineStr">
        <is>
          <t>empleo_renta</t>
        </is>
      </c>
      <c r="E797" s="3" t="inlineStr">
        <is>
          <t>regional_panel</t>
        </is>
      </c>
      <c r="F797" s="3" t="n">
        <v>0.0964763</v>
      </c>
      <c r="G797" s="3" t="n"/>
      <c r="H797" s="3" t="n"/>
      <c r="I797" s="3" t="n">
        <v>-0.0630506</v>
      </c>
      <c r="J797" s="3" t="n">
        <v>-0.365166</v>
      </c>
      <c r="K797" s="3" t="n">
        <v>0.796661</v>
      </c>
      <c r="L797" s="3" t="n">
        <v>-0.780023</v>
      </c>
      <c r="M797" s="3" t="n">
        <v>1.07238</v>
      </c>
      <c r="N797" s="3" t="inlineStr">
        <is>
          <t>C4</t>
        </is>
      </c>
      <c r="O797" s="3" t="inlineStr">
        <is>
          <t>si</t>
        </is>
      </c>
      <c r="P797" s="3" t="inlineStr">
        <is>
          <t>no_vota</t>
        </is>
      </c>
      <c r="Q797" s="3" t="inlineStr">
        <is>
          <t>panel_covariables</t>
        </is>
      </c>
      <c r="R797" s="3" t="n"/>
      <c r="S797" s="3" t="inlineStr">
        <is>
          <t>contraste regional (R6); no vota</t>
        </is>
      </c>
      <c r="T797" s="3" t="inlineStr">
        <is>
          <t>output/v8/F5/atribucion_combinada.csv</t>
        </is>
      </c>
      <c r="U797" s="2">
        <f>IF(R797=0,"",F797/R797)</f>
        <v/>
      </c>
      <c r="V797" s="2">
        <f>SUMIFS(F$2:F$1589,A$2:A$1589,A797,C$2:C$1589,C797,E$2:E$1589,E797,Q$2:Q$1589,Q797)</f>
        <v/>
      </c>
    </row>
    <row r="798">
      <c r="A798" s="3" t="inlineStr">
        <is>
          <t>compra</t>
        </is>
      </c>
      <c r="B798" s="3" t="inlineStr">
        <is>
          <t>ccaa:01</t>
        </is>
      </c>
      <c r="C798" s="3" t="inlineStr">
        <is>
          <t>P4</t>
        </is>
      </c>
      <c r="D798" s="3" t="inlineStr">
        <is>
          <t>demografia</t>
        </is>
      </c>
      <c r="E798" s="3" t="inlineStr">
        <is>
          <t>regional_panel</t>
        </is>
      </c>
      <c r="F798" s="3" t="n">
        <v>1.68756</v>
      </c>
      <c r="G798" s="3" t="n"/>
      <c r="H798" s="3" t="n"/>
      <c r="I798" s="3" t="n">
        <v>-1.10288</v>
      </c>
      <c r="J798" s="3" t="n">
        <v>0.707859</v>
      </c>
      <c r="K798" s="3" t="n">
        <v>2.26583</v>
      </c>
      <c r="L798" s="3" t="n">
        <v>-0.572425</v>
      </c>
      <c r="M798" s="3" t="n">
        <v>2.6143</v>
      </c>
      <c r="N798" s="3" t="inlineStr">
        <is>
          <t>C4</t>
        </is>
      </c>
      <c r="O798" s="3" t="inlineStr">
        <is>
          <t>si</t>
        </is>
      </c>
      <c r="P798" s="3" t="inlineStr">
        <is>
          <t>no_vota</t>
        </is>
      </c>
      <c r="Q798" s="3" t="inlineStr">
        <is>
          <t>panel_covariables</t>
        </is>
      </c>
      <c r="R798" s="3" t="n"/>
      <c r="S798" s="3" t="inlineStr">
        <is>
          <t>contraste regional (R6); no vota</t>
        </is>
      </c>
      <c r="T798" s="3" t="inlineStr">
        <is>
          <t>output/v8/F5/atribucion_combinada.csv</t>
        </is>
      </c>
      <c r="U798" s="2">
        <f>IF(R798=0,"",F798/R798)</f>
        <v/>
      </c>
      <c r="V798" s="2">
        <f>SUMIFS(F$2:F$1589,A$2:A$1589,A798,C$2:C$1589,C798,E$2:E$1589,E798,Q$2:Q$1589,Q798)</f>
        <v/>
      </c>
    </row>
    <row r="799">
      <c r="A799" s="3" t="inlineStr">
        <is>
          <t>compra</t>
        </is>
      </c>
      <c r="B799" s="3" t="inlineStr">
        <is>
          <t>ccaa:01</t>
        </is>
      </c>
      <c r="C799" s="3" t="inlineStr">
        <is>
          <t>P4</t>
        </is>
      </c>
      <c r="D799" s="3" t="inlineStr">
        <is>
          <t>oferta</t>
        </is>
      </c>
      <c r="E799" s="3" t="inlineStr">
        <is>
          <t>regional_panel</t>
        </is>
      </c>
      <c r="F799" s="3" t="n">
        <v>0.0333226</v>
      </c>
      <c r="G799" s="3" t="n"/>
      <c r="H799" s="3" t="n"/>
      <c r="I799" s="3" t="n">
        <v>-0.0217775</v>
      </c>
      <c r="J799" s="3" t="n">
        <v>-0.0736536</v>
      </c>
      <c r="K799" s="3" t="n">
        <v>0.105593</v>
      </c>
      <c r="L799" s="3" t="n">
        <v>-0.226674</v>
      </c>
      <c r="M799" s="3" t="n">
        <v>0.175641</v>
      </c>
      <c r="N799" s="3" t="inlineStr">
        <is>
          <t>C4</t>
        </is>
      </c>
      <c r="O799" s="3" t="inlineStr">
        <is>
          <t>si</t>
        </is>
      </c>
      <c r="P799" s="3" t="inlineStr">
        <is>
          <t>no_vota</t>
        </is>
      </c>
      <c r="Q799" s="3" t="inlineStr">
        <is>
          <t>panel_covariables</t>
        </is>
      </c>
      <c r="R799" s="3" t="n"/>
      <c r="S799" s="3" t="inlineStr">
        <is>
          <t>contraste regional (R6); no vota</t>
        </is>
      </c>
      <c r="T799" s="3" t="inlineStr">
        <is>
          <t>output/v8/F5/atribucion_combinada.csv</t>
        </is>
      </c>
      <c r="U799" s="2">
        <f>IF(R799=0,"",F799/R799)</f>
        <v/>
      </c>
      <c r="V799" s="2">
        <f>SUMIFS(F$2:F$1589,A$2:A$1589,A799,C$2:C$1589,C799,E$2:E$1589,E799,Q$2:Q$1589,Q799)</f>
        <v/>
      </c>
    </row>
    <row r="800">
      <c r="A800" s="3" t="inlineStr">
        <is>
          <t>compra</t>
        </is>
      </c>
      <c r="B800" s="3" t="inlineStr">
        <is>
          <t>ccaa:01</t>
        </is>
      </c>
      <c r="C800" s="3" t="inlineStr">
        <is>
          <t>P4</t>
        </is>
      </c>
      <c r="D800" s="3" t="inlineStr">
        <is>
          <t>demanda_externa</t>
        </is>
      </c>
      <c r="E800" s="3" t="inlineStr">
        <is>
          <t>regional_panel</t>
        </is>
      </c>
      <c r="F800" s="3" t="n">
        <v>0.152808</v>
      </c>
      <c r="G800" s="3" t="n"/>
      <c r="H800" s="3" t="n"/>
      <c r="I800" s="3" t="n">
        <v>-0.09986539999999999</v>
      </c>
      <c r="J800" s="3" t="n">
        <v>-0.060242</v>
      </c>
      <c r="K800" s="3" t="n">
        <v>0.245371</v>
      </c>
      <c r="L800" s="3" t="n">
        <v>-0.256579</v>
      </c>
      <c r="M800" s="3" t="n">
        <v>0.469572</v>
      </c>
      <c r="N800" s="3" t="inlineStr">
        <is>
          <t>C4</t>
        </is>
      </c>
      <c r="O800" s="3" t="inlineStr">
        <is>
          <t>si</t>
        </is>
      </c>
      <c r="P800" s="3" t="inlineStr">
        <is>
          <t>no_vota</t>
        </is>
      </c>
      <c r="Q800" s="3" t="inlineStr">
        <is>
          <t>panel_covariables</t>
        </is>
      </c>
      <c r="R800" s="3" t="n"/>
      <c r="S800" s="3" t="inlineStr">
        <is>
          <t>contraste regional (R6); no vota</t>
        </is>
      </c>
      <c r="T800" s="3" t="inlineStr">
        <is>
          <t>output/v8/F5/atribucion_combinada.csv</t>
        </is>
      </c>
      <c r="U800" s="2">
        <f>IF(R800=0,"",F800/R800)</f>
        <v/>
      </c>
      <c r="V800" s="2">
        <f>SUMIFS(F$2:F$1589,A$2:A$1589,A800,C$2:C$1589,C800,E$2:E$1589,E800,Q$2:Q$1589,Q800)</f>
        <v/>
      </c>
    </row>
    <row r="801">
      <c r="A801" s="3" t="inlineStr">
        <is>
          <t>compra</t>
        </is>
      </c>
      <c r="B801" s="3" t="inlineStr">
        <is>
          <t>ccaa:01</t>
        </is>
      </c>
      <c r="C801" s="3" t="inlineStr">
        <is>
          <t>P4</t>
        </is>
      </c>
      <c r="D801" s="3" t="inlineStr">
        <is>
          <t>residuo</t>
        </is>
      </c>
      <c r="E801" s="3" t="inlineStr">
        <is>
          <t>regional_panel</t>
        </is>
      </c>
      <c r="F801" s="3" t="n">
        <v>0.7157750000000001</v>
      </c>
      <c r="G801" s="3" t="n"/>
      <c r="H801" s="3" t="n"/>
      <c r="I801" s="3" t="n">
        <v>-0.467784</v>
      </c>
      <c r="J801" s="3" t="n">
        <v>-0.274722</v>
      </c>
      <c r="K801" s="3" t="n">
        <v>1.58525</v>
      </c>
      <c r="L801" s="3" t="n">
        <v>-0.929871</v>
      </c>
      <c r="M801" s="3" t="n">
        <v>2.35142</v>
      </c>
      <c r="N801" s="3" t="inlineStr">
        <is>
          <t>C4</t>
        </is>
      </c>
      <c r="O801" s="3" t="inlineStr">
        <is>
          <t>no</t>
        </is>
      </c>
      <c r="P801" s="3" t="inlineStr">
        <is>
          <t>no_compite</t>
        </is>
      </c>
      <c r="Q801" s="3" t="inlineStr">
        <is>
          <t>panel_covariables</t>
        </is>
      </c>
      <c r="R801" s="3" t="n"/>
      <c r="S801" s="3" t="inlineStr">
        <is>
          <t>contraste regional (R6); no vota</t>
        </is>
      </c>
      <c r="T801" s="3" t="inlineStr">
        <is>
          <t>output/v8/F5/atribucion_combinada.csv</t>
        </is>
      </c>
      <c r="U801" s="2">
        <f>IF(R801=0,"",F801/R801)</f>
        <v/>
      </c>
      <c r="V801" s="2">
        <f>SUMIFS(F$2:F$1589,A$2:A$1589,A801,C$2:C$1589,C801,E$2:E$1589,E801,Q$2:Q$1589,Q801)</f>
        <v/>
      </c>
    </row>
    <row r="802">
      <c r="A802" s="3" t="inlineStr">
        <is>
          <t>compra</t>
        </is>
      </c>
      <c r="B802" s="3" t="inlineStr">
        <is>
          <t>ccaa:02</t>
        </is>
      </c>
      <c r="C802" s="3" t="inlineStr">
        <is>
          <t>P4</t>
        </is>
      </c>
      <c r="D802" s="3" t="inlineStr">
        <is>
          <t>factor_comun</t>
        </is>
      </c>
      <c r="E802" s="3" t="inlineStr">
        <is>
          <t>regional_panel</t>
        </is>
      </c>
      <c r="F802" s="3" t="n">
        <v>-4.21608</v>
      </c>
      <c r="G802" s="3" t="n"/>
      <c r="H802" s="3" t="n"/>
      <c r="I802" s="3" t="n">
        <v>0.875909</v>
      </c>
      <c r="J802" s="3" t="n">
        <v>-5.07352</v>
      </c>
      <c r="K802" s="3" t="n">
        <v>-2.674</v>
      </c>
      <c r="L802" s="3" t="n">
        <v>-5.88849</v>
      </c>
      <c r="M802" s="3" t="n">
        <v>-1.76843</v>
      </c>
      <c r="N802" s="3" t="inlineStr">
        <is>
          <t>C4</t>
        </is>
      </c>
      <c r="O802" s="3" t="inlineStr">
        <is>
          <t>no</t>
        </is>
      </c>
      <c r="P802" s="3" t="inlineStr">
        <is>
          <t>no_compite</t>
        </is>
      </c>
      <c r="Q802" s="3" t="inlineStr">
        <is>
          <t>panel_covariables</t>
        </is>
      </c>
      <c r="R802" s="3" t="n"/>
      <c r="S802" s="3" t="inlineStr">
        <is>
          <t>contraste regional (R6); no vota</t>
        </is>
      </c>
      <c r="T802" s="3" t="inlineStr">
        <is>
          <t>output/v8/F5/atribucion_combinada.csv</t>
        </is>
      </c>
      <c r="U802" s="2">
        <f>IF(R802=0,"",F802/R802)</f>
        <v/>
      </c>
      <c r="V802" s="2">
        <f>SUMIFS(F$2:F$1589,A$2:A$1589,A802,C$2:C$1589,C802,E$2:E$1589,E802,Q$2:Q$1589,Q802)</f>
        <v/>
      </c>
    </row>
    <row r="803">
      <c r="A803" s="3" t="inlineStr">
        <is>
          <t>compra</t>
        </is>
      </c>
      <c r="B803" s="3" t="inlineStr">
        <is>
          <t>ccaa:02</t>
        </is>
      </c>
      <c r="C803" s="3" t="inlineStr">
        <is>
          <t>P4</t>
        </is>
      </c>
      <c r="D803" s="3" t="inlineStr">
        <is>
          <t>empleo_renta</t>
        </is>
      </c>
      <c r="E803" s="3" t="inlineStr">
        <is>
          <t>regional_panel</t>
        </is>
      </c>
      <c r="F803" s="3" t="n">
        <v>0.09541189999999999</v>
      </c>
      <c r="G803" s="3" t="n"/>
      <c r="H803" s="3" t="n"/>
      <c r="I803" s="3" t="n">
        <v>-0.0198222</v>
      </c>
      <c r="J803" s="3" t="n">
        <v>-0.41178</v>
      </c>
      <c r="K803" s="3" t="n">
        <v>0.5850919999999999</v>
      </c>
      <c r="L803" s="3" t="n">
        <v>-0.7982590000000001</v>
      </c>
      <c r="M803" s="3" t="n">
        <v>0.746039</v>
      </c>
      <c r="N803" s="3" t="inlineStr">
        <is>
          <t>C4</t>
        </is>
      </c>
      <c r="O803" s="3" t="inlineStr">
        <is>
          <t>si</t>
        </is>
      </c>
      <c r="P803" s="3" t="inlineStr">
        <is>
          <t>no_vota</t>
        </is>
      </c>
      <c r="Q803" s="3" t="inlineStr">
        <is>
          <t>panel_covariables</t>
        </is>
      </c>
      <c r="R803" s="3" t="n"/>
      <c r="S803" s="3" t="inlineStr">
        <is>
          <t>contraste regional (R6); no vota</t>
        </is>
      </c>
      <c r="T803" s="3" t="inlineStr">
        <is>
          <t>output/v8/F5/atribucion_combinada.csv</t>
        </is>
      </c>
      <c r="U803" s="2">
        <f>IF(R803=0,"",F803/R803)</f>
        <v/>
      </c>
      <c r="V803" s="2">
        <f>SUMIFS(F$2:F$1589,A$2:A$1589,A803,C$2:C$1589,C803,E$2:E$1589,E803,Q$2:Q$1589,Q803)</f>
        <v/>
      </c>
    </row>
    <row r="804">
      <c r="A804" s="3" t="inlineStr">
        <is>
          <t>compra</t>
        </is>
      </c>
      <c r="B804" s="3" t="inlineStr">
        <is>
          <t>ccaa:02</t>
        </is>
      </c>
      <c r="C804" s="3" t="inlineStr">
        <is>
          <t>P4</t>
        </is>
      </c>
      <c r="D804" s="3" t="inlineStr">
        <is>
          <t>demografia</t>
        </is>
      </c>
      <c r="E804" s="3" t="inlineStr">
        <is>
          <t>regional_panel</t>
        </is>
      </c>
      <c r="F804" s="3" t="n">
        <v>1.29813</v>
      </c>
      <c r="G804" s="3" t="n"/>
      <c r="H804" s="3" t="n"/>
      <c r="I804" s="3" t="n">
        <v>-0.269693</v>
      </c>
      <c r="J804" s="3" t="n">
        <v>0.44444</v>
      </c>
      <c r="K804" s="3" t="n">
        <v>1.92296</v>
      </c>
      <c r="L804" s="3" t="n">
        <v>-0.701006</v>
      </c>
      <c r="M804" s="3" t="n">
        <v>2.39112</v>
      </c>
      <c r="N804" s="3" t="inlineStr">
        <is>
          <t>C4</t>
        </is>
      </c>
      <c r="O804" s="3" t="inlineStr">
        <is>
          <t>si</t>
        </is>
      </c>
      <c r="P804" s="3" t="inlineStr">
        <is>
          <t>no_vota</t>
        </is>
      </c>
      <c r="Q804" s="3" t="inlineStr">
        <is>
          <t>panel_covariables</t>
        </is>
      </c>
      <c r="R804" s="3" t="n"/>
      <c r="S804" s="3" t="inlineStr">
        <is>
          <t>contraste regional (R6); no vota</t>
        </is>
      </c>
      <c r="T804" s="3" t="inlineStr">
        <is>
          <t>output/v8/F5/atribucion_combinada.csv</t>
        </is>
      </c>
      <c r="U804" s="2">
        <f>IF(R804=0,"",F804/R804)</f>
        <v/>
      </c>
      <c r="V804" s="2">
        <f>SUMIFS(F$2:F$1589,A$2:A$1589,A804,C$2:C$1589,C804,E$2:E$1589,E804,Q$2:Q$1589,Q804)</f>
        <v/>
      </c>
    </row>
    <row r="805">
      <c r="A805" s="3" t="inlineStr">
        <is>
          <t>compra</t>
        </is>
      </c>
      <c r="B805" s="3" t="inlineStr">
        <is>
          <t>ccaa:02</t>
        </is>
      </c>
      <c r="C805" s="3" t="inlineStr">
        <is>
          <t>P4</t>
        </is>
      </c>
      <c r="D805" s="3" t="inlineStr">
        <is>
          <t>oferta</t>
        </is>
      </c>
      <c r="E805" s="3" t="inlineStr">
        <is>
          <t>regional_panel</t>
        </is>
      </c>
      <c r="F805" s="3" t="n">
        <v>-0.0301113</v>
      </c>
      <c r="G805" s="3" t="n"/>
      <c r="H805" s="3" t="n"/>
      <c r="I805" s="3" t="n">
        <v>0.00625576</v>
      </c>
      <c r="J805" s="3" t="n">
        <v>-0.108257</v>
      </c>
      <c r="K805" s="3" t="n">
        <v>0.00608885</v>
      </c>
      <c r="L805" s="3" t="n">
        <v>-0.19181</v>
      </c>
      <c r="M805" s="3" t="n">
        <v>0.040531</v>
      </c>
      <c r="N805" s="3" t="inlineStr">
        <is>
          <t>C4</t>
        </is>
      </c>
      <c r="O805" s="3" t="inlineStr">
        <is>
          <t>si</t>
        </is>
      </c>
      <c r="P805" s="3" t="inlineStr">
        <is>
          <t>no_vota</t>
        </is>
      </c>
      <c r="Q805" s="3" t="inlineStr">
        <is>
          <t>panel_covariables</t>
        </is>
      </c>
      <c r="R805" s="3" t="n"/>
      <c r="S805" s="3" t="inlineStr">
        <is>
          <t>contraste regional (R6); no vota</t>
        </is>
      </c>
      <c r="T805" s="3" t="inlineStr">
        <is>
          <t>output/v8/F5/atribucion_combinada.csv</t>
        </is>
      </c>
      <c r="U805" s="2">
        <f>IF(R805=0,"",F805/R805)</f>
        <v/>
      </c>
      <c r="V805" s="2">
        <f>SUMIFS(F$2:F$1589,A$2:A$1589,A805,C$2:C$1589,C805,E$2:E$1589,E805,Q$2:Q$1589,Q805)</f>
        <v/>
      </c>
    </row>
    <row r="806">
      <c r="A806" s="3" t="inlineStr">
        <is>
          <t>compra</t>
        </is>
      </c>
      <c r="B806" s="3" t="inlineStr">
        <is>
          <t>ccaa:02</t>
        </is>
      </c>
      <c r="C806" s="3" t="inlineStr">
        <is>
          <t>P4</t>
        </is>
      </c>
      <c r="D806" s="3" t="inlineStr">
        <is>
          <t>demanda_externa</t>
        </is>
      </c>
      <c r="E806" s="3" t="inlineStr">
        <is>
          <t>regional_panel</t>
        </is>
      </c>
      <c r="F806" s="3" t="n">
        <v>0.131726</v>
      </c>
      <c r="G806" s="3" t="n"/>
      <c r="H806" s="3" t="n"/>
      <c r="I806" s="3" t="n">
        <v>-0.0273666</v>
      </c>
      <c r="J806" s="3" t="n">
        <v>-0.0669106</v>
      </c>
      <c r="K806" s="3" t="n">
        <v>0.215766</v>
      </c>
      <c r="L806" s="3" t="n">
        <v>-0.209898</v>
      </c>
      <c r="M806" s="3" t="n">
        <v>0.370238</v>
      </c>
      <c r="N806" s="3" t="inlineStr">
        <is>
          <t>C4</t>
        </is>
      </c>
      <c r="O806" s="3" t="inlineStr">
        <is>
          <t>si</t>
        </is>
      </c>
      <c r="P806" s="3" t="inlineStr">
        <is>
          <t>no_vota</t>
        </is>
      </c>
      <c r="Q806" s="3" t="inlineStr">
        <is>
          <t>panel_covariables</t>
        </is>
      </c>
      <c r="R806" s="3" t="n"/>
      <c r="S806" s="3" t="inlineStr">
        <is>
          <t>contraste regional (R6); no vota</t>
        </is>
      </c>
      <c r="T806" s="3" t="inlineStr">
        <is>
          <t>output/v8/F5/atribucion_combinada.csv</t>
        </is>
      </c>
      <c r="U806" s="2">
        <f>IF(R806=0,"",F806/R806)</f>
        <v/>
      </c>
      <c r="V806" s="2">
        <f>SUMIFS(F$2:F$1589,A$2:A$1589,A806,C$2:C$1589,C806,E$2:E$1589,E806,Q$2:Q$1589,Q806)</f>
        <v/>
      </c>
    </row>
    <row r="807">
      <c r="A807" s="3" t="inlineStr">
        <is>
          <t>compra</t>
        </is>
      </c>
      <c r="B807" s="3" t="inlineStr">
        <is>
          <t>ccaa:02</t>
        </is>
      </c>
      <c r="C807" s="3" t="inlineStr">
        <is>
          <t>P4</t>
        </is>
      </c>
      <c r="D807" s="3" t="inlineStr">
        <is>
          <t>residuo</t>
        </is>
      </c>
      <c r="E807" s="3" t="inlineStr">
        <is>
          <t>regional_panel</t>
        </is>
      </c>
      <c r="F807" s="3" t="n">
        <v>-2.09246</v>
      </c>
      <c r="G807" s="3" t="n"/>
      <c r="H807" s="3" t="n"/>
      <c r="I807" s="3" t="n">
        <v>0.434717</v>
      </c>
      <c r="J807" s="3" t="n">
        <v>-3.3539</v>
      </c>
      <c r="K807" s="3" t="n">
        <v>-0.815779</v>
      </c>
      <c r="L807" s="3" t="n">
        <v>-4.97366</v>
      </c>
      <c r="M807" s="3" t="n">
        <v>-0.0946196</v>
      </c>
      <c r="N807" s="3" t="inlineStr">
        <is>
          <t>C4</t>
        </is>
      </c>
      <c r="O807" s="3" t="inlineStr">
        <is>
          <t>no</t>
        </is>
      </c>
      <c r="P807" s="3" t="inlineStr">
        <is>
          <t>no_compite</t>
        </is>
      </c>
      <c r="Q807" s="3" t="inlineStr">
        <is>
          <t>panel_covariables</t>
        </is>
      </c>
      <c r="R807" s="3" t="n"/>
      <c r="S807" s="3" t="inlineStr">
        <is>
          <t>contraste regional (R6); no vota</t>
        </is>
      </c>
      <c r="T807" s="3" t="inlineStr">
        <is>
          <t>output/v8/F5/atribucion_combinada.csv</t>
        </is>
      </c>
      <c r="U807" s="2">
        <f>IF(R807=0,"",F807/R807)</f>
        <v/>
      </c>
      <c r="V807" s="2">
        <f>SUMIFS(F$2:F$1589,A$2:A$1589,A807,C$2:C$1589,C807,E$2:E$1589,E807,Q$2:Q$1589,Q807)</f>
        <v/>
      </c>
    </row>
    <row r="808">
      <c r="A808" s="3" t="inlineStr">
        <is>
          <t>compra</t>
        </is>
      </c>
      <c r="B808" s="3" t="inlineStr">
        <is>
          <t>ccaa:03</t>
        </is>
      </c>
      <c r="C808" s="3" t="inlineStr">
        <is>
          <t>P4</t>
        </is>
      </c>
      <c r="D808" s="3" t="inlineStr">
        <is>
          <t>factor_comun</t>
        </is>
      </c>
      <c r="E808" s="3" t="inlineStr">
        <is>
          <t>regional_panel</t>
        </is>
      </c>
      <c r="F808" s="3" t="n">
        <v>-4.21608</v>
      </c>
      <c r="G808" s="3" t="n"/>
      <c r="H808" s="3" t="n"/>
      <c r="I808" s="3" t="n">
        <v>0.873792</v>
      </c>
      <c r="J808" s="3" t="n">
        <v>-5.07352</v>
      </c>
      <c r="K808" s="3" t="n">
        <v>-2.674</v>
      </c>
      <c r="L808" s="3" t="n">
        <v>-5.88849</v>
      </c>
      <c r="M808" s="3" t="n">
        <v>-1.76843</v>
      </c>
      <c r="N808" s="3" t="inlineStr">
        <is>
          <t>C4</t>
        </is>
      </c>
      <c r="O808" s="3" t="inlineStr">
        <is>
          <t>no</t>
        </is>
      </c>
      <c r="P808" s="3" t="inlineStr">
        <is>
          <t>no_compite</t>
        </is>
      </c>
      <c r="Q808" s="3" t="inlineStr">
        <is>
          <t>panel_covariables</t>
        </is>
      </c>
      <c r="R808" s="3" t="n"/>
      <c r="S808" s="3" t="inlineStr">
        <is>
          <t>contraste regional (R6); no vota</t>
        </is>
      </c>
      <c r="T808" s="3" t="inlineStr">
        <is>
          <t>output/v8/F5/atribucion_combinada.csv</t>
        </is>
      </c>
      <c r="U808" s="2">
        <f>IF(R808=0,"",F808/R808)</f>
        <v/>
      </c>
      <c r="V808" s="2">
        <f>SUMIFS(F$2:F$1589,A$2:A$1589,A808,C$2:C$1589,C808,E$2:E$1589,E808,Q$2:Q$1589,Q808)</f>
        <v/>
      </c>
    </row>
    <row r="809">
      <c r="A809" s="3" t="inlineStr">
        <is>
          <t>compra</t>
        </is>
      </c>
      <c r="B809" s="3" t="inlineStr">
        <is>
          <t>ccaa:03</t>
        </is>
      </c>
      <c r="C809" s="3" t="inlineStr">
        <is>
          <t>P4</t>
        </is>
      </c>
      <c r="D809" s="3" t="inlineStr">
        <is>
          <t>empleo_renta</t>
        </is>
      </c>
      <c r="E809" s="3" t="inlineStr">
        <is>
          <t>regional_panel</t>
        </is>
      </c>
      <c r="F809" s="3" t="n">
        <v>0.746288</v>
      </c>
      <c r="G809" s="3" t="n"/>
      <c r="H809" s="3" t="n"/>
      <c r="I809" s="3" t="n">
        <v>-0.15467</v>
      </c>
      <c r="J809" s="3" t="n">
        <v>0.305661</v>
      </c>
      <c r="K809" s="3" t="n">
        <v>0.904524</v>
      </c>
      <c r="L809" s="3" t="n">
        <v>0.0809122</v>
      </c>
      <c r="M809" s="3" t="n">
        <v>1.05457</v>
      </c>
      <c r="N809" s="3" t="inlineStr">
        <is>
          <t>C4</t>
        </is>
      </c>
      <c r="O809" s="3" t="inlineStr">
        <is>
          <t>si</t>
        </is>
      </c>
      <c r="P809" s="3" t="inlineStr">
        <is>
          <t>no_vota</t>
        </is>
      </c>
      <c r="Q809" s="3" t="inlineStr">
        <is>
          <t>panel_covariables</t>
        </is>
      </c>
      <c r="R809" s="3" t="n"/>
      <c r="S809" s="3" t="inlineStr">
        <is>
          <t>contraste regional (R6); no vota</t>
        </is>
      </c>
      <c r="T809" s="3" t="inlineStr">
        <is>
          <t>output/v8/F5/atribucion_combinada.csv</t>
        </is>
      </c>
      <c r="U809" s="2">
        <f>IF(R809=0,"",F809/R809)</f>
        <v/>
      </c>
      <c r="V809" s="2">
        <f>SUMIFS(F$2:F$1589,A$2:A$1589,A809,C$2:C$1589,C809,E$2:E$1589,E809,Q$2:Q$1589,Q809)</f>
        <v/>
      </c>
    </row>
    <row r="810">
      <c r="A810" s="3" t="inlineStr">
        <is>
          <t>compra</t>
        </is>
      </c>
      <c r="B810" s="3" t="inlineStr">
        <is>
          <t>ccaa:03</t>
        </is>
      </c>
      <c r="C810" s="3" t="inlineStr">
        <is>
          <t>P4</t>
        </is>
      </c>
      <c r="D810" s="3" t="inlineStr">
        <is>
          <t>demografia</t>
        </is>
      </c>
      <c r="E810" s="3" t="inlineStr">
        <is>
          <t>regional_panel</t>
        </is>
      </c>
      <c r="F810" s="3" t="n">
        <v>4.14468</v>
      </c>
      <c r="G810" s="3" t="n"/>
      <c r="H810" s="3" t="n"/>
      <c r="I810" s="3" t="n">
        <v>-0.858994</v>
      </c>
      <c r="J810" s="3" t="n">
        <v>0.118387</v>
      </c>
      <c r="K810" s="3" t="n">
        <v>7.74673</v>
      </c>
      <c r="L810" s="3" t="n">
        <v>-4.77281</v>
      </c>
      <c r="M810" s="3" t="n">
        <v>10.8538</v>
      </c>
      <c r="N810" s="3" t="inlineStr">
        <is>
          <t>C4</t>
        </is>
      </c>
      <c r="O810" s="3" t="inlineStr">
        <is>
          <t>si</t>
        </is>
      </c>
      <c r="P810" s="3" t="inlineStr">
        <is>
          <t>no_vota</t>
        </is>
      </c>
      <c r="Q810" s="3" t="inlineStr">
        <is>
          <t>panel_covariables</t>
        </is>
      </c>
      <c r="R810" s="3" t="n"/>
      <c r="S810" s="3" t="inlineStr">
        <is>
          <t>contraste regional (R6); no vota</t>
        </is>
      </c>
      <c r="T810" s="3" t="inlineStr">
        <is>
          <t>output/v8/F5/atribucion_combinada.csv</t>
        </is>
      </c>
      <c r="U810" s="2">
        <f>IF(R810=0,"",F810/R810)</f>
        <v/>
      </c>
      <c r="V810" s="2">
        <f>SUMIFS(F$2:F$1589,A$2:A$1589,A810,C$2:C$1589,C810,E$2:E$1589,E810,Q$2:Q$1589,Q810)</f>
        <v/>
      </c>
    </row>
    <row r="811">
      <c r="A811" s="3" t="inlineStr">
        <is>
          <t>compra</t>
        </is>
      </c>
      <c r="B811" s="3" t="inlineStr">
        <is>
          <t>ccaa:03</t>
        </is>
      </c>
      <c r="C811" s="3" t="inlineStr">
        <is>
          <t>P4</t>
        </is>
      </c>
      <c r="D811" s="3" t="inlineStr">
        <is>
          <t>oferta</t>
        </is>
      </c>
      <c r="E811" s="3" t="inlineStr">
        <is>
          <t>regional_panel</t>
        </is>
      </c>
      <c r="F811" s="3" t="n">
        <v>0.0927849</v>
      </c>
      <c r="G811" s="3" t="n"/>
      <c r="H811" s="3" t="n"/>
      <c r="I811" s="3" t="n">
        <v>-0.0192299</v>
      </c>
      <c r="J811" s="3" t="n">
        <v>0.00694383</v>
      </c>
      <c r="K811" s="3" t="n">
        <v>0.204985</v>
      </c>
      <c r="L811" s="3" t="n">
        <v>-0.0433719</v>
      </c>
      <c r="M811" s="3" t="n">
        <v>0.300455</v>
      </c>
      <c r="N811" s="3" t="inlineStr">
        <is>
          <t>C4</t>
        </is>
      </c>
      <c r="O811" s="3" t="inlineStr">
        <is>
          <t>si</t>
        </is>
      </c>
      <c r="P811" s="3" t="inlineStr">
        <is>
          <t>no_vota</t>
        </is>
      </c>
      <c r="Q811" s="3" t="inlineStr">
        <is>
          <t>panel_covariables</t>
        </is>
      </c>
      <c r="R811" s="3" t="n"/>
      <c r="S811" s="3" t="inlineStr">
        <is>
          <t>contraste regional (R6); no vota</t>
        </is>
      </c>
      <c r="T811" s="3" t="inlineStr">
        <is>
          <t>output/v8/F5/atribucion_combinada.csv</t>
        </is>
      </c>
      <c r="U811" s="2">
        <f>IF(R811=0,"",F811/R811)</f>
        <v/>
      </c>
      <c r="V811" s="2">
        <f>SUMIFS(F$2:F$1589,A$2:A$1589,A811,C$2:C$1589,C811,E$2:E$1589,E811,Q$2:Q$1589,Q811)</f>
        <v/>
      </c>
    </row>
    <row r="812">
      <c r="A812" s="3" t="inlineStr">
        <is>
          <t>compra</t>
        </is>
      </c>
      <c r="B812" s="3" t="inlineStr">
        <is>
          <t>ccaa:03</t>
        </is>
      </c>
      <c r="C812" s="3" t="inlineStr">
        <is>
          <t>P4</t>
        </is>
      </c>
      <c r="D812" s="3" t="inlineStr">
        <is>
          <t>demanda_externa</t>
        </is>
      </c>
      <c r="E812" s="3" t="inlineStr">
        <is>
          <t>regional_panel</t>
        </is>
      </c>
      <c r="F812" s="3" t="n">
        <v>0.204123</v>
      </c>
      <c r="G812" s="3" t="n"/>
      <c r="H812" s="3" t="n"/>
      <c r="I812" s="3" t="n">
        <v>-0.0423048</v>
      </c>
      <c r="J812" s="3" t="n">
        <v>-0.06721630000000001</v>
      </c>
      <c r="K812" s="3" t="n">
        <v>0.36442</v>
      </c>
      <c r="L812" s="3" t="n">
        <v>-0.296859</v>
      </c>
      <c r="M812" s="3" t="n">
        <v>0.602093</v>
      </c>
      <c r="N812" s="3" t="inlineStr">
        <is>
          <t>C4</t>
        </is>
      </c>
      <c r="O812" s="3" t="inlineStr">
        <is>
          <t>si</t>
        </is>
      </c>
      <c r="P812" s="3" t="inlineStr">
        <is>
          <t>no_vota</t>
        </is>
      </c>
      <c r="Q812" s="3" t="inlineStr">
        <is>
          <t>panel_covariables</t>
        </is>
      </c>
      <c r="R812" s="3" t="n"/>
      <c r="S812" s="3" t="inlineStr">
        <is>
          <t>contraste regional (R6); no vota</t>
        </is>
      </c>
      <c r="T812" s="3" t="inlineStr">
        <is>
          <t>output/v8/F5/atribucion_combinada.csv</t>
        </is>
      </c>
      <c r="U812" s="2">
        <f>IF(R812=0,"",F812/R812)</f>
        <v/>
      </c>
      <c r="V812" s="2">
        <f>SUMIFS(F$2:F$1589,A$2:A$1589,A812,C$2:C$1589,C812,E$2:E$1589,E812,Q$2:Q$1589,Q812)</f>
        <v/>
      </c>
    </row>
    <row r="813">
      <c r="A813" s="3" t="inlineStr">
        <is>
          <t>compra</t>
        </is>
      </c>
      <c r="B813" s="3" t="inlineStr">
        <is>
          <t>ccaa:03</t>
        </is>
      </c>
      <c r="C813" s="3" t="inlineStr">
        <is>
          <t>P4</t>
        </is>
      </c>
      <c r="D813" s="3" t="inlineStr">
        <is>
          <t>residuo</t>
        </is>
      </c>
      <c r="E813" s="3" t="inlineStr">
        <is>
          <t>regional_panel</t>
        </is>
      </c>
      <c r="F813" s="3" t="n">
        <v>-5.79683</v>
      </c>
      <c r="G813" s="3" t="n"/>
      <c r="H813" s="3" t="n"/>
      <c r="I813" s="3" t="n">
        <v>1.20141</v>
      </c>
      <c r="J813" s="3" t="n">
        <v>-9.7583</v>
      </c>
      <c r="K813" s="3" t="n">
        <v>-0.735409</v>
      </c>
      <c r="L813" s="3" t="n">
        <v>-14.2484</v>
      </c>
      <c r="M813" s="3" t="n">
        <v>5.75476</v>
      </c>
      <c r="N813" s="3" t="inlineStr">
        <is>
          <t>C4</t>
        </is>
      </c>
      <c r="O813" s="3" t="inlineStr">
        <is>
          <t>no</t>
        </is>
      </c>
      <c r="P813" s="3" t="inlineStr">
        <is>
          <t>no_compite</t>
        </is>
      </c>
      <c r="Q813" s="3" t="inlineStr">
        <is>
          <t>panel_covariables</t>
        </is>
      </c>
      <c r="R813" s="3" t="n"/>
      <c r="S813" s="3" t="inlineStr">
        <is>
          <t>contraste regional (R6); no vota</t>
        </is>
      </c>
      <c r="T813" s="3" t="inlineStr">
        <is>
          <t>output/v8/F5/atribucion_combinada.csv</t>
        </is>
      </c>
      <c r="U813" s="2">
        <f>IF(R813=0,"",F813/R813)</f>
        <v/>
      </c>
      <c r="V813" s="2">
        <f>SUMIFS(F$2:F$1589,A$2:A$1589,A813,C$2:C$1589,C813,E$2:E$1589,E813,Q$2:Q$1589,Q813)</f>
        <v/>
      </c>
    </row>
    <row r="814">
      <c r="A814" s="3" t="inlineStr">
        <is>
          <t>compra</t>
        </is>
      </c>
      <c r="B814" s="3" t="inlineStr">
        <is>
          <t>ccaa:04</t>
        </is>
      </c>
      <c r="C814" s="3" t="inlineStr">
        <is>
          <t>P4</t>
        </is>
      </c>
      <c r="D814" s="3" t="inlineStr">
        <is>
          <t>factor_comun</t>
        </is>
      </c>
      <c r="E814" s="3" t="inlineStr">
        <is>
          <t>regional_panel</t>
        </is>
      </c>
      <c r="F814" s="3" t="n">
        <v>-4.21608</v>
      </c>
      <c r="G814" s="3" t="n"/>
      <c r="H814" s="3" t="n"/>
      <c r="I814" s="3" t="n">
        <v>-3.29603</v>
      </c>
      <c r="J814" s="3" t="n">
        <v>-5.07352</v>
      </c>
      <c r="K814" s="3" t="n">
        <v>-2.674</v>
      </c>
      <c r="L814" s="3" t="n">
        <v>-5.88849</v>
      </c>
      <c r="M814" s="3" t="n">
        <v>-1.76843</v>
      </c>
      <c r="N814" s="3" t="inlineStr">
        <is>
          <t>C4</t>
        </is>
      </c>
      <c r="O814" s="3" t="inlineStr">
        <is>
          <t>no</t>
        </is>
      </c>
      <c r="P814" s="3" t="inlineStr">
        <is>
          <t>no_compite</t>
        </is>
      </c>
      <c r="Q814" s="3" t="inlineStr">
        <is>
          <t>panel_covariables</t>
        </is>
      </c>
      <c r="R814" s="3" t="n"/>
      <c r="S814" s="3" t="inlineStr">
        <is>
          <t>contraste regional (R6); no vota</t>
        </is>
      </c>
      <c r="T814" s="3" t="inlineStr">
        <is>
          <t>output/v8/F5/atribucion_combinada.csv</t>
        </is>
      </c>
      <c r="U814" s="2">
        <f>IF(R814=0,"",F814/R814)</f>
        <v/>
      </c>
      <c r="V814" s="2">
        <f>SUMIFS(F$2:F$1589,A$2:A$1589,A814,C$2:C$1589,C814,E$2:E$1589,E814,Q$2:Q$1589,Q814)</f>
        <v/>
      </c>
    </row>
    <row r="815">
      <c r="A815" s="3" t="inlineStr">
        <is>
          <t>compra</t>
        </is>
      </c>
      <c r="B815" s="3" t="inlineStr">
        <is>
          <t>ccaa:04</t>
        </is>
      </c>
      <c r="C815" s="3" t="inlineStr">
        <is>
          <t>P4</t>
        </is>
      </c>
      <c r="D815" s="3" t="inlineStr">
        <is>
          <t>empleo_renta</t>
        </is>
      </c>
      <c r="E815" s="3" t="inlineStr">
        <is>
          <t>regional_panel</t>
        </is>
      </c>
      <c r="F815" s="3" t="n">
        <v>-0.120884</v>
      </c>
      <c r="G815" s="3" t="n"/>
      <c r="H815" s="3" t="n"/>
      <c r="I815" s="3" t="n">
        <v>-0.0945042</v>
      </c>
      <c r="J815" s="3" t="n">
        <v>-1.03014</v>
      </c>
      <c r="K815" s="3" t="n">
        <v>0.455222</v>
      </c>
      <c r="L815" s="3" t="n">
        <v>-1.79412</v>
      </c>
      <c r="M815" s="3" t="n">
        <v>0.636854</v>
      </c>
      <c r="N815" s="3" t="inlineStr">
        <is>
          <t>C4</t>
        </is>
      </c>
      <c r="O815" s="3" t="inlineStr">
        <is>
          <t>si</t>
        </is>
      </c>
      <c r="P815" s="3" t="inlineStr">
        <is>
          <t>no_vota</t>
        </is>
      </c>
      <c r="Q815" s="3" t="inlineStr">
        <is>
          <t>panel_covariables</t>
        </is>
      </c>
      <c r="R815" s="3" t="n"/>
      <c r="S815" s="3" t="inlineStr">
        <is>
          <t>contraste regional (R6); no vota</t>
        </is>
      </c>
      <c r="T815" s="3" t="inlineStr">
        <is>
          <t>output/v8/F5/atribucion_combinada.csv</t>
        </is>
      </c>
      <c r="U815" s="2">
        <f>IF(R815=0,"",F815/R815)</f>
        <v/>
      </c>
      <c r="V815" s="2">
        <f>SUMIFS(F$2:F$1589,A$2:A$1589,A815,C$2:C$1589,C815,E$2:E$1589,E815,Q$2:Q$1589,Q815)</f>
        <v/>
      </c>
    </row>
    <row r="816">
      <c r="A816" s="3" t="inlineStr">
        <is>
          <t>compra</t>
        </is>
      </c>
      <c r="B816" s="3" t="inlineStr">
        <is>
          <t>ccaa:04</t>
        </is>
      </c>
      <c r="C816" s="3" t="inlineStr">
        <is>
          <t>P4</t>
        </is>
      </c>
      <c r="D816" s="3" t="inlineStr">
        <is>
          <t>demografia</t>
        </is>
      </c>
      <c r="E816" s="3" t="inlineStr">
        <is>
          <t>regional_panel</t>
        </is>
      </c>
      <c r="F816" s="3" t="n">
        <v>-0.498375</v>
      </c>
      <c r="G816" s="3" t="n"/>
      <c r="H816" s="3" t="n"/>
      <c r="I816" s="3" t="n">
        <v>-0.389617</v>
      </c>
      <c r="J816" s="3" t="n">
        <v>-1.96253</v>
      </c>
      <c r="K816" s="3" t="n">
        <v>1.24359</v>
      </c>
      <c r="L816" s="3" t="n">
        <v>-3.44405</v>
      </c>
      <c r="M816" s="3" t="n">
        <v>2.53232</v>
      </c>
      <c r="N816" s="3" t="inlineStr">
        <is>
          <t>C4</t>
        </is>
      </c>
      <c r="O816" s="3" t="inlineStr">
        <is>
          <t>si</t>
        </is>
      </c>
      <c r="P816" s="3" t="inlineStr">
        <is>
          <t>no_vota</t>
        </is>
      </c>
      <c r="Q816" s="3" t="inlineStr">
        <is>
          <t>panel_covariables</t>
        </is>
      </c>
      <c r="R816" s="3" t="n"/>
      <c r="S816" s="3" t="inlineStr">
        <is>
          <t>contraste regional (R6); no vota</t>
        </is>
      </c>
      <c r="T816" s="3" t="inlineStr">
        <is>
          <t>output/v8/F5/atribucion_combinada.csv</t>
        </is>
      </c>
      <c r="U816" s="2">
        <f>IF(R816=0,"",F816/R816)</f>
        <v/>
      </c>
      <c r="V816" s="2">
        <f>SUMIFS(F$2:F$1589,A$2:A$1589,A816,C$2:C$1589,C816,E$2:E$1589,E816,Q$2:Q$1589,Q816)</f>
        <v/>
      </c>
    </row>
    <row r="817">
      <c r="A817" s="3" t="inlineStr">
        <is>
          <t>compra</t>
        </is>
      </c>
      <c r="B817" s="3" t="inlineStr">
        <is>
          <t>ccaa:04</t>
        </is>
      </c>
      <c r="C817" s="3" t="inlineStr">
        <is>
          <t>P4</t>
        </is>
      </c>
      <c r="D817" s="3" t="inlineStr">
        <is>
          <t>oferta</t>
        </is>
      </c>
      <c r="E817" s="3" t="inlineStr">
        <is>
          <t>regional_panel</t>
        </is>
      </c>
      <c r="F817" s="3" t="n">
        <v>-0.0126748</v>
      </c>
      <c r="G817" s="3" t="n"/>
      <c r="H817" s="3" t="n"/>
      <c r="I817" s="3" t="n">
        <v>-0.009908790000000001</v>
      </c>
      <c r="J817" s="3" t="n">
        <v>-0.0803402</v>
      </c>
      <c r="K817" s="3" t="n">
        <v>0.0201381</v>
      </c>
      <c r="L817" s="3" t="n">
        <v>-0.141196</v>
      </c>
      <c r="M817" s="3" t="n">
        <v>0.07157810000000001</v>
      </c>
      <c r="N817" s="3" t="inlineStr">
        <is>
          <t>C4</t>
        </is>
      </c>
      <c r="O817" s="3" t="inlineStr">
        <is>
          <t>si</t>
        </is>
      </c>
      <c r="P817" s="3" t="inlineStr">
        <is>
          <t>no_vota</t>
        </is>
      </c>
      <c r="Q817" s="3" t="inlineStr">
        <is>
          <t>panel_covariables</t>
        </is>
      </c>
      <c r="R817" s="3" t="n"/>
      <c r="S817" s="3" t="inlineStr">
        <is>
          <t>contraste regional (R6); no vota</t>
        </is>
      </c>
      <c r="T817" s="3" t="inlineStr">
        <is>
          <t>output/v8/F5/atribucion_combinada.csv</t>
        </is>
      </c>
      <c r="U817" s="2">
        <f>IF(R817=0,"",F817/R817)</f>
        <v/>
      </c>
      <c r="V817" s="2">
        <f>SUMIFS(F$2:F$1589,A$2:A$1589,A817,C$2:C$1589,C817,E$2:E$1589,E817,Q$2:Q$1589,Q817)</f>
        <v/>
      </c>
    </row>
    <row r="818">
      <c r="A818" s="3" t="inlineStr">
        <is>
          <t>compra</t>
        </is>
      </c>
      <c r="B818" s="3" t="inlineStr">
        <is>
          <t>ccaa:04</t>
        </is>
      </c>
      <c r="C818" s="3" t="inlineStr">
        <is>
          <t>P4</t>
        </is>
      </c>
      <c r="D818" s="3" t="inlineStr">
        <is>
          <t>demanda_externa</t>
        </is>
      </c>
      <c r="E818" s="3" t="inlineStr">
        <is>
          <t>regional_panel</t>
        </is>
      </c>
      <c r="F818" s="3" t="n">
        <v>0.0573416</v>
      </c>
      <c r="G818" s="3" t="n"/>
      <c r="H818" s="3" t="n"/>
      <c r="I818" s="3" t="n">
        <v>0.0448282</v>
      </c>
      <c r="J818" s="3" t="n">
        <v>-0.207977</v>
      </c>
      <c r="K818" s="3" t="n">
        <v>0.172999</v>
      </c>
      <c r="L818" s="3" t="n">
        <v>-0.417954</v>
      </c>
      <c r="M818" s="3" t="n">
        <v>0.318394</v>
      </c>
      <c r="N818" s="3" t="inlineStr">
        <is>
          <t>C4</t>
        </is>
      </c>
      <c r="O818" s="3" t="inlineStr">
        <is>
          <t>si</t>
        </is>
      </c>
      <c r="P818" s="3" t="inlineStr">
        <is>
          <t>no_vota</t>
        </is>
      </c>
      <c r="Q818" s="3" t="inlineStr">
        <is>
          <t>panel_covariables</t>
        </is>
      </c>
      <c r="R818" s="3" t="n"/>
      <c r="S818" s="3" t="inlineStr">
        <is>
          <t>contraste regional (R6); no vota</t>
        </is>
      </c>
      <c r="T818" s="3" t="inlineStr">
        <is>
          <t>output/v8/F5/atribucion_combinada.csv</t>
        </is>
      </c>
      <c r="U818" s="2">
        <f>IF(R818=0,"",F818/R818)</f>
        <v/>
      </c>
      <c r="V818" s="2">
        <f>SUMIFS(F$2:F$1589,A$2:A$1589,A818,C$2:C$1589,C818,E$2:E$1589,E818,Q$2:Q$1589,Q818)</f>
        <v/>
      </c>
    </row>
    <row r="819">
      <c r="A819" s="3" t="inlineStr">
        <is>
          <t>compra</t>
        </is>
      </c>
      <c r="B819" s="3" t="inlineStr">
        <is>
          <t>ccaa:04</t>
        </is>
      </c>
      <c r="C819" s="3" t="inlineStr">
        <is>
          <t>P4</t>
        </is>
      </c>
      <c r="D819" s="3" t="inlineStr">
        <is>
          <t>residuo</t>
        </is>
      </c>
      <c r="E819" s="3" t="inlineStr">
        <is>
          <t>regional_panel</t>
        </is>
      </c>
      <c r="F819" s="3" t="n">
        <v>6.06982</v>
      </c>
      <c r="G819" s="3" t="n"/>
      <c r="H819" s="3" t="n"/>
      <c r="I819" s="3" t="n">
        <v>4.74523</v>
      </c>
      <c r="J819" s="3" t="n">
        <v>3.2092</v>
      </c>
      <c r="K819" s="3" t="n">
        <v>8.567</v>
      </c>
      <c r="L819" s="3" t="n">
        <v>1.54042</v>
      </c>
      <c r="M819" s="3" t="n">
        <v>10.5215</v>
      </c>
      <c r="N819" s="3" t="inlineStr">
        <is>
          <t>C4</t>
        </is>
      </c>
      <c r="O819" s="3" t="inlineStr">
        <is>
          <t>no</t>
        </is>
      </c>
      <c r="P819" s="3" t="inlineStr">
        <is>
          <t>no_compite</t>
        </is>
      </c>
      <c r="Q819" s="3" t="inlineStr">
        <is>
          <t>panel_covariables</t>
        </is>
      </c>
      <c r="R819" s="3" t="n"/>
      <c r="S819" s="3" t="inlineStr">
        <is>
          <t>contraste regional (R6); no vota</t>
        </is>
      </c>
      <c r="T819" s="3" t="inlineStr">
        <is>
          <t>output/v8/F5/atribucion_combinada.csv</t>
        </is>
      </c>
      <c r="U819" s="2">
        <f>IF(R819=0,"",F819/R819)</f>
        <v/>
      </c>
      <c r="V819" s="2">
        <f>SUMIFS(F$2:F$1589,A$2:A$1589,A819,C$2:C$1589,C819,E$2:E$1589,E819,Q$2:Q$1589,Q819)</f>
        <v/>
      </c>
    </row>
    <row r="820">
      <c r="A820" s="3" t="inlineStr">
        <is>
          <t>compra</t>
        </is>
      </c>
      <c r="B820" s="3" t="inlineStr">
        <is>
          <t>ccaa:05</t>
        </is>
      </c>
      <c r="C820" s="3" t="inlineStr">
        <is>
          <t>P4</t>
        </is>
      </c>
      <c r="D820" s="3" t="inlineStr">
        <is>
          <t>factor_comun</t>
        </is>
      </c>
      <c r="E820" s="3" t="inlineStr">
        <is>
          <t>regional_panel</t>
        </is>
      </c>
      <c r="F820" s="3" t="n">
        <v>-4.21608</v>
      </c>
      <c r="G820" s="3" t="n"/>
      <c r="H820" s="3" t="n"/>
      <c r="I820" s="3" t="n">
        <v>1.31301</v>
      </c>
      <c r="J820" s="3" t="n">
        <v>-5.07352</v>
      </c>
      <c r="K820" s="3" t="n">
        <v>-2.674</v>
      </c>
      <c r="L820" s="3" t="n">
        <v>-5.88849</v>
      </c>
      <c r="M820" s="3" t="n">
        <v>-1.76843</v>
      </c>
      <c r="N820" s="3" t="inlineStr">
        <is>
          <t>C4</t>
        </is>
      </c>
      <c r="O820" s="3" t="inlineStr">
        <is>
          <t>no</t>
        </is>
      </c>
      <c r="P820" s="3" t="inlineStr">
        <is>
          <t>no_compite</t>
        </is>
      </c>
      <c r="Q820" s="3" t="inlineStr">
        <is>
          <t>panel_covariables</t>
        </is>
      </c>
      <c r="R820" s="3" t="n"/>
      <c r="S820" s="3" t="inlineStr">
        <is>
          <t>contraste regional (R6); no vota</t>
        </is>
      </c>
      <c r="T820" s="3" t="inlineStr">
        <is>
          <t>output/v8/F5/atribucion_combinada.csv</t>
        </is>
      </c>
      <c r="U820" s="2">
        <f>IF(R820=0,"",F820/R820)</f>
        <v/>
      </c>
      <c r="V820" s="2">
        <f>SUMIFS(F$2:F$1589,A$2:A$1589,A820,C$2:C$1589,C820,E$2:E$1589,E820,Q$2:Q$1589,Q820)</f>
        <v/>
      </c>
    </row>
    <row r="821">
      <c r="A821" s="3" t="inlineStr">
        <is>
          <t>compra</t>
        </is>
      </c>
      <c r="B821" s="3" t="inlineStr">
        <is>
          <t>ccaa:05</t>
        </is>
      </c>
      <c r="C821" s="3" t="inlineStr">
        <is>
          <t>P4</t>
        </is>
      </c>
      <c r="D821" s="3" t="inlineStr">
        <is>
          <t>empleo_renta</t>
        </is>
      </c>
      <c r="E821" s="3" t="inlineStr">
        <is>
          <t>regional_panel</t>
        </is>
      </c>
      <c r="F821" s="3" t="n">
        <v>-0.024599</v>
      </c>
      <c r="G821" s="3" t="n"/>
      <c r="H821" s="3" t="n"/>
      <c r="I821" s="3" t="n">
        <v>0.00766085</v>
      </c>
      <c r="J821" s="3" t="n">
        <v>-1.0558</v>
      </c>
      <c r="K821" s="3" t="n">
        <v>0.898381</v>
      </c>
      <c r="L821" s="3" t="n">
        <v>-1.79865</v>
      </c>
      <c r="M821" s="3" t="n">
        <v>1.67701</v>
      </c>
      <c r="N821" s="3" t="inlineStr">
        <is>
          <t>C4</t>
        </is>
      </c>
      <c r="O821" s="3" t="inlineStr">
        <is>
          <t>si</t>
        </is>
      </c>
      <c r="P821" s="3" t="inlineStr">
        <is>
          <t>no_vota</t>
        </is>
      </c>
      <c r="Q821" s="3" t="inlineStr">
        <is>
          <t>panel_covariables</t>
        </is>
      </c>
      <c r="R821" s="3" t="n"/>
      <c r="S821" s="3" t="inlineStr">
        <is>
          <t>contraste regional (R6); no vota</t>
        </is>
      </c>
      <c r="T821" s="3" t="inlineStr">
        <is>
          <t>output/v8/F5/atribucion_combinada.csv</t>
        </is>
      </c>
      <c r="U821" s="2">
        <f>IF(R821=0,"",F821/R821)</f>
        <v/>
      </c>
      <c r="V821" s="2">
        <f>SUMIFS(F$2:F$1589,A$2:A$1589,A821,C$2:C$1589,C821,E$2:E$1589,E821,Q$2:Q$1589,Q821)</f>
        <v/>
      </c>
    </row>
    <row r="822">
      <c r="A822" s="3" t="inlineStr">
        <is>
          <t>compra</t>
        </is>
      </c>
      <c r="B822" s="3" t="inlineStr">
        <is>
          <t>ccaa:05</t>
        </is>
      </c>
      <c r="C822" s="3" t="inlineStr">
        <is>
          <t>P4</t>
        </is>
      </c>
      <c r="D822" s="3" t="inlineStr">
        <is>
          <t>demografia</t>
        </is>
      </c>
      <c r="E822" s="3" t="inlineStr">
        <is>
          <t>regional_panel</t>
        </is>
      </c>
      <c r="F822" s="3" t="n">
        <v>-0.0606793</v>
      </c>
      <c r="G822" s="3" t="n"/>
      <c r="H822" s="3" t="n"/>
      <c r="I822" s="3" t="n">
        <v>0.0188973</v>
      </c>
      <c r="J822" s="3" t="n">
        <v>-0.816482</v>
      </c>
      <c r="K822" s="3" t="n">
        <v>0.651908</v>
      </c>
      <c r="L822" s="3" t="n">
        <v>-1.60228</v>
      </c>
      <c r="M822" s="3" t="n">
        <v>1.13649</v>
      </c>
      <c r="N822" s="3" t="inlineStr">
        <is>
          <t>C4</t>
        </is>
      </c>
      <c r="O822" s="3" t="inlineStr">
        <is>
          <t>si</t>
        </is>
      </c>
      <c r="P822" s="3" t="inlineStr">
        <is>
          <t>no_vota</t>
        </is>
      </c>
      <c r="Q822" s="3" t="inlineStr">
        <is>
          <t>panel_covariables</t>
        </is>
      </c>
      <c r="R822" s="3" t="n"/>
      <c r="S822" s="3" t="inlineStr">
        <is>
          <t>contraste regional (R6); no vota</t>
        </is>
      </c>
      <c r="T822" s="3" t="inlineStr">
        <is>
          <t>output/v8/F5/atribucion_combinada.csv</t>
        </is>
      </c>
      <c r="U822" s="2">
        <f>IF(R822=0,"",F822/R822)</f>
        <v/>
      </c>
      <c r="V822" s="2">
        <f>SUMIFS(F$2:F$1589,A$2:A$1589,A822,C$2:C$1589,C822,E$2:E$1589,E822,Q$2:Q$1589,Q822)</f>
        <v/>
      </c>
    </row>
    <row r="823">
      <c r="A823" s="3" t="inlineStr">
        <is>
          <t>compra</t>
        </is>
      </c>
      <c r="B823" s="3" t="inlineStr">
        <is>
          <t>ccaa:05</t>
        </is>
      </c>
      <c r="C823" s="3" t="inlineStr">
        <is>
          <t>P4</t>
        </is>
      </c>
      <c r="D823" s="3" t="inlineStr">
        <is>
          <t>oferta</t>
        </is>
      </c>
      <c r="E823" s="3" t="inlineStr">
        <is>
          <t>regional_panel</t>
        </is>
      </c>
      <c r="F823" s="3" t="n">
        <v>-0.0475477</v>
      </c>
      <c r="G823" s="3" t="n"/>
      <c r="H823" s="3" t="n"/>
      <c r="I823" s="3" t="n">
        <v>0.0148078</v>
      </c>
      <c r="J823" s="3" t="n">
        <v>-0.190209</v>
      </c>
      <c r="K823" s="3" t="n">
        <v>0.00612852</v>
      </c>
      <c r="L823" s="3" t="n">
        <v>-0.28588</v>
      </c>
      <c r="M823" s="3" t="n">
        <v>0.0367954</v>
      </c>
      <c r="N823" s="3" t="inlineStr">
        <is>
          <t>C4</t>
        </is>
      </c>
      <c r="O823" s="3" t="inlineStr">
        <is>
          <t>si</t>
        </is>
      </c>
      <c r="P823" s="3" t="inlineStr">
        <is>
          <t>no_vota</t>
        </is>
      </c>
      <c r="Q823" s="3" t="inlineStr">
        <is>
          <t>panel_covariables</t>
        </is>
      </c>
      <c r="R823" s="3" t="n"/>
      <c r="S823" s="3" t="inlineStr">
        <is>
          <t>contraste regional (R6); no vota</t>
        </is>
      </c>
      <c r="T823" s="3" t="inlineStr">
        <is>
          <t>output/v8/F5/atribucion_combinada.csv</t>
        </is>
      </c>
      <c r="U823" s="2">
        <f>IF(R823=0,"",F823/R823)</f>
        <v/>
      </c>
      <c r="V823" s="2">
        <f>SUMIFS(F$2:F$1589,A$2:A$1589,A823,C$2:C$1589,C823,E$2:E$1589,E823,Q$2:Q$1589,Q823)</f>
        <v/>
      </c>
    </row>
    <row r="824">
      <c r="A824" s="3" t="inlineStr">
        <is>
          <t>compra</t>
        </is>
      </c>
      <c r="B824" s="3" t="inlineStr">
        <is>
          <t>ccaa:05</t>
        </is>
      </c>
      <c r="C824" s="3" t="inlineStr">
        <is>
          <t>P4</t>
        </is>
      </c>
      <c r="D824" s="3" t="inlineStr">
        <is>
          <t>demanda_externa</t>
        </is>
      </c>
      <c r="E824" s="3" t="inlineStr">
        <is>
          <t>regional_panel</t>
        </is>
      </c>
      <c r="F824" s="3" t="n">
        <v>0.09761</v>
      </c>
      <c r="G824" s="3" t="n"/>
      <c r="H824" s="3" t="n"/>
      <c r="I824" s="3" t="n">
        <v>-0.0303987</v>
      </c>
      <c r="J824" s="3" t="n">
        <v>-0.209544</v>
      </c>
      <c r="K824" s="3" t="n">
        <v>0.203659</v>
      </c>
      <c r="L824" s="3" t="n">
        <v>-0.377544</v>
      </c>
      <c r="M824" s="3" t="n">
        <v>0.368736</v>
      </c>
      <c r="N824" s="3" t="inlineStr">
        <is>
          <t>C4</t>
        </is>
      </c>
      <c r="O824" s="3" t="inlineStr">
        <is>
          <t>si</t>
        </is>
      </c>
      <c r="P824" s="3" t="inlineStr">
        <is>
          <t>no_vota</t>
        </is>
      </c>
      <c r="Q824" s="3" t="inlineStr">
        <is>
          <t>panel_covariables</t>
        </is>
      </c>
      <c r="R824" s="3" t="n"/>
      <c r="S824" s="3" t="inlineStr">
        <is>
          <t>contraste regional (R6); no vota</t>
        </is>
      </c>
      <c r="T824" s="3" t="inlineStr">
        <is>
          <t>output/v8/F5/atribucion_combinada.csv</t>
        </is>
      </c>
      <c r="U824" s="2">
        <f>IF(R824=0,"",F824/R824)</f>
        <v/>
      </c>
      <c r="V824" s="2">
        <f>SUMIFS(F$2:F$1589,A$2:A$1589,A824,C$2:C$1589,C824,E$2:E$1589,E824,Q$2:Q$1589,Q824)</f>
        <v/>
      </c>
    </row>
    <row r="825">
      <c r="A825" s="3" t="inlineStr">
        <is>
          <t>compra</t>
        </is>
      </c>
      <c r="B825" s="3" t="inlineStr">
        <is>
          <t>ccaa:05</t>
        </is>
      </c>
      <c r="C825" s="3" t="inlineStr">
        <is>
          <t>P4</t>
        </is>
      </c>
      <c r="D825" s="3" t="inlineStr">
        <is>
          <t>residuo</t>
        </is>
      </c>
      <c r="E825" s="3" t="inlineStr">
        <is>
          <t>regional_panel</t>
        </is>
      </c>
      <c r="F825" s="3" t="n">
        <v>1.0403</v>
      </c>
      <c r="G825" s="3" t="n"/>
      <c r="H825" s="3" t="n"/>
      <c r="I825" s="3" t="n">
        <v>-0.323981</v>
      </c>
      <c r="J825" s="3" t="n">
        <v>0.238201</v>
      </c>
      <c r="K825" s="3" t="n">
        <v>1.94816</v>
      </c>
      <c r="L825" s="3" t="n">
        <v>-0.265185</v>
      </c>
      <c r="M825" s="3" t="n">
        <v>2.55388</v>
      </c>
      <c r="N825" s="3" t="inlineStr">
        <is>
          <t>C4</t>
        </is>
      </c>
      <c r="O825" s="3" t="inlineStr">
        <is>
          <t>no</t>
        </is>
      </c>
      <c r="P825" s="3" t="inlineStr">
        <is>
          <t>no_compite</t>
        </is>
      </c>
      <c r="Q825" s="3" t="inlineStr">
        <is>
          <t>panel_covariables</t>
        </is>
      </c>
      <c r="R825" s="3" t="n"/>
      <c r="S825" s="3" t="inlineStr">
        <is>
          <t>contraste regional (R6); no vota</t>
        </is>
      </c>
      <c r="T825" s="3" t="inlineStr">
        <is>
          <t>output/v8/F5/atribucion_combinada.csv</t>
        </is>
      </c>
      <c r="U825" s="2">
        <f>IF(R825=0,"",F825/R825)</f>
        <v/>
      </c>
      <c r="V825" s="2">
        <f>SUMIFS(F$2:F$1589,A$2:A$1589,A825,C$2:C$1589,C825,E$2:E$1589,E825,Q$2:Q$1589,Q825)</f>
        <v/>
      </c>
    </row>
    <row r="826">
      <c r="A826" s="3" t="inlineStr">
        <is>
          <t>compra</t>
        </is>
      </c>
      <c r="B826" s="3" t="inlineStr">
        <is>
          <t>ccaa:06</t>
        </is>
      </c>
      <c r="C826" s="3" t="inlineStr">
        <is>
          <t>P4</t>
        </is>
      </c>
      <c r="D826" s="3" t="inlineStr">
        <is>
          <t>factor_comun</t>
        </is>
      </c>
      <c r="E826" s="3" t="inlineStr">
        <is>
          <t>regional_panel</t>
        </is>
      </c>
      <c r="F826" s="3" t="n">
        <v>-4.21608</v>
      </c>
      <c r="G826" s="3" t="n"/>
      <c r="H826" s="3" t="n"/>
      <c r="I826" s="3" t="n">
        <v>0.751202</v>
      </c>
      <c r="J826" s="3" t="n">
        <v>-5.07352</v>
      </c>
      <c r="K826" s="3" t="n">
        <v>-2.674</v>
      </c>
      <c r="L826" s="3" t="n">
        <v>-5.88849</v>
      </c>
      <c r="M826" s="3" t="n">
        <v>-1.76843</v>
      </c>
      <c r="N826" s="3" t="inlineStr">
        <is>
          <t>C4</t>
        </is>
      </c>
      <c r="O826" s="3" t="inlineStr">
        <is>
          <t>no</t>
        </is>
      </c>
      <c r="P826" s="3" t="inlineStr">
        <is>
          <t>no_compite</t>
        </is>
      </c>
      <c r="Q826" s="3" t="inlineStr">
        <is>
          <t>panel_covariables</t>
        </is>
      </c>
      <c r="R826" s="3" t="n"/>
      <c r="S826" s="3" t="inlineStr">
        <is>
          <t>contraste regional (R6); no vota</t>
        </is>
      </c>
      <c r="T826" s="3" t="inlineStr">
        <is>
          <t>output/v8/F5/atribucion_combinada.csv</t>
        </is>
      </c>
      <c r="U826" s="2">
        <f>IF(R826=0,"",F826/R826)</f>
        <v/>
      </c>
      <c r="V826" s="2">
        <f>SUMIFS(F$2:F$1589,A$2:A$1589,A826,C$2:C$1589,C826,E$2:E$1589,E826,Q$2:Q$1589,Q826)</f>
        <v/>
      </c>
    </row>
    <row r="827">
      <c r="A827" s="3" t="inlineStr">
        <is>
          <t>compra</t>
        </is>
      </c>
      <c r="B827" s="3" t="inlineStr">
        <is>
          <t>ccaa:06</t>
        </is>
      </c>
      <c r="C827" s="3" t="inlineStr">
        <is>
          <t>P4</t>
        </is>
      </c>
      <c r="D827" s="3" t="inlineStr">
        <is>
          <t>empleo_renta</t>
        </is>
      </c>
      <c r="E827" s="3" t="inlineStr">
        <is>
          <t>regional_panel</t>
        </is>
      </c>
      <c r="F827" s="3" t="n">
        <v>-0.124776</v>
      </c>
      <c r="G827" s="3" t="n"/>
      <c r="H827" s="3" t="n"/>
      <c r="I827" s="3" t="n">
        <v>0.022232</v>
      </c>
      <c r="J827" s="3" t="n">
        <v>-0.534095</v>
      </c>
      <c r="K827" s="3" t="n">
        <v>0.476188</v>
      </c>
      <c r="L827" s="3" t="n">
        <v>-0.796909</v>
      </c>
      <c r="M827" s="3" t="n">
        <v>1.0002</v>
      </c>
      <c r="N827" s="3" t="inlineStr">
        <is>
          <t>C4</t>
        </is>
      </c>
      <c r="O827" s="3" t="inlineStr">
        <is>
          <t>si</t>
        </is>
      </c>
      <c r="P827" s="3" t="inlineStr">
        <is>
          <t>no_vota</t>
        </is>
      </c>
      <c r="Q827" s="3" t="inlineStr">
        <is>
          <t>panel_covariables</t>
        </is>
      </c>
      <c r="R827" s="3" t="n"/>
      <c r="S827" s="3" t="inlineStr">
        <is>
          <t>contraste regional (R6); no vota</t>
        </is>
      </c>
      <c r="T827" s="3" t="inlineStr">
        <is>
          <t>output/v8/F5/atribucion_combinada.csv</t>
        </is>
      </c>
      <c r="U827" s="2">
        <f>IF(R827=0,"",F827/R827)</f>
        <v/>
      </c>
      <c r="V827" s="2">
        <f>SUMIFS(F$2:F$1589,A$2:A$1589,A827,C$2:C$1589,C827,E$2:E$1589,E827,Q$2:Q$1589,Q827)</f>
        <v/>
      </c>
    </row>
    <row r="828">
      <c r="A828" s="3" t="inlineStr">
        <is>
          <t>compra</t>
        </is>
      </c>
      <c r="B828" s="3" t="inlineStr">
        <is>
          <t>ccaa:06</t>
        </is>
      </c>
      <c r="C828" s="3" t="inlineStr">
        <is>
          <t>P4</t>
        </is>
      </c>
      <c r="D828" s="3" t="inlineStr">
        <is>
          <t>demografia</t>
        </is>
      </c>
      <c r="E828" s="3" t="inlineStr">
        <is>
          <t>regional_panel</t>
        </is>
      </c>
      <c r="F828" s="3" t="n">
        <v>2.00716</v>
      </c>
      <c r="G828" s="3" t="n"/>
      <c r="H828" s="3" t="n"/>
      <c r="I828" s="3" t="n">
        <v>-0.357626</v>
      </c>
      <c r="J828" s="3" t="n">
        <v>0.56795</v>
      </c>
      <c r="K828" s="3" t="n">
        <v>3.08238</v>
      </c>
      <c r="L828" s="3" t="n">
        <v>-0.702699</v>
      </c>
      <c r="M828" s="3" t="n">
        <v>4.16001</v>
      </c>
      <c r="N828" s="3" t="inlineStr">
        <is>
          <t>C4</t>
        </is>
      </c>
      <c r="O828" s="3" t="inlineStr">
        <is>
          <t>si</t>
        </is>
      </c>
      <c r="P828" s="3" t="inlineStr">
        <is>
          <t>no_vota</t>
        </is>
      </c>
      <c r="Q828" s="3" t="inlineStr">
        <is>
          <t>panel_covariables</t>
        </is>
      </c>
      <c r="R828" s="3" t="n"/>
      <c r="S828" s="3" t="inlineStr">
        <is>
          <t>contraste regional (R6); no vota</t>
        </is>
      </c>
      <c r="T828" s="3" t="inlineStr">
        <is>
          <t>output/v8/F5/atribucion_combinada.csv</t>
        </is>
      </c>
      <c r="U828" s="2">
        <f>IF(R828=0,"",F828/R828)</f>
        <v/>
      </c>
      <c r="V828" s="2">
        <f>SUMIFS(F$2:F$1589,A$2:A$1589,A828,C$2:C$1589,C828,E$2:E$1589,E828,Q$2:Q$1589,Q828)</f>
        <v/>
      </c>
    </row>
    <row r="829">
      <c r="A829" s="3" t="inlineStr">
        <is>
          <t>compra</t>
        </is>
      </c>
      <c r="B829" s="3" t="inlineStr">
        <is>
          <t>ccaa:06</t>
        </is>
      </c>
      <c r="C829" s="3" t="inlineStr">
        <is>
          <t>P4</t>
        </is>
      </c>
      <c r="D829" s="3" t="inlineStr">
        <is>
          <t>oferta</t>
        </is>
      </c>
      <c r="E829" s="3" t="inlineStr">
        <is>
          <t>regional_panel</t>
        </is>
      </c>
      <c r="F829" s="3" t="n">
        <v>0.07886559999999999</v>
      </c>
      <c r="G829" s="3" t="n"/>
      <c r="H829" s="3" t="n"/>
      <c r="I829" s="3" t="n">
        <v>-0.0140519</v>
      </c>
      <c r="J829" s="3" t="n">
        <v>-0.00247029</v>
      </c>
      <c r="K829" s="3" t="n">
        <v>0.193355</v>
      </c>
      <c r="L829" s="3" t="n">
        <v>-0.0317598</v>
      </c>
      <c r="M829" s="3" t="n">
        <v>0.340978</v>
      </c>
      <c r="N829" s="3" t="inlineStr">
        <is>
          <t>C4</t>
        </is>
      </c>
      <c r="O829" s="3" t="inlineStr">
        <is>
          <t>si</t>
        </is>
      </c>
      <c r="P829" s="3" t="inlineStr">
        <is>
          <t>no_vota</t>
        </is>
      </c>
      <c r="Q829" s="3" t="inlineStr">
        <is>
          <t>panel_covariables</t>
        </is>
      </c>
      <c r="R829" s="3" t="n"/>
      <c r="S829" s="3" t="inlineStr">
        <is>
          <t>contraste regional (R6); no vota</t>
        </is>
      </c>
      <c r="T829" s="3" t="inlineStr">
        <is>
          <t>output/v8/F5/atribucion_combinada.csv</t>
        </is>
      </c>
      <c r="U829" s="2">
        <f>IF(R829=0,"",F829/R829)</f>
        <v/>
      </c>
      <c r="V829" s="2">
        <f>SUMIFS(F$2:F$1589,A$2:A$1589,A829,C$2:C$1589,C829,E$2:E$1589,E829,Q$2:Q$1589,Q829)</f>
        <v/>
      </c>
    </row>
    <row r="830">
      <c r="A830" s="3" t="inlineStr">
        <is>
          <t>compra</t>
        </is>
      </c>
      <c r="B830" s="3" t="inlineStr">
        <is>
          <t>ccaa:06</t>
        </is>
      </c>
      <c r="C830" s="3" t="inlineStr">
        <is>
          <t>P4</t>
        </is>
      </c>
      <c r="D830" s="3" t="inlineStr">
        <is>
          <t>demanda_externa</t>
        </is>
      </c>
      <c r="E830" s="3" t="inlineStr">
        <is>
          <t>regional_panel</t>
        </is>
      </c>
      <c r="F830" s="3" t="n">
        <v>0.169645</v>
      </c>
      <c r="G830" s="3" t="n"/>
      <c r="H830" s="3" t="n"/>
      <c r="I830" s="3" t="n">
        <v>-0.0302266</v>
      </c>
      <c r="J830" s="3" t="n">
        <v>-0.09775929999999999</v>
      </c>
      <c r="K830" s="3" t="n">
        <v>0.274623</v>
      </c>
      <c r="L830" s="3" t="n">
        <v>-0.330861</v>
      </c>
      <c r="M830" s="3" t="n">
        <v>0.480717</v>
      </c>
      <c r="N830" s="3" t="inlineStr">
        <is>
          <t>C4</t>
        </is>
      </c>
      <c r="O830" s="3" t="inlineStr">
        <is>
          <t>si</t>
        </is>
      </c>
      <c r="P830" s="3" t="inlineStr">
        <is>
          <t>no_vota</t>
        </is>
      </c>
      <c r="Q830" s="3" t="inlineStr">
        <is>
          <t>panel_covariables</t>
        </is>
      </c>
      <c r="R830" s="3" t="n"/>
      <c r="S830" s="3" t="inlineStr">
        <is>
          <t>contraste regional (R6); no vota</t>
        </is>
      </c>
      <c r="T830" s="3" t="inlineStr">
        <is>
          <t>output/v8/F5/atribucion_combinada.csv</t>
        </is>
      </c>
      <c r="U830" s="2">
        <f>IF(R830=0,"",F830/R830)</f>
        <v/>
      </c>
      <c r="V830" s="2">
        <f>SUMIFS(F$2:F$1589,A$2:A$1589,A830,C$2:C$1589,C830,E$2:E$1589,E830,Q$2:Q$1589,Q830)</f>
        <v/>
      </c>
    </row>
    <row r="831">
      <c r="A831" s="3" t="inlineStr">
        <is>
          <t>compra</t>
        </is>
      </c>
      <c r="B831" s="3" t="inlineStr">
        <is>
          <t>ccaa:06</t>
        </is>
      </c>
      <c r="C831" s="3" t="inlineStr">
        <is>
          <t>P4</t>
        </is>
      </c>
      <c r="D831" s="3" t="inlineStr">
        <is>
          <t>residuo</t>
        </is>
      </c>
      <c r="E831" s="3" t="inlineStr">
        <is>
          <t>regional_panel</t>
        </is>
      </c>
      <c r="F831" s="3" t="n">
        <v>-3.52726</v>
      </c>
      <c r="G831" s="3" t="n"/>
      <c r="H831" s="3" t="n"/>
      <c r="I831" s="3" t="n">
        <v>0.628471</v>
      </c>
      <c r="J831" s="3" t="n">
        <v>-5.66044</v>
      </c>
      <c r="K831" s="3" t="n">
        <v>-1.47534</v>
      </c>
      <c r="L831" s="3" t="n">
        <v>-8.307869999999999</v>
      </c>
      <c r="M831" s="3" t="n">
        <v>0.135455</v>
      </c>
      <c r="N831" s="3" t="inlineStr">
        <is>
          <t>C4</t>
        </is>
      </c>
      <c r="O831" s="3" t="inlineStr">
        <is>
          <t>no</t>
        </is>
      </c>
      <c r="P831" s="3" t="inlineStr">
        <is>
          <t>no_compite</t>
        </is>
      </c>
      <c r="Q831" s="3" t="inlineStr">
        <is>
          <t>panel_covariables</t>
        </is>
      </c>
      <c r="R831" s="3" t="n"/>
      <c r="S831" s="3" t="inlineStr">
        <is>
          <t>contraste regional (R6); no vota</t>
        </is>
      </c>
      <c r="T831" s="3" t="inlineStr">
        <is>
          <t>output/v8/F5/atribucion_combinada.csv</t>
        </is>
      </c>
      <c r="U831" s="2">
        <f>IF(R831=0,"",F831/R831)</f>
        <v/>
      </c>
      <c r="V831" s="2">
        <f>SUMIFS(F$2:F$1589,A$2:A$1589,A831,C$2:C$1589,C831,E$2:E$1589,E831,Q$2:Q$1589,Q831)</f>
        <v/>
      </c>
    </row>
    <row r="832">
      <c r="A832" s="3" t="inlineStr">
        <is>
          <t>compra</t>
        </is>
      </c>
      <c r="B832" s="3" t="inlineStr">
        <is>
          <t>ccaa:07</t>
        </is>
      </c>
      <c r="C832" s="3" t="inlineStr">
        <is>
          <t>P4</t>
        </is>
      </c>
      <c r="D832" s="3" t="inlineStr">
        <is>
          <t>factor_comun</t>
        </is>
      </c>
      <c r="E832" s="3" t="inlineStr">
        <is>
          <t>regional_panel</t>
        </is>
      </c>
      <c r="F832" s="3" t="n">
        <v>-4.21608</v>
      </c>
      <c r="G832" s="3" t="n"/>
      <c r="H832" s="3" t="n"/>
      <c r="I832" s="3" t="n">
        <v>0.670683</v>
      </c>
      <c r="J832" s="3" t="n">
        <v>-5.07352</v>
      </c>
      <c r="K832" s="3" t="n">
        <v>-2.674</v>
      </c>
      <c r="L832" s="3" t="n">
        <v>-5.88849</v>
      </c>
      <c r="M832" s="3" t="n">
        <v>-1.76843</v>
      </c>
      <c r="N832" s="3" t="inlineStr">
        <is>
          <t>C4</t>
        </is>
      </c>
      <c r="O832" s="3" t="inlineStr">
        <is>
          <t>no</t>
        </is>
      </c>
      <c r="P832" s="3" t="inlineStr">
        <is>
          <t>no_compite</t>
        </is>
      </c>
      <c r="Q832" s="3" t="inlineStr">
        <is>
          <t>panel_covariables</t>
        </is>
      </c>
      <c r="R832" s="3" t="n"/>
      <c r="S832" s="3" t="inlineStr">
        <is>
          <t>contraste regional (R6); no vota</t>
        </is>
      </c>
      <c r="T832" s="3" t="inlineStr">
        <is>
          <t>output/v8/F5/atribucion_combinada.csv</t>
        </is>
      </c>
      <c r="U832" s="2">
        <f>IF(R832=0,"",F832/R832)</f>
        <v/>
      </c>
      <c r="V832" s="2">
        <f>SUMIFS(F$2:F$1589,A$2:A$1589,A832,C$2:C$1589,C832,E$2:E$1589,E832,Q$2:Q$1589,Q832)</f>
        <v/>
      </c>
    </row>
    <row r="833">
      <c r="A833" s="3" t="inlineStr">
        <is>
          <t>compra</t>
        </is>
      </c>
      <c r="B833" s="3" t="inlineStr">
        <is>
          <t>ccaa:07</t>
        </is>
      </c>
      <c r="C833" s="3" t="inlineStr">
        <is>
          <t>P4</t>
        </is>
      </c>
      <c r="D833" s="3" t="inlineStr">
        <is>
          <t>empleo_renta</t>
        </is>
      </c>
      <c r="E833" s="3" t="inlineStr">
        <is>
          <t>regional_panel</t>
        </is>
      </c>
      <c r="F833" s="3" t="n">
        <v>0.277544</v>
      </c>
      <c r="G833" s="3" t="n"/>
      <c r="H833" s="3" t="n"/>
      <c r="I833" s="3" t="n">
        <v>-0.0441509</v>
      </c>
      <c r="J833" s="3" t="n">
        <v>0.0200983</v>
      </c>
      <c r="K833" s="3" t="n">
        <v>0.482391</v>
      </c>
      <c r="L833" s="3" t="n">
        <v>-0.193098</v>
      </c>
      <c r="M833" s="3" t="n">
        <v>0.5901189999999999</v>
      </c>
      <c r="N833" s="3" t="inlineStr">
        <is>
          <t>C4</t>
        </is>
      </c>
      <c r="O833" s="3" t="inlineStr">
        <is>
          <t>si</t>
        </is>
      </c>
      <c r="P833" s="3" t="inlineStr">
        <is>
          <t>no_vota</t>
        </is>
      </c>
      <c r="Q833" s="3" t="inlineStr">
        <is>
          <t>panel_covariables</t>
        </is>
      </c>
      <c r="R833" s="3" t="n"/>
      <c r="S833" s="3" t="inlineStr">
        <is>
          <t>contraste regional (R6); no vota</t>
        </is>
      </c>
      <c r="T833" s="3" t="inlineStr">
        <is>
          <t>output/v8/F5/atribucion_combinada.csv</t>
        </is>
      </c>
      <c r="U833" s="2">
        <f>IF(R833=0,"",F833/R833)</f>
        <v/>
      </c>
      <c r="V833" s="2">
        <f>SUMIFS(F$2:F$1589,A$2:A$1589,A833,C$2:C$1589,C833,E$2:E$1589,E833,Q$2:Q$1589,Q833)</f>
        <v/>
      </c>
    </row>
    <row r="834">
      <c r="A834" s="3" t="inlineStr">
        <is>
          <t>compra</t>
        </is>
      </c>
      <c r="B834" s="3" t="inlineStr">
        <is>
          <t>ccaa:07</t>
        </is>
      </c>
      <c r="C834" s="3" t="inlineStr">
        <is>
          <t>P4</t>
        </is>
      </c>
      <c r="D834" s="3" t="inlineStr">
        <is>
          <t>demografia</t>
        </is>
      </c>
      <c r="E834" s="3" t="inlineStr">
        <is>
          <t>regional_panel</t>
        </is>
      </c>
      <c r="F834" s="3" t="n">
        <v>3.39533</v>
      </c>
      <c r="G834" s="3" t="n"/>
      <c r="H834" s="3" t="n"/>
      <c r="I834" s="3" t="n">
        <v>-0.54012</v>
      </c>
      <c r="J834" s="3" t="n">
        <v>0.112477</v>
      </c>
      <c r="K834" s="3" t="n">
        <v>6.18261</v>
      </c>
      <c r="L834" s="3" t="n">
        <v>-3.85217</v>
      </c>
      <c r="M834" s="3" t="n">
        <v>8.54538</v>
      </c>
      <c r="N834" s="3" t="inlineStr">
        <is>
          <t>C4</t>
        </is>
      </c>
      <c r="O834" s="3" t="inlineStr">
        <is>
          <t>si</t>
        </is>
      </c>
      <c r="P834" s="3" t="inlineStr">
        <is>
          <t>no_vota</t>
        </is>
      </c>
      <c r="Q834" s="3" t="inlineStr">
        <is>
          <t>panel_covariables</t>
        </is>
      </c>
      <c r="R834" s="3" t="n"/>
      <c r="S834" s="3" t="inlineStr">
        <is>
          <t>contraste regional (R6); no vota</t>
        </is>
      </c>
      <c r="T834" s="3" t="inlineStr">
        <is>
          <t>output/v8/F5/atribucion_combinada.csv</t>
        </is>
      </c>
      <c r="U834" s="2">
        <f>IF(R834=0,"",F834/R834)</f>
        <v/>
      </c>
      <c r="V834" s="2">
        <f>SUMIFS(F$2:F$1589,A$2:A$1589,A834,C$2:C$1589,C834,E$2:E$1589,E834,Q$2:Q$1589,Q834)</f>
        <v/>
      </c>
    </row>
    <row r="835">
      <c r="A835" s="3" t="inlineStr">
        <is>
          <t>compra</t>
        </is>
      </c>
      <c r="B835" s="3" t="inlineStr">
        <is>
          <t>ccaa:07</t>
        </is>
      </c>
      <c r="C835" s="3" t="inlineStr">
        <is>
          <t>P4</t>
        </is>
      </c>
      <c r="D835" s="3" t="inlineStr">
        <is>
          <t>oferta</t>
        </is>
      </c>
      <c r="E835" s="3" t="inlineStr">
        <is>
          <t>regional_panel</t>
        </is>
      </c>
      <c r="F835" s="3" t="n">
        <v>0.0391724</v>
      </c>
      <c r="G835" s="3" t="n"/>
      <c r="H835" s="3" t="n"/>
      <c r="I835" s="3" t="n">
        <v>-0.00623144</v>
      </c>
      <c r="J835" s="3" t="n">
        <v>-0.0398214</v>
      </c>
      <c r="K835" s="3" t="n">
        <v>0.0956678</v>
      </c>
      <c r="L835" s="3" t="n">
        <v>-0.158567</v>
      </c>
      <c r="M835" s="3" t="n">
        <v>0.166197</v>
      </c>
      <c r="N835" s="3" t="inlineStr">
        <is>
          <t>C4</t>
        </is>
      </c>
      <c r="O835" s="3" t="inlineStr">
        <is>
          <t>si</t>
        </is>
      </c>
      <c r="P835" s="3" t="inlineStr">
        <is>
          <t>no_vota</t>
        </is>
      </c>
      <c r="Q835" s="3" t="inlineStr">
        <is>
          <t>panel_covariables</t>
        </is>
      </c>
      <c r="R835" s="3" t="n"/>
      <c r="S835" s="3" t="inlineStr">
        <is>
          <t>contraste regional (R6); no vota</t>
        </is>
      </c>
      <c r="T835" s="3" t="inlineStr">
        <is>
          <t>output/v8/F5/atribucion_combinada.csv</t>
        </is>
      </c>
      <c r="U835" s="2">
        <f>IF(R835=0,"",F835/R835)</f>
        <v/>
      </c>
      <c r="V835" s="2">
        <f>SUMIFS(F$2:F$1589,A$2:A$1589,A835,C$2:C$1589,C835,E$2:E$1589,E835,Q$2:Q$1589,Q835)</f>
        <v/>
      </c>
    </row>
    <row r="836">
      <c r="A836" s="3" t="inlineStr">
        <is>
          <t>compra</t>
        </is>
      </c>
      <c r="B836" s="3" t="inlineStr">
        <is>
          <t>ccaa:07</t>
        </is>
      </c>
      <c r="C836" s="3" t="inlineStr">
        <is>
          <t>P4</t>
        </is>
      </c>
      <c r="D836" s="3" t="inlineStr">
        <is>
          <t>demanda_externa</t>
        </is>
      </c>
      <c r="E836" s="3" t="inlineStr">
        <is>
          <t>regional_panel</t>
        </is>
      </c>
      <c r="F836" s="3" t="n">
        <v>0.142072</v>
      </c>
      <c r="G836" s="3" t="n"/>
      <c r="H836" s="3" t="n"/>
      <c r="I836" s="3" t="n">
        <v>-0.0226004</v>
      </c>
      <c r="J836" s="3" t="n">
        <v>-0.04644</v>
      </c>
      <c r="K836" s="3" t="n">
        <v>0.223424</v>
      </c>
      <c r="L836" s="3" t="n">
        <v>-0.190398</v>
      </c>
      <c r="M836" s="3" t="n">
        <v>0.419948</v>
      </c>
      <c r="N836" s="3" t="inlineStr">
        <is>
          <t>C4</t>
        </is>
      </c>
      <c r="O836" s="3" t="inlineStr">
        <is>
          <t>si</t>
        </is>
      </c>
      <c r="P836" s="3" t="inlineStr">
        <is>
          <t>no_vota</t>
        </is>
      </c>
      <c r="Q836" s="3" t="inlineStr">
        <is>
          <t>panel_covariables</t>
        </is>
      </c>
      <c r="R836" s="3" t="n"/>
      <c r="S836" s="3" t="inlineStr">
        <is>
          <t>contraste regional (R6); no vota</t>
        </is>
      </c>
      <c r="T836" s="3" t="inlineStr">
        <is>
          <t>output/v8/F5/atribucion_combinada.csv</t>
        </is>
      </c>
      <c r="U836" s="2">
        <f>IF(R836=0,"",F836/R836)</f>
        <v/>
      </c>
      <c r="V836" s="2">
        <f>SUMIFS(F$2:F$1589,A$2:A$1589,A836,C$2:C$1589,C836,E$2:E$1589,E836,Q$2:Q$1589,Q836)</f>
        <v/>
      </c>
    </row>
    <row r="837">
      <c r="A837" s="3" t="inlineStr">
        <is>
          <t>compra</t>
        </is>
      </c>
      <c r="B837" s="3" t="inlineStr">
        <is>
          <t>ccaa:07</t>
        </is>
      </c>
      <c r="C837" s="3" t="inlineStr">
        <is>
          <t>P4</t>
        </is>
      </c>
      <c r="D837" s="3" t="inlineStr">
        <is>
          <t>residuo</t>
        </is>
      </c>
      <c r="E837" s="3" t="inlineStr">
        <is>
          <t>regional_panel</t>
        </is>
      </c>
      <c r="F837" s="3" t="n">
        <v>-5.92429</v>
      </c>
      <c r="G837" s="3" t="n"/>
      <c r="H837" s="3" t="n"/>
      <c r="I837" s="3" t="n">
        <v>0.94242</v>
      </c>
      <c r="J837" s="3" t="n">
        <v>-8.93647</v>
      </c>
      <c r="K837" s="3" t="n">
        <v>-2.94781</v>
      </c>
      <c r="L837" s="3" t="n">
        <v>-11.4704</v>
      </c>
      <c r="M837" s="3" t="n">
        <v>2.0085</v>
      </c>
      <c r="N837" s="3" t="inlineStr">
        <is>
          <t>C4</t>
        </is>
      </c>
      <c r="O837" s="3" t="inlineStr">
        <is>
          <t>no</t>
        </is>
      </c>
      <c r="P837" s="3" t="inlineStr">
        <is>
          <t>no_compite</t>
        </is>
      </c>
      <c r="Q837" s="3" t="inlineStr">
        <is>
          <t>panel_covariables</t>
        </is>
      </c>
      <c r="R837" s="3" t="n"/>
      <c r="S837" s="3" t="inlineStr">
        <is>
          <t>contraste regional (R6); no vota</t>
        </is>
      </c>
      <c r="T837" s="3" t="inlineStr">
        <is>
          <t>output/v8/F5/atribucion_combinada.csv</t>
        </is>
      </c>
      <c r="U837" s="2">
        <f>IF(R837=0,"",F837/R837)</f>
        <v/>
      </c>
      <c r="V837" s="2">
        <f>SUMIFS(F$2:F$1589,A$2:A$1589,A837,C$2:C$1589,C837,E$2:E$1589,E837,Q$2:Q$1589,Q837)</f>
        <v/>
      </c>
    </row>
    <row r="838">
      <c r="A838" s="3" t="inlineStr">
        <is>
          <t>compra</t>
        </is>
      </c>
      <c r="B838" s="3" t="inlineStr">
        <is>
          <t>ccaa:08</t>
        </is>
      </c>
      <c r="C838" s="3" t="inlineStr">
        <is>
          <t>P4</t>
        </is>
      </c>
      <c r="D838" s="3" t="inlineStr">
        <is>
          <t>factor_comun</t>
        </is>
      </c>
      <c r="E838" s="3" t="inlineStr">
        <is>
          <t>regional_panel</t>
        </is>
      </c>
      <c r="F838" s="3" t="n">
        <v>-4.21608</v>
      </c>
      <c r="G838" s="3" t="n"/>
      <c r="H838" s="3" t="n"/>
      <c r="I838" s="3" t="n">
        <v>1.00737</v>
      </c>
      <c r="J838" s="3" t="n">
        <v>-5.07352</v>
      </c>
      <c r="K838" s="3" t="n">
        <v>-2.674</v>
      </c>
      <c r="L838" s="3" t="n">
        <v>-5.88849</v>
      </c>
      <c r="M838" s="3" t="n">
        <v>-1.76843</v>
      </c>
      <c r="N838" s="3" t="inlineStr">
        <is>
          <t>C4</t>
        </is>
      </c>
      <c r="O838" s="3" t="inlineStr">
        <is>
          <t>no</t>
        </is>
      </c>
      <c r="P838" s="3" t="inlineStr">
        <is>
          <t>no_compite</t>
        </is>
      </c>
      <c r="Q838" s="3" t="inlineStr">
        <is>
          <t>panel_covariables</t>
        </is>
      </c>
      <c r="R838" s="3" t="n"/>
      <c r="S838" s="3" t="inlineStr">
        <is>
          <t>contraste regional (R6); no vota</t>
        </is>
      </c>
      <c r="T838" s="3" t="inlineStr">
        <is>
          <t>output/v8/F5/atribucion_combinada.csv</t>
        </is>
      </c>
      <c r="U838" s="2">
        <f>IF(R838=0,"",F838/R838)</f>
        <v/>
      </c>
      <c r="V838" s="2">
        <f>SUMIFS(F$2:F$1589,A$2:A$1589,A838,C$2:C$1589,C838,E$2:E$1589,E838,Q$2:Q$1589,Q838)</f>
        <v/>
      </c>
    </row>
    <row r="839">
      <c r="A839" s="3" t="inlineStr">
        <is>
          <t>compra</t>
        </is>
      </c>
      <c r="B839" s="3" t="inlineStr">
        <is>
          <t>ccaa:08</t>
        </is>
      </c>
      <c r="C839" s="3" t="inlineStr">
        <is>
          <t>P4</t>
        </is>
      </c>
      <c r="D839" s="3" t="inlineStr">
        <is>
          <t>empleo_renta</t>
        </is>
      </c>
      <c r="E839" s="3" t="inlineStr">
        <is>
          <t>regional_panel</t>
        </is>
      </c>
      <c r="F839" s="3" t="n">
        <v>0.424511</v>
      </c>
      <c r="G839" s="3" t="n"/>
      <c r="H839" s="3" t="n"/>
      <c r="I839" s="3" t="n">
        <v>-0.10143</v>
      </c>
      <c r="J839" s="3" t="n">
        <v>-0.0558549</v>
      </c>
      <c r="K839" s="3" t="n">
        <v>0.951406</v>
      </c>
      <c r="L839" s="3" t="n">
        <v>-0.285027</v>
      </c>
      <c r="M839" s="3" t="n">
        <v>1.17732</v>
      </c>
      <c r="N839" s="3" t="inlineStr">
        <is>
          <t>C4</t>
        </is>
      </c>
      <c r="O839" s="3" t="inlineStr">
        <is>
          <t>si</t>
        </is>
      </c>
      <c r="P839" s="3" t="inlineStr">
        <is>
          <t>no_vota</t>
        </is>
      </c>
      <c r="Q839" s="3" t="inlineStr">
        <is>
          <t>panel_covariables</t>
        </is>
      </c>
      <c r="R839" s="3" t="n"/>
      <c r="S839" s="3" t="inlineStr">
        <is>
          <t>contraste regional (R6); no vota</t>
        </is>
      </c>
      <c r="T839" s="3" t="inlineStr">
        <is>
          <t>output/v8/F5/atribucion_combinada.csv</t>
        </is>
      </c>
      <c r="U839" s="2">
        <f>IF(R839=0,"",F839/R839)</f>
        <v/>
      </c>
      <c r="V839" s="2">
        <f>SUMIFS(F$2:F$1589,A$2:A$1589,A839,C$2:C$1589,C839,E$2:E$1589,E839,Q$2:Q$1589,Q839)</f>
        <v/>
      </c>
    </row>
    <row r="840">
      <c r="A840" s="3" t="inlineStr">
        <is>
          <t>compra</t>
        </is>
      </c>
      <c r="B840" s="3" t="inlineStr">
        <is>
          <t>ccaa:08</t>
        </is>
      </c>
      <c r="C840" s="3" t="inlineStr">
        <is>
          <t>P4</t>
        </is>
      </c>
      <c r="D840" s="3" t="inlineStr">
        <is>
          <t>demografia</t>
        </is>
      </c>
      <c r="E840" s="3" t="inlineStr">
        <is>
          <t>regional_panel</t>
        </is>
      </c>
      <c r="F840" s="3" t="n">
        <v>1.41865</v>
      </c>
      <c r="G840" s="3" t="n"/>
      <c r="H840" s="3" t="n"/>
      <c r="I840" s="3" t="n">
        <v>-0.338964</v>
      </c>
      <c r="J840" s="3" t="n">
        <v>0.599969</v>
      </c>
      <c r="K840" s="3" t="n">
        <v>1.8925</v>
      </c>
      <c r="L840" s="3" t="n">
        <v>-0.452951</v>
      </c>
      <c r="M840" s="3" t="n">
        <v>2.15182</v>
      </c>
      <c r="N840" s="3" t="inlineStr">
        <is>
          <t>C4</t>
        </is>
      </c>
      <c r="O840" s="3" t="inlineStr">
        <is>
          <t>si</t>
        </is>
      </c>
      <c r="P840" s="3" t="inlineStr">
        <is>
          <t>no_vota</t>
        </is>
      </c>
      <c r="Q840" s="3" t="inlineStr">
        <is>
          <t>panel_covariables</t>
        </is>
      </c>
      <c r="R840" s="3" t="n"/>
      <c r="S840" s="3" t="inlineStr">
        <is>
          <t>contraste regional (R6); no vota</t>
        </is>
      </c>
      <c r="T840" s="3" t="inlineStr">
        <is>
          <t>output/v8/F5/atribucion_combinada.csv</t>
        </is>
      </c>
      <c r="U840" s="2">
        <f>IF(R840=0,"",F840/R840)</f>
        <v/>
      </c>
      <c r="V840" s="2">
        <f>SUMIFS(F$2:F$1589,A$2:A$1589,A840,C$2:C$1589,C840,E$2:E$1589,E840,Q$2:Q$1589,Q840)</f>
        <v/>
      </c>
    </row>
    <row r="841">
      <c r="A841" s="3" t="inlineStr">
        <is>
          <t>compra</t>
        </is>
      </c>
      <c r="B841" s="3" t="inlineStr">
        <is>
          <t>ccaa:08</t>
        </is>
      </c>
      <c r="C841" s="3" t="inlineStr">
        <is>
          <t>P4</t>
        </is>
      </c>
      <c r="D841" s="3" t="inlineStr">
        <is>
          <t>oferta</t>
        </is>
      </c>
      <c r="E841" s="3" t="inlineStr">
        <is>
          <t>regional_panel</t>
        </is>
      </c>
      <c r="F841" s="3" t="n">
        <v>0.0580586</v>
      </c>
      <c r="G841" s="3" t="n"/>
      <c r="H841" s="3" t="n"/>
      <c r="I841" s="3" t="n">
        <v>-0.0138722</v>
      </c>
      <c r="J841" s="3" t="n">
        <v>0.000412163</v>
      </c>
      <c r="K841" s="3" t="n">
        <v>0.100915</v>
      </c>
      <c r="L841" s="3" t="n">
        <v>-0.0380565</v>
      </c>
      <c r="M841" s="3" t="n">
        <v>0.143868</v>
      </c>
      <c r="N841" s="3" t="inlineStr">
        <is>
          <t>C4</t>
        </is>
      </c>
      <c r="O841" s="3" t="inlineStr">
        <is>
          <t>si</t>
        </is>
      </c>
      <c r="P841" s="3" t="inlineStr">
        <is>
          <t>no_vota</t>
        </is>
      </c>
      <c r="Q841" s="3" t="inlineStr">
        <is>
          <t>panel_covariables</t>
        </is>
      </c>
      <c r="R841" s="3" t="n"/>
      <c r="S841" s="3" t="inlineStr">
        <is>
          <t>contraste regional (R6); no vota</t>
        </is>
      </c>
      <c r="T841" s="3" t="inlineStr">
        <is>
          <t>output/v8/F5/atribucion_combinada.csv</t>
        </is>
      </c>
      <c r="U841" s="2">
        <f>IF(R841=0,"",F841/R841)</f>
        <v/>
      </c>
      <c r="V841" s="2">
        <f>SUMIFS(F$2:F$1589,A$2:A$1589,A841,C$2:C$1589,C841,E$2:E$1589,E841,Q$2:Q$1589,Q841)</f>
        <v/>
      </c>
    </row>
    <row r="842">
      <c r="A842" s="3" t="inlineStr">
        <is>
          <t>compra</t>
        </is>
      </c>
      <c r="B842" s="3" t="inlineStr">
        <is>
          <t>ccaa:08</t>
        </is>
      </c>
      <c r="C842" s="3" t="inlineStr">
        <is>
          <t>P4</t>
        </is>
      </c>
      <c r="D842" s="3" t="inlineStr">
        <is>
          <t>demanda_externa</t>
        </is>
      </c>
      <c r="E842" s="3" t="inlineStr">
        <is>
          <t>regional_panel</t>
        </is>
      </c>
      <c r="F842" s="3" t="n">
        <v>0.147326</v>
      </c>
      <c r="G842" s="3" t="n"/>
      <c r="H842" s="3" t="n"/>
      <c r="I842" s="3" t="n">
        <v>-0.0352012</v>
      </c>
      <c r="J842" s="3" t="n">
        <v>-0.06931909999999999</v>
      </c>
      <c r="K842" s="3" t="n">
        <v>0.24577</v>
      </c>
      <c r="L842" s="3" t="n">
        <v>-0.243999</v>
      </c>
      <c r="M842" s="3" t="n">
        <v>0.446529</v>
      </c>
      <c r="N842" s="3" t="inlineStr">
        <is>
          <t>C4</t>
        </is>
      </c>
      <c r="O842" s="3" t="inlineStr">
        <is>
          <t>si</t>
        </is>
      </c>
      <c r="P842" s="3" t="inlineStr">
        <is>
          <t>no_vota</t>
        </is>
      </c>
      <c r="Q842" s="3" t="inlineStr">
        <is>
          <t>panel_covariables</t>
        </is>
      </c>
      <c r="R842" s="3" t="n"/>
      <c r="S842" s="3" t="inlineStr">
        <is>
          <t>contraste regional (R6); no vota</t>
        </is>
      </c>
      <c r="T842" s="3" t="inlineStr">
        <is>
          <t>output/v8/F5/atribucion_combinada.csv</t>
        </is>
      </c>
      <c r="U842" s="2">
        <f>IF(R842=0,"",F842/R842)</f>
        <v/>
      </c>
      <c r="V842" s="2">
        <f>SUMIFS(F$2:F$1589,A$2:A$1589,A842,C$2:C$1589,C842,E$2:E$1589,E842,Q$2:Q$1589,Q842)</f>
        <v/>
      </c>
    </row>
    <row r="843">
      <c r="A843" s="3" t="inlineStr">
        <is>
          <t>compra</t>
        </is>
      </c>
      <c r="B843" s="3" t="inlineStr">
        <is>
          <t>ccaa:08</t>
        </is>
      </c>
      <c r="C843" s="3" t="inlineStr">
        <is>
          <t>P4</t>
        </is>
      </c>
      <c r="D843" s="3" t="inlineStr">
        <is>
          <t>residuo</t>
        </is>
      </c>
      <c r="E843" s="3" t="inlineStr">
        <is>
          <t>regional_panel</t>
        </is>
      </c>
      <c r="F843" s="3" t="n">
        <v>-2.01771</v>
      </c>
      <c r="G843" s="3" t="n"/>
      <c r="H843" s="3" t="n"/>
      <c r="I843" s="3" t="n">
        <v>0.4821</v>
      </c>
      <c r="J843" s="3" t="n">
        <v>-3.60005</v>
      </c>
      <c r="K843" s="3" t="n">
        <v>-0.322271</v>
      </c>
      <c r="L843" s="3" t="n">
        <v>-4.36057</v>
      </c>
      <c r="M843" s="3" t="n">
        <v>1.39924</v>
      </c>
      <c r="N843" s="3" t="inlineStr">
        <is>
          <t>C4</t>
        </is>
      </c>
      <c r="O843" s="3" t="inlineStr">
        <is>
          <t>no</t>
        </is>
      </c>
      <c r="P843" s="3" t="inlineStr">
        <is>
          <t>no_compite</t>
        </is>
      </c>
      <c r="Q843" s="3" t="inlineStr">
        <is>
          <t>panel_covariables</t>
        </is>
      </c>
      <c r="R843" s="3" t="n"/>
      <c r="S843" s="3" t="inlineStr">
        <is>
          <t>contraste regional (R6); no vota</t>
        </is>
      </c>
      <c r="T843" s="3" t="inlineStr">
        <is>
          <t>output/v8/F5/atribucion_combinada.csv</t>
        </is>
      </c>
      <c r="U843" s="2">
        <f>IF(R843=0,"",F843/R843)</f>
        <v/>
      </c>
      <c r="V843" s="2">
        <f>SUMIFS(F$2:F$1589,A$2:A$1589,A843,C$2:C$1589,C843,E$2:E$1589,E843,Q$2:Q$1589,Q843)</f>
        <v/>
      </c>
    </row>
    <row r="844">
      <c r="A844" s="3" t="inlineStr">
        <is>
          <t>compra</t>
        </is>
      </c>
      <c r="B844" s="3" t="inlineStr">
        <is>
          <t>ccaa:09</t>
        </is>
      </c>
      <c r="C844" s="3" t="inlineStr">
        <is>
          <t>P4</t>
        </is>
      </c>
      <c r="D844" s="3" t="inlineStr">
        <is>
          <t>factor_comun</t>
        </is>
      </c>
      <c r="E844" s="3" t="inlineStr">
        <is>
          <t>regional_panel</t>
        </is>
      </c>
      <c r="F844" s="3" t="n">
        <v>-4.21608</v>
      </c>
      <c r="G844" s="3" t="n"/>
      <c r="H844" s="3" t="n"/>
      <c r="I844" s="3" t="n">
        <v>1.39408</v>
      </c>
      <c r="J844" s="3" t="n">
        <v>-5.07352</v>
      </c>
      <c r="K844" s="3" t="n">
        <v>-2.674</v>
      </c>
      <c r="L844" s="3" t="n">
        <v>-5.88849</v>
      </c>
      <c r="M844" s="3" t="n">
        <v>-1.76843</v>
      </c>
      <c r="N844" s="3" t="inlineStr">
        <is>
          <t>C4</t>
        </is>
      </c>
      <c r="O844" s="3" t="inlineStr">
        <is>
          <t>no</t>
        </is>
      </c>
      <c r="P844" s="3" t="inlineStr">
        <is>
          <t>no_compite</t>
        </is>
      </c>
      <c r="Q844" s="3" t="inlineStr">
        <is>
          <t>panel_covariables</t>
        </is>
      </c>
      <c r="R844" s="3" t="n"/>
      <c r="S844" s="3" t="inlineStr">
        <is>
          <t>contraste regional (R6); no vota</t>
        </is>
      </c>
      <c r="T844" s="3" t="inlineStr">
        <is>
          <t>output/v8/F5/atribucion_combinada.csv</t>
        </is>
      </c>
      <c r="U844" s="2">
        <f>IF(R844=0,"",F844/R844)</f>
        <v/>
      </c>
      <c r="V844" s="2">
        <f>SUMIFS(F$2:F$1589,A$2:A$1589,A844,C$2:C$1589,C844,E$2:E$1589,E844,Q$2:Q$1589,Q844)</f>
        <v/>
      </c>
    </row>
    <row r="845">
      <c r="A845" s="3" t="inlineStr">
        <is>
          <t>compra</t>
        </is>
      </c>
      <c r="B845" s="3" t="inlineStr">
        <is>
          <t>ccaa:09</t>
        </is>
      </c>
      <c r="C845" s="3" t="inlineStr">
        <is>
          <t>P4</t>
        </is>
      </c>
      <c r="D845" s="3" t="inlineStr">
        <is>
          <t>empleo_renta</t>
        </is>
      </c>
      <c r="E845" s="3" t="inlineStr">
        <is>
          <t>regional_panel</t>
        </is>
      </c>
      <c r="F845" s="3" t="n">
        <v>-0.00280055</v>
      </c>
      <c r="G845" s="3" t="n"/>
      <c r="H845" s="3" t="n"/>
      <c r="I845" s="3" t="n">
        <v>0.000926022</v>
      </c>
      <c r="J845" s="3" t="n">
        <v>-0.6832589999999999</v>
      </c>
      <c r="K845" s="3" t="n">
        <v>0.680796</v>
      </c>
      <c r="L845" s="3" t="n">
        <v>-1.03336</v>
      </c>
      <c r="M845" s="3" t="n">
        <v>0.8949279999999999</v>
      </c>
      <c r="N845" s="3" t="inlineStr">
        <is>
          <t>C4</t>
        </is>
      </c>
      <c r="O845" s="3" t="inlineStr">
        <is>
          <t>si</t>
        </is>
      </c>
      <c r="P845" s="3" t="inlineStr">
        <is>
          <t>no_vota</t>
        </is>
      </c>
      <c r="Q845" s="3" t="inlineStr">
        <is>
          <t>panel_covariables</t>
        </is>
      </c>
      <c r="R845" s="3" t="n"/>
      <c r="S845" s="3" t="inlineStr">
        <is>
          <t>contraste regional (R6); no vota</t>
        </is>
      </c>
      <c r="T845" s="3" t="inlineStr">
        <is>
          <t>output/v8/F5/atribucion_combinada.csv</t>
        </is>
      </c>
      <c r="U845" s="2">
        <f>IF(R845=0,"",F845/R845)</f>
        <v/>
      </c>
      <c r="V845" s="2">
        <f>SUMIFS(F$2:F$1589,A$2:A$1589,A845,C$2:C$1589,C845,E$2:E$1589,E845,Q$2:Q$1589,Q845)</f>
        <v/>
      </c>
    </row>
    <row r="846">
      <c r="A846" s="3" t="inlineStr">
        <is>
          <t>compra</t>
        </is>
      </c>
      <c r="B846" s="3" t="inlineStr">
        <is>
          <t>ccaa:09</t>
        </is>
      </c>
      <c r="C846" s="3" t="inlineStr">
        <is>
          <t>P4</t>
        </is>
      </c>
      <c r="D846" s="3" t="inlineStr">
        <is>
          <t>demografia</t>
        </is>
      </c>
      <c r="E846" s="3" t="inlineStr">
        <is>
          <t>regional_panel</t>
        </is>
      </c>
      <c r="F846" s="3" t="n">
        <v>0.688137</v>
      </c>
      <c r="G846" s="3" t="n"/>
      <c r="H846" s="3" t="n"/>
      <c r="I846" s="3" t="n">
        <v>-0.227538</v>
      </c>
      <c r="J846" s="3" t="n">
        <v>-0.0750203</v>
      </c>
      <c r="K846" s="3" t="n">
        <v>1.27772</v>
      </c>
      <c r="L846" s="3" t="n">
        <v>-0.766687</v>
      </c>
      <c r="M846" s="3" t="n">
        <v>2.19685</v>
      </c>
      <c r="N846" s="3" t="inlineStr">
        <is>
          <t>C4</t>
        </is>
      </c>
      <c r="O846" s="3" t="inlineStr">
        <is>
          <t>si</t>
        </is>
      </c>
      <c r="P846" s="3" t="inlineStr">
        <is>
          <t>no_vota</t>
        </is>
      </c>
      <c r="Q846" s="3" t="inlineStr">
        <is>
          <t>panel_covariables</t>
        </is>
      </c>
      <c r="R846" s="3" t="n"/>
      <c r="S846" s="3" t="inlineStr">
        <is>
          <t>contraste regional (R6); no vota</t>
        </is>
      </c>
      <c r="T846" s="3" t="inlineStr">
        <is>
          <t>output/v8/F5/atribucion_combinada.csv</t>
        </is>
      </c>
      <c r="U846" s="2">
        <f>IF(R846=0,"",F846/R846)</f>
        <v/>
      </c>
      <c r="V846" s="2">
        <f>SUMIFS(F$2:F$1589,A$2:A$1589,A846,C$2:C$1589,C846,E$2:E$1589,E846,Q$2:Q$1589,Q846)</f>
        <v/>
      </c>
    </row>
    <row r="847">
      <c r="A847" s="3" t="inlineStr">
        <is>
          <t>compra</t>
        </is>
      </c>
      <c r="B847" s="3" t="inlineStr">
        <is>
          <t>ccaa:09</t>
        </is>
      </c>
      <c r="C847" s="3" t="inlineStr">
        <is>
          <t>P4</t>
        </is>
      </c>
      <c r="D847" s="3" t="inlineStr">
        <is>
          <t>oferta</t>
        </is>
      </c>
      <c r="E847" s="3" t="inlineStr">
        <is>
          <t>regional_panel</t>
        </is>
      </c>
      <c r="F847" s="3" t="n">
        <v>-0.0156651</v>
      </c>
      <c r="G847" s="3" t="n"/>
      <c r="H847" s="3" t="n"/>
      <c r="I847" s="3" t="n">
        <v>0.00517978</v>
      </c>
      <c r="J847" s="3" t="n">
        <v>-0.0919909</v>
      </c>
      <c r="K847" s="3" t="n">
        <v>0.014348</v>
      </c>
      <c r="L847" s="3" t="n">
        <v>-0.201578</v>
      </c>
      <c r="M847" s="3" t="n">
        <v>0.0598807</v>
      </c>
      <c r="N847" s="3" t="inlineStr">
        <is>
          <t>C4</t>
        </is>
      </c>
      <c r="O847" s="3" t="inlineStr">
        <is>
          <t>si</t>
        </is>
      </c>
      <c r="P847" s="3" t="inlineStr">
        <is>
          <t>no_vota</t>
        </is>
      </c>
      <c r="Q847" s="3" t="inlineStr">
        <is>
          <t>panel_covariables</t>
        </is>
      </c>
      <c r="R847" s="3" t="n"/>
      <c r="S847" s="3" t="inlineStr">
        <is>
          <t>contraste regional (R6); no vota</t>
        </is>
      </c>
      <c r="T847" s="3" t="inlineStr">
        <is>
          <t>output/v8/F5/atribucion_combinada.csv</t>
        </is>
      </c>
      <c r="U847" s="2">
        <f>IF(R847=0,"",F847/R847)</f>
        <v/>
      </c>
      <c r="V847" s="2">
        <f>SUMIFS(F$2:F$1589,A$2:A$1589,A847,C$2:C$1589,C847,E$2:E$1589,E847,Q$2:Q$1589,Q847)</f>
        <v/>
      </c>
    </row>
    <row r="848">
      <c r="A848" s="3" t="inlineStr">
        <is>
          <t>compra</t>
        </is>
      </c>
      <c r="B848" s="3" t="inlineStr">
        <is>
          <t>ccaa:09</t>
        </is>
      </c>
      <c r="C848" s="3" t="inlineStr">
        <is>
          <t>P4</t>
        </is>
      </c>
      <c r="D848" s="3" t="inlineStr">
        <is>
          <t>demanda_externa</t>
        </is>
      </c>
      <c r="E848" s="3" t="inlineStr">
        <is>
          <t>regional_panel</t>
        </is>
      </c>
      <c r="F848" s="3" t="n">
        <v>0.115262</v>
      </c>
      <c r="G848" s="3" t="n"/>
      <c r="H848" s="3" t="n"/>
      <c r="I848" s="3" t="n">
        <v>-0.0381122</v>
      </c>
      <c r="J848" s="3" t="n">
        <v>-0.09698759999999999</v>
      </c>
      <c r="K848" s="3" t="n">
        <v>0.203317</v>
      </c>
      <c r="L848" s="3" t="n">
        <v>-0.254617</v>
      </c>
      <c r="M848" s="3" t="n">
        <v>0.392494</v>
      </c>
      <c r="N848" s="3" t="inlineStr">
        <is>
          <t>C4</t>
        </is>
      </c>
      <c r="O848" s="3" t="inlineStr">
        <is>
          <t>si</t>
        </is>
      </c>
      <c r="P848" s="3" t="inlineStr">
        <is>
          <t>no_vota</t>
        </is>
      </c>
      <c r="Q848" s="3" t="inlineStr">
        <is>
          <t>panel_covariables</t>
        </is>
      </c>
      <c r="R848" s="3" t="n"/>
      <c r="S848" s="3" t="inlineStr">
        <is>
          <t>contraste regional (R6); no vota</t>
        </is>
      </c>
      <c r="T848" s="3" t="inlineStr">
        <is>
          <t>output/v8/F5/atribucion_combinada.csv</t>
        </is>
      </c>
      <c r="U848" s="2">
        <f>IF(R848=0,"",F848/R848)</f>
        <v/>
      </c>
      <c r="V848" s="2">
        <f>SUMIFS(F$2:F$1589,A$2:A$1589,A848,C$2:C$1589,C848,E$2:E$1589,E848,Q$2:Q$1589,Q848)</f>
        <v/>
      </c>
    </row>
    <row r="849">
      <c r="A849" s="3" t="inlineStr">
        <is>
          <t>compra</t>
        </is>
      </c>
      <c r="B849" s="3" t="inlineStr">
        <is>
          <t>ccaa:09</t>
        </is>
      </c>
      <c r="C849" s="3" t="inlineStr">
        <is>
          <t>P4</t>
        </is>
      </c>
      <c r="D849" s="3" t="inlineStr">
        <is>
          <t>residuo</t>
        </is>
      </c>
      <c r="E849" s="3" t="inlineStr">
        <is>
          <t>regional_panel</t>
        </is>
      </c>
      <c r="F849" s="3" t="n">
        <v>0.406875</v>
      </c>
      <c r="G849" s="3" t="n"/>
      <c r="H849" s="3" t="n"/>
      <c r="I849" s="3" t="n">
        <v>-0.134536</v>
      </c>
      <c r="J849" s="3" t="n">
        <v>-0.592875</v>
      </c>
      <c r="K849" s="3" t="n">
        <v>1.60998</v>
      </c>
      <c r="L849" s="3" t="n">
        <v>-1.84287</v>
      </c>
      <c r="M849" s="3" t="n">
        <v>2.12885</v>
      </c>
      <c r="N849" s="3" t="inlineStr">
        <is>
          <t>C4</t>
        </is>
      </c>
      <c r="O849" s="3" t="inlineStr">
        <is>
          <t>no</t>
        </is>
      </c>
      <c r="P849" s="3" t="inlineStr">
        <is>
          <t>no_compite</t>
        </is>
      </c>
      <c r="Q849" s="3" t="inlineStr">
        <is>
          <t>panel_covariables</t>
        </is>
      </c>
      <c r="R849" s="3" t="n"/>
      <c r="S849" s="3" t="inlineStr">
        <is>
          <t>contraste regional (R6); no vota</t>
        </is>
      </c>
      <c r="T849" s="3" t="inlineStr">
        <is>
          <t>output/v8/F5/atribucion_combinada.csv</t>
        </is>
      </c>
      <c r="U849" s="2">
        <f>IF(R849=0,"",F849/R849)</f>
        <v/>
      </c>
      <c r="V849" s="2">
        <f>SUMIFS(F$2:F$1589,A$2:A$1589,A849,C$2:C$1589,C849,E$2:E$1589,E849,Q$2:Q$1589,Q849)</f>
        <v/>
      </c>
    </row>
    <row r="850">
      <c r="A850" s="3" t="inlineStr">
        <is>
          <t>compra</t>
        </is>
      </c>
      <c r="B850" s="3" t="inlineStr">
        <is>
          <t>ccaa:10</t>
        </is>
      </c>
      <c r="C850" s="3" t="inlineStr">
        <is>
          <t>P4</t>
        </is>
      </c>
      <c r="D850" s="3" t="inlineStr">
        <is>
          <t>factor_comun</t>
        </is>
      </c>
      <c r="E850" s="3" t="inlineStr">
        <is>
          <t>regional_panel</t>
        </is>
      </c>
      <c r="F850" s="3" t="n">
        <v>-4.21608</v>
      </c>
      <c r="G850" s="3" t="n"/>
      <c r="H850" s="3" t="n"/>
      <c r="I850" s="3" t="n">
        <v>5.44754</v>
      </c>
      <c r="J850" s="3" t="n">
        <v>-5.07352</v>
      </c>
      <c r="K850" s="3" t="n">
        <v>-2.674</v>
      </c>
      <c r="L850" s="3" t="n">
        <v>-5.88849</v>
      </c>
      <c r="M850" s="3" t="n">
        <v>-1.76843</v>
      </c>
      <c r="N850" s="3" t="inlineStr">
        <is>
          <t>C4</t>
        </is>
      </c>
      <c r="O850" s="3" t="inlineStr">
        <is>
          <t>no</t>
        </is>
      </c>
      <c r="P850" s="3" t="inlineStr">
        <is>
          <t>no_compite</t>
        </is>
      </c>
      <c r="Q850" s="3" t="inlineStr">
        <is>
          <t>panel_covariables</t>
        </is>
      </c>
      <c r="R850" s="3" t="n"/>
      <c r="S850" s="3" t="inlineStr">
        <is>
          <t>contraste regional (R6); no vota</t>
        </is>
      </c>
      <c r="T850" s="3" t="inlineStr">
        <is>
          <t>output/v8/F5/atribucion_combinada.csv</t>
        </is>
      </c>
      <c r="U850" s="2">
        <f>IF(R850=0,"",F850/R850)</f>
        <v/>
      </c>
      <c r="V850" s="2">
        <f>SUMIFS(F$2:F$1589,A$2:A$1589,A850,C$2:C$1589,C850,E$2:E$1589,E850,Q$2:Q$1589,Q850)</f>
        <v/>
      </c>
    </row>
    <row r="851">
      <c r="A851" s="3" t="inlineStr">
        <is>
          <t>compra</t>
        </is>
      </c>
      <c r="B851" s="3" t="inlineStr">
        <is>
          <t>ccaa:10</t>
        </is>
      </c>
      <c r="C851" s="3" t="inlineStr">
        <is>
          <t>P4</t>
        </is>
      </c>
      <c r="D851" s="3" t="inlineStr">
        <is>
          <t>empleo_renta</t>
        </is>
      </c>
      <c r="E851" s="3" t="inlineStr">
        <is>
          <t>regional_panel</t>
        </is>
      </c>
      <c r="F851" s="3" t="n">
        <v>-0.137407</v>
      </c>
      <c r="G851" s="3" t="n"/>
      <c r="H851" s="3" t="n"/>
      <c r="I851" s="3" t="n">
        <v>0.177542</v>
      </c>
      <c r="J851" s="3" t="n">
        <v>-0.676633</v>
      </c>
      <c r="K851" s="3" t="n">
        <v>0.677952</v>
      </c>
      <c r="L851" s="3" t="n">
        <v>-1.0255</v>
      </c>
      <c r="M851" s="3" t="n">
        <v>0.950962</v>
      </c>
      <c r="N851" s="3" t="inlineStr">
        <is>
          <t>C4</t>
        </is>
      </c>
      <c r="O851" s="3" t="inlineStr">
        <is>
          <t>si</t>
        </is>
      </c>
      <c r="P851" s="3" t="inlineStr">
        <is>
          <t>no_vota</t>
        </is>
      </c>
      <c r="Q851" s="3" t="inlineStr">
        <is>
          <t>panel_covariables</t>
        </is>
      </c>
      <c r="R851" s="3" t="n"/>
      <c r="S851" s="3" t="inlineStr">
        <is>
          <t>contraste regional (R6); no vota</t>
        </is>
      </c>
      <c r="T851" s="3" t="inlineStr">
        <is>
          <t>output/v8/F5/atribucion_combinada.csv</t>
        </is>
      </c>
      <c r="U851" s="2">
        <f>IF(R851=0,"",F851/R851)</f>
        <v/>
      </c>
      <c r="V851" s="2">
        <f>SUMIFS(F$2:F$1589,A$2:A$1589,A851,C$2:C$1589,C851,E$2:E$1589,E851,Q$2:Q$1589,Q851)</f>
        <v/>
      </c>
    </row>
    <row r="852">
      <c r="A852" s="3" t="inlineStr">
        <is>
          <t>compra</t>
        </is>
      </c>
      <c r="B852" s="3" t="inlineStr">
        <is>
          <t>ccaa:10</t>
        </is>
      </c>
      <c r="C852" s="3" t="inlineStr">
        <is>
          <t>P4</t>
        </is>
      </c>
      <c r="D852" s="3" t="inlineStr">
        <is>
          <t>demografia</t>
        </is>
      </c>
      <c r="E852" s="3" t="inlineStr">
        <is>
          <t>regional_panel</t>
        </is>
      </c>
      <c r="F852" s="3" t="n">
        <v>0.664717</v>
      </c>
      <c r="G852" s="3" t="n"/>
      <c r="H852" s="3" t="n"/>
      <c r="I852" s="3" t="n">
        <v>-0.858872</v>
      </c>
      <c r="J852" s="3" t="n">
        <v>-0.388921</v>
      </c>
      <c r="K852" s="3" t="n">
        <v>1.47198</v>
      </c>
      <c r="L852" s="3" t="n">
        <v>-1.51968</v>
      </c>
      <c r="M852" s="3" t="n">
        <v>2.16501</v>
      </c>
      <c r="N852" s="3" t="inlineStr">
        <is>
          <t>C4</t>
        </is>
      </c>
      <c r="O852" s="3" t="inlineStr">
        <is>
          <t>si</t>
        </is>
      </c>
      <c r="P852" s="3" t="inlineStr">
        <is>
          <t>no_vota</t>
        </is>
      </c>
      <c r="Q852" s="3" t="inlineStr">
        <is>
          <t>panel_covariables</t>
        </is>
      </c>
      <c r="R852" s="3" t="n"/>
      <c r="S852" s="3" t="inlineStr">
        <is>
          <t>contraste regional (R6); no vota</t>
        </is>
      </c>
      <c r="T852" s="3" t="inlineStr">
        <is>
          <t>output/v8/F5/atribucion_combinada.csv</t>
        </is>
      </c>
      <c r="U852" s="2">
        <f>IF(R852=0,"",F852/R852)</f>
        <v/>
      </c>
      <c r="V852" s="2">
        <f>SUMIFS(F$2:F$1589,A$2:A$1589,A852,C$2:C$1589,C852,E$2:E$1589,E852,Q$2:Q$1589,Q852)</f>
        <v/>
      </c>
    </row>
    <row r="853">
      <c r="A853" s="3" t="inlineStr">
        <is>
          <t>compra</t>
        </is>
      </c>
      <c r="B853" s="3" t="inlineStr">
        <is>
          <t>ccaa:10</t>
        </is>
      </c>
      <c r="C853" s="3" t="inlineStr">
        <is>
          <t>P4</t>
        </is>
      </c>
      <c r="D853" s="3" t="inlineStr">
        <is>
          <t>oferta</t>
        </is>
      </c>
      <c r="E853" s="3" t="inlineStr">
        <is>
          <t>regional_panel</t>
        </is>
      </c>
      <c r="F853" s="3" t="n">
        <v>-0.0186889</v>
      </c>
      <c r="G853" s="3" t="n"/>
      <c r="H853" s="3" t="n"/>
      <c r="I853" s="3" t="n">
        <v>0.0241477</v>
      </c>
      <c r="J853" s="3" t="n">
        <v>-0.13243</v>
      </c>
      <c r="K853" s="3" t="n">
        <v>0.0323967</v>
      </c>
      <c r="L853" s="3" t="n">
        <v>-0.333239</v>
      </c>
      <c r="M853" s="3" t="n">
        <v>0.0998545</v>
      </c>
      <c r="N853" s="3" t="inlineStr">
        <is>
          <t>C4</t>
        </is>
      </c>
      <c r="O853" s="3" t="inlineStr">
        <is>
          <t>si</t>
        </is>
      </c>
      <c r="P853" s="3" t="inlineStr">
        <is>
          <t>no_vota</t>
        </is>
      </c>
      <c r="Q853" s="3" t="inlineStr">
        <is>
          <t>panel_covariables</t>
        </is>
      </c>
      <c r="R853" s="3" t="n"/>
      <c r="S853" s="3" t="inlineStr">
        <is>
          <t>contraste regional (R6); no vota</t>
        </is>
      </c>
      <c r="T853" s="3" t="inlineStr">
        <is>
          <t>output/v8/F5/atribucion_combinada.csv</t>
        </is>
      </c>
      <c r="U853" s="2">
        <f>IF(R853=0,"",F853/R853)</f>
        <v/>
      </c>
      <c r="V853" s="2">
        <f>SUMIFS(F$2:F$1589,A$2:A$1589,A853,C$2:C$1589,C853,E$2:E$1589,E853,Q$2:Q$1589,Q853)</f>
        <v/>
      </c>
    </row>
    <row r="854">
      <c r="A854" s="3" t="inlineStr">
        <is>
          <t>compra</t>
        </is>
      </c>
      <c r="B854" s="3" t="inlineStr">
        <is>
          <t>ccaa:10</t>
        </is>
      </c>
      <c r="C854" s="3" t="inlineStr">
        <is>
          <t>P4</t>
        </is>
      </c>
      <c r="D854" s="3" t="inlineStr">
        <is>
          <t>demanda_externa</t>
        </is>
      </c>
      <c r="E854" s="3" t="inlineStr">
        <is>
          <t>regional_panel</t>
        </is>
      </c>
      <c r="F854" s="3" t="n">
        <v>0.114623</v>
      </c>
      <c r="G854" s="3" t="n"/>
      <c r="H854" s="3" t="n"/>
      <c r="I854" s="3" t="n">
        <v>-0.148103</v>
      </c>
      <c r="J854" s="3" t="n">
        <v>-0.118066</v>
      </c>
      <c r="K854" s="3" t="n">
        <v>0.216383</v>
      </c>
      <c r="L854" s="3" t="n">
        <v>-0.312389</v>
      </c>
      <c r="M854" s="3" t="n">
        <v>0.43828</v>
      </c>
      <c r="N854" s="3" t="inlineStr">
        <is>
          <t>C4</t>
        </is>
      </c>
      <c r="O854" s="3" t="inlineStr">
        <is>
          <t>si</t>
        </is>
      </c>
      <c r="P854" s="3" t="inlineStr">
        <is>
          <t>no_vota</t>
        </is>
      </c>
      <c r="Q854" s="3" t="inlineStr">
        <is>
          <t>panel_covariables</t>
        </is>
      </c>
      <c r="R854" s="3" t="n"/>
      <c r="S854" s="3" t="inlineStr">
        <is>
          <t>contraste regional (R6); no vota</t>
        </is>
      </c>
      <c r="T854" s="3" t="inlineStr">
        <is>
          <t>output/v8/F5/atribucion_combinada.csv</t>
        </is>
      </c>
      <c r="U854" s="2">
        <f>IF(R854=0,"",F854/R854)</f>
        <v/>
      </c>
      <c r="V854" s="2">
        <f>SUMIFS(F$2:F$1589,A$2:A$1589,A854,C$2:C$1589,C854,E$2:E$1589,E854,Q$2:Q$1589,Q854)</f>
        <v/>
      </c>
    </row>
    <row r="855">
      <c r="A855" s="3" t="inlineStr">
        <is>
          <t>compra</t>
        </is>
      </c>
      <c r="B855" s="3" t="inlineStr">
        <is>
          <t>ccaa:10</t>
        </is>
      </c>
      <c r="C855" s="3" t="inlineStr">
        <is>
          <t>P4</t>
        </is>
      </c>
      <c r="D855" s="3" t="inlineStr">
        <is>
          <t>residuo</t>
        </is>
      </c>
      <c r="E855" s="3" t="inlineStr">
        <is>
          <t>regional_panel</t>
        </is>
      </c>
      <c r="F855" s="3" t="n">
        <v>2.8189</v>
      </c>
      <c r="G855" s="3" t="n"/>
      <c r="H855" s="3" t="n"/>
      <c r="I855" s="3" t="n">
        <v>-3.64226</v>
      </c>
      <c r="J855" s="3" t="n">
        <v>1.75704</v>
      </c>
      <c r="K855" s="3" t="n">
        <v>3.91593</v>
      </c>
      <c r="L855" s="3" t="n">
        <v>0.819089</v>
      </c>
      <c r="M855" s="3" t="n">
        <v>4.51692</v>
      </c>
      <c r="N855" s="3" t="inlineStr">
        <is>
          <t>C4</t>
        </is>
      </c>
      <c r="O855" s="3" t="inlineStr">
        <is>
          <t>no</t>
        </is>
      </c>
      <c r="P855" s="3" t="inlineStr">
        <is>
          <t>no_compite</t>
        </is>
      </c>
      <c r="Q855" s="3" t="inlineStr">
        <is>
          <t>panel_covariables</t>
        </is>
      </c>
      <c r="R855" s="3" t="n"/>
      <c r="S855" s="3" t="inlineStr">
        <is>
          <t>contraste regional (R6); no vota</t>
        </is>
      </c>
      <c r="T855" s="3" t="inlineStr">
        <is>
          <t>output/v8/F5/atribucion_combinada.csv</t>
        </is>
      </c>
      <c r="U855" s="2">
        <f>IF(R855=0,"",F855/R855)</f>
        <v/>
      </c>
      <c r="V855" s="2">
        <f>SUMIFS(F$2:F$1589,A$2:A$1589,A855,C$2:C$1589,C855,E$2:E$1589,E855,Q$2:Q$1589,Q855)</f>
        <v/>
      </c>
    </row>
    <row r="856">
      <c r="A856" s="3" t="inlineStr">
        <is>
          <t>compra</t>
        </is>
      </c>
      <c r="B856" s="3" t="inlineStr">
        <is>
          <t>ccaa:11</t>
        </is>
      </c>
      <c r="C856" s="3" t="inlineStr">
        <is>
          <t>P4</t>
        </is>
      </c>
      <c r="D856" s="3" t="inlineStr">
        <is>
          <t>factor_comun</t>
        </is>
      </c>
      <c r="E856" s="3" t="inlineStr">
        <is>
          <t>regional_panel</t>
        </is>
      </c>
      <c r="F856" s="3" t="n">
        <v>-4.21608</v>
      </c>
      <c r="G856" s="3" t="n"/>
      <c r="H856" s="3" t="n"/>
      <c r="I856" s="3" t="n">
        <v>0.656509</v>
      </c>
      <c r="J856" s="3" t="n">
        <v>-5.07352</v>
      </c>
      <c r="K856" s="3" t="n">
        <v>-2.674</v>
      </c>
      <c r="L856" s="3" t="n">
        <v>-5.88849</v>
      </c>
      <c r="M856" s="3" t="n">
        <v>-1.76843</v>
      </c>
      <c r="N856" s="3" t="inlineStr">
        <is>
          <t>C4</t>
        </is>
      </c>
      <c r="O856" s="3" t="inlineStr">
        <is>
          <t>no</t>
        </is>
      </c>
      <c r="P856" s="3" t="inlineStr">
        <is>
          <t>no_compite</t>
        </is>
      </c>
      <c r="Q856" s="3" t="inlineStr">
        <is>
          <t>panel_covariables</t>
        </is>
      </c>
      <c r="R856" s="3" t="n"/>
      <c r="S856" s="3" t="inlineStr">
        <is>
          <t>contraste regional (R6); no vota</t>
        </is>
      </c>
      <c r="T856" s="3" t="inlineStr">
        <is>
          <t>output/v8/F5/atribucion_combinada.csv</t>
        </is>
      </c>
      <c r="U856" s="2">
        <f>IF(R856=0,"",F856/R856)</f>
        <v/>
      </c>
      <c r="V856" s="2">
        <f>SUMIFS(F$2:F$1589,A$2:A$1589,A856,C$2:C$1589,C856,E$2:E$1589,E856,Q$2:Q$1589,Q856)</f>
        <v/>
      </c>
    </row>
    <row r="857">
      <c r="A857" s="3" t="inlineStr">
        <is>
          <t>compra</t>
        </is>
      </c>
      <c r="B857" s="3" t="inlineStr">
        <is>
          <t>ccaa:11</t>
        </is>
      </c>
      <c r="C857" s="3" t="inlineStr">
        <is>
          <t>P4</t>
        </is>
      </c>
      <c r="D857" s="3" t="inlineStr">
        <is>
          <t>empleo_renta</t>
        </is>
      </c>
      <c r="E857" s="3" t="inlineStr">
        <is>
          <t>regional_panel</t>
        </is>
      </c>
      <c r="F857" s="3" t="n">
        <v>0.773329</v>
      </c>
      <c r="G857" s="3" t="n"/>
      <c r="H857" s="3" t="n"/>
      <c r="I857" s="3" t="n">
        <v>-0.120419</v>
      </c>
      <c r="J857" s="3" t="n">
        <v>0.530578</v>
      </c>
      <c r="K857" s="3" t="n">
        <v>0.986574</v>
      </c>
      <c r="L857" s="3" t="n">
        <v>0.35504</v>
      </c>
      <c r="M857" s="3" t="n">
        <v>1.18105</v>
      </c>
      <c r="N857" s="3" t="inlineStr">
        <is>
          <t>C4</t>
        </is>
      </c>
      <c r="O857" s="3" t="inlineStr">
        <is>
          <t>si</t>
        </is>
      </c>
      <c r="P857" s="3" t="inlineStr">
        <is>
          <t>no_vota</t>
        </is>
      </c>
      <c r="Q857" s="3" t="inlineStr">
        <is>
          <t>panel_covariables</t>
        </is>
      </c>
      <c r="R857" s="3" t="n"/>
      <c r="S857" s="3" t="inlineStr">
        <is>
          <t>contraste regional (R6); no vota</t>
        </is>
      </c>
      <c r="T857" s="3" t="inlineStr">
        <is>
          <t>output/v8/F5/atribucion_combinada.csv</t>
        </is>
      </c>
      <c r="U857" s="2">
        <f>IF(R857=0,"",F857/R857)</f>
        <v/>
      </c>
      <c r="V857" s="2">
        <f>SUMIFS(F$2:F$1589,A$2:A$1589,A857,C$2:C$1589,C857,E$2:E$1589,E857,Q$2:Q$1589,Q857)</f>
        <v/>
      </c>
    </row>
    <row r="858">
      <c r="A858" s="3" t="inlineStr">
        <is>
          <t>compra</t>
        </is>
      </c>
      <c r="B858" s="3" t="inlineStr">
        <is>
          <t>ccaa:11</t>
        </is>
      </c>
      <c r="C858" s="3" t="inlineStr">
        <is>
          <t>P4</t>
        </is>
      </c>
      <c r="D858" s="3" t="inlineStr">
        <is>
          <t>demografia</t>
        </is>
      </c>
      <c r="E858" s="3" t="inlineStr">
        <is>
          <t>regional_panel</t>
        </is>
      </c>
      <c r="F858" s="3" t="n">
        <v>3.04781</v>
      </c>
      <c r="G858" s="3" t="n"/>
      <c r="H858" s="3" t="n"/>
      <c r="I858" s="3" t="n">
        <v>-0.474592</v>
      </c>
      <c r="J858" s="3" t="n">
        <v>0.168493</v>
      </c>
      <c r="K858" s="3" t="n">
        <v>5.45961</v>
      </c>
      <c r="L858" s="3" t="n">
        <v>-3.14562</v>
      </c>
      <c r="M858" s="3" t="n">
        <v>7.88549</v>
      </c>
      <c r="N858" s="3" t="inlineStr">
        <is>
          <t>C4</t>
        </is>
      </c>
      <c r="O858" s="3" t="inlineStr">
        <is>
          <t>si</t>
        </is>
      </c>
      <c r="P858" s="3" t="inlineStr">
        <is>
          <t>no_vota</t>
        </is>
      </c>
      <c r="Q858" s="3" t="inlineStr">
        <is>
          <t>panel_covariables</t>
        </is>
      </c>
      <c r="R858" s="3" t="n"/>
      <c r="S858" s="3" t="inlineStr">
        <is>
          <t>contraste regional (R6); no vota</t>
        </is>
      </c>
      <c r="T858" s="3" t="inlineStr">
        <is>
          <t>output/v8/F5/atribucion_combinada.csv</t>
        </is>
      </c>
      <c r="U858" s="2">
        <f>IF(R858=0,"",F858/R858)</f>
        <v/>
      </c>
      <c r="V858" s="2">
        <f>SUMIFS(F$2:F$1589,A$2:A$1589,A858,C$2:C$1589,C858,E$2:E$1589,E858,Q$2:Q$1589,Q858)</f>
        <v/>
      </c>
    </row>
    <row r="859">
      <c r="A859" s="3" t="inlineStr">
        <is>
          <t>compra</t>
        </is>
      </c>
      <c r="B859" s="3" t="inlineStr">
        <is>
          <t>ccaa:11</t>
        </is>
      </c>
      <c r="C859" s="3" t="inlineStr">
        <is>
          <t>P4</t>
        </is>
      </c>
      <c r="D859" s="3" t="inlineStr">
        <is>
          <t>oferta</t>
        </is>
      </c>
      <c r="E859" s="3" t="inlineStr">
        <is>
          <t>regional_panel</t>
        </is>
      </c>
      <c r="F859" s="3" t="n">
        <v>0.0362015</v>
      </c>
      <c r="G859" s="3" t="n"/>
      <c r="H859" s="3" t="n"/>
      <c r="I859" s="3" t="n">
        <v>-0.00563713</v>
      </c>
      <c r="J859" s="3" t="n">
        <v>-0.0566042</v>
      </c>
      <c r="K859" s="3" t="n">
        <v>0.09183769999999999</v>
      </c>
      <c r="L859" s="3" t="n">
        <v>-0.125169</v>
      </c>
      <c r="M859" s="3" t="n">
        <v>0.143735</v>
      </c>
      <c r="N859" s="3" t="inlineStr">
        <is>
          <t>C4</t>
        </is>
      </c>
      <c r="O859" s="3" t="inlineStr">
        <is>
          <t>si</t>
        </is>
      </c>
      <c r="P859" s="3" t="inlineStr">
        <is>
          <t>no_vota</t>
        </is>
      </c>
      <c r="Q859" s="3" t="inlineStr">
        <is>
          <t>panel_covariables</t>
        </is>
      </c>
      <c r="R859" s="3" t="n"/>
      <c r="S859" s="3" t="inlineStr">
        <is>
          <t>contraste regional (R6); no vota</t>
        </is>
      </c>
      <c r="T859" s="3" t="inlineStr">
        <is>
          <t>output/v8/F5/atribucion_combinada.csv</t>
        </is>
      </c>
      <c r="U859" s="2">
        <f>IF(R859=0,"",F859/R859)</f>
        <v/>
      </c>
      <c r="V859" s="2">
        <f>SUMIFS(F$2:F$1589,A$2:A$1589,A859,C$2:C$1589,C859,E$2:E$1589,E859,Q$2:Q$1589,Q859)</f>
        <v/>
      </c>
    </row>
    <row r="860">
      <c r="A860" s="3" t="inlineStr">
        <is>
          <t>compra</t>
        </is>
      </c>
      <c r="B860" s="3" t="inlineStr">
        <is>
          <t>ccaa:11</t>
        </is>
      </c>
      <c r="C860" s="3" t="inlineStr">
        <is>
          <t>P4</t>
        </is>
      </c>
      <c r="D860" s="3" t="inlineStr">
        <is>
          <t>demanda_externa</t>
        </is>
      </c>
      <c r="E860" s="3" t="inlineStr">
        <is>
          <t>regional_panel</t>
        </is>
      </c>
      <c r="F860" s="3" t="n">
        <v>0.201724</v>
      </c>
      <c r="G860" s="3" t="n"/>
      <c r="H860" s="3" t="n"/>
      <c r="I860" s="3" t="n">
        <v>-0.0314115</v>
      </c>
      <c r="J860" s="3" t="n">
        <v>-0.0140159</v>
      </c>
      <c r="K860" s="3" t="n">
        <v>0.289432</v>
      </c>
      <c r="L860" s="3" t="n">
        <v>-0.235724</v>
      </c>
      <c r="M860" s="3" t="n">
        <v>0.454012</v>
      </c>
      <c r="N860" s="3" t="inlineStr">
        <is>
          <t>C4</t>
        </is>
      </c>
      <c r="O860" s="3" t="inlineStr">
        <is>
          <t>si</t>
        </is>
      </c>
      <c r="P860" s="3" t="inlineStr">
        <is>
          <t>no_vota</t>
        </is>
      </c>
      <c r="Q860" s="3" t="inlineStr">
        <is>
          <t>panel_covariables</t>
        </is>
      </c>
      <c r="R860" s="3" t="n"/>
      <c r="S860" s="3" t="inlineStr">
        <is>
          <t>contraste regional (R6); no vota</t>
        </is>
      </c>
      <c r="T860" s="3" t="inlineStr">
        <is>
          <t>output/v8/F5/atribucion_combinada.csv</t>
        </is>
      </c>
      <c r="U860" s="2">
        <f>IF(R860=0,"",F860/R860)</f>
        <v/>
      </c>
      <c r="V860" s="2">
        <f>SUMIFS(F$2:F$1589,A$2:A$1589,A860,C$2:C$1589,C860,E$2:E$1589,E860,Q$2:Q$1589,Q860)</f>
        <v/>
      </c>
    </row>
    <row r="861">
      <c r="A861" s="3" t="inlineStr">
        <is>
          <t>compra</t>
        </is>
      </c>
      <c r="B861" s="3" t="inlineStr">
        <is>
          <t>ccaa:11</t>
        </is>
      </c>
      <c r="C861" s="3" t="inlineStr">
        <is>
          <t>P4</t>
        </is>
      </c>
      <c r="D861" s="3" t="inlineStr">
        <is>
          <t>residuo</t>
        </is>
      </c>
      <c r="E861" s="3" t="inlineStr">
        <is>
          <t>regional_panel</t>
        </is>
      </c>
      <c r="F861" s="3" t="n">
        <v>-6.26496</v>
      </c>
      <c r="G861" s="3" t="n"/>
      <c r="H861" s="3" t="n"/>
      <c r="I861" s="3" t="n">
        <v>0.97555</v>
      </c>
      <c r="J861" s="3" t="n">
        <v>-8.77765</v>
      </c>
      <c r="K861" s="3" t="n">
        <v>-4.03293</v>
      </c>
      <c r="L861" s="3" t="n">
        <v>-10.9984</v>
      </c>
      <c r="M861" s="3" t="n">
        <v>0.497297</v>
      </c>
      <c r="N861" s="3" t="inlineStr">
        <is>
          <t>C4</t>
        </is>
      </c>
      <c r="O861" s="3" t="inlineStr">
        <is>
          <t>no</t>
        </is>
      </c>
      <c r="P861" s="3" t="inlineStr">
        <is>
          <t>no_compite</t>
        </is>
      </c>
      <c r="Q861" s="3" t="inlineStr">
        <is>
          <t>panel_covariables</t>
        </is>
      </c>
      <c r="R861" s="3" t="n"/>
      <c r="S861" s="3" t="inlineStr">
        <is>
          <t>contraste regional (R6); no vota</t>
        </is>
      </c>
      <c r="T861" s="3" t="inlineStr">
        <is>
          <t>output/v8/F5/atribucion_combinada.csv</t>
        </is>
      </c>
      <c r="U861" s="2">
        <f>IF(R861=0,"",F861/R861)</f>
        <v/>
      </c>
      <c r="V861" s="2">
        <f>SUMIFS(F$2:F$1589,A$2:A$1589,A861,C$2:C$1589,C861,E$2:E$1589,E861,Q$2:Q$1589,Q861)</f>
        <v/>
      </c>
    </row>
    <row r="862">
      <c r="A862" s="3" t="inlineStr">
        <is>
          <t>compra</t>
        </is>
      </c>
      <c r="B862" s="3" t="inlineStr">
        <is>
          <t>ccaa:12</t>
        </is>
      </c>
      <c r="C862" s="3" t="inlineStr">
        <is>
          <t>P4</t>
        </is>
      </c>
      <c r="D862" s="3" t="inlineStr">
        <is>
          <t>factor_comun</t>
        </is>
      </c>
      <c r="E862" s="3" t="inlineStr">
        <is>
          <t>regional_panel</t>
        </is>
      </c>
      <c r="F862" s="3" t="n">
        <v>-4.21608</v>
      </c>
      <c r="G862" s="3" t="n"/>
      <c r="H862" s="3" t="n"/>
      <c r="I862" s="3" t="n">
        <v>1.09178</v>
      </c>
      <c r="J862" s="3" t="n">
        <v>-5.07352</v>
      </c>
      <c r="K862" s="3" t="n">
        <v>-2.674</v>
      </c>
      <c r="L862" s="3" t="n">
        <v>-5.88849</v>
      </c>
      <c r="M862" s="3" t="n">
        <v>-1.76843</v>
      </c>
      <c r="N862" s="3" t="inlineStr">
        <is>
          <t>C4</t>
        </is>
      </c>
      <c r="O862" s="3" t="inlineStr">
        <is>
          <t>no</t>
        </is>
      </c>
      <c r="P862" s="3" t="inlineStr">
        <is>
          <t>no_compite</t>
        </is>
      </c>
      <c r="Q862" s="3" t="inlineStr">
        <is>
          <t>panel_covariables</t>
        </is>
      </c>
      <c r="R862" s="3" t="n"/>
      <c r="S862" s="3" t="inlineStr">
        <is>
          <t>contraste regional (R6); no vota</t>
        </is>
      </c>
      <c r="T862" s="3" t="inlineStr">
        <is>
          <t>output/v8/F5/atribucion_combinada.csv</t>
        </is>
      </c>
      <c r="U862" s="2">
        <f>IF(R862=0,"",F862/R862)</f>
        <v/>
      </c>
      <c r="V862" s="2">
        <f>SUMIFS(F$2:F$1589,A$2:A$1589,A862,C$2:C$1589,C862,E$2:E$1589,E862,Q$2:Q$1589,Q862)</f>
        <v/>
      </c>
    </row>
    <row r="863">
      <c r="A863" s="3" t="inlineStr">
        <is>
          <t>compra</t>
        </is>
      </c>
      <c r="B863" s="3" t="inlineStr">
        <is>
          <t>ccaa:12</t>
        </is>
      </c>
      <c r="C863" s="3" t="inlineStr">
        <is>
          <t>P4</t>
        </is>
      </c>
      <c r="D863" s="3" t="inlineStr">
        <is>
          <t>empleo_renta</t>
        </is>
      </c>
      <c r="E863" s="3" t="inlineStr">
        <is>
          <t>regional_panel</t>
        </is>
      </c>
      <c r="F863" s="3" t="n">
        <v>0.234475</v>
      </c>
      <c r="G863" s="3" t="n"/>
      <c r="H863" s="3" t="n"/>
      <c r="I863" s="3" t="n">
        <v>-0.0607189</v>
      </c>
      <c r="J863" s="3" t="n">
        <v>0.120866</v>
      </c>
      <c r="K863" s="3" t="n">
        <v>0.339271</v>
      </c>
      <c r="L863" s="3" t="n">
        <v>0.0582556</v>
      </c>
      <c r="M863" s="3" t="n">
        <v>0.428768</v>
      </c>
      <c r="N863" s="3" t="inlineStr">
        <is>
          <t>C4</t>
        </is>
      </c>
      <c r="O863" s="3" t="inlineStr">
        <is>
          <t>si</t>
        </is>
      </c>
      <c r="P863" s="3" t="inlineStr">
        <is>
          <t>no_vota</t>
        </is>
      </c>
      <c r="Q863" s="3" t="inlineStr">
        <is>
          <t>panel_covariables</t>
        </is>
      </c>
      <c r="R863" s="3" t="n"/>
      <c r="S863" s="3" t="inlineStr">
        <is>
          <t>contraste regional (R6); no vota</t>
        </is>
      </c>
      <c r="T863" s="3" t="inlineStr">
        <is>
          <t>output/v8/F5/atribucion_combinada.csv</t>
        </is>
      </c>
      <c r="U863" s="2">
        <f>IF(R863=0,"",F863/R863)</f>
        <v/>
      </c>
      <c r="V863" s="2">
        <f>SUMIFS(F$2:F$1589,A$2:A$1589,A863,C$2:C$1589,C863,E$2:E$1589,E863,Q$2:Q$1589,Q863)</f>
        <v/>
      </c>
    </row>
    <row r="864">
      <c r="A864" s="3" t="inlineStr">
        <is>
          <t>compra</t>
        </is>
      </c>
      <c r="B864" s="3" t="inlineStr">
        <is>
          <t>ccaa:12</t>
        </is>
      </c>
      <c r="C864" s="3" t="inlineStr">
        <is>
          <t>P4</t>
        </is>
      </c>
      <c r="D864" s="3" t="inlineStr">
        <is>
          <t>demografia</t>
        </is>
      </c>
      <c r="E864" s="3" t="inlineStr">
        <is>
          <t>regional_panel</t>
        </is>
      </c>
      <c r="F864" s="3" t="n">
        <v>4.07281</v>
      </c>
      <c r="G864" s="3" t="n"/>
      <c r="H864" s="3" t="n"/>
      <c r="I864" s="3" t="n">
        <v>-1.05468</v>
      </c>
      <c r="J864" s="3" t="n">
        <v>0.719458</v>
      </c>
      <c r="K864" s="3" t="n">
        <v>6.97072</v>
      </c>
      <c r="L864" s="3" t="n">
        <v>-2.66675</v>
      </c>
      <c r="M864" s="3" t="n">
        <v>9.66929</v>
      </c>
      <c r="N864" s="3" t="inlineStr">
        <is>
          <t>C4</t>
        </is>
      </c>
      <c r="O864" s="3" t="inlineStr">
        <is>
          <t>si</t>
        </is>
      </c>
      <c r="P864" s="3" t="inlineStr">
        <is>
          <t>no_vota</t>
        </is>
      </c>
      <c r="Q864" s="3" t="inlineStr">
        <is>
          <t>panel_covariables</t>
        </is>
      </c>
      <c r="R864" s="3" t="n"/>
      <c r="S864" s="3" t="inlineStr">
        <is>
          <t>contraste regional (R6); no vota</t>
        </is>
      </c>
      <c r="T864" s="3" t="inlineStr">
        <is>
          <t>output/v8/F5/atribucion_combinada.csv</t>
        </is>
      </c>
      <c r="U864" s="2">
        <f>IF(R864=0,"",F864/R864)</f>
        <v/>
      </c>
      <c r="V864" s="2">
        <f>SUMIFS(F$2:F$1589,A$2:A$1589,A864,C$2:C$1589,C864,E$2:E$1589,E864,Q$2:Q$1589,Q864)</f>
        <v/>
      </c>
    </row>
    <row r="865">
      <c r="A865" s="3" t="inlineStr">
        <is>
          <t>compra</t>
        </is>
      </c>
      <c r="B865" s="3" t="inlineStr">
        <is>
          <t>ccaa:12</t>
        </is>
      </c>
      <c r="C865" s="3" t="inlineStr">
        <is>
          <t>P4</t>
        </is>
      </c>
      <c r="D865" s="3" t="inlineStr">
        <is>
          <t>oferta</t>
        </is>
      </c>
      <c r="E865" s="3" t="inlineStr">
        <is>
          <t>regional_panel</t>
        </is>
      </c>
      <c r="F865" s="3" t="n">
        <v>0.0534832</v>
      </c>
      <c r="G865" s="3" t="n"/>
      <c r="H865" s="3" t="n"/>
      <c r="I865" s="3" t="n">
        <v>-0.0138498</v>
      </c>
      <c r="J865" s="3" t="n">
        <v>-0.0225178</v>
      </c>
      <c r="K865" s="3" t="n">
        <v>0.133405</v>
      </c>
      <c r="L865" s="3" t="n">
        <v>-0.0669353</v>
      </c>
      <c r="M865" s="3" t="n">
        <v>0.217279</v>
      </c>
      <c r="N865" s="3" t="inlineStr">
        <is>
          <t>C4</t>
        </is>
      </c>
      <c r="O865" s="3" t="inlineStr">
        <is>
          <t>si</t>
        </is>
      </c>
      <c r="P865" s="3" t="inlineStr">
        <is>
          <t>no_vota</t>
        </is>
      </c>
      <c r="Q865" s="3" t="inlineStr">
        <is>
          <t>panel_covariables</t>
        </is>
      </c>
      <c r="R865" s="3" t="n"/>
      <c r="S865" s="3" t="inlineStr">
        <is>
          <t>contraste regional (R6); no vota</t>
        </is>
      </c>
      <c r="T865" s="3" t="inlineStr">
        <is>
          <t>output/v8/F5/atribucion_combinada.csv</t>
        </is>
      </c>
      <c r="U865" s="2">
        <f>IF(R865=0,"",F865/R865)</f>
        <v/>
      </c>
      <c r="V865" s="2">
        <f>SUMIFS(F$2:F$1589,A$2:A$1589,A865,C$2:C$1589,C865,E$2:E$1589,E865,Q$2:Q$1589,Q865)</f>
        <v/>
      </c>
    </row>
    <row r="866">
      <c r="A866" s="3" t="inlineStr">
        <is>
          <t>compra</t>
        </is>
      </c>
      <c r="B866" s="3" t="inlineStr">
        <is>
          <t>ccaa:12</t>
        </is>
      </c>
      <c r="C866" s="3" t="inlineStr">
        <is>
          <t>P4</t>
        </is>
      </c>
      <c r="D866" s="3" t="inlineStr">
        <is>
          <t>demanda_externa</t>
        </is>
      </c>
      <c r="E866" s="3" t="inlineStr">
        <is>
          <t>regional_panel</t>
        </is>
      </c>
      <c r="F866" s="3" t="n">
        <v>0.167186</v>
      </c>
      <c r="G866" s="3" t="n"/>
      <c r="H866" s="3" t="n"/>
      <c r="I866" s="3" t="n">
        <v>-0.0432939</v>
      </c>
      <c r="J866" s="3" t="n">
        <v>-0.08239970000000001</v>
      </c>
      <c r="K866" s="3" t="n">
        <v>0.293443</v>
      </c>
      <c r="L866" s="3" t="n">
        <v>-0.312404</v>
      </c>
      <c r="M866" s="3" t="n">
        <v>0.559059</v>
      </c>
      <c r="N866" s="3" t="inlineStr">
        <is>
          <t>C4</t>
        </is>
      </c>
      <c r="O866" s="3" t="inlineStr">
        <is>
          <t>si</t>
        </is>
      </c>
      <c r="P866" s="3" t="inlineStr">
        <is>
          <t>no_vota</t>
        </is>
      </c>
      <c r="Q866" s="3" t="inlineStr">
        <is>
          <t>panel_covariables</t>
        </is>
      </c>
      <c r="R866" s="3" t="n"/>
      <c r="S866" s="3" t="inlineStr">
        <is>
          <t>contraste regional (R6); no vota</t>
        </is>
      </c>
      <c r="T866" s="3" t="inlineStr">
        <is>
          <t>output/v8/F5/atribucion_combinada.csv</t>
        </is>
      </c>
      <c r="U866" s="2">
        <f>IF(R866=0,"",F866/R866)</f>
        <v/>
      </c>
      <c r="V866" s="2">
        <f>SUMIFS(F$2:F$1589,A$2:A$1589,A866,C$2:C$1589,C866,E$2:E$1589,E866,Q$2:Q$1589,Q866)</f>
        <v/>
      </c>
    </row>
    <row r="867">
      <c r="A867" s="3" t="inlineStr">
        <is>
          <t>compra</t>
        </is>
      </c>
      <c r="B867" s="3" t="inlineStr">
        <is>
          <t>ccaa:12</t>
        </is>
      </c>
      <c r="C867" s="3" t="inlineStr">
        <is>
          <t>P4</t>
        </is>
      </c>
      <c r="D867" s="3" t="inlineStr">
        <is>
          <t>residuo</t>
        </is>
      </c>
      <c r="E867" s="3" t="inlineStr">
        <is>
          <t>regional_panel</t>
        </is>
      </c>
      <c r="F867" s="3" t="n">
        <v>-4.17351</v>
      </c>
      <c r="G867" s="3" t="n"/>
      <c r="H867" s="3" t="n"/>
      <c r="I867" s="3" t="n">
        <v>1.08076</v>
      </c>
      <c r="J867" s="3" t="n">
        <v>-7.56265</v>
      </c>
      <c r="K867" s="3" t="n">
        <v>-0.483441</v>
      </c>
      <c r="L867" s="3" t="n">
        <v>-11.8203</v>
      </c>
      <c r="M867" s="3" t="n">
        <v>4.84078</v>
      </c>
      <c r="N867" s="3" t="inlineStr">
        <is>
          <t>C4</t>
        </is>
      </c>
      <c r="O867" s="3" t="inlineStr">
        <is>
          <t>no</t>
        </is>
      </c>
      <c r="P867" s="3" t="inlineStr">
        <is>
          <t>no_compite</t>
        </is>
      </c>
      <c r="Q867" s="3" t="inlineStr">
        <is>
          <t>panel_covariables</t>
        </is>
      </c>
      <c r="R867" s="3" t="n"/>
      <c r="S867" s="3" t="inlineStr">
        <is>
          <t>contraste regional (R6); no vota</t>
        </is>
      </c>
      <c r="T867" s="3" t="inlineStr">
        <is>
          <t>output/v8/F5/atribucion_combinada.csv</t>
        </is>
      </c>
      <c r="U867" s="2">
        <f>IF(R867=0,"",F867/R867)</f>
        <v/>
      </c>
      <c r="V867" s="2">
        <f>SUMIFS(F$2:F$1589,A$2:A$1589,A867,C$2:C$1589,C867,E$2:E$1589,E867,Q$2:Q$1589,Q867)</f>
        <v/>
      </c>
    </row>
    <row r="868">
      <c r="A868" s="3" t="inlineStr">
        <is>
          <t>compra</t>
        </is>
      </c>
      <c r="B868" s="3" t="inlineStr">
        <is>
          <t>ccaa:13</t>
        </is>
      </c>
      <c r="C868" s="3" t="inlineStr">
        <is>
          <t>P4</t>
        </is>
      </c>
      <c r="D868" s="3" t="inlineStr">
        <is>
          <t>factor_comun</t>
        </is>
      </c>
      <c r="E868" s="3" t="inlineStr">
        <is>
          <t>regional_panel</t>
        </is>
      </c>
      <c r="F868" s="3" t="n">
        <v>-4.21608</v>
      </c>
      <c r="G868" s="3" t="n"/>
      <c r="H868" s="3" t="n"/>
      <c r="I868" s="3" t="n">
        <v>7.284</v>
      </c>
      <c r="J868" s="3" t="n">
        <v>-5.07352</v>
      </c>
      <c r="K868" s="3" t="n">
        <v>-2.674</v>
      </c>
      <c r="L868" s="3" t="n">
        <v>-5.88849</v>
      </c>
      <c r="M868" s="3" t="n">
        <v>-1.76843</v>
      </c>
      <c r="N868" s="3" t="inlineStr">
        <is>
          <t>C4</t>
        </is>
      </c>
      <c r="O868" s="3" t="inlineStr">
        <is>
          <t>no</t>
        </is>
      </c>
      <c r="P868" s="3" t="inlineStr">
        <is>
          <t>no_compite</t>
        </is>
      </c>
      <c r="Q868" s="3" t="inlineStr">
        <is>
          <t>panel_covariables</t>
        </is>
      </c>
      <c r="R868" s="3" t="n"/>
      <c r="S868" s="3" t="inlineStr">
        <is>
          <t>contraste regional (R6); no vota</t>
        </is>
      </c>
      <c r="T868" s="3" t="inlineStr">
        <is>
          <t>output/v8/F5/atribucion_combinada.csv</t>
        </is>
      </c>
      <c r="U868" s="2">
        <f>IF(R868=0,"",F868/R868)</f>
        <v/>
      </c>
      <c r="V868" s="2">
        <f>SUMIFS(F$2:F$1589,A$2:A$1589,A868,C$2:C$1589,C868,E$2:E$1589,E868,Q$2:Q$1589,Q868)</f>
        <v/>
      </c>
    </row>
    <row r="869">
      <c r="A869" s="3" t="inlineStr">
        <is>
          <t>compra</t>
        </is>
      </c>
      <c r="B869" s="3" t="inlineStr">
        <is>
          <t>ccaa:13</t>
        </is>
      </c>
      <c r="C869" s="3" t="inlineStr">
        <is>
          <t>P4</t>
        </is>
      </c>
      <c r="D869" s="3" t="inlineStr">
        <is>
          <t>empleo_renta</t>
        </is>
      </c>
      <c r="E869" s="3" t="inlineStr">
        <is>
          <t>regional_panel</t>
        </is>
      </c>
      <c r="F869" s="3" t="n">
        <v>-0.337249</v>
      </c>
      <c r="G869" s="3" t="n"/>
      <c r="H869" s="3" t="n"/>
      <c r="I869" s="3" t="n">
        <v>0.582656</v>
      </c>
      <c r="J869" s="3" t="n">
        <v>-0.952244</v>
      </c>
      <c r="K869" s="3" t="n">
        <v>0.381773</v>
      </c>
      <c r="L869" s="3" t="n">
        <v>-1.27743</v>
      </c>
      <c r="M869" s="3" t="n">
        <v>0.663488</v>
      </c>
      <c r="N869" s="3" t="inlineStr">
        <is>
          <t>C4</t>
        </is>
      </c>
      <c r="O869" s="3" t="inlineStr">
        <is>
          <t>si</t>
        </is>
      </c>
      <c r="P869" s="3" t="inlineStr">
        <is>
          <t>no_vota</t>
        </is>
      </c>
      <c r="Q869" s="3" t="inlineStr">
        <is>
          <t>panel_covariables</t>
        </is>
      </c>
      <c r="R869" s="3" t="n"/>
      <c r="S869" s="3" t="inlineStr">
        <is>
          <t>contraste regional (R6); no vota</t>
        </is>
      </c>
      <c r="T869" s="3" t="inlineStr">
        <is>
          <t>output/v8/F5/atribucion_combinada.csv</t>
        </is>
      </c>
      <c r="U869" s="2">
        <f>IF(R869=0,"",F869/R869)</f>
        <v/>
      </c>
      <c r="V869" s="2">
        <f>SUMIFS(F$2:F$1589,A$2:A$1589,A869,C$2:C$1589,C869,E$2:E$1589,E869,Q$2:Q$1589,Q869)</f>
        <v/>
      </c>
    </row>
    <row r="870">
      <c r="A870" s="3" t="inlineStr">
        <is>
          <t>compra</t>
        </is>
      </c>
      <c r="B870" s="3" t="inlineStr">
        <is>
          <t>ccaa:13</t>
        </is>
      </c>
      <c r="C870" s="3" t="inlineStr">
        <is>
          <t>P4</t>
        </is>
      </c>
      <c r="D870" s="3" t="inlineStr">
        <is>
          <t>demografia</t>
        </is>
      </c>
      <c r="E870" s="3" t="inlineStr">
        <is>
          <t>regional_panel</t>
        </is>
      </c>
      <c r="F870" s="3" t="n">
        <v>1.11341</v>
      </c>
      <c r="G870" s="3" t="n"/>
      <c r="H870" s="3" t="n"/>
      <c r="I870" s="3" t="n">
        <v>-1.92361</v>
      </c>
      <c r="J870" s="3" t="n">
        <v>0.0326985</v>
      </c>
      <c r="K870" s="3" t="n">
        <v>1.61836</v>
      </c>
      <c r="L870" s="3" t="n">
        <v>-0.817253</v>
      </c>
      <c r="M870" s="3" t="n">
        <v>2.35374</v>
      </c>
      <c r="N870" s="3" t="inlineStr">
        <is>
          <t>C4</t>
        </is>
      </c>
      <c r="O870" s="3" t="inlineStr">
        <is>
          <t>si</t>
        </is>
      </c>
      <c r="P870" s="3" t="inlineStr">
        <is>
          <t>no_vota</t>
        </is>
      </c>
      <c r="Q870" s="3" t="inlineStr">
        <is>
          <t>panel_covariables</t>
        </is>
      </c>
      <c r="R870" s="3" t="n"/>
      <c r="S870" s="3" t="inlineStr">
        <is>
          <t>contraste regional (R6); no vota</t>
        </is>
      </c>
      <c r="T870" s="3" t="inlineStr">
        <is>
          <t>output/v8/F5/atribucion_combinada.csv</t>
        </is>
      </c>
      <c r="U870" s="2">
        <f>IF(R870=0,"",F870/R870)</f>
        <v/>
      </c>
      <c r="V870" s="2">
        <f>SUMIFS(F$2:F$1589,A$2:A$1589,A870,C$2:C$1589,C870,E$2:E$1589,E870,Q$2:Q$1589,Q870)</f>
        <v/>
      </c>
    </row>
    <row r="871">
      <c r="A871" s="3" t="inlineStr">
        <is>
          <t>compra</t>
        </is>
      </c>
      <c r="B871" s="3" t="inlineStr">
        <is>
          <t>ccaa:13</t>
        </is>
      </c>
      <c r="C871" s="3" t="inlineStr">
        <is>
          <t>P4</t>
        </is>
      </c>
      <c r="D871" s="3" t="inlineStr">
        <is>
          <t>oferta</t>
        </is>
      </c>
      <c r="E871" s="3" t="inlineStr">
        <is>
          <t>regional_panel</t>
        </is>
      </c>
      <c r="F871" s="3" t="n">
        <v>0.009818260000000001</v>
      </c>
      <c r="G871" s="3" t="n"/>
      <c r="H871" s="3" t="n"/>
      <c r="I871" s="3" t="n">
        <v>-0.0169627</v>
      </c>
      <c r="J871" s="3" t="n">
        <v>-0.0716319</v>
      </c>
      <c r="K871" s="3" t="n">
        <v>0.0537999</v>
      </c>
      <c r="L871" s="3" t="n">
        <v>-0.145365</v>
      </c>
      <c r="M871" s="3" t="n">
        <v>0.100873</v>
      </c>
      <c r="N871" s="3" t="inlineStr">
        <is>
          <t>C4</t>
        </is>
      </c>
      <c r="O871" s="3" t="inlineStr">
        <is>
          <t>si</t>
        </is>
      </c>
      <c r="P871" s="3" t="inlineStr">
        <is>
          <t>no_vota</t>
        </is>
      </c>
      <c r="Q871" s="3" t="inlineStr">
        <is>
          <t>panel_covariables</t>
        </is>
      </c>
      <c r="R871" s="3" t="n"/>
      <c r="S871" s="3" t="inlineStr">
        <is>
          <t>contraste regional (R6); no vota</t>
        </is>
      </c>
      <c r="T871" s="3" t="inlineStr">
        <is>
          <t>output/v8/F5/atribucion_combinada.csv</t>
        </is>
      </c>
      <c r="U871" s="2">
        <f>IF(R871=0,"",F871/R871)</f>
        <v/>
      </c>
      <c r="V871" s="2">
        <f>SUMIFS(F$2:F$1589,A$2:A$1589,A871,C$2:C$1589,C871,E$2:E$1589,E871,Q$2:Q$1589,Q871)</f>
        <v/>
      </c>
    </row>
    <row r="872">
      <c r="A872" s="3" t="inlineStr">
        <is>
          <t>compra</t>
        </is>
      </c>
      <c r="B872" s="3" t="inlineStr">
        <is>
          <t>ccaa:13</t>
        </is>
      </c>
      <c r="C872" s="3" t="inlineStr">
        <is>
          <t>P4</t>
        </is>
      </c>
      <c r="D872" s="3" t="inlineStr">
        <is>
          <t>demanda_externa</t>
        </is>
      </c>
      <c r="E872" s="3" t="inlineStr">
        <is>
          <t>regional_panel</t>
        </is>
      </c>
      <c r="F872" s="3" t="n">
        <v>0.058376</v>
      </c>
      <c r="G872" s="3" t="n"/>
      <c r="H872" s="3" t="n"/>
      <c r="I872" s="3" t="n">
        <v>-0.100855</v>
      </c>
      <c r="J872" s="3" t="n">
        <v>-0.136034</v>
      </c>
      <c r="K872" s="3" t="n">
        <v>0.142816</v>
      </c>
      <c r="L872" s="3" t="n">
        <v>-0.310263</v>
      </c>
      <c r="M872" s="3" t="n">
        <v>0.250096</v>
      </c>
      <c r="N872" s="3" t="inlineStr">
        <is>
          <t>C4</t>
        </is>
      </c>
      <c r="O872" s="3" t="inlineStr">
        <is>
          <t>si</t>
        </is>
      </c>
      <c r="P872" s="3" t="inlineStr">
        <is>
          <t>no_vota</t>
        </is>
      </c>
      <c r="Q872" s="3" t="inlineStr">
        <is>
          <t>panel_covariables</t>
        </is>
      </c>
      <c r="R872" s="3" t="n"/>
      <c r="S872" s="3" t="inlineStr">
        <is>
          <t>contraste regional (R6); no vota</t>
        </is>
      </c>
      <c r="T872" s="3" t="inlineStr">
        <is>
          <t>output/v8/F5/atribucion_combinada.csv</t>
        </is>
      </c>
      <c r="U872" s="2">
        <f>IF(R872=0,"",F872/R872)</f>
        <v/>
      </c>
      <c r="V872" s="2">
        <f>SUMIFS(F$2:F$1589,A$2:A$1589,A872,C$2:C$1589,C872,E$2:E$1589,E872,Q$2:Q$1589,Q872)</f>
        <v/>
      </c>
    </row>
    <row r="873">
      <c r="A873" s="3" t="inlineStr">
        <is>
          <t>compra</t>
        </is>
      </c>
      <c r="B873" s="3" t="inlineStr">
        <is>
          <t>ccaa:13</t>
        </is>
      </c>
      <c r="C873" s="3" t="inlineStr">
        <is>
          <t>P4</t>
        </is>
      </c>
      <c r="D873" s="3" t="inlineStr">
        <is>
          <t>residuo</t>
        </is>
      </c>
      <c r="E873" s="3" t="inlineStr">
        <is>
          <t>regional_panel</t>
        </is>
      </c>
      <c r="F873" s="3" t="n">
        <v>2.79291</v>
      </c>
      <c r="G873" s="3" t="n"/>
      <c r="H873" s="3" t="n"/>
      <c r="I873" s="3" t="n">
        <v>-4.82523</v>
      </c>
      <c r="J873" s="3" t="n">
        <v>-0.0120854</v>
      </c>
      <c r="K873" s="3" t="n">
        <v>5.23789</v>
      </c>
      <c r="L873" s="3" t="n">
        <v>-2.11604</v>
      </c>
      <c r="M873" s="3" t="n">
        <v>7.08462</v>
      </c>
      <c r="N873" s="3" t="inlineStr">
        <is>
          <t>C4</t>
        </is>
      </c>
      <c r="O873" s="3" t="inlineStr">
        <is>
          <t>no</t>
        </is>
      </c>
      <c r="P873" s="3" t="inlineStr">
        <is>
          <t>no_compite</t>
        </is>
      </c>
      <c r="Q873" s="3" t="inlineStr">
        <is>
          <t>panel_covariables</t>
        </is>
      </c>
      <c r="R873" s="3" t="n"/>
      <c r="S873" s="3" t="inlineStr">
        <is>
          <t>contraste regional (R6); no vota</t>
        </is>
      </c>
      <c r="T873" s="3" t="inlineStr">
        <is>
          <t>output/v8/F5/atribucion_combinada.csv</t>
        </is>
      </c>
      <c r="U873" s="2">
        <f>IF(R873=0,"",F873/R873)</f>
        <v/>
      </c>
      <c r="V873" s="2">
        <f>SUMIFS(F$2:F$1589,A$2:A$1589,A873,C$2:C$1589,C873,E$2:E$1589,E873,Q$2:Q$1589,Q873)</f>
        <v/>
      </c>
    </row>
    <row r="874">
      <c r="A874" s="3" t="inlineStr">
        <is>
          <t>compra</t>
        </is>
      </c>
      <c r="B874" s="3" t="inlineStr">
        <is>
          <t>ccaa:14</t>
        </is>
      </c>
      <c r="C874" s="3" t="inlineStr">
        <is>
          <t>P4</t>
        </is>
      </c>
      <c r="D874" s="3" t="inlineStr">
        <is>
          <t>factor_comun</t>
        </is>
      </c>
      <c r="E874" s="3" t="inlineStr">
        <is>
          <t>regional_panel</t>
        </is>
      </c>
      <c r="F874" s="3" t="n">
        <v>-4.21608</v>
      </c>
      <c r="G874" s="3" t="n"/>
      <c r="H874" s="3" t="n"/>
      <c r="I874" s="3" t="n">
        <v>1.24827</v>
      </c>
      <c r="J874" s="3" t="n">
        <v>-5.07352</v>
      </c>
      <c r="K874" s="3" t="n">
        <v>-2.674</v>
      </c>
      <c r="L874" s="3" t="n">
        <v>-5.88849</v>
      </c>
      <c r="M874" s="3" t="n">
        <v>-1.76843</v>
      </c>
      <c r="N874" s="3" t="inlineStr">
        <is>
          <t>C4</t>
        </is>
      </c>
      <c r="O874" s="3" t="inlineStr">
        <is>
          <t>no</t>
        </is>
      </c>
      <c r="P874" s="3" t="inlineStr">
        <is>
          <t>no_compite</t>
        </is>
      </c>
      <c r="Q874" s="3" t="inlineStr">
        <is>
          <t>panel_covariables</t>
        </is>
      </c>
      <c r="R874" s="3" t="n"/>
      <c r="S874" s="3" t="inlineStr">
        <is>
          <t>contraste regional (R6); no vota</t>
        </is>
      </c>
      <c r="T874" s="3" t="inlineStr">
        <is>
          <t>output/v8/F5/atribucion_combinada.csv</t>
        </is>
      </c>
      <c r="U874" s="2">
        <f>IF(R874=0,"",F874/R874)</f>
        <v/>
      </c>
      <c r="V874" s="2">
        <f>SUMIFS(F$2:F$1589,A$2:A$1589,A874,C$2:C$1589,C874,E$2:E$1589,E874,Q$2:Q$1589,Q874)</f>
        <v/>
      </c>
    </row>
    <row r="875">
      <c r="A875" s="3" t="inlineStr">
        <is>
          <t>compra</t>
        </is>
      </c>
      <c r="B875" s="3" t="inlineStr">
        <is>
          <t>ccaa:14</t>
        </is>
      </c>
      <c r="C875" s="3" t="inlineStr">
        <is>
          <t>P4</t>
        </is>
      </c>
      <c r="D875" s="3" t="inlineStr">
        <is>
          <t>empleo_renta</t>
        </is>
      </c>
      <c r="E875" s="3" t="inlineStr">
        <is>
          <t>regional_panel</t>
        </is>
      </c>
      <c r="F875" s="3" t="n">
        <v>0.127468</v>
      </c>
      <c r="G875" s="3" t="n"/>
      <c r="H875" s="3" t="n"/>
      <c r="I875" s="3" t="n">
        <v>-0.0377398</v>
      </c>
      <c r="J875" s="3" t="n">
        <v>-0.282013</v>
      </c>
      <c r="K875" s="3" t="n">
        <v>0.748657</v>
      </c>
      <c r="L875" s="3" t="n">
        <v>-0.628756</v>
      </c>
      <c r="M875" s="3" t="n">
        <v>0.987044</v>
      </c>
      <c r="N875" s="3" t="inlineStr">
        <is>
          <t>C4</t>
        </is>
      </c>
      <c r="O875" s="3" t="inlineStr">
        <is>
          <t>si</t>
        </is>
      </c>
      <c r="P875" s="3" t="inlineStr">
        <is>
          <t>no_vota</t>
        </is>
      </c>
      <c r="Q875" s="3" t="inlineStr">
        <is>
          <t>panel_covariables</t>
        </is>
      </c>
      <c r="R875" s="3" t="n"/>
      <c r="S875" s="3" t="inlineStr">
        <is>
          <t>contraste regional (R6); no vota</t>
        </is>
      </c>
      <c r="T875" s="3" t="inlineStr">
        <is>
          <t>output/v8/F5/atribucion_combinada.csv</t>
        </is>
      </c>
      <c r="U875" s="2">
        <f>IF(R875=0,"",F875/R875)</f>
        <v/>
      </c>
      <c r="V875" s="2">
        <f>SUMIFS(F$2:F$1589,A$2:A$1589,A875,C$2:C$1589,C875,E$2:E$1589,E875,Q$2:Q$1589,Q875)</f>
        <v/>
      </c>
    </row>
    <row r="876">
      <c r="A876" s="3" t="inlineStr">
        <is>
          <t>compra</t>
        </is>
      </c>
      <c r="B876" s="3" t="inlineStr">
        <is>
          <t>ccaa:14</t>
        </is>
      </c>
      <c r="C876" s="3" t="inlineStr">
        <is>
          <t>P4</t>
        </is>
      </c>
      <c r="D876" s="3" t="inlineStr">
        <is>
          <t>demografia</t>
        </is>
      </c>
      <c r="E876" s="3" t="inlineStr">
        <is>
          <t>regional_panel</t>
        </is>
      </c>
      <c r="F876" s="3" t="n">
        <v>-0.938151</v>
      </c>
      <c r="G876" s="3" t="n"/>
      <c r="H876" s="3" t="n"/>
      <c r="I876" s="3" t="n">
        <v>0.277761</v>
      </c>
      <c r="J876" s="3" t="n">
        <v>-2.88209</v>
      </c>
      <c r="K876" s="3" t="n">
        <v>1.12397</v>
      </c>
      <c r="L876" s="3" t="n">
        <v>-5.29261</v>
      </c>
      <c r="M876" s="3" t="n">
        <v>2.47056</v>
      </c>
      <c r="N876" s="3" t="inlineStr">
        <is>
          <t>C4</t>
        </is>
      </c>
      <c r="O876" s="3" t="inlineStr">
        <is>
          <t>si</t>
        </is>
      </c>
      <c r="P876" s="3" t="inlineStr">
        <is>
          <t>no_vota</t>
        </is>
      </c>
      <c r="Q876" s="3" t="inlineStr">
        <is>
          <t>panel_covariables</t>
        </is>
      </c>
      <c r="R876" s="3" t="n"/>
      <c r="S876" s="3" t="inlineStr">
        <is>
          <t>contraste regional (R6); no vota</t>
        </is>
      </c>
      <c r="T876" s="3" t="inlineStr">
        <is>
          <t>output/v8/F5/atribucion_combinada.csv</t>
        </is>
      </c>
      <c r="U876" s="2">
        <f>IF(R876=0,"",F876/R876)</f>
        <v/>
      </c>
      <c r="V876" s="2">
        <f>SUMIFS(F$2:F$1589,A$2:A$1589,A876,C$2:C$1589,C876,E$2:E$1589,E876,Q$2:Q$1589,Q876)</f>
        <v/>
      </c>
    </row>
    <row r="877">
      <c r="A877" s="3" t="inlineStr">
        <is>
          <t>compra</t>
        </is>
      </c>
      <c r="B877" s="3" t="inlineStr">
        <is>
          <t>ccaa:14</t>
        </is>
      </c>
      <c r="C877" s="3" t="inlineStr">
        <is>
          <t>P4</t>
        </is>
      </c>
      <c r="D877" s="3" t="inlineStr">
        <is>
          <t>oferta</t>
        </is>
      </c>
      <c r="E877" s="3" t="inlineStr">
        <is>
          <t>regional_panel</t>
        </is>
      </c>
      <c r="F877" s="3" t="n">
        <v>0.06740599999999999</v>
      </c>
      <c r="G877" s="3" t="n"/>
      <c r="H877" s="3" t="n"/>
      <c r="I877" s="3" t="n">
        <v>-0.0199571</v>
      </c>
      <c r="J877" s="3" t="n">
        <v>-0.0496335</v>
      </c>
      <c r="K877" s="3" t="n">
        <v>0.165954</v>
      </c>
      <c r="L877" s="3" t="n">
        <v>-0.102587</v>
      </c>
      <c r="M877" s="3" t="n">
        <v>0.313866</v>
      </c>
      <c r="N877" s="3" t="inlineStr">
        <is>
          <t>C4</t>
        </is>
      </c>
      <c r="O877" s="3" t="inlineStr">
        <is>
          <t>si</t>
        </is>
      </c>
      <c r="P877" s="3" t="inlineStr">
        <is>
          <t>no_vota</t>
        </is>
      </c>
      <c r="Q877" s="3" t="inlineStr">
        <is>
          <t>panel_covariables</t>
        </is>
      </c>
      <c r="R877" s="3" t="n"/>
      <c r="S877" s="3" t="inlineStr">
        <is>
          <t>contraste regional (R6); no vota</t>
        </is>
      </c>
      <c r="T877" s="3" t="inlineStr">
        <is>
          <t>output/v8/F5/atribucion_combinada.csv</t>
        </is>
      </c>
      <c r="U877" s="2">
        <f>IF(R877=0,"",F877/R877)</f>
        <v/>
      </c>
      <c r="V877" s="2">
        <f>SUMIFS(F$2:F$1589,A$2:A$1589,A877,C$2:C$1589,C877,E$2:E$1589,E877,Q$2:Q$1589,Q877)</f>
        <v/>
      </c>
    </row>
    <row r="878">
      <c r="A878" s="3" t="inlineStr">
        <is>
          <t>compra</t>
        </is>
      </c>
      <c r="B878" s="3" t="inlineStr">
        <is>
          <t>ccaa:14</t>
        </is>
      </c>
      <c r="C878" s="3" t="inlineStr">
        <is>
          <t>P4</t>
        </is>
      </c>
      <c r="D878" s="3" t="inlineStr">
        <is>
          <t>demanda_externa</t>
        </is>
      </c>
      <c r="E878" s="3" t="inlineStr">
        <is>
          <t>regional_panel</t>
        </is>
      </c>
      <c r="F878" s="3" t="n">
        <v>0.113707</v>
      </c>
      <c r="G878" s="3" t="n"/>
      <c r="H878" s="3" t="n"/>
      <c r="I878" s="3" t="n">
        <v>-0.0336655</v>
      </c>
      <c r="J878" s="3" t="n">
        <v>-0.09297999999999999</v>
      </c>
      <c r="K878" s="3" t="n">
        <v>0.216399</v>
      </c>
      <c r="L878" s="3" t="n">
        <v>-0.268002</v>
      </c>
      <c r="M878" s="3" t="n">
        <v>0.414729</v>
      </c>
      <c r="N878" s="3" t="inlineStr">
        <is>
          <t>C4</t>
        </is>
      </c>
      <c r="O878" s="3" t="inlineStr">
        <is>
          <t>si</t>
        </is>
      </c>
      <c r="P878" s="3" t="inlineStr">
        <is>
          <t>no_vota</t>
        </is>
      </c>
      <c r="Q878" s="3" t="inlineStr">
        <is>
          <t>panel_covariables</t>
        </is>
      </c>
      <c r="R878" s="3" t="n"/>
      <c r="S878" s="3" t="inlineStr">
        <is>
          <t>contraste regional (R6); no vota</t>
        </is>
      </c>
      <c r="T878" s="3" t="inlineStr">
        <is>
          <t>output/v8/F5/atribucion_combinada.csv</t>
        </is>
      </c>
      <c r="U878" s="2">
        <f>IF(R878=0,"",F878/R878)</f>
        <v/>
      </c>
      <c r="V878" s="2">
        <f>SUMIFS(F$2:F$1589,A$2:A$1589,A878,C$2:C$1589,C878,E$2:E$1589,E878,Q$2:Q$1589,Q878)</f>
        <v/>
      </c>
    </row>
    <row r="879">
      <c r="A879" s="3" t="inlineStr">
        <is>
          <t>compra</t>
        </is>
      </c>
      <c r="B879" s="3" t="inlineStr">
        <is>
          <t>ccaa:14</t>
        </is>
      </c>
      <c r="C879" s="3" t="inlineStr">
        <is>
          <t>P4</t>
        </is>
      </c>
      <c r="D879" s="3" t="inlineStr">
        <is>
          <t>residuo</t>
        </is>
      </c>
      <c r="E879" s="3" t="inlineStr">
        <is>
          <t>regional_panel</t>
        </is>
      </c>
      <c r="F879" s="3" t="n">
        <v>1.46811</v>
      </c>
      <c r="G879" s="3" t="n"/>
      <c r="H879" s="3" t="n"/>
      <c r="I879" s="3" t="n">
        <v>-0.434669</v>
      </c>
      <c r="J879" s="3" t="n">
        <v>-0.386541</v>
      </c>
      <c r="K879" s="3" t="n">
        <v>3.24502</v>
      </c>
      <c r="L879" s="3" t="n">
        <v>-2.14579</v>
      </c>
      <c r="M879" s="3" t="n">
        <v>4.57671</v>
      </c>
      <c r="N879" s="3" t="inlineStr">
        <is>
          <t>C4</t>
        </is>
      </c>
      <c r="O879" s="3" t="inlineStr">
        <is>
          <t>no</t>
        </is>
      </c>
      <c r="P879" s="3" t="inlineStr">
        <is>
          <t>no_compite</t>
        </is>
      </c>
      <c r="Q879" s="3" t="inlineStr">
        <is>
          <t>panel_covariables</t>
        </is>
      </c>
      <c r="R879" s="3" t="n"/>
      <c r="S879" s="3" t="inlineStr">
        <is>
          <t>contraste regional (R6); no vota</t>
        </is>
      </c>
      <c r="T879" s="3" t="inlineStr">
        <is>
          <t>output/v8/F5/atribucion_combinada.csv</t>
        </is>
      </c>
      <c r="U879" s="2">
        <f>IF(R879=0,"",F879/R879)</f>
        <v/>
      </c>
      <c r="V879" s="2">
        <f>SUMIFS(F$2:F$1589,A$2:A$1589,A879,C$2:C$1589,C879,E$2:E$1589,E879,Q$2:Q$1589,Q879)</f>
        <v/>
      </c>
    </row>
    <row r="880">
      <c r="A880" s="3" t="inlineStr">
        <is>
          <t>compra</t>
        </is>
      </c>
      <c r="B880" s="3" t="inlineStr">
        <is>
          <t>ccaa:15</t>
        </is>
      </c>
      <c r="C880" s="3" t="inlineStr">
        <is>
          <t>P4</t>
        </is>
      </c>
      <c r="D880" s="3" t="inlineStr">
        <is>
          <t>factor_comun</t>
        </is>
      </c>
      <c r="E880" s="3" t="inlineStr">
        <is>
          <t>regional_panel</t>
        </is>
      </c>
      <c r="F880" s="3" t="n">
        <v>-4.21608</v>
      </c>
      <c r="G880" s="3" t="n"/>
      <c r="H880" s="3" t="n"/>
      <c r="I880" s="3" t="n">
        <v>1.08714</v>
      </c>
      <c r="J880" s="3" t="n">
        <v>-5.07352</v>
      </c>
      <c r="K880" s="3" t="n">
        <v>-2.674</v>
      </c>
      <c r="L880" s="3" t="n">
        <v>-5.88849</v>
      </c>
      <c r="M880" s="3" t="n">
        <v>-1.76843</v>
      </c>
      <c r="N880" s="3" t="inlineStr">
        <is>
          <t>C4</t>
        </is>
      </c>
      <c r="O880" s="3" t="inlineStr">
        <is>
          <t>no</t>
        </is>
      </c>
      <c r="P880" s="3" t="inlineStr">
        <is>
          <t>no_compite</t>
        </is>
      </c>
      <c r="Q880" s="3" t="inlineStr">
        <is>
          <t>panel_covariables</t>
        </is>
      </c>
      <c r="R880" s="3" t="n"/>
      <c r="S880" s="3" t="inlineStr">
        <is>
          <t>contraste regional (R6); no vota</t>
        </is>
      </c>
      <c r="T880" s="3" t="inlineStr">
        <is>
          <t>output/v8/F5/atribucion_combinada.csv</t>
        </is>
      </c>
      <c r="U880" s="2">
        <f>IF(R880=0,"",F880/R880)</f>
        <v/>
      </c>
      <c r="V880" s="2">
        <f>SUMIFS(F$2:F$1589,A$2:A$1589,A880,C$2:C$1589,C880,E$2:E$1589,E880,Q$2:Q$1589,Q880)</f>
        <v/>
      </c>
    </row>
    <row r="881">
      <c r="A881" s="3" t="inlineStr">
        <is>
          <t>compra</t>
        </is>
      </c>
      <c r="B881" s="3" t="inlineStr">
        <is>
          <t>ccaa:15</t>
        </is>
      </c>
      <c r="C881" s="3" t="inlineStr">
        <is>
          <t>P4</t>
        </is>
      </c>
      <c r="D881" s="3" t="inlineStr">
        <is>
          <t>empleo_renta</t>
        </is>
      </c>
      <c r="E881" s="3" t="inlineStr">
        <is>
          <t>regional_panel</t>
        </is>
      </c>
      <c r="F881" s="3" t="n">
        <v>-0.593542</v>
      </c>
      <c r="G881" s="3" t="n"/>
      <c r="H881" s="3" t="n"/>
      <c r="I881" s="3" t="n">
        <v>0.153048</v>
      </c>
      <c r="J881" s="3" t="n">
        <v>-0.997543</v>
      </c>
      <c r="K881" s="3" t="n">
        <v>0.160995</v>
      </c>
      <c r="L881" s="3" t="n">
        <v>-1.19432</v>
      </c>
      <c r="M881" s="3" t="n">
        <v>0.958446</v>
      </c>
      <c r="N881" s="3" t="inlineStr">
        <is>
          <t>C4</t>
        </is>
      </c>
      <c r="O881" s="3" t="inlineStr">
        <is>
          <t>si</t>
        </is>
      </c>
      <c r="P881" s="3" t="inlineStr">
        <is>
          <t>no_vota</t>
        </is>
      </c>
      <c r="Q881" s="3" t="inlineStr">
        <is>
          <t>panel_covariables</t>
        </is>
      </c>
      <c r="R881" s="3" t="n"/>
      <c r="S881" s="3" t="inlineStr">
        <is>
          <t>contraste regional (R6); no vota</t>
        </is>
      </c>
      <c r="T881" s="3" t="inlineStr">
        <is>
          <t>output/v8/F5/atribucion_combinada.csv</t>
        </is>
      </c>
      <c r="U881" s="2">
        <f>IF(R881=0,"",F881/R881)</f>
        <v/>
      </c>
      <c r="V881" s="2">
        <f>SUMIFS(F$2:F$1589,A$2:A$1589,A881,C$2:C$1589,C881,E$2:E$1589,E881,Q$2:Q$1589,Q881)</f>
        <v/>
      </c>
    </row>
    <row r="882">
      <c r="A882" s="3" t="inlineStr">
        <is>
          <t>compra</t>
        </is>
      </c>
      <c r="B882" s="3" t="inlineStr">
        <is>
          <t>ccaa:15</t>
        </is>
      </c>
      <c r="C882" s="3" t="inlineStr">
        <is>
          <t>P4</t>
        </is>
      </c>
      <c r="D882" s="3" t="inlineStr">
        <is>
          <t>demografia</t>
        </is>
      </c>
      <c r="E882" s="3" t="inlineStr">
        <is>
          <t>regional_panel</t>
        </is>
      </c>
      <c r="F882" s="3" t="n">
        <v>1.36836</v>
      </c>
      <c r="G882" s="3" t="n"/>
      <c r="H882" s="3" t="n"/>
      <c r="I882" s="3" t="n">
        <v>-0.35284</v>
      </c>
      <c r="J882" s="3" t="n">
        <v>0.539757</v>
      </c>
      <c r="K882" s="3" t="n">
        <v>1.81191</v>
      </c>
      <c r="L882" s="3" t="n">
        <v>-0.260113</v>
      </c>
      <c r="M882" s="3" t="n">
        <v>2.23998</v>
      </c>
      <c r="N882" s="3" t="inlineStr">
        <is>
          <t>C4</t>
        </is>
      </c>
      <c r="O882" s="3" t="inlineStr">
        <is>
          <t>si</t>
        </is>
      </c>
      <c r="P882" s="3" t="inlineStr">
        <is>
          <t>no_vota</t>
        </is>
      </c>
      <c r="Q882" s="3" t="inlineStr">
        <is>
          <t>panel_covariables</t>
        </is>
      </c>
      <c r="R882" s="3" t="n"/>
      <c r="S882" s="3" t="inlineStr">
        <is>
          <t>contraste regional (R6); no vota</t>
        </is>
      </c>
      <c r="T882" s="3" t="inlineStr">
        <is>
          <t>output/v8/F5/atribucion_combinada.csv</t>
        </is>
      </c>
      <c r="U882" s="2">
        <f>IF(R882=0,"",F882/R882)</f>
        <v/>
      </c>
      <c r="V882" s="2">
        <f>SUMIFS(F$2:F$1589,A$2:A$1589,A882,C$2:C$1589,C882,E$2:E$1589,E882,Q$2:Q$1589,Q882)</f>
        <v/>
      </c>
    </row>
    <row r="883">
      <c r="A883" s="3" t="inlineStr">
        <is>
          <t>compra</t>
        </is>
      </c>
      <c r="B883" s="3" t="inlineStr">
        <is>
          <t>ccaa:15</t>
        </is>
      </c>
      <c r="C883" s="3" t="inlineStr">
        <is>
          <t>P4</t>
        </is>
      </c>
      <c r="D883" s="3" t="inlineStr">
        <is>
          <t>oferta</t>
        </is>
      </c>
      <c r="E883" s="3" t="inlineStr">
        <is>
          <t>regional_panel</t>
        </is>
      </c>
      <c r="F883" s="3" t="n">
        <v>-0.0143847</v>
      </c>
      <c r="G883" s="3" t="n"/>
      <c r="H883" s="3" t="n"/>
      <c r="I883" s="3" t="n">
        <v>0.00370918</v>
      </c>
      <c r="J883" s="3" t="n">
        <v>-0.105982</v>
      </c>
      <c r="K883" s="3" t="n">
        <v>0.0519609</v>
      </c>
      <c r="L883" s="3" t="n">
        <v>-0.166288</v>
      </c>
      <c r="M883" s="3" t="n">
        <v>0.102904</v>
      </c>
      <c r="N883" s="3" t="inlineStr">
        <is>
          <t>C4</t>
        </is>
      </c>
      <c r="O883" s="3" t="inlineStr">
        <is>
          <t>si</t>
        </is>
      </c>
      <c r="P883" s="3" t="inlineStr">
        <is>
          <t>no_vota</t>
        </is>
      </c>
      <c r="Q883" s="3" t="inlineStr">
        <is>
          <t>panel_covariables</t>
        </is>
      </c>
      <c r="R883" s="3" t="n"/>
      <c r="S883" s="3" t="inlineStr">
        <is>
          <t>contraste regional (R6); no vota</t>
        </is>
      </c>
      <c r="T883" s="3" t="inlineStr">
        <is>
          <t>output/v8/F5/atribucion_combinada.csv</t>
        </is>
      </c>
      <c r="U883" s="2">
        <f>IF(R883=0,"",F883/R883)</f>
        <v/>
      </c>
      <c r="V883" s="2">
        <f>SUMIFS(F$2:F$1589,A$2:A$1589,A883,C$2:C$1589,C883,E$2:E$1589,E883,Q$2:Q$1589,Q883)</f>
        <v/>
      </c>
    </row>
    <row r="884">
      <c r="A884" s="3" t="inlineStr">
        <is>
          <t>compra</t>
        </is>
      </c>
      <c r="B884" s="3" t="inlineStr">
        <is>
          <t>ccaa:15</t>
        </is>
      </c>
      <c r="C884" s="3" t="inlineStr">
        <is>
          <t>P4</t>
        </is>
      </c>
      <c r="D884" s="3" t="inlineStr">
        <is>
          <t>demanda_externa</t>
        </is>
      </c>
      <c r="E884" s="3" t="inlineStr">
        <is>
          <t>regional_panel</t>
        </is>
      </c>
      <c r="F884" s="3" t="n">
        <v>0.13294</v>
      </c>
      <c r="G884" s="3" t="n"/>
      <c r="H884" s="3" t="n"/>
      <c r="I884" s="3" t="n">
        <v>-0.0342794</v>
      </c>
      <c r="J884" s="3" t="n">
        <v>-0.0442362</v>
      </c>
      <c r="K884" s="3" t="n">
        <v>0.209185</v>
      </c>
      <c r="L884" s="3" t="n">
        <v>-0.217263</v>
      </c>
      <c r="M884" s="3" t="n">
        <v>0.379962</v>
      </c>
      <c r="N884" s="3" t="inlineStr">
        <is>
          <t>C4</t>
        </is>
      </c>
      <c r="O884" s="3" t="inlineStr">
        <is>
          <t>si</t>
        </is>
      </c>
      <c r="P884" s="3" t="inlineStr">
        <is>
          <t>no_vota</t>
        </is>
      </c>
      <c r="Q884" s="3" t="inlineStr">
        <is>
          <t>panel_covariables</t>
        </is>
      </c>
      <c r="R884" s="3" t="n"/>
      <c r="S884" s="3" t="inlineStr">
        <is>
          <t>contraste regional (R6); no vota</t>
        </is>
      </c>
      <c r="T884" s="3" t="inlineStr">
        <is>
          <t>output/v8/F5/atribucion_combinada.csv</t>
        </is>
      </c>
      <c r="U884" s="2">
        <f>IF(R884=0,"",F884/R884)</f>
        <v/>
      </c>
      <c r="V884" s="2">
        <f>SUMIFS(F$2:F$1589,A$2:A$1589,A884,C$2:C$1589,C884,E$2:E$1589,E884,Q$2:Q$1589,Q884)</f>
        <v/>
      </c>
    </row>
    <row r="885">
      <c r="A885" s="3" t="inlineStr">
        <is>
          <t>compra</t>
        </is>
      </c>
      <c r="B885" s="3" t="inlineStr">
        <is>
          <t>ccaa:15</t>
        </is>
      </c>
      <c r="C885" s="3" t="inlineStr">
        <is>
          <t>P4</t>
        </is>
      </c>
      <c r="D885" s="3" t="inlineStr">
        <is>
          <t>residuo</t>
        </is>
      </c>
      <c r="E885" s="3" t="inlineStr">
        <is>
          <t>regional_panel</t>
        </is>
      </c>
      <c r="F885" s="3" t="n">
        <v>-0.555431</v>
      </c>
      <c r="G885" s="3" t="n"/>
      <c r="H885" s="3" t="n"/>
      <c r="I885" s="3" t="n">
        <v>0.143221</v>
      </c>
      <c r="J885" s="3" t="n">
        <v>-2.9761</v>
      </c>
      <c r="K885" s="3" t="n">
        <v>1.1246</v>
      </c>
      <c r="L885" s="3" t="n">
        <v>-4.27909</v>
      </c>
      <c r="M885" s="3" t="n">
        <v>1.97373</v>
      </c>
      <c r="N885" s="3" t="inlineStr">
        <is>
          <t>C4</t>
        </is>
      </c>
      <c r="O885" s="3" t="inlineStr">
        <is>
          <t>no</t>
        </is>
      </c>
      <c r="P885" s="3" t="inlineStr">
        <is>
          <t>no_compite</t>
        </is>
      </c>
      <c r="Q885" s="3" t="inlineStr">
        <is>
          <t>panel_covariables</t>
        </is>
      </c>
      <c r="R885" s="3" t="n"/>
      <c r="S885" s="3" t="inlineStr">
        <is>
          <t>contraste regional (R6); no vota</t>
        </is>
      </c>
      <c r="T885" s="3" t="inlineStr">
        <is>
          <t>output/v8/F5/atribucion_combinada.csv</t>
        </is>
      </c>
      <c r="U885" s="2">
        <f>IF(R885=0,"",F885/R885)</f>
        <v/>
      </c>
      <c r="V885" s="2">
        <f>SUMIFS(F$2:F$1589,A$2:A$1589,A885,C$2:C$1589,C885,E$2:E$1589,E885,Q$2:Q$1589,Q885)</f>
        <v/>
      </c>
    </row>
    <row r="886">
      <c r="A886" s="3" t="inlineStr">
        <is>
          <t>compra</t>
        </is>
      </c>
      <c r="B886" s="3" t="inlineStr">
        <is>
          <t>ccaa:16</t>
        </is>
      </c>
      <c r="C886" s="3" t="inlineStr">
        <is>
          <t>P4</t>
        </is>
      </c>
      <c r="D886" s="3" t="inlineStr">
        <is>
          <t>factor_comun</t>
        </is>
      </c>
      <c r="E886" s="3" t="inlineStr">
        <is>
          <t>regional_panel</t>
        </is>
      </c>
      <c r="F886" s="3" t="n">
        <v>-4.21608</v>
      </c>
      <c r="G886" s="3" t="n"/>
      <c r="H886" s="3" t="n"/>
      <c r="I886" s="3" t="n">
        <v>1.0948</v>
      </c>
      <c r="J886" s="3" t="n">
        <v>-5.07352</v>
      </c>
      <c r="K886" s="3" t="n">
        <v>-2.674</v>
      </c>
      <c r="L886" s="3" t="n">
        <v>-5.88849</v>
      </c>
      <c r="M886" s="3" t="n">
        <v>-1.76843</v>
      </c>
      <c r="N886" s="3" t="inlineStr">
        <is>
          <t>C4</t>
        </is>
      </c>
      <c r="O886" s="3" t="inlineStr">
        <is>
          <t>no</t>
        </is>
      </c>
      <c r="P886" s="3" t="inlineStr">
        <is>
          <t>no_compite</t>
        </is>
      </c>
      <c r="Q886" s="3" t="inlineStr">
        <is>
          <t>panel_covariables</t>
        </is>
      </c>
      <c r="R886" s="3" t="n"/>
      <c r="S886" s="3" t="inlineStr">
        <is>
          <t>contraste regional (R6); no vota</t>
        </is>
      </c>
      <c r="T886" s="3" t="inlineStr">
        <is>
          <t>output/v8/F5/atribucion_combinada.csv</t>
        </is>
      </c>
      <c r="U886" s="2">
        <f>IF(R886=0,"",F886/R886)</f>
        <v/>
      </c>
      <c r="V886" s="2">
        <f>SUMIFS(F$2:F$1589,A$2:A$1589,A886,C$2:C$1589,C886,E$2:E$1589,E886,Q$2:Q$1589,Q886)</f>
        <v/>
      </c>
    </row>
    <row r="887">
      <c r="A887" s="3" t="inlineStr">
        <is>
          <t>compra</t>
        </is>
      </c>
      <c r="B887" s="3" t="inlineStr">
        <is>
          <t>ccaa:16</t>
        </is>
      </c>
      <c r="C887" s="3" t="inlineStr">
        <is>
          <t>P4</t>
        </is>
      </c>
      <c r="D887" s="3" t="inlineStr">
        <is>
          <t>empleo_renta</t>
        </is>
      </c>
      <c r="E887" s="3" t="inlineStr">
        <is>
          <t>regional_panel</t>
        </is>
      </c>
      <c r="F887" s="3" t="n">
        <v>-0.273038</v>
      </c>
      <c r="G887" s="3" t="n"/>
      <c r="H887" s="3" t="n"/>
      <c r="I887" s="3" t="n">
        <v>0.0709004</v>
      </c>
      <c r="J887" s="3" t="n">
        <v>-0.5715710000000001</v>
      </c>
      <c r="K887" s="3" t="n">
        <v>0.404441</v>
      </c>
      <c r="L887" s="3" t="n">
        <v>-0.924604</v>
      </c>
      <c r="M887" s="3" t="n">
        <v>1.02152</v>
      </c>
      <c r="N887" s="3" t="inlineStr">
        <is>
          <t>C4</t>
        </is>
      </c>
      <c r="O887" s="3" t="inlineStr">
        <is>
          <t>si</t>
        </is>
      </c>
      <c r="P887" s="3" t="inlineStr">
        <is>
          <t>no_vota</t>
        </is>
      </c>
      <c r="Q887" s="3" t="inlineStr">
        <is>
          <t>panel_covariables</t>
        </is>
      </c>
      <c r="R887" s="3" t="n"/>
      <c r="S887" s="3" t="inlineStr">
        <is>
          <t>contraste regional (R6); no vota</t>
        </is>
      </c>
      <c r="T887" s="3" t="inlineStr">
        <is>
          <t>output/v8/F5/atribucion_combinada.csv</t>
        </is>
      </c>
      <c r="U887" s="2">
        <f>IF(R887=0,"",F887/R887)</f>
        <v/>
      </c>
      <c r="V887" s="2">
        <f>SUMIFS(F$2:F$1589,A$2:A$1589,A887,C$2:C$1589,C887,E$2:E$1589,E887,Q$2:Q$1589,Q887)</f>
        <v/>
      </c>
    </row>
    <row r="888">
      <c r="A888" s="3" t="inlineStr">
        <is>
          <t>compra</t>
        </is>
      </c>
      <c r="B888" s="3" t="inlineStr">
        <is>
          <t>ccaa:16</t>
        </is>
      </c>
      <c r="C888" s="3" t="inlineStr">
        <is>
          <t>P4</t>
        </is>
      </c>
      <c r="D888" s="3" t="inlineStr">
        <is>
          <t>demografia</t>
        </is>
      </c>
      <c r="E888" s="3" t="inlineStr">
        <is>
          <t>regional_panel</t>
        </is>
      </c>
      <c r="F888" s="3" t="n">
        <v>2.79262</v>
      </c>
      <c r="G888" s="3" t="n"/>
      <c r="H888" s="3" t="n"/>
      <c r="I888" s="3" t="n">
        <v>-0.725166</v>
      </c>
      <c r="J888" s="3" t="n">
        <v>0.702596</v>
      </c>
      <c r="K888" s="3" t="n">
        <v>4.68095</v>
      </c>
      <c r="L888" s="3" t="n">
        <v>-1.76701</v>
      </c>
      <c r="M888" s="3" t="n">
        <v>5.94255</v>
      </c>
      <c r="N888" s="3" t="inlineStr">
        <is>
          <t>C4</t>
        </is>
      </c>
      <c r="O888" s="3" t="inlineStr">
        <is>
          <t>si</t>
        </is>
      </c>
      <c r="P888" s="3" t="inlineStr">
        <is>
          <t>no_vota</t>
        </is>
      </c>
      <c r="Q888" s="3" t="inlineStr">
        <is>
          <t>panel_covariables</t>
        </is>
      </c>
      <c r="R888" s="3" t="n"/>
      <c r="S888" s="3" t="inlineStr">
        <is>
          <t>contraste regional (R6); no vota</t>
        </is>
      </c>
      <c r="T888" s="3" t="inlineStr">
        <is>
          <t>output/v8/F5/atribucion_combinada.csv</t>
        </is>
      </c>
      <c r="U888" s="2">
        <f>IF(R888=0,"",F888/R888)</f>
        <v/>
      </c>
      <c r="V888" s="2">
        <f>SUMIFS(F$2:F$1589,A$2:A$1589,A888,C$2:C$1589,C888,E$2:E$1589,E888,Q$2:Q$1589,Q888)</f>
        <v/>
      </c>
    </row>
    <row r="889">
      <c r="A889" s="3" t="inlineStr">
        <is>
          <t>compra</t>
        </is>
      </c>
      <c r="B889" s="3" t="inlineStr">
        <is>
          <t>ccaa:16</t>
        </is>
      </c>
      <c r="C889" s="3" t="inlineStr">
        <is>
          <t>P4</t>
        </is>
      </c>
      <c r="D889" s="3" t="inlineStr">
        <is>
          <t>oferta</t>
        </is>
      </c>
      <c r="E889" s="3" t="inlineStr">
        <is>
          <t>regional_panel</t>
        </is>
      </c>
      <c r="F889" s="3" t="n">
        <v>-0.0642078</v>
      </c>
      <c r="G889" s="3" t="n"/>
      <c r="H889" s="3" t="n"/>
      <c r="I889" s="3" t="n">
        <v>0.016673</v>
      </c>
      <c r="J889" s="3" t="n">
        <v>-0.164762</v>
      </c>
      <c r="K889" s="3" t="n">
        <v>0.0136056</v>
      </c>
      <c r="L889" s="3" t="n">
        <v>-0.304614</v>
      </c>
      <c r="M889" s="3" t="n">
        <v>0.11682</v>
      </c>
      <c r="N889" s="3" t="inlineStr">
        <is>
          <t>C4</t>
        </is>
      </c>
      <c r="O889" s="3" t="inlineStr">
        <is>
          <t>si</t>
        </is>
      </c>
      <c r="P889" s="3" t="inlineStr">
        <is>
          <t>no_vota</t>
        </is>
      </c>
      <c r="Q889" s="3" t="inlineStr">
        <is>
          <t>panel_covariables</t>
        </is>
      </c>
      <c r="R889" s="3" t="n"/>
      <c r="S889" s="3" t="inlineStr">
        <is>
          <t>contraste regional (R6); no vota</t>
        </is>
      </c>
      <c r="T889" s="3" t="inlineStr">
        <is>
          <t>output/v8/F5/atribucion_combinada.csv</t>
        </is>
      </c>
      <c r="U889" s="2">
        <f>IF(R889=0,"",F889/R889)</f>
        <v/>
      </c>
      <c r="V889" s="2">
        <f>SUMIFS(F$2:F$1589,A$2:A$1589,A889,C$2:C$1589,C889,E$2:E$1589,E889,Q$2:Q$1589,Q889)</f>
        <v/>
      </c>
    </row>
    <row r="890">
      <c r="A890" s="3" t="inlineStr">
        <is>
          <t>compra</t>
        </is>
      </c>
      <c r="B890" s="3" t="inlineStr">
        <is>
          <t>ccaa:16</t>
        </is>
      </c>
      <c r="C890" s="3" t="inlineStr">
        <is>
          <t>P4</t>
        </is>
      </c>
      <c r="D890" s="3" t="inlineStr">
        <is>
          <t>demanda_externa</t>
        </is>
      </c>
      <c r="E890" s="3" t="inlineStr">
        <is>
          <t>regional_panel</t>
        </is>
      </c>
      <c r="F890" s="3" t="n">
        <v>0.0689978</v>
      </c>
      <c r="G890" s="3" t="n"/>
      <c r="H890" s="3" t="n"/>
      <c r="I890" s="3" t="n">
        <v>-0.0179168</v>
      </c>
      <c r="J890" s="3" t="n">
        <v>-0.0740315</v>
      </c>
      <c r="K890" s="3" t="n">
        <v>0.131742</v>
      </c>
      <c r="L890" s="3" t="n">
        <v>-0.198365</v>
      </c>
      <c r="M890" s="3" t="n">
        <v>0.239301</v>
      </c>
      <c r="N890" s="3" t="inlineStr">
        <is>
          <t>C4</t>
        </is>
      </c>
      <c r="O890" s="3" t="inlineStr">
        <is>
          <t>si</t>
        </is>
      </c>
      <c r="P890" s="3" t="inlineStr">
        <is>
          <t>no_vota</t>
        </is>
      </c>
      <c r="Q890" s="3" t="inlineStr">
        <is>
          <t>panel_covariables</t>
        </is>
      </c>
      <c r="R890" s="3" t="n"/>
      <c r="S890" s="3" t="inlineStr">
        <is>
          <t>contraste regional (R6); no vota</t>
        </is>
      </c>
      <c r="T890" s="3" t="inlineStr">
        <is>
          <t>output/v8/F5/atribucion_combinada.csv</t>
        </is>
      </c>
      <c r="U890" s="2">
        <f>IF(R890=0,"",F890/R890)</f>
        <v/>
      </c>
      <c r="V890" s="2">
        <f>SUMIFS(F$2:F$1589,A$2:A$1589,A890,C$2:C$1589,C890,E$2:E$1589,E890,Q$2:Q$1589,Q890)</f>
        <v/>
      </c>
    </row>
    <row r="891">
      <c r="A891" s="3" t="inlineStr">
        <is>
          <t>compra</t>
        </is>
      </c>
      <c r="B891" s="3" t="inlineStr">
        <is>
          <t>ccaa:16</t>
        </is>
      </c>
      <c r="C891" s="3" t="inlineStr">
        <is>
          <t>P4</t>
        </is>
      </c>
      <c r="D891" s="3" t="inlineStr">
        <is>
          <t>residuo</t>
        </is>
      </c>
      <c r="E891" s="3" t="inlineStr">
        <is>
          <t>regional_panel</t>
        </is>
      </c>
      <c r="F891" s="3" t="n">
        <v>-2.15929</v>
      </c>
      <c r="G891" s="3" t="n"/>
      <c r="H891" s="3" t="n"/>
      <c r="I891" s="3" t="n">
        <v>0.560708</v>
      </c>
      <c r="J891" s="3" t="n">
        <v>-4.38931</v>
      </c>
      <c r="K891" s="3" t="n">
        <v>-0.07422579999999999</v>
      </c>
      <c r="L891" s="3" t="n">
        <v>-7.07133</v>
      </c>
      <c r="M891" s="3" t="n">
        <v>2.63553</v>
      </c>
      <c r="N891" s="3" t="inlineStr">
        <is>
          <t>C4</t>
        </is>
      </c>
      <c r="O891" s="3" t="inlineStr">
        <is>
          <t>no</t>
        </is>
      </c>
      <c r="P891" s="3" t="inlineStr">
        <is>
          <t>no_compite</t>
        </is>
      </c>
      <c r="Q891" s="3" t="inlineStr">
        <is>
          <t>panel_covariables</t>
        </is>
      </c>
      <c r="R891" s="3" t="n"/>
      <c r="S891" s="3" t="inlineStr">
        <is>
          <t>contraste regional (R6); no vota</t>
        </is>
      </c>
      <c r="T891" s="3" t="inlineStr">
        <is>
          <t>output/v8/F5/atribucion_combinada.csv</t>
        </is>
      </c>
      <c r="U891" s="2">
        <f>IF(R891=0,"",F891/R891)</f>
        <v/>
      </c>
      <c r="V891" s="2">
        <f>SUMIFS(F$2:F$1589,A$2:A$1589,A891,C$2:C$1589,C891,E$2:E$1589,E891,Q$2:Q$1589,Q891)</f>
        <v/>
      </c>
    </row>
    <row r="892">
      <c r="A892" s="3" t="inlineStr">
        <is>
          <t>compra</t>
        </is>
      </c>
      <c r="B892" s="3" t="inlineStr">
        <is>
          <t>ccaa:17</t>
        </is>
      </c>
      <c r="C892" s="3" t="inlineStr">
        <is>
          <t>P4</t>
        </is>
      </c>
      <c r="D892" s="3" t="inlineStr">
        <is>
          <t>factor_comun</t>
        </is>
      </c>
      <c r="E892" s="3" t="inlineStr">
        <is>
          <t>regional_panel</t>
        </is>
      </c>
      <c r="F892" s="3" t="n">
        <v>-4.21608</v>
      </c>
      <c r="G892" s="3" t="n"/>
      <c r="H892" s="3" t="n"/>
      <c r="I892" s="3" t="n">
        <v>1.08399</v>
      </c>
      <c r="J892" s="3" t="n">
        <v>-5.07352</v>
      </c>
      <c r="K892" s="3" t="n">
        <v>-2.674</v>
      </c>
      <c r="L892" s="3" t="n">
        <v>-5.88849</v>
      </c>
      <c r="M892" s="3" t="n">
        <v>-1.76843</v>
      </c>
      <c r="N892" s="3" t="inlineStr">
        <is>
          <t>C4</t>
        </is>
      </c>
      <c r="O892" s="3" t="inlineStr">
        <is>
          <t>no</t>
        </is>
      </c>
      <c r="P892" s="3" t="inlineStr">
        <is>
          <t>no_compite</t>
        </is>
      </c>
      <c r="Q892" s="3" t="inlineStr">
        <is>
          <t>panel_covariables</t>
        </is>
      </c>
      <c r="R892" s="3" t="n"/>
      <c r="S892" s="3" t="inlineStr">
        <is>
          <t>contraste regional (R6); no vota</t>
        </is>
      </c>
      <c r="T892" s="3" t="inlineStr">
        <is>
          <t>output/v8/F5/atribucion_combinada.csv</t>
        </is>
      </c>
      <c r="U892" s="2">
        <f>IF(R892=0,"",F892/R892)</f>
        <v/>
      </c>
      <c r="V892" s="2">
        <f>SUMIFS(F$2:F$1589,A$2:A$1589,A892,C$2:C$1589,C892,E$2:E$1589,E892,Q$2:Q$1589,Q892)</f>
        <v/>
      </c>
    </row>
    <row r="893">
      <c r="A893" s="3" t="inlineStr">
        <is>
          <t>compra</t>
        </is>
      </c>
      <c r="B893" s="3" t="inlineStr">
        <is>
          <t>ccaa:17</t>
        </is>
      </c>
      <c r="C893" s="3" t="inlineStr">
        <is>
          <t>P4</t>
        </is>
      </c>
      <c r="D893" s="3" t="inlineStr">
        <is>
          <t>empleo_renta</t>
        </is>
      </c>
      <c r="E893" s="3" t="inlineStr">
        <is>
          <t>regional_panel</t>
        </is>
      </c>
      <c r="F893" s="3" t="n">
        <v>-0.429788</v>
      </c>
      <c r="G893" s="3" t="n"/>
      <c r="H893" s="3" t="n"/>
      <c r="I893" s="3" t="n">
        <v>0.110502</v>
      </c>
      <c r="J893" s="3" t="n">
        <v>-0.565769</v>
      </c>
      <c r="K893" s="3" t="n">
        <v>0.20377</v>
      </c>
      <c r="L893" s="3" t="n">
        <v>-0.917</v>
      </c>
      <c r="M893" s="3" t="n">
        <v>0.953025</v>
      </c>
      <c r="N893" s="3" t="inlineStr">
        <is>
          <t>C4</t>
        </is>
      </c>
      <c r="O893" s="3" t="inlineStr">
        <is>
          <t>si</t>
        </is>
      </c>
      <c r="P893" s="3" t="inlineStr">
        <is>
          <t>no_vota</t>
        </is>
      </c>
      <c r="Q893" s="3" t="inlineStr">
        <is>
          <t>panel_covariables</t>
        </is>
      </c>
      <c r="R893" s="3" t="n"/>
      <c r="S893" s="3" t="inlineStr">
        <is>
          <t>contraste regional (R6); no vota</t>
        </is>
      </c>
      <c r="T893" s="3" t="inlineStr">
        <is>
          <t>output/v8/F5/atribucion_combinada.csv</t>
        </is>
      </c>
      <c r="U893" s="2">
        <f>IF(R893=0,"",F893/R893)</f>
        <v/>
      </c>
      <c r="V893" s="2">
        <f>SUMIFS(F$2:F$1589,A$2:A$1589,A893,C$2:C$1589,C893,E$2:E$1589,E893,Q$2:Q$1589,Q893)</f>
        <v/>
      </c>
    </row>
    <row r="894">
      <c r="A894" s="3" t="inlineStr">
        <is>
          <t>compra</t>
        </is>
      </c>
      <c r="B894" s="3" t="inlineStr">
        <is>
          <t>ccaa:17</t>
        </is>
      </c>
      <c r="C894" s="3" t="inlineStr">
        <is>
          <t>P4</t>
        </is>
      </c>
      <c r="D894" s="3" t="inlineStr">
        <is>
          <t>demografia</t>
        </is>
      </c>
      <c r="E894" s="3" t="inlineStr">
        <is>
          <t>regional_panel</t>
        </is>
      </c>
      <c r="F894" s="3" t="n">
        <v>1.55439</v>
      </c>
      <c r="G894" s="3" t="n"/>
      <c r="H894" s="3" t="n"/>
      <c r="I894" s="3" t="n">
        <v>-0.399649</v>
      </c>
      <c r="J894" s="3" t="n">
        <v>0.731807</v>
      </c>
      <c r="K894" s="3" t="n">
        <v>2.14424</v>
      </c>
      <c r="L894" s="3" t="n">
        <v>-0.544698</v>
      </c>
      <c r="M894" s="3" t="n">
        <v>2.50393</v>
      </c>
      <c r="N894" s="3" t="inlineStr">
        <is>
          <t>C4</t>
        </is>
      </c>
      <c r="O894" s="3" t="inlineStr">
        <is>
          <t>si</t>
        </is>
      </c>
      <c r="P894" s="3" t="inlineStr">
        <is>
          <t>no_vota</t>
        </is>
      </c>
      <c r="Q894" s="3" t="inlineStr">
        <is>
          <t>panel_covariables</t>
        </is>
      </c>
      <c r="R894" s="3" t="n"/>
      <c r="S894" s="3" t="inlineStr">
        <is>
          <t>contraste regional (R6); no vota</t>
        </is>
      </c>
      <c r="T894" s="3" t="inlineStr">
        <is>
          <t>output/v8/F5/atribucion_combinada.csv</t>
        </is>
      </c>
      <c r="U894" s="2">
        <f>IF(R894=0,"",F894/R894)</f>
        <v/>
      </c>
      <c r="V894" s="2">
        <f>SUMIFS(F$2:F$1589,A$2:A$1589,A894,C$2:C$1589,C894,E$2:E$1589,E894,Q$2:Q$1589,Q894)</f>
        <v/>
      </c>
    </row>
    <row r="895">
      <c r="A895" s="3" t="inlineStr">
        <is>
          <t>compra</t>
        </is>
      </c>
      <c r="B895" s="3" t="inlineStr">
        <is>
          <t>ccaa:17</t>
        </is>
      </c>
      <c r="C895" s="3" t="inlineStr">
        <is>
          <t>P4</t>
        </is>
      </c>
      <c r="D895" s="3" t="inlineStr">
        <is>
          <t>oferta</t>
        </is>
      </c>
      <c r="E895" s="3" t="inlineStr">
        <is>
          <t>regional_panel</t>
        </is>
      </c>
      <c r="F895" s="3" t="n">
        <v>0.0495255</v>
      </c>
      <c r="G895" s="3" t="n"/>
      <c r="H895" s="3" t="n"/>
      <c r="I895" s="3" t="n">
        <v>-0.0127335</v>
      </c>
      <c r="J895" s="3" t="n">
        <v>0.000946049</v>
      </c>
      <c r="K895" s="3" t="n">
        <v>0.109563</v>
      </c>
      <c r="L895" s="3" t="n">
        <v>-0.0703303</v>
      </c>
      <c r="M895" s="3" t="n">
        <v>0.167347</v>
      </c>
      <c r="N895" s="3" t="inlineStr">
        <is>
          <t>C4</t>
        </is>
      </c>
      <c r="O895" s="3" t="inlineStr">
        <is>
          <t>si</t>
        </is>
      </c>
      <c r="P895" s="3" t="inlineStr">
        <is>
          <t>no_vota</t>
        </is>
      </c>
      <c r="Q895" s="3" t="inlineStr">
        <is>
          <t>panel_covariables</t>
        </is>
      </c>
      <c r="R895" s="3" t="n"/>
      <c r="S895" s="3" t="inlineStr">
        <is>
          <t>contraste regional (R6); no vota</t>
        </is>
      </c>
      <c r="T895" s="3" t="inlineStr">
        <is>
          <t>output/v8/F5/atribucion_combinada.csv</t>
        </is>
      </c>
      <c r="U895" s="2">
        <f>IF(R895=0,"",F895/R895)</f>
        <v/>
      </c>
      <c r="V895" s="2">
        <f>SUMIFS(F$2:F$1589,A$2:A$1589,A895,C$2:C$1589,C895,E$2:E$1589,E895,Q$2:Q$1589,Q895)</f>
        <v/>
      </c>
    </row>
    <row r="896">
      <c r="A896" s="3" t="inlineStr">
        <is>
          <t>compra</t>
        </is>
      </c>
      <c r="B896" s="3" t="inlineStr">
        <is>
          <t>ccaa:17</t>
        </is>
      </c>
      <c r="C896" s="3" t="inlineStr">
        <is>
          <t>P4</t>
        </is>
      </c>
      <c r="D896" s="3" t="inlineStr">
        <is>
          <t>demanda_externa</t>
        </is>
      </c>
      <c r="E896" s="3" t="inlineStr">
        <is>
          <t>regional_panel</t>
        </is>
      </c>
      <c r="F896" s="3" t="n">
        <v>0.113213</v>
      </c>
      <c r="G896" s="3" t="n"/>
      <c r="H896" s="3" t="n"/>
      <c r="I896" s="3" t="n">
        <v>-0.0291082</v>
      </c>
      <c r="J896" s="3" t="n">
        <v>-0.0711296</v>
      </c>
      <c r="K896" s="3" t="n">
        <v>0.227739</v>
      </c>
      <c r="L896" s="3" t="n">
        <v>-0.233757</v>
      </c>
      <c r="M896" s="3" t="n">
        <v>0.420108</v>
      </c>
      <c r="N896" s="3" t="inlineStr">
        <is>
          <t>C4</t>
        </is>
      </c>
      <c r="O896" s="3" t="inlineStr">
        <is>
          <t>si</t>
        </is>
      </c>
      <c r="P896" s="3" t="inlineStr">
        <is>
          <t>no_vota</t>
        </is>
      </c>
      <c r="Q896" s="3" t="inlineStr">
        <is>
          <t>panel_covariables</t>
        </is>
      </c>
      <c r="R896" s="3" t="n"/>
      <c r="S896" s="3" t="inlineStr">
        <is>
          <t>contraste regional (R6); no vota</t>
        </is>
      </c>
      <c r="T896" s="3" t="inlineStr">
        <is>
          <t>output/v8/F5/atribucion_combinada.csv</t>
        </is>
      </c>
      <c r="U896" s="2">
        <f>IF(R896=0,"",F896/R896)</f>
        <v/>
      </c>
      <c r="V896" s="2">
        <f>SUMIFS(F$2:F$1589,A$2:A$1589,A896,C$2:C$1589,C896,E$2:E$1589,E896,Q$2:Q$1589,Q896)</f>
        <v/>
      </c>
    </row>
    <row r="897">
      <c r="A897" s="3" t="inlineStr">
        <is>
          <t>compra</t>
        </is>
      </c>
      <c r="B897" s="3" t="inlineStr">
        <is>
          <t>ccaa:17</t>
        </is>
      </c>
      <c r="C897" s="3" t="inlineStr">
        <is>
          <t>P4</t>
        </is>
      </c>
      <c r="D897" s="3" t="inlineStr">
        <is>
          <t>residuo</t>
        </is>
      </c>
      <c r="E897" s="3" t="inlineStr">
        <is>
          <t>regional_panel</t>
        </is>
      </c>
      <c r="F897" s="3" t="n">
        <v>-0.960654</v>
      </c>
      <c r="G897" s="3" t="n"/>
      <c r="H897" s="3" t="n"/>
      <c r="I897" s="3" t="n">
        <v>0.246993</v>
      </c>
      <c r="J897" s="3" t="n">
        <v>-3.86414</v>
      </c>
      <c r="K897" s="3" t="n">
        <v>1.30894</v>
      </c>
      <c r="L897" s="3" t="n">
        <v>-5.33386</v>
      </c>
      <c r="M897" s="3" t="n">
        <v>3.41412</v>
      </c>
      <c r="N897" s="3" t="inlineStr">
        <is>
          <t>C4</t>
        </is>
      </c>
      <c r="O897" s="3" t="inlineStr">
        <is>
          <t>no</t>
        </is>
      </c>
      <c r="P897" s="3" t="inlineStr">
        <is>
          <t>no_compite</t>
        </is>
      </c>
      <c r="Q897" s="3" t="inlineStr">
        <is>
          <t>panel_covariables</t>
        </is>
      </c>
      <c r="R897" s="3" t="n"/>
      <c r="S897" s="3" t="inlineStr">
        <is>
          <t>contraste regional (R6); no vota</t>
        </is>
      </c>
      <c r="T897" s="3" t="inlineStr">
        <is>
          <t>output/v8/F5/atribucion_combinada.csv</t>
        </is>
      </c>
      <c r="U897" s="2">
        <f>IF(R897=0,"",F897/R897)</f>
        <v/>
      </c>
      <c r="V897" s="2">
        <f>SUMIFS(F$2:F$1589,A$2:A$1589,A897,C$2:C$1589,C897,E$2:E$1589,E897,Q$2:Q$1589,Q897)</f>
        <v/>
      </c>
    </row>
    <row r="898">
      <c r="A898" s="3" t="inlineStr">
        <is>
          <t>compra</t>
        </is>
      </c>
      <c r="B898" s="3" t="inlineStr">
        <is>
          <t>ccaa:01</t>
        </is>
      </c>
      <c r="C898" s="3" t="inlineStr">
        <is>
          <t>P5</t>
        </is>
      </c>
      <c r="D898" s="3" t="inlineStr">
        <is>
          <t>factor_comun</t>
        </is>
      </c>
      <c r="E898" s="3" t="inlineStr">
        <is>
          <t>regional_panel</t>
        </is>
      </c>
      <c r="F898" s="3" t="n">
        <v>1.50215</v>
      </c>
      <c r="G898" s="3" t="n"/>
      <c r="H898" s="3" t="n"/>
      <c r="I898" s="3" t="n">
        <v>0.251002</v>
      </c>
      <c r="J898" s="3" t="n">
        <v>-1.20824</v>
      </c>
      <c r="K898" s="3" t="n">
        <v>4.46537</v>
      </c>
      <c r="L898" s="3" t="n">
        <v>-3.65444</v>
      </c>
      <c r="M898" s="3" t="n">
        <v>6.28506</v>
      </c>
      <c r="N898" s="3" t="inlineStr">
        <is>
          <t>C4</t>
        </is>
      </c>
      <c r="O898" s="3" t="inlineStr">
        <is>
          <t>no</t>
        </is>
      </c>
      <c r="P898" s="3" t="inlineStr">
        <is>
          <t>no_compite</t>
        </is>
      </c>
      <c r="Q898" s="3" t="inlineStr">
        <is>
          <t>panel_covariables</t>
        </is>
      </c>
      <c r="R898" s="3" t="n"/>
      <c r="S898" s="3" t="inlineStr">
        <is>
          <t>contraste regional (R6); no vota</t>
        </is>
      </c>
      <c r="T898" s="3" t="inlineStr">
        <is>
          <t>output/v8/F5/atribucion_combinada.csv</t>
        </is>
      </c>
      <c r="U898" s="2">
        <f>IF(R898=0,"",F898/R898)</f>
        <v/>
      </c>
      <c r="V898" s="2">
        <f>SUMIFS(F$2:F$1589,A$2:A$1589,A898,C$2:C$1589,C898,E$2:E$1589,E898,Q$2:Q$1589,Q898)</f>
        <v/>
      </c>
    </row>
    <row r="899">
      <c r="A899" s="3" t="inlineStr">
        <is>
          <t>compra</t>
        </is>
      </c>
      <c r="B899" s="3" t="inlineStr">
        <is>
          <t>ccaa:01</t>
        </is>
      </c>
      <c r="C899" s="3" t="inlineStr">
        <is>
          <t>P5</t>
        </is>
      </c>
      <c r="D899" s="3" t="inlineStr">
        <is>
          <t>empleo_renta</t>
        </is>
      </c>
      <c r="E899" s="3" t="inlineStr">
        <is>
          <t>regional_panel</t>
        </is>
      </c>
      <c r="F899" s="3" t="n">
        <v>0.486564</v>
      </c>
      <c r="G899" s="3" t="n"/>
      <c r="H899" s="3" t="n"/>
      <c r="I899" s="3" t="n">
        <v>0.08130270000000001</v>
      </c>
      <c r="J899" s="3" t="n">
        <v>0.08679820000000001</v>
      </c>
      <c r="K899" s="3" t="n">
        <v>1.34829</v>
      </c>
      <c r="L899" s="3" t="n">
        <v>-0.294514</v>
      </c>
      <c r="M899" s="3" t="n">
        <v>1.70903</v>
      </c>
      <c r="N899" s="3" t="inlineStr">
        <is>
          <t>C4</t>
        </is>
      </c>
      <c r="O899" s="3" t="inlineStr">
        <is>
          <t>si</t>
        </is>
      </c>
      <c r="P899" s="3" t="inlineStr">
        <is>
          <t>no_vota</t>
        </is>
      </c>
      <c r="Q899" s="3" t="inlineStr">
        <is>
          <t>panel_covariables</t>
        </is>
      </c>
      <c r="R899" s="3" t="n"/>
      <c r="S899" s="3" t="inlineStr">
        <is>
          <t>contraste regional (R6); no vota</t>
        </is>
      </c>
      <c r="T899" s="3" t="inlineStr">
        <is>
          <t>output/v8/F5/atribucion_combinada.csv</t>
        </is>
      </c>
      <c r="U899" s="2">
        <f>IF(R899=0,"",F899/R899)</f>
        <v/>
      </c>
      <c r="V899" s="2">
        <f>SUMIFS(F$2:F$1589,A$2:A$1589,A899,C$2:C$1589,C899,E$2:E$1589,E899,Q$2:Q$1589,Q899)</f>
        <v/>
      </c>
    </row>
    <row r="900">
      <c r="A900" s="3" t="inlineStr">
        <is>
          <t>compra</t>
        </is>
      </c>
      <c r="B900" s="3" t="inlineStr">
        <is>
          <t>ccaa:01</t>
        </is>
      </c>
      <c r="C900" s="3" t="inlineStr">
        <is>
          <t>P5</t>
        </is>
      </c>
      <c r="D900" s="3" t="inlineStr">
        <is>
          <t>demografia</t>
        </is>
      </c>
      <c r="E900" s="3" t="inlineStr">
        <is>
          <t>regional_panel</t>
        </is>
      </c>
      <c r="F900" s="3" t="n">
        <v>-0.628011</v>
      </c>
      <c r="G900" s="3" t="n"/>
      <c r="H900" s="3" t="n"/>
      <c r="I900" s="3" t="n">
        <v>-0.104938</v>
      </c>
      <c r="J900" s="3" t="n">
        <v>-2.38306</v>
      </c>
      <c r="K900" s="3" t="n">
        <v>0.984057</v>
      </c>
      <c r="L900" s="3" t="n">
        <v>-4.10846</v>
      </c>
      <c r="M900" s="3" t="n">
        <v>2.17308</v>
      </c>
      <c r="N900" s="3" t="inlineStr">
        <is>
          <t>C4</t>
        </is>
      </c>
      <c r="O900" s="3" t="inlineStr">
        <is>
          <t>si</t>
        </is>
      </c>
      <c r="P900" s="3" t="inlineStr">
        <is>
          <t>no_vota</t>
        </is>
      </c>
      <c r="Q900" s="3" t="inlineStr">
        <is>
          <t>panel_covariables</t>
        </is>
      </c>
      <c r="R900" s="3" t="n"/>
      <c r="S900" s="3" t="inlineStr">
        <is>
          <t>contraste regional (R6); no vota</t>
        </is>
      </c>
      <c r="T900" s="3" t="inlineStr">
        <is>
          <t>output/v8/F5/atribucion_combinada.csv</t>
        </is>
      </c>
      <c r="U900" s="2">
        <f>IF(R900=0,"",F900/R900)</f>
        <v/>
      </c>
      <c r="V900" s="2">
        <f>SUMIFS(F$2:F$1589,A$2:A$1589,A900,C$2:C$1589,C900,E$2:E$1589,E900,Q$2:Q$1589,Q900)</f>
        <v/>
      </c>
    </row>
    <row r="901">
      <c r="A901" s="3" t="inlineStr">
        <is>
          <t>compra</t>
        </is>
      </c>
      <c r="B901" s="3" t="inlineStr">
        <is>
          <t>ccaa:01</t>
        </is>
      </c>
      <c r="C901" s="3" t="inlineStr">
        <is>
          <t>P5</t>
        </is>
      </c>
      <c r="D901" s="3" t="inlineStr">
        <is>
          <t>oferta</t>
        </is>
      </c>
      <c r="E901" s="3" t="inlineStr">
        <is>
          <t>regional_panel</t>
        </is>
      </c>
      <c r="F901" s="3" t="n">
        <v>0.00075309</v>
      </c>
      <c r="G901" s="3" t="n"/>
      <c r="H901" s="3" t="n"/>
      <c r="I901" s="3" t="n">
        <v>0.000125838</v>
      </c>
      <c r="J901" s="3" t="n">
        <v>-0.084079</v>
      </c>
      <c r="K901" s="3" t="n">
        <v>0.0411508</v>
      </c>
      <c r="L901" s="3" t="n">
        <v>-0.196999</v>
      </c>
      <c r="M901" s="3" t="n">
        <v>0.113215</v>
      </c>
      <c r="N901" s="3" t="inlineStr">
        <is>
          <t>C4</t>
        </is>
      </c>
      <c r="O901" s="3" t="inlineStr">
        <is>
          <t>si</t>
        </is>
      </c>
      <c r="P901" s="3" t="inlineStr">
        <is>
          <t>no_vota</t>
        </is>
      </c>
      <c r="Q901" s="3" t="inlineStr">
        <is>
          <t>panel_covariables</t>
        </is>
      </c>
      <c r="R901" s="3" t="n"/>
      <c r="S901" s="3" t="inlineStr">
        <is>
          <t>contraste regional (R6); no vota</t>
        </is>
      </c>
      <c r="T901" s="3" t="inlineStr">
        <is>
          <t>output/v8/F5/atribucion_combinada.csv</t>
        </is>
      </c>
      <c r="U901" s="2">
        <f>IF(R901=0,"",F901/R901)</f>
        <v/>
      </c>
      <c r="V901" s="2">
        <f>SUMIFS(F$2:F$1589,A$2:A$1589,A901,C$2:C$1589,C901,E$2:E$1589,E901,Q$2:Q$1589,Q901)</f>
        <v/>
      </c>
    </row>
    <row r="902">
      <c r="A902" s="3" t="inlineStr">
        <is>
          <t>compra</t>
        </is>
      </c>
      <c r="B902" s="3" t="inlineStr">
        <is>
          <t>ccaa:01</t>
        </is>
      </c>
      <c r="C902" s="3" t="inlineStr">
        <is>
          <t>P5</t>
        </is>
      </c>
      <c r="D902" s="3" t="inlineStr">
        <is>
          <t>demanda_externa</t>
        </is>
      </c>
      <c r="E902" s="3" t="inlineStr">
        <is>
          <t>regional_panel</t>
        </is>
      </c>
      <c r="F902" s="3" t="n">
        <v>-0.00653596</v>
      </c>
      <c r="G902" s="3" t="n"/>
      <c r="H902" s="3" t="n"/>
      <c r="I902" s="3" t="n">
        <v>-0.00109213</v>
      </c>
      <c r="J902" s="3" t="n">
        <v>-0.180231</v>
      </c>
      <c r="K902" s="3" t="n">
        <v>0.0601708</v>
      </c>
      <c r="L902" s="3" t="n">
        <v>-0.490167</v>
      </c>
      <c r="M902" s="3" t="n">
        <v>0.163719</v>
      </c>
      <c r="N902" s="3" t="inlineStr">
        <is>
          <t>C4</t>
        </is>
      </c>
      <c r="O902" s="3" t="inlineStr">
        <is>
          <t>si</t>
        </is>
      </c>
      <c r="P902" s="3" t="inlineStr">
        <is>
          <t>no_vota</t>
        </is>
      </c>
      <c r="Q902" s="3" t="inlineStr">
        <is>
          <t>panel_covariables</t>
        </is>
      </c>
      <c r="R902" s="3" t="n"/>
      <c r="S902" s="3" t="inlineStr">
        <is>
          <t>contraste regional (R6); no vota</t>
        </is>
      </c>
      <c r="T902" s="3" t="inlineStr">
        <is>
          <t>output/v8/F5/atribucion_combinada.csv</t>
        </is>
      </c>
      <c r="U902" s="2">
        <f>IF(R902=0,"",F902/R902)</f>
        <v/>
      </c>
      <c r="V902" s="2">
        <f>SUMIFS(F$2:F$1589,A$2:A$1589,A902,C$2:C$1589,C902,E$2:E$1589,E902,Q$2:Q$1589,Q902)</f>
        <v/>
      </c>
    </row>
    <row r="903">
      <c r="A903" s="3" t="inlineStr">
        <is>
          <t>compra</t>
        </is>
      </c>
      <c r="B903" s="3" t="inlineStr">
        <is>
          <t>ccaa:01</t>
        </is>
      </c>
      <c r="C903" s="3" t="inlineStr">
        <is>
          <t>P5</t>
        </is>
      </c>
      <c r="D903" s="3" t="inlineStr">
        <is>
          <t>residuo</t>
        </is>
      </c>
      <c r="E903" s="3" t="inlineStr">
        <is>
          <t>regional_panel</t>
        </is>
      </c>
      <c r="F903" s="3" t="n">
        <v>4.62968</v>
      </c>
      <c r="G903" s="3" t="n"/>
      <c r="H903" s="3" t="n"/>
      <c r="I903" s="3" t="n">
        <v>0.773599</v>
      </c>
      <c r="J903" s="3" t="n">
        <v>2.34771</v>
      </c>
      <c r="K903" s="3" t="n">
        <v>7.07017</v>
      </c>
      <c r="L903" s="3" t="n">
        <v>0.903345</v>
      </c>
      <c r="M903" s="3" t="n">
        <v>8.68154</v>
      </c>
      <c r="N903" s="3" t="inlineStr">
        <is>
          <t>C4</t>
        </is>
      </c>
      <c r="O903" s="3" t="inlineStr">
        <is>
          <t>no</t>
        </is>
      </c>
      <c r="P903" s="3" t="inlineStr">
        <is>
          <t>no_compite</t>
        </is>
      </c>
      <c r="Q903" s="3" t="inlineStr">
        <is>
          <t>panel_covariables</t>
        </is>
      </c>
      <c r="R903" s="3" t="n"/>
      <c r="S903" s="3" t="inlineStr">
        <is>
          <t>contraste regional (R6); no vota</t>
        </is>
      </c>
      <c r="T903" s="3" t="inlineStr">
        <is>
          <t>output/v8/F5/atribucion_combinada.csv</t>
        </is>
      </c>
      <c r="U903" s="2">
        <f>IF(R903=0,"",F903/R903)</f>
        <v/>
      </c>
      <c r="V903" s="2">
        <f>SUMIFS(F$2:F$1589,A$2:A$1589,A903,C$2:C$1589,C903,E$2:E$1589,E903,Q$2:Q$1589,Q903)</f>
        <v/>
      </c>
    </row>
    <row r="904">
      <c r="A904" s="3" t="inlineStr">
        <is>
          <t>compra</t>
        </is>
      </c>
      <c r="B904" s="3" t="inlineStr">
        <is>
          <t>ccaa:02</t>
        </is>
      </c>
      <c r="C904" s="3" t="inlineStr">
        <is>
          <t>P5</t>
        </is>
      </c>
      <c r="D904" s="3" t="inlineStr">
        <is>
          <t>factor_comun</t>
        </is>
      </c>
      <c r="E904" s="3" t="inlineStr">
        <is>
          <t>regional_panel</t>
        </is>
      </c>
      <c r="F904" s="3" t="n">
        <v>1.50215</v>
      </c>
      <c r="G904" s="3" t="n"/>
      <c r="H904" s="3" t="n"/>
      <c r="I904" s="3" t="n">
        <v>0.461281</v>
      </c>
      <c r="J904" s="3" t="n">
        <v>-1.20824</v>
      </c>
      <c r="K904" s="3" t="n">
        <v>4.46537</v>
      </c>
      <c r="L904" s="3" t="n">
        <v>-3.65444</v>
      </c>
      <c r="M904" s="3" t="n">
        <v>6.28506</v>
      </c>
      <c r="N904" s="3" t="inlineStr">
        <is>
          <t>C4</t>
        </is>
      </c>
      <c r="O904" s="3" t="inlineStr">
        <is>
          <t>no</t>
        </is>
      </c>
      <c r="P904" s="3" t="inlineStr">
        <is>
          <t>no_compite</t>
        </is>
      </c>
      <c r="Q904" s="3" t="inlineStr">
        <is>
          <t>panel_covariables</t>
        </is>
      </c>
      <c r="R904" s="3" t="n"/>
      <c r="S904" s="3" t="inlineStr">
        <is>
          <t>contraste regional (R6); no vota</t>
        </is>
      </c>
      <c r="T904" s="3" t="inlineStr">
        <is>
          <t>output/v8/F5/atribucion_combinada.csv</t>
        </is>
      </c>
      <c r="U904" s="2">
        <f>IF(R904=0,"",F904/R904)</f>
        <v/>
      </c>
      <c r="V904" s="2">
        <f>SUMIFS(F$2:F$1589,A$2:A$1589,A904,C$2:C$1589,C904,E$2:E$1589,E904,Q$2:Q$1589,Q904)</f>
        <v/>
      </c>
    </row>
    <row r="905">
      <c r="A905" s="3" t="inlineStr">
        <is>
          <t>compra</t>
        </is>
      </c>
      <c r="B905" s="3" t="inlineStr">
        <is>
          <t>ccaa:02</t>
        </is>
      </c>
      <c r="C905" s="3" t="inlineStr">
        <is>
          <t>P5</t>
        </is>
      </c>
      <c r="D905" s="3" t="inlineStr">
        <is>
          <t>empleo_renta</t>
        </is>
      </c>
      <c r="E905" s="3" t="inlineStr">
        <is>
          <t>regional_panel</t>
        </is>
      </c>
      <c r="F905" s="3" t="n">
        <v>0.413467</v>
      </c>
      <c r="G905" s="3" t="n"/>
      <c r="H905" s="3" t="n"/>
      <c r="I905" s="3" t="n">
        <v>0.126968</v>
      </c>
      <c r="J905" s="3" t="n">
        <v>0.174561</v>
      </c>
      <c r="K905" s="3" t="n">
        <v>0.828376</v>
      </c>
      <c r="L905" s="3" t="n">
        <v>-0.0553161</v>
      </c>
      <c r="M905" s="3" t="n">
        <v>1.05851</v>
      </c>
      <c r="N905" s="3" t="inlineStr">
        <is>
          <t>C4</t>
        </is>
      </c>
      <c r="O905" s="3" t="inlineStr">
        <is>
          <t>si</t>
        </is>
      </c>
      <c r="P905" s="3" t="inlineStr">
        <is>
          <t>no_vota</t>
        </is>
      </c>
      <c r="Q905" s="3" t="inlineStr">
        <is>
          <t>panel_covariables</t>
        </is>
      </c>
      <c r="R905" s="3" t="n"/>
      <c r="S905" s="3" t="inlineStr">
        <is>
          <t>contraste regional (R6); no vota</t>
        </is>
      </c>
      <c r="T905" s="3" t="inlineStr">
        <is>
          <t>output/v8/F5/atribucion_combinada.csv</t>
        </is>
      </c>
      <c r="U905" s="2">
        <f>IF(R905=0,"",F905/R905)</f>
        <v/>
      </c>
      <c r="V905" s="2">
        <f>SUMIFS(F$2:F$1589,A$2:A$1589,A905,C$2:C$1589,C905,E$2:E$1589,E905,Q$2:Q$1589,Q905)</f>
        <v/>
      </c>
    </row>
    <row r="906">
      <c r="A906" s="3" t="inlineStr">
        <is>
          <t>compra</t>
        </is>
      </c>
      <c r="B906" s="3" t="inlineStr">
        <is>
          <t>ccaa:02</t>
        </is>
      </c>
      <c r="C906" s="3" t="inlineStr">
        <is>
          <t>P5</t>
        </is>
      </c>
      <c r="D906" s="3" t="inlineStr">
        <is>
          <t>demografia</t>
        </is>
      </c>
      <c r="E906" s="3" t="inlineStr">
        <is>
          <t>regional_panel</t>
        </is>
      </c>
      <c r="F906" s="3" t="n">
        <v>-0.641742</v>
      </c>
      <c r="G906" s="3" t="n"/>
      <c r="H906" s="3" t="n"/>
      <c r="I906" s="3" t="n">
        <v>-0.197067</v>
      </c>
      <c r="J906" s="3" t="n">
        <v>-3.17951</v>
      </c>
      <c r="K906" s="3" t="n">
        <v>1.76109</v>
      </c>
      <c r="L906" s="3" t="n">
        <v>-5.85879</v>
      </c>
      <c r="M906" s="3" t="n">
        <v>3.08528</v>
      </c>
      <c r="N906" s="3" t="inlineStr">
        <is>
          <t>C4</t>
        </is>
      </c>
      <c r="O906" s="3" t="inlineStr">
        <is>
          <t>si</t>
        </is>
      </c>
      <c r="P906" s="3" t="inlineStr">
        <is>
          <t>no_vota</t>
        </is>
      </c>
      <c r="Q906" s="3" t="inlineStr">
        <is>
          <t>panel_covariables</t>
        </is>
      </c>
      <c r="R906" s="3" t="n"/>
      <c r="S906" s="3" t="inlineStr">
        <is>
          <t>contraste regional (R6); no vota</t>
        </is>
      </c>
      <c r="T906" s="3" t="inlineStr">
        <is>
          <t>output/v8/F5/atribucion_combinada.csv</t>
        </is>
      </c>
      <c r="U906" s="2">
        <f>IF(R906=0,"",F906/R906)</f>
        <v/>
      </c>
      <c r="V906" s="2">
        <f>SUMIFS(F$2:F$1589,A$2:A$1589,A906,C$2:C$1589,C906,E$2:E$1589,E906,Q$2:Q$1589,Q906)</f>
        <v/>
      </c>
    </row>
    <row r="907">
      <c r="A907" s="3" t="inlineStr">
        <is>
          <t>compra</t>
        </is>
      </c>
      <c r="B907" s="3" t="inlineStr">
        <is>
          <t>ccaa:02</t>
        </is>
      </c>
      <c r="C907" s="3" t="inlineStr">
        <is>
          <t>P5</t>
        </is>
      </c>
      <c r="D907" s="3" t="inlineStr">
        <is>
          <t>oferta</t>
        </is>
      </c>
      <c r="E907" s="3" t="inlineStr">
        <is>
          <t>regional_panel</t>
        </is>
      </c>
      <c r="F907" s="3" t="n">
        <v>0.000687473</v>
      </c>
      <c r="G907" s="3" t="n"/>
      <c r="H907" s="3" t="n"/>
      <c r="I907" s="3" t="n">
        <v>0.00021111</v>
      </c>
      <c r="J907" s="3" t="n">
        <v>-0.06513389999999999</v>
      </c>
      <c r="K907" s="3" t="n">
        <v>0.120898</v>
      </c>
      <c r="L907" s="3" t="n">
        <v>-0.142325</v>
      </c>
      <c r="M907" s="3" t="n">
        <v>0.286708</v>
      </c>
      <c r="N907" s="3" t="inlineStr">
        <is>
          <t>C4</t>
        </is>
      </c>
      <c r="O907" s="3" t="inlineStr">
        <is>
          <t>si</t>
        </is>
      </c>
      <c r="P907" s="3" t="inlineStr">
        <is>
          <t>no_vota</t>
        </is>
      </c>
      <c r="Q907" s="3" t="inlineStr">
        <is>
          <t>panel_covariables</t>
        </is>
      </c>
      <c r="R907" s="3" t="n"/>
      <c r="S907" s="3" t="inlineStr">
        <is>
          <t>contraste regional (R6); no vota</t>
        </is>
      </c>
      <c r="T907" s="3" t="inlineStr">
        <is>
          <t>output/v8/F5/atribucion_combinada.csv</t>
        </is>
      </c>
      <c r="U907" s="2">
        <f>IF(R907=0,"",F907/R907)</f>
        <v/>
      </c>
      <c r="V907" s="2">
        <f>SUMIFS(F$2:F$1589,A$2:A$1589,A907,C$2:C$1589,C907,E$2:E$1589,E907,Q$2:Q$1589,Q907)</f>
        <v/>
      </c>
    </row>
    <row r="908">
      <c r="A908" s="3" t="inlineStr">
        <is>
          <t>compra</t>
        </is>
      </c>
      <c r="B908" s="3" t="inlineStr">
        <is>
          <t>ccaa:02</t>
        </is>
      </c>
      <c r="C908" s="3" t="inlineStr">
        <is>
          <t>P5</t>
        </is>
      </c>
      <c r="D908" s="3" t="inlineStr">
        <is>
          <t>demanda_externa</t>
        </is>
      </c>
      <c r="E908" s="3" t="inlineStr">
        <is>
          <t>regional_panel</t>
        </is>
      </c>
      <c r="F908" s="3" t="n">
        <v>-0.00562818</v>
      </c>
      <c r="G908" s="3" t="n"/>
      <c r="H908" s="3" t="n"/>
      <c r="I908" s="3" t="n">
        <v>-0.0017283</v>
      </c>
      <c r="J908" s="3" t="n">
        <v>-0.131934</v>
      </c>
      <c r="K908" s="3" t="n">
        <v>0.079303</v>
      </c>
      <c r="L908" s="3" t="n">
        <v>-0.41283</v>
      </c>
      <c r="M908" s="3" t="n">
        <v>0.184882</v>
      </c>
      <c r="N908" s="3" t="inlineStr">
        <is>
          <t>C4</t>
        </is>
      </c>
      <c r="O908" s="3" t="inlineStr">
        <is>
          <t>si</t>
        </is>
      </c>
      <c r="P908" s="3" t="inlineStr">
        <is>
          <t>no_vota</t>
        </is>
      </c>
      <c r="Q908" s="3" t="inlineStr">
        <is>
          <t>panel_covariables</t>
        </is>
      </c>
      <c r="R908" s="3" t="n"/>
      <c r="S908" s="3" t="inlineStr">
        <is>
          <t>contraste regional (R6); no vota</t>
        </is>
      </c>
      <c r="T908" s="3" t="inlineStr">
        <is>
          <t>output/v8/F5/atribucion_combinada.csv</t>
        </is>
      </c>
      <c r="U908" s="2">
        <f>IF(R908=0,"",F908/R908)</f>
        <v/>
      </c>
      <c r="V908" s="2">
        <f>SUMIFS(F$2:F$1589,A$2:A$1589,A908,C$2:C$1589,C908,E$2:E$1589,E908,Q$2:Q$1589,Q908)</f>
        <v/>
      </c>
    </row>
    <row r="909">
      <c r="A909" s="3" t="inlineStr">
        <is>
          <t>compra</t>
        </is>
      </c>
      <c r="B909" s="3" t="inlineStr">
        <is>
          <t>ccaa:02</t>
        </is>
      </c>
      <c r="C909" s="3" t="inlineStr">
        <is>
          <t>P5</t>
        </is>
      </c>
      <c r="D909" s="3" t="inlineStr">
        <is>
          <t>residuo</t>
        </is>
      </c>
      <c r="E909" s="3" t="inlineStr">
        <is>
          <t>regional_panel</t>
        </is>
      </c>
      <c r="F909" s="3" t="n">
        <v>1.98754</v>
      </c>
      <c r="G909" s="3" t="n"/>
      <c r="H909" s="3" t="n"/>
      <c r="I909" s="3" t="n">
        <v>0.610335</v>
      </c>
      <c r="J909" s="3" t="n">
        <v>0.375324</v>
      </c>
      <c r="K909" s="3" t="n">
        <v>3.83754</v>
      </c>
      <c r="L909" s="3" t="n">
        <v>-0.695376</v>
      </c>
      <c r="M909" s="3" t="n">
        <v>5.92714</v>
      </c>
      <c r="N909" s="3" t="inlineStr">
        <is>
          <t>C4</t>
        </is>
      </c>
      <c r="O909" s="3" t="inlineStr">
        <is>
          <t>no</t>
        </is>
      </c>
      <c r="P909" s="3" t="inlineStr">
        <is>
          <t>no_compite</t>
        </is>
      </c>
      <c r="Q909" s="3" t="inlineStr">
        <is>
          <t>panel_covariables</t>
        </is>
      </c>
      <c r="R909" s="3" t="n"/>
      <c r="S909" s="3" t="inlineStr">
        <is>
          <t>contraste regional (R6); no vota</t>
        </is>
      </c>
      <c r="T909" s="3" t="inlineStr">
        <is>
          <t>output/v8/F5/atribucion_combinada.csv</t>
        </is>
      </c>
      <c r="U909" s="2">
        <f>IF(R909=0,"",F909/R909)</f>
        <v/>
      </c>
      <c r="V909" s="2">
        <f>SUMIFS(F$2:F$1589,A$2:A$1589,A909,C$2:C$1589,C909,E$2:E$1589,E909,Q$2:Q$1589,Q909)</f>
        <v/>
      </c>
    </row>
    <row r="910">
      <c r="A910" s="3" t="inlineStr">
        <is>
          <t>compra</t>
        </is>
      </c>
      <c r="B910" s="3" t="inlineStr">
        <is>
          <t>ccaa:03</t>
        </is>
      </c>
      <c r="C910" s="3" t="inlineStr">
        <is>
          <t>P5</t>
        </is>
      </c>
      <c r="D910" s="3" t="inlineStr">
        <is>
          <t>factor_comun</t>
        </is>
      </c>
      <c r="E910" s="3" t="inlineStr">
        <is>
          <t>regional_panel</t>
        </is>
      </c>
      <c r="F910" s="3" t="n">
        <v>1.50215</v>
      </c>
      <c r="G910" s="3" t="n"/>
      <c r="H910" s="3" t="n"/>
      <c r="I910" s="3" t="n">
        <v>2.85517</v>
      </c>
      <c r="J910" s="3" t="n">
        <v>-1.20824</v>
      </c>
      <c r="K910" s="3" t="n">
        <v>4.46537</v>
      </c>
      <c r="L910" s="3" t="n">
        <v>-3.65444</v>
      </c>
      <c r="M910" s="3" t="n">
        <v>6.28506</v>
      </c>
      <c r="N910" s="3" t="inlineStr">
        <is>
          <t>C4</t>
        </is>
      </c>
      <c r="O910" s="3" t="inlineStr">
        <is>
          <t>no</t>
        </is>
      </c>
      <c r="P910" s="3" t="inlineStr">
        <is>
          <t>no_compite</t>
        </is>
      </c>
      <c r="Q910" s="3" t="inlineStr">
        <is>
          <t>panel_covariables</t>
        </is>
      </c>
      <c r="R910" s="3" t="n"/>
      <c r="S910" s="3" t="inlineStr">
        <is>
          <t>contraste regional (R6); no vota</t>
        </is>
      </c>
      <c r="T910" s="3" t="inlineStr">
        <is>
          <t>output/v8/F5/atribucion_combinada.csv</t>
        </is>
      </c>
      <c r="U910" s="2">
        <f>IF(R910=0,"",F910/R910)</f>
        <v/>
      </c>
      <c r="V910" s="2">
        <f>SUMIFS(F$2:F$1589,A$2:A$1589,A910,C$2:C$1589,C910,E$2:E$1589,E910,Q$2:Q$1589,Q910)</f>
        <v/>
      </c>
    </row>
    <row r="911">
      <c r="A911" s="3" t="inlineStr">
        <is>
          <t>compra</t>
        </is>
      </c>
      <c r="B911" s="3" t="inlineStr">
        <is>
          <t>ccaa:03</t>
        </is>
      </c>
      <c r="C911" s="3" t="inlineStr">
        <is>
          <t>P5</t>
        </is>
      </c>
      <c r="D911" s="3" t="inlineStr">
        <is>
          <t>empleo_renta</t>
        </is>
      </c>
      <c r="E911" s="3" t="inlineStr">
        <is>
          <t>regional_panel</t>
        </is>
      </c>
      <c r="F911" s="3" t="n">
        <v>1.0944</v>
      </c>
      <c r="G911" s="3" t="n"/>
      <c r="H911" s="3" t="n"/>
      <c r="I911" s="3" t="n">
        <v>2.08015</v>
      </c>
      <c r="J911" s="3" t="n">
        <v>0.704526</v>
      </c>
      <c r="K911" s="3" t="n">
        <v>2.37118</v>
      </c>
      <c r="L911" s="3" t="n">
        <v>0.542395</v>
      </c>
      <c r="M911" s="3" t="n">
        <v>3.08491</v>
      </c>
      <c r="N911" s="3" t="inlineStr">
        <is>
          <t>C4</t>
        </is>
      </c>
      <c r="O911" s="3" t="inlineStr">
        <is>
          <t>si</t>
        </is>
      </c>
      <c r="P911" s="3" t="inlineStr">
        <is>
          <t>no_vota</t>
        </is>
      </c>
      <c r="Q911" s="3" t="inlineStr">
        <is>
          <t>panel_covariables</t>
        </is>
      </c>
      <c r="R911" s="3" t="n"/>
      <c r="S911" s="3" t="inlineStr">
        <is>
          <t>contraste regional (R6); no vota</t>
        </is>
      </c>
      <c r="T911" s="3" t="inlineStr">
        <is>
          <t>output/v8/F5/atribucion_combinada.csv</t>
        </is>
      </c>
      <c r="U911" s="2">
        <f>IF(R911=0,"",F911/R911)</f>
        <v/>
      </c>
      <c r="V911" s="2">
        <f>SUMIFS(F$2:F$1589,A$2:A$1589,A911,C$2:C$1589,C911,E$2:E$1589,E911,Q$2:Q$1589,Q911)</f>
        <v/>
      </c>
    </row>
    <row r="912">
      <c r="A912" s="3" t="inlineStr">
        <is>
          <t>compra</t>
        </is>
      </c>
      <c r="B912" s="3" t="inlineStr">
        <is>
          <t>ccaa:03</t>
        </is>
      </c>
      <c r="C912" s="3" t="inlineStr">
        <is>
          <t>P5</t>
        </is>
      </c>
      <c r="D912" s="3" t="inlineStr">
        <is>
          <t>demografia</t>
        </is>
      </c>
      <c r="E912" s="3" t="inlineStr">
        <is>
          <t>regional_panel</t>
        </is>
      </c>
      <c r="F912" s="3" t="n">
        <v>-1.0916</v>
      </c>
      <c r="G912" s="3" t="n"/>
      <c r="H912" s="3" t="n"/>
      <c r="I912" s="3" t="n">
        <v>-2.07484</v>
      </c>
      <c r="J912" s="3" t="n">
        <v>-2.71593</v>
      </c>
      <c r="K912" s="3" t="n">
        <v>2.00277</v>
      </c>
      <c r="L912" s="3" t="n">
        <v>-3.8935</v>
      </c>
      <c r="M912" s="3" t="n">
        <v>3.47409</v>
      </c>
      <c r="N912" s="3" t="inlineStr">
        <is>
          <t>C4</t>
        </is>
      </c>
      <c r="O912" s="3" t="inlineStr">
        <is>
          <t>si</t>
        </is>
      </c>
      <c r="P912" s="3" t="inlineStr">
        <is>
          <t>no_vota</t>
        </is>
      </c>
      <c r="Q912" s="3" t="inlineStr">
        <is>
          <t>panel_covariables</t>
        </is>
      </c>
      <c r="R912" s="3" t="n"/>
      <c r="S912" s="3" t="inlineStr">
        <is>
          <t>contraste regional (R6); no vota</t>
        </is>
      </c>
      <c r="T912" s="3" t="inlineStr">
        <is>
          <t>output/v8/F5/atribucion_combinada.csv</t>
        </is>
      </c>
      <c r="U912" s="2">
        <f>IF(R912=0,"",F912/R912)</f>
        <v/>
      </c>
      <c r="V912" s="2">
        <f>SUMIFS(F$2:F$1589,A$2:A$1589,A912,C$2:C$1589,C912,E$2:E$1589,E912,Q$2:Q$1589,Q912)</f>
        <v/>
      </c>
    </row>
    <row r="913">
      <c r="A913" s="3" t="inlineStr">
        <is>
          <t>compra</t>
        </is>
      </c>
      <c r="B913" s="3" t="inlineStr">
        <is>
          <t>ccaa:03</t>
        </is>
      </c>
      <c r="C913" s="3" t="inlineStr">
        <is>
          <t>P5</t>
        </is>
      </c>
      <c r="D913" s="3" t="inlineStr">
        <is>
          <t>oferta</t>
        </is>
      </c>
      <c r="E913" s="3" t="inlineStr">
        <is>
          <t>regional_panel</t>
        </is>
      </c>
      <c r="F913" s="3" t="n">
        <v>-0.000127879</v>
      </c>
      <c r="G913" s="3" t="n"/>
      <c r="H913" s="3" t="n"/>
      <c r="I913" s="3" t="n">
        <v>-0.000243062</v>
      </c>
      <c r="J913" s="3" t="n">
        <v>-0.11364</v>
      </c>
      <c r="K913" s="3" t="n">
        <v>0.0153897</v>
      </c>
      <c r="L913" s="3" t="n">
        <v>-0.21371</v>
      </c>
      <c r="M913" s="3" t="n">
        <v>0.0652927</v>
      </c>
      <c r="N913" s="3" t="inlineStr">
        <is>
          <t>C4</t>
        </is>
      </c>
      <c r="O913" s="3" t="inlineStr">
        <is>
          <t>si</t>
        </is>
      </c>
      <c r="P913" s="3" t="inlineStr">
        <is>
          <t>no_vota</t>
        </is>
      </c>
      <c r="Q913" s="3" t="inlineStr">
        <is>
          <t>panel_covariables</t>
        </is>
      </c>
      <c r="R913" s="3" t="n"/>
      <c r="S913" s="3" t="inlineStr">
        <is>
          <t>contraste regional (R6); no vota</t>
        </is>
      </c>
      <c r="T913" s="3" t="inlineStr">
        <is>
          <t>output/v8/F5/atribucion_combinada.csv</t>
        </is>
      </c>
      <c r="U913" s="2">
        <f>IF(R913=0,"",F913/R913)</f>
        <v/>
      </c>
      <c r="V913" s="2">
        <f>SUMIFS(F$2:F$1589,A$2:A$1589,A913,C$2:C$1589,C913,E$2:E$1589,E913,Q$2:Q$1589,Q913)</f>
        <v/>
      </c>
    </row>
    <row r="914">
      <c r="A914" s="3" t="inlineStr">
        <is>
          <t>compra</t>
        </is>
      </c>
      <c r="B914" s="3" t="inlineStr">
        <is>
          <t>ccaa:03</t>
        </is>
      </c>
      <c r="C914" s="3" t="inlineStr">
        <is>
          <t>P5</t>
        </is>
      </c>
      <c r="D914" s="3" t="inlineStr">
        <is>
          <t>demanda_externa</t>
        </is>
      </c>
      <c r="E914" s="3" t="inlineStr">
        <is>
          <t>regional_panel</t>
        </is>
      </c>
      <c r="F914" s="3" t="n">
        <v>-0.0757326</v>
      </c>
      <c r="G914" s="3" t="n"/>
      <c r="H914" s="3" t="n"/>
      <c r="I914" s="3" t="n">
        <v>-0.143947</v>
      </c>
      <c r="J914" s="3" t="n">
        <v>-0.978306</v>
      </c>
      <c r="K914" s="3" t="n">
        <v>0.983681</v>
      </c>
      <c r="L914" s="3" t="n">
        <v>-1.69041</v>
      </c>
      <c r="M914" s="3" t="n">
        <v>1.73582</v>
      </c>
      <c r="N914" s="3" t="inlineStr">
        <is>
          <t>C4</t>
        </is>
      </c>
      <c r="O914" s="3" t="inlineStr">
        <is>
          <t>si</t>
        </is>
      </c>
      <c r="P914" s="3" t="inlineStr">
        <is>
          <t>no_vota</t>
        </is>
      </c>
      <c r="Q914" s="3" t="inlineStr">
        <is>
          <t>panel_covariables</t>
        </is>
      </c>
      <c r="R914" s="3" t="n"/>
      <c r="S914" s="3" t="inlineStr">
        <is>
          <t>contraste regional (R6); no vota</t>
        </is>
      </c>
      <c r="T914" s="3" t="inlineStr">
        <is>
          <t>output/v8/F5/atribucion_combinada.csv</t>
        </is>
      </c>
      <c r="U914" s="2">
        <f>IF(R914=0,"",F914/R914)</f>
        <v/>
      </c>
      <c r="V914" s="2">
        <f>SUMIFS(F$2:F$1589,A$2:A$1589,A914,C$2:C$1589,C914,E$2:E$1589,E914,Q$2:Q$1589,Q914)</f>
        <v/>
      </c>
    </row>
    <row r="915">
      <c r="A915" s="3" t="inlineStr">
        <is>
          <t>compra</t>
        </is>
      </c>
      <c r="B915" s="3" t="inlineStr">
        <is>
          <t>ccaa:03</t>
        </is>
      </c>
      <c r="C915" s="3" t="inlineStr">
        <is>
          <t>P5</t>
        </is>
      </c>
      <c r="D915" s="3" t="inlineStr">
        <is>
          <t>residuo</t>
        </is>
      </c>
      <c r="E915" s="3" t="inlineStr">
        <is>
          <t>regional_panel</t>
        </is>
      </c>
      <c r="F915" s="3" t="n">
        <v>-0.902969</v>
      </c>
      <c r="G915" s="3" t="n"/>
      <c r="H915" s="3" t="n"/>
      <c r="I915" s="3" t="n">
        <v>-1.71629</v>
      </c>
      <c r="J915" s="3" t="n">
        <v>-5.42317</v>
      </c>
      <c r="K915" s="3" t="n">
        <v>1.75814</v>
      </c>
      <c r="L915" s="3" t="n">
        <v>-7.88805</v>
      </c>
      <c r="M915" s="3" t="n">
        <v>3.31126</v>
      </c>
      <c r="N915" s="3" t="inlineStr">
        <is>
          <t>C4</t>
        </is>
      </c>
      <c r="O915" s="3" t="inlineStr">
        <is>
          <t>no</t>
        </is>
      </c>
      <c r="P915" s="3" t="inlineStr">
        <is>
          <t>no_compite</t>
        </is>
      </c>
      <c r="Q915" s="3" t="inlineStr">
        <is>
          <t>panel_covariables</t>
        </is>
      </c>
      <c r="R915" s="3" t="n"/>
      <c r="S915" s="3" t="inlineStr">
        <is>
          <t>contraste regional (R6); no vota</t>
        </is>
      </c>
      <c r="T915" s="3" t="inlineStr">
        <is>
          <t>output/v8/F5/atribucion_combinada.csv</t>
        </is>
      </c>
      <c r="U915" s="2">
        <f>IF(R915=0,"",F915/R915)</f>
        <v/>
      </c>
      <c r="V915" s="2">
        <f>SUMIFS(F$2:F$1589,A$2:A$1589,A915,C$2:C$1589,C915,E$2:E$1589,E915,Q$2:Q$1589,Q915)</f>
        <v/>
      </c>
    </row>
    <row r="916">
      <c r="A916" s="3" t="inlineStr">
        <is>
          <t>compra</t>
        </is>
      </c>
      <c r="B916" s="3" t="inlineStr">
        <is>
          <t>ccaa:04</t>
        </is>
      </c>
      <c r="C916" s="3" t="inlineStr">
        <is>
          <t>P5</t>
        </is>
      </c>
      <c r="D916" s="3" t="inlineStr">
        <is>
          <t>factor_comun</t>
        </is>
      </c>
      <c r="E916" s="3" t="inlineStr">
        <is>
          <t>regional_panel</t>
        </is>
      </c>
      <c r="F916" s="3" t="n">
        <v>1.50215</v>
      </c>
      <c r="G916" s="3" t="n"/>
      <c r="H916" s="3" t="n"/>
      <c r="I916" s="3" t="n">
        <v>0.115162</v>
      </c>
      <c r="J916" s="3" t="n">
        <v>-1.20824</v>
      </c>
      <c r="K916" s="3" t="n">
        <v>4.46537</v>
      </c>
      <c r="L916" s="3" t="n">
        <v>-3.65444</v>
      </c>
      <c r="M916" s="3" t="n">
        <v>6.28506</v>
      </c>
      <c r="N916" s="3" t="inlineStr">
        <is>
          <t>C4</t>
        </is>
      </c>
      <c r="O916" s="3" t="inlineStr">
        <is>
          <t>no</t>
        </is>
      </c>
      <c r="P916" s="3" t="inlineStr">
        <is>
          <t>no_compite</t>
        </is>
      </c>
      <c r="Q916" s="3" t="inlineStr">
        <is>
          <t>panel_covariables</t>
        </is>
      </c>
      <c r="R916" s="3" t="n"/>
      <c r="S916" s="3" t="inlineStr">
        <is>
          <t>contraste regional (R6); no vota</t>
        </is>
      </c>
      <c r="T916" s="3" t="inlineStr">
        <is>
          <t>output/v8/F5/atribucion_combinada.csv</t>
        </is>
      </c>
      <c r="U916" s="2">
        <f>IF(R916=0,"",F916/R916)</f>
        <v/>
      </c>
      <c r="V916" s="2">
        <f>SUMIFS(F$2:F$1589,A$2:A$1589,A916,C$2:C$1589,C916,E$2:E$1589,E916,Q$2:Q$1589,Q916)</f>
        <v/>
      </c>
    </row>
    <row r="917">
      <c r="A917" s="3" t="inlineStr">
        <is>
          <t>compra</t>
        </is>
      </c>
      <c r="B917" s="3" t="inlineStr">
        <is>
          <t>ccaa:04</t>
        </is>
      </c>
      <c r="C917" s="3" t="inlineStr">
        <is>
          <t>P5</t>
        </is>
      </c>
      <c r="D917" s="3" t="inlineStr">
        <is>
          <t>empleo_renta</t>
        </is>
      </c>
      <c r="E917" s="3" t="inlineStr">
        <is>
          <t>regional_panel</t>
        </is>
      </c>
      <c r="F917" s="3" t="n">
        <v>1.01793</v>
      </c>
      <c r="G917" s="3" t="n"/>
      <c r="H917" s="3" t="n"/>
      <c r="I917" s="3" t="n">
        <v>0.0780399</v>
      </c>
      <c r="J917" s="3" t="n">
        <v>0.422</v>
      </c>
      <c r="K917" s="3" t="n">
        <v>1.88188</v>
      </c>
      <c r="L917" s="3" t="n">
        <v>-0.132099</v>
      </c>
      <c r="M917" s="3" t="n">
        <v>2.22251</v>
      </c>
      <c r="N917" s="3" t="inlineStr">
        <is>
          <t>C4</t>
        </is>
      </c>
      <c r="O917" s="3" t="inlineStr">
        <is>
          <t>si</t>
        </is>
      </c>
      <c r="P917" s="3" t="inlineStr">
        <is>
          <t>no_vota</t>
        </is>
      </c>
      <c r="Q917" s="3" t="inlineStr">
        <is>
          <t>panel_covariables</t>
        </is>
      </c>
      <c r="R917" s="3" t="n"/>
      <c r="S917" s="3" t="inlineStr">
        <is>
          <t>contraste regional (R6); no vota</t>
        </is>
      </c>
      <c r="T917" s="3" t="inlineStr">
        <is>
          <t>output/v8/F5/atribucion_combinada.csv</t>
        </is>
      </c>
      <c r="U917" s="2">
        <f>IF(R917=0,"",F917/R917)</f>
        <v/>
      </c>
      <c r="V917" s="2">
        <f>SUMIFS(F$2:F$1589,A$2:A$1589,A917,C$2:C$1589,C917,E$2:E$1589,E917,Q$2:Q$1589,Q917)</f>
        <v/>
      </c>
    </row>
    <row r="918">
      <c r="A918" s="3" t="inlineStr">
        <is>
          <t>compra</t>
        </is>
      </c>
      <c r="B918" s="3" t="inlineStr">
        <is>
          <t>ccaa:04</t>
        </is>
      </c>
      <c r="C918" s="3" t="inlineStr">
        <is>
          <t>P5</t>
        </is>
      </c>
      <c r="D918" s="3" t="inlineStr">
        <is>
          <t>demografia</t>
        </is>
      </c>
      <c r="E918" s="3" t="inlineStr">
        <is>
          <t>regional_panel</t>
        </is>
      </c>
      <c r="F918" s="3" t="n">
        <v>-0.695611</v>
      </c>
      <c r="G918" s="3" t="n"/>
      <c r="H918" s="3" t="n"/>
      <c r="I918" s="3" t="n">
        <v>-0.0533291</v>
      </c>
      <c r="J918" s="3" t="n">
        <v>-7.38369</v>
      </c>
      <c r="K918" s="3" t="n">
        <v>3.98985</v>
      </c>
      <c r="L918" s="3" t="n">
        <v>-16.6306</v>
      </c>
      <c r="M918" s="3" t="n">
        <v>6.81415</v>
      </c>
      <c r="N918" s="3" t="inlineStr">
        <is>
          <t>C4</t>
        </is>
      </c>
      <c r="O918" s="3" t="inlineStr">
        <is>
          <t>si</t>
        </is>
      </c>
      <c r="P918" s="3" t="inlineStr">
        <is>
          <t>no_vota</t>
        </is>
      </c>
      <c r="Q918" s="3" t="inlineStr">
        <is>
          <t>panel_covariables</t>
        </is>
      </c>
      <c r="R918" s="3" t="n"/>
      <c r="S918" s="3" t="inlineStr">
        <is>
          <t>contraste regional (R6); no vota</t>
        </is>
      </c>
      <c r="T918" s="3" t="inlineStr">
        <is>
          <t>output/v8/F5/atribucion_combinada.csv</t>
        </is>
      </c>
      <c r="U918" s="2">
        <f>IF(R918=0,"",F918/R918)</f>
        <v/>
      </c>
      <c r="V918" s="2">
        <f>SUMIFS(F$2:F$1589,A$2:A$1589,A918,C$2:C$1589,C918,E$2:E$1589,E918,Q$2:Q$1589,Q918)</f>
        <v/>
      </c>
    </row>
    <row r="919">
      <c r="A919" s="3" t="inlineStr">
        <is>
          <t>compra</t>
        </is>
      </c>
      <c r="B919" s="3" t="inlineStr">
        <is>
          <t>ccaa:04</t>
        </is>
      </c>
      <c r="C919" s="3" t="inlineStr">
        <is>
          <t>P5</t>
        </is>
      </c>
      <c r="D919" s="3" t="inlineStr">
        <is>
          <t>oferta</t>
        </is>
      </c>
      <c r="E919" s="3" t="inlineStr">
        <is>
          <t>regional_panel</t>
        </is>
      </c>
      <c r="F919" s="3" t="n">
        <v>0.000424374</v>
      </c>
      <c r="G919" s="3" t="n"/>
      <c r="H919" s="3" t="n"/>
      <c r="I919" s="3" t="n">
        <v>3.25347e-05</v>
      </c>
      <c r="J919" s="3" t="n">
        <v>-0.0280684</v>
      </c>
      <c r="K919" s="3" t="n">
        <v>0.0460392</v>
      </c>
      <c r="L919" s="3" t="n">
        <v>-0.0621743</v>
      </c>
      <c r="M919" s="3" t="n">
        <v>0.10702</v>
      </c>
      <c r="N919" s="3" t="inlineStr">
        <is>
          <t>C4</t>
        </is>
      </c>
      <c r="O919" s="3" t="inlineStr">
        <is>
          <t>si</t>
        </is>
      </c>
      <c r="P919" s="3" t="inlineStr">
        <is>
          <t>no_vota</t>
        </is>
      </c>
      <c r="Q919" s="3" t="inlineStr">
        <is>
          <t>panel_covariables</t>
        </is>
      </c>
      <c r="R919" s="3" t="n"/>
      <c r="S919" s="3" t="inlineStr">
        <is>
          <t>contraste regional (R6); no vota</t>
        </is>
      </c>
      <c r="T919" s="3" t="inlineStr">
        <is>
          <t>output/v8/F5/atribucion_combinada.csv</t>
        </is>
      </c>
      <c r="U919" s="2">
        <f>IF(R919=0,"",F919/R919)</f>
        <v/>
      </c>
      <c r="V919" s="2">
        <f>SUMIFS(F$2:F$1589,A$2:A$1589,A919,C$2:C$1589,C919,E$2:E$1589,E919,Q$2:Q$1589,Q919)</f>
        <v/>
      </c>
    </row>
    <row r="920">
      <c r="A920" s="3" t="inlineStr">
        <is>
          <t>compra</t>
        </is>
      </c>
      <c r="B920" s="3" t="inlineStr">
        <is>
          <t>ccaa:04</t>
        </is>
      </c>
      <c r="C920" s="3" t="inlineStr">
        <is>
          <t>P5</t>
        </is>
      </c>
      <c r="D920" s="3" t="inlineStr">
        <is>
          <t>demanda_externa</t>
        </is>
      </c>
      <c r="E920" s="3" t="inlineStr">
        <is>
          <t>regional_panel</t>
        </is>
      </c>
      <c r="F920" s="3" t="n">
        <v>0.0351017</v>
      </c>
      <c r="G920" s="3" t="n"/>
      <c r="H920" s="3" t="n"/>
      <c r="I920" s="3" t="n">
        <v>0.00269108</v>
      </c>
      <c r="J920" s="3" t="n">
        <v>-0.50883</v>
      </c>
      <c r="K920" s="3" t="n">
        <v>0.431644</v>
      </c>
      <c r="L920" s="3" t="n">
        <v>-0.951676</v>
      </c>
      <c r="M920" s="3" t="n">
        <v>0.594739</v>
      </c>
      <c r="N920" s="3" t="inlineStr">
        <is>
          <t>C4</t>
        </is>
      </c>
      <c r="O920" s="3" t="inlineStr">
        <is>
          <t>si</t>
        </is>
      </c>
      <c r="P920" s="3" t="inlineStr">
        <is>
          <t>no_vota</t>
        </is>
      </c>
      <c r="Q920" s="3" t="inlineStr">
        <is>
          <t>panel_covariables</t>
        </is>
      </c>
      <c r="R920" s="3" t="n"/>
      <c r="S920" s="3" t="inlineStr">
        <is>
          <t>contraste regional (R6); no vota</t>
        </is>
      </c>
      <c r="T920" s="3" t="inlineStr">
        <is>
          <t>output/v8/F5/atribucion_combinada.csv</t>
        </is>
      </c>
      <c r="U920" s="2">
        <f>IF(R920=0,"",F920/R920)</f>
        <v/>
      </c>
      <c r="V920" s="2">
        <f>SUMIFS(F$2:F$1589,A$2:A$1589,A920,C$2:C$1589,C920,E$2:E$1589,E920,Q$2:Q$1589,Q920)</f>
        <v/>
      </c>
    </row>
    <row r="921">
      <c r="A921" s="3" t="inlineStr">
        <is>
          <t>compra</t>
        </is>
      </c>
      <c r="B921" s="3" t="inlineStr">
        <is>
          <t>ccaa:04</t>
        </is>
      </c>
      <c r="C921" s="3" t="inlineStr">
        <is>
          <t>P5</t>
        </is>
      </c>
      <c r="D921" s="3" t="inlineStr">
        <is>
          <t>residuo</t>
        </is>
      </c>
      <c r="E921" s="3" t="inlineStr">
        <is>
          <t>regional_panel</t>
        </is>
      </c>
      <c r="F921" s="3" t="n">
        <v>11.1837</v>
      </c>
      <c r="G921" s="3" t="n"/>
      <c r="H921" s="3" t="n"/>
      <c r="I921" s="3" t="n">
        <v>0.857403</v>
      </c>
      <c r="J921" s="3" t="n">
        <v>6.41423</v>
      </c>
      <c r="K921" s="3" t="n">
        <v>17.9072</v>
      </c>
      <c r="L921" s="3" t="n">
        <v>4.09564</v>
      </c>
      <c r="M921" s="3" t="n">
        <v>26.8409</v>
      </c>
      <c r="N921" s="3" t="inlineStr">
        <is>
          <t>C4</t>
        </is>
      </c>
      <c r="O921" s="3" t="inlineStr">
        <is>
          <t>no</t>
        </is>
      </c>
      <c r="P921" s="3" t="inlineStr">
        <is>
          <t>no_compite</t>
        </is>
      </c>
      <c r="Q921" s="3" t="inlineStr">
        <is>
          <t>panel_covariables</t>
        </is>
      </c>
      <c r="R921" s="3" t="n"/>
      <c r="S921" s="3" t="inlineStr">
        <is>
          <t>contraste regional (R6); no vota</t>
        </is>
      </c>
      <c r="T921" s="3" t="inlineStr">
        <is>
          <t>output/v8/F5/atribucion_combinada.csv</t>
        </is>
      </c>
      <c r="U921" s="2">
        <f>IF(R921=0,"",F921/R921)</f>
        <v/>
      </c>
      <c r="V921" s="2">
        <f>SUMIFS(F$2:F$1589,A$2:A$1589,A921,C$2:C$1589,C921,E$2:E$1589,E921,Q$2:Q$1589,Q921)</f>
        <v/>
      </c>
    </row>
    <row r="922">
      <c r="A922" s="3" t="inlineStr">
        <is>
          <t>compra</t>
        </is>
      </c>
      <c r="B922" s="3" t="inlineStr">
        <is>
          <t>ccaa:05</t>
        </is>
      </c>
      <c r="C922" s="3" t="inlineStr">
        <is>
          <t>P5</t>
        </is>
      </c>
      <c r="D922" s="3" t="inlineStr">
        <is>
          <t>factor_comun</t>
        </is>
      </c>
      <c r="E922" s="3" t="inlineStr">
        <is>
          <t>regional_panel</t>
        </is>
      </c>
      <c r="F922" s="3" t="n">
        <v>1.50215</v>
      </c>
      <c r="G922" s="3" t="n"/>
      <c r="H922" s="3" t="n"/>
      <c r="I922" s="3" t="n">
        <v>0.233516</v>
      </c>
      <c r="J922" s="3" t="n">
        <v>-1.20824</v>
      </c>
      <c r="K922" s="3" t="n">
        <v>4.46537</v>
      </c>
      <c r="L922" s="3" t="n">
        <v>-3.65444</v>
      </c>
      <c r="M922" s="3" t="n">
        <v>6.28506</v>
      </c>
      <c r="N922" s="3" t="inlineStr">
        <is>
          <t>C4</t>
        </is>
      </c>
      <c r="O922" s="3" t="inlineStr">
        <is>
          <t>no</t>
        </is>
      </c>
      <c r="P922" s="3" t="inlineStr">
        <is>
          <t>no_compite</t>
        </is>
      </c>
      <c r="Q922" s="3" t="inlineStr">
        <is>
          <t>panel_covariables</t>
        </is>
      </c>
      <c r="R922" s="3" t="n"/>
      <c r="S922" s="3" t="inlineStr">
        <is>
          <t>contraste regional (R6); no vota</t>
        </is>
      </c>
      <c r="T922" s="3" t="inlineStr">
        <is>
          <t>output/v8/F5/atribucion_combinada.csv</t>
        </is>
      </c>
      <c r="U922" s="2">
        <f>IF(R922=0,"",F922/R922)</f>
        <v/>
      </c>
      <c r="V922" s="2">
        <f>SUMIFS(F$2:F$1589,A$2:A$1589,A922,C$2:C$1589,C922,E$2:E$1589,E922,Q$2:Q$1589,Q922)</f>
        <v/>
      </c>
    </row>
    <row r="923">
      <c r="A923" s="3" t="inlineStr">
        <is>
          <t>compra</t>
        </is>
      </c>
      <c r="B923" s="3" t="inlineStr">
        <is>
          <t>ccaa:05</t>
        </is>
      </c>
      <c r="C923" s="3" t="inlineStr">
        <is>
          <t>P5</t>
        </is>
      </c>
      <c r="D923" s="3" t="inlineStr">
        <is>
          <t>empleo_renta</t>
        </is>
      </c>
      <c r="E923" s="3" t="inlineStr">
        <is>
          <t>regional_panel</t>
        </is>
      </c>
      <c r="F923" s="3" t="n">
        <v>0.881594</v>
      </c>
      <c r="G923" s="3" t="n"/>
      <c r="H923" s="3" t="n"/>
      <c r="I923" s="3" t="n">
        <v>0.137048</v>
      </c>
      <c r="J923" s="3" t="n">
        <v>0.0798909</v>
      </c>
      <c r="K923" s="3" t="n">
        <v>2.17512</v>
      </c>
      <c r="L923" s="3" t="n">
        <v>-0.758869</v>
      </c>
      <c r="M923" s="3" t="n">
        <v>2.59112</v>
      </c>
      <c r="N923" s="3" t="inlineStr">
        <is>
          <t>C4</t>
        </is>
      </c>
      <c r="O923" s="3" t="inlineStr">
        <is>
          <t>si</t>
        </is>
      </c>
      <c r="P923" s="3" t="inlineStr">
        <is>
          <t>no_vota</t>
        </is>
      </c>
      <c r="Q923" s="3" t="inlineStr">
        <is>
          <t>panel_covariables</t>
        </is>
      </c>
      <c r="R923" s="3" t="n"/>
      <c r="S923" s="3" t="inlineStr">
        <is>
          <t>contraste regional (R6); no vota</t>
        </is>
      </c>
      <c r="T923" s="3" t="inlineStr">
        <is>
          <t>output/v8/F5/atribucion_combinada.csv</t>
        </is>
      </c>
      <c r="U923" s="2">
        <f>IF(R923=0,"",F923/R923)</f>
        <v/>
      </c>
      <c r="V923" s="2">
        <f>SUMIFS(F$2:F$1589,A$2:A$1589,A923,C$2:C$1589,C923,E$2:E$1589,E923,Q$2:Q$1589,Q923)</f>
        <v/>
      </c>
    </row>
    <row r="924">
      <c r="A924" s="3" t="inlineStr">
        <is>
          <t>compra</t>
        </is>
      </c>
      <c r="B924" s="3" t="inlineStr">
        <is>
          <t>ccaa:05</t>
        </is>
      </c>
      <c r="C924" s="3" t="inlineStr">
        <is>
          <t>P5</t>
        </is>
      </c>
      <c r="D924" s="3" t="inlineStr">
        <is>
          <t>demografia</t>
        </is>
      </c>
      <c r="E924" s="3" t="inlineStr">
        <is>
          <t>regional_panel</t>
        </is>
      </c>
      <c r="F924" s="3" t="n">
        <v>-0.595147</v>
      </c>
      <c r="G924" s="3" t="n"/>
      <c r="H924" s="3" t="n"/>
      <c r="I924" s="3" t="n">
        <v>-0.0925183</v>
      </c>
      <c r="J924" s="3" t="n">
        <v>-4.6719</v>
      </c>
      <c r="K924" s="3" t="n">
        <v>2.41743</v>
      </c>
      <c r="L924" s="3" t="n">
        <v>-9.78253</v>
      </c>
      <c r="M924" s="3" t="n">
        <v>4.0382</v>
      </c>
      <c r="N924" s="3" t="inlineStr">
        <is>
          <t>C4</t>
        </is>
      </c>
      <c r="O924" s="3" t="inlineStr">
        <is>
          <t>si</t>
        </is>
      </c>
      <c r="P924" s="3" t="inlineStr">
        <is>
          <t>no_vota</t>
        </is>
      </c>
      <c r="Q924" s="3" t="inlineStr">
        <is>
          <t>panel_covariables</t>
        </is>
      </c>
      <c r="R924" s="3" t="n"/>
      <c r="S924" s="3" t="inlineStr">
        <is>
          <t>contraste regional (R6); no vota</t>
        </is>
      </c>
      <c r="T924" s="3" t="inlineStr">
        <is>
          <t>output/v8/F5/atribucion_combinada.csv</t>
        </is>
      </c>
      <c r="U924" s="2">
        <f>IF(R924=0,"",F924/R924)</f>
        <v/>
      </c>
      <c r="V924" s="2">
        <f>SUMIFS(F$2:F$1589,A$2:A$1589,A924,C$2:C$1589,C924,E$2:E$1589,E924,Q$2:Q$1589,Q924)</f>
        <v/>
      </c>
    </row>
    <row r="925">
      <c r="A925" s="3" t="inlineStr">
        <is>
          <t>compra</t>
        </is>
      </c>
      <c r="B925" s="3" t="inlineStr">
        <is>
          <t>ccaa:05</t>
        </is>
      </c>
      <c r="C925" s="3" t="inlineStr">
        <is>
          <t>P5</t>
        </is>
      </c>
      <c r="D925" s="3" t="inlineStr">
        <is>
          <t>oferta</t>
        </is>
      </c>
      <c r="E925" s="3" t="inlineStr">
        <is>
          <t>regional_panel</t>
        </is>
      </c>
      <c r="F925" s="3" t="n">
        <v>0.00153795</v>
      </c>
      <c r="G925" s="3" t="n"/>
      <c r="H925" s="3" t="n"/>
      <c r="I925" s="3" t="n">
        <v>0.000239082</v>
      </c>
      <c r="J925" s="3" t="n">
        <v>-0.0970379</v>
      </c>
      <c r="K925" s="3" t="n">
        <v>0.157428</v>
      </c>
      <c r="L925" s="3" t="n">
        <v>-0.218424</v>
      </c>
      <c r="M925" s="3" t="n">
        <v>0.368256</v>
      </c>
      <c r="N925" s="3" t="inlineStr">
        <is>
          <t>C4</t>
        </is>
      </c>
      <c r="O925" s="3" t="inlineStr">
        <is>
          <t>si</t>
        </is>
      </c>
      <c r="P925" s="3" t="inlineStr">
        <is>
          <t>no_vota</t>
        </is>
      </c>
      <c r="Q925" s="3" t="inlineStr">
        <is>
          <t>panel_covariables</t>
        </is>
      </c>
      <c r="R925" s="3" t="n"/>
      <c r="S925" s="3" t="inlineStr">
        <is>
          <t>contraste regional (R6); no vota</t>
        </is>
      </c>
      <c r="T925" s="3" t="inlineStr">
        <is>
          <t>output/v8/F5/atribucion_combinada.csv</t>
        </is>
      </c>
      <c r="U925" s="2">
        <f>IF(R925=0,"",F925/R925)</f>
        <v/>
      </c>
      <c r="V925" s="2">
        <f>SUMIFS(F$2:F$1589,A$2:A$1589,A925,C$2:C$1589,C925,E$2:E$1589,E925,Q$2:Q$1589,Q925)</f>
        <v/>
      </c>
    </row>
    <row r="926">
      <c r="A926" s="3" t="inlineStr">
        <is>
          <t>compra</t>
        </is>
      </c>
      <c r="B926" s="3" t="inlineStr">
        <is>
          <t>ccaa:05</t>
        </is>
      </c>
      <c r="C926" s="3" t="inlineStr">
        <is>
          <t>P5</t>
        </is>
      </c>
      <c r="D926" s="3" t="inlineStr">
        <is>
          <t>demanda_externa</t>
        </is>
      </c>
      <c r="E926" s="3" t="inlineStr">
        <is>
          <t>regional_panel</t>
        </is>
      </c>
      <c r="F926" s="3" t="n">
        <v>0.00702231</v>
      </c>
      <c r="G926" s="3" t="n"/>
      <c r="H926" s="3" t="n"/>
      <c r="I926" s="3" t="n">
        <v>0.00109165</v>
      </c>
      <c r="J926" s="3" t="n">
        <v>-0.402549</v>
      </c>
      <c r="K926" s="3" t="n">
        <v>0.0280345</v>
      </c>
      <c r="L926" s="3" t="n">
        <v>-0.74064</v>
      </c>
      <c r="M926" s="3" t="n">
        <v>0.072321</v>
      </c>
      <c r="N926" s="3" t="inlineStr">
        <is>
          <t>C4</t>
        </is>
      </c>
      <c r="O926" s="3" t="inlineStr">
        <is>
          <t>si</t>
        </is>
      </c>
      <c r="P926" s="3" t="inlineStr">
        <is>
          <t>no_vota</t>
        </is>
      </c>
      <c r="Q926" s="3" t="inlineStr">
        <is>
          <t>panel_covariables</t>
        </is>
      </c>
      <c r="R926" s="3" t="n"/>
      <c r="S926" s="3" t="inlineStr">
        <is>
          <t>contraste regional (R6); no vota</t>
        </is>
      </c>
      <c r="T926" s="3" t="inlineStr">
        <is>
          <t>output/v8/F5/atribucion_combinada.csv</t>
        </is>
      </c>
      <c r="U926" s="2">
        <f>IF(R926=0,"",F926/R926)</f>
        <v/>
      </c>
      <c r="V926" s="2">
        <f>SUMIFS(F$2:F$1589,A$2:A$1589,A926,C$2:C$1589,C926,E$2:E$1589,E926,Q$2:Q$1589,Q926)</f>
        <v/>
      </c>
    </row>
    <row r="927">
      <c r="A927" s="3" t="inlineStr">
        <is>
          <t>compra</t>
        </is>
      </c>
      <c r="B927" s="3" t="inlineStr">
        <is>
          <t>ccaa:05</t>
        </is>
      </c>
      <c r="C927" s="3" t="inlineStr">
        <is>
          <t>P5</t>
        </is>
      </c>
      <c r="D927" s="3" t="inlineStr">
        <is>
          <t>residuo</t>
        </is>
      </c>
      <c r="E927" s="3" t="inlineStr">
        <is>
          <t>regional_panel</t>
        </is>
      </c>
      <c r="F927" s="3" t="n">
        <v>4.63559</v>
      </c>
      <c r="G927" s="3" t="n"/>
      <c r="H927" s="3" t="n"/>
      <c r="I927" s="3" t="n">
        <v>0.720624</v>
      </c>
      <c r="J927" s="3" t="n">
        <v>1.09017</v>
      </c>
      <c r="K927" s="3" t="n">
        <v>9.702809999999999</v>
      </c>
      <c r="L927" s="3" t="n">
        <v>-0.583755</v>
      </c>
      <c r="M927" s="3" t="n">
        <v>14.8827</v>
      </c>
      <c r="N927" s="3" t="inlineStr">
        <is>
          <t>C4</t>
        </is>
      </c>
      <c r="O927" s="3" t="inlineStr">
        <is>
          <t>no</t>
        </is>
      </c>
      <c r="P927" s="3" t="inlineStr">
        <is>
          <t>no_compite</t>
        </is>
      </c>
      <c r="Q927" s="3" t="inlineStr">
        <is>
          <t>panel_covariables</t>
        </is>
      </c>
      <c r="R927" s="3" t="n"/>
      <c r="S927" s="3" t="inlineStr">
        <is>
          <t>contraste regional (R6); no vota</t>
        </is>
      </c>
      <c r="T927" s="3" t="inlineStr">
        <is>
          <t>output/v8/F5/atribucion_combinada.csv</t>
        </is>
      </c>
      <c r="U927" s="2">
        <f>IF(R927=0,"",F927/R927)</f>
        <v/>
      </c>
      <c r="V927" s="2">
        <f>SUMIFS(F$2:F$1589,A$2:A$1589,A927,C$2:C$1589,C927,E$2:E$1589,E927,Q$2:Q$1589,Q927)</f>
        <v/>
      </c>
    </row>
    <row r="928">
      <c r="A928" s="3" t="inlineStr">
        <is>
          <t>compra</t>
        </is>
      </c>
      <c r="B928" s="3" t="inlineStr">
        <is>
          <t>ccaa:06</t>
        </is>
      </c>
      <c r="C928" s="3" t="inlineStr">
        <is>
          <t>P5</t>
        </is>
      </c>
      <c r="D928" s="3" t="inlineStr">
        <is>
          <t>factor_comun</t>
        </is>
      </c>
      <c r="E928" s="3" t="inlineStr">
        <is>
          <t>regional_panel</t>
        </is>
      </c>
      <c r="F928" s="3" t="n">
        <v>1.50215</v>
      </c>
      <c r="G928" s="3" t="n"/>
      <c r="H928" s="3" t="n"/>
      <c r="I928" s="3" t="n">
        <v>0.579484</v>
      </c>
      <c r="J928" s="3" t="n">
        <v>-1.20824</v>
      </c>
      <c r="K928" s="3" t="n">
        <v>4.46537</v>
      </c>
      <c r="L928" s="3" t="n">
        <v>-3.65444</v>
      </c>
      <c r="M928" s="3" t="n">
        <v>6.28506</v>
      </c>
      <c r="N928" s="3" t="inlineStr">
        <is>
          <t>C4</t>
        </is>
      </c>
      <c r="O928" s="3" t="inlineStr">
        <is>
          <t>no</t>
        </is>
      </c>
      <c r="P928" s="3" t="inlineStr">
        <is>
          <t>no_compite</t>
        </is>
      </c>
      <c r="Q928" s="3" t="inlineStr">
        <is>
          <t>panel_covariables</t>
        </is>
      </c>
      <c r="R928" s="3" t="n"/>
      <c r="S928" s="3" t="inlineStr">
        <is>
          <t>contraste regional (R6); no vota</t>
        </is>
      </c>
      <c r="T928" s="3" t="inlineStr">
        <is>
          <t>output/v8/F5/atribucion_combinada.csv</t>
        </is>
      </c>
      <c r="U928" s="2">
        <f>IF(R928=0,"",F928/R928)</f>
        <v/>
      </c>
      <c r="V928" s="2">
        <f>SUMIFS(F$2:F$1589,A$2:A$1589,A928,C$2:C$1589,C928,E$2:E$1589,E928,Q$2:Q$1589,Q928)</f>
        <v/>
      </c>
    </row>
    <row r="929">
      <c r="A929" s="3" t="inlineStr">
        <is>
          <t>compra</t>
        </is>
      </c>
      <c r="B929" s="3" t="inlineStr">
        <is>
          <t>ccaa:06</t>
        </is>
      </c>
      <c r="C929" s="3" t="inlineStr">
        <is>
          <t>P5</t>
        </is>
      </c>
      <c r="D929" s="3" t="inlineStr">
        <is>
          <t>empleo_renta</t>
        </is>
      </c>
      <c r="E929" s="3" t="inlineStr">
        <is>
          <t>regional_panel</t>
        </is>
      </c>
      <c r="F929" s="3" t="n">
        <v>0.626793</v>
      </c>
      <c r="G929" s="3" t="n"/>
      <c r="H929" s="3" t="n"/>
      <c r="I929" s="3" t="n">
        <v>0.241798</v>
      </c>
      <c r="J929" s="3" t="n">
        <v>-0.0497745</v>
      </c>
      <c r="K929" s="3" t="n">
        <v>1.43976</v>
      </c>
      <c r="L929" s="3" t="n">
        <v>-0.519826</v>
      </c>
      <c r="M929" s="3" t="n">
        <v>2.10548</v>
      </c>
      <c r="N929" s="3" t="inlineStr">
        <is>
          <t>C4</t>
        </is>
      </c>
      <c r="O929" s="3" t="inlineStr">
        <is>
          <t>si</t>
        </is>
      </c>
      <c r="P929" s="3" t="inlineStr">
        <is>
          <t>no_vota</t>
        </is>
      </c>
      <c r="Q929" s="3" t="inlineStr">
        <is>
          <t>panel_covariables</t>
        </is>
      </c>
      <c r="R929" s="3" t="n"/>
      <c r="S929" s="3" t="inlineStr">
        <is>
          <t>contraste regional (R6); no vota</t>
        </is>
      </c>
      <c r="T929" s="3" t="inlineStr">
        <is>
          <t>output/v8/F5/atribucion_combinada.csv</t>
        </is>
      </c>
      <c r="U929" s="2">
        <f>IF(R929=0,"",F929/R929)</f>
        <v/>
      </c>
      <c r="V929" s="2">
        <f>SUMIFS(F$2:F$1589,A$2:A$1589,A929,C$2:C$1589,C929,E$2:E$1589,E929,Q$2:Q$1589,Q929)</f>
        <v/>
      </c>
    </row>
    <row r="930">
      <c r="A930" s="3" t="inlineStr">
        <is>
          <t>compra</t>
        </is>
      </c>
      <c r="B930" s="3" t="inlineStr">
        <is>
          <t>ccaa:06</t>
        </is>
      </c>
      <c r="C930" s="3" t="inlineStr">
        <is>
          <t>P5</t>
        </is>
      </c>
      <c r="D930" s="3" t="inlineStr">
        <is>
          <t>demografia</t>
        </is>
      </c>
      <c r="E930" s="3" t="inlineStr">
        <is>
          <t>regional_panel</t>
        </is>
      </c>
      <c r="F930" s="3" t="n">
        <v>-0.782444</v>
      </c>
      <c r="G930" s="3" t="n"/>
      <c r="H930" s="3" t="n"/>
      <c r="I930" s="3" t="n">
        <v>-0.301843</v>
      </c>
      <c r="J930" s="3" t="n">
        <v>-1.77978</v>
      </c>
      <c r="K930" s="3" t="n">
        <v>1.00235</v>
      </c>
      <c r="L930" s="3" t="n">
        <v>-2.74158</v>
      </c>
      <c r="M930" s="3" t="n">
        <v>2.13961</v>
      </c>
      <c r="N930" s="3" t="inlineStr">
        <is>
          <t>C4</t>
        </is>
      </c>
      <c r="O930" s="3" t="inlineStr">
        <is>
          <t>si</t>
        </is>
      </c>
      <c r="P930" s="3" t="inlineStr">
        <is>
          <t>no_vota</t>
        </is>
      </c>
      <c r="Q930" s="3" t="inlineStr">
        <is>
          <t>panel_covariables</t>
        </is>
      </c>
      <c r="R930" s="3" t="n"/>
      <c r="S930" s="3" t="inlineStr">
        <is>
          <t>contraste regional (R6); no vota</t>
        </is>
      </c>
      <c r="T930" s="3" t="inlineStr">
        <is>
          <t>output/v8/F5/atribucion_combinada.csv</t>
        </is>
      </c>
      <c r="U930" s="2">
        <f>IF(R930=0,"",F930/R930)</f>
        <v/>
      </c>
      <c r="V930" s="2">
        <f>SUMIFS(F$2:F$1589,A$2:A$1589,A930,C$2:C$1589,C930,E$2:E$1589,E930,Q$2:Q$1589,Q930)</f>
        <v/>
      </c>
    </row>
    <row r="931">
      <c r="A931" s="3" t="inlineStr">
        <is>
          <t>compra</t>
        </is>
      </c>
      <c r="B931" s="3" t="inlineStr">
        <is>
          <t>ccaa:06</t>
        </is>
      </c>
      <c r="C931" s="3" t="inlineStr">
        <is>
          <t>P5</t>
        </is>
      </c>
      <c r="D931" s="3" t="inlineStr">
        <is>
          <t>oferta</t>
        </is>
      </c>
      <c r="E931" s="3" t="inlineStr">
        <is>
          <t>regional_panel</t>
        </is>
      </c>
      <c r="F931" s="3" t="n">
        <v>0.000532144</v>
      </c>
      <c r="G931" s="3" t="n"/>
      <c r="H931" s="3" t="n"/>
      <c r="I931" s="3" t="n">
        <v>0.000205285</v>
      </c>
      <c r="J931" s="3" t="n">
        <v>-0.113977</v>
      </c>
      <c r="K931" s="3" t="n">
        <v>0.0802167</v>
      </c>
      <c r="L931" s="3" t="n">
        <v>-0.211314</v>
      </c>
      <c r="M931" s="3" t="n">
        <v>0.2721</v>
      </c>
      <c r="N931" s="3" t="inlineStr">
        <is>
          <t>C4</t>
        </is>
      </c>
      <c r="O931" s="3" t="inlineStr">
        <is>
          <t>si</t>
        </is>
      </c>
      <c r="P931" s="3" t="inlineStr">
        <is>
          <t>no_vota</t>
        </is>
      </c>
      <c r="Q931" s="3" t="inlineStr">
        <is>
          <t>panel_covariables</t>
        </is>
      </c>
      <c r="R931" s="3" t="n"/>
      <c r="S931" s="3" t="inlineStr">
        <is>
          <t>contraste regional (R6); no vota</t>
        </is>
      </c>
      <c r="T931" s="3" t="inlineStr">
        <is>
          <t>output/v8/F5/atribucion_combinada.csv</t>
        </is>
      </c>
      <c r="U931" s="2">
        <f>IF(R931=0,"",F931/R931)</f>
        <v/>
      </c>
      <c r="V931" s="2">
        <f>SUMIFS(F$2:F$1589,A$2:A$1589,A931,C$2:C$1589,C931,E$2:E$1589,E931,Q$2:Q$1589,Q931)</f>
        <v/>
      </c>
    </row>
    <row r="932">
      <c r="A932" s="3" t="inlineStr">
        <is>
          <t>compra</t>
        </is>
      </c>
      <c r="B932" s="3" t="inlineStr">
        <is>
          <t>ccaa:06</t>
        </is>
      </c>
      <c r="C932" s="3" t="inlineStr">
        <is>
          <t>P5</t>
        </is>
      </c>
      <c r="D932" s="3" t="inlineStr">
        <is>
          <t>demanda_externa</t>
        </is>
      </c>
      <c r="E932" s="3" t="inlineStr">
        <is>
          <t>regional_panel</t>
        </is>
      </c>
      <c r="F932" s="3" t="n">
        <v>-0.00460042</v>
      </c>
      <c r="G932" s="3" t="n"/>
      <c r="H932" s="3" t="n"/>
      <c r="I932" s="3" t="n">
        <v>-0.0017747</v>
      </c>
      <c r="J932" s="3" t="n">
        <v>-0.0649315</v>
      </c>
      <c r="K932" s="3" t="n">
        <v>0.491511</v>
      </c>
      <c r="L932" s="3" t="n">
        <v>-0.29998</v>
      </c>
      <c r="M932" s="3" t="n">
        <v>0.933141</v>
      </c>
      <c r="N932" s="3" t="inlineStr">
        <is>
          <t>C4</t>
        </is>
      </c>
      <c r="O932" s="3" t="inlineStr">
        <is>
          <t>si</t>
        </is>
      </c>
      <c r="P932" s="3" t="inlineStr">
        <is>
          <t>no_vota</t>
        </is>
      </c>
      <c r="Q932" s="3" t="inlineStr">
        <is>
          <t>panel_covariables</t>
        </is>
      </c>
      <c r="R932" s="3" t="n"/>
      <c r="S932" s="3" t="inlineStr">
        <is>
          <t>contraste regional (R6); no vota</t>
        </is>
      </c>
      <c r="T932" s="3" t="inlineStr">
        <is>
          <t>output/v8/F5/atribucion_combinada.csv</t>
        </is>
      </c>
      <c r="U932" s="2">
        <f>IF(R932=0,"",F932/R932)</f>
        <v/>
      </c>
      <c r="V932" s="2">
        <f>SUMIFS(F$2:F$1589,A$2:A$1589,A932,C$2:C$1589,C932,E$2:E$1589,E932,Q$2:Q$1589,Q932)</f>
        <v/>
      </c>
    </row>
    <row r="933">
      <c r="A933" s="3" t="inlineStr">
        <is>
          <t>compra</t>
        </is>
      </c>
      <c r="B933" s="3" t="inlineStr">
        <is>
          <t>ccaa:06</t>
        </is>
      </c>
      <c r="C933" s="3" t="inlineStr">
        <is>
          <t>P5</t>
        </is>
      </c>
      <c r="D933" s="3" t="inlineStr">
        <is>
          <t>residuo</t>
        </is>
      </c>
      <c r="E933" s="3" t="inlineStr">
        <is>
          <t>regional_panel</t>
        </is>
      </c>
      <c r="F933" s="3" t="n">
        <v>1.24979</v>
      </c>
      <c r="G933" s="3" t="n"/>
      <c r="H933" s="3" t="n"/>
      <c r="I933" s="3" t="n">
        <v>0.482131</v>
      </c>
      <c r="J933" s="3" t="n">
        <v>-1.27138</v>
      </c>
      <c r="K933" s="3" t="n">
        <v>2.52614</v>
      </c>
      <c r="L933" s="3" t="n">
        <v>-2.90436</v>
      </c>
      <c r="M933" s="3" t="n">
        <v>3.43462</v>
      </c>
      <c r="N933" s="3" t="inlineStr">
        <is>
          <t>C4</t>
        </is>
      </c>
      <c r="O933" s="3" t="inlineStr">
        <is>
          <t>no</t>
        </is>
      </c>
      <c r="P933" s="3" t="inlineStr">
        <is>
          <t>no_compite</t>
        </is>
      </c>
      <c r="Q933" s="3" t="inlineStr">
        <is>
          <t>panel_covariables</t>
        </is>
      </c>
      <c r="R933" s="3" t="n"/>
      <c r="S933" s="3" t="inlineStr">
        <is>
          <t>contraste regional (R6); no vota</t>
        </is>
      </c>
      <c r="T933" s="3" t="inlineStr">
        <is>
          <t>output/v8/F5/atribucion_combinada.csv</t>
        </is>
      </c>
      <c r="U933" s="2">
        <f>IF(R933=0,"",F933/R933)</f>
        <v/>
      </c>
      <c r="V933" s="2">
        <f>SUMIFS(F$2:F$1589,A$2:A$1589,A933,C$2:C$1589,C933,E$2:E$1589,E933,Q$2:Q$1589,Q933)</f>
        <v/>
      </c>
    </row>
    <row r="934">
      <c r="A934" s="3" t="inlineStr">
        <is>
          <t>compra</t>
        </is>
      </c>
      <c r="B934" s="3" t="inlineStr">
        <is>
          <t>ccaa:07</t>
        </is>
      </c>
      <c r="C934" s="3" t="inlineStr">
        <is>
          <t>P5</t>
        </is>
      </c>
      <c r="D934" s="3" t="inlineStr">
        <is>
          <t>factor_comun</t>
        </is>
      </c>
      <c r="E934" s="3" t="inlineStr">
        <is>
          <t>regional_panel</t>
        </is>
      </c>
      <c r="F934" s="3" t="n">
        <v>1.50215</v>
      </c>
      <c r="G934" s="3" t="n"/>
      <c r="H934" s="3" t="n"/>
      <c r="I934" s="3" t="n">
        <v>-0.325816</v>
      </c>
      <c r="J934" s="3" t="n">
        <v>-1.20824</v>
      </c>
      <c r="K934" s="3" t="n">
        <v>4.46537</v>
      </c>
      <c r="L934" s="3" t="n">
        <v>-3.65444</v>
      </c>
      <c r="M934" s="3" t="n">
        <v>6.28506</v>
      </c>
      <c r="N934" s="3" t="inlineStr">
        <is>
          <t>C4</t>
        </is>
      </c>
      <c r="O934" s="3" t="inlineStr">
        <is>
          <t>no</t>
        </is>
      </c>
      <c r="P934" s="3" t="inlineStr">
        <is>
          <t>no_compite</t>
        </is>
      </c>
      <c r="Q934" s="3" t="inlineStr">
        <is>
          <t>panel_covariables</t>
        </is>
      </c>
      <c r="R934" s="3" t="n"/>
      <c r="S934" s="3" t="inlineStr">
        <is>
          <t>contraste regional (R6); no vota</t>
        </is>
      </c>
      <c r="T934" s="3" t="inlineStr">
        <is>
          <t>output/v8/F5/atribucion_combinada.csv</t>
        </is>
      </c>
      <c r="U934" s="2">
        <f>IF(R934=0,"",F934/R934)</f>
        <v/>
      </c>
      <c r="V934" s="2">
        <f>SUMIFS(F$2:F$1589,A$2:A$1589,A934,C$2:C$1589,C934,E$2:E$1589,E934,Q$2:Q$1589,Q934)</f>
        <v/>
      </c>
    </row>
    <row r="935">
      <c r="A935" s="3" t="inlineStr">
        <is>
          <t>compra</t>
        </is>
      </c>
      <c r="B935" s="3" t="inlineStr">
        <is>
          <t>ccaa:07</t>
        </is>
      </c>
      <c r="C935" s="3" t="inlineStr">
        <is>
          <t>P5</t>
        </is>
      </c>
      <c r="D935" s="3" t="inlineStr">
        <is>
          <t>empleo_renta</t>
        </is>
      </c>
      <c r="E935" s="3" t="inlineStr">
        <is>
          <t>regional_panel</t>
        </is>
      </c>
      <c r="F935" s="3" t="n">
        <v>0.37755</v>
      </c>
      <c r="G935" s="3" t="n"/>
      <c r="H935" s="3" t="n"/>
      <c r="I935" s="3" t="n">
        <v>-0.0818905</v>
      </c>
      <c r="J935" s="3" t="n">
        <v>0.0510904</v>
      </c>
      <c r="K935" s="3" t="n">
        <v>0.885707</v>
      </c>
      <c r="L935" s="3" t="n">
        <v>-0.104446</v>
      </c>
      <c r="M935" s="3" t="n">
        <v>1.37252</v>
      </c>
      <c r="N935" s="3" t="inlineStr">
        <is>
          <t>C4</t>
        </is>
      </c>
      <c r="O935" s="3" t="inlineStr">
        <is>
          <t>si</t>
        </is>
      </c>
      <c r="P935" s="3" t="inlineStr">
        <is>
          <t>no_vota</t>
        </is>
      </c>
      <c r="Q935" s="3" t="inlineStr">
        <is>
          <t>panel_covariables</t>
        </is>
      </c>
      <c r="R935" s="3" t="n"/>
      <c r="S935" s="3" t="inlineStr">
        <is>
          <t>contraste regional (R6); no vota</t>
        </is>
      </c>
      <c r="T935" s="3" t="inlineStr">
        <is>
          <t>output/v8/F5/atribucion_combinada.csv</t>
        </is>
      </c>
      <c r="U935" s="2">
        <f>IF(R935=0,"",F935/R935)</f>
        <v/>
      </c>
      <c r="V935" s="2">
        <f>SUMIFS(F$2:F$1589,A$2:A$1589,A935,C$2:C$1589,C935,E$2:E$1589,E935,Q$2:Q$1589,Q935)</f>
        <v/>
      </c>
    </row>
    <row r="936">
      <c r="A936" s="3" t="inlineStr">
        <is>
          <t>compra</t>
        </is>
      </c>
      <c r="B936" s="3" t="inlineStr">
        <is>
          <t>ccaa:07</t>
        </is>
      </c>
      <c r="C936" s="3" t="inlineStr">
        <is>
          <t>P5</t>
        </is>
      </c>
      <c r="D936" s="3" t="inlineStr">
        <is>
          <t>demografia</t>
        </is>
      </c>
      <c r="E936" s="3" t="inlineStr">
        <is>
          <t>regional_panel</t>
        </is>
      </c>
      <c r="F936" s="3" t="n">
        <v>-0.888665</v>
      </c>
      <c r="G936" s="3" t="n"/>
      <c r="H936" s="3" t="n"/>
      <c r="I936" s="3" t="n">
        <v>0.192751</v>
      </c>
      <c r="J936" s="3" t="n">
        <v>-2.01422</v>
      </c>
      <c r="K936" s="3" t="n">
        <v>1.26001</v>
      </c>
      <c r="L936" s="3" t="n">
        <v>-2.88816</v>
      </c>
      <c r="M936" s="3" t="n">
        <v>2.57604</v>
      </c>
      <c r="N936" s="3" t="inlineStr">
        <is>
          <t>C4</t>
        </is>
      </c>
      <c r="O936" s="3" t="inlineStr">
        <is>
          <t>si</t>
        </is>
      </c>
      <c r="P936" s="3" t="inlineStr">
        <is>
          <t>no_vota</t>
        </is>
      </c>
      <c r="Q936" s="3" t="inlineStr">
        <is>
          <t>panel_covariables</t>
        </is>
      </c>
      <c r="R936" s="3" t="n"/>
      <c r="S936" s="3" t="inlineStr">
        <is>
          <t>contraste regional (R6); no vota</t>
        </is>
      </c>
      <c r="T936" s="3" t="inlineStr">
        <is>
          <t>output/v8/F5/atribucion_combinada.csv</t>
        </is>
      </c>
      <c r="U936" s="2">
        <f>IF(R936=0,"",F936/R936)</f>
        <v/>
      </c>
      <c r="V936" s="2">
        <f>SUMIFS(F$2:F$1589,A$2:A$1589,A936,C$2:C$1589,C936,E$2:E$1589,E936,Q$2:Q$1589,Q936)</f>
        <v/>
      </c>
    </row>
    <row r="937">
      <c r="A937" s="3" t="inlineStr">
        <is>
          <t>compra</t>
        </is>
      </c>
      <c r="B937" s="3" t="inlineStr">
        <is>
          <t>ccaa:07</t>
        </is>
      </c>
      <c r="C937" s="3" t="inlineStr">
        <is>
          <t>P5</t>
        </is>
      </c>
      <c r="D937" s="3" t="inlineStr">
        <is>
          <t>oferta</t>
        </is>
      </c>
      <c r="E937" s="3" t="inlineStr">
        <is>
          <t>regional_panel</t>
        </is>
      </c>
      <c r="F937" s="3" t="n">
        <v>0.000356844</v>
      </c>
      <c r="G937" s="3" t="n"/>
      <c r="H937" s="3" t="n"/>
      <c r="I937" s="3" t="n">
        <v>-7.73994e-05</v>
      </c>
      <c r="J937" s="3" t="n">
        <v>-0.120094</v>
      </c>
      <c r="K937" s="3" t="n">
        <v>0.0212053</v>
      </c>
      <c r="L937" s="3" t="n">
        <v>-0.226554</v>
      </c>
      <c r="M937" s="3" t="n">
        <v>0.06694940000000001</v>
      </c>
      <c r="N937" s="3" t="inlineStr">
        <is>
          <t>C4</t>
        </is>
      </c>
      <c r="O937" s="3" t="inlineStr">
        <is>
          <t>si</t>
        </is>
      </c>
      <c r="P937" s="3" t="inlineStr">
        <is>
          <t>no_vota</t>
        </is>
      </c>
      <c r="Q937" s="3" t="inlineStr">
        <is>
          <t>panel_covariables</t>
        </is>
      </c>
      <c r="R937" s="3" t="n"/>
      <c r="S937" s="3" t="inlineStr">
        <is>
          <t>contraste regional (R6); no vota</t>
        </is>
      </c>
      <c r="T937" s="3" t="inlineStr">
        <is>
          <t>output/v8/F5/atribucion_combinada.csv</t>
        </is>
      </c>
      <c r="U937" s="2">
        <f>IF(R937=0,"",F937/R937)</f>
        <v/>
      </c>
      <c r="V937" s="2">
        <f>SUMIFS(F$2:F$1589,A$2:A$1589,A937,C$2:C$1589,C937,E$2:E$1589,E937,Q$2:Q$1589,Q937)</f>
        <v/>
      </c>
    </row>
    <row r="938">
      <c r="A938" s="3" t="inlineStr">
        <is>
          <t>compra</t>
        </is>
      </c>
      <c r="B938" s="3" t="inlineStr">
        <is>
          <t>ccaa:07</t>
        </is>
      </c>
      <c r="C938" s="3" t="inlineStr">
        <is>
          <t>P5</t>
        </is>
      </c>
      <c r="D938" s="3" t="inlineStr">
        <is>
          <t>demanda_externa</t>
        </is>
      </c>
      <c r="E938" s="3" t="inlineStr">
        <is>
          <t>regional_panel</t>
        </is>
      </c>
      <c r="F938" s="3" t="n">
        <v>-0.0374832</v>
      </c>
      <c r="G938" s="3" t="n"/>
      <c r="H938" s="3" t="n"/>
      <c r="I938" s="3" t="n">
        <v>0.00813009</v>
      </c>
      <c r="J938" s="3" t="n">
        <v>-0.46652</v>
      </c>
      <c r="K938" s="3" t="n">
        <v>0.457973</v>
      </c>
      <c r="L938" s="3" t="n">
        <v>-1.16093</v>
      </c>
      <c r="M938" s="3" t="n">
        <v>1.06177</v>
      </c>
      <c r="N938" s="3" t="inlineStr">
        <is>
          <t>C4</t>
        </is>
      </c>
      <c r="O938" s="3" t="inlineStr">
        <is>
          <t>si</t>
        </is>
      </c>
      <c r="P938" s="3" t="inlineStr">
        <is>
          <t>no_vota</t>
        </is>
      </c>
      <c r="Q938" s="3" t="inlineStr">
        <is>
          <t>panel_covariables</t>
        </is>
      </c>
      <c r="R938" s="3" t="n"/>
      <c r="S938" s="3" t="inlineStr">
        <is>
          <t>contraste regional (R6); no vota</t>
        </is>
      </c>
      <c r="T938" s="3" t="inlineStr">
        <is>
          <t>output/v8/F5/atribucion_combinada.csv</t>
        </is>
      </c>
      <c r="U938" s="2">
        <f>IF(R938=0,"",F938/R938)</f>
        <v/>
      </c>
      <c r="V938" s="2">
        <f>SUMIFS(F$2:F$1589,A$2:A$1589,A938,C$2:C$1589,C938,E$2:E$1589,E938,Q$2:Q$1589,Q938)</f>
        <v/>
      </c>
    </row>
    <row r="939">
      <c r="A939" s="3" t="inlineStr">
        <is>
          <t>compra</t>
        </is>
      </c>
      <c r="B939" s="3" t="inlineStr">
        <is>
          <t>ccaa:07</t>
        </is>
      </c>
      <c r="C939" s="3" t="inlineStr">
        <is>
          <t>P5</t>
        </is>
      </c>
      <c r="D939" s="3" t="inlineStr">
        <is>
          <t>residuo</t>
        </is>
      </c>
      <c r="E939" s="3" t="inlineStr">
        <is>
          <t>regional_panel</t>
        </is>
      </c>
      <c r="F939" s="3" t="n">
        <v>-5.56433</v>
      </c>
      <c r="G939" s="3" t="n"/>
      <c r="H939" s="3" t="n"/>
      <c r="I939" s="3" t="n">
        <v>1.2069</v>
      </c>
      <c r="J939" s="3" t="n">
        <v>-8.471959999999999</v>
      </c>
      <c r="K939" s="3" t="n">
        <v>-4.05708</v>
      </c>
      <c r="L939" s="3" t="n">
        <v>-9.990019999999999</v>
      </c>
      <c r="M939" s="3" t="n">
        <v>-3.06815</v>
      </c>
      <c r="N939" s="3" t="inlineStr">
        <is>
          <t>C4</t>
        </is>
      </c>
      <c r="O939" s="3" t="inlineStr">
        <is>
          <t>no</t>
        </is>
      </c>
      <c r="P939" s="3" t="inlineStr">
        <is>
          <t>no_compite</t>
        </is>
      </c>
      <c r="Q939" s="3" t="inlineStr">
        <is>
          <t>panel_covariables</t>
        </is>
      </c>
      <c r="R939" s="3" t="n"/>
      <c r="S939" s="3" t="inlineStr">
        <is>
          <t>contraste regional (R6); no vota</t>
        </is>
      </c>
      <c r="T939" s="3" t="inlineStr">
        <is>
          <t>output/v8/F5/atribucion_combinada.csv</t>
        </is>
      </c>
      <c r="U939" s="2">
        <f>IF(R939=0,"",F939/R939)</f>
        <v/>
      </c>
      <c r="V939" s="2">
        <f>SUMIFS(F$2:F$1589,A$2:A$1589,A939,C$2:C$1589,C939,E$2:E$1589,E939,Q$2:Q$1589,Q939)</f>
        <v/>
      </c>
    </row>
    <row r="940">
      <c r="A940" s="3" t="inlineStr">
        <is>
          <t>compra</t>
        </is>
      </c>
      <c r="B940" s="3" t="inlineStr">
        <is>
          <t>ccaa:08</t>
        </is>
      </c>
      <c r="C940" s="3" t="inlineStr">
        <is>
          <t>P5</t>
        </is>
      </c>
      <c r="D940" s="3" t="inlineStr">
        <is>
          <t>factor_comun</t>
        </is>
      </c>
      <c r="E940" s="3" t="inlineStr">
        <is>
          <t>regional_panel</t>
        </is>
      </c>
      <c r="F940" s="3" t="n">
        <v>1.50215</v>
      </c>
      <c r="G940" s="3" t="n"/>
      <c r="H940" s="3" t="n"/>
      <c r="I940" s="3" t="n">
        <v>-1.33535</v>
      </c>
      <c r="J940" s="3" t="n">
        <v>-1.20824</v>
      </c>
      <c r="K940" s="3" t="n">
        <v>4.46537</v>
      </c>
      <c r="L940" s="3" t="n">
        <v>-3.65444</v>
      </c>
      <c r="M940" s="3" t="n">
        <v>6.28506</v>
      </c>
      <c r="N940" s="3" t="inlineStr">
        <is>
          <t>C4</t>
        </is>
      </c>
      <c r="O940" s="3" t="inlineStr">
        <is>
          <t>no</t>
        </is>
      </c>
      <c r="P940" s="3" t="inlineStr">
        <is>
          <t>no_compite</t>
        </is>
      </c>
      <c r="Q940" s="3" t="inlineStr">
        <is>
          <t>panel_covariables</t>
        </is>
      </c>
      <c r="R940" s="3" t="n"/>
      <c r="S940" s="3" t="inlineStr">
        <is>
          <t>contraste regional (R6); no vota</t>
        </is>
      </c>
      <c r="T940" s="3" t="inlineStr">
        <is>
          <t>output/v8/F5/atribucion_combinada.csv</t>
        </is>
      </c>
      <c r="U940" s="2">
        <f>IF(R940=0,"",F940/R940)</f>
        <v/>
      </c>
      <c r="V940" s="2">
        <f>SUMIFS(F$2:F$1589,A$2:A$1589,A940,C$2:C$1589,C940,E$2:E$1589,E940,Q$2:Q$1589,Q940)</f>
        <v/>
      </c>
    </row>
    <row r="941">
      <c r="A941" s="3" t="inlineStr">
        <is>
          <t>compra</t>
        </is>
      </c>
      <c r="B941" s="3" t="inlineStr">
        <is>
          <t>ccaa:08</t>
        </is>
      </c>
      <c r="C941" s="3" t="inlineStr">
        <is>
          <t>P5</t>
        </is>
      </c>
      <c r="D941" s="3" t="inlineStr">
        <is>
          <t>empleo_renta</t>
        </is>
      </c>
      <c r="E941" s="3" t="inlineStr">
        <is>
          <t>regional_panel</t>
        </is>
      </c>
      <c r="F941" s="3" t="n">
        <v>0.538365</v>
      </c>
      <c r="G941" s="3" t="n"/>
      <c r="H941" s="3" t="n"/>
      <c r="I941" s="3" t="n">
        <v>-0.478585</v>
      </c>
      <c r="J941" s="3" t="n">
        <v>0.182188</v>
      </c>
      <c r="K941" s="3" t="n">
        <v>0.979186</v>
      </c>
      <c r="L941" s="3" t="n">
        <v>-0.0946951</v>
      </c>
      <c r="M941" s="3" t="n">
        <v>1.16926</v>
      </c>
      <c r="N941" s="3" t="inlineStr">
        <is>
          <t>C4</t>
        </is>
      </c>
      <c r="O941" s="3" t="inlineStr">
        <is>
          <t>si</t>
        </is>
      </c>
      <c r="P941" s="3" t="inlineStr">
        <is>
          <t>no_vota</t>
        </is>
      </c>
      <c r="Q941" s="3" t="inlineStr">
        <is>
          <t>panel_covariables</t>
        </is>
      </c>
      <c r="R941" s="3" t="n"/>
      <c r="S941" s="3" t="inlineStr">
        <is>
          <t>contraste regional (R6); no vota</t>
        </is>
      </c>
      <c r="T941" s="3" t="inlineStr">
        <is>
          <t>output/v8/F5/atribucion_combinada.csv</t>
        </is>
      </c>
      <c r="U941" s="2">
        <f>IF(R941=0,"",F941/R941)</f>
        <v/>
      </c>
      <c r="V941" s="2">
        <f>SUMIFS(F$2:F$1589,A$2:A$1589,A941,C$2:C$1589,C941,E$2:E$1589,E941,Q$2:Q$1589,Q941)</f>
        <v/>
      </c>
    </row>
    <row r="942">
      <c r="A942" s="3" t="inlineStr">
        <is>
          <t>compra</t>
        </is>
      </c>
      <c r="B942" s="3" t="inlineStr">
        <is>
          <t>ccaa:08</t>
        </is>
      </c>
      <c r="C942" s="3" t="inlineStr">
        <is>
          <t>P5</t>
        </is>
      </c>
      <c r="D942" s="3" t="inlineStr">
        <is>
          <t>demografia</t>
        </is>
      </c>
      <c r="E942" s="3" t="inlineStr">
        <is>
          <t>regional_panel</t>
        </is>
      </c>
      <c r="F942" s="3" t="n">
        <v>-0.887331</v>
      </c>
      <c r="G942" s="3" t="n"/>
      <c r="H942" s="3" t="n"/>
      <c r="I942" s="3" t="n">
        <v>0.7887999999999999</v>
      </c>
      <c r="J942" s="3" t="n">
        <v>-4.06742</v>
      </c>
      <c r="K942" s="3" t="n">
        <v>1.97742</v>
      </c>
      <c r="L942" s="3" t="n">
        <v>-7.12907</v>
      </c>
      <c r="M942" s="3" t="n">
        <v>3.71466</v>
      </c>
      <c r="N942" s="3" t="inlineStr">
        <is>
          <t>C4</t>
        </is>
      </c>
      <c r="O942" s="3" t="inlineStr">
        <is>
          <t>si</t>
        </is>
      </c>
      <c r="P942" s="3" t="inlineStr">
        <is>
          <t>no_vota</t>
        </is>
      </c>
      <c r="Q942" s="3" t="inlineStr">
        <is>
          <t>panel_covariables</t>
        </is>
      </c>
      <c r="R942" s="3" t="n"/>
      <c r="S942" s="3" t="inlineStr">
        <is>
          <t>contraste regional (R6); no vota</t>
        </is>
      </c>
      <c r="T942" s="3" t="inlineStr">
        <is>
          <t>output/v8/F5/atribucion_combinada.csv</t>
        </is>
      </c>
      <c r="U942" s="2">
        <f>IF(R942=0,"",F942/R942)</f>
        <v/>
      </c>
      <c r="V942" s="2">
        <f>SUMIFS(F$2:F$1589,A$2:A$1589,A942,C$2:C$1589,C942,E$2:E$1589,E942,Q$2:Q$1589,Q942)</f>
        <v/>
      </c>
    </row>
    <row r="943">
      <c r="A943" s="3" t="inlineStr">
        <is>
          <t>compra</t>
        </is>
      </c>
      <c r="B943" s="3" t="inlineStr">
        <is>
          <t>ccaa:08</t>
        </is>
      </c>
      <c r="C943" s="3" t="inlineStr">
        <is>
          <t>P5</t>
        </is>
      </c>
      <c r="D943" s="3" t="inlineStr">
        <is>
          <t>oferta</t>
        </is>
      </c>
      <c r="E943" s="3" t="inlineStr">
        <is>
          <t>regional_panel</t>
        </is>
      </c>
      <c r="F943" s="3" t="n">
        <v>-0.000280937</v>
      </c>
      <c r="G943" s="3" t="n"/>
      <c r="H943" s="3" t="n"/>
      <c r="I943" s="3" t="n">
        <v>0.000249741</v>
      </c>
      <c r="J943" s="3" t="n">
        <v>-0.0966215</v>
      </c>
      <c r="K943" s="3" t="n">
        <v>0.0215054</v>
      </c>
      <c r="L943" s="3" t="n">
        <v>-0.213883</v>
      </c>
      <c r="M943" s="3" t="n">
        <v>0.0643513</v>
      </c>
      <c r="N943" s="3" t="inlineStr">
        <is>
          <t>C4</t>
        </is>
      </c>
      <c r="O943" s="3" t="inlineStr">
        <is>
          <t>si</t>
        </is>
      </c>
      <c r="P943" s="3" t="inlineStr">
        <is>
          <t>no_vota</t>
        </is>
      </c>
      <c r="Q943" s="3" t="inlineStr">
        <is>
          <t>panel_covariables</t>
        </is>
      </c>
      <c r="R943" s="3" t="n"/>
      <c r="S943" s="3" t="inlineStr">
        <is>
          <t>contraste regional (R6); no vota</t>
        </is>
      </c>
      <c r="T943" s="3" t="inlineStr">
        <is>
          <t>output/v8/F5/atribucion_combinada.csv</t>
        </is>
      </c>
      <c r="U943" s="2">
        <f>IF(R943=0,"",F943/R943)</f>
        <v/>
      </c>
      <c r="V943" s="2">
        <f>SUMIFS(F$2:F$1589,A$2:A$1589,A943,C$2:C$1589,C943,E$2:E$1589,E943,Q$2:Q$1589,Q943)</f>
        <v/>
      </c>
    </row>
    <row r="944">
      <c r="A944" s="3" t="inlineStr">
        <is>
          <t>compra</t>
        </is>
      </c>
      <c r="B944" s="3" t="inlineStr">
        <is>
          <t>ccaa:08</t>
        </is>
      </c>
      <c r="C944" s="3" t="inlineStr">
        <is>
          <t>P5</t>
        </is>
      </c>
      <c r="D944" s="3" t="inlineStr">
        <is>
          <t>demanda_externa</t>
        </is>
      </c>
      <c r="E944" s="3" t="inlineStr">
        <is>
          <t>regional_panel</t>
        </is>
      </c>
      <c r="F944" s="3" t="n">
        <v>-0.020433</v>
      </c>
      <c r="G944" s="3" t="n"/>
      <c r="H944" s="3" t="n"/>
      <c r="I944" s="3" t="n">
        <v>0.0181641</v>
      </c>
      <c r="J944" s="3" t="n">
        <v>-0.201383</v>
      </c>
      <c r="K944" s="3" t="n">
        <v>0.313278</v>
      </c>
      <c r="L944" s="3" t="n">
        <v>-0.604535</v>
      </c>
      <c r="M944" s="3" t="n">
        <v>0.814086</v>
      </c>
      <c r="N944" s="3" t="inlineStr">
        <is>
          <t>C4</t>
        </is>
      </c>
      <c r="O944" s="3" t="inlineStr">
        <is>
          <t>si</t>
        </is>
      </c>
      <c r="P944" s="3" t="inlineStr">
        <is>
          <t>no_vota</t>
        </is>
      </c>
      <c r="Q944" s="3" t="inlineStr">
        <is>
          <t>panel_covariables</t>
        </is>
      </c>
      <c r="R944" s="3" t="n"/>
      <c r="S944" s="3" t="inlineStr">
        <is>
          <t>contraste regional (R6); no vota</t>
        </is>
      </c>
      <c r="T944" s="3" t="inlineStr">
        <is>
          <t>output/v8/F5/atribucion_combinada.csv</t>
        </is>
      </c>
      <c r="U944" s="2">
        <f>IF(R944=0,"",F944/R944)</f>
        <v/>
      </c>
      <c r="V944" s="2">
        <f>SUMIFS(F$2:F$1589,A$2:A$1589,A944,C$2:C$1589,C944,E$2:E$1589,E944,Q$2:Q$1589,Q944)</f>
        <v/>
      </c>
    </row>
    <row r="945">
      <c r="A945" s="3" t="inlineStr">
        <is>
          <t>compra</t>
        </is>
      </c>
      <c r="B945" s="3" t="inlineStr">
        <is>
          <t>ccaa:08</t>
        </is>
      </c>
      <c r="C945" s="3" t="inlineStr">
        <is>
          <t>P5</t>
        </is>
      </c>
      <c r="D945" s="3" t="inlineStr">
        <is>
          <t>residuo</t>
        </is>
      </c>
      <c r="E945" s="3" t="inlineStr">
        <is>
          <t>regional_panel</t>
        </is>
      </c>
      <c r="F945" s="3" t="n">
        <v>-2.25738</v>
      </c>
      <c r="G945" s="3" t="n"/>
      <c r="H945" s="3" t="n"/>
      <c r="I945" s="3" t="n">
        <v>2.00672</v>
      </c>
      <c r="J945" s="3" t="n">
        <v>-5.41526</v>
      </c>
      <c r="K945" s="3" t="n">
        <v>0.7143080000000001</v>
      </c>
      <c r="L945" s="3" t="n">
        <v>-6.99252</v>
      </c>
      <c r="M945" s="3" t="n">
        <v>3.28323</v>
      </c>
      <c r="N945" s="3" t="inlineStr">
        <is>
          <t>C4</t>
        </is>
      </c>
      <c r="O945" s="3" t="inlineStr">
        <is>
          <t>no</t>
        </is>
      </c>
      <c r="P945" s="3" t="inlineStr">
        <is>
          <t>no_compite</t>
        </is>
      </c>
      <c r="Q945" s="3" t="inlineStr">
        <is>
          <t>panel_covariables</t>
        </is>
      </c>
      <c r="R945" s="3" t="n"/>
      <c r="S945" s="3" t="inlineStr">
        <is>
          <t>contraste regional (R6); no vota</t>
        </is>
      </c>
      <c r="T945" s="3" t="inlineStr">
        <is>
          <t>output/v8/F5/atribucion_combinada.csv</t>
        </is>
      </c>
      <c r="U945" s="2">
        <f>IF(R945=0,"",F945/R945)</f>
        <v/>
      </c>
      <c r="V945" s="2">
        <f>SUMIFS(F$2:F$1589,A$2:A$1589,A945,C$2:C$1589,C945,E$2:E$1589,E945,Q$2:Q$1589,Q945)</f>
        <v/>
      </c>
    </row>
    <row r="946">
      <c r="A946" s="3" t="inlineStr">
        <is>
          <t>compra</t>
        </is>
      </c>
      <c r="B946" s="3" t="inlineStr">
        <is>
          <t>ccaa:09</t>
        </is>
      </c>
      <c r="C946" s="3" t="inlineStr">
        <is>
          <t>P5</t>
        </is>
      </c>
      <c r="D946" s="3" t="inlineStr">
        <is>
          <t>factor_comun</t>
        </is>
      </c>
      <c r="E946" s="3" t="inlineStr">
        <is>
          <t>regional_panel</t>
        </is>
      </c>
      <c r="F946" s="3" t="n">
        <v>1.50215</v>
      </c>
      <c r="G946" s="3" t="n"/>
      <c r="H946" s="3" t="n"/>
      <c r="I946" s="3" t="n">
        <v>9.253299999999999</v>
      </c>
      <c r="J946" s="3" t="n">
        <v>-1.20824</v>
      </c>
      <c r="K946" s="3" t="n">
        <v>4.46537</v>
      </c>
      <c r="L946" s="3" t="n">
        <v>-3.65444</v>
      </c>
      <c r="M946" s="3" t="n">
        <v>6.28506</v>
      </c>
      <c r="N946" s="3" t="inlineStr">
        <is>
          <t>C4</t>
        </is>
      </c>
      <c r="O946" s="3" t="inlineStr">
        <is>
          <t>no</t>
        </is>
      </c>
      <c r="P946" s="3" t="inlineStr">
        <is>
          <t>no_compite</t>
        </is>
      </c>
      <c r="Q946" s="3" t="inlineStr">
        <is>
          <t>panel_covariables</t>
        </is>
      </c>
      <c r="R946" s="3" t="n"/>
      <c r="S946" s="3" t="inlineStr">
        <is>
          <t>contraste regional (R6); no vota</t>
        </is>
      </c>
      <c r="T946" s="3" t="inlineStr">
        <is>
          <t>output/v8/F5/atribucion_combinada.csv</t>
        </is>
      </c>
      <c r="U946" s="2">
        <f>IF(R946=0,"",F946/R946)</f>
        <v/>
      </c>
      <c r="V946" s="2">
        <f>SUMIFS(F$2:F$1589,A$2:A$1589,A946,C$2:C$1589,C946,E$2:E$1589,E946,Q$2:Q$1589,Q946)</f>
        <v/>
      </c>
    </row>
    <row r="947">
      <c r="A947" s="3" t="inlineStr">
        <is>
          <t>compra</t>
        </is>
      </c>
      <c r="B947" s="3" t="inlineStr">
        <is>
          <t>ccaa:09</t>
        </is>
      </c>
      <c r="C947" s="3" t="inlineStr">
        <is>
          <t>P5</t>
        </is>
      </c>
      <c r="D947" s="3" t="inlineStr">
        <is>
          <t>empleo_renta</t>
        </is>
      </c>
      <c r="E947" s="3" t="inlineStr">
        <is>
          <t>regional_panel</t>
        </is>
      </c>
      <c r="F947" s="3" t="n">
        <v>1.27949</v>
      </c>
      <c r="G947" s="3" t="n"/>
      <c r="H947" s="3" t="n"/>
      <c r="I947" s="3" t="n">
        <v>7.88172</v>
      </c>
      <c r="J947" s="3" t="n">
        <v>0.883152</v>
      </c>
      <c r="K947" s="3" t="n">
        <v>1.79603</v>
      </c>
      <c r="L947" s="3" t="n">
        <v>0.52707</v>
      </c>
      <c r="M947" s="3" t="n">
        <v>2.58225</v>
      </c>
      <c r="N947" s="3" t="inlineStr">
        <is>
          <t>C4</t>
        </is>
      </c>
      <c r="O947" s="3" t="inlineStr">
        <is>
          <t>si</t>
        </is>
      </c>
      <c r="P947" s="3" t="inlineStr">
        <is>
          <t>no_vota</t>
        </is>
      </c>
      <c r="Q947" s="3" t="inlineStr">
        <is>
          <t>panel_covariables</t>
        </is>
      </c>
      <c r="R947" s="3" t="n"/>
      <c r="S947" s="3" t="inlineStr">
        <is>
          <t>contraste regional (R6); no vota</t>
        </is>
      </c>
      <c r="T947" s="3" t="inlineStr">
        <is>
          <t>output/v8/F5/atribucion_combinada.csv</t>
        </is>
      </c>
      <c r="U947" s="2">
        <f>IF(R947=0,"",F947/R947)</f>
        <v/>
      </c>
      <c r="V947" s="2">
        <f>SUMIFS(F$2:F$1589,A$2:A$1589,A947,C$2:C$1589,C947,E$2:E$1589,E947,Q$2:Q$1589,Q947)</f>
        <v/>
      </c>
    </row>
    <row r="948">
      <c r="A948" s="3" t="inlineStr">
        <is>
          <t>compra</t>
        </is>
      </c>
      <c r="B948" s="3" t="inlineStr">
        <is>
          <t>ccaa:09</t>
        </is>
      </c>
      <c r="C948" s="3" t="inlineStr">
        <is>
          <t>P5</t>
        </is>
      </c>
      <c r="D948" s="3" t="inlineStr">
        <is>
          <t>demografia</t>
        </is>
      </c>
      <c r="E948" s="3" t="inlineStr">
        <is>
          <t>regional_panel</t>
        </is>
      </c>
      <c r="F948" s="3" t="n">
        <v>-0.782005</v>
      </c>
      <c r="G948" s="3" t="n"/>
      <c r="H948" s="3" t="n"/>
      <c r="I948" s="3" t="n">
        <v>-4.81719</v>
      </c>
      <c r="J948" s="3" t="n">
        <v>-6.15634</v>
      </c>
      <c r="K948" s="3" t="n">
        <v>3.24459</v>
      </c>
      <c r="L948" s="3" t="n">
        <v>-12.8145</v>
      </c>
      <c r="M948" s="3" t="n">
        <v>5.56816</v>
      </c>
      <c r="N948" s="3" t="inlineStr">
        <is>
          <t>C4</t>
        </is>
      </c>
      <c r="O948" s="3" t="inlineStr">
        <is>
          <t>si</t>
        </is>
      </c>
      <c r="P948" s="3" t="inlineStr">
        <is>
          <t>no_vota</t>
        </is>
      </c>
      <c r="Q948" s="3" t="inlineStr">
        <is>
          <t>panel_covariables</t>
        </is>
      </c>
      <c r="R948" s="3" t="n"/>
      <c r="S948" s="3" t="inlineStr">
        <is>
          <t>contraste regional (R6); no vota</t>
        </is>
      </c>
      <c r="T948" s="3" t="inlineStr">
        <is>
          <t>output/v8/F5/atribucion_combinada.csv</t>
        </is>
      </c>
      <c r="U948" s="2">
        <f>IF(R948=0,"",F948/R948)</f>
        <v/>
      </c>
      <c r="V948" s="2">
        <f>SUMIFS(F$2:F$1589,A$2:A$1589,A948,C$2:C$1589,C948,E$2:E$1589,E948,Q$2:Q$1589,Q948)</f>
        <v/>
      </c>
    </row>
    <row r="949">
      <c r="A949" s="3" t="inlineStr">
        <is>
          <t>compra</t>
        </is>
      </c>
      <c r="B949" s="3" t="inlineStr">
        <is>
          <t>ccaa:09</t>
        </is>
      </c>
      <c r="C949" s="3" t="inlineStr">
        <is>
          <t>P5</t>
        </is>
      </c>
      <c r="D949" s="3" t="inlineStr">
        <is>
          <t>oferta</t>
        </is>
      </c>
      <c r="E949" s="3" t="inlineStr">
        <is>
          <t>regional_panel</t>
        </is>
      </c>
      <c r="F949" s="3" t="n">
        <v>0.000809075</v>
      </c>
      <c r="G949" s="3" t="n"/>
      <c r="H949" s="3" t="n"/>
      <c r="I949" s="3" t="n">
        <v>0.00498394</v>
      </c>
      <c r="J949" s="3" t="n">
        <v>-0.047268</v>
      </c>
      <c r="K949" s="3" t="n">
        <v>0.07707840000000001</v>
      </c>
      <c r="L949" s="3" t="n">
        <v>-0.105692</v>
      </c>
      <c r="M949" s="3" t="n">
        <v>0.161223</v>
      </c>
      <c r="N949" s="3" t="inlineStr">
        <is>
          <t>C4</t>
        </is>
      </c>
      <c r="O949" s="3" t="inlineStr">
        <is>
          <t>si</t>
        </is>
      </c>
      <c r="P949" s="3" t="inlineStr">
        <is>
          <t>no_vota</t>
        </is>
      </c>
      <c r="Q949" s="3" t="inlineStr">
        <is>
          <t>panel_covariables</t>
        </is>
      </c>
      <c r="R949" s="3" t="n"/>
      <c r="S949" s="3" t="inlineStr">
        <is>
          <t>contraste regional (R6); no vota</t>
        </is>
      </c>
      <c r="T949" s="3" t="inlineStr">
        <is>
          <t>output/v8/F5/atribucion_combinada.csv</t>
        </is>
      </c>
      <c r="U949" s="2">
        <f>IF(R949=0,"",F949/R949)</f>
        <v/>
      </c>
      <c r="V949" s="2">
        <f>SUMIFS(F$2:F$1589,A$2:A$1589,A949,C$2:C$1589,C949,E$2:E$1589,E949,Q$2:Q$1589,Q949)</f>
        <v/>
      </c>
    </row>
    <row r="950">
      <c r="A950" s="3" t="inlineStr">
        <is>
          <t>compra</t>
        </is>
      </c>
      <c r="B950" s="3" t="inlineStr">
        <is>
          <t>ccaa:09</t>
        </is>
      </c>
      <c r="C950" s="3" t="inlineStr">
        <is>
          <t>P5</t>
        </is>
      </c>
      <c r="D950" s="3" t="inlineStr">
        <is>
          <t>demanda_externa</t>
        </is>
      </c>
      <c r="E950" s="3" t="inlineStr">
        <is>
          <t>regional_panel</t>
        </is>
      </c>
      <c r="F950" s="3" t="n">
        <v>-0.0169692</v>
      </c>
      <c r="G950" s="3" t="n"/>
      <c r="H950" s="3" t="n"/>
      <c r="I950" s="3" t="n">
        <v>-0.104531</v>
      </c>
      <c r="J950" s="3" t="n">
        <v>-0.258032</v>
      </c>
      <c r="K950" s="3" t="n">
        <v>0.135698</v>
      </c>
      <c r="L950" s="3" t="n">
        <v>-0.734327</v>
      </c>
      <c r="M950" s="3" t="n">
        <v>0.384792</v>
      </c>
      <c r="N950" s="3" t="inlineStr">
        <is>
          <t>C4</t>
        </is>
      </c>
      <c r="O950" s="3" t="inlineStr">
        <is>
          <t>si</t>
        </is>
      </c>
      <c r="P950" s="3" t="inlineStr">
        <is>
          <t>no_vota</t>
        </is>
      </c>
      <c r="Q950" s="3" t="inlineStr">
        <is>
          <t>panel_covariables</t>
        </is>
      </c>
      <c r="R950" s="3" t="n"/>
      <c r="S950" s="3" t="inlineStr">
        <is>
          <t>contraste regional (R6); no vota</t>
        </is>
      </c>
      <c r="T950" s="3" t="inlineStr">
        <is>
          <t>output/v8/F5/atribucion_combinada.csv</t>
        </is>
      </c>
      <c r="U950" s="2">
        <f>IF(R950=0,"",F950/R950)</f>
        <v/>
      </c>
      <c r="V950" s="2">
        <f>SUMIFS(F$2:F$1589,A$2:A$1589,A950,C$2:C$1589,C950,E$2:E$1589,E950,Q$2:Q$1589,Q950)</f>
        <v/>
      </c>
    </row>
    <row r="951">
      <c r="A951" s="3" t="inlineStr">
        <is>
          <t>compra</t>
        </is>
      </c>
      <c r="B951" s="3" t="inlineStr">
        <is>
          <t>ccaa:09</t>
        </is>
      </c>
      <c r="C951" s="3" t="inlineStr">
        <is>
          <t>P5</t>
        </is>
      </c>
      <c r="D951" s="3" t="inlineStr">
        <is>
          <t>residuo</t>
        </is>
      </c>
      <c r="E951" s="3" t="inlineStr">
        <is>
          <t>regional_panel</t>
        </is>
      </c>
      <c r="F951" s="3" t="n">
        <v>-1.82114</v>
      </c>
      <c r="G951" s="3" t="n"/>
      <c r="H951" s="3" t="n"/>
      <c r="I951" s="3" t="n">
        <v>-11.2183</v>
      </c>
      <c r="J951" s="3" t="n">
        <v>-5.49694</v>
      </c>
      <c r="K951" s="3" t="n">
        <v>3.19513</v>
      </c>
      <c r="L951" s="3" t="n">
        <v>-7.42915</v>
      </c>
      <c r="M951" s="3" t="n">
        <v>8.547499999999999</v>
      </c>
      <c r="N951" s="3" t="inlineStr">
        <is>
          <t>C4</t>
        </is>
      </c>
      <c r="O951" s="3" t="inlineStr">
        <is>
          <t>no</t>
        </is>
      </c>
      <c r="P951" s="3" t="inlineStr">
        <is>
          <t>no_compite</t>
        </is>
      </c>
      <c r="Q951" s="3" t="inlineStr">
        <is>
          <t>panel_covariables</t>
        </is>
      </c>
      <c r="R951" s="3" t="n"/>
      <c r="S951" s="3" t="inlineStr">
        <is>
          <t>contraste regional (R6); no vota</t>
        </is>
      </c>
      <c r="T951" s="3" t="inlineStr">
        <is>
          <t>output/v8/F5/atribucion_combinada.csv</t>
        </is>
      </c>
      <c r="U951" s="2">
        <f>IF(R951=0,"",F951/R951)</f>
        <v/>
      </c>
      <c r="V951" s="2">
        <f>SUMIFS(F$2:F$1589,A$2:A$1589,A951,C$2:C$1589,C951,E$2:E$1589,E951,Q$2:Q$1589,Q951)</f>
        <v/>
      </c>
    </row>
    <row r="952">
      <c r="A952" s="3" t="inlineStr">
        <is>
          <t>compra</t>
        </is>
      </c>
      <c r="B952" s="3" t="inlineStr">
        <is>
          <t>ccaa:10</t>
        </is>
      </c>
      <c r="C952" s="3" t="inlineStr">
        <is>
          <t>P5</t>
        </is>
      </c>
      <c r="D952" s="3" t="inlineStr">
        <is>
          <t>factor_comun</t>
        </is>
      </c>
      <c r="E952" s="3" t="inlineStr">
        <is>
          <t>regional_panel</t>
        </is>
      </c>
      <c r="F952" s="3" t="n">
        <v>1.50215</v>
      </c>
      <c r="G952" s="3" t="n"/>
      <c r="H952" s="3" t="n"/>
      <c r="I952" s="3" t="n">
        <v>0.235156</v>
      </c>
      <c r="J952" s="3" t="n">
        <v>-1.20824</v>
      </c>
      <c r="K952" s="3" t="n">
        <v>4.46537</v>
      </c>
      <c r="L952" s="3" t="n">
        <v>-3.65444</v>
      </c>
      <c r="M952" s="3" t="n">
        <v>6.28506</v>
      </c>
      <c r="N952" s="3" t="inlineStr">
        <is>
          <t>C4</t>
        </is>
      </c>
      <c r="O952" s="3" t="inlineStr">
        <is>
          <t>no</t>
        </is>
      </c>
      <c r="P952" s="3" t="inlineStr">
        <is>
          <t>no_compite</t>
        </is>
      </c>
      <c r="Q952" s="3" t="inlineStr">
        <is>
          <t>panel_covariables</t>
        </is>
      </c>
      <c r="R952" s="3" t="n"/>
      <c r="S952" s="3" t="inlineStr">
        <is>
          <t>contraste regional (R6); no vota</t>
        </is>
      </c>
      <c r="T952" s="3" t="inlineStr">
        <is>
          <t>output/v8/F5/atribucion_combinada.csv</t>
        </is>
      </c>
      <c r="U952" s="2">
        <f>IF(R952=0,"",F952/R952)</f>
        <v/>
      </c>
      <c r="V952" s="2">
        <f>SUMIFS(F$2:F$1589,A$2:A$1589,A952,C$2:C$1589,C952,E$2:E$1589,E952,Q$2:Q$1589,Q952)</f>
        <v/>
      </c>
    </row>
    <row r="953">
      <c r="A953" s="3" t="inlineStr">
        <is>
          <t>compra</t>
        </is>
      </c>
      <c r="B953" s="3" t="inlineStr">
        <is>
          <t>ccaa:10</t>
        </is>
      </c>
      <c r="C953" s="3" t="inlineStr">
        <is>
          <t>P5</t>
        </is>
      </c>
      <c r="D953" s="3" t="inlineStr">
        <is>
          <t>empleo_renta</t>
        </is>
      </c>
      <c r="E953" s="3" t="inlineStr">
        <is>
          <t>regional_panel</t>
        </is>
      </c>
      <c r="F953" s="3" t="n">
        <v>1.50611</v>
      </c>
      <c r="G953" s="3" t="n"/>
      <c r="H953" s="3" t="n"/>
      <c r="I953" s="3" t="n">
        <v>0.235777</v>
      </c>
      <c r="J953" s="3" t="n">
        <v>1.05596</v>
      </c>
      <c r="K953" s="3" t="n">
        <v>2.07597</v>
      </c>
      <c r="L953" s="3" t="n">
        <v>0.666994</v>
      </c>
      <c r="M953" s="3" t="n">
        <v>2.40969</v>
      </c>
      <c r="N953" s="3" t="inlineStr">
        <is>
          <t>C4</t>
        </is>
      </c>
      <c r="O953" s="3" t="inlineStr">
        <is>
          <t>si</t>
        </is>
      </c>
      <c r="P953" s="3" t="inlineStr">
        <is>
          <t>no_vota</t>
        </is>
      </c>
      <c r="Q953" s="3" t="inlineStr">
        <is>
          <t>panel_covariables</t>
        </is>
      </c>
      <c r="R953" s="3" t="n"/>
      <c r="S953" s="3" t="inlineStr">
        <is>
          <t>contraste regional (R6); no vota</t>
        </is>
      </c>
      <c r="T953" s="3" t="inlineStr">
        <is>
          <t>output/v8/F5/atribucion_combinada.csv</t>
        </is>
      </c>
      <c r="U953" s="2">
        <f>IF(R953=0,"",F953/R953)</f>
        <v/>
      </c>
      <c r="V953" s="2">
        <f>SUMIFS(F$2:F$1589,A$2:A$1589,A953,C$2:C$1589,C953,E$2:E$1589,E953,Q$2:Q$1589,Q953)</f>
        <v/>
      </c>
    </row>
    <row r="954">
      <c r="A954" s="3" t="inlineStr">
        <is>
          <t>compra</t>
        </is>
      </c>
      <c r="B954" s="3" t="inlineStr">
        <is>
          <t>ccaa:10</t>
        </is>
      </c>
      <c r="C954" s="3" t="inlineStr">
        <is>
          <t>P5</t>
        </is>
      </c>
      <c r="D954" s="3" t="inlineStr">
        <is>
          <t>demografia</t>
        </is>
      </c>
      <c r="E954" s="3" t="inlineStr">
        <is>
          <t>regional_panel</t>
        </is>
      </c>
      <c r="F954" s="3" t="n">
        <v>-1.08927</v>
      </c>
      <c r="G954" s="3" t="n"/>
      <c r="H954" s="3" t="n"/>
      <c r="I954" s="3" t="n">
        <v>-0.170521</v>
      </c>
      <c r="J954" s="3" t="n">
        <v>-8.03379</v>
      </c>
      <c r="K954" s="3" t="n">
        <v>4.50895</v>
      </c>
      <c r="L954" s="3" t="n">
        <v>-16.6348</v>
      </c>
      <c r="M954" s="3" t="n">
        <v>7.61584</v>
      </c>
      <c r="N954" s="3" t="inlineStr">
        <is>
          <t>C4</t>
        </is>
      </c>
      <c r="O954" s="3" t="inlineStr">
        <is>
          <t>si</t>
        </is>
      </c>
      <c r="P954" s="3" t="inlineStr">
        <is>
          <t>no_vota</t>
        </is>
      </c>
      <c r="Q954" s="3" t="inlineStr">
        <is>
          <t>panel_covariables</t>
        </is>
      </c>
      <c r="R954" s="3" t="n"/>
      <c r="S954" s="3" t="inlineStr">
        <is>
          <t>contraste regional (R6); no vota</t>
        </is>
      </c>
      <c r="T954" s="3" t="inlineStr">
        <is>
          <t>output/v8/F5/atribucion_combinada.csv</t>
        </is>
      </c>
      <c r="U954" s="2">
        <f>IF(R954=0,"",F954/R954)</f>
        <v/>
      </c>
      <c r="V954" s="2">
        <f>SUMIFS(F$2:F$1589,A$2:A$1589,A954,C$2:C$1589,C954,E$2:E$1589,E954,Q$2:Q$1589,Q954)</f>
        <v/>
      </c>
    </row>
    <row r="955">
      <c r="A955" s="3" t="inlineStr">
        <is>
          <t>compra</t>
        </is>
      </c>
      <c r="B955" s="3" t="inlineStr">
        <is>
          <t>ccaa:10</t>
        </is>
      </c>
      <c r="C955" s="3" t="inlineStr">
        <is>
          <t>P5</t>
        </is>
      </c>
      <c r="D955" s="3" t="inlineStr">
        <is>
          <t>oferta</t>
        </is>
      </c>
      <c r="E955" s="3" t="inlineStr">
        <is>
          <t>regional_panel</t>
        </is>
      </c>
      <c r="F955" s="3" t="n">
        <v>0.00116018</v>
      </c>
      <c r="G955" s="3" t="n"/>
      <c r="H955" s="3" t="n"/>
      <c r="I955" s="3" t="n">
        <v>0.000181623</v>
      </c>
      <c r="J955" s="3" t="n">
        <v>-0.08567900000000001</v>
      </c>
      <c r="K955" s="3" t="n">
        <v>0.115064</v>
      </c>
      <c r="L955" s="3" t="n">
        <v>-0.171806</v>
      </c>
      <c r="M955" s="3" t="n">
        <v>0.233731</v>
      </c>
      <c r="N955" s="3" t="inlineStr">
        <is>
          <t>C4</t>
        </is>
      </c>
      <c r="O955" s="3" t="inlineStr">
        <is>
          <t>si</t>
        </is>
      </c>
      <c r="P955" s="3" t="inlineStr">
        <is>
          <t>no_vota</t>
        </is>
      </c>
      <c r="Q955" s="3" t="inlineStr">
        <is>
          <t>panel_covariables</t>
        </is>
      </c>
      <c r="R955" s="3" t="n"/>
      <c r="S955" s="3" t="inlineStr">
        <is>
          <t>contraste regional (R6); no vota</t>
        </is>
      </c>
      <c r="T955" s="3" t="inlineStr">
        <is>
          <t>output/v8/F5/atribucion_combinada.csv</t>
        </is>
      </c>
      <c r="U955" s="2">
        <f>IF(R955=0,"",F955/R955)</f>
        <v/>
      </c>
      <c r="V955" s="2">
        <f>SUMIFS(F$2:F$1589,A$2:A$1589,A955,C$2:C$1589,C955,E$2:E$1589,E955,Q$2:Q$1589,Q955)</f>
        <v/>
      </c>
    </row>
    <row r="956">
      <c r="A956" s="3" t="inlineStr">
        <is>
          <t>compra</t>
        </is>
      </c>
      <c r="B956" s="3" t="inlineStr">
        <is>
          <t>ccaa:10</t>
        </is>
      </c>
      <c r="C956" s="3" t="inlineStr">
        <is>
          <t>P5</t>
        </is>
      </c>
      <c r="D956" s="3" t="inlineStr">
        <is>
          <t>demanda_externa</t>
        </is>
      </c>
      <c r="E956" s="3" t="inlineStr">
        <is>
          <t>regional_panel</t>
        </is>
      </c>
      <c r="F956" s="3" t="n">
        <v>-0.0123774</v>
      </c>
      <c r="G956" s="3" t="n"/>
      <c r="H956" s="3" t="n"/>
      <c r="I956" s="3" t="n">
        <v>-0.00193764</v>
      </c>
      <c r="J956" s="3" t="n">
        <v>-0.274285</v>
      </c>
      <c r="K956" s="3" t="n">
        <v>0.0455374</v>
      </c>
      <c r="L956" s="3" t="n">
        <v>-0.5285840000000001</v>
      </c>
      <c r="M956" s="3" t="n">
        <v>0.0847473</v>
      </c>
      <c r="N956" s="3" t="inlineStr">
        <is>
          <t>C4</t>
        </is>
      </c>
      <c r="O956" s="3" t="inlineStr">
        <is>
          <t>si</t>
        </is>
      </c>
      <c r="P956" s="3" t="inlineStr">
        <is>
          <t>no_vota</t>
        </is>
      </c>
      <c r="Q956" s="3" t="inlineStr">
        <is>
          <t>panel_covariables</t>
        </is>
      </c>
      <c r="R956" s="3" t="n"/>
      <c r="S956" s="3" t="inlineStr">
        <is>
          <t>contraste regional (R6); no vota</t>
        </is>
      </c>
      <c r="T956" s="3" t="inlineStr">
        <is>
          <t>output/v8/F5/atribucion_combinada.csv</t>
        </is>
      </c>
      <c r="U956" s="2">
        <f>IF(R956=0,"",F956/R956)</f>
        <v/>
      </c>
      <c r="V956" s="2">
        <f>SUMIFS(F$2:F$1589,A$2:A$1589,A956,C$2:C$1589,C956,E$2:E$1589,E956,Q$2:Q$1589,Q956)</f>
        <v/>
      </c>
    </row>
    <row r="957">
      <c r="A957" s="3" t="inlineStr">
        <is>
          <t>compra</t>
        </is>
      </c>
      <c r="B957" s="3" t="inlineStr">
        <is>
          <t>ccaa:10</t>
        </is>
      </c>
      <c r="C957" s="3" t="inlineStr">
        <is>
          <t>P5</t>
        </is>
      </c>
      <c r="D957" s="3" t="inlineStr">
        <is>
          <t>residuo</t>
        </is>
      </c>
      <c r="E957" s="3" t="inlineStr">
        <is>
          <t>regional_panel</t>
        </is>
      </c>
      <c r="F957" s="3" t="n">
        <v>4.4801</v>
      </c>
      <c r="G957" s="3" t="n"/>
      <c r="H957" s="3" t="n"/>
      <c r="I957" s="3" t="n">
        <v>0.701344</v>
      </c>
      <c r="J957" s="3" t="n">
        <v>-0.388296</v>
      </c>
      <c r="K957" s="3" t="n">
        <v>11.6041</v>
      </c>
      <c r="L957" s="3" t="n">
        <v>-2.90966</v>
      </c>
      <c r="M957" s="3" t="n">
        <v>19.7832</v>
      </c>
      <c r="N957" s="3" t="inlineStr">
        <is>
          <t>C4</t>
        </is>
      </c>
      <c r="O957" s="3" t="inlineStr">
        <is>
          <t>no</t>
        </is>
      </c>
      <c r="P957" s="3" t="inlineStr">
        <is>
          <t>no_compite</t>
        </is>
      </c>
      <c r="Q957" s="3" t="inlineStr">
        <is>
          <t>panel_covariables</t>
        </is>
      </c>
      <c r="R957" s="3" t="n"/>
      <c r="S957" s="3" t="inlineStr">
        <is>
          <t>contraste regional (R6); no vota</t>
        </is>
      </c>
      <c r="T957" s="3" t="inlineStr">
        <is>
          <t>output/v8/F5/atribucion_combinada.csv</t>
        </is>
      </c>
      <c r="U957" s="2">
        <f>IF(R957=0,"",F957/R957)</f>
        <v/>
      </c>
      <c r="V957" s="2">
        <f>SUMIFS(F$2:F$1589,A$2:A$1589,A957,C$2:C$1589,C957,E$2:E$1589,E957,Q$2:Q$1589,Q957)</f>
        <v/>
      </c>
    </row>
    <row r="958">
      <c r="A958" s="3" t="inlineStr">
        <is>
          <t>compra</t>
        </is>
      </c>
      <c r="B958" s="3" t="inlineStr">
        <is>
          <t>ccaa:11</t>
        </is>
      </c>
      <c r="C958" s="3" t="inlineStr">
        <is>
          <t>P5</t>
        </is>
      </c>
      <c r="D958" s="3" t="inlineStr">
        <is>
          <t>factor_comun</t>
        </is>
      </c>
      <c r="E958" s="3" t="inlineStr">
        <is>
          <t>regional_panel</t>
        </is>
      </c>
      <c r="F958" s="3" t="n">
        <v>1.50215</v>
      </c>
      <c r="G958" s="3" t="n"/>
      <c r="H958" s="3" t="n"/>
      <c r="I958" s="3" t="n">
        <v>-0.233235</v>
      </c>
      <c r="J958" s="3" t="n">
        <v>-1.20824</v>
      </c>
      <c r="K958" s="3" t="n">
        <v>4.46537</v>
      </c>
      <c r="L958" s="3" t="n">
        <v>-3.65444</v>
      </c>
      <c r="M958" s="3" t="n">
        <v>6.28506</v>
      </c>
      <c r="N958" s="3" t="inlineStr">
        <is>
          <t>C4</t>
        </is>
      </c>
      <c r="O958" s="3" t="inlineStr">
        <is>
          <t>no</t>
        </is>
      </c>
      <c r="P958" s="3" t="inlineStr">
        <is>
          <t>no_compite</t>
        </is>
      </c>
      <c r="Q958" s="3" t="inlineStr">
        <is>
          <t>panel_covariables</t>
        </is>
      </c>
      <c r="R958" s="3" t="n"/>
      <c r="S958" s="3" t="inlineStr">
        <is>
          <t>contraste regional (R6); no vota</t>
        </is>
      </c>
      <c r="T958" s="3" t="inlineStr">
        <is>
          <t>output/v8/F5/atribucion_combinada.csv</t>
        </is>
      </c>
      <c r="U958" s="2">
        <f>IF(R958=0,"",F958/R958)</f>
        <v/>
      </c>
      <c r="V958" s="2">
        <f>SUMIFS(F$2:F$1589,A$2:A$1589,A958,C$2:C$1589,C958,E$2:E$1589,E958,Q$2:Q$1589,Q958)</f>
        <v/>
      </c>
    </row>
    <row r="959">
      <c r="A959" s="3" t="inlineStr">
        <is>
          <t>compra</t>
        </is>
      </c>
      <c r="B959" s="3" t="inlineStr">
        <is>
          <t>ccaa:11</t>
        </is>
      </c>
      <c r="C959" s="3" t="inlineStr">
        <is>
          <t>P5</t>
        </is>
      </c>
      <c r="D959" s="3" t="inlineStr">
        <is>
          <t>empleo_renta</t>
        </is>
      </c>
      <c r="E959" s="3" t="inlineStr">
        <is>
          <t>regional_panel</t>
        </is>
      </c>
      <c r="F959" s="3" t="n">
        <v>-0.14468</v>
      </c>
      <c r="G959" s="3" t="n"/>
      <c r="H959" s="3" t="n"/>
      <c r="I959" s="3" t="n">
        <v>0.0224641</v>
      </c>
      <c r="J959" s="3" t="n">
        <v>-0.380021</v>
      </c>
      <c r="K959" s="3" t="n">
        <v>0.334112</v>
      </c>
      <c r="L959" s="3" t="n">
        <v>-0.640863</v>
      </c>
      <c r="M959" s="3" t="n">
        <v>0.5354950000000001</v>
      </c>
      <c r="N959" s="3" t="inlineStr">
        <is>
          <t>C4</t>
        </is>
      </c>
      <c r="O959" s="3" t="inlineStr">
        <is>
          <t>si</t>
        </is>
      </c>
      <c r="P959" s="3" t="inlineStr">
        <is>
          <t>no_vota</t>
        </is>
      </c>
      <c r="Q959" s="3" t="inlineStr">
        <is>
          <t>panel_covariables</t>
        </is>
      </c>
      <c r="R959" s="3" t="n"/>
      <c r="S959" s="3" t="inlineStr">
        <is>
          <t>contraste regional (R6); no vota</t>
        </is>
      </c>
      <c r="T959" s="3" t="inlineStr">
        <is>
          <t>output/v8/F5/atribucion_combinada.csv</t>
        </is>
      </c>
      <c r="U959" s="2">
        <f>IF(R959=0,"",F959/R959)</f>
        <v/>
      </c>
      <c r="V959" s="2">
        <f>SUMIFS(F$2:F$1589,A$2:A$1589,A959,C$2:C$1589,C959,E$2:E$1589,E959,Q$2:Q$1589,Q959)</f>
        <v/>
      </c>
    </row>
    <row r="960">
      <c r="A960" s="3" t="inlineStr">
        <is>
          <t>compra</t>
        </is>
      </c>
      <c r="B960" s="3" t="inlineStr">
        <is>
          <t>ccaa:11</t>
        </is>
      </c>
      <c r="C960" s="3" t="inlineStr">
        <is>
          <t>P5</t>
        </is>
      </c>
      <c r="D960" s="3" t="inlineStr">
        <is>
          <t>demografia</t>
        </is>
      </c>
      <c r="E960" s="3" t="inlineStr">
        <is>
          <t>regional_panel</t>
        </is>
      </c>
      <c r="F960" s="3" t="n">
        <v>-0.675589</v>
      </c>
      <c r="G960" s="3" t="n"/>
      <c r="H960" s="3" t="n"/>
      <c r="I960" s="3" t="n">
        <v>0.104897</v>
      </c>
      <c r="J960" s="3" t="n">
        <v>-2.19947</v>
      </c>
      <c r="K960" s="3" t="n">
        <v>2.30007</v>
      </c>
      <c r="L960" s="3" t="n">
        <v>-3.63078</v>
      </c>
      <c r="M960" s="3" t="n">
        <v>4.62878</v>
      </c>
      <c r="N960" s="3" t="inlineStr">
        <is>
          <t>C4</t>
        </is>
      </c>
      <c r="O960" s="3" t="inlineStr">
        <is>
          <t>si</t>
        </is>
      </c>
      <c r="P960" s="3" t="inlineStr">
        <is>
          <t>no_vota</t>
        </is>
      </c>
      <c r="Q960" s="3" t="inlineStr">
        <is>
          <t>panel_covariables</t>
        </is>
      </c>
      <c r="R960" s="3" t="n"/>
      <c r="S960" s="3" t="inlineStr">
        <is>
          <t>contraste regional (R6); no vota</t>
        </is>
      </c>
      <c r="T960" s="3" t="inlineStr">
        <is>
          <t>output/v8/F5/atribucion_combinada.csv</t>
        </is>
      </c>
      <c r="U960" s="2">
        <f>IF(R960=0,"",F960/R960)</f>
        <v/>
      </c>
      <c r="V960" s="2">
        <f>SUMIFS(F$2:F$1589,A$2:A$1589,A960,C$2:C$1589,C960,E$2:E$1589,E960,Q$2:Q$1589,Q960)</f>
        <v/>
      </c>
    </row>
    <row r="961">
      <c r="A961" s="3" t="inlineStr">
        <is>
          <t>compra</t>
        </is>
      </c>
      <c r="B961" s="3" t="inlineStr">
        <is>
          <t>ccaa:11</t>
        </is>
      </c>
      <c r="C961" s="3" t="inlineStr">
        <is>
          <t>P5</t>
        </is>
      </c>
      <c r="D961" s="3" t="inlineStr">
        <is>
          <t>oferta</t>
        </is>
      </c>
      <c r="E961" s="3" t="inlineStr">
        <is>
          <t>regional_panel</t>
        </is>
      </c>
      <c r="F961" s="3" t="n">
        <v>4.51438e-07</v>
      </c>
      <c r="G961" s="3" t="n"/>
      <c r="H961" s="3" t="n"/>
      <c r="I961" s="3" t="n">
        <v>-7.00937e-08</v>
      </c>
      <c r="J961" s="3" t="n">
        <v>-0.0943334</v>
      </c>
      <c r="K961" s="3" t="n">
        <v>0.0243114</v>
      </c>
      <c r="L961" s="3" t="n">
        <v>-0.196553</v>
      </c>
      <c r="M961" s="3" t="n">
        <v>0.0678257</v>
      </c>
      <c r="N961" s="3" t="inlineStr">
        <is>
          <t>C4</t>
        </is>
      </c>
      <c r="O961" s="3" t="inlineStr">
        <is>
          <t>si</t>
        </is>
      </c>
      <c r="P961" s="3" t="inlineStr">
        <is>
          <t>no_vota</t>
        </is>
      </c>
      <c r="Q961" s="3" t="inlineStr">
        <is>
          <t>panel_covariables</t>
        </is>
      </c>
      <c r="R961" s="3" t="n"/>
      <c r="S961" s="3" t="inlineStr">
        <is>
          <t>contraste regional (R6); no vota</t>
        </is>
      </c>
      <c r="T961" s="3" t="inlineStr">
        <is>
          <t>output/v8/F5/atribucion_combinada.csv</t>
        </is>
      </c>
      <c r="U961" s="2">
        <f>IF(R961=0,"",F961/R961)</f>
        <v/>
      </c>
      <c r="V961" s="2">
        <f>SUMIFS(F$2:F$1589,A$2:A$1589,A961,C$2:C$1589,C961,E$2:E$1589,E961,Q$2:Q$1589,Q961)</f>
        <v/>
      </c>
    </row>
    <row r="962">
      <c r="A962" s="3" t="inlineStr">
        <is>
          <t>compra</t>
        </is>
      </c>
      <c r="B962" s="3" t="inlineStr">
        <is>
          <t>ccaa:11</t>
        </is>
      </c>
      <c r="C962" s="3" t="inlineStr">
        <is>
          <t>P5</t>
        </is>
      </c>
      <c r="D962" s="3" t="inlineStr">
        <is>
          <t>demanda_externa</t>
        </is>
      </c>
      <c r="E962" s="3" t="inlineStr">
        <is>
          <t>regional_panel</t>
        </is>
      </c>
      <c r="F962" s="3" t="n">
        <v>-0.0277034</v>
      </c>
      <c r="G962" s="3" t="n"/>
      <c r="H962" s="3" t="n"/>
      <c r="I962" s="3" t="n">
        <v>0.00430144</v>
      </c>
      <c r="J962" s="3" t="n">
        <v>-0.353922</v>
      </c>
      <c r="K962" s="3" t="n">
        <v>0.366674</v>
      </c>
      <c r="L962" s="3" t="n">
        <v>-1.04376</v>
      </c>
      <c r="M962" s="3" t="n">
        <v>0.99694</v>
      </c>
      <c r="N962" s="3" t="inlineStr">
        <is>
          <t>C4</t>
        </is>
      </c>
      <c r="O962" s="3" t="inlineStr">
        <is>
          <t>si</t>
        </is>
      </c>
      <c r="P962" s="3" t="inlineStr">
        <is>
          <t>no_vota</t>
        </is>
      </c>
      <c r="Q962" s="3" t="inlineStr">
        <is>
          <t>panel_covariables</t>
        </is>
      </c>
      <c r="R962" s="3" t="n"/>
      <c r="S962" s="3" t="inlineStr">
        <is>
          <t>contraste regional (R6); no vota</t>
        </is>
      </c>
      <c r="T962" s="3" t="inlineStr">
        <is>
          <t>output/v8/F5/atribucion_combinada.csv</t>
        </is>
      </c>
      <c r="U962" s="2">
        <f>IF(R962=0,"",F962/R962)</f>
        <v/>
      </c>
      <c r="V962" s="2">
        <f>SUMIFS(F$2:F$1589,A$2:A$1589,A962,C$2:C$1589,C962,E$2:E$1589,E962,Q$2:Q$1589,Q962)</f>
        <v/>
      </c>
    </row>
    <row r="963">
      <c r="A963" s="3" t="inlineStr">
        <is>
          <t>compra</t>
        </is>
      </c>
      <c r="B963" s="3" t="inlineStr">
        <is>
          <t>ccaa:11</t>
        </is>
      </c>
      <c r="C963" s="3" t="inlineStr">
        <is>
          <t>P5</t>
        </is>
      </c>
      <c r="D963" s="3" t="inlineStr">
        <is>
          <t>residuo</t>
        </is>
      </c>
      <c r="E963" s="3" t="inlineStr">
        <is>
          <t>regional_panel</t>
        </is>
      </c>
      <c r="F963" s="3" t="n">
        <v>-7.09466</v>
      </c>
      <c r="G963" s="3" t="n"/>
      <c r="H963" s="3" t="n"/>
      <c r="I963" s="3" t="n">
        <v>1.10157</v>
      </c>
      <c r="J963" s="3" t="n">
        <v>-10.3724</v>
      </c>
      <c r="K963" s="3" t="n">
        <v>-5.57549</v>
      </c>
      <c r="L963" s="3" t="n">
        <v>-12.659</v>
      </c>
      <c r="M963" s="3" t="n">
        <v>-4.44494</v>
      </c>
      <c r="N963" s="3" t="inlineStr">
        <is>
          <t>C4</t>
        </is>
      </c>
      <c r="O963" s="3" t="inlineStr">
        <is>
          <t>no</t>
        </is>
      </c>
      <c r="P963" s="3" t="inlineStr">
        <is>
          <t>no_compite</t>
        </is>
      </c>
      <c r="Q963" s="3" t="inlineStr">
        <is>
          <t>panel_covariables</t>
        </is>
      </c>
      <c r="R963" s="3" t="n"/>
      <c r="S963" s="3" t="inlineStr">
        <is>
          <t>contraste regional (R6); no vota</t>
        </is>
      </c>
      <c r="T963" s="3" t="inlineStr">
        <is>
          <t>output/v8/F5/atribucion_combinada.csv</t>
        </is>
      </c>
      <c r="U963" s="2">
        <f>IF(R963=0,"",F963/R963)</f>
        <v/>
      </c>
      <c r="V963" s="2">
        <f>SUMIFS(F$2:F$1589,A$2:A$1589,A963,C$2:C$1589,C963,E$2:E$1589,E963,Q$2:Q$1589,Q963)</f>
        <v/>
      </c>
    </row>
    <row r="964">
      <c r="A964" s="3" t="inlineStr">
        <is>
          <t>compra</t>
        </is>
      </c>
      <c r="B964" s="3" t="inlineStr">
        <is>
          <t>ccaa:12</t>
        </is>
      </c>
      <c r="C964" s="3" t="inlineStr">
        <is>
          <t>P5</t>
        </is>
      </c>
      <c r="D964" s="3" t="inlineStr">
        <is>
          <t>factor_comun</t>
        </is>
      </c>
      <c r="E964" s="3" t="inlineStr">
        <is>
          <t>regional_panel</t>
        </is>
      </c>
      <c r="F964" s="3" t="n">
        <v>1.50215</v>
      </c>
      <c r="G964" s="3" t="n"/>
      <c r="H964" s="3" t="n"/>
      <c r="I964" s="3" t="n">
        <v>1.63078</v>
      </c>
      <c r="J964" s="3" t="n">
        <v>-1.20824</v>
      </c>
      <c r="K964" s="3" t="n">
        <v>4.46537</v>
      </c>
      <c r="L964" s="3" t="n">
        <v>-3.65444</v>
      </c>
      <c r="M964" s="3" t="n">
        <v>6.28506</v>
      </c>
      <c r="N964" s="3" t="inlineStr">
        <is>
          <t>C4</t>
        </is>
      </c>
      <c r="O964" s="3" t="inlineStr">
        <is>
          <t>no</t>
        </is>
      </c>
      <c r="P964" s="3" t="inlineStr">
        <is>
          <t>no_compite</t>
        </is>
      </c>
      <c r="Q964" s="3" t="inlineStr">
        <is>
          <t>panel_covariables</t>
        </is>
      </c>
      <c r="R964" s="3" t="n"/>
      <c r="S964" s="3" t="inlineStr">
        <is>
          <t>contraste regional (R6); no vota</t>
        </is>
      </c>
      <c r="T964" s="3" t="inlineStr">
        <is>
          <t>output/v8/F5/atribucion_combinada.csv</t>
        </is>
      </c>
      <c r="U964" s="2">
        <f>IF(R964=0,"",F964/R964)</f>
        <v/>
      </c>
      <c r="V964" s="2">
        <f>SUMIFS(F$2:F$1589,A$2:A$1589,A964,C$2:C$1589,C964,E$2:E$1589,E964,Q$2:Q$1589,Q964)</f>
        <v/>
      </c>
    </row>
    <row r="965">
      <c r="A965" s="3" t="inlineStr">
        <is>
          <t>compra</t>
        </is>
      </c>
      <c r="B965" s="3" t="inlineStr">
        <is>
          <t>ccaa:12</t>
        </is>
      </c>
      <c r="C965" s="3" t="inlineStr">
        <is>
          <t>P5</t>
        </is>
      </c>
      <c r="D965" s="3" t="inlineStr">
        <is>
          <t>empleo_renta</t>
        </is>
      </c>
      <c r="E965" s="3" t="inlineStr">
        <is>
          <t>regional_panel</t>
        </is>
      </c>
      <c r="F965" s="3" t="n">
        <v>0.405041</v>
      </c>
      <c r="G965" s="3" t="n"/>
      <c r="H965" s="3" t="n"/>
      <c r="I965" s="3" t="n">
        <v>0.439724</v>
      </c>
      <c r="J965" s="3" t="n">
        <v>0.118571</v>
      </c>
      <c r="K965" s="3" t="n">
        <v>0.83927</v>
      </c>
      <c r="L965" s="3" t="n">
        <v>-0.0782389</v>
      </c>
      <c r="M965" s="3" t="n">
        <v>1.07184</v>
      </c>
      <c r="N965" s="3" t="inlineStr">
        <is>
          <t>C4</t>
        </is>
      </c>
      <c r="O965" s="3" t="inlineStr">
        <is>
          <t>si</t>
        </is>
      </c>
      <c r="P965" s="3" t="inlineStr">
        <is>
          <t>no_vota</t>
        </is>
      </c>
      <c r="Q965" s="3" t="inlineStr">
        <is>
          <t>panel_covariables</t>
        </is>
      </c>
      <c r="R965" s="3" t="n"/>
      <c r="S965" s="3" t="inlineStr">
        <is>
          <t>contraste regional (R6); no vota</t>
        </is>
      </c>
      <c r="T965" s="3" t="inlineStr">
        <is>
          <t>output/v8/F5/atribucion_combinada.csv</t>
        </is>
      </c>
      <c r="U965" s="2">
        <f>IF(R965=0,"",F965/R965)</f>
        <v/>
      </c>
      <c r="V965" s="2">
        <f>SUMIFS(F$2:F$1589,A$2:A$1589,A965,C$2:C$1589,C965,E$2:E$1589,E965,Q$2:Q$1589,Q965)</f>
        <v/>
      </c>
    </row>
    <row r="966">
      <c r="A966" s="3" t="inlineStr">
        <is>
          <t>compra</t>
        </is>
      </c>
      <c r="B966" s="3" t="inlineStr">
        <is>
          <t>ccaa:12</t>
        </is>
      </c>
      <c r="C966" s="3" t="inlineStr">
        <is>
          <t>P5</t>
        </is>
      </c>
      <c r="D966" s="3" t="inlineStr">
        <is>
          <t>demografia</t>
        </is>
      </c>
      <c r="E966" s="3" t="inlineStr">
        <is>
          <t>regional_panel</t>
        </is>
      </c>
      <c r="F966" s="3" t="n">
        <v>-1.03793</v>
      </c>
      <c r="G966" s="3" t="n"/>
      <c r="H966" s="3" t="n"/>
      <c r="I966" s="3" t="n">
        <v>-1.1268</v>
      </c>
      <c r="J966" s="3" t="n">
        <v>-2.56656</v>
      </c>
      <c r="K966" s="3" t="n">
        <v>1.84782</v>
      </c>
      <c r="L966" s="3" t="n">
        <v>-3.73878</v>
      </c>
      <c r="M966" s="3" t="n">
        <v>3.20283</v>
      </c>
      <c r="N966" s="3" t="inlineStr">
        <is>
          <t>C4</t>
        </is>
      </c>
      <c r="O966" s="3" t="inlineStr">
        <is>
          <t>si</t>
        </is>
      </c>
      <c r="P966" s="3" t="inlineStr">
        <is>
          <t>no_vota</t>
        </is>
      </c>
      <c r="Q966" s="3" t="inlineStr">
        <is>
          <t>panel_covariables</t>
        </is>
      </c>
      <c r="R966" s="3" t="n"/>
      <c r="S966" s="3" t="inlineStr">
        <is>
          <t>contraste regional (R6); no vota</t>
        </is>
      </c>
      <c r="T966" s="3" t="inlineStr">
        <is>
          <t>output/v8/F5/atribucion_combinada.csv</t>
        </is>
      </c>
      <c r="U966" s="2">
        <f>IF(R966=0,"",F966/R966)</f>
        <v/>
      </c>
      <c r="V966" s="2">
        <f>SUMIFS(F$2:F$1589,A$2:A$1589,A966,C$2:C$1589,C966,E$2:E$1589,E966,Q$2:Q$1589,Q966)</f>
        <v/>
      </c>
    </row>
    <row r="967">
      <c r="A967" s="3" t="inlineStr">
        <is>
          <t>compra</t>
        </is>
      </c>
      <c r="B967" s="3" t="inlineStr">
        <is>
          <t>ccaa:12</t>
        </is>
      </c>
      <c r="C967" s="3" t="inlineStr">
        <is>
          <t>P5</t>
        </is>
      </c>
      <c r="D967" s="3" t="inlineStr">
        <is>
          <t>oferta</t>
        </is>
      </c>
      <c r="E967" s="3" t="inlineStr">
        <is>
          <t>regional_panel</t>
        </is>
      </c>
      <c r="F967" s="3" t="n">
        <v>0.000204642</v>
      </c>
      <c r="G967" s="3" t="n"/>
      <c r="H967" s="3" t="n"/>
      <c r="I967" s="3" t="n">
        <v>0.000222165</v>
      </c>
      <c r="J967" s="3" t="n">
        <v>-0.0998967</v>
      </c>
      <c r="K967" s="3" t="n">
        <v>0.0251382</v>
      </c>
      <c r="L967" s="3" t="n">
        <v>-0.176164</v>
      </c>
      <c r="M967" s="3" t="n">
        <v>0.0865784</v>
      </c>
      <c r="N967" s="3" t="inlineStr">
        <is>
          <t>C4</t>
        </is>
      </c>
      <c r="O967" s="3" t="inlineStr">
        <is>
          <t>si</t>
        </is>
      </c>
      <c r="P967" s="3" t="inlineStr">
        <is>
          <t>no_vota</t>
        </is>
      </c>
      <c r="Q967" s="3" t="inlineStr">
        <is>
          <t>panel_covariables</t>
        </is>
      </c>
      <c r="R967" s="3" t="n"/>
      <c r="S967" s="3" t="inlineStr">
        <is>
          <t>contraste regional (R6); no vota</t>
        </is>
      </c>
      <c r="T967" s="3" t="inlineStr">
        <is>
          <t>output/v8/F5/atribucion_combinada.csv</t>
        </is>
      </c>
      <c r="U967" s="2">
        <f>IF(R967=0,"",F967/R967)</f>
        <v/>
      </c>
      <c r="V967" s="2">
        <f>SUMIFS(F$2:F$1589,A$2:A$1589,A967,C$2:C$1589,C967,E$2:E$1589,E967,Q$2:Q$1589,Q967)</f>
        <v/>
      </c>
    </row>
    <row r="968">
      <c r="A968" s="3" t="inlineStr">
        <is>
          <t>compra</t>
        </is>
      </c>
      <c r="B968" s="3" t="inlineStr">
        <is>
          <t>ccaa:12</t>
        </is>
      </c>
      <c r="C968" s="3" t="inlineStr">
        <is>
          <t>P5</t>
        </is>
      </c>
      <c r="D968" s="3" t="inlineStr">
        <is>
          <t>demanda_externa</t>
        </is>
      </c>
      <c r="E968" s="3" t="inlineStr">
        <is>
          <t>regional_panel</t>
        </is>
      </c>
      <c r="F968" s="3" t="n">
        <v>-0.0402385</v>
      </c>
      <c r="G968" s="3" t="n"/>
      <c r="H968" s="3" t="n"/>
      <c r="I968" s="3" t="n">
        <v>-0.0436841</v>
      </c>
      <c r="J968" s="3" t="n">
        <v>-0.595659</v>
      </c>
      <c r="K968" s="3" t="n">
        <v>0.382352</v>
      </c>
      <c r="L968" s="3" t="n">
        <v>-1.18857</v>
      </c>
      <c r="M968" s="3" t="n">
        <v>0.634317</v>
      </c>
      <c r="N968" s="3" t="inlineStr">
        <is>
          <t>C4</t>
        </is>
      </c>
      <c r="O968" s="3" t="inlineStr">
        <is>
          <t>si</t>
        </is>
      </c>
      <c r="P968" s="3" t="inlineStr">
        <is>
          <t>no_vota</t>
        </is>
      </c>
      <c r="Q968" s="3" t="inlineStr">
        <is>
          <t>panel_covariables</t>
        </is>
      </c>
      <c r="R968" s="3" t="n"/>
      <c r="S968" s="3" t="inlineStr">
        <is>
          <t>contraste regional (R6); no vota</t>
        </is>
      </c>
      <c r="T968" s="3" t="inlineStr">
        <is>
          <t>output/v8/F5/atribucion_combinada.csv</t>
        </is>
      </c>
      <c r="U968" s="2">
        <f>IF(R968=0,"",F968/R968)</f>
        <v/>
      </c>
      <c r="V968" s="2">
        <f>SUMIFS(F$2:F$1589,A$2:A$1589,A968,C$2:C$1589,C968,E$2:E$1589,E968,Q$2:Q$1589,Q968)</f>
        <v/>
      </c>
    </row>
    <row r="969">
      <c r="A969" s="3" t="inlineStr">
        <is>
          <t>compra</t>
        </is>
      </c>
      <c r="B969" s="3" t="inlineStr">
        <is>
          <t>ccaa:12</t>
        </is>
      </c>
      <c r="C969" s="3" t="inlineStr">
        <is>
          <t>P5</t>
        </is>
      </c>
      <c r="D969" s="3" t="inlineStr">
        <is>
          <t>residuo</t>
        </is>
      </c>
      <c r="E969" s="3" t="inlineStr">
        <is>
          <t>regional_panel</t>
        </is>
      </c>
      <c r="F969" s="3" t="n">
        <v>0.0918973</v>
      </c>
      <c r="G969" s="3" t="n"/>
      <c r="H969" s="3" t="n"/>
      <c r="I969" s="3" t="n">
        <v>0.09976640000000001</v>
      </c>
      <c r="J969" s="3" t="n">
        <v>-3.65226</v>
      </c>
      <c r="K969" s="3" t="n">
        <v>2.3658</v>
      </c>
      <c r="L969" s="3" t="n">
        <v>-5.28316</v>
      </c>
      <c r="M969" s="3" t="n">
        <v>3.51301</v>
      </c>
      <c r="N969" s="3" t="inlineStr">
        <is>
          <t>C4</t>
        </is>
      </c>
      <c r="O969" s="3" t="inlineStr">
        <is>
          <t>no</t>
        </is>
      </c>
      <c r="P969" s="3" t="inlineStr">
        <is>
          <t>no_compite</t>
        </is>
      </c>
      <c r="Q969" s="3" t="inlineStr">
        <is>
          <t>panel_covariables</t>
        </is>
      </c>
      <c r="R969" s="3" t="n"/>
      <c r="S969" s="3" t="inlineStr">
        <is>
          <t>contraste regional (R6); no vota</t>
        </is>
      </c>
      <c r="T969" s="3" t="inlineStr">
        <is>
          <t>output/v8/F5/atribucion_combinada.csv</t>
        </is>
      </c>
      <c r="U969" s="2">
        <f>IF(R969=0,"",F969/R969)</f>
        <v/>
      </c>
      <c r="V969" s="2">
        <f>SUMIFS(F$2:F$1589,A$2:A$1589,A969,C$2:C$1589,C969,E$2:E$1589,E969,Q$2:Q$1589,Q969)</f>
        <v/>
      </c>
    </row>
    <row r="970">
      <c r="A970" s="3" t="inlineStr">
        <is>
          <t>compra</t>
        </is>
      </c>
      <c r="B970" s="3" t="inlineStr">
        <is>
          <t>ccaa:13</t>
        </is>
      </c>
      <c r="C970" s="3" t="inlineStr">
        <is>
          <t>P5</t>
        </is>
      </c>
      <c r="D970" s="3" t="inlineStr">
        <is>
          <t>factor_comun</t>
        </is>
      </c>
      <c r="E970" s="3" t="inlineStr">
        <is>
          <t>regional_panel</t>
        </is>
      </c>
      <c r="F970" s="3" t="n">
        <v>1.50215</v>
      </c>
      <c r="G970" s="3" t="n"/>
      <c r="H970" s="3" t="n"/>
      <c r="I970" s="3" t="n">
        <v>0.230229</v>
      </c>
      <c r="J970" s="3" t="n">
        <v>-1.20824</v>
      </c>
      <c r="K970" s="3" t="n">
        <v>4.46537</v>
      </c>
      <c r="L970" s="3" t="n">
        <v>-3.65444</v>
      </c>
      <c r="M970" s="3" t="n">
        <v>6.28506</v>
      </c>
      <c r="N970" s="3" t="inlineStr">
        <is>
          <t>C4</t>
        </is>
      </c>
      <c r="O970" s="3" t="inlineStr">
        <is>
          <t>no</t>
        </is>
      </c>
      <c r="P970" s="3" t="inlineStr">
        <is>
          <t>no_compite</t>
        </is>
      </c>
      <c r="Q970" s="3" t="inlineStr">
        <is>
          <t>panel_covariables</t>
        </is>
      </c>
      <c r="R970" s="3" t="n"/>
      <c r="S970" s="3" t="inlineStr">
        <is>
          <t>contraste regional (R6); no vota</t>
        </is>
      </c>
      <c r="T970" s="3" t="inlineStr">
        <is>
          <t>output/v8/F5/atribucion_combinada.csv</t>
        </is>
      </c>
      <c r="U970" s="2">
        <f>IF(R970=0,"",F970/R970)</f>
        <v/>
      </c>
      <c r="V970" s="2">
        <f>SUMIFS(F$2:F$1589,A$2:A$1589,A970,C$2:C$1589,C970,E$2:E$1589,E970,Q$2:Q$1589,Q970)</f>
        <v/>
      </c>
    </row>
    <row r="971">
      <c r="A971" s="3" t="inlineStr">
        <is>
          <t>compra</t>
        </is>
      </c>
      <c r="B971" s="3" t="inlineStr">
        <is>
          <t>ccaa:13</t>
        </is>
      </c>
      <c r="C971" s="3" t="inlineStr">
        <is>
          <t>P5</t>
        </is>
      </c>
      <c r="D971" s="3" t="inlineStr">
        <is>
          <t>empleo_renta</t>
        </is>
      </c>
      <c r="E971" s="3" t="inlineStr">
        <is>
          <t>regional_panel</t>
        </is>
      </c>
      <c r="F971" s="3" t="n">
        <v>1.22193</v>
      </c>
      <c r="G971" s="3" t="n"/>
      <c r="H971" s="3" t="n"/>
      <c r="I971" s="3" t="n">
        <v>0.187281</v>
      </c>
      <c r="J971" s="3" t="n">
        <v>0.796956</v>
      </c>
      <c r="K971" s="3" t="n">
        <v>2.03751</v>
      </c>
      <c r="L971" s="3" t="n">
        <v>0.345356</v>
      </c>
      <c r="M971" s="3" t="n">
        <v>2.38267</v>
      </c>
      <c r="N971" s="3" t="inlineStr">
        <is>
          <t>C4</t>
        </is>
      </c>
      <c r="O971" s="3" t="inlineStr">
        <is>
          <t>si</t>
        </is>
      </c>
      <c r="P971" s="3" t="inlineStr">
        <is>
          <t>no_vota</t>
        </is>
      </c>
      <c r="Q971" s="3" t="inlineStr">
        <is>
          <t>panel_covariables</t>
        </is>
      </c>
      <c r="R971" s="3" t="n"/>
      <c r="S971" s="3" t="inlineStr">
        <is>
          <t>contraste regional (R6); no vota</t>
        </is>
      </c>
      <c r="T971" s="3" t="inlineStr">
        <is>
          <t>output/v8/F5/atribucion_combinada.csv</t>
        </is>
      </c>
      <c r="U971" s="2">
        <f>IF(R971=0,"",F971/R971)</f>
        <v/>
      </c>
      <c r="V971" s="2">
        <f>SUMIFS(F$2:F$1589,A$2:A$1589,A971,C$2:C$1589,C971,E$2:E$1589,E971,Q$2:Q$1589,Q971)</f>
        <v/>
      </c>
    </row>
    <row r="972">
      <c r="A972" s="3" t="inlineStr">
        <is>
          <t>compra</t>
        </is>
      </c>
      <c r="B972" s="3" t="inlineStr">
        <is>
          <t>ccaa:13</t>
        </is>
      </c>
      <c r="C972" s="3" t="inlineStr">
        <is>
          <t>P5</t>
        </is>
      </c>
      <c r="D972" s="3" t="inlineStr">
        <is>
          <t>demografia</t>
        </is>
      </c>
      <c r="E972" s="3" t="inlineStr">
        <is>
          <t>regional_panel</t>
        </is>
      </c>
      <c r="F972" s="3" t="n">
        <v>-0.898736</v>
      </c>
      <c r="G972" s="3" t="n"/>
      <c r="H972" s="3" t="n"/>
      <c r="I972" s="3" t="n">
        <v>-0.137746</v>
      </c>
      <c r="J972" s="3" t="n">
        <v>-7.3512</v>
      </c>
      <c r="K972" s="3" t="n">
        <v>3.94253</v>
      </c>
      <c r="L972" s="3" t="n">
        <v>-16.0948</v>
      </c>
      <c r="M972" s="3" t="n">
        <v>6.62396</v>
      </c>
      <c r="N972" s="3" t="inlineStr">
        <is>
          <t>C4</t>
        </is>
      </c>
      <c r="O972" s="3" t="inlineStr">
        <is>
          <t>si</t>
        </is>
      </c>
      <c r="P972" s="3" t="inlineStr">
        <is>
          <t>no_vota</t>
        </is>
      </c>
      <c r="Q972" s="3" t="inlineStr">
        <is>
          <t>panel_covariables</t>
        </is>
      </c>
      <c r="R972" s="3" t="n"/>
      <c r="S972" s="3" t="inlineStr">
        <is>
          <t>contraste regional (R6); no vota</t>
        </is>
      </c>
      <c r="T972" s="3" t="inlineStr">
        <is>
          <t>output/v8/F5/atribucion_combinada.csv</t>
        </is>
      </c>
      <c r="U972" s="2">
        <f>IF(R972=0,"",F972/R972)</f>
        <v/>
      </c>
      <c r="V972" s="2">
        <f>SUMIFS(F$2:F$1589,A$2:A$1589,A972,C$2:C$1589,C972,E$2:E$1589,E972,Q$2:Q$1589,Q972)</f>
        <v/>
      </c>
    </row>
    <row r="973">
      <c r="A973" s="3" t="inlineStr">
        <is>
          <t>compra</t>
        </is>
      </c>
      <c r="B973" s="3" t="inlineStr">
        <is>
          <t>ccaa:13</t>
        </is>
      </c>
      <c r="C973" s="3" t="inlineStr">
        <is>
          <t>P5</t>
        </is>
      </c>
      <c r="D973" s="3" t="inlineStr">
        <is>
          <t>oferta</t>
        </is>
      </c>
      <c r="E973" s="3" t="inlineStr">
        <is>
          <t>regional_panel</t>
        </is>
      </c>
      <c r="F973" s="3" t="n">
        <v>-0.000300821</v>
      </c>
      <c r="G973" s="3" t="n"/>
      <c r="H973" s="3" t="n"/>
      <c r="I973" s="3" t="n">
        <v>-4.61057e-05</v>
      </c>
      <c r="J973" s="3" t="n">
        <v>-0.104523</v>
      </c>
      <c r="K973" s="3" t="n">
        <v>0.0132619</v>
      </c>
      <c r="L973" s="3" t="n">
        <v>-0.201693</v>
      </c>
      <c r="M973" s="3" t="n">
        <v>0.0440077</v>
      </c>
      <c r="N973" s="3" t="inlineStr">
        <is>
          <t>C4</t>
        </is>
      </c>
      <c r="O973" s="3" t="inlineStr">
        <is>
          <t>si</t>
        </is>
      </c>
      <c r="P973" s="3" t="inlineStr">
        <is>
          <t>no_vota</t>
        </is>
      </c>
      <c r="Q973" s="3" t="inlineStr">
        <is>
          <t>panel_covariables</t>
        </is>
      </c>
      <c r="R973" s="3" t="n"/>
      <c r="S973" s="3" t="inlineStr">
        <is>
          <t>contraste regional (R6); no vota</t>
        </is>
      </c>
      <c r="T973" s="3" t="inlineStr">
        <is>
          <t>output/v8/F5/atribucion_combinada.csv</t>
        </is>
      </c>
      <c r="U973" s="2">
        <f>IF(R973=0,"",F973/R973)</f>
        <v/>
      </c>
      <c r="V973" s="2">
        <f>SUMIFS(F$2:F$1589,A$2:A$1589,A973,C$2:C$1589,C973,E$2:E$1589,E973,Q$2:Q$1589,Q973)</f>
        <v/>
      </c>
    </row>
    <row r="974">
      <c r="A974" s="3" t="inlineStr">
        <is>
          <t>compra</t>
        </is>
      </c>
      <c r="B974" s="3" t="inlineStr">
        <is>
          <t>ccaa:13</t>
        </is>
      </c>
      <c r="C974" s="3" t="inlineStr">
        <is>
          <t>P5</t>
        </is>
      </c>
      <c r="D974" s="3" t="inlineStr">
        <is>
          <t>demanda_externa</t>
        </is>
      </c>
      <c r="E974" s="3" t="inlineStr">
        <is>
          <t>regional_panel</t>
        </is>
      </c>
      <c r="F974" s="3" t="n">
        <v>-0.008493209999999999</v>
      </c>
      <c r="G974" s="3" t="n"/>
      <c r="H974" s="3" t="n"/>
      <c r="I974" s="3" t="n">
        <v>-0.00130172</v>
      </c>
      <c r="J974" s="3" t="n">
        <v>-0.129626</v>
      </c>
      <c r="K974" s="3" t="n">
        <v>0.200162</v>
      </c>
      <c r="L974" s="3" t="n">
        <v>-0.507425</v>
      </c>
      <c r="M974" s="3" t="n">
        <v>0.444405</v>
      </c>
      <c r="N974" s="3" t="inlineStr">
        <is>
          <t>C4</t>
        </is>
      </c>
      <c r="O974" s="3" t="inlineStr">
        <is>
          <t>si</t>
        </is>
      </c>
      <c r="P974" s="3" t="inlineStr">
        <is>
          <t>no_vota</t>
        </is>
      </c>
      <c r="Q974" s="3" t="inlineStr">
        <is>
          <t>panel_covariables</t>
        </is>
      </c>
      <c r="R974" s="3" t="n"/>
      <c r="S974" s="3" t="inlineStr">
        <is>
          <t>contraste regional (R6); no vota</t>
        </is>
      </c>
      <c r="T974" s="3" t="inlineStr">
        <is>
          <t>output/v8/F5/atribucion_combinada.csv</t>
        </is>
      </c>
      <c r="U974" s="2">
        <f>IF(R974=0,"",F974/R974)</f>
        <v/>
      </c>
      <c r="V974" s="2">
        <f>SUMIFS(F$2:F$1589,A$2:A$1589,A974,C$2:C$1589,C974,E$2:E$1589,E974,Q$2:Q$1589,Q974)</f>
        <v/>
      </c>
    </row>
    <row r="975">
      <c r="A975" s="3" t="inlineStr">
        <is>
          <t>compra</t>
        </is>
      </c>
      <c r="B975" s="3" t="inlineStr">
        <is>
          <t>ccaa:13</t>
        </is>
      </c>
      <c r="C975" s="3" t="inlineStr">
        <is>
          <t>P5</t>
        </is>
      </c>
      <c r="D975" s="3" t="inlineStr">
        <is>
          <t>residuo</t>
        </is>
      </c>
      <c r="E975" s="3" t="inlineStr">
        <is>
          <t>regional_panel</t>
        </is>
      </c>
      <c r="F975" s="3" t="n">
        <v>4.70804</v>
      </c>
      <c r="G975" s="3" t="n"/>
      <c r="H975" s="3" t="n"/>
      <c r="I975" s="3" t="n">
        <v>0.721584</v>
      </c>
      <c r="J975" s="3" t="n">
        <v>0.554467</v>
      </c>
      <c r="K975" s="3" t="n">
        <v>10.5635</v>
      </c>
      <c r="L975" s="3" t="n">
        <v>-1.80629</v>
      </c>
      <c r="M975" s="3" t="n">
        <v>17.2664</v>
      </c>
      <c r="N975" s="3" t="inlineStr">
        <is>
          <t>C4</t>
        </is>
      </c>
      <c r="O975" s="3" t="inlineStr">
        <is>
          <t>no</t>
        </is>
      </c>
      <c r="P975" s="3" t="inlineStr">
        <is>
          <t>no_compite</t>
        </is>
      </c>
      <c r="Q975" s="3" t="inlineStr">
        <is>
          <t>panel_covariables</t>
        </is>
      </c>
      <c r="R975" s="3" t="n"/>
      <c r="S975" s="3" t="inlineStr">
        <is>
          <t>contraste regional (R6); no vota</t>
        </is>
      </c>
      <c r="T975" s="3" t="inlineStr">
        <is>
          <t>output/v8/F5/atribucion_combinada.csv</t>
        </is>
      </c>
      <c r="U975" s="2">
        <f>IF(R975=0,"",F975/R975)</f>
        <v/>
      </c>
      <c r="V975" s="2">
        <f>SUMIFS(F$2:F$1589,A$2:A$1589,A975,C$2:C$1589,C975,E$2:E$1589,E975,Q$2:Q$1589,Q975)</f>
        <v/>
      </c>
    </row>
    <row r="976">
      <c r="A976" s="3" t="inlineStr">
        <is>
          <t>compra</t>
        </is>
      </c>
      <c r="B976" s="3" t="inlineStr">
        <is>
          <t>ccaa:14</t>
        </is>
      </c>
      <c r="C976" s="3" t="inlineStr">
        <is>
          <t>P5</t>
        </is>
      </c>
      <c r="D976" s="3" t="inlineStr">
        <is>
          <t>factor_comun</t>
        </is>
      </c>
      <c r="E976" s="3" t="inlineStr">
        <is>
          <t>regional_panel</t>
        </is>
      </c>
      <c r="F976" s="3" t="n">
        <v>1.50215</v>
      </c>
      <c r="G976" s="3" t="n"/>
      <c r="H976" s="3" t="n"/>
      <c r="I976" s="3" t="n">
        <v>-1.53294</v>
      </c>
      <c r="J976" s="3" t="n">
        <v>-1.20824</v>
      </c>
      <c r="K976" s="3" t="n">
        <v>4.46537</v>
      </c>
      <c r="L976" s="3" t="n">
        <v>-3.65444</v>
      </c>
      <c r="M976" s="3" t="n">
        <v>6.28506</v>
      </c>
      <c r="N976" s="3" t="inlineStr">
        <is>
          <t>C4</t>
        </is>
      </c>
      <c r="O976" s="3" t="inlineStr">
        <is>
          <t>no</t>
        </is>
      </c>
      <c r="P976" s="3" t="inlineStr">
        <is>
          <t>no_compite</t>
        </is>
      </c>
      <c r="Q976" s="3" t="inlineStr">
        <is>
          <t>panel_covariables</t>
        </is>
      </c>
      <c r="R976" s="3" t="n"/>
      <c r="S976" s="3" t="inlineStr">
        <is>
          <t>contraste regional (R6); no vota</t>
        </is>
      </c>
      <c r="T976" s="3" t="inlineStr">
        <is>
          <t>output/v8/F5/atribucion_combinada.csv</t>
        </is>
      </c>
      <c r="U976" s="2">
        <f>IF(R976=0,"",F976/R976)</f>
        <v/>
      </c>
      <c r="V976" s="2">
        <f>SUMIFS(F$2:F$1589,A$2:A$1589,A976,C$2:C$1589,C976,E$2:E$1589,E976,Q$2:Q$1589,Q976)</f>
        <v/>
      </c>
    </row>
    <row r="977">
      <c r="A977" s="3" t="inlineStr">
        <is>
          <t>compra</t>
        </is>
      </c>
      <c r="B977" s="3" t="inlineStr">
        <is>
          <t>ccaa:14</t>
        </is>
      </c>
      <c r="C977" s="3" t="inlineStr">
        <is>
          <t>P5</t>
        </is>
      </c>
      <c r="D977" s="3" t="inlineStr">
        <is>
          <t>empleo_renta</t>
        </is>
      </c>
      <c r="E977" s="3" t="inlineStr">
        <is>
          <t>regional_panel</t>
        </is>
      </c>
      <c r="F977" s="3" t="n">
        <v>0.750939</v>
      </c>
      <c r="G977" s="3" t="n"/>
      <c r="H977" s="3" t="n"/>
      <c r="I977" s="3" t="n">
        <v>-0.766331</v>
      </c>
      <c r="J977" s="3" t="n">
        <v>0.383425</v>
      </c>
      <c r="K977" s="3" t="n">
        <v>1.29033</v>
      </c>
      <c r="L977" s="3" t="n">
        <v>0.162353</v>
      </c>
      <c r="M977" s="3" t="n">
        <v>1.73384</v>
      </c>
      <c r="N977" s="3" t="inlineStr">
        <is>
          <t>C4</t>
        </is>
      </c>
      <c r="O977" s="3" t="inlineStr">
        <is>
          <t>si</t>
        </is>
      </c>
      <c r="P977" s="3" t="inlineStr">
        <is>
          <t>no_vota</t>
        </is>
      </c>
      <c r="Q977" s="3" t="inlineStr">
        <is>
          <t>panel_covariables</t>
        </is>
      </c>
      <c r="R977" s="3" t="n"/>
      <c r="S977" s="3" t="inlineStr">
        <is>
          <t>contraste regional (R6); no vota</t>
        </is>
      </c>
      <c r="T977" s="3" t="inlineStr">
        <is>
          <t>output/v8/F5/atribucion_combinada.csv</t>
        </is>
      </c>
      <c r="U977" s="2">
        <f>IF(R977=0,"",F977/R977)</f>
        <v/>
      </c>
      <c r="V977" s="2">
        <f>SUMIFS(F$2:F$1589,A$2:A$1589,A977,C$2:C$1589,C977,E$2:E$1589,E977,Q$2:Q$1589,Q977)</f>
        <v/>
      </c>
    </row>
    <row r="978">
      <c r="A978" s="3" t="inlineStr">
        <is>
          <t>compra</t>
        </is>
      </c>
      <c r="B978" s="3" t="inlineStr">
        <is>
          <t>ccaa:14</t>
        </is>
      </c>
      <c r="C978" s="3" t="inlineStr">
        <is>
          <t>P5</t>
        </is>
      </c>
      <c r="D978" s="3" t="inlineStr">
        <is>
          <t>demografia</t>
        </is>
      </c>
      <c r="E978" s="3" t="inlineStr">
        <is>
          <t>regional_panel</t>
        </is>
      </c>
      <c r="F978" s="3" t="n">
        <v>-0.504459</v>
      </c>
      <c r="G978" s="3" t="n"/>
      <c r="H978" s="3" t="n"/>
      <c r="I978" s="3" t="n">
        <v>0.514799</v>
      </c>
      <c r="J978" s="3" t="n">
        <v>-5.38627</v>
      </c>
      <c r="K978" s="3" t="n">
        <v>2.89911</v>
      </c>
      <c r="L978" s="3" t="n">
        <v>-11.0233</v>
      </c>
      <c r="M978" s="3" t="n">
        <v>4.94918</v>
      </c>
      <c r="N978" s="3" t="inlineStr">
        <is>
          <t>C4</t>
        </is>
      </c>
      <c r="O978" s="3" t="inlineStr">
        <is>
          <t>si</t>
        </is>
      </c>
      <c r="P978" s="3" t="inlineStr">
        <is>
          <t>no_vota</t>
        </is>
      </c>
      <c r="Q978" s="3" t="inlineStr">
        <is>
          <t>panel_covariables</t>
        </is>
      </c>
      <c r="R978" s="3" t="n"/>
      <c r="S978" s="3" t="inlineStr">
        <is>
          <t>contraste regional (R6); no vota</t>
        </is>
      </c>
      <c r="T978" s="3" t="inlineStr">
        <is>
          <t>output/v8/F5/atribucion_combinada.csv</t>
        </is>
      </c>
      <c r="U978" s="2">
        <f>IF(R978=0,"",F978/R978)</f>
        <v/>
      </c>
      <c r="V978" s="2">
        <f>SUMIFS(F$2:F$1589,A$2:A$1589,A978,C$2:C$1589,C978,E$2:E$1589,E978,Q$2:Q$1589,Q978)</f>
        <v/>
      </c>
    </row>
    <row r="979">
      <c r="A979" s="3" t="inlineStr">
        <is>
          <t>compra</t>
        </is>
      </c>
      <c r="B979" s="3" t="inlineStr">
        <is>
          <t>ccaa:14</t>
        </is>
      </c>
      <c r="C979" s="3" t="inlineStr">
        <is>
          <t>P5</t>
        </is>
      </c>
      <c r="D979" s="3" t="inlineStr">
        <is>
          <t>oferta</t>
        </is>
      </c>
      <c r="E979" s="3" t="inlineStr">
        <is>
          <t>regional_panel</t>
        </is>
      </c>
      <c r="F979" s="3" t="n">
        <v>0.0005343909999999999</v>
      </c>
      <c r="G979" s="3" t="n"/>
      <c r="H979" s="3" t="n"/>
      <c r="I979" s="3" t="n">
        <v>-0.000545344</v>
      </c>
      <c r="J979" s="3" t="n">
        <v>-0.0744213</v>
      </c>
      <c r="K979" s="3" t="n">
        <v>0.0593337</v>
      </c>
      <c r="L979" s="3" t="n">
        <v>-0.166227</v>
      </c>
      <c r="M979" s="3" t="n">
        <v>0.18872</v>
      </c>
      <c r="N979" s="3" t="inlineStr">
        <is>
          <t>C4</t>
        </is>
      </c>
      <c r="O979" s="3" t="inlineStr">
        <is>
          <t>si</t>
        </is>
      </c>
      <c r="P979" s="3" t="inlineStr">
        <is>
          <t>no_vota</t>
        </is>
      </c>
      <c r="Q979" s="3" t="inlineStr">
        <is>
          <t>panel_covariables</t>
        </is>
      </c>
      <c r="R979" s="3" t="n"/>
      <c r="S979" s="3" t="inlineStr">
        <is>
          <t>contraste regional (R6); no vota</t>
        </is>
      </c>
      <c r="T979" s="3" t="inlineStr">
        <is>
          <t>output/v8/F5/atribucion_combinada.csv</t>
        </is>
      </c>
      <c r="U979" s="2">
        <f>IF(R979=0,"",F979/R979)</f>
        <v/>
      </c>
      <c r="V979" s="2">
        <f>SUMIFS(F$2:F$1589,A$2:A$1589,A979,C$2:C$1589,C979,E$2:E$1589,E979,Q$2:Q$1589,Q979)</f>
        <v/>
      </c>
    </row>
    <row r="980">
      <c r="A980" s="3" t="inlineStr">
        <is>
          <t>compra</t>
        </is>
      </c>
      <c r="B980" s="3" t="inlineStr">
        <is>
          <t>ccaa:14</t>
        </is>
      </c>
      <c r="C980" s="3" t="inlineStr">
        <is>
          <t>P5</t>
        </is>
      </c>
      <c r="D980" s="3" t="inlineStr">
        <is>
          <t>demanda_externa</t>
        </is>
      </c>
      <c r="E980" s="3" t="inlineStr">
        <is>
          <t>regional_panel</t>
        </is>
      </c>
      <c r="F980" s="3" t="n">
        <v>-0.00607026</v>
      </c>
      <c r="G980" s="3" t="n"/>
      <c r="H980" s="3" t="n"/>
      <c r="I980" s="3" t="n">
        <v>0.00619468</v>
      </c>
      <c r="J980" s="3" t="n">
        <v>-0.108329</v>
      </c>
      <c r="K980" s="3" t="n">
        <v>0.068484</v>
      </c>
      <c r="L980" s="3" t="n">
        <v>-0.352687</v>
      </c>
      <c r="M980" s="3" t="n">
        <v>0.205848</v>
      </c>
      <c r="N980" s="3" t="inlineStr">
        <is>
          <t>C4</t>
        </is>
      </c>
      <c r="O980" s="3" t="inlineStr">
        <is>
          <t>si</t>
        </is>
      </c>
      <c r="P980" s="3" t="inlineStr">
        <is>
          <t>no_vota</t>
        </is>
      </c>
      <c r="Q980" s="3" t="inlineStr">
        <is>
          <t>panel_covariables</t>
        </is>
      </c>
      <c r="R980" s="3" t="n"/>
      <c r="S980" s="3" t="inlineStr">
        <is>
          <t>contraste regional (R6); no vota</t>
        </is>
      </c>
      <c r="T980" s="3" t="inlineStr">
        <is>
          <t>output/v8/F5/atribucion_combinada.csv</t>
        </is>
      </c>
      <c r="U980" s="2">
        <f>IF(R980=0,"",F980/R980)</f>
        <v/>
      </c>
      <c r="V980" s="2">
        <f>SUMIFS(F$2:F$1589,A$2:A$1589,A980,C$2:C$1589,C980,E$2:E$1589,E980,Q$2:Q$1589,Q980)</f>
        <v/>
      </c>
    </row>
    <row r="981">
      <c r="A981" s="3" t="inlineStr">
        <is>
          <t>compra</t>
        </is>
      </c>
      <c r="B981" s="3" t="inlineStr">
        <is>
          <t>ccaa:14</t>
        </is>
      </c>
      <c r="C981" s="3" t="inlineStr">
        <is>
          <t>P5</t>
        </is>
      </c>
      <c r="D981" s="3" t="inlineStr">
        <is>
          <t>residuo</t>
        </is>
      </c>
      <c r="E981" s="3" t="inlineStr">
        <is>
          <t>regional_panel</t>
        </is>
      </c>
      <c r="F981" s="3" t="n">
        <v>-2.72301</v>
      </c>
      <c r="G981" s="3" t="n"/>
      <c r="H981" s="3" t="n"/>
      <c r="I981" s="3" t="n">
        <v>2.77882</v>
      </c>
      <c r="J981" s="3" t="n">
        <v>-6.79078</v>
      </c>
      <c r="K981" s="3" t="n">
        <v>2.84417</v>
      </c>
      <c r="L981" s="3" t="n">
        <v>-8.82555</v>
      </c>
      <c r="M981" s="3" t="n">
        <v>8.557840000000001</v>
      </c>
      <c r="N981" s="3" t="inlineStr">
        <is>
          <t>C4</t>
        </is>
      </c>
      <c r="O981" s="3" t="inlineStr">
        <is>
          <t>no</t>
        </is>
      </c>
      <c r="P981" s="3" t="inlineStr">
        <is>
          <t>no_compite</t>
        </is>
      </c>
      <c r="Q981" s="3" t="inlineStr">
        <is>
          <t>panel_covariables</t>
        </is>
      </c>
      <c r="R981" s="3" t="n"/>
      <c r="S981" s="3" t="inlineStr">
        <is>
          <t>contraste regional (R6); no vota</t>
        </is>
      </c>
      <c r="T981" s="3" t="inlineStr">
        <is>
          <t>output/v8/F5/atribucion_combinada.csv</t>
        </is>
      </c>
      <c r="U981" s="2">
        <f>IF(R981=0,"",F981/R981)</f>
        <v/>
      </c>
      <c r="V981" s="2">
        <f>SUMIFS(F$2:F$1589,A$2:A$1589,A981,C$2:C$1589,C981,E$2:E$1589,E981,Q$2:Q$1589,Q981)</f>
        <v/>
      </c>
    </row>
    <row r="982">
      <c r="A982" s="3" t="inlineStr">
        <is>
          <t>compra</t>
        </is>
      </c>
      <c r="B982" s="3" t="inlineStr">
        <is>
          <t>ccaa:15</t>
        </is>
      </c>
      <c r="C982" s="3" t="inlineStr">
        <is>
          <t>P5</t>
        </is>
      </c>
      <c r="D982" s="3" t="inlineStr">
        <is>
          <t>factor_comun</t>
        </is>
      </c>
      <c r="E982" s="3" t="inlineStr">
        <is>
          <t>regional_panel</t>
        </is>
      </c>
      <c r="F982" s="3" t="n">
        <v>1.50215</v>
      </c>
      <c r="G982" s="3" t="n"/>
      <c r="H982" s="3" t="n"/>
      <c r="I982" s="3" t="n">
        <v>1.00361</v>
      </c>
      <c r="J982" s="3" t="n">
        <v>-1.20824</v>
      </c>
      <c r="K982" s="3" t="n">
        <v>4.46537</v>
      </c>
      <c r="L982" s="3" t="n">
        <v>-3.65444</v>
      </c>
      <c r="M982" s="3" t="n">
        <v>6.28506</v>
      </c>
      <c r="N982" s="3" t="inlineStr">
        <is>
          <t>C4</t>
        </is>
      </c>
      <c r="O982" s="3" t="inlineStr">
        <is>
          <t>no</t>
        </is>
      </c>
      <c r="P982" s="3" t="inlineStr">
        <is>
          <t>no_compite</t>
        </is>
      </c>
      <c r="Q982" s="3" t="inlineStr">
        <is>
          <t>panel_covariables</t>
        </is>
      </c>
      <c r="R982" s="3" t="n"/>
      <c r="S982" s="3" t="inlineStr">
        <is>
          <t>contraste regional (R6); no vota</t>
        </is>
      </c>
      <c r="T982" s="3" t="inlineStr">
        <is>
          <t>output/v8/F5/atribucion_combinada.csv</t>
        </is>
      </c>
      <c r="U982" s="2">
        <f>IF(R982=0,"",F982/R982)</f>
        <v/>
      </c>
      <c r="V982" s="2">
        <f>SUMIFS(F$2:F$1589,A$2:A$1589,A982,C$2:C$1589,C982,E$2:E$1589,E982,Q$2:Q$1589,Q982)</f>
        <v/>
      </c>
    </row>
    <row r="983">
      <c r="A983" s="3" t="inlineStr">
        <is>
          <t>compra</t>
        </is>
      </c>
      <c r="B983" s="3" t="inlineStr">
        <is>
          <t>ccaa:15</t>
        </is>
      </c>
      <c r="C983" s="3" t="inlineStr">
        <is>
          <t>P5</t>
        </is>
      </c>
      <c r="D983" s="3" t="inlineStr">
        <is>
          <t>empleo_renta</t>
        </is>
      </c>
      <c r="E983" s="3" t="inlineStr">
        <is>
          <t>regional_panel</t>
        </is>
      </c>
      <c r="F983" s="3" t="n">
        <v>0.869236</v>
      </c>
      <c r="G983" s="3" t="n"/>
      <c r="H983" s="3" t="n"/>
      <c r="I983" s="3" t="n">
        <v>0.580752</v>
      </c>
      <c r="J983" s="3" t="n">
        <v>0.488173</v>
      </c>
      <c r="K983" s="3" t="n">
        <v>1.77587</v>
      </c>
      <c r="L983" s="3" t="n">
        <v>0.234883</v>
      </c>
      <c r="M983" s="3" t="n">
        <v>2.30183</v>
      </c>
      <c r="N983" s="3" t="inlineStr">
        <is>
          <t>C4</t>
        </is>
      </c>
      <c r="O983" s="3" t="inlineStr">
        <is>
          <t>si</t>
        </is>
      </c>
      <c r="P983" s="3" t="inlineStr">
        <is>
          <t>no_vota</t>
        </is>
      </c>
      <c r="Q983" s="3" t="inlineStr">
        <is>
          <t>panel_covariables</t>
        </is>
      </c>
      <c r="R983" s="3" t="n"/>
      <c r="S983" s="3" t="inlineStr">
        <is>
          <t>contraste regional (R6); no vota</t>
        </is>
      </c>
      <c r="T983" s="3" t="inlineStr">
        <is>
          <t>output/v8/F5/atribucion_combinada.csv</t>
        </is>
      </c>
      <c r="U983" s="2">
        <f>IF(R983=0,"",F983/R983)</f>
        <v/>
      </c>
      <c r="V983" s="2">
        <f>SUMIFS(F$2:F$1589,A$2:A$1589,A983,C$2:C$1589,C983,E$2:E$1589,E983,Q$2:Q$1589,Q983)</f>
        <v/>
      </c>
    </row>
    <row r="984">
      <c r="A984" s="3" t="inlineStr">
        <is>
          <t>compra</t>
        </is>
      </c>
      <c r="B984" s="3" t="inlineStr">
        <is>
          <t>ccaa:15</t>
        </is>
      </c>
      <c r="C984" s="3" t="inlineStr">
        <is>
          <t>P5</t>
        </is>
      </c>
      <c r="D984" s="3" t="inlineStr">
        <is>
          <t>demografia</t>
        </is>
      </c>
      <c r="E984" s="3" t="inlineStr">
        <is>
          <t>regional_panel</t>
        </is>
      </c>
      <c r="F984" s="3" t="n">
        <v>-0.704843</v>
      </c>
      <c r="G984" s="3" t="n"/>
      <c r="H984" s="3" t="n"/>
      <c r="I984" s="3" t="n">
        <v>-0.470918</v>
      </c>
      <c r="J984" s="3" t="n">
        <v>-3.89082</v>
      </c>
      <c r="K984" s="3" t="n">
        <v>1.95394</v>
      </c>
      <c r="L984" s="3" t="n">
        <v>-7.01063</v>
      </c>
      <c r="M984" s="3" t="n">
        <v>3.3135</v>
      </c>
      <c r="N984" s="3" t="inlineStr">
        <is>
          <t>C4</t>
        </is>
      </c>
      <c r="O984" s="3" t="inlineStr">
        <is>
          <t>si</t>
        </is>
      </c>
      <c r="P984" s="3" t="inlineStr">
        <is>
          <t>no_vota</t>
        </is>
      </c>
      <c r="Q984" s="3" t="inlineStr">
        <is>
          <t>panel_covariables</t>
        </is>
      </c>
      <c r="R984" s="3" t="n"/>
      <c r="S984" s="3" t="inlineStr">
        <is>
          <t>contraste regional (R6); no vota</t>
        </is>
      </c>
      <c r="T984" s="3" t="inlineStr">
        <is>
          <t>output/v8/F5/atribucion_combinada.csv</t>
        </is>
      </c>
      <c r="U984" s="2">
        <f>IF(R984=0,"",F984/R984)</f>
        <v/>
      </c>
      <c r="V984" s="2">
        <f>SUMIFS(F$2:F$1589,A$2:A$1589,A984,C$2:C$1589,C984,E$2:E$1589,E984,Q$2:Q$1589,Q984)</f>
        <v/>
      </c>
    </row>
    <row r="985">
      <c r="A985" s="3" t="inlineStr">
        <is>
          <t>compra</t>
        </is>
      </c>
      <c r="B985" s="3" t="inlineStr">
        <is>
          <t>ccaa:15</t>
        </is>
      </c>
      <c r="C985" s="3" t="inlineStr">
        <is>
          <t>P5</t>
        </is>
      </c>
      <c r="D985" s="3" t="inlineStr">
        <is>
          <t>oferta</t>
        </is>
      </c>
      <c r="E985" s="3" t="inlineStr">
        <is>
          <t>regional_panel</t>
        </is>
      </c>
      <c r="F985" s="3" t="n">
        <v>0.00047271</v>
      </c>
      <c r="G985" s="3" t="n"/>
      <c r="H985" s="3" t="n"/>
      <c r="I985" s="3" t="n">
        <v>0.000315826</v>
      </c>
      <c r="J985" s="3" t="n">
        <v>-0.18822</v>
      </c>
      <c r="K985" s="3" t="n">
        <v>0.109291</v>
      </c>
      <c r="L985" s="3" t="n">
        <v>-0.401711</v>
      </c>
      <c r="M985" s="3" t="n">
        <v>0.267059</v>
      </c>
      <c r="N985" s="3" t="inlineStr">
        <is>
          <t>C4</t>
        </is>
      </c>
      <c r="O985" s="3" t="inlineStr">
        <is>
          <t>si</t>
        </is>
      </c>
      <c r="P985" s="3" t="inlineStr">
        <is>
          <t>no_vota</t>
        </is>
      </c>
      <c r="Q985" s="3" t="inlineStr">
        <is>
          <t>panel_covariables</t>
        </is>
      </c>
      <c r="R985" s="3" t="n"/>
      <c r="S985" s="3" t="inlineStr">
        <is>
          <t>contraste regional (R6); no vota</t>
        </is>
      </c>
      <c r="T985" s="3" t="inlineStr">
        <is>
          <t>output/v8/F5/atribucion_combinada.csv</t>
        </is>
      </c>
      <c r="U985" s="2">
        <f>IF(R985=0,"",F985/R985)</f>
        <v/>
      </c>
      <c r="V985" s="2">
        <f>SUMIFS(F$2:F$1589,A$2:A$1589,A985,C$2:C$1589,C985,E$2:E$1589,E985,Q$2:Q$1589,Q985)</f>
        <v/>
      </c>
    </row>
    <row r="986">
      <c r="A986" s="3" t="inlineStr">
        <is>
          <t>compra</t>
        </is>
      </c>
      <c r="B986" s="3" t="inlineStr">
        <is>
          <t>ccaa:15</t>
        </is>
      </c>
      <c r="C986" s="3" t="inlineStr">
        <is>
          <t>P5</t>
        </is>
      </c>
      <c r="D986" s="3" t="inlineStr">
        <is>
          <t>demanda_externa</t>
        </is>
      </c>
      <c r="E986" s="3" t="inlineStr">
        <is>
          <t>regional_panel</t>
        </is>
      </c>
      <c r="F986" s="3" t="n">
        <v>0.0129376</v>
      </c>
      <c r="G986" s="3" t="n"/>
      <c r="H986" s="3" t="n"/>
      <c r="I986" s="3" t="n">
        <v>0.00864381</v>
      </c>
      <c r="J986" s="3" t="n">
        <v>-0.138265</v>
      </c>
      <c r="K986" s="3" t="n">
        <v>0.177118</v>
      </c>
      <c r="L986" s="3" t="n">
        <v>-0.293345</v>
      </c>
      <c r="M986" s="3" t="n">
        <v>0.318037</v>
      </c>
      <c r="N986" s="3" t="inlineStr">
        <is>
          <t>C4</t>
        </is>
      </c>
      <c r="O986" s="3" t="inlineStr">
        <is>
          <t>si</t>
        </is>
      </c>
      <c r="P986" s="3" t="inlineStr">
        <is>
          <t>no_vota</t>
        </is>
      </c>
      <c r="Q986" s="3" t="inlineStr">
        <is>
          <t>panel_covariables</t>
        </is>
      </c>
      <c r="R986" s="3" t="n"/>
      <c r="S986" s="3" t="inlineStr">
        <is>
          <t>contraste regional (R6); no vota</t>
        </is>
      </c>
      <c r="T986" s="3" t="inlineStr">
        <is>
          <t>output/v8/F5/atribucion_combinada.csv</t>
        </is>
      </c>
      <c r="U986" s="2">
        <f>IF(R986=0,"",F986/R986)</f>
        <v/>
      </c>
      <c r="V986" s="2">
        <f>SUMIFS(F$2:F$1589,A$2:A$1589,A986,C$2:C$1589,C986,E$2:E$1589,E986,Q$2:Q$1589,Q986)</f>
        <v/>
      </c>
    </row>
    <row r="987">
      <c r="A987" s="3" t="inlineStr">
        <is>
          <t>compra</t>
        </is>
      </c>
      <c r="B987" s="3" t="inlineStr">
        <is>
          <t>ccaa:15</t>
        </is>
      </c>
      <c r="C987" s="3" t="inlineStr">
        <is>
          <t>P5</t>
        </is>
      </c>
      <c r="D987" s="3" t="inlineStr">
        <is>
          <t>residuo</t>
        </is>
      </c>
      <c r="E987" s="3" t="inlineStr">
        <is>
          <t>regional_panel</t>
        </is>
      </c>
      <c r="F987" s="3" t="n">
        <v>-0.18321</v>
      </c>
      <c r="G987" s="3" t="n"/>
      <c r="H987" s="3" t="n"/>
      <c r="I987" s="3" t="n">
        <v>-0.122406</v>
      </c>
      <c r="J987" s="3" t="n">
        <v>-4.85349</v>
      </c>
      <c r="K987" s="3" t="n">
        <v>4.62898</v>
      </c>
      <c r="L987" s="3" t="n">
        <v>-7.274</v>
      </c>
      <c r="M987" s="3" t="n">
        <v>7.64937</v>
      </c>
      <c r="N987" s="3" t="inlineStr">
        <is>
          <t>C4</t>
        </is>
      </c>
      <c r="O987" s="3" t="inlineStr">
        <is>
          <t>no</t>
        </is>
      </c>
      <c r="P987" s="3" t="inlineStr">
        <is>
          <t>no_compite</t>
        </is>
      </c>
      <c r="Q987" s="3" t="inlineStr">
        <is>
          <t>panel_covariables</t>
        </is>
      </c>
      <c r="R987" s="3" t="n"/>
      <c r="S987" s="3" t="inlineStr">
        <is>
          <t>contraste regional (R6); no vota</t>
        </is>
      </c>
      <c r="T987" s="3" t="inlineStr">
        <is>
          <t>output/v8/F5/atribucion_combinada.csv</t>
        </is>
      </c>
      <c r="U987" s="2">
        <f>IF(R987=0,"",F987/R987)</f>
        <v/>
      </c>
      <c r="V987" s="2">
        <f>SUMIFS(F$2:F$1589,A$2:A$1589,A987,C$2:C$1589,C987,E$2:E$1589,E987,Q$2:Q$1589,Q987)</f>
        <v/>
      </c>
    </row>
    <row r="988">
      <c r="A988" s="3" t="inlineStr">
        <is>
          <t>compra</t>
        </is>
      </c>
      <c r="B988" s="3" t="inlineStr">
        <is>
          <t>ccaa:16</t>
        </is>
      </c>
      <c r="C988" s="3" t="inlineStr">
        <is>
          <t>P5</t>
        </is>
      </c>
      <c r="D988" s="3" t="inlineStr">
        <is>
          <t>factor_comun</t>
        </is>
      </c>
      <c r="E988" s="3" t="inlineStr">
        <is>
          <t>regional_panel</t>
        </is>
      </c>
      <c r="F988" s="3" t="n">
        <v>1.50215</v>
      </c>
      <c r="G988" s="3" t="n"/>
      <c r="H988" s="3" t="n"/>
      <c r="I988" s="3" t="n">
        <v>-0.348686</v>
      </c>
      <c r="J988" s="3" t="n">
        <v>-1.20824</v>
      </c>
      <c r="K988" s="3" t="n">
        <v>4.46537</v>
      </c>
      <c r="L988" s="3" t="n">
        <v>-3.65444</v>
      </c>
      <c r="M988" s="3" t="n">
        <v>6.28506</v>
      </c>
      <c r="N988" s="3" t="inlineStr">
        <is>
          <t>C4</t>
        </is>
      </c>
      <c r="O988" s="3" t="inlineStr">
        <is>
          <t>no</t>
        </is>
      </c>
      <c r="P988" s="3" t="inlineStr">
        <is>
          <t>no_compite</t>
        </is>
      </c>
      <c r="Q988" s="3" t="inlineStr">
        <is>
          <t>panel_covariables</t>
        </is>
      </c>
      <c r="R988" s="3" t="n"/>
      <c r="S988" s="3" t="inlineStr">
        <is>
          <t>contraste regional (R6); no vota</t>
        </is>
      </c>
      <c r="T988" s="3" t="inlineStr">
        <is>
          <t>output/v8/F5/atribucion_combinada.csv</t>
        </is>
      </c>
      <c r="U988" s="2">
        <f>IF(R988=0,"",F988/R988)</f>
        <v/>
      </c>
      <c r="V988" s="2">
        <f>SUMIFS(F$2:F$1589,A$2:A$1589,A988,C$2:C$1589,C988,E$2:E$1589,E988,Q$2:Q$1589,Q988)</f>
        <v/>
      </c>
    </row>
    <row r="989">
      <c r="A989" s="3" t="inlineStr">
        <is>
          <t>compra</t>
        </is>
      </c>
      <c r="B989" s="3" t="inlineStr">
        <is>
          <t>ccaa:16</t>
        </is>
      </c>
      <c r="C989" s="3" t="inlineStr">
        <is>
          <t>P5</t>
        </is>
      </c>
      <c r="D989" s="3" t="inlineStr">
        <is>
          <t>empleo_renta</t>
        </is>
      </c>
      <c r="E989" s="3" t="inlineStr">
        <is>
          <t>regional_panel</t>
        </is>
      </c>
      <c r="F989" s="3" t="n">
        <v>0.178552</v>
      </c>
      <c r="G989" s="3" t="n"/>
      <c r="H989" s="3" t="n"/>
      <c r="I989" s="3" t="n">
        <v>-0.0414465</v>
      </c>
      <c r="J989" s="3" t="n">
        <v>-0.315604</v>
      </c>
      <c r="K989" s="3" t="n">
        <v>0.6071800000000001</v>
      </c>
      <c r="L989" s="3" t="n">
        <v>-0.7164160000000001</v>
      </c>
      <c r="M989" s="3" t="n">
        <v>1.29795</v>
      </c>
      <c r="N989" s="3" t="inlineStr">
        <is>
          <t>C4</t>
        </is>
      </c>
      <c r="O989" s="3" t="inlineStr">
        <is>
          <t>si</t>
        </is>
      </c>
      <c r="P989" s="3" t="inlineStr">
        <is>
          <t>no_vota</t>
        </is>
      </c>
      <c r="Q989" s="3" t="inlineStr">
        <is>
          <t>panel_covariables</t>
        </is>
      </c>
      <c r="R989" s="3" t="n"/>
      <c r="S989" s="3" t="inlineStr">
        <is>
          <t>contraste regional (R6); no vota</t>
        </is>
      </c>
      <c r="T989" s="3" t="inlineStr">
        <is>
          <t>output/v8/F5/atribucion_combinada.csv</t>
        </is>
      </c>
      <c r="U989" s="2">
        <f>IF(R989=0,"",F989/R989)</f>
        <v/>
      </c>
      <c r="V989" s="2">
        <f>SUMIFS(F$2:F$1589,A$2:A$1589,A989,C$2:C$1589,C989,E$2:E$1589,E989,Q$2:Q$1589,Q989)</f>
        <v/>
      </c>
    </row>
    <row r="990">
      <c r="A990" s="3" t="inlineStr">
        <is>
          <t>compra</t>
        </is>
      </c>
      <c r="B990" s="3" t="inlineStr">
        <is>
          <t>ccaa:16</t>
        </is>
      </c>
      <c r="C990" s="3" t="inlineStr">
        <is>
          <t>P5</t>
        </is>
      </c>
      <c r="D990" s="3" t="inlineStr">
        <is>
          <t>demografia</t>
        </is>
      </c>
      <c r="E990" s="3" t="inlineStr">
        <is>
          <t>regional_panel</t>
        </is>
      </c>
      <c r="F990" s="3" t="n">
        <v>-0.678188</v>
      </c>
      <c r="G990" s="3" t="n"/>
      <c r="H990" s="3" t="n"/>
      <c r="I990" s="3" t="n">
        <v>0.157424</v>
      </c>
      <c r="J990" s="3" t="n">
        <v>-1.65087</v>
      </c>
      <c r="K990" s="3" t="n">
        <v>0.8620679999999999</v>
      </c>
      <c r="L990" s="3" t="n">
        <v>-2.56332</v>
      </c>
      <c r="M990" s="3" t="n">
        <v>2.14989</v>
      </c>
      <c r="N990" s="3" t="inlineStr">
        <is>
          <t>C4</t>
        </is>
      </c>
      <c r="O990" s="3" t="inlineStr">
        <is>
          <t>si</t>
        </is>
      </c>
      <c r="P990" s="3" t="inlineStr">
        <is>
          <t>no_vota</t>
        </is>
      </c>
      <c r="Q990" s="3" t="inlineStr">
        <is>
          <t>panel_covariables</t>
        </is>
      </c>
      <c r="R990" s="3" t="n"/>
      <c r="S990" s="3" t="inlineStr">
        <is>
          <t>contraste regional (R6); no vota</t>
        </is>
      </c>
      <c r="T990" s="3" t="inlineStr">
        <is>
          <t>output/v8/F5/atribucion_combinada.csv</t>
        </is>
      </c>
      <c r="U990" s="2">
        <f>IF(R990=0,"",F990/R990)</f>
        <v/>
      </c>
      <c r="V990" s="2">
        <f>SUMIFS(F$2:F$1589,A$2:A$1589,A990,C$2:C$1589,C990,E$2:E$1589,E990,Q$2:Q$1589,Q990)</f>
        <v/>
      </c>
    </row>
    <row r="991">
      <c r="A991" s="3" t="inlineStr">
        <is>
          <t>compra</t>
        </is>
      </c>
      <c r="B991" s="3" t="inlineStr">
        <is>
          <t>ccaa:16</t>
        </is>
      </c>
      <c r="C991" s="3" t="inlineStr">
        <is>
          <t>P5</t>
        </is>
      </c>
      <c r="D991" s="3" t="inlineStr">
        <is>
          <t>oferta</t>
        </is>
      </c>
      <c r="E991" s="3" t="inlineStr">
        <is>
          <t>regional_panel</t>
        </is>
      </c>
      <c r="F991" s="3" t="n">
        <v>0.00142263</v>
      </c>
      <c r="G991" s="3" t="n"/>
      <c r="H991" s="3" t="n"/>
      <c r="I991" s="3" t="n">
        <v>-0.000330228</v>
      </c>
      <c r="J991" s="3" t="n">
        <v>-0.0693825</v>
      </c>
      <c r="K991" s="3" t="n">
        <v>0.202718</v>
      </c>
      <c r="L991" s="3" t="n">
        <v>-0.159454</v>
      </c>
      <c r="M991" s="3" t="n">
        <v>0.475223</v>
      </c>
      <c r="N991" s="3" t="inlineStr">
        <is>
          <t>C4</t>
        </is>
      </c>
      <c r="O991" s="3" t="inlineStr">
        <is>
          <t>si</t>
        </is>
      </c>
      <c r="P991" s="3" t="inlineStr">
        <is>
          <t>no_vota</t>
        </is>
      </c>
      <c r="Q991" s="3" t="inlineStr">
        <is>
          <t>panel_covariables</t>
        </is>
      </c>
      <c r="R991" s="3" t="n"/>
      <c r="S991" s="3" t="inlineStr">
        <is>
          <t>contraste regional (R6); no vota</t>
        </is>
      </c>
      <c r="T991" s="3" t="inlineStr">
        <is>
          <t>output/v8/F5/atribucion_combinada.csv</t>
        </is>
      </c>
      <c r="U991" s="2">
        <f>IF(R991=0,"",F991/R991)</f>
        <v/>
      </c>
      <c r="V991" s="2">
        <f>SUMIFS(F$2:F$1589,A$2:A$1589,A991,C$2:C$1589,C991,E$2:E$1589,E991,Q$2:Q$1589,Q991)</f>
        <v/>
      </c>
    </row>
    <row r="992">
      <c r="A992" s="3" t="inlineStr">
        <is>
          <t>compra</t>
        </is>
      </c>
      <c r="B992" s="3" t="inlineStr">
        <is>
          <t>ccaa:16</t>
        </is>
      </c>
      <c r="C992" s="3" t="inlineStr">
        <is>
          <t>P5</t>
        </is>
      </c>
      <c r="D992" s="3" t="inlineStr">
        <is>
          <t>demanda_externa</t>
        </is>
      </c>
      <c r="E992" s="3" t="inlineStr">
        <is>
          <t>regional_panel</t>
        </is>
      </c>
      <c r="F992" s="3" t="n">
        <v>-0.0144447</v>
      </c>
      <c r="G992" s="3" t="n"/>
      <c r="H992" s="3" t="n"/>
      <c r="I992" s="3" t="n">
        <v>0.00335298</v>
      </c>
      <c r="J992" s="3" t="n">
        <v>-0.204002</v>
      </c>
      <c r="K992" s="3" t="n">
        <v>0.254189</v>
      </c>
      <c r="L992" s="3" t="n">
        <v>-0.518357</v>
      </c>
      <c r="M992" s="3" t="n">
        <v>0.771037</v>
      </c>
      <c r="N992" s="3" t="inlineStr">
        <is>
          <t>C4</t>
        </is>
      </c>
      <c r="O992" s="3" t="inlineStr">
        <is>
          <t>si</t>
        </is>
      </c>
      <c r="P992" s="3" t="inlineStr">
        <is>
          <t>no_vota</t>
        </is>
      </c>
      <c r="Q992" s="3" t="inlineStr">
        <is>
          <t>panel_covariables</t>
        </is>
      </c>
      <c r="R992" s="3" t="n"/>
      <c r="S992" s="3" t="inlineStr">
        <is>
          <t>contraste regional (R6); no vota</t>
        </is>
      </c>
      <c r="T992" s="3" t="inlineStr">
        <is>
          <t>output/v8/F5/atribucion_combinada.csv</t>
        </is>
      </c>
      <c r="U992" s="2">
        <f>IF(R992=0,"",F992/R992)</f>
        <v/>
      </c>
      <c r="V992" s="2">
        <f>SUMIFS(F$2:F$1589,A$2:A$1589,A992,C$2:C$1589,C992,E$2:E$1589,E992,Q$2:Q$1589,Q992)</f>
        <v/>
      </c>
    </row>
    <row r="993">
      <c r="A993" s="3" t="inlineStr">
        <is>
          <t>compra</t>
        </is>
      </c>
      <c r="B993" s="3" t="inlineStr">
        <is>
          <t>ccaa:16</t>
        </is>
      </c>
      <c r="C993" s="3" t="inlineStr">
        <is>
          <t>P5</t>
        </is>
      </c>
      <c r="D993" s="3" t="inlineStr">
        <is>
          <t>residuo</t>
        </is>
      </c>
      <c r="E993" s="3" t="inlineStr">
        <is>
          <t>regional_panel</t>
        </is>
      </c>
      <c r="F993" s="3" t="n">
        <v>-5.29752</v>
      </c>
      <c r="G993" s="3" t="n"/>
      <c r="H993" s="3" t="n"/>
      <c r="I993" s="3" t="n">
        <v>1.22969</v>
      </c>
      <c r="J993" s="3" t="n">
        <v>-8.149459999999999</v>
      </c>
      <c r="K993" s="3" t="n">
        <v>-3.25968</v>
      </c>
      <c r="L993" s="3" t="n">
        <v>-9.61687</v>
      </c>
      <c r="M993" s="3" t="n">
        <v>-2.01632</v>
      </c>
      <c r="N993" s="3" t="inlineStr">
        <is>
          <t>C4</t>
        </is>
      </c>
      <c r="O993" s="3" t="inlineStr">
        <is>
          <t>no</t>
        </is>
      </c>
      <c r="P993" s="3" t="inlineStr">
        <is>
          <t>no_compite</t>
        </is>
      </c>
      <c r="Q993" s="3" t="inlineStr">
        <is>
          <t>panel_covariables</t>
        </is>
      </c>
      <c r="R993" s="3" t="n"/>
      <c r="S993" s="3" t="inlineStr">
        <is>
          <t>contraste regional (R6); no vota</t>
        </is>
      </c>
      <c r="T993" s="3" t="inlineStr">
        <is>
          <t>output/v8/F5/atribucion_combinada.csv</t>
        </is>
      </c>
      <c r="U993" s="2">
        <f>IF(R993=0,"",F993/R993)</f>
        <v/>
      </c>
      <c r="V993" s="2">
        <f>SUMIFS(F$2:F$1589,A$2:A$1589,A993,C$2:C$1589,C993,E$2:E$1589,E993,Q$2:Q$1589,Q993)</f>
        <v/>
      </c>
    </row>
    <row r="994">
      <c r="A994" s="3" t="inlineStr">
        <is>
          <t>compra</t>
        </is>
      </c>
      <c r="B994" s="3" t="inlineStr">
        <is>
          <t>ccaa:17</t>
        </is>
      </c>
      <c r="C994" s="3" t="inlineStr">
        <is>
          <t>P5</t>
        </is>
      </c>
      <c r="D994" s="3" t="inlineStr">
        <is>
          <t>factor_comun</t>
        </is>
      </c>
      <c r="E994" s="3" t="inlineStr">
        <is>
          <t>regional_panel</t>
        </is>
      </c>
      <c r="F994" s="3" t="n">
        <v>1.50215</v>
      </c>
      <c r="G994" s="3" t="n"/>
      <c r="H994" s="3" t="n"/>
      <c r="I994" s="3" t="n">
        <v>-5.95624</v>
      </c>
      <c r="J994" s="3" t="n">
        <v>-1.20824</v>
      </c>
      <c r="K994" s="3" t="n">
        <v>4.46537</v>
      </c>
      <c r="L994" s="3" t="n">
        <v>-3.65444</v>
      </c>
      <c r="M994" s="3" t="n">
        <v>6.28506</v>
      </c>
      <c r="N994" s="3" t="inlineStr">
        <is>
          <t>C4</t>
        </is>
      </c>
      <c r="O994" s="3" t="inlineStr">
        <is>
          <t>no</t>
        </is>
      </c>
      <c r="P994" s="3" t="inlineStr">
        <is>
          <t>no_compite</t>
        </is>
      </c>
      <c r="Q994" s="3" t="inlineStr">
        <is>
          <t>panel_covariables</t>
        </is>
      </c>
      <c r="R994" s="3" t="n"/>
      <c r="S994" s="3" t="inlineStr">
        <is>
          <t>contraste regional (R6); no vota</t>
        </is>
      </c>
      <c r="T994" s="3" t="inlineStr">
        <is>
          <t>output/v8/F5/atribucion_combinada.csv</t>
        </is>
      </c>
      <c r="U994" s="2">
        <f>IF(R994=0,"",F994/R994)</f>
        <v/>
      </c>
      <c r="V994" s="2">
        <f>SUMIFS(F$2:F$1589,A$2:A$1589,A994,C$2:C$1589,C994,E$2:E$1589,E994,Q$2:Q$1589,Q994)</f>
        <v/>
      </c>
    </row>
    <row r="995">
      <c r="A995" s="3" t="inlineStr">
        <is>
          <t>compra</t>
        </is>
      </c>
      <c r="B995" s="3" t="inlineStr">
        <is>
          <t>ccaa:17</t>
        </is>
      </c>
      <c r="C995" s="3" t="inlineStr">
        <is>
          <t>P5</t>
        </is>
      </c>
      <c r="D995" s="3" t="inlineStr">
        <is>
          <t>empleo_renta</t>
        </is>
      </c>
      <c r="E995" s="3" t="inlineStr">
        <is>
          <t>regional_panel</t>
        </is>
      </c>
      <c r="F995" s="3" t="n">
        <v>0.0802918</v>
      </c>
      <c r="G995" s="3" t="n"/>
      <c r="H995" s="3" t="n"/>
      <c r="I995" s="3" t="n">
        <v>-0.318369</v>
      </c>
      <c r="J995" s="3" t="n">
        <v>-0.284452</v>
      </c>
      <c r="K995" s="3" t="n">
        <v>0.48723</v>
      </c>
      <c r="L995" s="3" t="n">
        <v>-0.614128</v>
      </c>
      <c r="M995" s="3" t="n">
        <v>0.899558</v>
      </c>
      <c r="N995" s="3" t="inlineStr">
        <is>
          <t>C4</t>
        </is>
      </c>
      <c r="O995" s="3" t="inlineStr">
        <is>
          <t>si</t>
        </is>
      </c>
      <c r="P995" s="3" t="inlineStr">
        <is>
          <t>no_vota</t>
        </is>
      </c>
      <c r="Q995" s="3" t="inlineStr">
        <is>
          <t>panel_covariables</t>
        </is>
      </c>
      <c r="R995" s="3" t="n"/>
      <c r="S995" s="3" t="inlineStr">
        <is>
          <t>contraste regional (R6); no vota</t>
        </is>
      </c>
      <c r="T995" s="3" t="inlineStr">
        <is>
          <t>output/v8/F5/atribucion_combinada.csv</t>
        </is>
      </c>
      <c r="U995" s="2">
        <f>IF(R995=0,"",F995/R995)</f>
        <v/>
      </c>
      <c r="V995" s="2">
        <f>SUMIFS(F$2:F$1589,A$2:A$1589,A995,C$2:C$1589,C995,E$2:E$1589,E995,Q$2:Q$1589,Q995)</f>
        <v/>
      </c>
    </row>
    <row r="996">
      <c r="A996" s="3" t="inlineStr">
        <is>
          <t>compra</t>
        </is>
      </c>
      <c r="B996" s="3" t="inlineStr">
        <is>
          <t>ccaa:17</t>
        </is>
      </c>
      <c r="C996" s="3" t="inlineStr">
        <is>
          <t>P5</t>
        </is>
      </c>
      <c r="D996" s="3" t="inlineStr">
        <is>
          <t>demografia</t>
        </is>
      </c>
      <c r="E996" s="3" t="inlineStr">
        <is>
          <t>regional_panel</t>
        </is>
      </c>
      <c r="F996" s="3" t="n">
        <v>-0.543178</v>
      </c>
      <c r="G996" s="3" t="n"/>
      <c r="H996" s="3" t="n"/>
      <c r="I996" s="3" t="n">
        <v>2.15378</v>
      </c>
      <c r="J996" s="3" t="n">
        <v>-2.62636</v>
      </c>
      <c r="K996" s="3" t="n">
        <v>1.46569</v>
      </c>
      <c r="L996" s="3" t="n">
        <v>-4.6698</v>
      </c>
      <c r="M996" s="3" t="n">
        <v>2.57935</v>
      </c>
      <c r="N996" s="3" t="inlineStr">
        <is>
          <t>C4</t>
        </is>
      </c>
      <c r="O996" s="3" t="inlineStr">
        <is>
          <t>si</t>
        </is>
      </c>
      <c r="P996" s="3" t="inlineStr">
        <is>
          <t>no_vota</t>
        </is>
      </c>
      <c r="Q996" s="3" t="inlineStr">
        <is>
          <t>panel_covariables</t>
        </is>
      </c>
      <c r="R996" s="3" t="n"/>
      <c r="S996" s="3" t="inlineStr">
        <is>
          <t>contraste regional (R6); no vota</t>
        </is>
      </c>
      <c r="T996" s="3" t="inlineStr">
        <is>
          <t>output/v8/F5/atribucion_combinada.csv</t>
        </is>
      </c>
      <c r="U996" s="2">
        <f>IF(R996=0,"",F996/R996)</f>
        <v/>
      </c>
      <c r="V996" s="2">
        <f>SUMIFS(F$2:F$1589,A$2:A$1589,A996,C$2:C$1589,C996,E$2:E$1589,E996,Q$2:Q$1589,Q996)</f>
        <v/>
      </c>
    </row>
    <row r="997">
      <c r="A997" s="3" t="inlineStr">
        <is>
          <t>compra</t>
        </is>
      </c>
      <c r="B997" s="3" t="inlineStr">
        <is>
          <t>ccaa:17</t>
        </is>
      </c>
      <c r="C997" s="3" t="inlineStr">
        <is>
          <t>P5</t>
        </is>
      </c>
      <c r="D997" s="3" t="inlineStr">
        <is>
          <t>oferta</t>
        </is>
      </c>
      <c r="E997" s="3" t="inlineStr">
        <is>
          <t>regional_panel</t>
        </is>
      </c>
      <c r="F997" s="3" t="n">
        <v>-0.000203761</v>
      </c>
      <c r="G997" s="3" t="n"/>
      <c r="H997" s="3" t="n"/>
      <c r="I997" s="3" t="n">
        <v>0.000807942</v>
      </c>
      <c r="J997" s="3" t="n">
        <v>-0.114451</v>
      </c>
      <c r="K997" s="3" t="n">
        <v>0.122743</v>
      </c>
      <c r="L997" s="3" t="n">
        <v>-0.263835</v>
      </c>
      <c r="M997" s="3" t="n">
        <v>0.281727</v>
      </c>
      <c r="N997" s="3" t="inlineStr">
        <is>
          <t>C4</t>
        </is>
      </c>
      <c r="O997" s="3" t="inlineStr">
        <is>
          <t>si</t>
        </is>
      </c>
      <c r="P997" s="3" t="inlineStr">
        <is>
          <t>no_vota</t>
        </is>
      </c>
      <c r="Q997" s="3" t="inlineStr">
        <is>
          <t>panel_covariables</t>
        </is>
      </c>
      <c r="R997" s="3" t="n"/>
      <c r="S997" s="3" t="inlineStr">
        <is>
          <t>contraste regional (R6); no vota</t>
        </is>
      </c>
      <c r="T997" s="3" t="inlineStr">
        <is>
          <t>output/v8/F5/atribucion_combinada.csv</t>
        </is>
      </c>
      <c r="U997" s="2">
        <f>IF(R997=0,"",F997/R997)</f>
        <v/>
      </c>
      <c r="V997" s="2">
        <f>SUMIFS(F$2:F$1589,A$2:A$1589,A997,C$2:C$1589,C997,E$2:E$1589,E997,Q$2:Q$1589,Q997)</f>
        <v/>
      </c>
    </row>
    <row r="998">
      <c r="A998" s="3" t="inlineStr">
        <is>
          <t>compra</t>
        </is>
      </c>
      <c r="B998" s="3" t="inlineStr">
        <is>
          <t>ccaa:17</t>
        </is>
      </c>
      <c r="C998" s="3" t="inlineStr">
        <is>
          <t>P5</t>
        </is>
      </c>
      <c r="D998" s="3" t="inlineStr">
        <is>
          <t>demanda_externa</t>
        </is>
      </c>
      <c r="E998" s="3" t="inlineStr">
        <is>
          <t>regional_panel</t>
        </is>
      </c>
      <c r="F998" s="3" t="n">
        <v>-0.0113832</v>
      </c>
      <c r="G998" s="3" t="n"/>
      <c r="H998" s="3" t="n"/>
      <c r="I998" s="3" t="n">
        <v>0.045136</v>
      </c>
      <c r="J998" s="3" t="n">
        <v>-0.130682</v>
      </c>
      <c r="K998" s="3" t="n">
        <v>0.182714</v>
      </c>
      <c r="L998" s="3" t="n">
        <v>-0.401666</v>
      </c>
      <c r="M998" s="3" t="n">
        <v>0.442907</v>
      </c>
      <c r="N998" s="3" t="inlineStr">
        <is>
          <t>C4</t>
        </is>
      </c>
      <c r="O998" s="3" t="inlineStr">
        <is>
          <t>si</t>
        </is>
      </c>
      <c r="P998" s="3" t="inlineStr">
        <is>
          <t>no_vota</t>
        </is>
      </c>
      <c r="Q998" s="3" t="inlineStr">
        <is>
          <t>panel_covariables</t>
        </is>
      </c>
      <c r="R998" s="3" t="n"/>
      <c r="S998" s="3" t="inlineStr">
        <is>
          <t>contraste regional (R6); no vota</t>
        </is>
      </c>
      <c r="T998" s="3" t="inlineStr">
        <is>
          <t>output/v8/F5/atribucion_combinada.csv</t>
        </is>
      </c>
      <c r="U998" s="2">
        <f>IF(R998=0,"",F998/R998)</f>
        <v/>
      </c>
      <c r="V998" s="2">
        <f>SUMIFS(F$2:F$1589,A$2:A$1589,A998,C$2:C$1589,C998,E$2:E$1589,E998,Q$2:Q$1589,Q998)</f>
        <v/>
      </c>
    </row>
    <row r="999">
      <c r="A999" s="3" t="inlineStr">
        <is>
          <t>compra</t>
        </is>
      </c>
      <c r="B999" s="3" t="inlineStr">
        <is>
          <t>ccaa:17</t>
        </is>
      </c>
      <c r="C999" s="3" t="inlineStr">
        <is>
          <t>P5</t>
        </is>
      </c>
      <c r="D999" s="3" t="inlineStr">
        <is>
          <t>residuo</t>
        </is>
      </c>
      <c r="E999" s="3" t="inlineStr">
        <is>
          <t>regional_panel</t>
        </is>
      </c>
      <c r="F999" s="3" t="n">
        <v>-1.27987</v>
      </c>
      <c r="G999" s="3" t="n"/>
      <c r="H999" s="3" t="n"/>
      <c r="I999" s="3" t="n">
        <v>5.07488</v>
      </c>
      <c r="J999" s="3" t="n">
        <v>-5.22443</v>
      </c>
      <c r="K999" s="3" t="n">
        <v>2.75281</v>
      </c>
      <c r="L999" s="3" t="n">
        <v>-7.19947</v>
      </c>
      <c r="M999" s="3" t="n">
        <v>5.67222</v>
      </c>
      <c r="N999" s="3" t="inlineStr">
        <is>
          <t>C4</t>
        </is>
      </c>
      <c r="O999" s="3" t="inlineStr">
        <is>
          <t>no</t>
        </is>
      </c>
      <c r="P999" s="3" t="inlineStr">
        <is>
          <t>no_compite</t>
        </is>
      </c>
      <c r="Q999" s="3" t="inlineStr">
        <is>
          <t>panel_covariables</t>
        </is>
      </c>
      <c r="R999" s="3" t="n"/>
      <c r="S999" s="3" t="inlineStr">
        <is>
          <t>contraste regional (R6); no vota</t>
        </is>
      </c>
      <c r="T999" s="3" t="inlineStr">
        <is>
          <t>output/v8/F5/atribucion_combinada.csv</t>
        </is>
      </c>
      <c r="U999" s="2">
        <f>IF(R999=0,"",F999/R999)</f>
        <v/>
      </c>
      <c r="V999" s="2">
        <f>SUMIFS(F$2:F$1589,A$2:A$1589,A999,C$2:C$1589,C999,E$2:E$1589,E999,Q$2:Q$1589,Q999)</f>
        <v/>
      </c>
    </row>
    <row r="1000">
      <c r="A1000" s="3" t="inlineStr">
        <is>
          <t>alquiler</t>
        </is>
      </c>
      <c r="B1000" s="3" t="inlineStr">
        <is>
          <t>ccaa:01</t>
        </is>
      </c>
      <c r="C1000" s="3" t="inlineStr">
        <is>
          <t>P2</t>
        </is>
      </c>
      <c r="D1000" s="3" t="inlineStr">
        <is>
          <t>factor_comun</t>
        </is>
      </c>
      <c r="E1000" s="3" t="inlineStr">
        <is>
          <t>regional_panel</t>
        </is>
      </c>
      <c r="F1000" s="3" t="n">
        <v>-3.50963</v>
      </c>
      <c r="G1000" s="3" t="n"/>
      <c r="H1000" s="3" t="n"/>
      <c r="I1000" s="3" t="n">
        <v>1.35398</v>
      </c>
      <c r="J1000" s="3" t="n">
        <v>-7.73728</v>
      </c>
      <c r="K1000" s="3" t="n">
        <v>0.660335</v>
      </c>
      <c r="L1000" s="3" t="n">
        <v>-9.80547</v>
      </c>
      <c r="M1000" s="3" t="n">
        <v>3.299</v>
      </c>
      <c r="N1000" s="3" t="inlineStr">
        <is>
          <t>C4</t>
        </is>
      </c>
      <c r="O1000" s="3" t="inlineStr">
        <is>
          <t>no</t>
        </is>
      </c>
      <c r="P1000" s="3" t="inlineStr">
        <is>
          <t>no_compite</t>
        </is>
      </c>
      <c r="Q1000" s="3" t="inlineStr">
        <is>
          <t>panel_covariables</t>
        </is>
      </c>
      <c r="R1000" s="3" t="n"/>
      <c r="S1000" s="3" t="inlineStr">
        <is>
          <t>contraste regional (R6); no vota</t>
        </is>
      </c>
      <c r="T1000" s="3" t="inlineStr">
        <is>
          <t>output/v8/F5/atribucion_combinada.csv</t>
        </is>
      </c>
      <c r="U1000" s="2">
        <f>IF(R1000=0,"",F1000/R1000)</f>
        <v/>
      </c>
      <c r="V1000" s="2">
        <f>SUMIFS(F$2:F$1589,A$2:A$1589,A1000,C$2:C$1589,C1000,E$2:E$1589,E1000,Q$2:Q$1589,Q1000)</f>
        <v/>
      </c>
    </row>
    <row r="1001">
      <c r="A1001" s="3" t="inlineStr">
        <is>
          <t>alquiler</t>
        </is>
      </c>
      <c r="B1001" s="3" t="inlineStr">
        <is>
          <t>ccaa:01</t>
        </is>
      </c>
      <c r="C1001" s="3" t="inlineStr">
        <is>
          <t>P2</t>
        </is>
      </c>
      <c r="D1001" s="3" t="inlineStr">
        <is>
          <t>empleo_renta</t>
        </is>
      </c>
      <c r="E1001" s="3" t="inlineStr">
        <is>
          <t>regional_panel</t>
        </is>
      </c>
      <c r="F1001" s="3" t="n">
        <v>0.0454272</v>
      </c>
      <c r="G1001" s="3" t="n"/>
      <c r="H1001" s="3" t="n"/>
      <c r="I1001" s="3" t="n">
        <v>-0.0175254</v>
      </c>
      <c r="J1001" s="3" t="n">
        <v>-0.374367</v>
      </c>
      <c r="K1001" s="3" t="n">
        <v>0.627229</v>
      </c>
      <c r="L1001" s="3" t="n">
        <v>-0.752113</v>
      </c>
      <c r="M1001" s="3" t="n">
        <v>0.784591</v>
      </c>
      <c r="N1001" s="3" t="inlineStr">
        <is>
          <t>C4</t>
        </is>
      </c>
      <c r="O1001" s="3" t="inlineStr">
        <is>
          <t>si</t>
        </is>
      </c>
      <c r="P1001" s="3" t="inlineStr">
        <is>
          <t>no_vota</t>
        </is>
      </c>
      <c r="Q1001" s="3" t="inlineStr">
        <is>
          <t>panel_covariables</t>
        </is>
      </c>
      <c r="R1001" s="3" t="n"/>
      <c r="S1001" s="3" t="inlineStr">
        <is>
          <t>contraste regional (R6); no vota</t>
        </is>
      </c>
      <c r="T1001" s="3" t="inlineStr">
        <is>
          <t>output/v8/F5/atribucion_combinada.csv</t>
        </is>
      </c>
      <c r="U1001" s="2">
        <f>IF(R1001=0,"",F1001/R1001)</f>
        <v/>
      </c>
      <c r="V1001" s="2">
        <f>SUMIFS(F$2:F$1589,A$2:A$1589,A1001,C$2:C$1589,C1001,E$2:E$1589,E1001,Q$2:Q$1589,Q1001)</f>
        <v/>
      </c>
    </row>
    <row r="1002">
      <c r="A1002" s="3" t="inlineStr">
        <is>
          <t>alquiler</t>
        </is>
      </c>
      <c r="B1002" s="3" t="inlineStr">
        <is>
          <t>ccaa:01</t>
        </is>
      </c>
      <c r="C1002" s="3" t="inlineStr">
        <is>
          <t>P2</t>
        </is>
      </c>
      <c r="D1002" s="3" t="inlineStr">
        <is>
          <t>demografia</t>
        </is>
      </c>
      <c r="E1002" s="3" t="inlineStr">
        <is>
          <t>regional_panel</t>
        </is>
      </c>
      <c r="F1002" s="3" t="n">
        <v>0.918412</v>
      </c>
      <c r="G1002" s="3" t="n"/>
      <c r="H1002" s="3" t="n"/>
      <c r="I1002" s="3" t="n">
        <v>-0.354316</v>
      </c>
      <c r="J1002" s="3" t="n">
        <v>0.686297</v>
      </c>
      <c r="K1002" s="3" t="n">
        <v>1.333</v>
      </c>
      <c r="L1002" s="3" t="n">
        <v>0.523383</v>
      </c>
      <c r="M1002" s="3" t="n">
        <v>1.68466</v>
      </c>
      <c r="N1002" s="3" t="inlineStr">
        <is>
          <t>C4</t>
        </is>
      </c>
      <c r="O1002" s="3" t="inlineStr">
        <is>
          <t>si</t>
        </is>
      </c>
      <c r="P1002" s="3" t="inlineStr">
        <is>
          <t>no_vota</t>
        </is>
      </c>
      <c r="Q1002" s="3" t="inlineStr">
        <is>
          <t>panel_covariables</t>
        </is>
      </c>
      <c r="R1002" s="3" t="n"/>
      <c r="S1002" s="3" t="inlineStr">
        <is>
          <t>contraste regional (R6); no vota</t>
        </is>
      </c>
      <c r="T1002" s="3" t="inlineStr">
        <is>
          <t>output/v8/F5/atribucion_combinada.csv</t>
        </is>
      </c>
      <c r="U1002" s="2">
        <f>IF(R1002=0,"",F1002/R1002)</f>
        <v/>
      </c>
      <c r="V1002" s="2">
        <f>SUMIFS(F$2:F$1589,A$2:A$1589,A1002,C$2:C$1589,C1002,E$2:E$1589,E1002,Q$2:Q$1589,Q1002)</f>
        <v/>
      </c>
    </row>
    <row r="1003">
      <c r="A1003" s="3" t="inlineStr">
        <is>
          <t>alquiler</t>
        </is>
      </c>
      <c r="B1003" s="3" t="inlineStr">
        <is>
          <t>ccaa:01</t>
        </is>
      </c>
      <c r="C1003" s="3" t="inlineStr">
        <is>
          <t>P2</t>
        </is>
      </c>
      <c r="D1003" s="3" t="inlineStr">
        <is>
          <t>oferta</t>
        </is>
      </c>
      <c r="E1003" s="3" t="inlineStr">
        <is>
          <t>regional_panel</t>
        </is>
      </c>
      <c r="F1003" s="3" t="n">
        <v>0.285299</v>
      </c>
      <c r="G1003" s="3" t="n"/>
      <c r="H1003" s="3" t="n"/>
      <c r="I1003" s="3" t="n">
        <v>-0.110066</v>
      </c>
      <c r="J1003" s="3" t="n">
        <v>0.0373704</v>
      </c>
      <c r="K1003" s="3" t="n">
        <v>0.546445</v>
      </c>
      <c r="L1003" s="3" t="n">
        <v>0.00546615</v>
      </c>
      <c r="M1003" s="3" t="n">
        <v>0.746502</v>
      </c>
      <c r="N1003" s="3" t="inlineStr">
        <is>
          <t>C4</t>
        </is>
      </c>
      <c r="O1003" s="3" t="inlineStr">
        <is>
          <t>si</t>
        </is>
      </c>
      <c r="P1003" s="3" t="inlineStr">
        <is>
          <t>no_vota</t>
        </is>
      </c>
      <c r="Q1003" s="3" t="inlineStr">
        <is>
          <t>panel_covariables</t>
        </is>
      </c>
      <c r="R1003" s="3" t="n"/>
      <c r="S1003" s="3" t="inlineStr">
        <is>
          <t>contraste regional (R6); no vota</t>
        </is>
      </c>
      <c r="T1003" s="3" t="inlineStr">
        <is>
          <t>output/v8/F5/atribucion_combinada.csv</t>
        </is>
      </c>
      <c r="U1003" s="2">
        <f>IF(R1003=0,"",F1003/R1003)</f>
        <v/>
      </c>
      <c r="V1003" s="2">
        <f>SUMIFS(F$2:F$1589,A$2:A$1589,A1003,C$2:C$1589,C1003,E$2:E$1589,E1003,Q$2:Q$1589,Q1003)</f>
        <v/>
      </c>
    </row>
    <row r="1004">
      <c r="A1004" s="3" t="inlineStr">
        <is>
          <t>alquiler</t>
        </is>
      </c>
      <c r="B1004" s="3" t="inlineStr">
        <is>
          <t>ccaa:01</t>
        </is>
      </c>
      <c r="C1004" s="3" t="inlineStr">
        <is>
          <t>P2</t>
        </is>
      </c>
      <c r="D1004" s="3" t="inlineStr">
        <is>
          <t>demanda_externa</t>
        </is>
      </c>
      <c r="E1004" s="3" t="inlineStr">
        <is>
          <t>regional_panel</t>
        </is>
      </c>
      <c r="F1004" s="3" t="n">
        <v>0.0397178</v>
      </c>
      <c r="G1004" s="3" t="n"/>
      <c r="H1004" s="3" t="n"/>
      <c r="I1004" s="3" t="n">
        <v>-0.0153228</v>
      </c>
      <c r="J1004" s="3" t="n">
        <v>-0.00264922</v>
      </c>
      <c r="K1004" s="3" t="n">
        <v>0.0491875</v>
      </c>
      <c r="L1004" s="3" t="n">
        <v>-0.0224494</v>
      </c>
      <c r="M1004" s="3" t="n">
        <v>0.06766750000000001</v>
      </c>
      <c r="N1004" s="3" t="inlineStr">
        <is>
          <t>C4</t>
        </is>
      </c>
      <c r="O1004" s="3" t="inlineStr">
        <is>
          <t>si</t>
        </is>
      </c>
      <c r="P1004" s="3" t="inlineStr">
        <is>
          <t>no_vota</t>
        </is>
      </c>
      <c r="Q1004" s="3" t="inlineStr">
        <is>
          <t>panel_covariables</t>
        </is>
      </c>
      <c r="R1004" s="3" t="n"/>
      <c r="S1004" s="3" t="inlineStr">
        <is>
          <t>contraste regional (R6); no vota</t>
        </is>
      </c>
      <c r="T1004" s="3" t="inlineStr">
        <is>
          <t>output/v8/F5/atribucion_combinada.csv</t>
        </is>
      </c>
      <c r="U1004" s="2">
        <f>IF(R1004=0,"",F1004/R1004)</f>
        <v/>
      </c>
      <c r="V1004" s="2">
        <f>SUMIFS(F$2:F$1589,A$2:A$1589,A1004,C$2:C$1589,C1004,E$2:E$1589,E1004,Q$2:Q$1589,Q1004)</f>
        <v/>
      </c>
    </row>
    <row r="1005">
      <c r="A1005" s="3" t="inlineStr">
        <is>
          <t>alquiler</t>
        </is>
      </c>
      <c r="B1005" s="3" t="inlineStr">
        <is>
          <t>ccaa:01</t>
        </is>
      </c>
      <c r="C1005" s="3" t="inlineStr">
        <is>
          <t>P2</t>
        </is>
      </c>
      <c r="D1005" s="3" t="inlineStr">
        <is>
          <t>residuo</t>
        </is>
      </c>
      <c r="E1005" s="3" t="inlineStr">
        <is>
          <t>regional_panel</t>
        </is>
      </c>
      <c r="F1005" s="3" t="n">
        <v>-0.371302</v>
      </c>
      <c r="G1005" s="3" t="n"/>
      <c r="H1005" s="3" t="n"/>
      <c r="I1005" s="3" t="n">
        <v>0.143245</v>
      </c>
      <c r="J1005" s="3" t="n">
        <v>-1.24927</v>
      </c>
      <c r="K1005" s="3" t="n">
        <v>0.230081</v>
      </c>
      <c r="L1005" s="3" t="n">
        <v>-1.68206</v>
      </c>
      <c r="M1005" s="3" t="n">
        <v>0.875251</v>
      </c>
      <c r="N1005" s="3" t="inlineStr">
        <is>
          <t>C4</t>
        </is>
      </c>
      <c r="O1005" s="3" t="inlineStr">
        <is>
          <t>no</t>
        </is>
      </c>
      <c r="P1005" s="3" t="inlineStr">
        <is>
          <t>no_compite</t>
        </is>
      </c>
      <c r="Q1005" s="3" t="inlineStr">
        <is>
          <t>panel_covariables</t>
        </is>
      </c>
      <c r="R1005" s="3" t="n"/>
      <c r="S1005" s="3" t="inlineStr">
        <is>
          <t>contraste regional (R6); no vota</t>
        </is>
      </c>
      <c r="T1005" s="3" t="inlineStr">
        <is>
          <t>output/v8/F5/atribucion_combinada.csv</t>
        </is>
      </c>
      <c r="U1005" s="2">
        <f>IF(R1005=0,"",F1005/R1005)</f>
        <v/>
      </c>
      <c r="V1005" s="2">
        <f>SUMIFS(F$2:F$1589,A$2:A$1589,A1005,C$2:C$1589,C1005,E$2:E$1589,E1005,Q$2:Q$1589,Q1005)</f>
        <v/>
      </c>
    </row>
    <row r="1006">
      <c r="A1006" s="3" t="inlineStr">
        <is>
          <t>alquiler</t>
        </is>
      </c>
      <c r="B1006" s="3" t="inlineStr">
        <is>
          <t>ccaa:02</t>
        </is>
      </c>
      <c r="C1006" s="3" t="inlineStr">
        <is>
          <t>P2</t>
        </is>
      </c>
      <c r="D1006" s="3" t="inlineStr">
        <is>
          <t>factor_comun</t>
        </is>
      </c>
      <c r="E1006" s="3" t="inlineStr">
        <is>
          <t>regional_panel</t>
        </is>
      </c>
      <c r="F1006" s="3" t="n">
        <v>-3.50963</v>
      </c>
      <c r="G1006" s="3" t="n"/>
      <c r="H1006" s="3" t="n"/>
      <c r="I1006" s="3" t="n">
        <v>1.41012</v>
      </c>
      <c r="J1006" s="3" t="n">
        <v>-7.73728</v>
      </c>
      <c r="K1006" s="3" t="n">
        <v>0.660335</v>
      </c>
      <c r="L1006" s="3" t="n">
        <v>-9.80547</v>
      </c>
      <c r="M1006" s="3" t="n">
        <v>3.299</v>
      </c>
      <c r="N1006" s="3" t="inlineStr">
        <is>
          <t>C4</t>
        </is>
      </c>
      <c r="O1006" s="3" t="inlineStr">
        <is>
          <t>no</t>
        </is>
      </c>
      <c r="P1006" s="3" t="inlineStr">
        <is>
          <t>no_compite</t>
        </is>
      </c>
      <c r="Q1006" s="3" t="inlineStr">
        <is>
          <t>panel_covariables</t>
        </is>
      </c>
      <c r="R1006" s="3" t="n"/>
      <c r="S1006" s="3" t="inlineStr">
        <is>
          <t>contraste regional (R6); no vota</t>
        </is>
      </c>
      <c r="T1006" s="3" t="inlineStr">
        <is>
          <t>output/v8/F5/atribucion_combinada.csv</t>
        </is>
      </c>
      <c r="U1006" s="2">
        <f>IF(R1006=0,"",F1006/R1006)</f>
        <v/>
      </c>
      <c r="V1006" s="2">
        <f>SUMIFS(F$2:F$1589,A$2:A$1589,A1006,C$2:C$1589,C1006,E$2:E$1589,E1006,Q$2:Q$1589,Q1006)</f>
        <v/>
      </c>
    </row>
    <row r="1007">
      <c r="A1007" s="3" t="inlineStr">
        <is>
          <t>alquiler</t>
        </is>
      </c>
      <c r="B1007" s="3" t="inlineStr">
        <is>
          <t>ccaa:02</t>
        </is>
      </c>
      <c r="C1007" s="3" t="inlineStr">
        <is>
          <t>P2</t>
        </is>
      </c>
      <c r="D1007" s="3" t="inlineStr">
        <is>
          <t>empleo_renta</t>
        </is>
      </c>
      <c r="E1007" s="3" t="inlineStr">
        <is>
          <t>regional_panel</t>
        </is>
      </c>
      <c r="F1007" s="3" t="n">
        <v>0.0975263</v>
      </c>
      <c r="G1007" s="3" t="n"/>
      <c r="H1007" s="3" t="n"/>
      <c r="I1007" s="3" t="n">
        <v>-0.0391848</v>
      </c>
      <c r="J1007" s="3" t="n">
        <v>-0.302046</v>
      </c>
      <c r="K1007" s="3" t="n">
        <v>0.5071059999999999</v>
      </c>
      <c r="L1007" s="3" t="n">
        <v>-0.716302</v>
      </c>
      <c r="M1007" s="3" t="n">
        <v>0.614394</v>
      </c>
      <c r="N1007" s="3" t="inlineStr">
        <is>
          <t>C4</t>
        </is>
      </c>
      <c r="O1007" s="3" t="inlineStr">
        <is>
          <t>si</t>
        </is>
      </c>
      <c r="P1007" s="3" t="inlineStr">
        <is>
          <t>no_vota</t>
        </is>
      </c>
      <c r="Q1007" s="3" t="inlineStr">
        <is>
          <t>panel_covariables</t>
        </is>
      </c>
      <c r="R1007" s="3" t="n"/>
      <c r="S1007" s="3" t="inlineStr">
        <is>
          <t>contraste regional (R6); no vota</t>
        </is>
      </c>
      <c r="T1007" s="3" t="inlineStr">
        <is>
          <t>output/v8/F5/atribucion_combinada.csv</t>
        </is>
      </c>
      <c r="U1007" s="2">
        <f>IF(R1007=0,"",F1007/R1007)</f>
        <v/>
      </c>
      <c r="V1007" s="2">
        <f>SUMIFS(F$2:F$1589,A$2:A$1589,A1007,C$2:C$1589,C1007,E$2:E$1589,E1007,Q$2:Q$1589,Q1007)</f>
        <v/>
      </c>
    </row>
    <row r="1008">
      <c r="A1008" s="3" t="inlineStr">
        <is>
          <t>alquiler</t>
        </is>
      </c>
      <c r="B1008" s="3" t="inlineStr">
        <is>
          <t>ccaa:02</t>
        </is>
      </c>
      <c r="C1008" s="3" t="inlineStr">
        <is>
          <t>P2</t>
        </is>
      </c>
      <c r="D1008" s="3" t="inlineStr">
        <is>
          <t>demografia</t>
        </is>
      </c>
      <c r="E1008" s="3" t="inlineStr">
        <is>
          <t>regional_panel</t>
        </is>
      </c>
      <c r="F1008" s="3" t="n">
        <v>0.192693</v>
      </c>
      <c r="G1008" s="3" t="n"/>
      <c r="H1008" s="3" t="n"/>
      <c r="I1008" s="3" t="n">
        <v>-0.0774214</v>
      </c>
      <c r="J1008" s="3" t="n">
        <v>0.0851059</v>
      </c>
      <c r="K1008" s="3" t="n">
        <v>0.401946</v>
      </c>
      <c r="L1008" s="3" t="n">
        <v>-0.0154729</v>
      </c>
      <c r="M1008" s="3" t="n">
        <v>0.549567</v>
      </c>
      <c r="N1008" s="3" t="inlineStr">
        <is>
          <t>C4</t>
        </is>
      </c>
      <c r="O1008" s="3" t="inlineStr">
        <is>
          <t>si</t>
        </is>
      </c>
      <c r="P1008" s="3" t="inlineStr">
        <is>
          <t>no_vota</t>
        </is>
      </c>
      <c r="Q1008" s="3" t="inlineStr">
        <is>
          <t>panel_covariables</t>
        </is>
      </c>
      <c r="R1008" s="3" t="n"/>
      <c r="S1008" s="3" t="inlineStr">
        <is>
          <t>contraste regional (R6); no vota</t>
        </is>
      </c>
      <c r="T1008" s="3" t="inlineStr">
        <is>
          <t>output/v8/F5/atribucion_combinada.csv</t>
        </is>
      </c>
      <c r="U1008" s="2">
        <f>IF(R1008=0,"",F1008/R1008)</f>
        <v/>
      </c>
      <c r="V1008" s="2">
        <f>SUMIFS(F$2:F$1589,A$2:A$1589,A1008,C$2:C$1589,C1008,E$2:E$1589,E1008,Q$2:Q$1589,Q1008)</f>
        <v/>
      </c>
    </row>
    <row r="1009">
      <c r="A1009" s="3" t="inlineStr">
        <is>
          <t>alquiler</t>
        </is>
      </c>
      <c r="B1009" s="3" t="inlineStr">
        <is>
          <t>ccaa:02</t>
        </is>
      </c>
      <c r="C1009" s="3" t="inlineStr">
        <is>
          <t>P2</t>
        </is>
      </c>
      <c r="D1009" s="3" t="inlineStr">
        <is>
          <t>oferta</t>
        </is>
      </c>
      <c r="E1009" s="3" t="inlineStr">
        <is>
          <t>regional_panel</t>
        </is>
      </c>
      <c r="F1009" s="3" t="n">
        <v>0.230205</v>
      </c>
      <c r="G1009" s="3" t="n"/>
      <c r="H1009" s="3" t="n"/>
      <c r="I1009" s="3" t="n">
        <v>-0.09249350000000001</v>
      </c>
      <c r="J1009" s="3" t="n">
        <v>0.0205534</v>
      </c>
      <c r="K1009" s="3" t="n">
        <v>0.466456</v>
      </c>
      <c r="L1009" s="3" t="n">
        <v>0.000348968</v>
      </c>
      <c r="M1009" s="3" t="n">
        <v>0.754077</v>
      </c>
      <c r="N1009" s="3" t="inlineStr">
        <is>
          <t>C4</t>
        </is>
      </c>
      <c r="O1009" s="3" t="inlineStr">
        <is>
          <t>si</t>
        </is>
      </c>
      <c r="P1009" s="3" t="inlineStr">
        <is>
          <t>no_vota</t>
        </is>
      </c>
      <c r="Q1009" s="3" t="inlineStr">
        <is>
          <t>panel_covariables</t>
        </is>
      </c>
      <c r="R1009" s="3" t="n"/>
      <c r="S1009" s="3" t="inlineStr">
        <is>
          <t>contraste regional (R6); no vota</t>
        </is>
      </c>
      <c r="T1009" s="3" t="inlineStr">
        <is>
          <t>output/v8/F5/atribucion_combinada.csv</t>
        </is>
      </c>
      <c r="U1009" s="2">
        <f>IF(R1009=0,"",F1009/R1009)</f>
        <v/>
      </c>
      <c r="V1009" s="2">
        <f>SUMIFS(F$2:F$1589,A$2:A$1589,A1009,C$2:C$1589,C1009,E$2:E$1589,E1009,Q$2:Q$1589,Q1009)</f>
        <v/>
      </c>
    </row>
    <row r="1010">
      <c r="A1010" s="3" t="inlineStr">
        <is>
          <t>alquiler</t>
        </is>
      </c>
      <c r="B1010" s="3" t="inlineStr">
        <is>
          <t>ccaa:02</t>
        </is>
      </c>
      <c r="C1010" s="3" t="inlineStr">
        <is>
          <t>P2</t>
        </is>
      </c>
      <c r="D1010" s="3" t="inlineStr">
        <is>
          <t>demanda_externa</t>
        </is>
      </c>
      <c r="E1010" s="3" t="inlineStr">
        <is>
          <t>regional_panel</t>
        </is>
      </c>
      <c r="F1010" s="3" t="n">
        <v>-0.0158823</v>
      </c>
      <c r="G1010" s="3" t="n"/>
      <c r="H1010" s="3" t="n"/>
      <c r="I1010" s="3" t="n">
        <v>0.00638131</v>
      </c>
      <c r="J1010" s="3" t="n">
        <v>-0.0574158</v>
      </c>
      <c r="K1010" s="3" t="n">
        <v>0.126611</v>
      </c>
      <c r="L1010" s="3" t="n">
        <v>-0.101279</v>
      </c>
      <c r="M1010" s="3" t="n">
        <v>0.255595</v>
      </c>
      <c r="N1010" s="3" t="inlineStr">
        <is>
          <t>C4</t>
        </is>
      </c>
      <c r="O1010" s="3" t="inlineStr">
        <is>
          <t>si</t>
        </is>
      </c>
      <c r="P1010" s="3" t="inlineStr">
        <is>
          <t>no_vota</t>
        </is>
      </c>
      <c r="Q1010" s="3" t="inlineStr">
        <is>
          <t>panel_covariables</t>
        </is>
      </c>
      <c r="R1010" s="3" t="n"/>
      <c r="S1010" s="3" t="inlineStr">
        <is>
          <t>contraste regional (R6); no vota</t>
        </is>
      </c>
      <c r="T1010" s="3" t="inlineStr">
        <is>
          <t>output/v8/F5/atribucion_combinada.csv</t>
        </is>
      </c>
      <c r="U1010" s="2">
        <f>IF(R1010=0,"",F1010/R1010)</f>
        <v/>
      </c>
      <c r="V1010" s="2">
        <f>SUMIFS(F$2:F$1589,A$2:A$1589,A1010,C$2:C$1589,C1010,E$2:E$1589,E1010,Q$2:Q$1589,Q1010)</f>
        <v/>
      </c>
    </row>
    <row r="1011">
      <c r="A1011" s="3" t="inlineStr">
        <is>
          <t>alquiler</t>
        </is>
      </c>
      <c r="B1011" s="3" t="inlineStr">
        <is>
          <t>ccaa:02</t>
        </is>
      </c>
      <c r="C1011" s="3" t="inlineStr">
        <is>
          <t>P2</t>
        </is>
      </c>
      <c r="D1011" s="3" t="inlineStr">
        <is>
          <t>residuo</t>
        </is>
      </c>
      <c r="E1011" s="3" t="inlineStr">
        <is>
          <t>regional_panel</t>
        </is>
      </c>
      <c r="F1011" s="3" t="n">
        <v>0.516203</v>
      </c>
      <c r="G1011" s="3" t="n"/>
      <c r="H1011" s="3" t="n"/>
      <c r="I1011" s="3" t="n">
        <v>-0.207404</v>
      </c>
      <c r="J1011" s="3" t="n">
        <v>-0.843866</v>
      </c>
      <c r="K1011" s="3" t="n">
        <v>1.65682</v>
      </c>
      <c r="L1011" s="3" t="n">
        <v>-1.49076</v>
      </c>
      <c r="M1011" s="3" t="n">
        <v>2.4855</v>
      </c>
      <c r="N1011" s="3" t="inlineStr">
        <is>
          <t>C4</t>
        </is>
      </c>
      <c r="O1011" s="3" t="inlineStr">
        <is>
          <t>no</t>
        </is>
      </c>
      <c r="P1011" s="3" t="inlineStr">
        <is>
          <t>no_compite</t>
        </is>
      </c>
      <c r="Q1011" s="3" t="inlineStr">
        <is>
          <t>panel_covariables</t>
        </is>
      </c>
      <c r="R1011" s="3" t="n"/>
      <c r="S1011" s="3" t="inlineStr">
        <is>
          <t>contraste regional (R6); no vota</t>
        </is>
      </c>
      <c r="T1011" s="3" t="inlineStr">
        <is>
          <t>output/v8/F5/atribucion_combinada.csv</t>
        </is>
      </c>
      <c r="U1011" s="2">
        <f>IF(R1011=0,"",F1011/R1011)</f>
        <v/>
      </c>
      <c r="V1011" s="2">
        <f>SUMIFS(F$2:F$1589,A$2:A$1589,A1011,C$2:C$1589,C1011,E$2:E$1589,E1011,Q$2:Q$1589,Q1011)</f>
        <v/>
      </c>
    </row>
    <row r="1012">
      <c r="A1012" s="3" t="inlineStr">
        <is>
          <t>alquiler</t>
        </is>
      </c>
      <c r="B1012" s="3" t="inlineStr">
        <is>
          <t>ccaa:03</t>
        </is>
      </c>
      <c r="C1012" s="3" t="inlineStr">
        <is>
          <t>P2</t>
        </is>
      </c>
      <c r="D1012" s="3" t="inlineStr">
        <is>
          <t>factor_comun</t>
        </is>
      </c>
      <c r="E1012" s="3" t="inlineStr">
        <is>
          <t>regional_panel</t>
        </is>
      </c>
      <c r="F1012" s="3" t="n">
        <v>-3.50963</v>
      </c>
      <c r="G1012" s="3" t="n"/>
      <c r="H1012" s="3" t="n"/>
      <c r="I1012" s="3" t="n">
        <v>2.47913</v>
      </c>
      <c r="J1012" s="3" t="n">
        <v>-7.73728</v>
      </c>
      <c r="K1012" s="3" t="n">
        <v>0.660335</v>
      </c>
      <c r="L1012" s="3" t="n">
        <v>-9.80547</v>
      </c>
      <c r="M1012" s="3" t="n">
        <v>3.299</v>
      </c>
      <c r="N1012" s="3" t="inlineStr">
        <is>
          <t>C4</t>
        </is>
      </c>
      <c r="O1012" s="3" t="inlineStr">
        <is>
          <t>no</t>
        </is>
      </c>
      <c r="P1012" s="3" t="inlineStr">
        <is>
          <t>no_compite</t>
        </is>
      </c>
      <c r="Q1012" s="3" t="inlineStr">
        <is>
          <t>panel_covariables</t>
        </is>
      </c>
      <c r="R1012" s="3" t="n"/>
      <c r="S1012" s="3" t="inlineStr">
        <is>
          <t>contraste regional (R6); no vota</t>
        </is>
      </c>
      <c r="T1012" s="3" t="inlineStr">
        <is>
          <t>output/v8/F5/atribucion_combinada.csv</t>
        </is>
      </c>
      <c r="U1012" s="2">
        <f>IF(R1012=0,"",F1012/R1012)</f>
        <v/>
      </c>
      <c r="V1012" s="2">
        <f>SUMIFS(F$2:F$1589,A$2:A$1589,A1012,C$2:C$1589,C1012,E$2:E$1589,E1012,Q$2:Q$1589,Q1012)</f>
        <v/>
      </c>
    </row>
    <row r="1013">
      <c r="A1013" s="3" t="inlineStr">
        <is>
          <t>alquiler</t>
        </is>
      </c>
      <c r="B1013" s="3" t="inlineStr">
        <is>
          <t>ccaa:03</t>
        </is>
      </c>
      <c r="C1013" s="3" t="inlineStr">
        <is>
          <t>P2</t>
        </is>
      </c>
      <c r="D1013" s="3" t="inlineStr">
        <is>
          <t>empleo_renta</t>
        </is>
      </c>
      <c r="E1013" s="3" t="inlineStr">
        <is>
          <t>regional_panel</t>
        </is>
      </c>
      <c r="F1013" s="3" t="n">
        <v>0.100802</v>
      </c>
      <c r="G1013" s="3" t="n"/>
      <c r="H1013" s="3" t="n"/>
      <c r="I1013" s="3" t="n">
        <v>-0.07120460000000001</v>
      </c>
      <c r="J1013" s="3" t="n">
        <v>-0.283696</v>
      </c>
      <c r="K1013" s="3" t="n">
        <v>0.6392139999999999</v>
      </c>
      <c r="L1013" s="3" t="n">
        <v>-0.585518</v>
      </c>
      <c r="M1013" s="3" t="n">
        <v>0.814721</v>
      </c>
      <c r="N1013" s="3" t="inlineStr">
        <is>
          <t>C4</t>
        </is>
      </c>
      <c r="O1013" s="3" t="inlineStr">
        <is>
          <t>si</t>
        </is>
      </c>
      <c r="P1013" s="3" t="inlineStr">
        <is>
          <t>no_vota</t>
        </is>
      </c>
      <c r="Q1013" s="3" t="inlineStr">
        <is>
          <t>panel_covariables</t>
        </is>
      </c>
      <c r="R1013" s="3" t="n"/>
      <c r="S1013" s="3" t="inlineStr">
        <is>
          <t>contraste regional (R6); no vota</t>
        </is>
      </c>
      <c r="T1013" s="3" t="inlineStr">
        <is>
          <t>output/v8/F5/atribucion_combinada.csv</t>
        </is>
      </c>
      <c r="U1013" s="2">
        <f>IF(R1013=0,"",F1013/R1013)</f>
        <v/>
      </c>
      <c r="V1013" s="2">
        <f>SUMIFS(F$2:F$1589,A$2:A$1589,A1013,C$2:C$1589,C1013,E$2:E$1589,E1013,Q$2:Q$1589,Q1013)</f>
        <v/>
      </c>
    </row>
    <row r="1014">
      <c r="A1014" s="3" t="inlineStr">
        <is>
          <t>alquiler</t>
        </is>
      </c>
      <c r="B1014" s="3" t="inlineStr">
        <is>
          <t>ccaa:03</t>
        </is>
      </c>
      <c r="C1014" s="3" t="inlineStr">
        <is>
          <t>P2</t>
        </is>
      </c>
      <c r="D1014" s="3" t="inlineStr">
        <is>
          <t>demografia</t>
        </is>
      </c>
      <c r="E1014" s="3" t="inlineStr">
        <is>
          <t>regional_panel</t>
        </is>
      </c>
      <c r="F1014" s="3" t="n">
        <v>-0.855844</v>
      </c>
      <c r="G1014" s="3" t="n"/>
      <c r="H1014" s="3" t="n"/>
      <c r="I1014" s="3" t="n">
        <v>0.60455</v>
      </c>
      <c r="J1014" s="3" t="n">
        <v>-1.13459</v>
      </c>
      <c r="K1014" s="3" t="n">
        <v>-0.586354</v>
      </c>
      <c r="L1014" s="3" t="n">
        <v>-1.40853</v>
      </c>
      <c r="M1014" s="3" t="n">
        <v>0.408544</v>
      </c>
      <c r="N1014" s="3" t="inlineStr">
        <is>
          <t>C4</t>
        </is>
      </c>
      <c r="O1014" s="3" t="inlineStr">
        <is>
          <t>si</t>
        </is>
      </c>
      <c r="P1014" s="3" t="inlineStr">
        <is>
          <t>no_vota</t>
        </is>
      </c>
      <c r="Q1014" s="3" t="inlineStr">
        <is>
          <t>panel_covariables</t>
        </is>
      </c>
      <c r="R1014" s="3" t="n"/>
      <c r="S1014" s="3" t="inlineStr">
        <is>
          <t>contraste regional (R6); no vota</t>
        </is>
      </c>
      <c r="T1014" s="3" t="inlineStr">
        <is>
          <t>output/v8/F5/atribucion_combinada.csv</t>
        </is>
      </c>
      <c r="U1014" s="2">
        <f>IF(R1014=0,"",F1014/R1014)</f>
        <v/>
      </c>
      <c r="V1014" s="2">
        <f>SUMIFS(F$2:F$1589,A$2:A$1589,A1014,C$2:C$1589,C1014,E$2:E$1589,E1014,Q$2:Q$1589,Q1014)</f>
        <v/>
      </c>
    </row>
    <row r="1015">
      <c r="A1015" s="3" t="inlineStr">
        <is>
          <t>alquiler</t>
        </is>
      </c>
      <c r="B1015" s="3" t="inlineStr">
        <is>
          <t>ccaa:03</t>
        </is>
      </c>
      <c r="C1015" s="3" t="inlineStr">
        <is>
          <t>P2</t>
        </is>
      </c>
      <c r="D1015" s="3" t="inlineStr">
        <is>
          <t>oferta</t>
        </is>
      </c>
      <c r="E1015" s="3" t="inlineStr">
        <is>
          <t>regional_panel</t>
        </is>
      </c>
      <c r="F1015" s="3" t="n">
        <v>0.39695</v>
      </c>
      <c r="G1015" s="3" t="n"/>
      <c r="H1015" s="3" t="n"/>
      <c r="I1015" s="3" t="n">
        <v>-0.280397</v>
      </c>
      <c r="J1015" s="3" t="n">
        <v>0.06727279999999999</v>
      </c>
      <c r="K1015" s="3" t="n">
        <v>0.649497</v>
      </c>
      <c r="L1015" s="3" t="n">
        <v>0.00816564</v>
      </c>
      <c r="M1015" s="3" t="n">
        <v>0.914223</v>
      </c>
      <c r="N1015" s="3" t="inlineStr">
        <is>
          <t>C4</t>
        </is>
      </c>
      <c r="O1015" s="3" t="inlineStr">
        <is>
          <t>si</t>
        </is>
      </c>
      <c r="P1015" s="3" t="inlineStr">
        <is>
          <t>no_vota</t>
        </is>
      </c>
      <c r="Q1015" s="3" t="inlineStr">
        <is>
          <t>panel_covariables</t>
        </is>
      </c>
      <c r="R1015" s="3" t="n"/>
      <c r="S1015" s="3" t="inlineStr">
        <is>
          <t>contraste regional (R6); no vota</t>
        </is>
      </c>
      <c r="T1015" s="3" t="inlineStr">
        <is>
          <t>output/v8/F5/atribucion_combinada.csv</t>
        </is>
      </c>
      <c r="U1015" s="2">
        <f>IF(R1015=0,"",F1015/R1015)</f>
        <v/>
      </c>
      <c r="V1015" s="2">
        <f>SUMIFS(F$2:F$1589,A$2:A$1589,A1015,C$2:C$1589,C1015,E$2:E$1589,E1015,Q$2:Q$1589,Q1015)</f>
        <v/>
      </c>
    </row>
    <row r="1016">
      <c r="A1016" s="3" t="inlineStr">
        <is>
          <t>alquiler</t>
        </is>
      </c>
      <c r="B1016" s="3" t="inlineStr">
        <is>
          <t>ccaa:03</t>
        </is>
      </c>
      <c r="C1016" s="3" t="inlineStr">
        <is>
          <t>P2</t>
        </is>
      </c>
      <c r="D1016" s="3" t="inlineStr">
        <is>
          <t>demanda_externa</t>
        </is>
      </c>
      <c r="E1016" s="3" t="inlineStr">
        <is>
          <t>regional_panel</t>
        </is>
      </c>
      <c r="F1016" s="3" t="n">
        <v>-0.0513205</v>
      </c>
      <c r="G1016" s="3" t="n"/>
      <c r="H1016" s="3" t="n"/>
      <c r="I1016" s="3" t="n">
        <v>0.0362517</v>
      </c>
      <c r="J1016" s="3" t="n">
        <v>-0.0855249</v>
      </c>
      <c r="K1016" s="3" t="n">
        <v>0.129968</v>
      </c>
      <c r="L1016" s="3" t="n">
        <v>-0.148451</v>
      </c>
      <c r="M1016" s="3" t="n">
        <v>0.286555</v>
      </c>
      <c r="N1016" s="3" t="inlineStr">
        <is>
          <t>C4</t>
        </is>
      </c>
      <c r="O1016" s="3" t="inlineStr">
        <is>
          <t>si</t>
        </is>
      </c>
      <c r="P1016" s="3" t="inlineStr">
        <is>
          <t>no_vota</t>
        </is>
      </c>
      <c r="Q1016" s="3" t="inlineStr">
        <is>
          <t>panel_covariables</t>
        </is>
      </c>
      <c r="R1016" s="3" t="n"/>
      <c r="S1016" s="3" t="inlineStr">
        <is>
          <t>contraste regional (R6); no vota</t>
        </is>
      </c>
      <c r="T1016" s="3" t="inlineStr">
        <is>
          <t>output/v8/F5/atribucion_combinada.csv</t>
        </is>
      </c>
      <c r="U1016" s="2">
        <f>IF(R1016=0,"",F1016/R1016)</f>
        <v/>
      </c>
      <c r="V1016" s="2">
        <f>SUMIFS(F$2:F$1589,A$2:A$1589,A1016,C$2:C$1589,C1016,E$2:E$1589,E1016,Q$2:Q$1589,Q1016)</f>
        <v/>
      </c>
    </row>
    <row r="1017">
      <c r="A1017" s="3" t="inlineStr">
        <is>
          <t>alquiler</t>
        </is>
      </c>
      <c r="B1017" s="3" t="inlineStr">
        <is>
          <t>ccaa:03</t>
        </is>
      </c>
      <c r="C1017" s="3" t="inlineStr">
        <is>
          <t>P2</t>
        </is>
      </c>
      <c r="D1017" s="3" t="inlineStr">
        <is>
          <t>residuo</t>
        </is>
      </c>
      <c r="E1017" s="3" t="inlineStr">
        <is>
          <t>regional_panel</t>
        </is>
      </c>
      <c r="F1017" s="3" t="n">
        <v>2.50337</v>
      </c>
      <c r="G1017" s="3" t="n"/>
      <c r="H1017" s="3" t="n"/>
      <c r="I1017" s="3" t="n">
        <v>-1.76833</v>
      </c>
      <c r="J1017" s="3" t="n">
        <v>1.59901</v>
      </c>
      <c r="K1017" s="3" t="n">
        <v>3.22968</v>
      </c>
      <c r="L1017" s="3" t="n">
        <v>0.523653</v>
      </c>
      <c r="M1017" s="3" t="n">
        <v>3.67196</v>
      </c>
      <c r="N1017" s="3" t="inlineStr">
        <is>
          <t>C4</t>
        </is>
      </c>
      <c r="O1017" s="3" t="inlineStr">
        <is>
          <t>no</t>
        </is>
      </c>
      <c r="P1017" s="3" t="inlineStr">
        <is>
          <t>no_compite</t>
        </is>
      </c>
      <c r="Q1017" s="3" t="inlineStr">
        <is>
          <t>panel_covariables</t>
        </is>
      </c>
      <c r="R1017" s="3" t="n"/>
      <c r="S1017" s="3" t="inlineStr">
        <is>
          <t>contraste regional (R6); no vota</t>
        </is>
      </c>
      <c r="T1017" s="3" t="inlineStr">
        <is>
          <t>output/v8/F5/atribucion_combinada.csv</t>
        </is>
      </c>
      <c r="U1017" s="2">
        <f>IF(R1017=0,"",F1017/R1017)</f>
        <v/>
      </c>
      <c r="V1017" s="2">
        <f>SUMIFS(F$2:F$1589,A$2:A$1589,A1017,C$2:C$1589,C1017,E$2:E$1589,E1017,Q$2:Q$1589,Q1017)</f>
        <v/>
      </c>
    </row>
    <row r="1018">
      <c r="A1018" s="3" t="inlineStr">
        <is>
          <t>alquiler</t>
        </is>
      </c>
      <c r="B1018" s="3" t="inlineStr">
        <is>
          <t>ccaa:04</t>
        </is>
      </c>
      <c r="C1018" s="3" t="inlineStr">
        <is>
          <t>P2</t>
        </is>
      </c>
      <c r="D1018" s="3" t="inlineStr">
        <is>
          <t>factor_comun</t>
        </is>
      </c>
      <c r="E1018" s="3" t="inlineStr">
        <is>
          <t>regional_panel</t>
        </is>
      </c>
      <c r="F1018" s="3" t="n">
        <v>-3.50963</v>
      </c>
      <c r="G1018" s="3" t="n"/>
      <c r="H1018" s="3" t="n"/>
      <c r="I1018" s="3" t="n">
        <v>1.39207</v>
      </c>
      <c r="J1018" s="3" t="n">
        <v>-7.73728</v>
      </c>
      <c r="K1018" s="3" t="n">
        <v>0.660335</v>
      </c>
      <c r="L1018" s="3" t="n">
        <v>-9.80547</v>
      </c>
      <c r="M1018" s="3" t="n">
        <v>3.299</v>
      </c>
      <c r="N1018" s="3" t="inlineStr">
        <is>
          <t>C4</t>
        </is>
      </c>
      <c r="O1018" s="3" t="inlineStr">
        <is>
          <t>no</t>
        </is>
      </c>
      <c r="P1018" s="3" t="inlineStr">
        <is>
          <t>no_compite</t>
        </is>
      </c>
      <c r="Q1018" s="3" t="inlineStr">
        <is>
          <t>panel_covariables</t>
        </is>
      </c>
      <c r="R1018" s="3" t="n"/>
      <c r="S1018" s="3" t="inlineStr">
        <is>
          <t>contraste regional (R6); no vota</t>
        </is>
      </c>
      <c r="T1018" s="3" t="inlineStr">
        <is>
          <t>output/v8/F5/atribucion_combinada.csv</t>
        </is>
      </c>
      <c r="U1018" s="2">
        <f>IF(R1018=0,"",F1018/R1018)</f>
        <v/>
      </c>
      <c r="V1018" s="2">
        <f>SUMIFS(F$2:F$1589,A$2:A$1589,A1018,C$2:C$1589,C1018,E$2:E$1589,E1018,Q$2:Q$1589,Q1018)</f>
        <v/>
      </c>
    </row>
    <row r="1019">
      <c r="A1019" s="3" t="inlineStr">
        <is>
          <t>alquiler</t>
        </is>
      </c>
      <c r="B1019" s="3" t="inlineStr">
        <is>
          <t>ccaa:04</t>
        </is>
      </c>
      <c r="C1019" s="3" t="inlineStr">
        <is>
          <t>P2</t>
        </is>
      </c>
      <c r="D1019" s="3" t="inlineStr">
        <is>
          <t>empleo_renta</t>
        </is>
      </c>
      <c r="E1019" s="3" t="inlineStr">
        <is>
          <t>regional_panel</t>
        </is>
      </c>
      <c r="F1019" s="3" t="n">
        <v>-0.06633650000000001</v>
      </c>
      <c r="G1019" s="3" t="n"/>
      <c r="H1019" s="3" t="n"/>
      <c r="I1019" s="3" t="n">
        <v>0.026312</v>
      </c>
      <c r="J1019" s="3" t="n">
        <v>-0.311861</v>
      </c>
      <c r="K1019" s="3" t="n">
        <v>0.271629</v>
      </c>
      <c r="L1019" s="3" t="n">
        <v>-0.570035</v>
      </c>
      <c r="M1019" s="3" t="n">
        <v>0.383831</v>
      </c>
      <c r="N1019" s="3" t="inlineStr">
        <is>
          <t>C4</t>
        </is>
      </c>
      <c r="O1019" s="3" t="inlineStr">
        <is>
          <t>si</t>
        </is>
      </c>
      <c r="P1019" s="3" t="inlineStr">
        <is>
          <t>no_vota</t>
        </is>
      </c>
      <c r="Q1019" s="3" t="inlineStr">
        <is>
          <t>panel_covariables</t>
        </is>
      </c>
      <c r="R1019" s="3" t="n"/>
      <c r="S1019" s="3" t="inlineStr">
        <is>
          <t>contraste regional (R6); no vota</t>
        </is>
      </c>
      <c r="T1019" s="3" t="inlineStr">
        <is>
          <t>output/v8/F5/atribucion_combinada.csv</t>
        </is>
      </c>
      <c r="U1019" s="2">
        <f>IF(R1019=0,"",F1019/R1019)</f>
        <v/>
      </c>
      <c r="V1019" s="2">
        <f>SUMIFS(F$2:F$1589,A$2:A$1589,A1019,C$2:C$1589,C1019,E$2:E$1589,E1019,Q$2:Q$1589,Q1019)</f>
        <v/>
      </c>
    </row>
    <row r="1020">
      <c r="A1020" s="3" t="inlineStr">
        <is>
          <t>alquiler</t>
        </is>
      </c>
      <c r="B1020" s="3" t="inlineStr">
        <is>
          <t>ccaa:04</t>
        </is>
      </c>
      <c r="C1020" s="3" t="inlineStr">
        <is>
          <t>P2</t>
        </is>
      </c>
      <c r="D1020" s="3" t="inlineStr">
        <is>
          <t>demografia</t>
        </is>
      </c>
      <c r="E1020" s="3" t="inlineStr">
        <is>
          <t>regional_panel</t>
        </is>
      </c>
      <c r="F1020" s="3" t="n">
        <v>2.18669</v>
      </c>
      <c r="G1020" s="3" t="n"/>
      <c r="H1020" s="3" t="n"/>
      <c r="I1020" s="3" t="n">
        <v>-0.867339</v>
      </c>
      <c r="J1020" s="3" t="n">
        <v>1.77863</v>
      </c>
      <c r="K1020" s="3" t="n">
        <v>3.07497</v>
      </c>
      <c r="L1020" s="3" t="n">
        <v>1.11908</v>
      </c>
      <c r="M1020" s="3" t="n">
        <v>3.59694</v>
      </c>
      <c r="N1020" s="3" t="inlineStr">
        <is>
          <t>C4</t>
        </is>
      </c>
      <c r="O1020" s="3" t="inlineStr">
        <is>
          <t>si</t>
        </is>
      </c>
      <c r="P1020" s="3" t="inlineStr">
        <is>
          <t>no_vota</t>
        </is>
      </c>
      <c r="Q1020" s="3" t="inlineStr">
        <is>
          <t>panel_covariables</t>
        </is>
      </c>
      <c r="R1020" s="3" t="n"/>
      <c r="S1020" s="3" t="inlineStr">
        <is>
          <t>contraste regional (R6); no vota</t>
        </is>
      </c>
      <c r="T1020" s="3" t="inlineStr">
        <is>
          <t>output/v8/F5/atribucion_combinada.csv</t>
        </is>
      </c>
      <c r="U1020" s="2">
        <f>IF(R1020=0,"",F1020/R1020)</f>
        <v/>
      </c>
      <c r="V1020" s="2">
        <f>SUMIFS(F$2:F$1589,A$2:A$1589,A1020,C$2:C$1589,C1020,E$2:E$1589,E1020,Q$2:Q$1589,Q1020)</f>
        <v/>
      </c>
    </row>
    <row r="1021">
      <c r="A1021" s="3" t="inlineStr">
        <is>
          <t>alquiler</t>
        </is>
      </c>
      <c r="B1021" s="3" t="inlineStr">
        <is>
          <t>ccaa:04</t>
        </is>
      </c>
      <c r="C1021" s="3" t="inlineStr">
        <is>
          <t>P2</t>
        </is>
      </c>
      <c r="D1021" s="3" t="inlineStr">
        <is>
          <t>oferta</t>
        </is>
      </c>
      <c r="E1021" s="3" t="inlineStr">
        <is>
          <t>regional_panel</t>
        </is>
      </c>
      <c r="F1021" s="3" t="n">
        <v>0.231747</v>
      </c>
      <c r="G1021" s="3" t="n"/>
      <c r="H1021" s="3" t="n"/>
      <c r="I1021" s="3" t="n">
        <v>-0.0919213</v>
      </c>
      <c r="J1021" s="3" t="n">
        <v>0.0267406</v>
      </c>
      <c r="K1021" s="3" t="n">
        <v>0.460219</v>
      </c>
      <c r="L1021" s="3" t="n">
        <v>0.00364616</v>
      </c>
      <c r="M1021" s="3" t="n">
        <v>0.65399</v>
      </c>
      <c r="N1021" s="3" t="inlineStr">
        <is>
          <t>C4</t>
        </is>
      </c>
      <c r="O1021" s="3" t="inlineStr">
        <is>
          <t>si</t>
        </is>
      </c>
      <c r="P1021" s="3" t="inlineStr">
        <is>
          <t>no_vota</t>
        </is>
      </c>
      <c r="Q1021" s="3" t="inlineStr">
        <is>
          <t>panel_covariables</t>
        </is>
      </c>
      <c r="R1021" s="3" t="n"/>
      <c r="S1021" s="3" t="inlineStr">
        <is>
          <t>contraste regional (R6); no vota</t>
        </is>
      </c>
      <c r="T1021" s="3" t="inlineStr">
        <is>
          <t>output/v8/F5/atribucion_combinada.csv</t>
        </is>
      </c>
      <c r="U1021" s="2">
        <f>IF(R1021=0,"",F1021/R1021)</f>
        <v/>
      </c>
      <c r="V1021" s="2">
        <f>SUMIFS(F$2:F$1589,A$2:A$1589,A1021,C$2:C$1589,C1021,E$2:E$1589,E1021,Q$2:Q$1589,Q1021)</f>
        <v/>
      </c>
    </row>
    <row r="1022">
      <c r="A1022" s="3" t="inlineStr">
        <is>
          <t>alquiler</t>
        </is>
      </c>
      <c r="B1022" s="3" t="inlineStr">
        <is>
          <t>ccaa:04</t>
        </is>
      </c>
      <c r="C1022" s="3" t="inlineStr">
        <is>
          <t>P2</t>
        </is>
      </c>
      <c r="D1022" s="3" t="inlineStr">
        <is>
          <t>demanda_externa</t>
        </is>
      </c>
      <c r="E1022" s="3" t="inlineStr">
        <is>
          <t>regional_panel</t>
        </is>
      </c>
      <c r="F1022" s="3" t="n">
        <v>0.0801158</v>
      </c>
      <c r="G1022" s="3" t="n"/>
      <c r="H1022" s="3" t="n"/>
      <c r="I1022" s="3" t="n">
        <v>-0.0317775</v>
      </c>
      <c r="J1022" s="3" t="n">
        <v>0.000259206</v>
      </c>
      <c r="K1022" s="3" t="n">
        <v>0.143093</v>
      </c>
      <c r="L1022" s="3" t="n">
        <v>-0.0145429</v>
      </c>
      <c r="M1022" s="3" t="n">
        <v>0.216154</v>
      </c>
      <c r="N1022" s="3" t="inlineStr">
        <is>
          <t>C4</t>
        </is>
      </c>
      <c r="O1022" s="3" t="inlineStr">
        <is>
          <t>si</t>
        </is>
      </c>
      <c r="P1022" s="3" t="inlineStr">
        <is>
          <t>no_vota</t>
        </is>
      </c>
      <c r="Q1022" s="3" t="inlineStr">
        <is>
          <t>panel_covariables</t>
        </is>
      </c>
      <c r="R1022" s="3" t="n"/>
      <c r="S1022" s="3" t="inlineStr">
        <is>
          <t>contraste regional (R6); no vota</t>
        </is>
      </c>
      <c r="T1022" s="3" t="inlineStr">
        <is>
          <t>output/v8/F5/atribucion_combinada.csv</t>
        </is>
      </c>
      <c r="U1022" s="2">
        <f>IF(R1022=0,"",F1022/R1022)</f>
        <v/>
      </c>
      <c r="V1022" s="2">
        <f>SUMIFS(F$2:F$1589,A$2:A$1589,A1022,C$2:C$1589,C1022,E$2:E$1589,E1022,Q$2:Q$1589,Q1022)</f>
        <v/>
      </c>
    </row>
    <row r="1023">
      <c r="A1023" s="3" t="inlineStr">
        <is>
          <t>alquiler</t>
        </is>
      </c>
      <c r="B1023" s="3" t="inlineStr">
        <is>
          <t>ccaa:04</t>
        </is>
      </c>
      <c r="C1023" s="3" t="inlineStr">
        <is>
          <t>P2</t>
        </is>
      </c>
      <c r="D1023" s="3" t="inlineStr">
        <is>
          <t>residuo</t>
        </is>
      </c>
      <c r="E1023" s="3" t="inlineStr">
        <is>
          <t>regional_panel</t>
        </is>
      </c>
      <c r="F1023" s="3" t="n">
        <v>-1.44374</v>
      </c>
      <c r="G1023" s="3" t="n"/>
      <c r="H1023" s="3" t="n"/>
      <c r="I1023" s="3" t="n">
        <v>0.572651</v>
      </c>
      <c r="J1023" s="3" t="n">
        <v>-2.38658</v>
      </c>
      <c r="K1023" s="3" t="n">
        <v>-0.898242</v>
      </c>
      <c r="L1023" s="3" t="n">
        <v>-2.94787</v>
      </c>
      <c r="M1023" s="3" t="n">
        <v>-0.141453</v>
      </c>
      <c r="N1023" s="3" t="inlineStr">
        <is>
          <t>C4</t>
        </is>
      </c>
      <c r="O1023" s="3" t="inlineStr">
        <is>
          <t>no</t>
        </is>
      </c>
      <c r="P1023" s="3" t="inlineStr">
        <is>
          <t>no_compite</t>
        </is>
      </c>
      <c r="Q1023" s="3" t="inlineStr">
        <is>
          <t>panel_covariables</t>
        </is>
      </c>
      <c r="R1023" s="3" t="n"/>
      <c r="S1023" s="3" t="inlineStr">
        <is>
          <t>contraste regional (R6); no vota</t>
        </is>
      </c>
      <c r="T1023" s="3" t="inlineStr">
        <is>
          <t>output/v8/F5/atribucion_combinada.csv</t>
        </is>
      </c>
      <c r="U1023" s="2">
        <f>IF(R1023=0,"",F1023/R1023)</f>
        <v/>
      </c>
      <c r="V1023" s="2">
        <f>SUMIFS(F$2:F$1589,A$2:A$1589,A1023,C$2:C$1589,C1023,E$2:E$1589,E1023,Q$2:Q$1589,Q1023)</f>
        <v/>
      </c>
    </row>
    <row r="1024">
      <c r="A1024" s="3" t="inlineStr">
        <is>
          <t>alquiler</t>
        </is>
      </c>
      <c r="B1024" s="3" t="inlineStr">
        <is>
          <t>ccaa:05</t>
        </is>
      </c>
      <c r="C1024" s="3" t="inlineStr">
        <is>
          <t>P2</t>
        </is>
      </c>
      <c r="D1024" s="3" t="inlineStr">
        <is>
          <t>factor_comun</t>
        </is>
      </c>
      <c r="E1024" s="3" t="inlineStr">
        <is>
          <t>regional_panel</t>
        </is>
      </c>
      <c r="F1024" s="3" t="n">
        <v>-3.50963</v>
      </c>
      <c r="G1024" s="3" t="n"/>
      <c r="H1024" s="3" t="n"/>
      <c r="I1024" s="3" t="n">
        <v>0.784779</v>
      </c>
      <c r="J1024" s="3" t="n">
        <v>-7.73728</v>
      </c>
      <c r="K1024" s="3" t="n">
        <v>0.660335</v>
      </c>
      <c r="L1024" s="3" t="n">
        <v>-9.80547</v>
      </c>
      <c r="M1024" s="3" t="n">
        <v>3.299</v>
      </c>
      <c r="N1024" s="3" t="inlineStr">
        <is>
          <t>C4</t>
        </is>
      </c>
      <c r="O1024" s="3" t="inlineStr">
        <is>
          <t>no</t>
        </is>
      </c>
      <c r="P1024" s="3" t="inlineStr">
        <is>
          <t>no_compite</t>
        </is>
      </c>
      <c r="Q1024" s="3" t="inlineStr">
        <is>
          <t>panel_covariables</t>
        </is>
      </c>
      <c r="R1024" s="3" t="n"/>
      <c r="S1024" s="3" t="inlineStr">
        <is>
          <t>contraste regional (R6); no vota</t>
        </is>
      </c>
      <c r="T1024" s="3" t="inlineStr">
        <is>
          <t>output/v8/F5/atribucion_combinada.csv</t>
        </is>
      </c>
      <c r="U1024" s="2">
        <f>IF(R1024=0,"",F1024/R1024)</f>
        <v/>
      </c>
      <c r="V1024" s="2">
        <f>SUMIFS(F$2:F$1589,A$2:A$1589,A1024,C$2:C$1589,C1024,E$2:E$1589,E1024,Q$2:Q$1589,Q1024)</f>
        <v/>
      </c>
    </row>
    <row r="1025">
      <c r="A1025" s="3" t="inlineStr">
        <is>
          <t>alquiler</t>
        </is>
      </c>
      <c r="B1025" s="3" t="inlineStr">
        <is>
          <t>ccaa:05</t>
        </is>
      </c>
      <c r="C1025" s="3" t="inlineStr">
        <is>
          <t>P2</t>
        </is>
      </c>
      <c r="D1025" s="3" t="inlineStr">
        <is>
          <t>empleo_renta</t>
        </is>
      </c>
      <c r="E1025" s="3" t="inlineStr">
        <is>
          <t>regional_panel</t>
        </is>
      </c>
      <c r="F1025" s="3" t="n">
        <v>-0.0322983</v>
      </c>
      <c r="G1025" s="3" t="n"/>
      <c r="H1025" s="3" t="n"/>
      <c r="I1025" s="3" t="n">
        <v>0.00722215</v>
      </c>
      <c r="J1025" s="3" t="n">
        <v>-0.380607</v>
      </c>
      <c r="K1025" s="3" t="n">
        <v>0.406369</v>
      </c>
      <c r="L1025" s="3" t="n">
        <v>-0.740069</v>
      </c>
      <c r="M1025" s="3" t="n">
        <v>0.527016</v>
      </c>
      <c r="N1025" s="3" t="inlineStr">
        <is>
          <t>C4</t>
        </is>
      </c>
      <c r="O1025" s="3" t="inlineStr">
        <is>
          <t>si</t>
        </is>
      </c>
      <c r="P1025" s="3" t="inlineStr">
        <is>
          <t>no_vota</t>
        </is>
      </c>
      <c r="Q1025" s="3" t="inlineStr">
        <is>
          <t>panel_covariables</t>
        </is>
      </c>
      <c r="R1025" s="3" t="n"/>
      <c r="S1025" s="3" t="inlineStr">
        <is>
          <t>contraste regional (R6); no vota</t>
        </is>
      </c>
      <c r="T1025" s="3" t="inlineStr">
        <is>
          <t>output/v8/F5/atribucion_combinada.csv</t>
        </is>
      </c>
      <c r="U1025" s="2">
        <f>IF(R1025=0,"",F1025/R1025)</f>
        <v/>
      </c>
      <c r="V1025" s="2">
        <f>SUMIFS(F$2:F$1589,A$2:A$1589,A1025,C$2:C$1589,C1025,E$2:E$1589,E1025,Q$2:Q$1589,Q1025)</f>
        <v/>
      </c>
    </row>
    <row r="1026">
      <c r="A1026" s="3" t="inlineStr">
        <is>
          <t>alquiler</t>
        </is>
      </c>
      <c r="B1026" s="3" t="inlineStr">
        <is>
          <t>ccaa:05</t>
        </is>
      </c>
      <c r="C1026" s="3" t="inlineStr">
        <is>
          <t>P2</t>
        </is>
      </c>
      <c r="D1026" s="3" t="inlineStr">
        <is>
          <t>demografia</t>
        </is>
      </c>
      <c r="E1026" s="3" t="inlineStr">
        <is>
          <t>regional_panel</t>
        </is>
      </c>
      <c r="F1026" s="3" t="n">
        <v>1.86324</v>
      </c>
      <c r="G1026" s="3" t="n"/>
      <c r="H1026" s="3" t="n"/>
      <c r="I1026" s="3" t="n">
        <v>-0.416634</v>
      </c>
      <c r="J1026" s="3" t="n">
        <v>1.47246</v>
      </c>
      <c r="K1026" s="3" t="n">
        <v>2.71836</v>
      </c>
      <c r="L1026" s="3" t="n">
        <v>1.00833</v>
      </c>
      <c r="M1026" s="3" t="n">
        <v>3.23086</v>
      </c>
      <c r="N1026" s="3" t="inlineStr">
        <is>
          <t>C4</t>
        </is>
      </c>
      <c r="O1026" s="3" t="inlineStr">
        <is>
          <t>si</t>
        </is>
      </c>
      <c r="P1026" s="3" t="inlineStr">
        <is>
          <t>no_vota</t>
        </is>
      </c>
      <c r="Q1026" s="3" t="inlineStr">
        <is>
          <t>panel_covariables</t>
        </is>
      </c>
      <c r="R1026" s="3" t="n"/>
      <c r="S1026" s="3" t="inlineStr">
        <is>
          <t>contraste regional (R6); no vota</t>
        </is>
      </c>
      <c r="T1026" s="3" t="inlineStr">
        <is>
          <t>output/v8/F5/atribucion_combinada.csv</t>
        </is>
      </c>
      <c r="U1026" s="2">
        <f>IF(R1026=0,"",F1026/R1026)</f>
        <v/>
      </c>
      <c r="V1026" s="2">
        <f>SUMIFS(F$2:F$1589,A$2:A$1589,A1026,C$2:C$1589,C1026,E$2:E$1589,E1026,Q$2:Q$1589,Q1026)</f>
        <v/>
      </c>
    </row>
    <row r="1027">
      <c r="A1027" s="3" t="inlineStr">
        <is>
          <t>alquiler</t>
        </is>
      </c>
      <c r="B1027" s="3" t="inlineStr">
        <is>
          <t>ccaa:05</t>
        </is>
      </c>
      <c r="C1027" s="3" t="inlineStr">
        <is>
          <t>P2</t>
        </is>
      </c>
      <c r="D1027" s="3" t="inlineStr">
        <is>
          <t>oferta</t>
        </is>
      </c>
      <c r="E1027" s="3" t="inlineStr">
        <is>
          <t>regional_panel</t>
        </is>
      </c>
      <c r="F1027" s="3" t="n">
        <v>0.39051</v>
      </c>
      <c r="G1027" s="3" t="n"/>
      <c r="H1027" s="3" t="n"/>
      <c r="I1027" s="3" t="n">
        <v>-0.087321</v>
      </c>
      <c r="J1027" s="3" t="n">
        <v>0.0558492</v>
      </c>
      <c r="K1027" s="3" t="n">
        <v>0.61475</v>
      </c>
      <c r="L1027" s="3" t="n">
        <v>-0.000841831</v>
      </c>
      <c r="M1027" s="3" t="n">
        <v>0.882207</v>
      </c>
      <c r="N1027" s="3" t="inlineStr">
        <is>
          <t>C4</t>
        </is>
      </c>
      <c r="O1027" s="3" t="inlineStr">
        <is>
          <t>si</t>
        </is>
      </c>
      <c r="P1027" s="3" t="inlineStr">
        <is>
          <t>no_vota</t>
        </is>
      </c>
      <c r="Q1027" s="3" t="inlineStr">
        <is>
          <t>panel_covariables</t>
        </is>
      </c>
      <c r="R1027" s="3" t="n"/>
      <c r="S1027" s="3" t="inlineStr">
        <is>
          <t>contraste regional (R6); no vota</t>
        </is>
      </c>
      <c r="T1027" s="3" t="inlineStr">
        <is>
          <t>output/v8/F5/atribucion_combinada.csv</t>
        </is>
      </c>
      <c r="U1027" s="2">
        <f>IF(R1027=0,"",F1027/R1027)</f>
        <v/>
      </c>
      <c r="V1027" s="2">
        <f>SUMIFS(F$2:F$1589,A$2:A$1589,A1027,C$2:C$1589,C1027,E$2:E$1589,E1027,Q$2:Q$1589,Q1027)</f>
        <v/>
      </c>
    </row>
    <row r="1028">
      <c r="A1028" s="3" t="inlineStr">
        <is>
          <t>alquiler</t>
        </is>
      </c>
      <c r="B1028" s="3" t="inlineStr">
        <is>
          <t>ccaa:05</t>
        </is>
      </c>
      <c r="C1028" s="3" t="inlineStr">
        <is>
          <t>P2</t>
        </is>
      </c>
      <c r="D1028" s="3" t="inlineStr">
        <is>
          <t>demanda_externa</t>
        </is>
      </c>
      <c r="E1028" s="3" t="inlineStr">
        <is>
          <t>regional_panel</t>
        </is>
      </c>
      <c r="F1028" s="3" t="n">
        <v>0.0372937</v>
      </c>
      <c r="G1028" s="3" t="n"/>
      <c r="H1028" s="3" t="n"/>
      <c r="I1028" s="3" t="n">
        <v>-0.00833914</v>
      </c>
      <c r="J1028" s="3" t="n">
        <v>-0.014176</v>
      </c>
      <c r="K1028" s="3" t="n">
        <v>0.0558412</v>
      </c>
      <c r="L1028" s="3" t="n">
        <v>-0.0364775</v>
      </c>
      <c r="M1028" s="3" t="n">
        <v>0.0955849</v>
      </c>
      <c r="N1028" s="3" t="inlineStr">
        <is>
          <t>C4</t>
        </is>
      </c>
      <c r="O1028" s="3" t="inlineStr">
        <is>
          <t>si</t>
        </is>
      </c>
      <c r="P1028" s="3" t="inlineStr">
        <is>
          <t>no_vota</t>
        </is>
      </c>
      <c r="Q1028" s="3" t="inlineStr">
        <is>
          <t>panel_covariables</t>
        </is>
      </c>
      <c r="R1028" s="3" t="n"/>
      <c r="S1028" s="3" t="inlineStr">
        <is>
          <t>contraste regional (R6); no vota</t>
        </is>
      </c>
      <c r="T1028" s="3" t="inlineStr">
        <is>
          <t>output/v8/F5/atribucion_combinada.csv</t>
        </is>
      </c>
      <c r="U1028" s="2">
        <f>IF(R1028=0,"",F1028/R1028)</f>
        <v/>
      </c>
      <c r="V1028" s="2">
        <f>SUMIFS(F$2:F$1589,A$2:A$1589,A1028,C$2:C$1589,C1028,E$2:E$1589,E1028,Q$2:Q$1589,Q1028)</f>
        <v/>
      </c>
    </row>
    <row r="1029">
      <c r="A1029" s="3" t="inlineStr">
        <is>
          <t>alquiler</t>
        </is>
      </c>
      <c r="B1029" s="3" t="inlineStr">
        <is>
          <t>ccaa:05</t>
        </is>
      </c>
      <c r="C1029" s="3" t="inlineStr">
        <is>
          <t>P2</t>
        </is>
      </c>
      <c r="D1029" s="3" t="inlineStr">
        <is>
          <t>residuo</t>
        </is>
      </c>
      <c r="E1029" s="3" t="inlineStr">
        <is>
          <t>regional_panel</t>
        </is>
      </c>
      <c r="F1029" s="3" t="n">
        <v>-3.22124</v>
      </c>
      <c r="G1029" s="3" t="n"/>
      <c r="H1029" s="3" t="n"/>
      <c r="I1029" s="3" t="n">
        <v>0.720293</v>
      </c>
      <c r="J1029" s="3" t="n">
        <v>-4.00422</v>
      </c>
      <c r="K1029" s="3" t="n">
        <v>-2.57562</v>
      </c>
      <c r="L1029" s="3" t="n">
        <v>-4.65225</v>
      </c>
      <c r="M1029" s="3" t="n">
        <v>-2.0872</v>
      </c>
      <c r="N1029" s="3" t="inlineStr">
        <is>
          <t>C4</t>
        </is>
      </c>
      <c r="O1029" s="3" t="inlineStr">
        <is>
          <t>no</t>
        </is>
      </c>
      <c r="P1029" s="3" t="inlineStr">
        <is>
          <t>no_compite</t>
        </is>
      </c>
      <c r="Q1029" s="3" t="inlineStr">
        <is>
          <t>panel_covariables</t>
        </is>
      </c>
      <c r="R1029" s="3" t="n"/>
      <c r="S1029" s="3" t="inlineStr">
        <is>
          <t>contraste regional (R6); no vota</t>
        </is>
      </c>
      <c r="T1029" s="3" t="inlineStr">
        <is>
          <t>output/v8/F5/atribucion_combinada.csv</t>
        </is>
      </c>
      <c r="U1029" s="2">
        <f>IF(R1029=0,"",F1029/R1029)</f>
        <v/>
      </c>
      <c r="V1029" s="2">
        <f>SUMIFS(F$2:F$1589,A$2:A$1589,A1029,C$2:C$1589,C1029,E$2:E$1589,E1029,Q$2:Q$1589,Q1029)</f>
        <v/>
      </c>
    </row>
    <row r="1030">
      <c r="A1030" s="3" t="inlineStr">
        <is>
          <t>alquiler</t>
        </is>
      </c>
      <c r="B1030" s="3" t="inlineStr">
        <is>
          <t>ccaa:06</t>
        </is>
      </c>
      <c r="C1030" s="3" t="inlineStr">
        <is>
          <t>P2</t>
        </is>
      </c>
      <c r="D1030" s="3" t="inlineStr">
        <is>
          <t>factor_comun</t>
        </is>
      </c>
      <c r="E1030" s="3" t="inlineStr">
        <is>
          <t>regional_panel</t>
        </is>
      </c>
      <c r="F1030" s="3" t="n">
        <v>-3.50963</v>
      </c>
      <c r="G1030" s="3" t="n"/>
      <c r="H1030" s="3" t="n"/>
      <c r="I1030" s="3" t="n">
        <v>32.0273</v>
      </c>
      <c r="J1030" s="3" t="n">
        <v>-7.73728</v>
      </c>
      <c r="K1030" s="3" t="n">
        <v>0.660335</v>
      </c>
      <c r="L1030" s="3" t="n">
        <v>-9.80547</v>
      </c>
      <c r="M1030" s="3" t="n">
        <v>3.299</v>
      </c>
      <c r="N1030" s="3" t="inlineStr">
        <is>
          <t>C4</t>
        </is>
      </c>
      <c r="O1030" s="3" t="inlineStr">
        <is>
          <t>no</t>
        </is>
      </c>
      <c r="P1030" s="3" t="inlineStr">
        <is>
          <t>no_compite</t>
        </is>
      </c>
      <c r="Q1030" s="3" t="inlineStr">
        <is>
          <t>panel_covariables</t>
        </is>
      </c>
      <c r="R1030" s="3" t="n"/>
      <c r="S1030" s="3" t="inlineStr">
        <is>
          <t>contraste regional (R6); no vota</t>
        </is>
      </c>
      <c r="T1030" s="3" t="inlineStr">
        <is>
          <t>output/v8/F5/atribucion_combinada.csv</t>
        </is>
      </c>
      <c r="U1030" s="2">
        <f>IF(R1030=0,"",F1030/R1030)</f>
        <v/>
      </c>
      <c r="V1030" s="2">
        <f>SUMIFS(F$2:F$1589,A$2:A$1589,A1030,C$2:C$1589,C1030,E$2:E$1589,E1030,Q$2:Q$1589,Q1030)</f>
        <v/>
      </c>
    </row>
    <row r="1031">
      <c r="A1031" s="3" t="inlineStr">
        <is>
          <t>alquiler</t>
        </is>
      </c>
      <c r="B1031" s="3" t="inlineStr">
        <is>
          <t>ccaa:06</t>
        </is>
      </c>
      <c r="C1031" s="3" t="inlineStr">
        <is>
          <t>P2</t>
        </is>
      </c>
      <c r="D1031" s="3" t="inlineStr">
        <is>
          <t>empleo_renta</t>
        </is>
      </c>
      <c r="E1031" s="3" t="inlineStr">
        <is>
          <t>regional_panel</t>
        </is>
      </c>
      <c r="F1031" s="3" t="n">
        <v>0.0739267</v>
      </c>
      <c r="G1031" s="3" t="n"/>
      <c r="H1031" s="3" t="n"/>
      <c r="I1031" s="3" t="n">
        <v>-0.674623</v>
      </c>
      <c r="J1031" s="3" t="n">
        <v>-0.283849</v>
      </c>
      <c r="K1031" s="3" t="n">
        <v>0.479358</v>
      </c>
      <c r="L1031" s="3" t="n">
        <v>-0.60871</v>
      </c>
      <c r="M1031" s="3" t="n">
        <v>0.600731</v>
      </c>
      <c r="N1031" s="3" t="inlineStr">
        <is>
          <t>C4</t>
        </is>
      </c>
      <c r="O1031" s="3" t="inlineStr">
        <is>
          <t>si</t>
        </is>
      </c>
      <c r="P1031" s="3" t="inlineStr">
        <is>
          <t>no_vota</t>
        </is>
      </c>
      <c r="Q1031" s="3" t="inlineStr">
        <is>
          <t>panel_covariables</t>
        </is>
      </c>
      <c r="R1031" s="3" t="n"/>
      <c r="S1031" s="3" t="inlineStr">
        <is>
          <t>contraste regional (R6); no vota</t>
        </is>
      </c>
      <c r="T1031" s="3" t="inlineStr">
        <is>
          <t>output/v8/F5/atribucion_combinada.csv</t>
        </is>
      </c>
      <c r="U1031" s="2">
        <f>IF(R1031=0,"",F1031/R1031)</f>
        <v/>
      </c>
      <c r="V1031" s="2">
        <f>SUMIFS(F$2:F$1589,A$2:A$1589,A1031,C$2:C$1589,C1031,E$2:E$1589,E1031,Q$2:Q$1589,Q1031)</f>
        <v/>
      </c>
    </row>
    <row r="1032">
      <c r="A1032" s="3" t="inlineStr">
        <is>
          <t>alquiler</t>
        </is>
      </c>
      <c r="B1032" s="3" t="inlineStr">
        <is>
          <t>ccaa:06</t>
        </is>
      </c>
      <c r="C1032" s="3" t="inlineStr">
        <is>
          <t>P2</t>
        </is>
      </c>
      <c r="D1032" s="3" t="inlineStr">
        <is>
          <t>demografia</t>
        </is>
      </c>
      <c r="E1032" s="3" t="inlineStr">
        <is>
          <t>regional_panel</t>
        </is>
      </c>
      <c r="F1032" s="3" t="n">
        <v>0.531093</v>
      </c>
      <c r="G1032" s="3" t="n"/>
      <c r="H1032" s="3" t="n"/>
      <c r="I1032" s="3" t="n">
        <v>-4.84652</v>
      </c>
      <c r="J1032" s="3" t="n">
        <v>0.392112</v>
      </c>
      <c r="K1032" s="3" t="n">
        <v>0.997242</v>
      </c>
      <c r="L1032" s="3" t="n">
        <v>0.256117</v>
      </c>
      <c r="M1032" s="3" t="n">
        <v>1.25999</v>
      </c>
      <c r="N1032" s="3" t="inlineStr">
        <is>
          <t>C4</t>
        </is>
      </c>
      <c r="O1032" s="3" t="inlineStr">
        <is>
          <t>si</t>
        </is>
      </c>
      <c r="P1032" s="3" t="inlineStr">
        <is>
          <t>no_vota</t>
        </is>
      </c>
      <c r="Q1032" s="3" t="inlineStr">
        <is>
          <t>panel_covariables</t>
        </is>
      </c>
      <c r="R1032" s="3" t="n"/>
      <c r="S1032" s="3" t="inlineStr">
        <is>
          <t>contraste regional (R6); no vota</t>
        </is>
      </c>
      <c r="T1032" s="3" t="inlineStr">
        <is>
          <t>output/v8/F5/atribucion_combinada.csv</t>
        </is>
      </c>
      <c r="U1032" s="2">
        <f>IF(R1032=0,"",F1032/R1032)</f>
        <v/>
      </c>
      <c r="V1032" s="2">
        <f>SUMIFS(F$2:F$1589,A$2:A$1589,A1032,C$2:C$1589,C1032,E$2:E$1589,E1032,Q$2:Q$1589,Q1032)</f>
        <v/>
      </c>
    </row>
    <row r="1033">
      <c r="A1033" s="3" t="inlineStr">
        <is>
          <t>alquiler</t>
        </is>
      </c>
      <c r="B1033" s="3" t="inlineStr">
        <is>
          <t>ccaa:06</t>
        </is>
      </c>
      <c r="C1033" s="3" t="inlineStr">
        <is>
          <t>P2</t>
        </is>
      </c>
      <c r="D1033" s="3" t="inlineStr">
        <is>
          <t>oferta</t>
        </is>
      </c>
      <c r="E1033" s="3" t="inlineStr">
        <is>
          <t>regional_panel</t>
        </is>
      </c>
      <c r="F1033" s="3" t="n">
        <v>0.295585</v>
      </c>
      <c r="G1033" s="3" t="n"/>
      <c r="H1033" s="3" t="n"/>
      <c r="I1033" s="3" t="n">
        <v>-2.69738</v>
      </c>
      <c r="J1033" s="3" t="n">
        <v>0.0022934</v>
      </c>
      <c r="K1033" s="3" t="n">
        <v>0.899291</v>
      </c>
      <c r="L1033" s="3" t="n">
        <v>-0.0138178</v>
      </c>
      <c r="M1033" s="3" t="n">
        <v>1.4709</v>
      </c>
      <c r="N1033" s="3" t="inlineStr">
        <is>
          <t>C4</t>
        </is>
      </c>
      <c r="O1033" s="3" t="inlineStr">
        <is>
          <t>si</t>
        </is>
      </c>
      <c r="P1033" s="3" t="inlineStr">
        <is>
          <t>no_vota</t>
        </is>
      </c>
      <c r="Q1033" s="3" t="inlineStr">
        <is>
          <t>panel_covariables</t>
        </is>
      </c>
      <c r="R1033" s="3" t="n"/>
      <c r="S1033" s="3" t="inlineStr">
        <is>
          <t>contraste regional (R6); no vota</t>
        </is>
      </c>
      <c r="T1033" s="3" t="inlineStr">
        <is>
          <t>output/v8/F5/atribucion_combinada.csv</t>
        </is>
      </c>
      <c r="U1033" s="2">
        <f>IF(R1033=0,"",F1033/R1033)</f>
        <v/>
      </c>
      <c r="V1033" s="2">
        <f>SUMIFS(F$2:F$1589,A$2:A$1589,A1033,C$2:C$1589,C1033,E$2:E$1589,E1033,Q$2:Q$1589,Q1033)</f>
        <v/>
      </c>
    </row>
    <row r="1034">
      <c r="A1034" s="3" t="inlineStr">
        <is>
          <t>alquiler</t>
        </is>
      </c>
      <c r="B1034" s="3" t="inlineStr">
        <is>
          <t>ccaa:06</t>
        </is>
      </c>
      <c r="C1034" s="3" t="inlineStr">
        <is>
          <t>P2</t>
        </is>
      </c>
      <c r="D1034" s="3" t="inlineStr">
        <is>
          <t>demanda_externa</t>
        </is>
      </c>
      <c r="E1034" s="3" t="inlineStr">
        <is>
          <t>regional_panel</t>
        </is>
      </c>
      <c r="F1034" s="3" t="n">
        <v>-0.0402204</v>
      </c>
      <c r="G1034" s="3" t="n"/>
      <c r="H1034" s="3" t="n"/>
      <c r="I1034" s="3" t="n">
        <v>0.367034</v>
      </c>
      <c r="J1034" s="3" t="n">
        <v>-0.0773412</v>
      </c>
      <c r="K1034" s="3" t="n">
        <v>0.0601484</v>
      </c>
      <c r="L1034" s="3" t="n">
        <v>-0.139116</v>
      </c>
      <c r="M1034" s="3" t="n">
        <v>0.130389</v>
      </c>
      <c r="N1034" s="3" t="inlineStr">
        <is>
          <t>C4</t>
        </is>
      </c>
      <c r="O1034" s="3" t="inlineStr">
        <is>
          <t>si</t>
        </is>
      </c>
      <c r="P1034" s="3" t="inlineStr">
        <is>
          <t>no_vota</t>
        </is>
      </c>
      <c r="Q1034" s="3" t="inlineStr">
        <is>
          <t>panel_covariables</t>
        </is>
      </c>
      <c r="R1034" s="3" t="n"/>
      <c r="S1034" s="3" t="inlineStr">
        <is>
          <t>contraste regional (R6); no vota</t>
        </is>
      </c>
      <c r="T1034" s="3" t="inlineStr">
        <is>
          <t>output/v8/F5/atribucion_combinada.csv</t>
        </is>
      </c>
      <c r="U1034" s="2">
        <f>IF(R1034=0,"",F1034/R1034)</f>
        <v/>
      </c>
      <c r="V1034" s="2">
        <f>SUMIFS(F$2:F$1589,A$2:A$1589,A1034,C$2:C$1589,C1034,E$2:E$1589,E1034,Q$2:Q$1589,Q1034)</f>
        <v/>
      </c>
    </row>
    <row r="1035">
      <c r="A1035" s="3" t="inlineStr">
        <is>
          <t>alquiler</t>
        </is>
      </c>
      <c r="B1035" s="3" t="inlineStr">
        <is>
          <t>ccaa:06</t>
        </is>
      </c>
      <c r="C1035" s="3" t="inlineStr">
        <is>
          <t>P2</t>
        </is>
      </c>
      <c r="D1035" s="3" t="inlineStr">
        <is>
          <t>residuo</t>
        </is>
      </c>
      <c r="E1035" s="3" t="inlineStr">
        <is>
          <t>regional_panel</t>
        </is>
      </c>
      <c r="F1035" s="3" t="n">
        <v>2.53966</v>
      </c>
      <c r="G1035" s="3" t="n"/>
      <c r="H1035" s="3" t="n"/>
      <c r="I1035" s="3" t="n">
        <v>-23.1758</v>
      </c>
      <c r="J1035" s="3" t="n">
        <v>0.336586</v>
      </c>
      <c r="K1035" s="3" t="n">
        <v>3.91683</v>
      </c>
      <c r="L1035" s="3" t="n">
        <v>-0.491045</v>
      </c>
      <c r="M1035" s="3" t="n">
        <v>4.81247</v>
      </c>
      <c r="N1035" s="3" t="inlineStr">
        <is>
          <t>C4</t>
        </is>
      </c>
      <c r="O1035" s="3" t="inlineStr">
        <is>
          <t>no</t>
        </is>
      </c>
      <c r="P1035" s="3" t="inlineStr">
        <is>
          <t>no_compite</t>
        </is>
      </c>
      <c r="Q1035" s="3" t="inlineStr">
        <is>
          <t>panel_covariables</t>
        </is>
      </c>
      <c r="R1035" s="3" t="n"/>
      <c r="S1035" s="3" t="inlineStr">
        <is>
          <t>contraste regional (R6); no vota</t>
        </is>
      </c>
      <c r="T1035" s="3" t="inlineStr">
        <is>
          <t>output/v8/F5/atribucion_combinada.csv</t>
        </is>
      </c>
      <c r="U1035" s="2">
        <f>IF(R1035=0,"",F1035/R1035)</f>
        <v/>
      </c>
      <c r="V1035" s="2">
        <f>SUMIFS(F$2:F$1589,A$2:A$1589,A1035,C$2:C$1589,C1035,E$2:E$1589,E1035,Q$2:Q$1589,Q1035)</f>
        <v/>
      </c>
    </row>
    <row r="1036">
      <c r="A1036" s="3" t="inlineStr">
        <is>
          <t>alquiler</t>
        </is>
      </c>
      <c r="B1036" s="3" t="inlineStr">
        <is>
          <t>ccaa:07</t>
        </is>
      </c>
      <c r="C1036" s="3" t="inlineStr">
        <is>
          <t>P2</t>
        </is>
      </c>
      <c r="D1036" s="3" t="inlineStr">
        <is>
          <t>factor_comun</t>
        </is>
      </c>
      <c r="E1036" s="3" t="inlineStr">
        <is>
          <t>regional_panel</t>
        </is>
      </c>
      <c r="F1036" s="3" t="n">
        <v>-3.50963</v>
      </c>
      <c r="G1036" s="3" t="n"/>
      <c r="H1036" s="3" t="n"/>
      <c r="I1036" s="3" t="n">
        <v>1.55854</v>
      </c>
      <c r="J1036" s="3" t="n">
        <v>-7.73728</v>
      </c>
      <c r="K1036" s="3" t="n">
        <v>0.660335</v>
      </c>
      <c r="L1036" s="3" t="n">
        <v>-9.80547</v>
      </c>
      <c r="M1036" s="3" t="n">
        <v>3.299</v>
      </c>
      <c r="N1036" s="3" t="inlineStr">
        <is>
          <t>C4</t>
        </is>
      </c>
      <c r="O1036" s="3" t="inlineStr">
        <is>
          <t>no</t>
        </is>
      </c>
      <c r="P1036" s="3" t="inlineStr">
        <is>
          <t>no_compite</t>
        </is>
      </c>
      <c r="Q1036" s="3" t="inlineStr">
        <is>
          <t>panel_covariables</t>
        </is>
      </c>
      <c r="R1036" s="3" t="n"/>
      <c r="S1036" s="3" t="inlineStr">
        <is>
          <t>contraste regional (R6); no vota</t>
        </is>
      </c>
      <c r="T1036" s="3" t="inlineStr">
        <is>
          <t>output/v8/F5/atribucion_combinada.csv</t>
        </is>
      </c>
      <c r="U1036" s="2">
        <f>IF(R1036=0,"",F1036/R1036)</f>
        <v/>
      </c>
      <c r="V1036" s="2">
        <f>SUMIFS(F$2:F$1589,A$2:A$1589,A1036,C$2:C$1589,C1036,E$2:E$1589,E1036,Q$2:Q$1589,Q1036)</f>
        <v/>
      </c>
    </row>
    <row r="1037">
      <c r="A1037" s="3" t="inlineStr">
        <is>
          <t>alquiler</t>
        </is>
      </c>
      <c r="B1037" s="3" t="inlineStr">
        <is>
          <t>ccaa:07</t>
        </is>
      </c>
      <c r="C1037" s="3" t="inlineStr">
        <is>
          <t>P2</t>
        </is>
      </c>
      <c r="D1037" s="3" t="inlineStr">
        <is>
          <t>empleo_renta</t>
        </is>
      </c>
      <c r="E1037" s="3" t="inlineStr">
        <is>
          <t>regional_panel</t>
        </is>
      </c>
      <c r="F1037" s="3" t="n">
        <v>0.07138949999999999</v>
      </c>
      <c r="G1037" s="3" t="n"/>
      <c r="H1037" s="3" t="n"/>
      <c r="I1037" s="3" t="n">
        <v>-0.0317023</v>
      </c>
      <c r="J1037" s="3" t="n">
        <v>-0.246149</v>
      </c>
      <c r="K1037" s="3" t="n">
        <v>0.434405</v>
      </c>
      <c r="L1037" s="3" t="n">
        <v>-0.476592</v>
      </c>
      <c r="M1037" s="3" t="n">
        <v>0.539408</v>
      </c>
      <c r="N1037" s="3" t="inlineStr">
        <is>
          <t>C4</t>
        </is>
      </c>
      <c r="O1037" s="3" t="inlineStr">
        <is>
          <t>si</t>
        </is>
      </c>
      <c r="P1037" s="3" t="inlineStr">
        <is>
          <t>no_vota</t>
        </is>
      </c>
      <c r="Q1037" s="3" t="inlineStr">
        <is>
          <t>panel_covariables</t>
        </is>
      </c>
      <c r="R1037" s="3" t="n"/>
      <c r="S1037" s="3" t="inlineStr">
        <is>
          <t>contraste regional (R6); no vota</t>
        </is>
      </c>
      <c r="T1037" s="3" t="inlineStr">
        <is>
          <t>output/v8/F5/atribucion_combinada.csv</t>
        </is>
      </c>
      <c r="U1037" s="2">
        <f>IF(R1037=0,"",F1037/R1037)</f>
        <v/>
      </c>
      <c r="V1037" s="2">
        <f>SUMIFS(F$2:F$1589,A$2:A$1589,A1037,C$2:C$1589,C1037,E$2:E$1589,E1037,Q$2:Q$1589,Q1037)</f>
        <v/>
      </c>
    </row>
    <row r="1038">
      <c r="A1038" s="3" t="inlineStr">
        <is>
          <t>alquiler</t>
        </is>
      </c>
      <c r="B1038" s="3" t="inlineStr">
        <is>
          <t>ccaa:07</t>
        </is>
      </c>
      <c r="C1038" s="3" t="inlineStr">
        <is>
          <t>P2</t>
        </is>
      </c>
      <c r="D1038" s="3" t="inlineStr">
        <is>
          <t>demografia</t>
        </is>
      </c>
      <c r="E1038" s="3" t="inlineStr">
        <is>
          <t>regional_panel</t>
        </is>
      </c>
      <c r="F1038" s="3" t="n">
        <v>-0.431352</v>
      </c>
      <c r="G1038" s="3" t="n"/>
      <c r="H1038" s="3" t="n"/>
      <c r="I1038" s="3" t="n">
        <v>0.191553</v>
      </c>
      <c r="J1038" s="3" t="n">
        <v>-0.604186</v>
      </c>
      <c r="K1038" s="3" t="n">
        <v>-0.217857</v>
      </c>
      <c r="L1038" s="3" t="n">
        <v>-0.722903</v>
      </c>
      <c r="M1038" s="3" t="n">
        <v>-0.0257325</v>
      </c>
      <c r="N1038" s="3" t="inlineStr">
        <is>
          <t>C4</t>
        </is>
      </c>
      <c r="O1038" s="3" t="inlineStr">
        <is>
          <t>si</t>
        </is>
      </c>
      <c r="P1038" s="3" t="inlineStr">
        <is>
          <t>no_vota</t>
        </is>
      </c>
      <c r="Q1038" s="3" t="inlineStr">
        <is>
          <t>panel_covariables</t>
        </is>
      </c>
      <c r="R1038" s="3" t="n"/>
      <c r="S1038" s="3" t="inlineStr">
        <is>
          <t>contraste regional (R6); no vota</t>
        </is>
      </c>
      <c r="T1038" s="3" t="inlineStr">
        <is>
          <t>output/v8/F5/atribucion_combinada.csv</t>
        </is>
      </c>
      <c r="U1038" s="2">
        <f>IF(R1038=0,"",F1038/R1038)</f>
        <v/>
      </c>
      <c r="V1038" s="2">
        <f>SUMIFS(F$2:F$1589,A$2:A$1589,A1038,C$2:C$1589,C1038,E$2:E$1589,E1038,Q$2:Q$1589,Q1038)</f>
        <v/>
      </c>
    </row>
    <row r="1039">
      <c r="A1039" s="3" t="inlineStr">
        <is>
          <t>alquiler</t>
        </is>
      </c>
      <c r="B1039" s="3" t="inlineStr">
        <is>
          <t>ccaa:07</t>
        </is>
      </c>
      <c r="C1039" s="3" t="inlineStr">
        <is>
          <t>P2</t>
        </is>
      </c>
      <c r="D1039" s="3" t="inlineStr">
        <is>
          <t>oferta</t>
        </is>
      </c>
      <c r="E1039" s="3" t="inlineStr">
        <is>
          <t>regional_panel</t>
        </is>
      </c>
      <c r="F1039" s="3" t="n">
        <v>0.263903</v>
      </c>
      <c r="G1039" s="3" t="n"/>
      <c r="H1039" s="3" t="n"/>
      <c r="I1039" s="3" t="n">
        <v>-0.117193</v>
      </c>
      <c r="J1039" s="3" t="n">
        <v>0.0396127</v>
      </c>
      <c r="K1039" s="3" t="n">
        <v>0.497976</v>
      </c>
      <c r="L1039" s="3" t="n">
        <v>0.0046612</v>
      </c>
      <c r="M1039" s="3" t="n">
        <v>0.636678</v>
      </c>
      <c r="N1039" s="3" t="inlineStr">
        <is>
          <t>C4</t>
        </is>
      </c>
      <c r="O1039" s="3" t="inlineStr">
        <is>
          <t>si</t>
        </is>
      </c>
      <c r="P1039" s="3" t="inlineStr">
        <is>
          <t>no_vota</t>
        </is>
      </c>
      <c r="Q1039" s="3" t="inlineStr">
        <is>
          <t>panel_covariables</t>
        </is>
      </c>
      <c r="R1039" s="3" t="n"/>
      <c r="S1039" s="3" t="inlineStr">
        <is>
          <t>contraste regional (R6); no vota</t>
        </is>
      </c>
      <c r="T1039" s="3" t="inlineStr">
        <is>
          <t>output/v8/F5/atribucion_combinada.csv</t>
        </is>
      </c>
      <c r="U1039" s="2">
        <f>IF(R1039=0,"",F1039/R1039)</f>
        <v/>
      </c>
      <c r="V1039" s="2">
        <f>SUMIFS(F$2:F$1589,A$2:A$1589,A1039,C$2:C$1589,C1039,E$2:E$1589,E1039,Q$2:Q$1589,Q1039)</f>
        <v/>
      </c>
    </row>
    <row r="1040">
      <c r="A1040" s="3" t="inlineStr">
        <is>
          <t>alquiler</t>
        </is>
      </c>
      <c r="B1040" s="3" t="inlineStr">
        <is>
          <t>ccaa:07</t>
        </is>
      </c>
      <c r="C1040" s="3" t="inlineStr">
        <is>
          <t>P2</t>
        </is>
      </c>
      <c r="D1040" s="3" t="inlineStr">
        <is>
          <t>demanda_externa</t>
        </is>
      </c>
      <c r="E1040" s="3" t="inlineStr">
        <is>
          <t>regional_panel</t>
        </is>
      </c>
      <c r="F1040" s="3" t="n">
        <v>-0.078071</v>
      </c>
      <c r="G1040" s="3" t="n"/>
      <c r="H1040" s="3" t="n"/>
      <c r="I1040" s="3" t="n">
        <v>0.0346694</v>
      </c>
      <c r="J1040" s="3" t="n">
        <v>-0.1126</v>
      </c>
      <c r="K1040" s="3" t="n">
        <v>0.0979395</v>
      </c>
      <c r="L1040" s="3" t="n">
        <v>-0.180787</v>
      </c>
      <c r="M1040" s="3" t="n">
        <v>0.20591</v>
      </c>
      <c r="N1040" s="3" t="inlineStr">
        <is>
          <t>C4</t>
        </is>
      </c>
      <c r="O1040" s="3" t="inlineStr">
        <is>
          <t>si</t>
        </is>
      </c>
      <c r="P1040" s="3" t="inlineStr">
        <is>
          <t>no_vota</t>
        </is>
      </c>
      <c r="Q1040" s="3" t="inlineStr">
        <is>
          <t>panel_covariables</t>
        </is>
      </c>
      <c r="R1040" s="3" t="n"/>
      <c r="S1040" s="3" t="inlineStr">
        <is>
          <t>contraste regional (R6); no vota</t>
        </is>
      </c>
      <c r="T1040" s="3" t="inlineStr">
        <is>
          <t>output/v8/F5/atribucion_combinada.csv</t>
        </is>
      </c>
      <c r="U1040" s="2">
        <f>IF(R1040=0,"",F1040/R1040)</f>
        <v/>
      </c>
      <c r="V1040" s="2">
        <f>SUMIFS(F$2:F$1589,A$2:A$1589,A1040,C$2:C$1589,C1040,E$2:E$1589,E1040,Q$2:Q$1589,Q1040)</f>
        <v/>
      </c>
    </row>
    <row r="1041">
      <c r="A1041" s="3" t="inlineStr">
        <is>
          <t>alquiler</t>
        </is>
      </c>
      <c r="B1041" s="3" t="inlineStr">
        <is>
          <t>ccaa:07</t>
        </is>
      </c>
      <c r="C1041" s="3" t="inlineStr">
        <is>
          <t>P2</t>
        </is>
      </c>
      <c r="D1041" s="3" t="inlineStr">
        <is>
          <t>residuo</t>
        </is>
      </c>
      <c r="E1041" s="3" t="inlineStr">
        <is>
          <t>regional_panel</t>
        </is>
      </c>
      <c r="F1041" s="3" t="n">
        <v>1.43188</v>
      </c>
      <c r="G1041" s="3" t="n"/>
      <c r="H1041" s="3" t="n"/>
      <c r="I1041" s="3" t="n">
        <v>-0.635864</v>
      </c>
      <c r="J1041" s="3" t="n">
        <v>0.438501</v>
      </c>
      <c r="K1041" s="3" t="n">
        <v>2.17061</v>
      </c>
      <c r="L1041" s="3" t="n">
        <v>-0.378965</v>
      </c>
      <c r="M1041" s="3" t="n">
        <v>2.86406</v>
      </c>
      <c r="N1041" s="3" t="inlineStr">
        <is>
          <t>C4</t>
        </is>
      </c>
      <c r="O1041" s="3" t="inlineStr">
        <is>
          <t>no</t>
        </is>
      </c>
      <c r="P1041" s="3" t="inlineStr">
        <is>
          <t>no_compite</t>
        </is>
      </c>
      <c r="Q1041" s="3" t="inlineStr">
        <is>
          <t>panel_covariables</t>
        </is>
      </c>
      <c r="R1041" s="3" t="n"/>
      <c r="S1041" s="3" t="inlineStr">
        <is>
          <t>contraste regional (R6); no vota</t>
        </is>
      </c>
      <c r="T1041" s="3" t="inlineStr">
        <is>
          <t>output/v8/F5/atribucion_combinada.csv</t>
        </is>
      </c>
      <c r="U1041" s="2">
        <f>IF(R1041=0,"",F1041/R1041)</f>
        <v/>
      </c>
      <c r="V1041" s="2">
        <f>SUMIFS(F$2:F$1589,A$2:A$1589,A1041,C$2:C$1589,C1041,E$2:E$1589,E1041,Q$2:Q$1589,Q1041)</f>
        <v/>
      </c>
    </row>
    <row r="1042">
      <c r="A1042" s="3" t="inlineStr">
        <is>
          <t>alquiler</t>
        </is>
      </c>
      <c r="B1042" s="3" t="inlineStr">
        <is>
          <t>ccaa:08</t>
        </is>
      </c>
      <c r="C1042" s="3" t="inlineStr">
        <is>
          <t>P2</t>
        </is>
      </c>
      <c r="D1042" s="3" t="inlineStr">
        <is>
          <t>factor_comun</t>
        </is>
      </c>
      <c r="E1042" s="3" t="inlineStr">
        <is>
          <t>regional_panel</t>
        </is>
      </c>
      <c r="F1042" s="3" t="n">
        <v>-3.50963</v>
      </c>
      <c r="G1042" s="3" t="n"/>
      <c r="H1042" s="3" t="n"/>
      <c r="I1042" s="3" t="n">
        <v>0.917719</v>
      </c>
      <c r="J1042" s="3" t="n">
        <v>-7.73728</v>
      </c>
      <c r="K1042" s="3" t="n">
        <v>0.660335</v>
      </c>
      <c r="L1042" s="3" t="n">
        <v>-9.80547</v>
      </c>
      <c r="M1042" s="3" t="n">
        <v>3.299</v>
      </c>
      <c r="N1042" s="3" t="inlineStr">
        <is>
          <t>C4</t>
        </is>
      </c>
      <c r="O1042" s="3" t="inlineStr">
        <is>
          <t>no</t>
        </is>
      </c>
      <c r="P1042" s="3" t="inlineStr">
        <is>
          <t>no_compite</t>
        </is>
      </c>
      <c r="Q1042" s="3" t="inlineStr">
        <is>
          <t>panel_covariables</t>
        </is>
      </c>
      <c r="R1042" s="3" t="n"/>
      <c r="S1042" s="3" t="inlineStr">
        <is>
          <t>contraste regional (R6); no vota</t>
        </is>
      </c>
      <c r="T1042" s="3" t="inlineStr">
        <is>
          <t>output/v8/F5/atribucion_combinada.csv</t>
        </is>
      </c>
      <c r="U1042" s="2">
        <f>IF(R1042=0,"",F1042/R1042)</f>
        <v/>
      </c>
      <c r="V1042" s="2">
        <f>SUMIFS(F$2:F$1589,A$2:A$1589,A1042,C$2:C$1589,C1042,E$2:E$1589,E1042,Q$2:Q$1589,Q1042)</f>
        <v/>
      </c>
    </row>
    <row r="1043">
      <c r="A1043" s="3" t="inlineStr">
        <is>
          <t>alquiler</t>
        </is>
      </c>
      <c r="B1043" s="3" t="inlineStr">
        <is>
          <t>ccaa:08</t>
        </is>
      </c>
      <c r="C1043" s="3" t="inlineStr">
        <is>
          <t>P2</t>
        </is>
      </c>
      <c r="D1043" s="3" t="inlineStr">
        <is>
          <t>empleo_renta</t>
        </is>
      </c>
      <c r="E1043" s="3" t="inlineStr">
        <is>
          <t>regional_panel</t>
        </is>
      </c>
      <c r="F1043" s="3" t="n">
        <v>0.0209937</v>
      </c>
      <c r="G1043" s="3" t="n"/>
      <c r="H1043" s="3" t="n"/>
      <c r="I1043" s="3" t="n">
        <v>-0.00548957</v>
      </c>
      <c r="J1043" s="3" t="n">
        <v>-0.376437</v>
      </c>
      <c r="K1043" s="3" t="n">
        <v>0.624387</v>
      </c>
      <c r="L1043" s="3" t="n">
        <v>-0.654079</v>
      </c>
      <c r="M1043" s="3" t="n">
        <v>0.796439</v>
      </c>
      <c r="N1043" s="3" t="inlineStr">
        <is>
          <t>C4</t>
        </is>
      </c>
      <c r="O1043" s="3" t="inlineStr">
        <is>
          <t>si</t>
        </is>
      </c>
      <c r="P1043" s="3" t="inlineStr">
        <is>
          <t>no_vota</t>
        </is>
      </c>
      <c r="Q1043" s="3" t="inlineStr">
        <is>
          <t>panel_covariables</t>
        </is>
      </c>
      <c r="R1043" s="3" t="n"/>
      <c r="S1043" s="3" t="inlineStr">
        <is>
          <t>contraste regional (R6); no vota</t>
        </is>
      </c>
      <c r="T1043" s="3" t="inlineStr">
        <is>
          <t>output/v8/F5/atribucion_combinada.csv</t>
        </is>
      </c>
      <c r="U1043" s="2">
        <f>IF(R1043=0,"",F1043/R1043)</f>
        <v/>
      </c>
      <c r="V1043" s="2">
        <f>SUMIFS(F$2:F$1589,A$2:A$1589,A1043,C$2:C$1589,C1043,E$2:E$1589,E1043,Q$2:Q$1589,Q1043)</f>
        <v/>
      </c>
    </row>
    <row r="1044">
      <c r="A1044" s="3" t="inlineStr">
        <is>
          <t>alquiler</t>
        </is>
      </c>
      <c r="B1044" s="3" t="inlineStr">
        <is>
          <t>ccaa:08</t>
        </is>
      </c>
      <c r="C1044" s="3" t="inlineStr">
        <is>
          <t>P2</t>
        </is>
      </c>
      <c r="D1044" s="3" t="inlineStr">
        <is>
          <t>demografia</t>
        </is>
      </c>
      <c r="E1044" s="3" t="inlineStr">
        <is>
          <t>regional_panel</t>
        </is>
      </c>
      <c r="F1044" s="3" t="n">
        <v>1.07782</v>
      </c>
      <c r="G1044" s="3" t="n"/>
      <c r="H1044" s="3" t="n"/>
      <c r="I1044" s="3" t="n">
        <v>-0.281834</v>
      </c>
      <c r="J1044" s="3" t="n">
        <v>0.72726</v>
      </c>
      <c r="K1044" s="3" t="n">
        <v>1.63813</v>
      </c>
      <c r="L1044" s="3" t="n">
        <v>0.364211</v>
      </c>
      <c r="M1044" s="3" t="n">
        <v>2.05194</v>
      </c>
      <c r="N1044" s="3" t="inlineStr">
        <is>
          <t>C4</t>
        </is>
      </c>
      <c r="O1044" s="3" t="inlineStr">
        <is>
          <t>si</t>
        </is>
      </c>
      <c r="P1044" s="3" t="inlineStr">
        <is>
          <t>no_vota</t>
        </is>
      </c>
      <c r="Q1044" s="3" t="inlineStr">
        <is>
          <t>panel_covariables</t>
        </is>
      </c>
      <c r="R1044" s="3" t="n"/>
      <c r="S1044" s="3" t="inlineStr">
        <is>
          <t>contraste regional (R6); no vota</t>
        </is>
      </c>
      <c r="T1044" s="3" t="inlineStr">
        <is>
          <t>output/v8/F5/atribucion_combinada.csv</t>
        </is>
      </c>
      <c r="U1044" s="2">
        <f>IF(R1044=0,"",F1044/R1044)</f>
        <v/>
      </c>
      <c r="V1044" s="2">
        <f>SUMIFS(F$2:F$1589,A$2:A$1589,A1044,C$2:C$1589,C1044,E$2:E$1589,E1044,Q$2:Q$1589,Q1044)</f>
        <v/>
      </c>
    </row>
    <row r="1045">
      <c r="A1045" s="3" t="inlineStr">
        <is>
          <t>alquiler</t>
        </is>
      </c>
      <c r="B1045" s="3" t="inlineStr">
        <is>
          <t>ccaa:08</t>
        </is>
      </c>
      <c r="C1045" s="3" t="inlineStr">
        <is>
          <t>P2</t>
        </is>
      </c>
      <c r="D1045" s="3" t="inlineStr">
        <is>
          <t>oferta</t>
        </is>
      </c>
      <c r="E1045" s="3" t="inlineStr">
        <is>
          <t>regional_panel</t>
        </is>
      </c>
      <c r="F1045" s="3" t="n">
        <v>0.296538</v>
      </c>
      <c r="G1045" s="3" t="n"/>
      <c r="H1045" s="3" t="n"/>
      <c r="I1045" s="3" t="n">
        <v>-0.0775405</v>
      </c>
      <c r="J1045" s="3" t="n">
        <v>0.0377054</v>
      </c>
      <c r="K1045" s="3" t="n">
        <v>0.570527</v>
      </c>
      <c r="L1045" s="3" t="n">
        <v>0.00526744</v>
      </c>
      <c r="M1045" s="3" t="n">
        <v>0.860277</v>
      </c>
      <c r="N1045" s="3" t="inlineStr">
        <is>
          <t>C4</t>
        </is>
      </c>
      <c r="O1045" s="3" t="inlineStr">
        <is>
          <t>si</t>
        </is>
      </c>
      <c r="P1045" s="3" t="inlineStr">
        <is>
          <t>no_vota</t>
        </is>
      </c>
      <c r="Q1045" s="3" t="inlineStr">
        <is>
          <t>panel_covariables</t>
        </is>
      </c>
      <c r="R1045" s="3" t="n"/>
      <c r="S1045" s="3" t="inlineStr">
        <is>
          <t>contraste regional (R6); no vota</t>
        </is>
      </c>
      <c r="T1045" s="3" t="inlineStr">
        <is>
          <t>output/v8/F5/atribucion_combinada.csv</t>
        </is>
      </c>
      <c r="U1045" s="2">
        <f>IF(R1045=0,"",F1045/R1045)</f>
        <v/>
      </c>
      <c r="V1045" s="2">
        <f>SUMIFS(F$2:F$1589,A$2:A$1589,A1045,C$2:C$1589,C1045,E$2:E$1589,E1045,Q$2:Q$1589,Q1045)</f>
        <v/>
      </c>
    </row>
    <row r="1046">
      <c r="A1046" s="3" t="inlineStr">
        <is>
          <t>alquiler</t>
        </is>
      </c>
      <c r="B1046" s="3" t="inlineStr">
        <is>
          <t>ccaa:08</t>
        </is>
      </c>
      <c r="C1046" s="3" t="inlineStr">
        <is>
          <t>P2</t>
        </is>
      </c>
      <c r="D1046" s="3" t="inlineStr">
        <is>
          <t>demanda_externa</t>
        </is>
      </c>
      <c r="E1046" s="3" t="inlineStr">
        <is>
          <t>regional_panel</t>
        </is>
      </c>
      <c r="F1046" s="3" t="n">
        <v>-0.07312250000000001</v>
      </c>
      <c r="G1046" s="3" t="n"/>
      <c r="H1046" s="3" t="n"/>
      <c r="I1046" s="3" t="n">
        <v>0.0191205</v>
      </c>
      <c r="J1046" s="3" t="n">
        <v>-0.0964556</v>
      </c>
      <c r="K1046" s="3" t="n">
        <v>0.0404607</v>
      </c>
      <c r="L1046" s="3" t="n">
        <v>-0.152706</v>
      </c>
      <c r="M1046" s="3" t="n">
        <v>0.104954</v>
      </c>
      <c r="N1046" s="3" t="inlineStr">
        <is>
          <t>C4</t>
        </is>
      </c>
      <c r="O1046" s="3" t="inlineStr">
        <is>
          <t>si</t>
        </is>
      </c>
      <c r="P1046" s="3" t="inlineStr">
        <is>
          <t>no_vota</t>
        </is>
      </c>
      <c r="Q1046" s="3" t="inlineStr">
        <is>
          <t>panel_covariables</t>
        </is>
      </c>
      <c r="R1046" s="3" t="n"/>
      <c r="S1046" s="3" t="inlineStr">
        <is>
          <t>contraste regional (R6); no vota</t>
        </is>
      </c>
      <c r="T1046" s="3" t="inlineStr">
        <is>
          <t>output/v8/F5/atribucion_combinada.csv</t>
        </is>
      </c>
      <c r="U1046" s="2">
        <f>IF(R1046=0,"",F1046/R1046)</f>
        <v/>
      </c>
      <c r="V1046" s="2">
        <f>SUMIFS(F$2:F$1589,A$2:A$1589,A1046,C$2:C$1589,C1046,E$2:E$1589,E1046,Q$2:Q$1589,Q1046)</f>
        <v/>
      </c>
    </row>
    <row r="1047">
      <c r="A1047" s="3" t="inlineStr">
        <is>
          <t>alquiler</t>
        </is>
      </c>
      <c r="B1047" s="3" t="inlineStr">
        <is>
          <t>ccaa:08</t>
        </is>
      </c>
      <c r="C1047" s="3" t="inlineStr">
        <is>
          <t>P2</t>
        </is>
      </c>
      <c r="D1047" s="3" t="inlineStr">
        <is>
          <t>residuo</t>
        </is>
      </c>
      <c r="E1047" s="3" t="inlineStr">
        <is>
          <t>regional_panel</t>
        </is>
      </c>
      <c r="F1047" s="3" t="n">
        <v>-1.63689</v>
      </c>
      <c r="G1047" s="3" t="n"/>
      <c r="H1047" s="3" t="n"/>
      <c r="I1047" s="3" t="n">
        <v>0.428025</v>
      </c>
      <c r="J1047" s="3" t="n">
        <v>-2.42493</v>
      </c>
      <c r="K1047" s="3" t="n">
        <v>-1.36869</v>
      </c>
      <c r="L1047" s="3" t="n">
        <v>-2.75931</v>
      </c>
      <c r="M1047" s="3" t="n">
        <v>-0.718093</v>
      </c>
      <c r="N1047" s="3" t="inlineStr">
        <is>
          <t>C4</t>
        </is>
      </c>
      <c r="O1047" s="3" t="inlineStr">
        <is>
          <t>no</t>
        </is>
      </c>
      <c r="P1047" s="3" t="inlineStr">
        <is>
          <t>no_compite</t>
        </is>
      </c>
      <c r="Q1047" s="3" t="inlineStr">
        <is>
          <t>panel_covariables</t>
        </is>
      </c>
      <c r="R1047" s="3" t="n"/>
      <c r="S1047" s="3" t="inlineStr">
        <is>
          <t>contraste regional (R6); no vota</t>
        </is>
      </c>
      <c r="T1047" s="3" t="inlineStr">
        <is>
          <t>output/v8/F5/atribucion_combinada.csv</t>
        </is>
      </c>
      <c r="U1047" s="2">
        <f>IF(R1047=0,"",F1047/R1047)</f>
        <v/>
      </c>
      <c r="V1047" s="2">
        <f>SUMIFS(F$2:F$1589,A$2:A$1589,A1047,C$2:C$1589,C1047,E$2:E$1589,E1047,Q$2:Q$1589,Q1047)</f>
        <v/>
      </c>
    </row>
    <row r="1048">
      <c r="A1048" s="3" t="inlineStr">
        <is>
          <t>alquiler</t>
        </is>
      </c>
      <c r="B1048" s="3" t="inlineStr">
        <is>
          <t>ccaa:09</t>
        </is>
      </c>
      <c r="C1048" s="3" t="inlineStr">
        <is>
          <t>P2</t>
        </is>
      </c>
      <c r="D1048" s="3" t="inlineStr">
        <is>
          <t>factor_comun</t>
        </is>
      </c>
      <c r="E1048" s="3" t="inlineStr">
        <is>
          <t>regional_panel</t>
        </is>
      </c>
      <c r="F1048" s="3" t="n">
        <v>-3.50963</v>
      </c>
      <c r="G1048" s="3" t="n"/>
      <c r="H1048" s="3" t="n"/>
      <c r="I1048" s="3" t="n">
        <v>7.67285</v>
      </c>
      <c r="J1048" s="3" t="n">
        <v>-7.73728</v>
      </c>
      <c r="K1048" s="3" t="n">
        <v>0.660335</v>
      </c>
      <c r="L1048" s="3" t="n">
        <v>-9.80547</v>
      </c>
      <c r="M1048" s="3" t="n">
        <v>3.299</v>
      </c>
      <c r="N1048" s="3" t="inlineStr">
        <is>
          <t>C4</t>
        </is>
      </c>
      <c r="O1048" s="3" t="inlineStr">
        <is>
          <t>no</t>
        </is>
      </c>
      <c r="P1048" s="3" t="inlineStr">
        <is>
          <t>no_compite</t>
        </is>
      </c>
      <c r="Q1048" s="3" t="inlineStr">
        <is>
          <t>panel_covariables</t>
        </is>
      </c>
      <c r="R1048" s="3" t="n"/>
      <c r="S1048" s="3" t="inlineStr">
        <is>
          <t>contraste regional (R6); no vota</t>
        </is>
      </c>
      <c r="T1048" s="3" t="inlineStr">
        <is>
          <t>output/v8/F5/atribucion_combinada.csv</t>
        </is>
      </c>
      <c r="U1048" s="2">
        <f>IF(R1048=0,"",F1048/R1048)</f>
        <v/>
      </c>
      <c r="V1048" s="2">
        <f>SUMIFS(F$2:F$1589,A$2:A$1589,A1048,C$2:C$1589,C1048,E$2:E$1589,E1048,Q$2:Q$1589,Q1048)</f>
        <v/>
      </c>
    </row>
    <row r="1049">
      <c r="A1049" s="3" t="inlineStr">
        <is>
          <t>alquiler</t>
        </is>
      </c>
      <c r="B1049" s="3" t="inlineStr">
        <is>
          <t>ccaa:09</t>
        </is>
      </c>
      <c r="C1049" s="3" t="inlineStr">
        <is>
          <t>P2</t>
        </is>
      </c>
      <c r="D1049" s="3" t="inlineStr">
        <is>
          <t>empleo_renta</t>
        </is>
      </c>
      <c r="E1049" s="3" t="inlineStr">
        <is>
          <t>regional_panel</t>
        </is>
      </c>
      <c r="F1049" s="3" t="n">
        <v>0.0835948</v>
      </c>
      <c r="G1049" s="3" t="n"/>
      <c r="H1049" s="3" t="n"/>
      <c r="I1049" s="3" t="n">
        <v>-0.182758</v>
      </c>
      <c r="J1049" s="3" t="n">
        <v>-0.26226</v>
      </c>
      <c r="K1049" s="3" t="n">
        <v>0.504009</v>
      </c>
      <c r="L1049" s="3" t="n">
        <v>-0.588839</v>
      </c>
      <c r="M1049" s="3" t="n">
        <v>0.710518</v>
      </c>
      <c r="N1049" s="3" t="inlineStr">
        <is>
          <t>C4</t>
        </is>
      </c>
      <c r="O1049" s="3" t="inlineStr">
        <is>
          <t>si</t>
        </is>
      </c>
      <c r="P1049" s="3" t="inlineStr">
        <is>
          <t>no_vota</t>
        </is>
      </c>
      <c r="Q1049" s="3" t="inlineStr">
        <is>
          <t>panel_covariables</t>
        </is>
      </c>
      <c r="R1049" s="3" t="n"/>
      <c r="S1049" s="3" t="inlineStr">
        <is>
          <t>contraste regional (R6); no vota</t>
        </is>
      </c>
      <c r="T1049" s="3" t="inlineStr">
        <is>
          <t>output/v8/F5/atribucion_combinada.csv</t>
        </is>
      </c>
      <c r="U1049" s="2">
        <f>IF(R1049=0,"",F1049/R1049)</f>
        <v/>
      </c>
      <c r="V1049" s="2">
        <f>SUMIFS(F$2:F$1589,A$2:A$1589,A1049,C$2:C$1589,C1049,E$2:E$1589,E1049,Q$2:Q$1589,Q1049)</f>
        <v/>
      </c>
    </row>
    <row r="1050">
      <c r="A1050" s="3" t="inlineStr">
        <is>
          <t>alquiler</t>
        </is>
      </c>
      <c r="B1050" s="3" t="inlineStr">
        <is>
          <t>ccaa:09</t>
        </is>
      </c>
      <c r="C1050" s="3" t="inlineStr">
        <is>
          <t>P2</t>
        </is>
      </c>
      <c r="D1050" s="3" t="inlineStr">
        <is>
          <t>demografia</t>
        </is>
      </c>
      <c r="E1050" s="3" t="inlineStr">
        <is>
          <t>regional_panel</t>
        </is>
      </c>
      <c r="F1050" s="3" t="n">
        <v>1.041</v>
      </c>
      <c r="G1050" s="3" t="n"/>
      <c r="H1050" s="3" t="n"/>
      <c r="I1050" s="3" t="n">
        <v>-2.27586</v>
      </c>
      <c r="J1050" s="3" t="n">
        <v>0.789377</v>
      </c>
      <c r="K1050" s="3" t="n">
        <v>1.64143</v>
      </c>
      <c r="L1050" s="3" t="n">
        <v>0.508427</v>
      </c>
      <c r="M1050" s="3" t="n">
        <v>2.01518</v>
      </c>
      <c r="N1050" s="3" t="inlineStr">
        <is>
          <t>C4</t>
        </is>
      </c>
      <c r="O1050" s="3" t="inlineStr">
        <is>
          <t>si</t>
        </is>
      </c>
      <c r="P1050" s="3" t="inlineStr">
        <is>
          <t>no_vota</t>
        </is>
      </c>
      <c r="Q1050" s="3" t="inlineStr">
        <is>
          <t>panel_covariables</t>
        </is>
      </c>
      <c r="R1050" s="3" t="n"/>
      <c r="S1050" s="3" t="inlineStr">
        <is>
          <t>contraste regional (R6); no vota</t>
        </is>
      </c>
      <c r="T1050" s="3" t="inlineStr">
        <is>
          <t>output/v8/F5/atribucion_combinada.csv</t>
        </is>
      </c>
      <c r="U1050" s="2">
        <f>IF(R1050=0,"",F1050/R1050)</f>
        <v/>
      </c>
      <c r="V1050" s="2">
        <f>SUMIFS(F$2:F$1589,A$2:A$1589,A1050,C$2:C$1589,C1050,E$2:E$1589,E1050,Q$2:Q$1589,Q1050)</f>
        <v/>
      </c>
    </row>
    <row r="1051">
      <c r="A1051" s="3" t="inlineStr">
        <is>
          <t>alquiler</t>
        </is>
      </c>
      <c r="B1051" s="3" t="inlineStr">
        <is>
          <t>ccaa:09</t>
        </is>
      </c>
      <c r="C1051" s="3" t="inlineStr">
        <is>
          <t>P2</t>
        </is>
      </c>
      <c r="D1051" s="3" t="inlineStr">
        <is>
          <t>oferta</t>
        </is>
      </c>
      <c r="E1051" s="3" t="inlineStr">
        <is>
          <t>regional_panel</t>
        </is>
      </c>
      <c r="F1051" s="3" t="n">
        <v>0.297834</v>
      </c>
      <c r="G1051" s="3" t="n"/>
      <c r="H1051" s="3" t="n"/>
      <c r="I1051" s="3" t="n">
        <v>-0.651135</v>
      </c>
      <c r="J1051" s="3" t="n">
        <v>0.0419609</v>
      </c>
      <c r="K1051" s="3" t="n">
        <v>0.523332</v>
      </c>
      <c r="L1051" s="3" t="n">
        <v>0.00488287</v>
      </c>
      <c r="M1051" s="3" t="n">
        <v>0.712033</v>
      </c>
      <c r="N1051" s="3" t="inlineStr">
        <is>
          <t>C4</t>
        </is>
      </c>
      <c r="O1051" s="3" t="inlineStr">
        <is>
          <t>si</t>
        </is>
      </c>
      <c r="P1051" s="3" t="inlineStr">
        <is>
          <t>no_vota</t>
        </is>
      </c>
      <c r="Q1051" s="3" t="inlineStr">
        <is>
          <t>panel_covariables</t>
        </is>
      </c>
      <c r="R1051" s="3" t="n"/>
      <c r="S1051" s="3" t="inlineStr">
        <is>
          <t>contraste regional (R6); no vota</t>
        </is>
      </c>
      <c r="T1051" s="3" t="inlineStr">
        <is>
          <t>output/v8/F5/atribucion_combinada.csv</t>
        </is>
      </c>
      <c r="U1051" s="2">
        <f>IF(R1051=0,"",F1051/R1051)</f>
        <v/>
      </c>
      <c r="V1051" s="2">
        <f>SUMIFS(F$2:F$1589,A$2:A$1589,A1051,C$2:C$1589,C1051,E$2:E$1589,E1051,Q$2:Q$1589,Q1051)</f>
        <v/>
      </c>
    </row>
    <row r="1052">
      <c r="A1052" s="3" t="inlineStr">
        <is>
          <t>alquiler</t>
        </is>
      </c>
      <c r="B1052" s="3" t="inlineStr">
        <is>
          <t>ccaa:09</t>
        </is>
      </c>
      <c r="C1052" s="3" t="inlineStr">
        <is>
          <t>P2</t>
        </is>
      </c>
      <c r="D1052" s="3" t="inlineStr">
        <is>
          <t>demanda_externa</t>
        </is>
      </c>
      <c r="E1052" s="3" t="inlineStr">
        <is>
          <t>regional_panel</t>
        </is>
      </c>
      <c r="F1052" s="3" t="n">
        <v>0.0781607</v>
      </c>
      <c r="G1052" s="3" t="n"/>
      <c r="H1052" s="3" t="n"/>
      <c r="I1052" s="3" t="n">
        <v>-0.170877</v>
      </c>
      <c r="J1052" s="3" t="n">
        <v>0.00248638</v>
      </c>
      <c r="K1052" s="3" t="n">
        <v>0.130894</v>
      </c>
      <c r="L1052" s="3" t="n">
        <v>-0.0122253</v>
      </c>
      <c r="M1052" s="3" t="n">
        <v>0.196993</v>
      </c>
      <c r="N1052" s="3" t="inlineStr">
        <is>
          <t>C4</t>
        </is>
      </c>
      <c r="O1052" s="3" t="inlineStr">
        <is>
          <t>si</t>
        </is>
      </c>
      <c r="P1052" s="3" t="inlineStr">
        <is>
          <t>no_vota</t>
        </is>
      </c>
      <c r="Q1052" s="3" t="inlineStr">
        <is>
          <t>panel_covariables</t>
        </is>
      </c>
      <c r="R1052" s="3" t="n"/>
      <c r="S1052" s="3" t="inlineStr">
        <is>
          <t>contraste regional (R6); no vota</t>
        </is>
      </c>
      <c r="T1052" s="3" t="inlineStr">
        <is>
          <t>output/v8/F5/atribucion_combinada.csv</t>
        </is>
      </c>
      <c r="U1052" s="2">
        <f>IF(R1052=0,"",F1052/R1052)</f>
        <v/>
      </c>
      <c r="V1052" s="2">
        <f>SUMIFS(F$2:F$1589,A$2:A$1589,A1052,C$2:C$1589,C1052,E$2:E$1589,E1052,Q$2:Q$1589,Q1052)</f>
        <v/>
      </c>
    </row>
    <row r="1053">
      <c r="A1053" s="3" t="inlineStr">
        <is>
          <t>alquiler</t>
        </is>
      </c>
      <c r="B1053" s="3" t="inlineStr">
        <is>
          <t>ccaa:09</t>
        </is>
      </c>
      <c r="C1053" s="3" t="inlineStr">
        <is>
          <t>P2</t>
        </is>
      </c>
      <c r="D1053" s="3" t="inlineStr">
        <is>
          <t>residuo</t>
        </is>
      </c>
      <c r="E1053" s="3" t="inlineStr">
        <is>
          <t>regional_panel</t>
        </is>
      </c>
      <c r="F1053" s="3" t="n">
        <v>1.55163</v>
      </c>
      <c r="G1053" s="3" t="n"/>
      <c r="H1053" s="3" t="n"/>
      <c r="I1053" s="3" t="n">
        <v>-3.39222</v>
      </c>
      <c r="J1053" s="3" t="n">
        <v>0.80282</v>
      </c>
      <c r="K1053" s="3" t="n">
        <v>2.27559</v>
      </c>
      <c r="L1053" s="3" t="n">
        <v>0.208219</v>
      </c>
      <c r="M1053" s="3" t="n">
        <v>2.95905</v>
      </c>
      <c r="N1053" s="3" t="inlineStr">
        <is>
          <t>C4</t>
        </is>
      </c>
      <c r="O1053" s="3" t="inlineStr">
        <is>
          <t>no</t>
        </is>
      </c>
      <c r="P1053" s="3" t="inlineStr">
        <is>
          <t>no_compite</t>
        </is>
      </c>
      <c r="Q1053" s="3" t="inlineStr">
        <is>
          <t>panel_covariables</t>
        </is>
      </c>
      <c r="R1053" s="3" t="n"/>
      <c r="S1053" s="3" t="inlineStr">
        <is>
          <t>contraste regional (R6); no vota</t>
        </is>
      </c>
      <c r="T1053" s="3" t="inlineStr">
        <is>
          <t>output/v8/F5/atribucion_combinada.csv</t>
        </is>
      </c>
      <c r="U1053" s="2">
        <f>IF(R1053=0,"",F1053/R1053)</f>
        <v/>
      </c>
      <c r="V1053" s="2">
        <f>SUMIFS(F$2:F$1589,A$2:A$1589,A1053,C$2:C$1589,C1053,E$2:E$1589,E1053,Q$2:Q$1589,Q1053)</f>
        <v/>
      </c>
    </row>
    <row r="1054">
      <c r="A1054" s="3" t="inlineStr">
        <is>
          <t>alquiler</t>
        </is>
      </c>
      <c r="B1054" s="3" t="inlineStr">
        <is>
          <t>ccaa:10</t>
        </is>
      </c>
      <c r="C1054" s="3" t="inlineStr">
        <is>
          <t>P2</t>
        </is>
      </c>
      <c r="D1054" s="3" t="inlineStr">
        <is>
          <t>factor_comun</t>
        </is>
      </c>
      <c r="E1054" s="3" t="inlineStr">
        <is>
          <t>regional_panel</t>
        </is>
      </c>
      <c r="F1054" s="3" t="n">
        <v>-3.50963</v>
      </c>
      <c r="G1054" s="3" t="n"/>
      <c r="H1054" s="3" t="n"/>
      <c r="I1054" s="3" t="n">
        <v>0.843438</v>
      </c>
      <c r="J1054" s="3" t="n">
        <v>-7.73728</v>
      </c>
      <c r="K1054" s="3" t="n">
        <v>0.660335</v>
      </c>
      <c r="L1054" s="3" t="n">
        <v>-9.80547</v>
      </c>
      <c r="M1054" s="3" t="n">
        <v>3.299</v>
      </c>
      <c r="N1054" s="3" t="inlineStr">
        <is>
          <t>C4</t>
        </is>
      </c>
      <c r="O1054" s="3" t="inlineStr">
        <is>
          <t>no</t>
        </is>
      </c>
      <c r="P1054" s="3" t="inlineStr">
        <is>
          <t>no_compite</t>
        </is>
      </c>
      <c r="Q1054" s="3" t="inlineStr">
        <is>
          <t>panel_covariables</t>
        </is>
      </c>
      <c r="R1054" s="3" t="n"/>
      <c r="S1054" s="3" t="inlineStr">
        <is>
          <t>contraste regional (R6); no vota</t>
        </is>
      </c>
      <c r="T1054" s="3" t="inlineStr">
        <is>
          <t>output/v8/F5/atribucion_combinada.csv</t>
        </is>
      </c>
      <c r="U1054" s="2">
        <f>IF(R1054=0,"",F1054/R1054)</f>
        <v/>
      </c>
      <c r="V1054" s="2">
        <f>SUMIFS(F$2:F$1589,A$2:A$1589,A1054,C$2:C$1589,C1054,E$2:E$1589,E1054,Q$2:Q$1589,Q1054)</f>
        <v/>
      </c>
    </row>
    <row r="1055">
      <c r="A1055" s="3" t="inlineStr">
        <is>
          <t>alquiler</t>
        </is>
      </c>
      <c r="B1055" s="3" t="inlineStr">
        <is>
          <t>ccaa:10</t>
        </is>
      </c>
      <c r="C1055" s="3" t="inlineStr">
        <is>
          <t>P2</t>
        </is>
      </c>
      <c r="D1055" s="3" t="inlineStr">
        <is>
          <t>empleo_renta</t>
        </is>
      </c>
      <c r="E1055" s="3" t="inlineStr">
        <is>
          <t>regional_panel</t>
        </is>
      </c>
      <c r="F1055" s="3" t="n">
        <v>0.116346</v>
      </c>
      <c r="G1055" s="3" t="n"/>
      <c r="H1055" s="3" t="n"/>
      <c r="I1055" s="3" t="n">
        <v>-0.0279604</v>
      </c>
      <c r="J1055" s="3" t="n">
        <v>-0.298364</v>
      </c>
      <c r="K1055" s="3" t="n">
        <v>0.559225</v>
      </c>
      <c r="L1055" s="3" t="n">
        <v>-0.708059</v>
      </c>
      <c r="M1055" s="3" t="n">
        <v>0.842535</v>
      </c>
      <c r="N1055" s="3" t="inlineStr">
        <is>
          <t>C4</t>
        </is>
      </c>
      <c r="O1055" s="3" t="inlineStr">
        <is>
          <t>si</t>
        </is>
      </c>
      <c r="P1055" s="3" t="inlineStr">
        <is>
          <t>no_vota</t>
        </is>
      </c>
      <c r="Q1055" s="3" t="inlineStr">
        <is>
          <t>panel_covariables</t>
        </is>
      </c>
      <c r="R1055" s="3" t="n"/>
      <c r="S1055" s="3" t="inlineStr">
        <is>
          <t>contraste regional (R6); no vota</t>
        </is>
      </c>
      <c r="T1055" s="3" t="inlineStr">
        <is>
          <t>output/v8/F5/atribucion_combinada.csv</t>
        </is>
      </c>
      <c r="U1055" s="2">
        <f>IF(R1055=0,"",F1055/R1055)</f>
        <v/>
      </c>
      <c r="V1055" s="2">
        <f>SUMIFS(F$2:F$1589,A$2:A$1589,A1055,C$2:C$1589,C1055,E$2:E$1589,E1055,Q$2:Q$1589,Q1055)</f>
        <v/>
      </c>
    </row>
    <row r="1056">
      <c r="A1056" s="3" t="inlineStr">
        <is>
          <t>alquiler</t>
        </is>
      </c>
      <c r="B1056" s="3" t="inlineStr">
        <is>
          <t>ccaa:10</t>
        </is>
      </c>
      <c r="C1056" s="3" t="inlineStr">
        <is>
          <t>P2</t>
        </is>
      </c>
      <c r="D1056" s="3" t="inlineStr">
        <is>
          <t>demografia</t>
        </is>
      </c>
      <c r="E1056" s="3" t="inlineStr">
        <is>
          <t>regional_panel</t>
        </is>
      </c>
      <c r="F1056" s="3" t="n">
        <v>0.774408</v>
      </c>
      <c r="G1056" s="3" t="n"/>
      <c r="H1056" s="3" t="n"/>
      <c r="I1056" s="3" t="n">
        <v>-0.186107</v>
      </c>
      <c r="J1056" s="3" t="n">
        <v>0.516752</v>
      </c>
      <c r="K1056" s="3" t="n">
        <v>1.19721</v>
      </c>
      <c r="L1056" s="3" t="n">
        <v>0.233074</v>
      </c>
      <c r="M1056" s="3" t="n">
        <v>1.56877</v>
      </c>
      <c r="N1056" s="3" t="inlineStr">
        <is>
          <t>C4</t>
        </is>
      </c>
      <c r="O1056" s="3" t="inlineStr">
        <is>
          <t>si</t>
        </is>
      </c>
      <c r="P1056" s="3" t="inlineStr">
        <is>
          <t>no_vota</t>
        </is>
      </c>
      <c r="Q1056" s="3" t="inlineStr">
        <is>
          <t>panel_covariables</t>
        </is>
      </c>
      <c r="R1056" s="3" t="n"/>
      <c r="S1056" s="3" t="inlineStr">
        <is>
          <t>contraste regional (R6); no vota</t>
        </is>
      </c>
      <c r="T1056" s="3" t="inlineStr">
        <is>
          <t>output/v8/F5/atribucion_combinada.csv</t>
        </is>
      </c>
      <c r="U1056" s="2">
        <f>IF(R1056=0,"",F1056/R1056)</f>
        <v/>
      </c>
      <c r="V1056" s="2">
        <f>SUMIFS(F$2:F$1589,A$2:A$1589,A1056,C$2:C$1589,C1056,E$2:E$1589,E1056,Q$2:Q$1589,Q1056)</f>
        <v/>
      </c>
    </row>
    <row r="1057">
      <c r="A1057" s="3" t="inlineStr">
        <is>
          <t>alquiler</t>
        </is>
      </c>
      <c r="B1057" s="3" t="inlineStr">
        <is>
          <t>ccaa:10</t>
        </is>
      </c>
      <c r="C1057" s="3" t="inlineStr">
        <is>
          <t>P2</t>
        </is>
      </c>
      <c r="D1057" s="3" t="inlineStr">
        <is>
          <t>oferta</t>
        </is>
      </c>
      <c r="E1057" s="3" t="inlineStr">
        <is>
          <t>regional_panel</t>
        </is>
      </c>
      <c r="F1057" s="3" t="n">
        <v>0.253365</v>
      </c>
      <c r="G1057" s="3" t="n"/>
      <c r="H1057" s="3" t="n"/>
      <c r="I1057" s="3" t="n">
        <v>-0.0608891</v>
      </c>
      <c r="J1057" s="3" t="n">
        <v>0.0240577</v>
      </c>
      <c r="K1057" s="3" t="n">
        <v>0.49091</v>
      </c>
      <c r="L1057" s="3" t="n">
        <v>-0.000650884</v>
      </c>
      <c r="M1057" s="3" t="n">
        <v>0.825757</v>
      </c>
      <c r="N1057" s="3" t="inlineStr">
        <is>
          <t>C4</t>
        </is>
      </c>
      <c r="O1057" s="3" t="inlineStr">
        <is>
          <t>si</t>
        </is>
      </c>
      <c r="P1057" s="3" t="inlineStr">
        <is>
          <t>no_vota</t>
        </is>
      </c>
      <c r="Q1057" s="3" t="inlineStr">
        <is>
          <t>panel_covariables</t>
        </is>
      </c>
      <c r="R1057" s="3" t="n"/>
      <c r="S1057" s="3" t="inlineStr">
        <is>
          <t>contraste regional (R6); no vota</t>
        </is>
      </c>
      <c r="T1057" s="3" t="inlineStr">
        <is>
          <t>output/v8/F5/atribucion_combinada.csv</t>
        </is>
      </c>
      <c r="U1057" s="2">
        <f>IF(R1057=0,"",F1057/R1057)</f>
        <v/>
      </c>
      <c r="V1057" s="2">
        <f>SUMIFS(F$2:F$1589,A$2:A$1589,A1057,C$2:C$1589,C1057,E$2:E$1589,E1057,Q$2:Q$1589,Q1057)</f>
        <v/>
      </c>
    </row>
    <row r="1058">
      <c r="A1058" s="3" t="inlineStr">
        <is>
          <t>alquiler</t>
        </is>
      </c>
      <c r="B1058" s="3" t="inlineStr">
        <is>
          <t>ccaa:10</t>
        </is>
      </c>
      <c r="C1058" s="3" t="inlineStr">
        <is>
          <t>P2</t>
        </is>
      </c>
      <c r="D1058" s="3" t="inlineStr">
        <is>
          <t>demanda_externa</t>
        </is>
      </c>
      <c r="E1058" s="3" t="inlineStr">
        <is>
          <t>regional_panel</t>
        </is>
      </c>
      <c r="F1058" s="3" t="n">
        <v>0.0740247</v>
      </c>
      <c r="G1058" s="3" t="n"/>
      <c r="H1058" s="3" t="n"/>
      <c r="I1058" s="3" t="n">
        <v>-0.0177897</v>
      </c>
      <c r="J1058" s="3" t="n">
        <v>0.00401171</v>
      </c>
      <c r="K1058" s="3" t="n">
        <v>0.108718</v>
      </c>
      <c r="L1058" s="3" t="n">
        <v>-0.0134732</v>
      </c>
      <c r="M1058" s="3" t="n">
        <v>0.152689</v>
      </c>
      <c r="N1058" s="3" t="inlineStr">
        <is>
          <t>C4</t>
        </is>
      </c>
      <c r="O1058" s="3" t="inlineStr">
        <is>
          <t>si</t>
        </is>
      </c>
      <c r="P1058" s="3" t="inlineStr">
        <is>
          <t>no_vota</t>
        </is>
      </c>
      <c r="Q1058" s="3" t="inlineStr">
        <is>
          <t>panel_covariables</t>
        </is>
      </c>
      <c r="R1058" s="3" t="n"/>
      <c r="S1058" s="3" t="inlineStr">
        <is>
          <t>contraste regional (R6); no vota</t>
        </is>
      </c>
      <c r="T1058" s="3" t="inlineStr">
        <is>
          <t>output/v8/F5/atribucion_combinada.csv</t>
        </is>
      </c>
      <c r="U1058" s="2">
        <f>IF(R1058=0,"",F1058/R1058)</f>
        <v/>
      </c>
      <c r="V1058" s="2">
        <f>SUMIFS(F$2:F$1589,A$2:A$1589,A1058,C$2:C$1589,C1058,E$2:E$1589,E1058,Q$2:Q$1589,Q1058)</f>
        <v/>
      </c>
    </row>
    <row r="1059">
      <c r="A1059" s="3" t="inlineStr">
        <is>
          <t>alquiler</t>
        </is>
      </c>
      <c r="B1059" s="3" t="inlineStr">
        <is>
          <t>ccaa:10</t>
        </is>
      </c>
      <c r="C1059" s="3" t="inlineStr">
        <is>
          <t>P2</t>
        </is>
      </c>
      <c r="D1059" s="3" t="inlineStr">
        <is>
          <t>residuo</t>
        </is>
      </c>
      <c r="E1059" s="3" t="inlineStr">
        <is>
          <t>regional_panel</t>
        </is>
      </c>
      <c r="F1059" s="3" t="n">
        <v>-1.86961</v>
      </c>
      <c r="G1059" s="3" t="n"/>
      <c r="H1059" s="3" t="n"/>
      <c r="I1059" s="3" t="n">
        <v>0.449308</v>
      </c>
      <c r="J1059" s="3" t="n">
        <v>-2.89165</v>
      </c>
      <c r="K1059" s="3" t="n">
        <v>-0.931377</v>
      </c>
      <c r="L1059" s="3" t="n">
        <v>-3.54636</v>
      </c>
      <c r="M1059" s="3" t="n">
        <v>0.14159</v>
      </c>
      <c r="N1059" s="3" t="inlineStr">
        <is>
          <t>C4</t>
        </is>
      </c>
      <c r="O1059" s="3" t="inlineStr">
        <is>
          <t>no</t>
        </is>
      </c>
      <c r="P1059" s="3" t="inlineStr">
        <is>
          <t>no_compite</t>
        </is>
      </c>
      <c r="Q1059" s="3" t="inlineStr">
        <is>
          <t>panel_covariables</t>
        </is>
      </c>
      <c r="R1059" s="3" t="n"/>
      <c r="S1059" s="3" t="inlineStr">
        <is>
          <t>contraste regional (R6); no vota</t>
        </is>
      </c>
      <c r="T1059" s="3" t="inlineStr">
        <is>
          <t>output/v8/F5/atribucion_combinada.csv</t>
        </is>
      </c>
      <c r="U1059" s="2">
        <f>IF(R1059=0,"",F1059/R1059)</f>
        <v/>
      </c>
      <c r="V1059" s="2">
        <f>SUMIFS(F$2:F$1589,A$2:A$1589,A1059,C$2:C$1589,C1059,E$2:E$1589,E1059,Q$2:Q$1589,Q1059)</f>
        <v/>
      </c>
    </row>
    <row r="1060">
      <c r="A1060" s="3" t="inlineStr">
        <is>
          <t>alquiler</t>
        </is>
      </c>
      <c r="B1060" s="3" t="inlineStr">
        <is>
          <t>ccaa:11</t>
        </is>
      </c>
      <c r="C1060" s="3" t="inlineStr">
        <is>
          <t>P2</t>
        </is>
      </c>
      <c r="D1060" s="3" t="inlineStr">
        <is>
          <t>factor_comun</t>
        </is>
      </c>
      <c r="E1060" s="3" t="inlineStr">
        <is>
          <t>regional_panel</t>
        </is>
      </c>
      <c r="F1060" s="3" t="n">
        <v>-3.50963</v>
      </c>
      <c r="G1060" s="3" t="n"/>
      <c r="H1060" s="3" t="n"/>
      <c r="I1060" s="3" t="n">
        <v>0.683766</v>
      </c>
      <c r="J1060" s="3" t="n">
        <v>-7.73728</v>
      </c>
      <c r="K1060" s="3" t="n">
        <v>0.660335</v>
      </c>
      <c r="L1060" s="3" t="n">
        <v>-9.80547</v>
      </c>
      <c r="M1060" s="3" t="n">
        <v>3.299</v>
      </c>
      <c r="N1060" s="3" t="inlineStr">
        <is>
          <t>C4</t>
        </is>
      </c>
      <c r="O1060" s="3" t="inlineStr">
        <is>
          <t>no</t>
        </is>
      </c>
      <c r="P1060" s="3" t="inlineStr">
        <is>
          <t>no_compite</t>
        </is>
      </c>
      <c r="Q1060" s="3" t="inlineStr">
        <is>
          <t>panel_covariables</t>
        </is>
      </c>
      <c r="R1060" s="3" t="n"/>
      <c r="S1060" s="3" t="inlineStr">
        <is>
          <t>contraste regional (R6); no vota</t>
        </is>
      </c>
      <c r="T1060" s="3" t="inlineStr">
        <is>
          <t>output/v8/F5/atribucion_combinada.csv</t>
        </is>
      </c>
      <c r="U1060" s="2">
        <f>IF(R1060=0,"",F1060/R1060)</f>
        <v/>
      </c>
      <c r="V1060" s="2">
        <f>SUMIFS(F$2:F$1589,A$2:A$1589,A1060,C$2:C$1589,C1060,E$2:E$1589,E1060,Q$2:Q$1589,Q1060)</f>
        <v/>
      </c>
    </row>
    <row r="1061">
      <c r="A1061" s="3" t="inlineStr">
        <is>
          <t>alquiler</t>
        </is>
      </c>
      <c r="B1061" s="3" t="inlineStr">
        <is>
          <t>ccaa:11</t>
        </is>
      </c>
      <c r="C1061" s="3" t="inlineStr">
        <is>
          <t>P2</t>
        </is>
      </c>
      <c r="D1061" s="3" t="inlineStr">
        <is>
          <t>empleo_renta</t>
        </is>
      </c>
      <c r="E1061" s="3" t="inlineStr">
        <is>
          <t>regional_panel</t>
        </is>
      </c>
      <c r="F1061" s="3" t="n">
        <v>0.0165597</v>
      </c>
      <c r="G1061" s="3" t="n"/>
      <c r="H1061" s="3" t="n"/>
      <c r="I1061" s="3" t="n">
        <v>-0.00322626</v>
      </c>
      <c r="J1061" s="3" t="n">
        <v>-0.298641</v>
      </c>
      <c r="K1061" s="3" t="n">
        <v>0.680438</v>
      </c>
      <c r="L1061" s="3" t="n">
        <v>-0.50576</v>
      </c>
      <c r="M1061" s="3" t="n">
        <v>1.03517</v>
      </c>
      <c r="N1061" s="3" t="inlineStr">
        <is>
          <t>C4</t>
        </is>
      </c>
      <c r="O1061" s="3" t="inlineStr">
        <is>
          <t>si</t>
        </is>
      </c>
      <c r="P1061" s="3" t="inlineStr">
        <is>
          <t>no_vota</t>
        </is>
      </c>
      <c r="Q1061" s="3" t="inlineStr">
        <is>
          <t>panel_covariables</t>
        </is>
      </c>
      <c r="R1061" s="3" t="n"/>
      <c r="S1061" s="3" t="inlineStr">
        <is>
          <t>contraste regional (R6); no vota</t>
        </is>
      </c>
      <c r="T1061" s="3" t="inlineStr">
        <is>
          <t>output/v8/F5/atribucion_combinada.csv</t>
        </is>
      </c>
      <c r="U1061" s="2">
        <f>IF(R1061=0,"",F1061/R1061)</f>
        <v/>
      </c>
      <c r="V1061" s="2">
        <f>SUMIFS(F$2:F$1589,A$2:A$1589,A1061,C$2:C$1589,C1061,E$2:E$1589,E1061,Q$2:Q$1589,Q1061)</f>
        <v/>
      </c>
    </row>
    <row r="1062">
      <c r="A1062" s="3" t="inlineStr">
        <is>
          <t>alquiler</t>
        </is>
      </c>
      <c r="B1062" s="3" t="inlineStr">
        <is>
          <t>ccaa:11</t>
        </is>
      </c>
      <c r="C1062" s="3" t="inlineStr">
        <is>
          <t>P2</t>
        </is>
      </c>
      <c r="D1062" s="3" t="inlineStr">
        <is>
          <t>demografia</t>
        </is>
      </c>
      <c r="E1062" s="3" t="inlineStr">
        <is>
          <t>regional_panel</t>
        </is>
      </c>
      <c r="F1062" s="3" t="n">
        <v>-0.0144068</v>
      </c>
      <c r="G1062" s="3" t="n"/>
      <c r="H1062" s="3" t="n"/>
      <c r="I1062" s="3" t="n">
        <v>0.00280682</v>
      </c>
      <c r="J1062" s="3" t="n">
        <v>-0.12094</v>
      </c>
      <c r="K1062" s="3" t="n">
        <v>0.130995</v>
      </c>
      <c r="L1062" s="3" t="n">
        <v>-0.269318</v>
      </c>
      <c r="M1062" s="3" t="n">
        <v>0.659787</v>
      </c>
      <c r="N1062" s="3" t="inlineStr">
        <is>
          <t>C4</t>
        </is>
      </c>
      <c r="O1062" s="3" t="inlineStr">
        <is>
          <t>si</t>
        </is>
      </c>
      <c r="P1062" s="3" t="inlineStr">
        <is>
          <t>no_vota</t>
        </is>
      </c>
      <c r="Q1062" s="3" t="inlineStr">
        <is>
          <t>panel_covariables</t>
        </is>
      </c>
      <c r="R1062" s="3" t="n"/>
      <c r="S1062" s="3" t="inlineStr">
        <is>
          <t>contraste regional (R6); no vota</t>
        </is>
      </c>
      <c r="T1062" s="3" t="inlineStr">
        <is>
          <t>output/v8/F5/atribucion_combinada.csv</t>
        </is>
      </c>
      <c r="U1062" s="2">
        <f>IF(R1062=0,"",F1062/R1062)</f>
        <v/>
      </c>
      <c r="V1062" s="2">
        <f>SUMIFS(F$2:F$1589,A$2:A$1589,A1062,C$2:C$1589,C1062,E$2:E$1589,E1062,Q$2:Q$1589,Q1062)</f>
        <v/>
      </c>
    </row>
    <row r="1063">
      <c r="A1063" s="3" t="inlineStr">
        <is>
          <t>alquiler</t>
        </is>
      </c>
      <c r="B1063" s="3" t="inlineStr">
        <is>
          <t>ccaa:11</t>
        </is>
      </c>
      <c r="C1063" s="3" t="inlineStr">
        <is>
          <t>P2</t>
        </is>
      </c>
      <c r="D1063" s="3" t="inlineStr">
        <is>
          <t>oferta</t>
        </is>
      </c>
      <c r="E1063" s="3" t="inlineStr">
        <is>
          <t>regional_panel</t>
        </is>
      </c>
      <c r="F1063" s="3" t="n">
        <v>0.224909</v>
      </c>
      <c r="G1063" s="3" t="n"/>
      <c r="H1063" s="3" t="n"/>
      <c r="I1063" s="3" t="n">
        <v>-0.0438182</v>
      </c>
      <c r="J1063" s="3" t="n">
        <v>0.0272445</v>
      </c>
      <c r="K1063" s="3" t="n">
        <v>0.395415</v>
      </c>
      <c r="L1063" s="3" t="n">
        <v>0.00120673</v>
      </c>
      <c r="M1063" s="3" t="n">
        <v>0.534214</v>
      </c>
      <c r="N1063" s="3" t="inlineStr">
        <is>
          <t>C4</t>
        </is>
      </c>
      <c r="O1063" s="3" t="inlineStr">
        <is>
          <t>si</t>
        </is>
      </c>
      <c r="P1063" s="3" t="inlineStr">
        <is>
          <t>no_vota</t>
        </is>
      </c>
      <c r="Q1063" s="3" t="inlineStr">
        <is>
          <t>panel_covariables</t>
        </is>
      </c>
      <c r="R1063" s="3" t="n"/>
      <c r="S1063" s="3" t="inlineStr">
        <is>
          <t>contraste regional (R6); no vota</t>
        </is>
      </c>
      <c r="T1063" s="3" t="inlineStr">
        <is>
          <t>output/v8/F5/atribucion_combinada.csv</t>
        </is>
      </c>
      <c r="U1063" s="2">
        <f>IF(R1063=0,"",F1063/R1063)</f>
        <v/>
      </c>
      <c r="V1063" s="2">
        <f>SUMIFS(F$2:F$1589,A$2:A$1589,A1063,C$2:C$1589,C1063,E$2:E$1589,E1063,Q$2:Q$1589,Q1063)</f>
        <v/>
      </c>
    </row>
    <row r="1064">
      <c r="A1064" s="3" t="inlineStr">
        <is>
          <t>alquiler</t>
        </is>
      </c>
      <c r="B1064" s="3" t="inlineStr">
        <is>
          <t>ccaa:11</t>
        </is>
      </c>
      <c r="C1064" s="3" t="inlineStr">
        <is>
          <t>P2</t>
        </is>
      </c>
      <c r="D1064" s="3" t="inlineStr">
        <is>
          <t>demanda_externa</t>
        </is>
      </c>
      <c r="E1064" s="3" t="inlineStr">
        <is>
          <t>regional_panel</t>
        </is>
      </c>
      <c r="F1064" s="3" t="n">
        <v>-0.158607</v>
      </c>
      <c r="G1064" s="3" t="n"/>
      <c r="H1064" s="3" t="n"/>
      <c r="I1064" s="3" t="n">
        <v>0.0309007</v>
      </c>
      <c r="J1064" s="3" t="n">
        <v>-0.185633</v>
      </c>
      <c r="K1064" s="3" t="n">
        <v>0.0379257</v>
      </c>
      <c r="L1064" s="3" t="n">
        <v>-0.242486</v>
      </c>
      <c r="M1064" s="3" t="n">
        <v>0.170979</v>
      </c>
      <c r="N1064" s="3" t="inlineStr">
        <is>
          <t>C4</t>
        </is>
      </c>
      <c r="O1064" s="3" t="inlineStr">
        <is>
          <t>si</t>
        </is>
      </c>
      <c r="P1064" s="3" t="inlineStr">
        <is>
          <t>no_vota</t>
        </is>
      </c>
      <c r="Q1064" s="3" t="inlineStr">
        <is>
          <t>panel_covariables</t>
        </is>
      </c>
      <c r="R1064" s="3" t="n"/>
      <c r="S1064" s="3" t="inlineStr">
        <is>
          <t>contraste regional (R6); no vota</t>
        </is>
      </c>
      <c r="T1064" s="3" t="inlineStr">
        <is>
          <t>output/v8/F5/atribucion_combinada.csv</t>
        </is>
      </c>
      <c r="U1064" s="2">
        <f>IF(R1064=0,"",F1064/R1064)</f>
        <v/>
      </c>
      <c r="V1064" s="2">
        <f>SUMIFS(F$2:F$1589,A$2:A$1589,A1064,C$2:C$1589,C1064,E$2:E$1589,E1064,Q$2:Q$1589,Q1064)</f>
        <v/>
      </c>
    </row>
    <row r="1065">
      <c r="A1065" s="3" t="inlineStr">
        <is>
          <t>alquiler</t>
        </is>
      </c>
      <c r="B1065" s="3" t="inlineStr">
        <is>
          <t>ccaa:11</t>
        </is>
      </c>
      <c r="C1065" s="3" t="inlineStr">
        <is>
          <t>P2</t>
        </is>
      </c>
      <c r="D1065" s="3" t="inlineStr">
        <is>
          <t>residuo</t>
        </is>
      </c>
      <c r="E1065" s="3" t="inlineStr">
        <is>
          <t>regional_panel</t>
        </is>
      </c>
      <c r="F1065" s="3" t="n">
        <v>-1.69161</v>
      </c>
      <c r="G1065" s="3" t="n"/>
      <c r="H1065" s="3" t="n"/>
      <c r="I1065" s="3" t="n">
        <v>0.32957</v>
      </c>
      <c r="J1065" s="3" t="n">
        <v>-2.58632</v>
      </c>
      <c r="K1065" s="3" t="n">
        <v>-1.35361</v>
      </c>
      <c r="L1065" s="3" t="n">
        <v>-3.23112</v>
      </c>
      <c r="M1065" s="3" t="n">
        <v>-1.09374</v>
      </c>
      <c r="N1065" s="3" t="inlineStr">
        <is>
          <t>C4</t>
        </is>
      </c>
      <c r="O1065" s="3" t="inlineStr">
        <is>
          <t>no</t>
        </is>
      </c>
      <c r="P1065" s="3" t="inlineStr">
        <is>
          <t>no_compite</t>
        </is>
      </c>
      <c r="Q1065" s="3" t="inlineStr">
        <is>
          <t>panel_covariables</t>
        </is>
      </c>
      <c r="R1065" s="3" t="n"/>
      <c r="S1065" s="3" t="inlineStr">
        <is>
          <t>contraste regional (R6); no vota</t>
        </is>
      </c>
      <c r="T1065" s="3" t="inlineStr">
        <is>
          <t>output/v8/F5/atribucion_combinada.csv</t>
        </is>
      </c>
      <c r="U1065" s="2">
        <f>IF(R1065=0,"",F1065/R1065)</f>
        <v/>
      </c>
      <c r="V1065" s="2">
        <f>SUMIFS(F$2:F$1589,A$2:A$1589,A1065,C$2:C$1589,C1065,E$2:E$1589,E1065,Q$2:Q$1589,Q1065)</f>
        <v/>
      </c>
    </row>
    <row r="1066">
      <c r="A1066" s="3" t="inlineStr">
        <is>
          <t>alquiler</t>
        </is>
      </c>
      <c r="B1066" s="3" t="inlineStr">
        <is>
          <t>ccaa:12</t>
        </is>
      </c>
      <c r="C1066" s="3" t="inlineStr">
        <is>
          <t>P2</t>
        </is>
      </c>
      <c r="D1066" s="3" t="inlineStr">
        <is>
          <t>factor_comun</t>
        </is>
      </c>
      <c r="E1066" s="3" t="inlineStr">
        <is>
          <t>regional_panel</t>
        </is>
      </c>
      <c r="F1066" s="3" t="n">
        <v>-3.50963</v>
      </c>
      <c r="G1066" s="3" t="n"/>
      <c r="H1066" s="3" t="n"/>
      <c r="I1066" s="3" t="n">
        <v>3.5731</v>
      </c>
      <c r="J1066" s="3" t="n">
        <v>-7.73728</v>
      </c>
      <c r="K1066" s="3" t="n">
        <v>0.660335</v>
      </c>
      <c r="L1066" s="3" t="n">
        <v>-9.80547</v>
      </c>
      <c r="M1066" s="3" t="n">
        <v>3.299</v>
      </c>
      <c r="N1066" s="3" t="inlineStr">
        <is>
          <t>C4</t>
        </is>
      </c>
      <c r="O1066" s="3" t="inlineStr">
        <is>
          <t>no</t>
        </is>
      </c>
      <c r="P1066" s="3" t="inlineStr">
        <is>
          <t>no_compite</t>
        </is>
      </c>
      <c r="Q1066" s="3" t="inlineStr">
        <is>
          <t>panel_covariables</t>
        </is>
      </c>
      <c r="R1066" s="3" t="n"/>
      <c r="S1066" s="3" t="inlineStr">
        <is>
          <t>contraste regional (R6); no vota</t>
        </is>
      </c>
      <c r="T1066" s="3" t="inlineStr">
        <is>
          <t>output/v8/F5/atribucion_combinada.csv</t>
        </is>
      </c>
      <c r="U1066" s="2">
        <f>IF(R1066=0,"",F1066/R1066)</f>
        <v/>
      </c>
      <c r="V1066" s="2">
        <f>SUMIFS(F$2:F$1589,A$2:A$1589,A1066,C$2:C$1589,C1066,E$2:E$1589,E1066,Q$2:Q$1589,Q1066)</f>
        <v/>
      </c>
    </row>
    <row r="1067">
      <c r="A1067" s="3" t="inlineStr">
        <is>
          <t>alquiler</t>
        </is>
      </c>
      <c r="B1067" s="3" t="inlineStr">
        <is>
          <t>ccaa:12</t>
        </is>
      </c>
      <c r="C1067" s="3" t="inlineStr">
        <is>
          <t>P2</t>
        </is>
      </c>
      <c r="D1067" s="3" t="inlineStr">
        <is>
          <t>empleo_renta</t>
        </is>
      </c>
      <c r="E1067" s="3" t="inlineStr">
        <is>
          <t>regional_panel</t>
        </is>
      </c>
      <c r="F1067" s="3" t="n">
        <v>0.07974680000000001</v>
      </c>
      <c r="G1067" s="3" t="n"/>
      <c r="H1067" s="3" t="n"/>
      <c r="I1067" s="3" t="n">
        <v>-0.0811891</v>
      </c>
      <c r="J1067" s="3" t="n">
        <v>-0.250375</v>
      </c>
      <c r="K1067" s="3" t="n">
        <v>0.543235</v>
      </c>
      <c r="L1067" s="3" t="n">
        <v>-0.494964</v>
      </c>
      <c r="M1067" s="3" t="n">
        <v>0.752134</v>
      </c>
      <c r="N1067" s="3" t="inlineStr">
        <is>
          <t>C4</t>
        </is>
      </c>
      <c r="O1067" s="3" t="inlineStr">
        <is>
          <t>si</t>
        </is>
      </c>
      <c r="P1067" s="3" t="inlineStr">
        <is>
          <t>no_vota</t>
        </is>
      </c>
      <c r="Q1067" s="3" t="inlineStr">
        <is>
          <t>panel_covariables</t>
        </is>
      </c>
      <c r="R1067" s="3" t="n"/>
      <c r="S1067" s="3" t="inlineStr">
        <is>
          <t>contraste regional (R6); no vota</t>
        </is>
      </c>
      <c r="T1067" s="3" t="inlineStr">
        <is>
          <t>output/v8/F5/atribucion_combinada.csv</t>
        </is>
      </c>
      <c r="U1067" s="2">
        <f>IF(R1067=0,"",F1067/R1067)</f>
        <v/>
      </c>
      <c r="V1067" s="2">
        <f>SUMIFS(F$2:F$1589,A$2:A$1589,A1067,C$2:C$1589,C1067,E$2:E$1589,E1067,Q$2:Q$1589,Q1067)</f>
        <v/>
      </c>
    </row>
    <row r="1068">
      <c r="A1068" s="3" t="inlineStr">
        <is>
          <t>alquiler</t>
        </is>
      </c>
      <c r="B1068" s="3" t="inlineStr">
        <is>
          <t>ccaa:12</t>
        </is>
      </c>
      <c r="C1068" s="3" t="inlineStr">
        <is>
          <t>P2</t>
        </is>
      </c>
      <c r="D1068" s="3" t="inlineStr">
        <is>
          <t>demografia</t>
        </is>
      </c>
      <c r="E1068" s="3" t="inlineStr">
        <is>
          <t>regional_panel</t>
        </is>
      </c>
      <c r="F1068" s="3" t="n">
        <v>-0.183299</v>
      </c>
      <c r="G1068" s="3" t="n"/>
      <c r="H1068" s="3" t="n"/>
      <c r="I1068" s="3" t="n">
        <v>0.186614</v>
      </c>
      <c r="J1068" s="3" t="n">
        <v>-0.281193</v>
      </c>
      <c r="K1068" s="3" t="n">
        <v>0.05295</v>
      </c>
      <c r="L1068" s="3" t="n">
        <v>-0.337178</v>
      </c>
      <c r="M1068" s="3" t="n">
        <v>0.306274</v>
      </c>
      <c r="N1068" s="3" t="inlineStr">
        <is>
          <t>C4</t>
        </is>
      </c>
      <c r="O1068" s="3" t="inlineStr">
        <is>
          <t>si</t>
        </is>
      </c>
      <c r="P1068" s="3" t="inlineStr">
        <is>
          <t>no_vota</t>
        </is>
      </c>
      <c r="Q1068" s="3" t="inlineStr">
        <is>
          <t>panel_covariables</t>
        </is>
      </c>
      <c r="R1068" s="3" t="n"/>
      <c r="S1068" s="3" t="inlineStr">
        <is>
          <t>contraste regional (R6); no vota</t>
        </is>
      </c>
      <c r="T1068" s="3" t="inlineStr">
        <is>
          <t>output/v8/F5/atribucion_combinada.csv</t>
        </is>
      </c>
      <c r="U1068" s="2">
        <f>IF(R1068=0,"",F1068/R1068)</f>
        <v/>
      </c>
      <c r="V1068" s="2">
        <f>SUMIFS(F$2:F$1589,A$2:A$1589,A1068,C$2:C$1589,C1068,E$2:E$1589,E1068,Q$2:Q$1589,Q1068)</f>
        <v/>
      </c>
    </row>
    <row r="1069">
      <c r="A1069" s="3" t="inlineStr">
        <is>
          <t>alquiler</t>
        </is>
      </c>
      <c r="B1069" s="3" t="inlineStr">
        <is>
          <t>ccaa:12</t>
        </is>
      </c>
      <c r="C1069" s="3" t="inlineStr">
        <is>
          <t>P2</t>
        </is>
      </c>
      <c r="D1069" s="3" t="inlineStr">
        <is>
          <t>oferta</t>
        </is>
      </c>
      <c r="E1069" s="3" t="inlineStr">
        <is>
          <t>regional_panel</t>
        </is>
      </c>
      <c r="F1069" s="3" t="n">
        <v>0.295935</v>
      </c>
      <c r="G1069" s="3" t="n"/>
      <c r="H1069" s="3" t="n"/>
      <c r="I1069" s="3" t="n">
        <v>-0.301287</v>
      </c>
      <c r="J1069" s="3" t="n">
        <v>0.0432071</v>
      </c>
      <c r="K1069" s="3" t="n">
        <v>0.551135</v>
      </c>
      <c r="L1069" s="3" t="n">
        <v>0.00503612</v>
      </c>
      <c r="M1069" s="3" t="n">
        <v>0.731026</v>
      </c>
      <c r="N1069" s="3" t="inlineStr">
        <is>
          <t>C4</t>
        </is>
      </c>
      <c r="O1069" s="3" t="inlineStr">
        <is>
          <t>si</t>
        </is>
      </c>
      <c r="P1069" s="3" t="inlineStr">
        <is>
          <t>no_vota</t>
        </is>
      </c>
      <c r="Q1069" s="3" t="inlineStr">
        <is>
          <t>panel_covariables</t>
        </is>
      </c>
      <c r="R1069" s="3" t="n"/>
      <c r="S1069" s="3" t="inlineStr">
        <is>
          <t>contraste regional (R6); no vota</t>
        </is>
      </c>
      <c r="T1069" s="3" t="inlineStr">
        <is>
          <t>output/v8/F5/atribucion_combinada.csv</t>
        </is>
      </c>
      <c r="U1069" s="2">
        <f>IF(R1069=0,"",F1069/R1069)</f>
        <v/>
      </c>
      <c r="V1069" s="2">
        <f>SUMIFS(F$2:F$1589,A$2:A$1589,A1069,C$2:C$1589,C1069,E$2:E$1589,E1069,Q$2:Q$1589,Q1069)</f>
        <v/>
      </c>
    </row>
    <row r="1070">
      <c r="A1070" s="3" t="inlineStr">
        <is>
          <t>alquiler</t>
        </is>
      </c>
      <c r="B1070" s="3" t="inlineStr">
        <is>
          <t>ccaa:12</t>
        </is>
      </c>
      <c r="C1070" s="3" t="inlineStr">
        <is>
          <t>P2</t>
        </is>
      </c>
      <c r="D1070" s="3" t="inlineStr">
        <is>
          <t>demanda_externa</t>
        </is>
      </c>
      <c r="E1070" s="3" t="inlineStr">
        <is>
          <t>regional_panel</t>
        </is>
      </c>
      <c r="F1070" s="3" t="n">
        <v>-0.105991</v>
      </c>
      <c r="G1070" s="3" t="n"/>
      <c r="H1070" s="3" t="n"/>
      <c r="I1070" s="3" t="n">
        <v>0.107908</v>
      </c>
      <c r="J1070" s="3" t="n">
        <v>-0.138501</v>
      </c>
      <c r="K1070" s="3" t="n">
        <v>0.0124482</v>
      </c>
      <c r="L1070" s="3" t="n">
        <v>-0.192513</v>
      </c>
      <c r="M1070" s="3" t="n">
        <v>0.0896507</v>
      </c>
      <c r="N1070" s="3" t="inlineStr">
        <is>
          <t>C4</t>
        </is>
      </c>
      <c r="O1070" s="3" t="inlineStr">
        <is>
          <t>si</t>
        </is>
      </c>
      <c r="P1070" s="3" t="inlineStr">
        <is>
          <t>no_vota</t>
        </is>
      </c>
      <c r="Q1070" s="3" t="inlineStr">
        <is>
          <t>panel_covariables</t>
        </is>
      </c>
      <c r="R1070" s="3" t="n"/>
      <c r="S1070" s="3" t="inlineStr">
        <is>
          <t>contraste regional (R6); no vota</t>
        </is>
      </c>
      <c r="T1070" s="3" t="inlineStr">
        <is>
          <t>output/v8/F5/atribucion_combinada.csv</t>
        </is>
      </c>
      <c r="U1070" s="2">
        <f>IF(R1070=0,"",F1070/R1070)</f>
        <v/>
      </c>
      <c r="V1070" s="2">
        <f>SUMIFS(F$2:F$1589,A$2:A$1589,A1070,C$2:C$1589,C1070,E$2:E$1589,E1070,Q$2:Q$1589,Q1070)</f>
        <v/>
      </c>
    </row>
    <row r="1071">
      <c r="A1071" s="3" t="inlineStr">
        <is>
          <t>alquiler</t>
        </is>
      </c>
      <c r="B1071" s="3" t="inlineStr">
        <is>
          <t>ccaa:12</t>
        </is>
      </c>
      <c r="C1071" s="3" t="inlineStr">
        <is>
          <t>P2</t>
        </is>
      </c>
      <c r="D1071" s="3" t="inlineStr">
        <is>
          <t>residuo</t>
        </is>
      </c>
      <c r="E1071" s="3" t="inlineStr">
        <is>
          <t>regional_panel</t>
        </is>
      </c>
      <c r="F1071" s="3" t="n">
        <v>2.441</v>
      </c>
      <c r="G1071" s="3" t="n"/>
      <c r="H1071" s="3" t="n"/>
      <c r="I1071" s="3" t="n">
        <v>-2.48515</v>
      </c>
      <c r="J1071" s="3" t="n">
        <v>1.41944</v>
      </c>
      <c r="K1071" s="3" t="n">
        <v>3.0979</v>
      </c>
      <c r="L1071" s="3" t="n">
        <v>0.716182</v>
      </c>
      <c r="M1071" s="3" t="n">
        <v>3.58783</v>
      </c>
      <c r="N1071" s="3" t="inlineStr">
        <is>
          <t>C4</t>
        </is>
      </c>
      <c r="O1071" s="3" t="inlineStr">
        <is>
          <t>no</t>
        </is>
      </c>
      <c r="P1071" s="3" t="inlineStr">
        <is>
          <t>no_compite</t>
        </is>
      </c>
      <c r="Q1071" s="3" t="inlineStr">
        <is>
          <t>panel_covariables</t>
        </is>
      </c>
      <c r="R1071" s="3" t="n"/>
      <c r="S1071" s="3" t="inlineStr">
        <is>
          <t>contraste regional (R6); no vota</t>
        </is>
      </c>
      <c r="T1071" s="3" t="inlineStr">
        <is>
          <t>output/v8/F5/atribucion_combinada.csv</t>
        </is>
      </c>
      <c r="U1071" s="2">
        <f>IF(R1071=0,"",F1071/R1071)</f>
        <v/>
      </c>
      <c r="V1071" s="2">
        <f>SUMIFS(F$2:F$1589,A$2:A$1589,A1071,C$2:C$1589,C1071,E$2:E$1589,E1071,Q$2:Q$1589,Q1071)</f>
        <v/>
      </c>
    </row>
    <row r="1072">
      <c r="A1072" s="3" t="inlineStr">
        <is>
          <t>alquiler</t>
        </is>
      </c>
      <c r="B1072" s="3" t="inlineStr">
        <is>
          <t>ccaa:13</t>
        </is>
      </c>
      <c r="C1072" s="3" t="inlineStr">
        <is>
          <t>P2</t>
        </is>
      </c>
      <c r="D1072" s="3" t="inlineStr">
        <is>
          <t>factor_comun</t>
        </is>
      </c>
      <c r="E1072" s="3" t="inlineStr">
        <is>
          <t>regional_panel</t>
        </is>
      </c>
      <c r="F1072" s="3" t="n">
        <v>-3.50963</v>
      </c>
      <c r="G1072" s="3" t="n"/>
      <c r="H1072" s="3" t="n"/>
      <c r="I1072" s="3" t="n">
        <v>0.6538350000000001</v>
      </c>
      <c r="J1072" s="3" t="n">
        <v>-7.73728</v>
      </c>
      <c r="K1072" s="3" t="n">
        <v>0.660335</v>
      </c>
      <c r="L1072" s="3" t="n">
        <v>-9.80547</v>
      </c>
      <c r="M1072" s="3" t="n">
        <v>3.299</v>
      </c>
      <c r="N1072" s="3" t="inlineStr">
        <is>
          <t>C4</t>
        </is>
      </c>
      <c r="O1072" s="3" t="inlineStr">
        <is>
          <t>no</t>
        </is>
      </c>
      <c r="P1072" s="3" t="inlineStr">
        <is>
          <t>no_compite</t>
        </is>
      </c>
      <c r="Q1072" s="3" t="inlineStr">
        <is>
          <t>panel_covariables</t>
        </is>
      </c>
      <c r="R1072" s="3" t="n"/>
      <c r="S1072" s="3" t="inlineStr">
        <is>
          <t>contraste regional (R6); no vota</t>
        </is>
      </c>
      <c r="T1072" s="3" t="inlineStr">
        <is>
          <t>output/v8/F5/atribucion_combinada.csv</t>
        </is>
      </c>
      <c r="U1072" s="2">
        <f>IF(R1072=0,"",F1072/R1072)</f>
        <v/>
      </c>
      <c r="V1072" s="2">
        <f>SUMIFS(F$2:F$1589,A$2:A$1589,A1072,C$2:C$1589,C1072,E$2:E$1589,E1072,Q$2:Q$1589,Q1072)</f>
        <v/>
      </c>
    </row>
    <row r="1073">
      <c r="A1073" s="3" t="inlineStr">
        <is>
          <t>alquiler</t>
        </is>
      </c>
      <c r="B1073" s="3" t="inlineStr">
        <is>
          <t>ccaa:13</t>
        </is>
      </c>
      <c r="C1073" s="3" t="inlineStr">
        <is>
          <t>P2</t>
        </is>
      </c>
      <c r="D1073" s="3" t="inlineStr">
        <is>
          <t>empleo_renta</t>
        </is>
      </c>
      <c r="E1073" s="3" t="inlineStr">
        <is>
          <t>regional_panel</t>
        </is>
      </c>
      <c r="F1073" s="3" t="n">
        <v>0.0569197</v>
      </c>
      <c r="G1073" s="3" t="n"/>
      <c r="H1073" s="3" t="n"/>
      <c r="I1073" s="3" t="n">
        <v>-0.010604</v>
      </c>
      <c r="J1073" s="3" t="n">
        <v>-0.214307</v>
      </c>
      <c r="K1073" s="3" t="n">
        <v>0.361618</v>
      </c>
      <c r="L1073" s="3" t="n">
        <v>-0.477575</v>
      </c>
      <c r="M1073" s="3" t="n">
        <v>0.520521</v>
      </c>
      <c r="N1073" s="3" t="inlineStr">
        <is>
          <t>C4</t>
        </is>
      </c>
      <c r="O1073" s="3" t="inlineStr">
        <is>
          <t>si</t>
        </is>
      </c>
      <c r="P1073" s="3" t="inlineStr">
        <is>
          <t>no_vota</t>
        </is>
      </c>
      <c r="Q1073" s="3" t="inlineStr">
        <is>
          <t>panel_covariables</t>
        </is>
      </c>
      <c r="R1073" s="3" t="n"/>
      <c r="S1073" s="3" t="inlineStr">
        <is>
          <t>contraste regional (R6); no vota</t>
        </is>
      </c>
      <c r="T1073" s="3" t="inlineStr">
        <is>
          <t>output/v8/F5/atribucion_combinada.csv</t>
        </is>
      </c>
      <c r="U1073" s="2">
        <f>IF(R1073=0,"",F1073/R1073)</f>
        <v/>
      </c>
      <c r="V1073" s="2">
        <f>SUMIFS(F$2:F$1589,A$2:A$1589,A1073,C$2:C$1589,C1073,E$2:E$1589,E1073,Q$2:Q$1589,Q1073)</f>
        <v/>
      </c>
    </row>
    <row r="1074">
      <c r="A1074" s="3" t="inlineStr">
        <is>
          <t>alquiler</t>
        </is>
      </c>
      <c r="B1074" s="3" t="inlineStr">
        <is>
          <t>ccaa:13</t>
        </is>
      </c>
      <c r="C1074" s="3" t="inlineStr">
        <is>
          <t>P2</t>
        </is>
      </c>
      <c r="D1074" s="3" t="inlineStr">
        <is>
          <t>demografia</t>
        </is>
      </c>
      <c r="E1074" s="3" t="inlineStr">
        <is>
          <t>regional_panel</t>
        </is>
      </c>
      <c r="F1074" s="3" t="n">
        <v>1.68137</v>
      </c>
      <c r="G1074" s="3" t="n"/>
      <c r="H1074" s="3" t="n"/>
      <c r="I1074" s="3" t="n">
        <v>-0.313236</v>
      </c>
      <c r="J1074" s="3" t="n">
        <v>1.31136</v>
      </c>
      <c r="K1074" s="3" t="n">
        <v>2.78759</v>
      </c>
      <c r="L1074" s="3" t="n">
        <v>0.578593</v>
      </c>
      <c r="M1074" s="3" t="n">
        <v>3.37352</v>
      </c>
      <c r="N1074" s="3" t="inlineStr">
        <is>
          <t>C4</t>
        </is>
      </c>
      <c r="O1074" s="3" t="inlineStr">
        <is>
          <t>si</t>
        </is>
      </c>
      <c r="P1074" s="3" t="inlineStr">
        <is>
          <t>no_vota</t>
        </is>
      </c>
      <c r="Q1074" s="3" t="inlineStr">
        <is>
          <t>panel_covariables</t>
        </is>
      </c>
      <c r="R1074" s="3" t="n"/>
      <c r="S1074" s="3" t="inlineStr">
        <is>
          <t>contraste regional (R6); no vota</t>
        </is>
      </c>
      <c r="T1074" s="3" t="inlineStr">
        <is>
          <t>output/v8/F5/atribucion_combinada.csv</t>
        </is>
      </c>
      <c r="U1074" s="2">
        <f>IF(R1074=0,"",F1074/R1074)</f>
        <v/>
      </c>
      <c r="V1074" s="2">
        <f>SUMIFS(F$2:F$1589,A$2:A$1589,A1074,C$2:C$1589,C1074,E$2:E$1589,E1074,Q$2:Q$1589,Q1074)</f>
        <v/>
      </c>
    </row>
    <row r="1075">
      <c r="A1075" s="3" t="inlineStr">
        <is>
          <t>alquiler</t>
        </is>
      </c>
      <c r="B1075" s="3" t="inlineStr">
        <is>
          <t>ccaa:13</t>
        </is>
      </c>
      <c r="C1075" s="3" t="inlineStr">
        <is>
          <t>P2</t>
        </is>
      </c>
      <c r="D1075" s="3" t="inlineStr">
        <is>
          <t>oferta</t>
        </is>
      </c>
      <c r="E1075" s="3" t="inlineStr">
        <is>
          <t>regional_panel</t>
        </is>
      </c>
      <c r="F1075" s="3" t="n">
        <v>0.181657</v>
      </c>
      <c r="G1075" s="3" t="n"/>
      <c r="H1075" s="3" t="n"/>
      <c r="I1075" s="3" t="n">
        <v>-0.0338423</v>
      </c>
      <c r="J1075" s="3" t="n">
        <v>0.0054778</v>
      </c>
      <c r="K1075" s="3" t="n">
        <v>0.424702</v>
      </c>
      <c r="L1075" s="3" t="n">
        <v>-0.0199517</v>
      </c>
      <c r="M1075" s="3" t="n">
        <v>0.678554</v>
      </c>
      <c r="N1075" s="3" t="inlineStr">
        <is>
          <t>C4</t>
        </is>
      </c>
      <c r="O1075" s="3" t="inlineStr">
        <is>
          <t>si</t>
        </is>
      </c>
      <c r="P1075" s="3" t="inlineStr">
        <is>
          <t>no_vota</t>
        </is>
      </c>
      <c r="Q1075" s="3" t="inlineStr">
        <is>
          <t>panel_covariables</t>
        </is>
      </c>
      <c r="R1075" s="3" t="n"/>
      <c r="S1075" s="3" t="inlineStr">
        <is>
          <t>contraste regional (R6); no vota</t>
        </is>
      </c>
      <c r="T1075" s="3" t="inlineStr">
        <is>
          <t>output/v8/F5/atribucion_combinada.csv</t>
        </is>
      </c>
      <c r="U1075" s="2">
        <f>IF(R1075=0,"",F1075/R1075)</f>
        <v/>
      </c>
      <c r="V1075" s="2">
        <f>SUMIFS(F$2:F$1589,A$2:A$1589,A1075,C$2:C$1589,C1075,E$2:E$1589,E1075,Q$2:Q$1589,Q1075)</f>
        <v/>
      </c>
    </row>
    <row r="1076">
      <c r="A1076" s="3" t="inlineStr">
        <is>
          <t>alquiler</t>
        </is>
      </c>
      <c r="B1076" s="3" t="inlineStr">
        <is>
          <t>ccaa:13</t>
        </is>
      </c>
      <c r="C1076" s="3" t="inlineStr">
        <is>
          <t>P2</t>
        </is>
      </c>
      <c r="D1076" s="3" t="inlineStr">
        <is>
          <t>demanda_externa</t>
        </is>
      </c>
      <c r="E1076" s="3" t="inlineStr">
        <is>
          <t>regional_panel</t>
        </is>
      </c>
      <c r="F1076" s="3" t="n">
        <v>0.0602749</v>
      </c>
      <c r="G1076" s="3" t="n"/>
      <c r="H1076" s="3" t="n"/>
      <c r="I1076" s="3" t="n">
        <v>-0.0112291</v>
      </c>
      <c r="J1076" s="3" t="n">
        <v>-0.000106724</v>
      </c>
      <c r="K1076" s="3" t="n">
        <v>0.166991</v>
      </c>
      <c r="L1076" s="3" t="n">
        <v>-0.0149622</v>
      </c>
      <c r="M1076" s="3" t="n">
        <v>0.315288</v>
      </c>
      <c r="N1076" s="3" t="inlineStr">
        <is>
          <t>C4</t>
        </is>
      </c>
      <c r="O1076" s="3" t="inlineStr">
        <is>
          <t>si</t>
        </is>
      </c>
      <c r="P1076" s="3" t="inlineStr">
        <is>
          <t>no_vota</t>
        </is>
      </c>
      <c r="Q1076" s="3" t="inlineStr">
        <is>
          <t>panel_covariables</t>
        </is>
      </c>
      <c r="R1076" s="3" t="n"/>
      <c r="S1076" s="3" t="inlineStr">
        <is>
          <t>contraste regional (R6); no vota</t>
        </is>
      </c>
      <c r="T1076" s="3" t="inlineStr">
        <is>
          <t>output/v8/F5/atribucion_combinada.csv</t>
        </is>
      </c>
      <c r="U1076" s="2">
        <f>IF(R1076=0,"",F1076/R1076)</f>
        <v/>
      </c>
      <c r="V1076" s="2">
        <f>SUMIFS(F$2:F$1589,A$2:A$1589,A1076,C$2:C$1589,C1076,E$2:E$1589,E1076,Q$2:Q$1589,Q1076)</f>
        <v/>
      </c>
    </row>
    <row r="1077">
      <c r="A1077" s="3" t="inlineStr">
        <is>
          <t>alquiler</t>
        </is>
      </c>
      <c r="B1077" s="3" t="inlineStr">
        <is>
          <t>ccaa:13</t>
        </is>
      </c>
      <c r="C1077" s="3" t="inlineStr">
        <is>
          <t>P2</t>
        </is>
      </c>
      <c r="D1077" s="3" t="inlineStr">
        <is>
          <t>residuo</t>
        </is>
      </c>
      <c r="E1077" s="3" t="inlineStr">
        <is>
          <t>regional_panel</t>
        </is>
      </c>
      <c r="F1077" s="3" t="n">
        <v>-3.83835</v>
      </c>
      <c r="G1077" s="3" t="n"/>
      <c r="H1077" s="3" t="n"/>
      <c r="I1077" s="3" t="n">
        <v>0.715076</v>
      </c>
      <c r="J1077" s="3" t="n">
        <v>-5.3535</v>
      </c>
      <c r="K1077" s="3" t="n">
        <v>-2.81718</v>
      </c>
      <c r="L1077" s="3" t="n">
        <v>-5.96975</v>
      </c>
      <c r="M1077" s="3" t="n">
        <v>-1.63883</v>
      </c>
      <c r="N1077" s="3" t="inlineStr">
        <is>
          <t>C4</t>
        </is>
      </c>
      <c r="O1077" s="3" t="inlineStr">
        <is>
          <t>no</t>
        </is>
      </c>
      <c r="P1077" s="3" t="inlineStr">
        <is>
          <t>no_compite</t>
        </is>
      </c>
      <c r="Q1077" s="3" t="inlineStr">
        <is>
          <t>panel_covariables</t>
        </is>
      </c>
      <c r="R1077" s="3" t="n"/>
      <c r="S1077" s="3" t="inlineStr">
        <is>
          <t>contraste regional (R6); no vota</t>
        </is>
      </c>
      <c r="T1077" s="3" t="inlineStr">
        <is>
          <t>output/v8/F5/atribucion_combinada.csv</t>
        </is>
      </c>
      <c r="U1077" s="2">
        <f>IF(R1077=0,"",F1077/R1077)</f>
        <v/>
      </c>
      <c r="V1077" s="2">
        <f>SUMIFS(F$2:F$1589,A$2:A$1589,A1077,C$2:C$1589,C1077,E$2:E$1589,E1077,Q$2:Q$1589,Q1077)</f>
        <v/>
      </c>
    </row>
    <row r="1078">
      <c r="A1078" s="3" t="inlineStr">
        <is>
          <t>alquiler</t>
        </is>
      </c>
      <c r="B1078" s="3" t="inlineStr">
        <is>
          <t>ccaa:14</t>
        </is>
      </c>
      <c r="C1078" s="3" t="inlineStr">
        <is>
          <t>P2</t>
        </is>
      </c>
      <c r="D1078" s="3" t="inlineStr">
        <is>
          <t>factor_comun</t>
        </is>
      </c>
      <c r="E1078" s="3" t="inlineStr">
        <is>
          <t>regional_panel</t>
        </is>
      </c>
      <c r="F1078" s="3" t="n">
        <v>-3.50963</v>
      </c>
      <c r="G1078" s="3" t="n"/>
      <c r="H1078" s="3" t="n"/>
      <c r="I1078" s="3" t="n">
        <v>0.415348</v>
      </c>
      <c r="J1078" s="3" t="n">
        <v>-7.73728</v>
      </c>
      <c r="K1078" s="3" t="n">
        <v>0.660335</v>
      </c>
      <c r="L1078" s="3" t="n">
        <v>-9.80547</v>
      </c>
      <c r="M1078" s="3" t="n">
        <v>3.299</v>
      </c>
      <c r="N1078" s="3" t="inlineStr">
        <is>
          <t>C4</t>
        </is>
      </c>
      <c r="O1078" s="3" t="inlineStr">
        <is>
          <t>no</t>
        </is>
      </c>
      <c r="P1078" s="3" t="inlineStr">
        <is>
          <t>no_compite</t>
        </is>
      </c>
      <c r="Q1078" s="3" t="inlineStr">
        <is>
          <t>panel_covariables</t>
        </is>
      </c>
      <c r="R1078" s="3" t="n"/>
      <c r="S1078" s="3" t="inlineStr">
        <is>
          <t>contraste regional (R6); no vota</t>
        </is>
      </c>
      <c r="T1078" s="3" t="inlineStr">
        <is>
          <t>output/v8/F5/atribucion_combinada.csv</t>
        </is>
      </c>
      <c r="U1078" s="2">
        <f>IF(R1078=0,"",F1078/R1078)</f>
        <v/>
      </c>
      <c r="V1078" s="2">
        <f>SUMIFS(F$2:F$1589,A$2:A$1589,A1078,C$2:C$1589,C1078,E$2:E$1589,E1078,Q$2:Q$1589,Q1078)</f>
        <v/>
      </c>
    </row>
    <row r="1079">
      <c r="A1079" s="3" t="inlineStr">
        <is>
          <t>alquiler</t>
        </is>
      </c>
      <c r="B1079" s="3" t="inlineStr">
        <is>
          <t>ccaa:14</t>
        </is>
      </c>
      <c r="C1079" s="3" t="inlineStr">
        <is>
          <t>P2</t>
        </is>
      </c>
      <c r="D1079" s="3" t="inlineStr">
        <is>
          <t>empleo_renta</t>
        </is>
      </c>
      <c r="E1079" s="3" t="inlineStr">
        <is>
          <t>regional_panel</t>
        </is>
      </c>
      <c r="F1079" s="3" t="n">
        <v>0.0591005</v>
      </c>
      <c r="G1079" s="3" t="n"/>
      <c r="H1079" s="3" t="n"/>
      <c r="I1079" s="3" t="n">
        <v>-0.00699427</v>
      </c>
      <c r="J1079" s="3" t="n">
        <v>-0.318798</v>
      </c>
      <c r="K1079" s="3" t="n">
        <v>0.569565</v>
      </c>
      <c r="L1079" s="3" t="n">
        <v>-0.710825</v>
      </c>
      <c r="M1079" s="3" t="n">
        <v>0.720894</v>
      </c>
      <c r="N1079" s="3" t="inlineStr">
        <is>
          <t>C4</t>
        </is>
      </c>
      <c r="O1079" s="3" t="inlineStr">
        <is>
          <t>si</t>
        </is>
      </c>
      <c r="P1079" s="3" t="inlineStr">
        <is>
          <t>no_vota</t>
        </is>
      </c>
      <c r="Q1079" s="3" t="inlineStr">
        <is>
          <t>panel_covariables</t>
        </is>
      </c>
      <c r="R1079" s="3" t="n"/>
      <c r="S1079" s="3" t="inlineStr">
        <is>
          <t>contraste regional (R6); no vota</t>
        </is>
      </c>
      <c r="T1079" s="3" t="inlineStr">
        <is>
          <t>output/v8/F5/atribucion_combinada.csv</t>
        </is>
      </c>
      <c r="U1079" s="2">
        <f>IF(R1079=0,"",F1079/R1079)</f>
        <v/>
      </c>
      <c r="V1079" s="2">
        <f>SUMIFS(F$2:F$1589,A$2:A$1589,A1079,C$2:C$1589,C1079,E$2:E$1589,E1079,Q$2:Q$1589,Q1079)</f>
        <v/>
      </c>
    </row>
    <row r="1080">
      <c r="A1080" s="3" t="inlineStr">
        <is>
          <t>alquiler</t>
        </is>
      </c>
      <c r="B1080" s="3" t="inlineStr">
        <is>
          <t>ccaa:14</t>
        </is>
      </c>
      <c r="C1080" s="3" t="inlineStr">
        <is>
          <t>P2</t>
        </is>
      </c>
      <c r="D1080" s="3" t="inlineStr">
        <is>
          <t>demografia</t>
        </is>
      </c>
      <c r="E1080" s="3" t="inlineStr">
        <is>
          <t>regional_panel</t>
        </is>
      </c>
      <c r="F1080" s="3" t="n">
        <v>1.29767</v>
      </c>
      <c r="G1080" s="3" t="n"/>
      <c r="H1080" s="3" t="n"/>
      <c r="I1080" s="3" t="n">
        <v>-0.153573</v>
      </c>
      <c r="J1080" s="3" t="n">
        <v>1.04259</v>
      </c>
      <c r="K1080" s="3" t="n">
        <v>1.94802</v>
      </c>
      <c r="L1080" s="3" t="n">
        <v>0.609411</v>
      </c>
      <c r="M1080" s="3" t="n">
        <v>2.22354</v>
      </c>
      <c r="N1080" s="3" t="inlineStr">
        <is>
          <t>C4</t>
        </is>
      </c>
      <c r="O1080" s="3" t="inlineStr">
        <is>
          <t>si</t>
        </is>
      </c>
      <c r="P1080" s="3" t="inlineStr">
        <is>
          <t>no_vota</t>
        </is>
      </c>
      <c r="Q1080" s="3" t="inlineStr">
        <is>
          <t>panel_covariables</t>
        </is>
      </c>
      <c r="R1080" s="3" t="n"/>
      <c r="S1080" s="3" t="inlineStr">
        <is>
          <t>contraste regional (R6); no vota</t>
        </is>
      </c>
      <c r="T1080" s="3" t="inlineStr">
        <is>
          <t>output/v8/F5/atribucion_combinada.csv</t>
        </is>
      </c>
      <c r="U1080" s="2">
        <f>IF(R1080=0,"",F1080/R1080)</f>
        <v/>
      </c>
      <c r="V1080" s="2">
        <f>SUMIFS(F$2:F$1589,A$2:A$1589,A1080,C$2:C$1589,C1080,E$2:E$1589,E1080,Q$2:Q$1589,Q1080)</f>
        <v/>
      </c>
    </row>
    <row r="1081">
      <c r="A1081" s="3" t="inlineStr">
        <is>
          <t>alquiler</t>
        </is>
      </c>
      <c r="B1081" s="3" t="inlineStr">
        <is>
          <t>ccaa:14</t>
        </is>
      </c>
      <c r="C1081" s="3" t="inlineStr">
        <is>
          <t>P2</t>
        </is>
      </c>
      <c r="D1081" s="3" t="inlineStr">
        <is>
          <t>oferta</t>
        </is>
      </c>
      <c r="E1081" s="3" t="inlineStr">
        <is>
          <t>regional_panel</t>
        </is>
      </c>
      <c r="F1081" s="3" t="n">
        <v>0.423765</v>
      </c>
      <c r="G1081" s="3" t="n"/>
      <c r="H1081" s="3" t="n"/>
      <c r="I1081" s="3" t="n">
        <v>-0.0501505</v>
      </c>
      <c r="J1081" s="3" t="n">
        <v>0.0511536</v>
      </c>
      <c r="K1081" s="3" t="n">
        <v>0.793766</v>
      </c>
      <c r="L1081" s="3" t="n">
        <v>0.00548362</v>
      </c>
      <c r="M1081" s="3" t="n">
        <v>1.18067</v>
      </c>
      <c r="N1081" s="3" t="inlineStr">
        <is>
          <t>C4</t>
        </is>
      </c>
      <c r="O1081" s="3" t="inlineStr">
        <is>
          <t>si</t>
        </is>
      </c>
      <c r="P1081" s="3" t="inlineStr">
        <is>
          <t>no_vota</t>
        </is>
      </c>
      <c r="Q1081" s="3" t="inlineStr">
        <is>
          <t>panel_covariables</t>
        </is>
      </c>
      <c r="R1081" s="3" t="n"/>
      <c r="S1081" s="3" t="inlineStr">
        <is>
          <t>contraste regional (R6); no vota</t>
        </is>
      </c>
      <c r="T1081" s="3" t="inlineStr">
        <is>
          <t>output/v8/F5/atribucion_combinada.csv</t>
        </is>
      </c>
      <c r="U1081" s="2">
        <f>IF(R1081=0,"",F1081/R1081)</f>
        <v/>
      </c>
      <c r="V1081" s="2">
        <f>SUMIFS(F$2:F$1589,A$2:A$1589,A1081,C$2:C$1589,C1081,E$2:E$1589,E1081,Q$2:Q$1589,Q1081)</f>
        <v/>
      </c>
    </row>
    <row r="1082">
      <c r="A1082" s="3" t="inlineStr">
        <is>
          <t>alquiler</t>
        </is>
      </c>
      <c r="B1082" s="3" t="inlineStr">
        <is>
          <t>ccaa:14</t>
        </is>
      </c>
      <c r="C1082" s="3" t="inlineStr">
        <is>
          <t>P2</t>
        </is>
      </c>
      <c r="D1082" s="3" t="inlineStr">
        <is>
          <t>demanda_externa</t>
        </is>
      </c>
      <c r="E1082" s="3" t="inlineStr">
        <is>
          <t>regional_panel</t>
        </is>
      </c>
      <c r="F1082" s="3" t="n">
        <v>-0.0226279</v>
      </c>
      <c r="G1082" s="3" t="n"/>
      <c r="H1082" s="3" t="n"/>
      <c r="I1082" s="3" t="n">
        <v>0.0026779</v>
      </c>
      <c r="J1082" s="3" t="n">
        <v>-0.104585</v>
      </c>
      <c r="K1082" s="3" t="n">
        <v>0.00650184</v>
      </c>
      <c r="L1082" s="3" t="n">
        <v>-0.203523</v>
      </c>
      <c r="M1082" s="3" t="n">
        <v>0.0214366</v>
      </c>
      <c r="N1082" s="3" t="inlineStr">
        <is>
          <t>C4</t>
        </is>
      </c>
      <c r="O1082" s="3" t="inlineStr">
        <is>
          <t>si</t>
        </is>
      </c>
      <c r="P1082" s="3" t="inlineStr">
        <is>
          <t>no_vota</t>
        </is>
      </c>
      <c r="Q1082" s="3" t="inlineStr">
        <is>
          <t>panel_covariables</t>
        </is>
      </c>
      <c r="R1082" s="3" t="n"/>
      <c r="S1082" s="3" t="inlineStr">
        <is>
          <t>contraste regional (R6); no vota</t>
        </is>
      </c>
      <c r="T1082" s="3" t="inlineStr">
        <is>
          <t>output/v8/F5/atribucion_combinada.csv</t>
        </is>
      </c>
      <c r="U1082" s="2">
        <f>IF(R1082=0,"",F1082/R1082)</f>
        <v/>
      </c>
      <c r="V1082" s="2">
        <f>SUMIFS(F$2:F$1589,A$2:A$1589,A1082,C$2:C$1589,C1082,E$2:E$1589,E1082,Q$2:Q$1589,Q1082)</f>
        <v/>
      </c>
    </row>
    <row r="1083">
      <c r="A1083" s="3" t="inlineStr">
        <is>
          <t>alquiler</t>
        </is>
      </c>
      <c r="B1083" s="3" t="inlineStr">
        <is>
          <t>ccaa:14</t>
        </is>
      </c>
      <c r="C1083" s="3" t="inlineStr">
        <is>
          <t>P2</t>
        </is>
      </c>
      <c r="D1083" s="3" t="inlineStr">
        <is>
          <t>residuo</t>
        </is>
      </c>
      <c r="E1083" s="3" t="inlineStr">
        <is>
          <t>regional_panel</t>
        </is>
      </c>
      <c r="F1083" s="3" t="n">
        <v>-6.69814</v>
      </c>
      <c r="G1083" s="3" t="n"/>
      <c r="H1083" s="3" t="n"/>
      <c r="I1083" s="3" t="n">
        <v>0.792693</v>
      </c>
      <c r="J1083" s="3" t="n">
        <v>-8.36435</v>
      </c>
      <c r="K1083" s="3" t="n">
        <v>-5.39894</v>
      </c>
      <c r="L1083" s="3" t="n">
        <v>-8.986230000000001</v>
      </c>
      <c r="M1083" s="3" t="n">
        <v>-3.85994</v>
      </c>
      <c r="N1083" s="3" t="inlineStr">
        <is>
          <t>C4</t>
        </is>
      </c>
      <c r="O1083" s="3" t="inlineStr">
        <is>
          <t>no</t>
        </is>
      </c>
      <c r="P1083" s="3" t="inlineStr">
        <is>
          <t>no_compite</t>
        </is>
      </c>
      <c r="Q1083" s="3" t="inlineStr">
        <is>
          <t>panel_covariables</t>
        </is>
      </c>
      <c r="R1083" s="3" t="n"/>
      <c r="S1083" s="3" t="inlineStr">
        <is>
          <t>contraste regional (R6); no vota</t>
        </is>
      </c>
      <c r="T1083" s="3" t="inlineStr">
        <is>
          <t>output/v8/F5/atribucion_combinada.csv</t>
        </is>
      </c>
      <c r="U1083" s="2">
        <f>IF(R1083=0,"",F1083/R1083)</f>
        <v/>
      </c>
      <c r="V1083" s="2">
        <f>SUMIFS(F$2:F$1589,A$2:A$1589,A1083,C$2:C$1589,C1083,E$2:E$1589,E1083,Q$2:Q$1589,Q1083)</f>
        <v/>
      </c>
    </row>
    <row r="1084">
      <c r="A1084" s="3" t="inlineStr">
        <is>
          <t>alquiler</t>
        </is>
      </c>
      <c r="B1084" s="3" t="inlineStr">
        <is>
          <t>ccaa:15</t>
        </is>
      </c>
      <c r="C1084" s="3" t="inlineStr">
        <is>
          <t>P2</t>
        </is>
      </c>
      <c r="D1084" s="3" t="inlineStr">
        <is>
          <t>factor_comun</t>
        </is>
      </c>
      <c r="E1084" s="3" t="inlineStr">
        <is>
          <t>regional_panel</t>
        </is>
      </c>
      <c r="F1084" s="3" t="n">
        <v>-3.50963</v>
      </c>
      <c r="G1084" s="3" t="n"/>
      <c r="H1084" s="3" t="n"/>
      <c r="I1084" s="3" t="n">
        <v>0.330006</v>
      </c>
      <c r="J1084" s="3" t="n">
        <v>-7.73728</v>
      </c>
      <c r="K1084" s="3" t="n">
        <v>0.660335</v>
      </c>
      <c r="L1084" s="3" t="n">
        <v>-9.80547</v>
      </c>
      <c r="M1084" s="3" t="n">
        <v>3.299</v>
      </c>
      <c r="N1084" s="3" t="inlineStr">
        <is>
          <t>C4</t>
        </is>
      </c>
      <c r="O1084" s="3" t="inlineStr">
        <is>
          <t>no</t>
        </is>
      </c>
      <c r="P1084" s="3" t="inlineStr">
        <is>
          <t>no_compite</t>
        </is>
      </c>
      <c r="Q1084" s="3" t="inlineStr">
        <is>
          <t>panel_covariables</t>
        </is>
      </c>
      <c r="R1084" s="3" t="n"/>
      <c r="S1084" s="3" t="inlineStr">
        <is>
          <t>contraste regional (R6); no vota</t>
        </is>
      </c>
      <c r="T1084" s="3" t="inlineStr">
        <is>
          <t>output/v8/F5/atribucion_combinada.csv</t>
        </is>
      </c>
      <c r="U1084" s="2">
        <f>IF(R1084=0,"",F1084/R1084)</f>
        <v/>
      </c>
      <c r="V1084" s="2">
        <f>SUMIFS(F$2:F$1589,A$2:A$1589,A1084,C$2:C$1589,C1084,E$2:E$1589,E1084,Q$2:Q$1589,Q1084)</f>
        <v/>
      </c>
    </row>
    <row r="1085">
      <c r="A1085" s="3" t="inlineStr">
        <is>
          <t>alquiler</t>
        </is>
      </c>
      <c r="B1085" s="3" t="inlineStr">
        <is>
          <t>ccaa:15</t>
        </is>
      </c>
      <c r="C1085" s="3" t="inlineStr">
        <is>
          <t>P2</t>
        </is>
      </c>
      <c r="D1085" s="3" t="inlineStr">
        <is>
          <t>empleo_renta</t>
        </is>
      </c>
      <c r="E1085" s="3" t="inlineStr">
        <is>
          <t>regional_panel</t>
        </is>
      </c>
      <c r="F1085" s="3" t="n">
        <v>0.0462631</v>
      </c>
      <c r="G1085" s="3" t="n"/>
      <c r="H1085" s="3" t="n"/>
      <c r="I1085" s="3" t="n">
        <v>-0.00435007</v>
      </c>
      <c r="J1085" s="3" t="n">
        <v>-0.214017</v>
      </c>
      <c r="K1085" s="3" t="n">
        <v>0.394522</v>
      </c>
      <c r="L1085" s="3" t="n">
        <v>-0.436715</v>
      </c>
      <c r="M1085" s="3" t="n">
        <v>0.522824</v>
      </c>
      <c r="N1085" s="3" t="inlineStr">
        <is>
          <t>C4</t>
        </is>
      </c>
      <c r="O1085" s="3" t="inlineStr">
        <is>
          <t>si</t>
        </is>
      </c>
      <c r="P1085" s="3" t="inlineStr">
        <is>
          <t>no_vota</t>
        </is>
      </c>
      <c r="Q1085" s="3" t="inlineStr">
        <is>
          <t>panel_covariables</t>
        </is>
      </c>
      <c r="R1085" s="3" t="n"/>
      <c r="S1085" s="3" t="inlineStr">
        <is>
          <t>contraste regional (R6); no vota</t>
        </is>
      </c>
      <c r="T1085" s="3" t="inlineStr">
        <is>
          <t>output/v8/F5/atribucion_combinada.csv</t>
        </is>
      </c>
      <c r="U1085" s="2">
        <f>IF(R1085=0,"",F1085/R1085)</f>
        <v/>
      </c>
      <c r="V1085" s="2">
        <f>SUMIFS(F$2:F$1589,A$2:A$1589,A1085,C$2:C$1589,C1085,E$2:E$1589,E1085,Q$2:Q$1589,Q1085)</f>
        <v/>
      </c>
    </row>
    <row r="1086">
      <c r="A1086" s="3" t="inlineStr">
        <is>
          <t>alquiler</t>
        </is>
      </c>
      <c r="B1086" s="3" t="inlineStr">
        <is>
          <t>ccaa:15</t>
        </is>
      </c>
      <c r="C1086" s="3" t="inlineStr">
        <is>
          <t>P2</t>
        </is>
      </c>
      <c r="D1086" s="3" t="inlineStr">
        <is>
          <t>demografia</t>
        </is>
      </c>
      <c r="E1086" s="3" t="inlineStr">
        <is>
          <t>regional_panel</t>
        </is>
      </c>
      <c r="F1086" s="3" t="n">
        <v>1.63864</v>
      </c>
      <c r="G1086" s="3" t="n"/>
      <c r="H1086" s="3" t="n"/>
      <c r="I1086" s="3" t="n">
        <v>-0.15408</v>
      </c>
      <c r="J1086" s="3" t="n">
        <v>1.27598</v>
      </c>
      <c r="K1086" s="3" t="n">
        <v>2.59641</v>
      </c>
      <c r="L1086" s="3" t="n">
        <v>0.758553</v>
      </c>
      <c r="M1086" s="3" t="n">
        <v>3.12444</v>
      </c>
      <c r="N1086" s="3" t="inlineStr">
        <is>
          <t>C4</t>
        </is>
      </c>
      <c r="O1086" s="3" t="inlineStr">
        <is>
          <t>si</t>
        </is>
      </c>
      <c r="P1086" s="3" t="inlineStr">
        <is>
          <t>no_vota</t>
        </is>
      </c>
      <c r="Q1086" s="3" t="inlineStr">
        <is>
          <t>panel_covariables</t>
        </is>
      </c>
      <c r="R1086" s="3" t="n"/>
      <c r="S1086" s="3" t="inlineStr">
        <is>
          <t>contraste regional (R6); no vota</t>
        </is>
      </c>
      <c r="T1086" s="3" t="inlineStr">
        <is>
          <t>output/v8/F5/atribucion_combinada.csv</t>
        </is>
      </c>
      <c r="U1086" s="2">
        <f>IF(R1086=0,"",F1086/R1086)</f>
        <v/>
      </c>
      <c r="V1086" s="2">
        <f>SUMIFS(F$2:F$1589,A$2:A$1589,A1086,C$2:C$1589,C1086,E$2:E$1589,E1086,Q$2:Q$1589,Q1086)</f>
        <v/>
      </c>
    </row>
    <row r="1087">
      <c r="A1087" s="3" t="inlineStr">
        <is>
          <t>alquiler</t>
        </is>
      </c>
      <c r="B1087" s="3" t="inlineStr">
        <is>
          <t>ccaa:15</t>
        </is>
      </c>
      <c r="C1087" s="3" t="inlineStr">
        <is>
          <t>P2</t>
        </is>
      </c>
      <c r="D1087" s="3" t="inlineStr">
        <is>
          <t>oferta</t>
        </is>
      </c>
      <c r="E1087" s="3" t="inlineStr">
        <is>
          <t>regional_panel</t>
        </is>
      </c>
      <c r="F1087" s="3" t="n">
        <v>0.247417</v>
      </c>
      <c r="G1087" s="3" t="n"/>
      <c r="H1087" s="3" t="n"/>
      <c r="I1087" s="3" t="n">
        <v>-0.0232643</v>
      </c>
      <c r="J1087" s="3" t="n">
        <v>0.0212765</v>
      </c>
      <c r="K1087" s="3" t="n">
        <v>0.569076</v>
      </c>
      <c r="L1087" s="3" t="n">
        <v>0.0007680779999999999</v>
      </c>
      <c r="M1087" s="3" t="n">
        <v>0.813929</v>
      </c>
      <c r="N1087" s="3" t="inlineStr">
        <is>
          <t>C4</t>
        </is>
      </c>
      <c r="O1087" s="3" t="inlineStr">
        <is>
          <t>si</t>
        </is>
      </c>
      <c r="P1087" s="3" t="inlineStr">
        <is>
          <t>no_vota</t>
        </is>
      </c>
      <c r="Q1087" s="3" t="inlineStr">
        <is>
          <t>panel_covariables</t>
        </is>
      </c>
      <c r="R1087" s="3" t="n"/>
      <c r="S1087" s="3" t="inlineStr">
        <is>
          <t>contraste regional (R6); no vota</t>
        </is>
      </c>
      <c r="T1087" s="3" t="inlineStr">
        <is>
          <t>output/v8/F5/atribucion_combinada.csv</t>
        </is>
      </c>
      <c r="U1087" s="2">
        <f>IF(R1087=0,"",F1087/R1087)</f>
        <v/>
      </c>
      <c r="V1087" s="2">
        <f>SUMIFS(F$2:F$1589,A$2:A$1589,A1087,C$2:C$1589,C1087,E$2:E$1589,E1087,Q$2:Q$1589,Q1087)</f>
        <v/>
      </c>
    </row>
    <row r="1088">
      <c r="A1088" s="3" t="inlineStr">
        <is>
          <t>alquiler</t>
        </is>
      </c>
      <c r="B1088" s="3" t="inlineStr">
        <is>
          <t>ccaa:15</t>
        </is>
      </c>
      <c r="C1088" s="3" t="inlineStr">
        <is>
          <t>P2</t>
        </is>
      </c>
      <c r="D1088" s="3" t="inlineStr">
        <is>
          <t>demanda_externa</t>
        </is>
      </c>
      <c r="E1088" s="3" t="inlineStr">
        <is>
          <t>regional_panel</t>
        </is>
      </c>
      <c r="F1088" s="3" t="n">
        <v>-0.0293695</v>
      </c>
      <c r="G1088" s="3" t="n"/>
      <c r="H1088" s="3" t="n"/>
      <c r="I1088" s="3" t="n">
        <v>0.00276158</v>
      </c>
      <c r="J1088" s="3" t="n">
        <v>-0.0410091</v>
      </c>
      <c r="K1088" s="3" t="n">
        <v>0.0453914</v>
      </c>
      <c r="L1088" s="3" t="n">
        <v>-0.0640985</v>
      </c>
      <c r="M1088" s="3" t="n">
        <v>0.102192</v>
      </c>
      <c r="N1088" s="3" t="inlineStr">
        <is>
          <t>C4</t>
        </is>
      </c>
      <c r="O1088" s="3" t="inlineStr">
        <is>
          <t>si</t>
        </is>
      </c>
      <c r="P1088" s="3" t="inlineStr">
        <is>
          <t>no_vota</t>
        </is>
      </c>
      <c r="Q1088" s="3" t="inlineStr">
        <is>
          <t>panel_covariables</t>
        </is>
      </c>
      <c r="R1088" s="3" t="n"/>
      <c r="S1088" s="3" t="inlineStr">
        <is>
          <t>contraste regional (R6); no vota</t>
        </is>
      </c>
      <c r="T1088" s="3" t="inlineStr">
        <is>
          <t>output/v8/F5/atribucion_combinada.csv</t>
        </is>
      </c>
      <c r="U1088" s="2">
        <f>IF(R1088=0,"",F1088/R1088)</f>
        <v/>
      </c>
      <c r="V1088" s="2">
        <f>SUMIFS(F$2:F$1589,A$2:A$1589,A1088,C$2:C$1589,C1088,E$2:E$1589,E1088,Q$2:Q$1589,Q1088)</f>
        <v/>
      </c>
    </row>
    <row r="1089">
      <c r="A1089" s="3" t="inlineStr">
        <is>
          <t>alquiler</t>
        </is>
      </c>
      <c r="B1089" s="3" t="inlineStr">
        <is>
          <t>ccaa:15</t>
        </is>
      </c>
      <c r="C1089" s="3" t="inlineStr">
        <is>
          <t>P2</t>
        </is>
      </c>
      <c r="D1089" s="3" t="inlineStr">
        <is>
          <t>residuo</t>
        </is>
      </c>
      <c r="E1089" s="3" t="inlineStr">
        <is>
          <t>regional_panel</t>
        </is>
      </c>
      <c r="F1089" s="3" t="n">
        <v>-9.028359999999999</v>
      </c>
      <c r="G1089" s="3" t="n"/>
      <c r="H1089" s="3" t="n"/>
      <c r="I1089" s="3" t="n">
        <v>0.848927</v>
      </c>
      <c r="J1089" s="3" t="n">
        <v>-10.1363</v>
      </c>
      <c r="K1089" s="3" t="n">
        <v>-8.43721</v>
      </c>
      <c r="L1089" s="3" t="n">
        <v>-10.6817</v>
      </c>
      <c r="M1089" s="3" t="n">
        <v>-7.81144</v>
      </c>
      <c r="N1089" s="3" t="inlineStr">
        <is>
          <t>C4</t>
        </is>
      </c>
      <c r="O1089" s="3" t="inlineStr">
        <is>
          <t>no</t>
        </is>
      </c>
      <c r="P1089" s="3" t="inlineStr">
        <is>
          <t>no_compite</t>
        </is>
      </c>
      <c r="Q1089" s="3" t="inlineStr">
        <is>
          <t>panel_covariables</t>
        </is>
      </c>
      <c r="R1089" s="3" t="n"/>
      <c r="S1089" s="3" t="inlineStr">
        <is>
          <t>contraste regional (R6); no vota</t>
        </is>
      </c>
      <c r="T1089" s="3" t="inlineStr">
        <is>
          <t>output/v8/F5/atribucion_combinada.csv</t>
        </is>
      </c>
      <c r="U1089" s="2">
        <f>IF(R1089=0,"",F1089/R1089)</f>
        <v/>
      </c>
      <c r="V1089" s="2">
        <f>SUMIFS(F$2:F$1589,A$2:A$1589,A1089,C$2:C$1589,C1089,E$2:E$1589,E1089,Q$2:Q$1589,Q1089)</f>
        <v/>
      </c>
    </row>
    <row r="1090">
      <c r="A1090" s="3" t="inlineStr">
        <is>
          <t>alquiler</t>
        </is>
      </c>
      <c r="B1090" s="3" t="inlineStr">
        <is>
          <t>ccaa:16</t>
        </is>
      </c>
      <c r="C1090" s="3" t="inlineStr">
        <is>
          <t>P2</t>
        </is>
      </c>
      <c r="D1090" s="3" t="inlineStr">
        <is>
          <t>factor_comun</t>
        </is>
      </c>
      <c r="E1090" s="3" t="inlineStr">
        <is>
          <t>regional_panel</t>
        </is>
      </c>
      <c r="F1090" s="3" t="n">
        <v>-3.50963</v>
      </c>
      <c r="G1090" s="3" t="n"/>
      <c r="H1090" s="3" t="n"/>
      <c r="I1090" s="3" t="n">
        <v>2.16625</v>
      </c>
      <c r="J1090" s="3" t="n">
        <v>-7.73728</v>
      </c>
      <c r="K1090" s="3" t="n">
        <v>0.660335</v>
      </c>
      <c r="L1090" s="3" t="n">
        <v>-9.80547</v>
      </c>
      <c r="M1090" s="3" t="n">
        <v>3.299</v>
      </c>
      <c r="N1090" s="3" t="inlineStr">
        <is>
          <t>C4</t>
        </is>
      </c>
      <c r="O1090" s="3" t="inlineStr">
        <is>
          <t>no</t>
        </is>
      </c>
      <c r="P1090" s="3" t="inlineStr">
        <is>
          <t>no_compite</t>
        </is>
      </c>
      <c r="Q1090" s="3" t="inlineStr">
        <is>
          <t>panel_covariables</t>
        </is>
      </c>
      <c r="R1090" s="3" t="n"/>
      <c r="S1090" s="3" t="inlineStr">
        <is>
          <t>contraste regional (R6); no vota</t>
        </is>
      </c>
      <c r="T1090" s="3" t="inlineStr">
        <is>
          <t>output/v8/F5/atribucion_combinada.csv</t>
        </is>
      </c>
      <c r="U1090" s="2">
        <f>IF(R1090=0,"",F1090/R1090)</f>
        <v/>
      </c>
      <c r="V1090" s="2">
        <f>SUMIFS(F$2:F$1589,A$2:A$1589,A1090,C$2:C$1589,C1090,E$2:E$1589,E1090,Q$2:Q$1589,Q1090)</f>
        <v/>
      </c>
    </row>
    <row r="1091">
      <c r="A1091" s="3" t="inlineStr">
        <is>
          <t>alquiler</t>
        </is>
      </c>
      <c r="B1091" s="3" t="inlineStr">
        <is>
          <t>ccaa:16</t>
        </is>
      </c>
      <c r="C1091" s="3" t="inlineStr">
        <is>
          <t>P2</t>
        </is>
      </c>
      <c r="D1091" s="3" t="inlineStr">
        <is>
          <t>empleo_renta</t>
        </is>
      </c>
      <c r="E1091" s="3" t="inlineStr">
        <is>
          <t>regional_panel</t>
        </is>
      </c>
      <c r="F1091" s="3" t="n">
        <v>0.0827185</v>
      </c>
      <c r="G1091" s="3" t="n"/>
      <c r="H1091" s="3" t="n"/>
      <c r="I1091" s="3" t="n">
        <v>-0.0510564</v>
      </c>
      <c r="J1091" s="3" t="n">
        <v>-0.18726</v>
      </c>
      <c r="K1091" s="3" t="n">
        <v>0.384478</v>
      </c>
      <c r="L1091" s="3" t="n">
        <v>-0.416648</v>
      </c>
      <c r="M1091" s="3" t="n">
        <v>0.511565</v>
      </c>
      <c r="N1091" s="3" t="inlineStr">
        <is>
          <t>C4</t>
        </is>
      </c>
      <c r="O1091" s="3" t="inlineStr">
        <is>
          <t>si</t>
        </is>
      </c>
      <c r="P1091" s="3" t="inlineStr">
        <is>
          <t>no_vota</t>
        </is>
      </c>
      <c r="Q1091" s="3" t="inlineStr">
        <is>
          <t>panel_covariables</t>
        </is>
      </c>
      <c r="R1091" s="3" t="n"/>
      <c r="S1091" s="3" t="inlineStr">
        <is>
          <t>contraste regional (R6); no vota</t>
        </is>
      </c>
      <c r="T1091" s="3" t="inlineStr">
        <is>
          <t>output/v8/F5/atribucion_combinada.csv</t>
        </is>
      </c>
      <c r="U1091" s="2">
        <f>IF(R1091=0,"",F1091/R1091)</f>
        <v/>
      </c>
      <c r="V1091" s="2">
        <f>SUMIFS(F$2:F$1589,A$2:A$1589,A1091,C$2:C$1589,C1091,E$2:E$1589,E1091,Q$2:Q$1589,Q1091)</f>
        <v/>
      </c>
    </row>
    <row r="1092">
      <c r="A1092" s="3" t="inlineStr">
        <is>
          <t>alquiler</t>
        </is>
      </c>
      <c r="B1092" s="3" t="inlineStr">
        <is>
          <t>ccaa:16</t>
        </is>
      </c>
      <c r="C1092" s="3" t="inlineStr">
        <is>
          <t>P2</t>
        </is>
      </c>
      <c r="D1092" s="3" t="inlineStr">
        <is>
          <t>demografia</t>
        </is>
      </c>
      <c r="E1092" s="3" t="inlineStr">
        <is>
          <t>regional_panel</t>
        </is>
      </c>
      <c r="F1092" s="3" t="n">
        <v>0.279942</v>
      </c>
      <c r="G1092" s="3" t="n"/>
      <c r="H1092" s="3" t="n"/>
      <c r="I1092" s="3" t="n">
        <v>-0.172789</v>
      </c>
      <c r="J1092" s="3" t="n">
        <v>0.1473</v>
      </c>
      <c r="K1092" s="3" t="n">
        <v>0.825578</v>
      </c>
      <c r="L1092" s="3" t="n">
        <v>0.0238296</v>
      </c>
      <c r="M1092" s="3" t="n">
        <v>1.26392</v>
      </c>
      <c r="N1092" s="3" t="inlineStr">
        <is>
          <t>C4</t>
        </is>
      </c>
      <c r="O1092" s="3" t="inlineStr">
        <is>
          <t>si</t>
        </is>
      </c>
      <c r="P1092" s="3" t="inlineStr">
        <is>
          <t>no_vota</t>
        </is>
      </c>
      <c r="Q1092" s="3" t="inlineStr">
        <is>
          <t>panel_covariables</t>
        </is>
      </c>
      <c r="R1092" s="3" t="n"/>
      <c r="S1092" s="3" t="inlineStr">
        <is>
          <t>contraste regional (R6); no vota</t>
        </is>
      </c>
      <c r="T1092" s="3" t="inlineStr">
        <is>
          <t>output/v8/F5/atribucion_combinada.csv</t>
        </is>
      </c>
      <c r="U1092" s="2">
        <f>IF(R1092=0,"",F1092/R1092)</f>
        <v/>
      </c>
      <c r="V1092" s="2">
        <f>SUMIFS(F$2:F$1589,A$2:A$1589,A1092,C$2:C$1589,C1092,E$2:E$1589,E1092,Q$2:Q$1589,Q1092)</f>
        <v/>
      </c>
    </row>
    <row r="1093">
      <c r="A1093" s="3" t="inlineStr">
        <is>
          <t>alquiler</t>
        </is>
      </c>
      <c r="B1093" s="3" t="inlineStr">
        <is>
          <t>ccaa:16</t>
        </is>
      </c>
      <c r="C1093" s="3" t="inlineStr">
        <is>
          <t>P2</t>
        </is>
      </c>
      <c r="D1093" s="3" t="inlineStr">
        <is>
          <t>oferta</t>
        </is>
      </c>
      <c r="E1093" s="3" t="inlineStr">
        <is>
          <t>regional_panel</t>
        </is>
      </c>
      <c r="F1093" s="3" t="n">
        <v>0.147363</v>
      </c>
      <c r="G1093" s="3" t="n"/>
      <c r="H1093" s="3" t="n"/>
      <c r="I1093" s="3" t="n">
        <v>-0.09095689999999999</v>
      </c>
      <c r="J1093" s="3" t="n">
        <v>0.00521971</v>
      </c>
      <c r="K1093" s="3" t="n">
        <v>0.301582</v>
      </c>
      <c r="L1093" s="3" t="n">
        <v>-0.0233265</v>
      </c>
      <c r="M1093" s="3" t="n">
        <v>0.439626</v>
      </c>
      <c r="N1093" s="3" t="inlineStr">
        <is>
          <t>C4</t>
        </is>
      </c>
      <c r="O1093" s="3" t="inlineStr">
        <is>
          <t>si</t>
        </is>
      </c>
      <c r="P1093" s="3" t="inlineStr">
        <is>
          <t>no_vota</t>
        </is>
      </c>
      <c r="Q1093" s="3" t="inlineStr">
        <is>
          <t>panel_covariables</t>
        </is>
      </c>
      <c r="R1093" s="3" t="n"/>
      <c r="S1093" s="3" t="inlineStr">
        <is>
          <t>contraste regional (R6); no vota</t>
        </is>
      </c>
      <c r="T1093" s="3" t="inlineStr">
        <is>
          <t>output/v8/F5/atribucion_combinada.csv</t>
        </is>
      </c>
      <c r="U1093" s="2">
        <f>IF(R1093=0,"",F1093/R1093)</f>
        <v/>
      </c>
      <c r="V1093" s="2">
        <f>SUMIFS(F$2:F$1589,A$2:A$1589,A1093,C$2:C$1589,C1093,E$2:E$1589,E1093,Q$2:Q$1589,Q1093)</f>
        <v/>
      </c>
    </row>
    <row r="1094">
      <c r="A1094" s="3" t="inlineStr">
        <is>
          <t>alquiler</t>
        </is>
      </c>
      <c r="B1094" s="3" t="inlineStr">
        <is>
          <t>ccaa:16</t>
        </is>
      </c>
      <c r="C1094" s="3" t="inlineStr">
        <is>
          <t>P2</t>
        </is>
      </c>
      <c r="D1094" s="3" t="inlineStr">
        <is>
          <t>demanda_externa</t>
        </is>
      </c>
      <c r="E1094" s="3" t="inlineStr">
        <is>
          <t>regional_panel</t>
        </is>
      </c>
      <c r="F1094" s="3" t="n">
        <v>-0.0180694</v>
      </c>
      <c r="G1094" s="3" t="n"/>
      <c r="H1094" s="3" t="n"/>
      <c r="I1094" s="3" t="n">
        <v>0.011153</v>
      </c>
      <c r="J1094" s="3" t="n">
        <v>-0.0720995</v>
      </c>
      <c r="K1094" s="3" t="n">
        <v>0.106378</v>
      </c>
      <c r="L1094" s="3" t="n">
        <v>-0.147175</v>
      </c>
      <c r="M1094" s="3" t="n">
        <v>0.21872</v>
      </c>
      <c r="N1094" s="3" t="inlineStr">
        <is>
          <t>C4</t>
        </is>
      </c>
      <c r="O1094" s="3" t="inlineStr">
        <is>
          <t>si</t>
        </is>
      </c>
      <c r="P1094" s="3" t="inlineStr">
        <is>
          <t>no_vota</t>
        </is>
      </c>
      <c r="Q1094" s="3" t="inlineStr">
        <is>
          <t>panel_covariables</t>
        </is>
      </c>
      <c r="R1094" s="3" t="n"/>
      <c r="S1094" s="3" t="inlineStr">
        <is>
          <t>contraste regional (R6); no vota</t>
        </is>
      </c>
      <c r="T1094" s="3" t="inlineStr">
        <is>
          <t>output/v8/F5/atribucion_combinada.csv</t>
        </is>
      </c>
      <c r="U1094" s="2">
        <f>IF(R1094=0,"",F1094/R1094)</f>
        <v/>
      </c>
      <c r="V1094" s="2">
        <f>SUMIFS(F$2:F$1589,A$2:A$1589,A1094,C$2:C$1589,C1094,E$2:E$1589,E1094,Q$2:Q$1589,Q1094)</f>
        <v/>
      </c>
    </row>
    <row r="1095">
      <c r="A1095" s="3" t="inlineStr">
        <is>
          <t>alquiler</t>
        </is>
      </c>
      <c r="B1095" s="3" t="inlineStr">
        <is>
          <t>ccaa:16</t>
        </is>
      </c>
      <c r="C1095" s="3" t="inlineStr">
        <is>
          <t>P2</t>
        </is>
      </c>
      <c r="D1095" s="3" t="inlineStr">
        <is>
          <t>residuo</t>
        </is>
      </c>
      <c r="E1095" s="3" t="inlineStr">
        <is>
          <t>regional_panel</t>
        </is>
      </c>
      <c r="F1095" s="3" t="n">
        <v>1.39753</v>
      </c>
      <c r="G1095" s="3" t="n"/>
      <c r="H1095" s="3" t="n"/>
      <c r="I1095" s="3" t="n">
        <v>-0.8626</v>
      </c>
      <c r="J1095" s="3" t="n">
        <v>0.253359</v>
      </c>
      <c r="K1095" s="3" t="n">
        <v>2.25974</v>
      </c>
      <c r="L1095" s="3" t="n">
        <v>-0.736592</v>
      </c>
      <c r="M1095" s="3" t="n">
        <v>2.65288</v>
      </c>
      <c r="N1095" s="3" t="inlineStr">
        <is>
          <t>C4</t>
        </is>
      </c>
      <c r="O1095" s="3" t="inlineStr">
        <is>
          <t>no</t>
        </is>
      </c>
      <c r="P1095" s="3" t="inlineStr">
        <is>
          <t>no_compite</t>
        </is>
      </c>
      <c r="Q1095" s="3" t="inlineStr">
        <is>
          <t>panel_covariables</t>
        </is>
      </c>
      <c r="R1095" s="3" t="n"/>
      <c r="S1095" s="3" t="inlineStr">
        <is>
          <t>contraste regional (R6); no vota</t>
        </is>
      </c>
      <c r="T1095" s="3" t="inlineStr">
        <is>
          <t>output/v8/F5/atribucion_combinada.csv</t>
        </is>
      </c>
      <c r="U1095" s="2">
        <f>IF(R1095=0,"",F1095/R1095)</f>
        <v/>
      </c>
      <c r="V1095" s="2">
        <f>SUMIFS(F$2:F$1589,A$2:A$1589,A1095,C$2:C$1589,C1095,E$2:E$1589,E1095,Q$2:Q$1589,Q1095)</f>
        <v/>
      </c>
    </row>
    <row r="1096">
      <c r="A1096" s="3" t="inlineStr">
        <is>
          <t>alquiler</t>
        </is>
      </c>
      <c r="B1096" s="3" t="inlineStr">
        <is>
          <t>ccaa:17</t>
        </is>
      </c>
      <c r="C1096" s="3" t="inlineStr">
        <is>
          <t>P2</t>
        </is>
      </c>
      <c r="D1096" s="3" t="inlineStr">
        <is>
          <t>factor_comun</t>
        </is>
      </c>
      <c r="E1096" s="3" t="inlineStr">
        <is>
          <t>regional_panel</t>
        </is>
      </c>
      <c r="F1096" s="3" t="n">
        <v>-3.50963</v>
      </c>
      <c r="G1096" s="3" t="n"/>
      <c r="H1096" s="3" t="n"/>
      <c r="I1096" s="3" t="n">
        <v>0.559561</v>
      </c>
      <c r="J1096" s="3" t="n">
        <v>-7.73728</v>
      </c>
      <c r="K1096" s="3" t="n">
        <v>0.660335</v>
      </c>
      <c r="L1096" s="3" t="n">
        <v>-9.80547</v>
      </c>
      <c r="M1096" s="3" t="n">
        <v>3.299</v>
      </c>
      <c r="N1096" s="3" t="inlineStr">
        <is>
          <t>C4</t>
        </is>
      </c>
      <c r="O1096" s="3" t="inlineStr">
        <is>
          <t>no</t>
        </is>
      </c>
      <c r="P1096" s="3" t="inlineStr">
        <is>
          <t>no_compite</t>
        </is>
      </c>
      <c r="Q1096" s="3" t="inlineStr">
        <is>
          <t>panel_covariables</t>
        </is>
      </c>
      <c r="R1096" s="3" t="n"/>
      <c r="S1096" s="3" t="inlineStr">
        <is>
          <t>contraste regional (R6); no vota</t>
        </is>
      </c>
      <c r="T1096" s="3" t="inlineStr">
        <is>
          <t>output/v8/F5/atribucion_combinada.csv</t>
        </is>
      </c>
      <c r="U1096" s="2">
        <f>IF(R1096=0,"",F1096/R1096)</f>
        <v/>
      </c>
      <c r="V1096" s="2">
        <f>SUMIFS(F$2:F$1589,A$2:A$1589,A1096,C$2:C$1589,C1096,E$2:E$1589,E1096,Q$2:Q$1589,Q1096)</f>
        <v/>
      </c>
    </row>
    <row r="1097">
      <c r="A1097" s="3" t="inlineStr">
        <is>
          <t>alquiler</t>
        </is>
      </c>
      <c r="B1097" s="3" t="inlineStr">
        <is>
          <t>ccaa:17</t>
        </is>
      </c>
      <c r="C1097" s="3" t="inlineStr">
        <is>
          <t>P2</t>
        </is>
      </c>
      <c r="D1097" s="3" t="inlineStr">
        <is>
          <t>empleo_renta</t>
        </is>
      </c>
      <c r="E1097" s="3" t="inlineStr">
        <is>
          <t>regional_panel</t>
        </is>
      </c>
      <c r="F1097" s="3" t="n">
        <v>0.103059</v>
      </c>
      <c r="G1097" s="3" t="n"/>
      <c r="H1097" s="3" t="n"/>
      <c r="I1097" s="3" t="n">
        <v>-0.0164314</v>
      </c>
      <c r="J1097" s="3" t="n">
        <v>-0.217431</v>
      </c>
      <c r="K1097" s="3" t="n">
        <v>0.548062</v>
      </c>
      <c r="L1097" s="3" t="n">
        <v>-0.475095</v>
      </c>
      <c r="M1097" s="3" t="n">
        <v>0.808731</v>
      </c>
      <c r="N1097" s="3" t="inlineStr">
        <is>
          <t>C4</t>
        </is>
      </c>
      <c r="O1097" s="3" t="inlineStr">
        <is>
          <t>si</t>
        </is>
      </c>
      <c r="P1097" s="3" t="inlineStr">
        <is>
          <t>no_vota</t>
        </is>
      </c>
      <c r="Q1097" s="3" t="inlineStr">
        <is>
          <t>panel_covariables</t>
        </is>
      </c>
      <c r="R1097" s="3" t="n"/>
      <c r="S1097" s="3" t="inlineStr">
        <is>
          <t>contraste regional (R6); no vota</t>
        </is>
      </c>
      <c r="T1097" s="3" t="inlineStr">
        <is>
          <t>output/v8/F5/atribucion_combinada.csv</t>
        </is>
      </c>
      <c r="U1097" s="2">
        <f>IF(R1097=0,"",F1097/R1097)</f>
        <v/>
      </c>
      <c r="V1097" s="2">
        <f>SUMIFS(F$2:F$1589,A$2:A$1589,A1097,C$2:C$1589,C1097,E$2:E$1589,E1097,Q$2:Q$1589,Q1097)</f>
        <v/>
      </c>
    </row>
    <row r="1098">
      <c r="A1098" s="3" t="inlineStr">
        <is>
          <t>alquiler</t>
        </is>
      </c>
      <c r="B1098" s="3" t="inlineStr">
        <is>
          <t>ccaa:17</t>
        </is>
      </c>
      <c r="C1098" s="3" t="inlineStr">
        <is>
          <t>P2</t>
        </is>
      </c>
      <c r="D1098" s="3" t="inlineStr">
        <is>
          <t>demografia</t>
        </is>
      </c>
      <c r="E1098" s="3" t="inlineStr">
        <is>
          <t>regional_panel</t>
        </is>
      </c>
      <c r="F1098" s="3" t="n">
        <v>0.604168</v>
      </c>
      <c r="G1098" s="3" t="n"/>
      <c r="H1098" s="3" t="n"/>
      <c r="I1098" s="3" t="n">
        <v>-0.0963261</v>
      </c>
      <c r="J1098" s="3" t="n">
        <v>0.428025</v>
      </c>
      <c r="K1098" s="3" t="n">
        <v>0.953256</v>
      </c>
      <c r="L1098" s="3" t="n">
        <v>0.177104</v>
      </c>
      <c r="M1098" s="3" t="n">
        <v>1.28888</v>
      </c>
      <c r="N1098" s="3" t="inlineStr">
        <is>
          <t>C4</t>
        </is>
      </c>
      <c r="O1098" s="3" t="inlineStr">
        <is>
          <t>si</t>
        </is>
      </c>
      <c r="P1098" s="3" t="inlineStr">
        <is>
          <t>no_vota</t>
        </is>
      </c>
      <c r="Q1098" s="3" t="inlineStr">
        <is>
          <t>panel_covariables</t>
        </is>
      </c>
      <c r="R1098" s="3" t="n"/>
      <c r="S1098" s="3" t="inlineStr">
        <is>
          <t>contraste regional (R6); no vota</t>
        </is>
      </c>
      <c r="T1098" s="3" t="inlineStr">
        <is>
          <t>output/v8/F5/atribucion_combinada.csv</t>
        </is>
      </c>
      <c r="U1098" s="2">
        <f>IF(R1098=0,"",F1098/R1098)</f>
        <v/>
      </c>
      <c r="V1098" s="2">
        <f>SUMIFS(F$2:F$1589,A$2:A$1589,A1098,C$2:C$1589,C1098,E$2:E$1589,E1098,Q$2:Q$1589,Q1098)</f>
        <v/>
      </c>
    </row>
    <row r="1099">
      <c r="A1099" s="3" t="inlineStr">
        <is>
          <t>alquiler</t>
        </is>
      </c>
      <c r="B1099" s="3" t="inlineStr">
        <is>
          <t>ccaa:17</t>
        </is>
      </c>
      <c r="C1099" s="3" t="inlineStr">
        <is>
          <t>P2</t>
        </is>
      </c>
      <c r="D1099" s="3" t="inlineStr">
        <is>
          <t>oferta</t>
        </is>
      </c>
      <c r="E1099" s="3" t="inlineStr">
        <is>
          <t>regional_panel</t>
        </is>
      </c>
      <c r="F1099" s="3" t="n">
        <v>0.21538</v>
      </c>
      <c r="G1099" s="3" t="n"/>
      <c r="H1099" s="3" t="n"/>
      <c r="I1099" s="3" t="n">
        <v>-0.0343393</v>
      </c>
      <c r="J1099" s="3" t="n">
        <v>0.0196765</v>
      </c>
      <c r="K1099" s="3" t="n">
        <v>0.491113</v>
      </c>
      <c r="L1099" s="3" t="n">
        <v>-0.00184355</v>
      </c>
      <c r="M1099" s="3" t="n">
        <v>0.6849460000000001</v>
      </c>
      <c r="N1099" s="3" t="inlineStr">
        <is>
          <t>C4</t>
        </is>
      </c>
      <c r="O1099" s="3" t="inlineStr">
        <is>
          <t>si</t>
        </is>
      </c>
      <c r="P1099" s="3" t="inlineStr">
        <is>
          <t>no_vota</t>
        </is>
      </c>
      <c r="Q1099" s="3" t="inlineStr">
        <is>
          <t>panel_covariables</t>
        </is>
      </c>
      <c r="R1099" s="3" t="n"/>
      <c r="S1099" s="3" t="inlineStr">
        <is>
          <t>contraste regional (R6); no vota</t>
        </is>
      </c>
      <c r="T1099" s="3" t="inlineStr">
        <is>
          <t>output/v8/F5/atribucion_combinada.csv</t>
        </is>
      </c>
      <c r="U1099" s="2">
        <f>IF(R1099=0,"",F1099/R1099)</f>
        <v/>
      </c>
      <c r="V1099" s="2">
        <f>SUMIFS(F$2:F$1589,A$2:A$1589,A1099,C$2:C$1589,C1099,E$2:E$1589,E1099,Q$2:Q$1589,Q1099)</f>
        <v/>
      </c>
    </row>
    <row r="1100">
      <c r="A1100" s="3" t="inlineStr">
        <is>
          <t>alquiler</t>
        </is>
      </c>
      <c r="B1100" s="3" t="inlineStr">
        <is>
          <t>ccaa:17</t>
        </is>
      </c>
      <c r="C1100" s="3" t="inlineStr">
        <is>
          <t>P2</t>
        </is>
      </c>
      <c r="D1100" s="3" t="inlineStr">
        <is>
          <t>demanda_externa</t>
        </is>
      </c>
      <c r="E1100" s="3" t="inlineStr">
        <is>
          <t>regional_panel</t>
        </is>
      </c>
      <c r="F1100" s="3" t="n">
        <v>-0.103293</v>
      </c>
      <c r="G1100" s="3" t="n"/>
      <c r="H1100" s="3" t="n"/>
      <c r="I1100" s="3" t="n">
        <v>0.0164687</v>
      </c>
      <c r="J1100" s="3" t="n">
        <v>-0.145743</v>
      </c>
      <c r="K1100" s="3" t="n">
        <v>0.0544645</v>
      </c>
      <c r="L1100" s="3" t="n">
        <v>-0.245272</v>
      </c>
      <c r="M1100" s="3" t="n">
        <v>0.141146</v>
      </c>
      <c r="N1100" s="3" t="inlineStr">
        <is>
          <t>C4</t>
        </is>
      </c>
      <c r="O1100" s="3" t="inlineStr">
        <is>
          <t>si</t>
        </is>
      </c>
      <c r="P1100" s="3" t="inlineStr">
        <is>
          <t>no_vota</t>
        </is>
      </c>
      <c r="Q1100" s="3" t="inlineStr">
        <is>
          <t>panel_covariables</t>
        </is>
      </c>
      <c r="R1100" s="3" t="n"/>
      <c r="S1100" s="3" t="inlineStr">
        <is>
          <t>contraste regional (R6); no vota</t>
        </is>
      </c>
      <c r="T1100" s="3" t="inlineStr">
        <is>
          <t>output/v8/F5/atribucion_combinada.csv</t>
        </is>
      </c>
      <c r="U1100" s="2">
        <f>IF(R1100=0,"",F1100/R1100)</f>
        <v/>
      </c>
      <c r="V1100" s="2">
        <f>SUMIFS(F$2:F$1589,A$2:A$1589,A1100,C$2:C$1589,C1100,E$2:E$1589,E1100,Q$2:Q$1589,Q1100)</f>
        <v/>
      </c>
    </row>
    <row r="1101">
      <c r="A1101" s="3" t="inlineStr">
        <is>
          <t>alquiler</t>
        </is>
      </c>
      <c r="B1101" s="3" t="inlineStr">
        <is>
          <t>ccaa:17</t>
        </is>
      </c>
      <c r="C1101" s="3" t="inlineStr">
        <is>
          <t>P2</t>
        </is>
      </c>
      <c r="D1101" s="3" t="inlineStr">
        <is>
          <t>residuo</t>
        </is>
      </c>
      <c r="E1101" s="3" t="inlineStr">
        <is>
          <t>regional_panel</t>
        </is>
      </c>
      <c r="F1101" s="3" t="n">
        <v>-3.5818</v>
      </c>
      <c r="G1101" s="3" t="n"/>
      <c r="H1101" s="3" t="n"/>
      <c r="I1101" s="3" t="n">
        <v>0.571067</v>
      </c>
      <c r="J1101" s="3" t="n">
        <v>-4.93264</v>
      </c>
      <c r="K1101" s="3" t="n">
        <v>-2.65669</v>
      </c>
      <c r="L1101" s="3" t="n">
        <v>-5.45392</v>
      </c>
      <c r="M1101" s="3" t="n">
        <v>-1.76657</v>
      </c>
      <c r="N1101" s="3" t="inlineStr">
        <is>
          <t>C4</t>
        </is>
      </c>
      <c r="O1101" s="3" t="inlineStr">
        <is>
          <t>no</t>
        </is>
      </c>
      <c r="P1101" s="3" t="inlineStr">
        <is>
          <t>no_compite</t>
        </is>
      </c>
      <c r="Q1101" s="3" t="inlineStr">
        <is>
          <t>panel_covariables</t>
        </is>
      </c>
      <c r="R1101" s="3" t="n"/>
      <c r="S1101" s="3" t="inlineStr">
        <is>
          <t>contraste regional (R6); no vota</t>
        </is>
      </c>
      <c r="T1101" s="3" t="inlineStr">
        <is>
          <t>output/v8/F5/atribucion_combinada.csv</t>
        </is>
      </c>
      <c r="U1101" s="2">
        <f>IF(R1101=0,"",F1101/R1101)</f>
        <v/>
      </c>
      <c r="V1101" s="2">
        <f>SUMIFS(F$2:F$1589,A$2:A$1589,A1101,C$2:C$1589,C1101,E$2:E$1589,E1101,Q$2:Q$1589,Q1101)</f>
        <v/>
      </c>
    </row>
    <row r="1102">
      <c r="A1102" s="3" t="inlineStr">
        <is>
          <t>alquiler</t>
        </is>
      </c>
      <c r="B1102" s="3" t="inlineStr">
        <is>
          <t>ccaa:01</t>
        </is>
      </c>
      <c r="C1102" s="3" t="inlineStr">
        <is>
          <t>P3</t>
        </is>
      </c>
      <c r="D1102" s="3" t="inlineStr">
        <is>
          <t>factor_comun</t>
        </is>
      </c>
      <c r="E1102" s="3" t="inlineStr">
        <is>
          <t>regional_panel</t>
        </is>
      </c>
      <c r="F1102" s="3" t="n">
        <v>-1.89168</v>
      </c>
      <c r="G1102" s="3" t="n"/>
      <c r="H1102" s="3" t="n"/>
      <c r="I1102" s="3" t="n">
        <v>1.02715</v>
      </c>
      <c r="J1102" s="3" t="n">
        <v>-3.03018</v>
      </c>
      <c r="K1102" s="3" t="n">
        <v>-0.7753910000000001</v>
      </c>
      <c r="L1102" s="3" t="n">
        <v>-3.74726</v>
      </c>
      <c r="M1102" s="3" t="n">
        <v>-0.0842796</v>
      </c>
      <c r="N1102" s="3" t="inlineStr">
        <is>
          <t>C4</t>
        </is>
      </c>
      <c r="O1102" s="3" t="inlineStr">
        <is>
          <t>no</t>
        </is>
      </c>
      <c r="P1102" s="3" t="inlineStr">
        <is>
          <t>no_compite</t>
        </is>
      </c>
      <c r="Q1102" s="3" t="inlineStr">
        <is>
          <t>panel_covariables</t>
        </is>
      </c>
      <c r="R1102" s="3" t="n"/>
      <c r="S1102" s="3" t="inlineStr">
        <is>
          <t>contraste regional (R6); no vota</t>
        </is>
      </c>
      <c r="T1102" s="3" t="inlineStr">
        <is>
          <t>output/v8/F5/atribucion_combinada.csv</t>
        </is>
      </c>
      <c r="U1102" s="2">
        <f>IF(R1102=0,"",F1102/R1102)</f>
        <v/>
      </c>
      <c r="V1102" s="2">
        <f>SUMIFS(F$2:F$1589,A$2:A$1589,A1102,C$2:C$1589,C1102,E$2:E$1589,E1102,Q$2:Q$1589,Q1102)</f>
        <v/>
      </c>
    </row>
    <row r="1103">
      <c r="A1103" s="3" t="inlineStr">
        <is>
          <t>alquiler</t>
        </is>
      </c>
      <c r="B1103" s="3" t="inlineStr">
        <is>
          <t>ccaa:01</t>
        </is>
      </c>
      <c r="C1103" s="3" t="inlineStr">
        <is>
          <t>P3</t>
        </is>
      </c>
      <c r="D1103" s="3" t="inlineStr">
        <is>
          <t>empleo_renta</t>
        </is>
      </c>
      <c r="E1103" s="3" t="inlineStr">
        <is>
          <t>regional_panel</t>
        </is>
      </c>
      <c r="F1103" s="3" t="n">
        <v>0.335208</v>
      </c>
      <c r="G1103" s="3" t="n"/>
      <c r="H1103" s="3" t="n"/>
      <c r="I1103" s="3" t="n">
        <v>-0.182012</v>
      </c>
      <c r="J1103" s="3" t="n">
        <v>0.106512</v>
      </c>
      <c r="K1103" s="3" t="n">
        <v>0.50263</v>
      </c>
      <c r="L1103" s="3" t="n">
        <v>-0.0277178</v>
      </c>
      <c r="M1103" s="3" t="n">
        <v>0.626845</v>
      </c>
      <c r="N1103" s="3" t="inlineStr">
        <is>
          <t>C4</t>
        </is>
      </c>
      <c r="O1103" s="3" t="inlineStr">
        <is>
          <t>si</t>
        </is>
      </c>
      <c r="P1103" s="3" t="inlineStr">
        <is>
          <t>no_vota</t>
        </is>
      </c>
      <c r="Q1103" s="3" t="inlineStr">
        <is>
          <t>panel_covariables</t>
        </is>
      </c>
      <c r="R1103" s="3" t="n"/>
      <c r="S1103" s="3" t="inlineStr">
        <is>
          <t>contraste regional (R6); no vota</t>
        </is>
      </c>
      <c r="T1103" s="3" t="inlineStr">
        <is>
          <t>output/v8/F5/atribucion_combinada.csv</t>
        </is>
      </c>
      <c r="U1103" s="2">
        <f>IF(R1103=0,"",F1103/R1103)</f>
        <v/>
      </c>
      <c r="V1103" s="2">
        <f>SUMIFS(F$2:F$1589,A$2:A$1589,A1103,C$2:C$1589,C1103,E$2:E$1589,E1103,Q$2:Q$1589,Q1103)</f>
        <v/>
      </c>
    </row>
    <row r="1104">
      <c r="A1104" s="3" t="inlineStr">
        <is>
          <t>alquiler</t>
        </is>
      </c>
      <c r="B1104" s="3" t="inlineStr">
        <is>
          <t>ccaa:01</t>
        </is>
      </c>
      <c r="C1104" s="3" t="inlineStr">
        <is>
          <t>P3</t>
        </is>
      </c>
      <c r="D1104" s="3" t="inlineStr">
        <is>
          <t>demografia</t>
        </is>
      </c>
      <c r="E1104" s="3" t="inlineStr">
        <is>
          <t>regional_panel</t>
        </is>
      </c>
      <c r="F1104" s="3" t="n">
        <v>0.393359</v>
      </c>
      <c r="G1104" s="3" t="n"/>
      <c r="H1104" s="3" t="n"/>
      <c r="I1104" s="3" t="n">
        <v>-0.213588</v>
      </c>
      <c r="J1104" s="3" t="n">
        <v>0.255928</v>
      </c>
      <c r="K1104" s="3" t="n">
        <v>0.549214</v>
      </c>
      <c r="L1104" s="3" t="n">
        <v>0.151325</v>
      </c>
      <c r="M1104" s="3" t="n">
        <v>0.630369</v>
      </c>
      <c r="N1104" s="3" t="inlineStr">
        <is>
          <t>C4</t>
        </is>
      </c>
      <c r="O1104" s="3" t="inlineStr">
        <is>
          <t>si</t>
        </is>
      </c>
      <c r="P1104" s="3" t="inlineStr">
        <is>
          <t>no_vota</t>
        </is>
      </c>
      <c r="Q1104" s="3" t="inlineStr">
        <is>
          <t>panel_covariables</t>
        </is>
      </c>
      <c r="R1104" s="3" t="n"/>
      <c r="S1104" s="3" t="inlineStr">
        <is>
          <t>contraste regional (R6); no vota</t>
        </is>
      </c>
      <c r="T1104" s="3" t="inlineStr">
        <is>
          <t>output/v8/F5/atribucion_combinada.csv</t>
        </is>
      </c>
      <c r="U1104" s="2">
        <f>IF(R1104=0,"",F1104/R1104)</f>
        <v/>
      </c>
      <c r="V1104" s="2">
        <f>SUMIFS(F$2:F$1589,A$2:A$1589,A1104,C$2:C$1589,C1104,E$2:E$1589,E1104,Q$2:Q$1589,Q1104)</f>
        <v/>
      </c>
    </row>
    <row r="1105">
      <c r="A1105" s="3" t="inlineStr">
        <is>
          <t>alquiler</t>
        </is>
      </c>
      <c r="B1105" s="3" t="inlineStr">
        <is>
          <t>ccaa:01</t>
        </is>
      </c>
      <c r="C1105" s="3" t="inlineStr">
        <is>
          <t>P3</t>
        </is>
      </c>
      <c r="D1105" s="3" t="inlineStr">
        <is>
          <t>oferta</t>
        </is>
      </c>
      <c r="E1105" s="3" t="inlineStr">
        <is>
          <t>regional_panel</t>
        </is>
      </c>
      <c r="F1105" s="3" t="n">
        <v>0.0555071</v>
      </c>
      <c r="G1105" s="3" t="n"/>
      <c r="H1105" s="3" t="n"/>
      <c r="I1105" s="3" t="n">
        <v>-0.0301395</v>
      </c>
      <c r="J1105" s="3" t="n">
        <v>-0.0151578</v>
      </c>
      <c r="K1105" s="3" t="n">
        <v>0.184195</v>
      </c>
      <c r="L1105" s="3" t="n">
        <v>-0.0402029</v>
      </c>
      <c r="M1105" s="3" t="n">
        <v>0.264741</v>
      </c>
      <c r="N1105" s="3" t="inlineStr">
        <is>
          <t>C4</t>
        </is>
      </c>
      <c r="O1105" s="3" t="inlineStr">
        <is>
          <t>si</t>
        </is>
      </c>
      <c r="P1105" s="3" t="inlineStr">
        <is>
          <t>no_vota</t>
        </is>
      </c>
      <c r="Q1105" s="3" t="inlineStr">
        <is>
          <t>panel_covariables</t>
        </is>
      </c>
      <c r="R1105" s="3" t="n"/>
      <c r="S1105" s="3" t="inlineStr">
        <is>
          <t>contraste regional (R6); no vota</t>
        </is>
      </c>
      <c r="T1105" s="3" t="inlineStr">
        <is>
          <t>output/v8/F5/atribucion_combinada.csv</t>
        </is>
      </c>
      <c r="U1105" s="2">
        <f>IF(R1105=0,"",F1105/R1105)</f>
        <v/>
      </c>
      <c r="V1105" s="2">
        <f>SUMIFS(F$2:F$1589,A$2:A$1589,A1105,C$2:C$1589,C1105,E$2:E$1589,E1105,Q$2:Q$1589,Q1105)</f>
        <v/>
      </c>
    </row>
    <row r="1106">
      <c r="A1106" s="3" t="inlineStr">
        <is>
          <t>alquiler</t>
        </is>
      </c>
      <c r="B1106" s="3" t="inlineStr">
        <is>
          <t>ccaa:01</t>
        </is>
      </c>
      <c r="C1106" s="3" t="inlineStr">
        <is>
          <t>P3</t>
        </is>
      </c>
      <c r="D1106" s="3" t="inlineStr">
        <is>
          <t>demanda_externa</t>
        </is>
      </c>
      <c r="E1106" s="3" t="inlineStr">
        <is>
          <t>regional_panel</t>
        </is>
      </c>
      <c r="F1106" s="3" t="n">
        <v>0.0880398</v>
      </c>
      <c r="G1106" s="3" t="n"/>
      <c r="H1106" s="3" t="n"/>
      <c r="I1106" s="3" t="n">
        <v>-0.0478042</v>
      </c>
      <c r="J1106" s="3" t="n">
        <v>0.029592</v>
      </c>
      <c r="K1106" s="3" t="n">
        <v>0.159682</v>
      </c>
      <c r="L1106" s="3" t="n">
        <v>-0.0213244</v>
      </c>
      <c r="M1106" s="3" t="n">
        <v>0.207694</v>
      </c>
      <c r="N1106" s="3" t="inlineStr">
        <is>
          <t>C4</t>
        </is>
      </c>
      <c r="O1106" s="3" t="inlineStr">
        <is>
          <t>si</t>
        </is>
      </c>
      <c r="P1106" s="3" t="inlineStr">
        <is>
          <t>no_vota</t>
        </is>
      </c>
      <c r="Q1106" s="3" t="inlineStr">
        <is>
          <t>panel_covariables</t>
        </is>
      </c>
      <c r="R1106" s="3" t="n"/>
      <c r="S1106" s="3" t="inlineStr">
        <is>
          <t>contraste regional (R6); no vota</t>
        </is>
      </c>
      <c r="T1106" s="3" t="inlineStr">
        <is>
          <t>output/v8/F5/atribucion_combinada.csv</t>
        </is>
      </c>
      <c r="U1106" s="2">
        <f>IF(R1106=0,"",F1106/R1106)</f>
        <v/>
      </c>
      <c r="V1106" s="2">
        <f>SUMIFS(F$2:F$1589,A$2:A$1589,A1106,C$2:C$1589,C1106,E$2:E$1589,E1106,Q$2:Q$1589,Q1106)</f>
        <v/>
      </c>
    </row>
    <row r="1107">
      <c r="A1107" s="3" t="inlineStr">
        <is>
          <t>alquiler</t>
        </is>
      </c>
      <c r="B1107" s="3" t="inlineStr">
        <is>
          <t>ccaa:01</t>
        </is>
      </c>
      <c r="C1107" s="3" t="inlineStr">
        <is>
          <t>P3</t>
        </is>
      </c>
      <c r="D1107" s="3" t="inlineStr">
        <is>
          <t>residuo</t>
        </is>
      </c>
      <c r="E1107" s="3" t="inlineStr">
        <is>
          <t>regional_panel</t>
        </is>
      </c>
      <c r="F1107" s="3" t="n">
        <v>-0.8221039999999999</v>
      </c>
      <c r="G1107" s="3" t="n"/>
      <c r="H1107" s="3" t="n"/>
      <c r="I1107" s="3" t="n">
        <v>0.44639</v>
      </c>
      <c r="J1107" s="3" t="n">
        <v>-1.11646</v>
      </c>
      <c r="K1107" s="3" t="n">
        <v>-0.484788</v>
      </c>
      <c r="L1107" s="3" t="n">
        <v>-1.33667</v>
      </c>
      <c r="M1107" s="3" t="n">
        <v>-0.230363</v>
      </c>
      <c r="N1107" s="3" t="inlineStr">
        <is>
          <t>C4</t>
        </is>
      </c>
      <c r="O1107" s="3" t="inlineStr">
        <is>
          <t>no</t>
        </is>
      </c>
      <c r="P1107" s="3" t="inlineStr">
        <is>
          <t>no_compite</t>
        </is>
      </c>
      <c r="Q1107" s="3" t="inlineStr">
        <is>
          <t>panel_covariables</t>
        </is>
      </c>
      <c r="R1107" s="3" t="n"/>
      <c r="S1107" s="3" t="inlineStr">
        <is>
          <t>contraste regional (R6); no vota</t>
        </is>
      </c>
      <c r="T1107" s="3" t="inlineStr">
        <is>
          <t>output/v8/F5/atribucion_combinada.csv</t>
        </is>
      </c>
      <c r="U1107" s="2">
        <f>IF(R1107=0,"",F1107/R1107)</f>
        <v/>
      </c>
      <c r="V1107" s="2">
        <f>SUMIFS(F$2:F$1589,A$2:A$1589,A1107,C$2:C$1589,C1107,E$2:E$1589,E1107,Q$2:Q$1589,Q1107)</f>
        <v/>
      </c>
    </row>
    <row r="1108">
      <c r="A1108" s="3" t="inlineStr">
        <is>
          <t>alquiler</t>
        </is>
      </c>
      <c r="B1108" s="3" t="inlineStr">
        <is>
          <t>ccaa:02</t>
        </is>
      </c>
      <c r="C1108" s="3" t="inlineStr">
        <is>
          <t>P3</t>
        </is>
      </c>
      <c r="D1108" s="3" t="inlineStr">
        <is>
          <t>factor_comun</t>
        </is>
      </c>
      <c r="E1108" s="3" t="inlineStr">
        <is>
          <t>regional_panel</t>
        </is>
      </c>
      <c r="F1108" s="3" t="n">
        <v>-1.89168</v>
      </c>
      <c r="G1108" s="3" t="n"/>
      <c r="H1108" s="3" t="n"/>
      <c r="I1108" s="3" t="n">
        <v>1.23497</v>
      </c>
      <c r="J1108" s="3" t="n">
        <v>-3.03018</v>
      </c>
      <c r="K1108" s="3" t="n">
        <v>-0.7753910000000001</v>
      </c>
      <c r="L1108" s="3" t="n">
        <v>-3.74726</v>
      </c>
      <c r="M1108" s="3" t="n">
        <v>-0.0842796</v>
      </c>
      <c r="N1108" s="3" t="inlineStr">
        <is>
          <t>C4</t>
        </is>
      </c>
      <c r="O1108" s="3" t="inlineStr">
        <is>
          <t>no</t>
        </is>
      </c>
      <c r="P1108" s="3" t="inlineStr">
        <is>
          <t>no_compite</t>
        </is>
      </c>
      <c r="Q1108" s="3" t="inlineStr">
        <is>
          <t>panel_covariables</t>
        </is>
      </c>
      <c r="R1108" s="3" t="n"/>
      <c r="S1108" s="3" t="inlineStr">
        <is>
          <t>contraste regional (R6); no vota</t>
        </is>
      </c>
      <c r="T1108" s="3" t="inlineStr">
        <is>
          <t>output/v8/F5/atribucion_combinada.csv</t>
        </is>
      </c>
      <c r="U1108" s="2">
        <f>IF(R1108=0,"",F1108/R1108)</f>
        <v/>
      </c>
      <c r="V1108" s="2">
        <f>SUMIFS(F$2:F$1589,A$2:A$1589,A1108,C$2:C$1589,C1108,E$2:E$1589,E1108,Q$2:Q$1589,Q1108)</f>
        <v/>
      </c>
    </row>
    <row r="1109">
      <c r="A1109" s="3" t="inlineStr">
        <is>
          <t>alquiler</t>
        </is>
      </c>
      <c r="B1109" s="3" t="inlineStr">
        <is>
          <t>ccaa:02</t>
        </is>
      </c>
      <c r="C1109" s="3" t="inlineStr">
        <is>
          <t>P3</t>
        </is>
      </c>
      <c r="D1109" s="3" t="inlineStr">
        <is>
          <t>empleo_renta</t>
        </is>
      </c>
      <c r="E1109" s="3" t="inlineStr">
        <is>
          <t>regional_panel</t>
        </is>
      </c>
      <c r="F1109" s="3" t="n">
        <v>0.189537</v>
      </c>
      <c r="G1109" s="3" t="n"/>
      <c r="H1109" s="3" t="n"/>
      <c r="I1109" s="3" t="n">
        <v>-0.123738</v>
      </c>
      <c r="J1109" s="3" t="n">
        <v>-0.0710075</v>
      </c>
      <c r="K1109" s="3" t="n">
        <v>0.349307</v>
      </c>
      <c r="L1109" s="3" t="n">
        <v>-0.260223</v>
      </c>
      <c r="M1109" s="3" t="n">
        <v>0.452601</v>
      </c>
      <c r="N1109" s="3" t="inlineStr">
        <is>
          <t>C4</t>
        </is>
      </c>
      <c r="O1109" s="3" t="inlineStr">
        <is>
          <t>si</t>
        </is>
      </c>
      <c r="P1109" s="3" t="inlineStr">
        <is>
          <t>no_vota</t>
        </is>
      </c>
      <c r="Q1109" s="3" t="inlineStr">
        <is>
          <t>panel_covariables</t>
        </is>
      </c>
      <c r="R1109" s="3" t="n"/>
      <c r="S1109" s="3" t="inlineStr">
        <is>
          <t>contraste regional (R6); no vota</t>
        </is>
      </c>
      <c r="T1109" s="3" t="inlineStr">
        <is>
          <t>output/v8/F5/atribucion_combinada.csv</t>
        </is>
      </c>
      <c r="U1109" s="2">
        <f>IF(R1109=0,"",F1109/R1109)</f>
        <v/>
      </c>
      <c r="V1109" s="2">
        <f>SUMIFS(F$2:F$1589,A$2:A$1589,A1109,C$2:C$1589,C1109,E$2:E$1589,E1109,Q$2:Q$1589,Q1109)</f>
        <v/>
      </c>
    </row>
    <row r="1110">
      <c r="A1110" s="3" t="inlineStr">
        <is>
          <t>alquiler</t>
        </is>
      </c>
      <c r="B1110" s="3" t="inlineStr">
        <is>
          <t>ccaa:02</t>
        </is>
      </c>
      <c r="C1110" s="3" t="inlineStr">
        <is>
          <t>P3</t>
        </is>
      </c>
      <c r="D1110" s="3" t="inlineStr">
        <is>
          <t>demografia</t>
        </is>
      </c>
      <c r="E1110" s="3" t="inlineStr">
        <is>
          <t>regional_panel</t>
        </is>
      </c>
      <c r="F1110" s="3" t="n">
        <v>-0.490843</v>
      </c>
      <c r="G1110" s="3" t="n"/>
      <c r="H1110" s="3" t="n"/>
      <c r="I1110" s="3" t="n">
        <v>0.320443</v>
      </c>
      <c r="J1110" s="3" t="n">
        <v>-0.845627</v>
      </c>
      <c r="K1110" s="3" t="n">
        <v>-0.188812</v>
      </c>
      <c r="L1110" s="3" t="n">
        <v>-1.15615</v>
      </c>
      <c r="M1110" s="3" t="n">
        <v>0.0215336</v>
      </c>
      <c r="N1110" s="3" t="inlineStr">
        <is>
          <t>C4</t>
        </is>
      </c>
      <c r="O1110" s="3" t="inlineStr">
        <is>
          <t>si</t>
        </is>
      </c>
      <c r="P1110" s="3" t="inlineStr">
        <is>
          <t>no_vota</t>
        </is>
      </c>
      <c r="Q1110" s="3" t="inlineStr">
        <is>
          <t>panel_covariables</t>
        </is>
      </c>
      <c r="R1110" s="3" t="n"/>
      <c r="S1110" s="3" t="inlineStr">
        <is>
          <t>contraste regional (R6); no vota</t>
        </is>
      </c>
      <c r="T1110" s="3" t="inlineStr">
        <is>
          <t>output/v8/F5/atribucion_combinada.csv</t>
        </is>
      </c>
      <c r="U1110" s="2">
        <f>IF(R1110=0,"",F1110/R1110)</f>
        <v/>
      </c>
      <c r="V1110" s="2">
        <f>SUMIFS(F$2:F$1589,A$2:A$1589,A1110,C$2:C$1589,C1110,E$2:E$1589,E1110,Q$2:Q$1589,Q1110)</f>
        <v/>
      </c>
    </row>
    <row r="1111">
      <c r="A1111" s="3" t="inlineStr">
        <is>
          <t>alquiler</t>
        </is>
      </c>
      <c r="B1111" s="3" t="inlineStr">
        <is>
          <t>ccaa:02</t>
        </is>
      </c>
      <c r="C1111" s="3" t="inlineStr">
        <is>
          <t>P3</t>
        </is>
      </c>
      <c r="D1111" s="3" t="inlineStr">
        <is>
          <t>oferta</t>
        </is>
      </c>
      <c r="E1111" s="3" t="inlineStr">
        <is>
          <t>regional_panel</t>
        </is>
      </c>
      <c r="F1111" s="3" t="n">
        <v>0.0178619</v>
      </c>
      <c r="G1111" s="3" t="n"/>
      <c r="H1111" s="3" t="n"/>
      <c r="I1111" s="3" t="n">
        <v>-0.011661</v>
      </c>
      <c r="J1111" s="3" t="n">
        <v>-0.00549991</v>
      </c>
      <c r="K1111" s="3" t="n">
        <v>0.0855407</v>
      </c>
      <c r="L1111" s="3" t="n">
        <v>-0.0166051</v>
      </c>
      <c r="M1111" s="3" t="n">
        <v>0.159346</v>
      </c>
      <c r="N1111" s="3" t="inlineStr">
        <is>
          <t>C4</t>
        </is>
      </c>
      <c r="O1111" s="3" t="inlineStr">
        <is>
          <t>si</t>
        </is>
      </c>
      <c r="P1111" s="3" t="inlineStr">
        <is>
          <t>no_vota</t>
        </is>
      </c>
      <c r="Q1111" s="3" t="inlineStr">
        <is>
          <t>panel_covariables</t>
        </is>
      </c>
      <c r="R1111" s="3" t="n"/>
      <c r="S1111" s="3" t="inlineStr">
        <is>
          <t>contraste regional (R6); no vota</t>
        </is>
      </c>
      <c r="T1111" s="3" t="inlineStr">
        <is>
          <t>output/v8/F5/atribucion_combinada.csv</t>
        </is>
      </c>
      <c r="U1111" s="2">
        <f>IF(R1111=0,"",F1111/R1111)</f>
        <v/>
      </c>
      <c r="V1111" s="2">
        <f>SUMIFS(F$2:F$1589,A$2:A$1589,A1111,C$2:C$1589,C1111,E$2:E$1589,E1111,Q$2:Q$1589,Q1111)</f>
        <v/>
      </c>
    </row>
    <row r="1112">
      <c r="A1112" s="3" t="inlineStr">
        <is>
          <t>alquiler</t>
        </is>
      </c>
      <c r="B1112" s="3" t="inlineStr">
        <is>
          <t>ccaa:02</t>
        </is>
      </c>
      <c r="C1112" s="3" t="inlineStr">
        <is>
          <t>P3</t>
        </is>
      </c>
      <c r="D1112" s="3" t="inlineStr">
        <is>
          <t>demanda_externa</t>
        </is>
      </c>
      <c r="E1112" s="3" t="inlineStr">
        <is>
          <t>regional_panel</t>
        </is>
      </c>
      <c r="F1112" s="3" t="n">
        <v>0.135612</v>
      </c>
      <c r="G1112" s="3" t="n"/>
      <c r="H1112" s="3" t="n"/>
      <c r="I1112" s="3" t="n">
        <v>-0.088533</v>
      </c>
      <c r="J1112" s="3" t="n">
        <v>0.0358363</v>
      </c>
      <c r="K1112" s="3" t="n">
        <v>0.254329</v>
      </c>
      <c r="L1112" s="3" t="n">
        <v>-0.0332487</v>
      </c>
      <c r="M1112" s="3" t="n">
        <v>0.372072</v>
      </c>
      <c r="N1112" s="3" t="inlineStr">
        <is>
          <t>C4</t>
        </is>
      </c>
      <c r="O1112" s="3" t="inlineStr">
        <is>
          <t>si</t>
        </is>
      </c>
      <c r="P1112" s="3" t="inlineStr">
        <is>
          <t>no_vota</t>
        </is>
      </c>
      <c r="Q1112" s="3" t="inlineStr">
        <is>
          <t>panel_covariables</t>
        </is>
      </c>
      <c r="R1112" s="3" t="n"/>
      <c r="S1112" s="3" t="inlineStr">
        <is>
          <t>contraste regional (R6); no vota</t>
        </is>
      </c>
      <c r="T1112" s="3" t="inlineStr">
        <is>
          <t>output/v8/F5/atribucion_combinada.csv</t>
        </is>
      </c>
      <c r="U1112" s="2">
        <f>IF(R1112=0,"",F1112/R1112)</f>
        <v/>
      </c>
      <c r="V1112" s="2">
        <f>SUMIFS(F$2:F$1589,A$2:A$1589,A1112,C$2:C$1589,C1112,E$2:E$1589,E1112,Q$2:Q$1589,Q1112)</f>
        <v/>
      </c>
    </row>
    <row r="1113">
      <c r="A1113" s="3" t="inlineStr">
        <is>
          <t>alquiler</t>
        </is>
      </c>
      <c r="B1113" s="3" t="inlineStr">
        <is>
          <t>ccaa:02</t>
        </is>
      </c>
      <c r="C1113" s="3" t="inlineStr">
        <is>
          <t>P3</t>
        </is>
      </c>
      <c r="D1113" s="3" t="inlineStr">
        <is>
          <t>residuo</t>
        </is>
      </c>
      <c r="E1113" s="3" t="inlineStr">
        <is>
          <t>regional_panel</t>
        </is>
      </c>
      <c r="F1113" s="3" t="n">
        <v>0.507751</v>
      </c>
      <c r="G1113" s="3" t="n"/>
      <c r="H1113" s="3" t="n"/>
      <c r="I1113" s="3" t="n">
        <v>-0.331481</v>
      </c>
      <c r="J1113" s="3" t="n">
        <v>-0.114158</v>
      </c>
      <c r="K1113" s="3" t="n">
        <v>1.41942</v>
      </c>
      <c r="L1113" s="3" t="n">
        <v>-0.408272</v>
      </c>
      <c r="M1113" s="3" t="n">
        <v>1.86994</v>
      </c>
      <c r="N1113" s="3" t="inlineStr">
        <is>
          <t>C4</t>
        </is>
      </c>
      <c r="O1113" s="3" t="inlineStr">
        <is>
          <t>no</t>
        </is>
      </c>
      <c r="P1113" s="3" t="inlineStr">
        <is>
          <t>no_compite</t>
        </is>
      </c>
      <c r="Q1113" s="3" t="inlineStr">
        <is>
          <t>panel_covariables</t>
        </is>
      </c>
      <c r="R1113" s="3" t="n"/>
      <c r="S1113" s="3" t="inlineStr">
        <is>
          <t>contraste regional (R6); no vota</t>
        </is>
      </c>
      <c r="T1113" s="3" t="inlineStr">
        <is>
          <t>output/v8/F5/atribucion_combinada.csv</t>
        </is>
      </c>
      <c r="U1113" s="2">
        <f>IF(R1113=0,"",F1113/R1113)</f>
        <v/>
      </c>
      <c r="V1113" s="2">
        <f>SUMIFS(F$2:F$1589,A$2:A$1589,A1113,C$2:C$1589,C1113,E$2:E$1589,E1113,Q$2:Q$1589,Q1113)</f>
        <v/>
      </c>
    </row>
    <row r="1114">
      <c r="A1114" s="3" t="inlineStr">
        <is>
          <t>alquiler</t>
        </is>
      </c>
      <c r="B1114" s="3" t="inlineStr">
        <is>
          <t>ccaa:03</t>
        </is>
      </c>
      <c r="C1114" s="3" t="inlineStr">
        <is>
          <t>P3</t>
        </is>
      </c>
      <c r="D1114" s="3" t="inlineStr">
        <is>
          <t>factor_comun</t>
        </is>
      </c>
      <c r="E1114" s="3" t="inlineStr">
        <is>
          <t>regional_panel</t>
        </is>
      </c>
      <c r="F1114" s="3" t="n">
        <v>-1.89168</v>
      </c>
      <c r="G1114" s="3" t="n"/>
      <c r="H1114" s="3" t="n"/>
      <c r="I1114" s="3" t="n">
        <v>1.94988</v>
      </c>
      <c r="J1114" s="3" t="n">
        <v>-3.03018</v>
      </c>
      <c r="K1114" s="3" t="n">
        <v>-0.7753910000000001</v>
      </c>
      <c r="L1114" s="3" t="n">
        <v>-3.74726</v>
      </c>
      <c r="M1114" s="3" t="n">
        <v>-0.0842796</v>
      </c>
      <c r="N1114" s="3" t="inlineStr">
        <is>
          <t>C4</t>
        </is>
      </c>
      <c r="O1114" s="3" t="inlineStr">
        <is>
          <t>no</t>
        </is>
      </c>
      <c r="P1114" s="3" t="inlineStr">
        <is>
          <t>no_compite</t>
        </is>
      </c>
      <c r="Q1114" s="3" t="inlineStr">
        <is>
          <t>panel_covariables</t>
        </is>
      </c>
      <c r="R1114" s="3" t="n"/>
      <c r="S1114" s="3" t="inlineStr">
        <is>
          <t>contraste regional (R6); no vota</t>
        </is>
      </c>
      <c r="T1114" s="3" t="inlineStr">
        <is>
          <t>output/v8/F5/atribucion_combinada.csv</t>
        </is>
      </c>
      <c r="U1114" s="2">
        <f>IF(R1114=0,"",F1114/R1114)</f>
        <v/>
      </c>
      <c r="V1114" s="2">
        <f>SUMIFS(F$2:F$1589,A$2:A$1589,A1114,C$2:C$1589,C1114,E$2:E$1589,E1114,Q$2:Q$1589,Q1114)</f>
        <v/>
      </c>
    </row>
    <row r="1115">
      <c r="A1115" s="3" t="inlineStr">
        <is>
          <t>alquiler</t>
        </is>
      </c>
      <c r="B1115" s="3" t="inlineStr">
        <is>
          <t>ccaa:03</t>
        </is>
      </c>
      <c r="C1115" s="3" t="inlineStr">
        <is>
          <t>P3</t>
        </is>
      </c>
      <c r="D1115" s="3" t="inlineStr">
        <is>
          <t>empleo_renta</t>
        </is>
      </c>
      <c r="E1115" s="3" t="inlineStr">
        <is>
          <t>regional_panel</t>
        </is>
      </c>
      <c r="F1115" s="3" t="n">
        <v>-0.141382</v>
      </c>
      <c r="G1115" s="3" t="n"/>
      <c r="H1115" s="3" t="n"/>
      <c r="I1115" s="3" t="n">
        <v>0.145732</v>
      </c>
      <c r="J1115" s="3" t="n">
        <v>-0.371273</v>
      </c>
      <c r="K1115" s="3" t="n">
        <v>0.0147382</v>
      </c>
      <c r="L1115" s="3" t="n">
        <v>-0.65588</v>
      </c>
      <c r="M1115" s="3" t="n">
        <v>0.128146</v>
      </c>
      <c r="N1115" s="3" t="inlineStr">
        <is>
          <t>C4</t>
        </is>
      </c>
      <c r="O1115" s="3" t="inlineStr">
        <is>
          <t>si</t>
        </is>
      </c>
      <c r="P1115" s="3" t="inlineStr">
        <is>
          <t>no_vota</t>
        </is>
      </c>
      <c r="Q1115" s="3" t="inlineStr">
        <is>
          <t>panel_covariables</t>
        </is>
      </c>
      <c r="R1115" s="3" t="n"/>
      <c r="S1115" s="3" t="inlineStr">
        <is>
          <t>contraste regional (R6); no vota</t>
        </is>
      </c>
      <c r="T1115" s="3" t="inlineStr">
        <is>
          <t>output/v8/F5/atribucion_combinada.csv</t>
        </is>
      </c>
      <c r="U1115" s="2">
        <f>IF(R1115=0,"",F1115/R1115)</f>
        <v/>
      </c>
      <c r="V1115" s="2">
        <f>SUMIFS(F$2:F$1589,A$2:A$1589,A1115,C$2:C$1589,C1115,E$2:E$1589,E1115,Q$2:Q$1589,Q1115)</f>
        <v/>
      </c>
    </row>
    <row r="1116">
      <c r="A1116" s="3" t="inlineStr">
        <is>
          <t>alquiler</t>
        </is>
      </c>
      <c r="B1116" s="3" t="inlineStr">
        <is>
          <t>ccaa:03</t>
        </is>
      </c>
      <c r="C1116" s="3" t="inlineStr">
        <is>
          <t>P3</t>
        </is>
      </c>
      <c r="D1116" s="3" t="inlineStr">
        <is>
          <t>demografia</t>
        </is>
      </c>
      <c r="E1116" s="3" t="inlineStr">
        <is>
          <t>regional_panel</t>
        </is>
      </c>
      <c r="F1116" s="3" t="n">
        <v>-2.7707</v>
      </c>
      <c r="G1116" s="3" t="n"/>
      <c r="H1116" s="3" t="n"/>
      <c r="I1116" s="3" t="n">
        <v>2.85594</v>
      </c>
      <c r="J1116" s="3" t="n">
        <v>-3.34987</v>
      </c>
      <c r="K1116" s="3" t="n">
        <v>-2.33545</v>
      </c>
      <c r="L1116" s="3" t="n">
        <v>-3.84693</v>
      </c>
      <c r="M1116" s="3" t="n">
        <v>-1.86144</v>
      </c>
      <c r="N1116" s="3" t="inlineStr">
        <is>
          <t>C4</t>
        </is>
      </c>
      <c r="O1116" s="3" t="inlineStr">
        <is>
          <t>si</t>
        </is>
      </c>
      <c r="P1116" s="3" t="inlineStr">
        <is>
          <t>no_vota</t>
        </is>
      </c>
      <c r="Q1116" s="3" t="inlineStr">
        <is>
          <t>panel_covariables</t>
        </is>
      </c>
      <c r="R1116" s="3" t="n"/>
      <c r="S1116" s="3" t="inlineStr">
        <is>
          <t>contraste regional (R6); no vota</t>
        </is>
      </c>
      <c r="T1116" s="3" t="inlineStr">
        <is>
          <t>output/v8/F5/atribucion_combinada.csv</t>
        </is>
      </c>
      <c r="U1116" s="2">
        <f>IF(R1116=0,"",F1116/R1116)</f>
        <v/>
      </c>
      <c r="V1116" s="2">
        <f>SUMIFS(F$2:F$1589,A$2:A$1589,A1116,C$2:C$1589,C1116,E$2:E$1589,E1116,Q$2:Q$1589,Q1116)</f>
        <v/>
      </c>
    </row>
    <row r="1117">
      <c r="A1117" s="3" t="inlineStr">
        <is>
          <t>alquiler</t>
        </is>
      </c>
      <c r="B1117" s="3" t="inlineStr">
        <is>
          <t>ccaa:03</t>
        </is>
      </c>
      <c r="C1117" s="3" t="inlineStr">
        <is>
          <t>P3</t>
        </is>
      </c>
      <c r="D1117" s="3" t="inlineStr">
        <is>
          <t>oferta</t>
        </is>
      </c>
      <c r="E1117" s="3" t="inlineStr">
        <is>
          <t>regional_panel</t>
        </is>
      </c>
      <c r="F1117" s="3" t="n">
        <v>0.0597998</v>
      </c>
      <c r="G1117" s="3" t="n"/>
      <c r="H1117" s="3" t="n"/>
      <c r="I1117" s="3" t="n">
        <v>-0.0616396</v>
      </c>
      <c r="J1117" s="3" t="n">
        <v>-0.0197191</v>
      </c>
      <c r="K1117" s="3" t="n">
        <v>0.185573</v>
      </c>
      <c r="L1117" s="3" t="n">
        <v>-0.08211400000000001</v>
      </c>
      <c r="M1117" s="3" t="n">
        <v>0.300715</v>
      </c>
      <c r="N1117" s="3" t="inlineStr">
        <is>
          <t>C4</t>
        </is>
      </c>
      <c r="O1117" s="3" t="inlineStr">
        <is>
          <t>si</t>
        </is>
      </c>
      <c r="P1117" s="3" t="inlineStr">
        <is>
          <t>no_vota</t>
        </is>
      </c>
      <c r="Q1117" s="3" t="inlineStr">
        <is>
          <t>panel_covariables</t>
        </is>
      </c>
      <c r="R1117" s="3" t="n"/>
      <c r="S1117" s="3" t="inlineStr">
        <is>
          <t>contraste regional (R6); no vota</t>
        </is>
      </c>
      <c r="T1117" s="3" t="inlineStr">
        <is>
          <t>output/v8/F5/atribucion_combinada.csv</t>
        </is>
      </c>
      <c r="U1117" s="2">
        <f>IF(R1117=0,"",F1117/R1117)</f>
        <v/>
      </c>
      <c r="V1117" s="2">
        <f>SUMIFS(F$2:F$1589,A$2:A$1589,A1117,C$2:C$1589,C1117,E$2:E$1589,E1117,Q$2:Q$1589,Q1117)</f>
        <v/>
      </c>
    </row>
    <row r="1118">
      <c r="A1118" s="3" t="inlineStr">
        <is>
          <t>alquiler</t>
        </is>
      </c>
      <c r="B1118" s="3" t="inlineStr">
        <is>
          <t>ccaa:03</t>
        </is>
      </c>
      <c r="C1118" s="3" t="inlineStr">
        <is>
          <t>P3</t>
        </is>
      </c>
      <c r="D1118" s="3" t="inlineStr">
        <is>
          <t>demanda_externa</t>
        </is>
      </c>
      <c r="E1118" s="3" t="inlineStr">
        <is>
          <t>regional_panel</t>
        </is>
      </c>
      <c r="F1118" s="3" t="n">
        <v>0.151322</v>
      </c>
      <c r="G1118" s="3" t="n"/>
      <c r="H1118" s="3" t="n"/>
      <c r="I1118" s="3" t="n">
        <v>-0.155978</v>
      </c>
      <c r="J1118" s="3" t="n">
        <v>0.0554935</v>
      </c>
      <c r="K1118" s="3" t="n">
        <v>0.249665</v>
      </c>
      <c r="L1118" s="3" t="n">
        <v>-0.0434988</v>
      </c>
      <c r="M1118" s="3" t="n">
        <v>0.336084</v>
      </c>
      <c r="N1118" s="3" t="inlineStr">
        <is>
          <t>C4</t>
        </is>
      </c>
      <c r="O1118" s="3" t="inlineStr">
        <is>
          <t>si</t>
        </is>
      </c>
      <c r="P1118" s="3" t="inlineStr">
        <is>
          <t>no_vota</t>
        </is>
      </c>
      <c r="Q1118" s="3" t="inlineStr">
        <is>
          <t>panel_covariables</t>
        </is>
      </c>
      <c r="R1118" s="3" t="n"/>
      <c r="S1118" s="3" t="inlineStr">
        <is>
          <t>contraste regional (R6); no vota</t>
        </is>
      </c>
      <c r="T1118" s="3" t="inlineStr">
        <is>
          <t>output/v8/F5/atribucion_combinada.csv</t>
        </is>
      </c>
      <c r="U1118" s="2">
        <f>IF(R1118=0,"",F1118/R1118)</f>
        <v/>
      </c>
      <c r="V1118" s="2">
        <f>SUMIFS(F$2:F$1589,A$2:A$1589,A1118,C$2:C$1589,C1118,E$2:E$1589,E1118,Q$2:Q$1589,Q1118)</f>
        <v/>
      </c>
    </row>
    <row r="1119">
      <c r="A1119" s="3" t="inlineStr">
        <is>
          <t>alquiler</t>
        </is>
      </c>
      <c r="B1119" s="3" t="inlineStr">
        <is>
          <t>ccaa:03</t>
        </is>
      </c>
      <c r="C1119" s="3" t="inlineStr">
        <is>
          <t>P3</t>
        </is>
      </c>
      <c r="D1119" s="3" t="inlineStr">
        <is>
          <t>residuo</t>
        </is>
      </c>
      <c r="E1119" s="3" t="inlineStr">
        <is>
          <t>regional_panel</t>
        </is>
      </c>
      <c r="F1119" s="3" t="n">
        <v>3.62249</v>
      </c>
      <c r="G1119" s="3" t="n"/>
      <c r="H1119" s="3" t="n"/>
      <c r="I1119" s="3" t="n">
        <v>-3.73394</v>
      </c>
      <c r="J1119" s="3" t="n">
        <v>2.91545</v>
      </c>
      <c r="K1119" s="3" t="n">
        <v>4.56974</v>
      </c>
      <c r="L1119" s="3" t="n">
        <v>2.42315</v>
      </c>
      <c r="M1119" s="3" t="n">
        <v>5.12953</v>
      </c>
      <c r="N1119" s="3" t="inlineStr">
        <is>
          <t>C4</t>
        </is>
      </c>
      <c r="O1119" s="3" t="inlineStr">
        <is>
          <t>no</t>
        </is>
      </c>
      <c r="P1119" s="3" t="inlineStr">
        <is>
          <t>no_compite</t>
        </is>
      </c>
      <c r="Q1119" s="3" t="inlineStr">
        <is>
          <t>panel_covariables</t>
        </is>
      </c>
      <c r="R1119" s="3" t="n"/>
      <c r="S1119" s="3" t="inlineStr">
        <is>
          <t>contraste regional (R6); no vota</t>
        </is>
      </c>
      <c r="T1119" s="3" t="inlineStr">
        <is>
          <t>output/v8/F5/atribucion_combinada.csv</t>
        </is>
      </c>
      <c r="U1119" s="2">
        <f>IF(R1119=0,"",F1119/R1119)</f>
        <v/>
      </c>
      <c r="V1119" s="2">
        <f>SUMIFS(F$2:F$1589,A$2:A$1589,A1119,C$2:C$1589,C1119,E$2:E$1589,E1119,Q$2:Q$1589,Q1119)</f>
        <v/>
      </c>
    </row>
    <row r="1120">
      <c r="A1120" s="3" t="inlineStr">
        <is>
          <t>alquiler</t>
        </is>
      </c>
      <c r="B1120" s="3" t="inlineStr">
        <is>
          <t>ccaa:04</t>
        </is>
      </c>
      <c r="C1120" s="3" t="inlineStr">
        <is>
          <t>P3</t>
        </is>
      </c>
      <c r="D1120" s="3" t="inlineStr">
        <is>
          <t>factor_comun</t>
        </is>
      </c>
      <c r="E1120" s="3" t="inlineStr">
        <is>
          <t>regional_panel</t>
        </is>
      </c>
      <c r="F1120" s="3" t="n">
        <v>-1.89168</v>
      </c>
      <c r="G1120" s="3" t="n"/>
      <c r="H1120" s="3" t="n"/>
      <c r="I1120" s="3" t="n">
        <v>-1.04604</v>
      </c>
      <c r="J1120" s="3" t="n">
        <v>-3.03018</v>
      </c>
      <c r="K1120" s="3" t="n">
        <v>-0.7753910000000001</v>
      </c>
      <c r="L1120" s="3" t="n">
        <v>-3.74726</v>
      </c>
      <c r="M1120" s="3" t="n">
        <v>-0.0842796</v>
      </c>
      <c r="N1120" s="3" t="inlineStr">
        <is>
          <t>C4</t>
        </is>
      </c>
      <c r="O1120" s="3" t="inlineStr">
        <is>
          <t>no</t>
        </is>
      </c>
      <c r="P1120" s="3" t="inlineStr">
        <is>
          <t>no_compite</t>
        </is>
      </c>
      <c r="Q1120" s="3" t="inlineStr">
        <is>
          <t>panel_covariables</t>
        </is>
      </c>
      <c r="R1120" s="3" t="n"/>
      <c r="S1120" s="3" t="inlineStr">
        <is>
          <t>contraste regional (R6); no vota</t>
        </is>
      </c>
      <c r="T1120" s="3" t="inlineStr">
        <is>
          <t>output/v8/F5/atribucion_combinada.csv</t>
        </is>
      </c>
      <c r="U1120" s="2">
        <f>IF(R1120=0,"",F1120/R1120)</f>
        <v/>
      </c>
      <c r="V1120" s="2">
        <f>SUMIFS(F$2:F$1589,A$2:A$1589,A1120,C$2:C$1589,C1120,E$2:E$1589,E1120,Q$2:Q$1589,Q1120)</f>
        <v/>
      </c>
    </row>
    <row r="1121">
      <c r="A1121" s="3" t="inlineStr">
        <is>
          <t>alquiler</t>
        </is>
      </c>
      <c r="B1121" s="3" t="inlineStr">
        <is>
          <t>ccaa:04</t>
        </is>
      </c>
      <c r="C1121" s="3" t="inlineStr">
        <is>
          <t>P3</t>
        </is>
      </c>
      <c r="D1121" s="3" t="inlineStr">
        <is>
          <t>empleo_renta</t>
        </is>
      </c>
      <c r="E1121" s="3" t="inlineStr">
        <is>
          <t>regional_panel</t>
        </is>
      </c>
      <c r="F1121" s="3" t="n">
        <v>0.406736</v>
      </c>
      <c r="G1121" s="3" t="n"/>
      <c r="H1121" s="3" t="n"/>
      <c r="I1121" s="3" t="n">
        <v>0.224912</v>
      </c>
      <c r="J1121" s="3" t="n">
        <v>0.144241</v>
      </c>
      <c r="K1121" s="3" t="n">
        <v>0.555369</v>
      </c>
      <c r="L1121" s="3" t="n">
        <v>0.0269646</v>
      </c>
      <c r="M1121" s="3" t="n">
        <v>0.6787300000000001</v>
      </c>
      <c r="N1121" s="3" t="inlineStr">
        <is>
          <t>C4</t>
        </is>
      </c>
      <c r="O1121" s="3" t="inlineStr">
        <is>
          <t>si</t>
        </is>
      </c>
      <c r="P1121" s="3" t="inlineStr">
        <is>
          <t>no_vota</t>
        </is>
      </c>
      <c r="Q1121" s="3" t="inlineStr">
        <is>
          <t>panel_covariables</t>
        </is>
      </c>
      <c r="R1121" s="3" t="n"/>
      <c r="S1121" s="3" t="inlineStr">
        <is>
          <t>contraste regional (R6); no vota</t>
        </is>
      </c>
      <c r="T1121" s="3" t="inlineStr">
        <is>
          <t>output/v8/F5/atribucion_combinada.csv</t>
        </is>
      </c>
      <c r="U1121" s="2">
        <f>IF(R1121=0,"",F1121/R1121)</f>
        <v/>
      </c>
      <c r="V1121" s="2">
        <f>SUMIFS(F$2:F$1589,A$2:A$1589,A1121,C$2:C$1589,C1121,E$2:E$1589,E1121,Q$2:Q$1589,Q1121)</f>
        <v/>
      </c>
    </row>
    <row r="1122">
      <c r="A1122" s="3" t="inlineStr">
        <is>
          <t>alquiler</t>
        </is>
      </c>
      <c r="B1122" s="3" t="inlineStr">
        <is>
          <t>ccaa:04</t>
        </is>
      </c>
      <c r="C1122" s="3" t="inlineStr">
        <is>
          <t>P3</t>
        </is>
      </c>
      <c r="D1122" s="3" t="inlineStr">
        <is>
          <t>demografia</t>
        </is>
      </c>
      <c r="E1122" s="3" t="inlineStr">
        <is>
          <t>regional_panel</t>
        </is>
      </c>
      <c r="F1122" s="3" t="n">
        <v>3.93472</v>
      </c>
      <c r="G1122" s="3" t="n"/>
      <c r="H1122" s="3" t="n"/>
      <c r="I1122" s="3" t="n">
        <v>2.17577</v>
      </c>
      <c r="J1122" s="3" t="n">
        <v>3.19243</v>
      </c>
      <c r="K1122" s="3" t="n">
        <v>4.7429</v>
      </c>
      <c r="L1122" s="3" t="n">
        <v>2.71018</v>
      </c>
      <c r="M1122" s="3" t="n">
        <v>5.08185</v>
      </c>
      <c r="N1122" s="3" t="inlineStr">
        <is>
          <t>C4</t>
        </is>
      </c>
      <c r="O1122" s="3" t="inlineStr">
        <is>
          <t>si</t>
        </is>
      </c>
      <c r="P1122" s="3" t="inlineStr">
        <is>
          <t>no_vota</t>
        </is>
      </c>
      <c r="Q1122" s="3" t="inlineStr">
        <is>
          <t>panel_covariables</t>
        </is>
      </c>
      <c r="R1122" s="3" t="n"/>
      <c r="S1122" s="3" t="inlineStr">
        <is>
          <t>contraste regional (R6); no vota</t>
        </is>
      </c>
      <c r="T1122" s="3" t="inlineStr">
        <is>
          <t>output/v8/F5/atribucion_combinada.csv</t>
        </is>
      </c>
      <c r="U1122" s="2">
        <f>IF(R1122=0,"",F1122/R1122)</f>
        <v/>
      </c>
      <c r="V1122" s="2">
        <f>SUMIFS(F$2:F$1589,A$2:A$1589,A1122,C$2:C$1589,C1122,E$2:E$1589,E1122,Q$2:Q$1589,Q1122)</f>
        <v/>
      </c>
    </row>
    <row r="1123">
      <c r="A1123" s="3" t="inlineStr">
        <is>
          <t>alquiler</t>
        </is>
      </c>
      <c r="B1123" s="3" t="inlineStr">
        <is>
          <t>ccaa:04</t>
        </is>
      </c>
      <c r="C1123" s="3" t="inlineStr">
        <is>
          <t>P3</t>
        </is>
      </c>
      <c r="D1123" s="3" t="inlineStr">
        <is>
          <t>oferta</t>
        </is>
      </c>
      <c r="E1123" s="3" t="inlineStr">
        <is>
          <t>regional_panel</t>
        </is>
      </c>
      <c r="F1123" s="3" t="n">
        <v>0.0432276</v>
      </c>
      <c r="G1123" s="3" t="n"/>
      <c r="H1123" s="3" t="n"/>
      <c r="I1123" s="3" t="n">
        <v>0.0239035</v>
      </c>
      <c r="J1123" s="3" t="n">
        <v>-0.008352969999999999</v>
      </c>
      <c r="K1123" s="3" t="n">
        <v>0.130738</v>
      </c>
      <c r="L1123" s="3" t="n">
        <v>-0.0403908</v>
      </c>
      <c r="M1123" s="3" t="n">
        <v>0.235632</v>
      </c>
      <c r="N1123" s="3" t="inlineStr">
        <is>
          <t>C4</t>
        </is>
      </c>
      <c r="O1123" s="3" t="inlineStr">
        <is>
          <t>si</t>
        </is>
      </c>
      <c r="P1123" s="3" t="inlineStr">
        <is>
          <t>no_vota</t>
        </is>
      </c>
      <c r="Q1123" s="3" t="inlineStr">
        <is>
          <t>panel_covariables</t>
        </is>
      </c>
      <c r="R1123" s="3" t="n"/>
      <c r="S1123" s="3" t="inlineStr">
        <is>
          <t>contraste regional (R6); no vota</t>
        </is>
      </c>
      <c r="T1123" s="3" t="inlineStr">
        <is>
          <t>output/v8/F5/atribucion_combinada.csv</t>
        </is>
      </c>
      <c r="U1123" s="2">
        <f>IF(R1123=0,"",F1123/R1123)</f>
        <v/>
      </c>
      <c r="V1123" s="2">
        <f>SUMIFS(F$2:F$1589,A$2:A$1589,A1123,C$2:C$1589,C1123,E$2:E$1589,E1123,Q$2:Q$1589,Q1123)</f>
        <v/>
      </c>
    </row>
    <row r="1124">
      <c r="A1124" s="3" t="inlineStr">
        <is>
          <t>alquiler</t>
        </is>
      </c>
      <c r="B1124" s="3" t="inlineStr">
        <is>
          <t>ccaa:04</t>
        </is>
      </c>
      <c r="C1124" s="3" t="inlineStr">
        <is>
          <t>P3</t>
        </is>
      </c>
      <c r="D1124" s="3" t="inlineStr">
        <is>
          <t>demanda_externa</t>
        </is>
      </c>
      <c r="E1124" s="3" t="inlineStr">
        <is>
          <t>regional_panel</t>
        </is>
      </c>
      <c r="F1124" s="3" t="n">
        <v>0.0709988</v>
      </c>
      <c r="G1124" s="3" t="n"/>
      <c r="H1124" s="3" t="n"/>
      <c r="I1124" s="3" t="n">
        <v>0.03926</v>
      </c>
      <c r="J1124" s="3" t="n">
        <v>0.00278063</v>
      </c>
      <c r="K1124" s="3" t="n">
        <v>0.160008</v>
      </c>
      <c r="L1124" s="3" t="n">
        <v>-0.0294981</v>
      </c>
      <c r="M1124" s="3" t="n">
        <v>0.234168</v>
      </c>
      <c r="N1124" s="3" t="inlineStr">
        <is>
          <t>C4</t>
        </is>
      </c>
      <c r="O1124" s="3" t="inlineStr">
        <is>
          <t>si</t>
        </is>
      </c>
      <c r="P1124" s="3" t="inlineStr">
        <is>
          <t>no_vota</t>
        </is>
      </c>
      <c r="Q1124" s="3" t="inlineStr">
        <is>
          <t>panel_covariables</t>
        </is>
      </c>
      <c r="R1124" s="3" t="n"/>
      <c r="S1124" s="3" t="inlineStr">
        <is>
          <t>contraste regional (R6); no vota</t>
        </is>
      </c>
      <c r="T1124" s="3" t="inlineStr">
        <is>
          <t>output/v8/F5/atribucion_combinada.csv</t>
        </is>
      </c>
      <c r="U1124" s="2">
        <f>IF(R1124=0,"",F1124/R1124)</f>
        <v/>
      </c>
      <c r="V1124" s="2">
        <f>SUMIFS(F$2:F$1589,A$2:A$1589,A1124,C$2:C$1589,C1124,E$2:E$1589,E1124,Q$2:Q$1589,Q1124)</f>
        <v/>
      </c>
    </row>
    <row r="1125">
      <c r="A1125" s="3" t="inlineStr">
        <is>
          <t>alquiler</t>
        </is>
      </c>
      <c r="B1125" s="3" t="inlineStr">
        <is>
          <t>ccaa:04</t>
        </is>
      </c>
      <c r="C1125" s="3" t="inlineStr">
        <is>
          <t>P3</t>
        </is>
      </c>
      <c r="D1125" s="3" t="inlineStr">
        <is>
          <t>residuo</t>
        </is>
      </c>
      <c r="E1125" s="3" t="inlineStr">
        <is>
          <t>regional_panel</t>
        </is>
      </c>
      <c r="F1125" s="3" t="n">
        <v>-0.755571</v>
      </c>
      <c r="G1125" s="3" t="n"/>
      <c r="H1125" s="3" t="n"/>
      <c r="I1125" s="3" t="n">
        <v>-0.417806</v>
      </c>
      <c r="J1125" s="3" t="n">
        <v>-1.33346</v>
      </c>
      <c r="K1125" s="3" t="n">
        <v>-0.19253</v>
      </c>
      <c r="L1125" s="3" t="n">
        <v>-1.82035</v>
      </c>
      <c r="M1125" s="3" t="n">
        <v>0.26598</v>
      </c>
      <c r="N1125" s="3" t="inlineStr">
        <is>
          <t>C4</t>
        </is>
      </c>
      <c r="O1125" s="3" t="inlineStr">
        <is>
          <t>no</t>
        </is>
      </c>
      <c r="P1125" s="3" t="inlineStr">
        <is>
          <t>no_compite</t>
        </is>
      </c>
      <c r="Q1125" s="3" t="inlineStr">
        <is>
          <t>panel_covariables</t>
        </is>
      </c>
      <c r="R1125" s="3" t="n"/>
      <c r="S1125" s="3" t="inlineStr">
        <is>
          <t>contraste regional (R6); no vota</t>
        </is>
      </c>
      <c r="T1125" s="3" t="inlineStr">
        <is>
          <t>output/v8/F5/atribucion_combinada.csv</t>
        </is>
      </c>
      <c r="U1125" s="2">
        <f>IF(R1125=0,"",F1125/R1125)</f>
        <v/>
      </c>
      <c r="V1125" s="2">
        <f>SUMIFS(F$2:F$1589,A$2:A$1589,A1125,C$2:C$1589,C1125,E$2:E$1589,E1125,Q$2:Q$1589,Q1125)</f>
        <v/>
      </c>
    </row>
    <row r="1126">
      <c r="A1126" s="3" t="inlineStr">
        <is>
          <t>alquiler</t>
        </is>
      </c>
      <c r="B1126" s="3" t="inlineStr">
        <is>
          <t>ccaa:05</t>
        </is>
      </c>
      <c r="C1126" s="3" t="inlineStr">
        <is>
          <t>P3</t>
        </is>
      </c>
      <c r="D1126" s="3" t="inlineStr">
        <is>
          <t>factor_comun</t>
        </is>
      </c>
      <c r="E1126" s="3" t="inlineStr">
        <is>
          <t>regional_panel</t>
        </is>
      </c>
      <c r="F1126" s="3" t="n">
        <v>-1.89168</v>
      </c>
      <c r="G1126" s="3" t="n"/>
      <c r="H1126" s="3" t="n"/>
      <c r="I1126" s="3" t="n">
        <v>1.4923</v>
      </c>
      <c r="J1126" s="3" t="n">
        <v>-3.03018</v>
      </c>
      <c r="K1126" s="3" t="n">
        <v>-0.7753910000000001</v>
      </c>
      <c r="L1126" s="3" t="n">
        <v>-3.74726</v>
      </c>
      <c r="M1126" s="3" t="n">
        <v>-0.0842796</v>
      </c>
      <c r="N1126" s="3" t="inlineStr">
        <is>
          <t>C4</t>
        </is>
      </c>
      <c r="O1126" s="3" t="inlineStr">
        <is>
          <t>no</t>
        </is>
      </c>
      <c r="P1126" s="3" t="inlineStr">
        <is>
          <t>no_compite</t>
        </is>
      </c>
      <c r="Q1126" s="3" t="inlineStr">
        <is>
          <t>panel_covariables</t>
        </is>
      </c>
      <c r="R1126" s="3" t="n"/>
      <c r="S1126" s="3" t="inlineStr">
        <is>
          <t>contraste regional (R6); no vota</t>
        </is>
      </c>
      <c r="T1126" s="3" t="inlineStr">
        <is>
          <t>output/v8/F5/atribucion_combinada.csv</t>
        </is>
      </c>
      <c r="U1126" s="2">
        <f>IF(R1126=0,"",F1126/R1126)</f>
        <v/>
      </c>
      <c r="V1126" s="2">
        <f>SUMIFS(F$2:F$1589,A$2:A$1589,A1126,C$2:C$1589,C1126,E$2:E$1589,E1126,Q$2:Q$1589,Q1126)</f>
        <v/>
      </c>
    </row>
    <row r="1127">
      <c r="A1127" s="3" t="inlineStr">
        <is>
          <t>alquiler</t>
        </is>
      </c>
      <c r="B1127" s="3" t="inlineStr">
        <is>
          <t>ccaa:05</t>
        </is>
      </c>
      <c r="C1127" s="3" t="inlineStr">
        <is>
          <t>P3</t>
        </is>
      </c>
      <c r="D1127" s="3" t="inlineStr">
        <is>
          <t>empleo_renta</t>
        </is>
      </c>
      <c r="E1127" s="3" t="inlineStr">
        <is>
          <t>regional_panel</t>
        </is>
      </c>
      <c r="F1127" s="3" t="n">
        <v>0.450543</v>
      </c>
      <c r="G1127" s="3" t="n"/>
      <c r="H1127" s="3" t="n"/>
      <c r="I1127" s="3" t="n">
        <v>-0.355422</v>
      </c>
      <c r="J1127" s="3" t="n">
        <v>0.210319</v>
      </c>
      <c r="K1127" s="3" t="n">
        <v>0.5391590000000001</v>
      </c>
      <c r="L1127" s="3" t="n">
        <v>0.09208180000000001</v>
      </c>
      <c r="M1127" s="3" t="n">
        <v>0.645994</v>
      </c>
      <c r="N1127" s="3" t="inlineStr">
        <is>
          <t>C4</t>
        </is>
      </c>
      <c r="O1127" s="3" t="inlineStr">
        <is>
          <t>si</t>
        </is>
      </c>
      <c r="P1127" s="3" t="inlineStr">
        <is>
          <t>no_vota</t>
        </is>
      </c>
      <c r="Q1127" s="3" t="inlineStr">
        <is>
          <t>panel_covariables</t>
        </is>
      </c>
      <c r="R1127" s="3" t="n"/>
      <c r="S1127" s="3" t="inlineStr">
        <is>
          <t>contraste regional (R6); no vota</t>
        </is>
      </c>
      <c r="T1127" s="3" t="inlineStr">
        <is>
          <t>output/v8/F5/atribucion_combinada.csv</t>
        </is>
      </c>
      <c r="U1127" s="2">
        <f>IF(R1127=0,"",F1127/R1127)</f>
        <v/>
      </c>
      <c r="V1127" s="2">
        <f>SUMIFS(F$2:F$1589,A$2:A$1589,A1127,C$2:C$1589,C1127,E$2:E$1589,E1127,Q$2:Q$1589,Q1127)</f>
        <v/>
      </c>
    </row>
    <row r="1128">
      <c r="A1128" s="3" t="inlineStr">
        <is>
          <t>alquiler</t>
        </is>
      </c>
      <c r="B1128" s="3" t="inlineStr">
        <is>
          <t>ccaa:05</t>
        </is>
      </c>
      <c r="C1128" s="3" t="inlineStr">
        <is>
          <t>P3</t>
        </is>
      </c>
      <c r="D1128" s="3" t="inlineStr">
        <is>
          <t>demografia</t>
        </is>
      </c>
      <c r="E1128" s="3" t="inlineStr">
        <is>
          <t>regional_panel</t>
        </is>
      </c>
      <c r="F1128" s="3" t="n">
        <v>2.24304</v>
      </c>
      <c r="G1128" s="3" t="n"/>
      <c r="H1128" s="3" t="n"/>
      <c r="I1128" s="3" t="n">
        <v>-1.76948</v>
      </c>
      <c r="J1128" s="3" t="n">
        <v>1.76014</v>
      </c>
      <c r="K1128" s="3" t="n">
        <v>2.71734</v>
      </c>
      <c r="L1128" s="3" t="n">
        <v>1.46969</v>
      </c>
      <c r="M1128" s="3" t="n">
        <v>2.95592</v>
      </c>
      <c r="N1128" s="3" t="inlineStr">
        <is>
          <t>C4</t>
        </is>
      </c>
      <c r="O1128" s="3" t="inlineStr">
        <is>
          <t>si</t>
        </is>
      </c>
      <c r="P1128" s="3" t="inlineStr">
        <is>
          <t>no_vota</t>
        </is>
      </c>
      <c r="Q1128" s="3" t="inlineStr">
        <is>
          <t>panel_covariables</t>
        </is>
      </c>
      <c r="R1128" s="3" t="n"/>
      <c r="S1128" s="3" t="inlineStr">
        <is>
          <t>contraste regional (R6); no vota</t>
        </is>
      </c>
      <c r="T1128" s="3" t="inlineStr">
        <is>
          <t>output/v8/F5/atribucion_combinada.csv</t>
        </is>
      </c>
      <c r="U1128" s="2">
        <f>IF(R1128=0,"",F1128/R1128)</f>
        <v/>
      </c>
      <c r="V1128" s="2">
        <f>SUMIFS(F$2:F$1589,A$2:A$1589,A1128,C$2:C$1589,C1128,E$2:E$1589,E1128,Q$2:Q$1589,Q1128)</f>
        <v/>
      </c>
    </row>
    <row r="1129">
      <c r="A1129" s="3" t="inlineStr">
        <is>
          <t>alquiler</t>
        </is>
      </c>
      <c r="B1129" s="3" t="inlineStr">
        <is>
          <t>ccaa:05</t>
        </is>
      </c>
      <c r="C1129" s="3" t="inlineStr">
        <is>
          <t>P3</t>
        </is>
      </c>
      <c r="D1129" s="3" t="inlineStr">
        <is>
          <t>oferta</t>
        </is>
      </c>
      <c r="E1129" s="3" t="inlineStr">
        <is>
          <t>regional_panel</t>
        </is>
      </c>
      <c r="F1129" s="3" t="n">
        <v>0.06888180000000001</v>
      </c>
      <c r="G1129" s="3" t="n"/>
      <c r="H1129" s="3" t="n"/>
      <c r="I1129" s="3" t="n">
        <v>-0.054339</v>
      </c>
      <c r="J1129" s="3" t="n">
        <v>-0.0109221</v>
      </c>
      <c r="K1129" s="3" t="n">
        <v>0.238199</v>
      </c>
      <c r="L1129" s="3" t="n">
        <v>-0.0549951</v>
      </c>
      <c r="M1129" s="3" t="n">
        <v>0.41548</v>
      </c>
      <c r="N1129" s="3" t="inlineStr">
        <is>
          <t>C4</t>
        </is>
      </c>
      <c r="O1129" s="3" t="inlineStr">
        <is>
          <t>si</t>
        </is>
      </c>
      <c r="P1129" s="3" t="inlineStr">
        <is>
          <t>no_vota</t>
        </is>
      </c>
      <c r="Q1129" s="3" t="inlineStr">
        <is>
          <t>panel_covariables</t>
        </is>
      </c>
      <c r="R1129" s="3" t="n"/>
      <c r="S1129" s="3" t="inlineStr">
        <is>
          <t>contraste regional (R6); no vota</t>
        </is>
      </c>
      <c r="T1129" s="3" t="inlineStr">
        <is>
          <t>output/v8/F5/atribucion_combinada.csv</t>
        </is>
      </c>
      <c r="U1129" s="2">
        <f>IF(R1129=0,"",F1129/R1129)</f>
        <v/>
      </c>
      <c r="V1129" s="2">
        <f>SUMIFS(F$2:F$1589,A$2:A$1589,A1129,C$2:C$1589,C1129,E$2:E$1589,E1129,Q$2:Q$1589,Q1129)</f>
        <v/>
      </c>
    </row>
    <row r="1130">
      <c r="A1130" s="3" t="inlineStr">
        <is>
          <t>alquiler</t>
        </is>
      </c>
      <c r="B1130" s="3" t="inlineStr">
        <is>
          <t>ccaa:05</t>
        </is>
      </c>
      <c r="C1130" s="3" t="inlineStr">
        <is>
          <t>P3</t>
        </is>
      </c>
      <c r="D1130" s="3" t="inlineStr">
        <is>
          <t>demanda_externa</t>
        </is>
      </c>
      <c r="E1130" s="3" t="inlineStr">
        <is>
          <t>regional_panel</t>
        </is>
      </c>
      <c r="F1130" s="3" t="n">
        <v>0.027331</v>
      </c>
      <c r="G1130" s="3" t="n"/>
      <c r="H1130" s="3" t="n"/>
      <c r="I1130" s="3" t="n">
        <v>-0.0215607</v>
      </c>
      <c r="J1130" s="3" t="n">
        <v>-0.0179218</v>
      </c>
      <c r="K1130" s="3" t="n">
        <v>0.0803931</v>
      </c>
      <c r="L1130" s="3" t="n">
        <v>-0.0541323</v>
      </c>
      <c r="M1130" s="3" t="n">
        <v>0.12302</v>
      </c>
      <c r="N1130" s="3" t="inlineStr">
        <is>
          <t>C4</t>
        </is>
      </c>
      <c r="O1130" s="3" t="inlineStr">
        <is>
          <t>si</t>
        </is>
      </c>
      <c r="P1130" s="3" t="inlineStr">
        <is>
          <t>no_vota</t>
        </is>
      </c>
      <c r="Q1130" s="3" t="inlineStr">
        <is>
          <t>panel_covariables</t>
        </is>
      </c>
      <c r="R1130" s="3" t="n"/>
      <c r="S1130" s="3" t="inlineStr">
        <is>
          <t>contraste regional (R6); no vota</t>
        </is>
      </c>
      <c r="T1130" s="3" t="inlineStr">
        <is>
          <t>output/v8/F5/atribucion_combinada.csv</t>
        </is>
      </c>
      <c r="U1130" s="2">
        <f>IF(R1130=0,"",F1130/R1130)</f>
        <v/>
      </c>
      <c r="V1130" s="2">
        <f>SUMIFS(F$2:F$1589,A$2:A$1589,A1130,C$2:C$1589,C1130,E$2:E$1589,E1130,Q$2:Q$1589,Q1130)</f>
        <v/>
      </c>
    </row>
    <row r="1131">
      <c r="A1131" s="3" t="inlineStr">
        <is>
          <t>alquiler</t>
        </is>
      </c>
      <c r="B1131" s="3" t="inlineStr">
        <is>
          <t>ccaa:05</t>
        </is>
      </c>
      <c r="C1131" s="3" t="inlineStr">
        <is>
          <t>P3</t>
        </is>
      </c>
      <c r="D1131" s="3" t="inlineStr">
        <is>
          <t>residuo</t>
        </is>
      </c>
      <c r="E1131" s="3" t="inlineStr">
        <is>
          <t>regional_panel</t>
        </is>
      </c>
      <c r="F1131" s="3" t="n">
        <v>-2.16574</v>
      </c>
      <c r="G1131" s="3" t="n"/>
      <c r="H1131" s="3" t="n"/>
      <c r="I1131" s="3" t="n">
        <v>1.7085</v>
      </c>
      <c r="J1131" s="3" t="n">
        <v>-2.94517</v>
      </c>
      <c r="K1131" s="3" t="n">
        <v>-1.23527</v>
      </c>
      <c r="L1131" s="3" t="n">
        <v>-3.37688</v>
      </c>
      <c r="M1131" s="3" t="n">
        <v>-0.70982</v>
      </c>
      <c r="N1131" s="3" t="inlineStr">
        <is>
          <t>C4</t>
        </is>
      </c>
      <c r="O1131" s="3" t="inlineStr">
        <is>
          <t>no</t>
        </is>
      </c>
      <c r="P1131" s="3" t="inlineStr">
        <is>
          <t>no_compite</t>
        </is>
      </c>
      <c r="Q1131" s="3" t="inlineStr">
        <is>
          <t>panel_covariables</t>
        </is>
      </c>
      <c r="R1131" s="3" t="n"/>
      <c r="S1131" s="3" t="inlineStr">
        <is>
          <t>contraste regional (R6); no vota</t>
        </is>
      </c>
      <c r="T1131" s="3" t="inlineStr">
        <is>
          <t>output/v8/F5/atribucion_combinada.csv</t>
        </is>
      </c>
      <c r="U1131" s="2">
        <f>IF(R1131=0,"",F1131/R1131)</f>
        <v/>
      </c>
      <c r="V1131" s="2">
        <f>SUMIFS(F$2:F$1589,A$2:A$1589,A1131,C$2:C$1589,C1131,E$2:E$1589,E1131,Q$2:Q$1589,Q1131)</f>
        <v/>
      </c>
    </row>
    <row r="1132">
      <c r="A1132" s="3" t="inlineStr">
        <is>
          <t>alquiler</t>
        </is>
      </c>
      <c r="B1132" s="3" t="inlineStr">
        <is>
          <t>ccaa:06</t>
        </is>
      </c>
      <c r="C1132" s="3" t="inlineStr">
        <is>
          <t>P3</t>
        </is>
      </c>
      <c r="D1132" s="3" t="inlineStr">
        <is>
          <t>factor_comun</t>
        </is>
      </c>
      <c r="E1132" s="3" t="inlineStr">
        <is>
          <t>regional_panel</t>
        </is>
      </c>
      <c r="F1132" s="3" t="n">
        <v>-1.89168</v>
      </c>
      <c r="G1132" s="3" t="n"/>
      <c r="H1132" s="3" t="n"/>
      <c r="I1132" s="3" t="n">
        <v>1.07634</v>
      </c>
      <c r="J1132" s="3" t="n">
        <v>-3.03018</v>
      </c>
      <c r="K1132" s="3" t="n">
        <v>-0.7753910000000001</v>
      </c>
      <c r="L1132" s="3" t="n">
        <v>-3.74726</v>
      </c>
      <c r="M1132" s="3" t="n">
        <v>-0.0842796</v>
      </c>
      <c r="N1132" s="3" t="inlineStr">
        <is>
          <t>C4</t>
        </is>
      </c>
      <c r="O1132" s="3" t="inlineStr">
        <is>
          <t>no</t>
        </is>
      </c>
      <c r="P1132" s="3" t="inlineStr">
        <is>
          <t>no_compite</t>
        </is>
      </c>
      <c r="Q1132" s="3" t="inlineStr">
        <is>
          <t>panel_covariables</t>
        </is>
      </c>
      <c r="R1132" s="3" t="n"/>
      <c r="S1132" s="3" t="inlineStr">
        <is>
          <t>contraste regional (R6); no vota</t>
        </is>
      </c>
      <c r="T1132" s="3" t="inlineStr">
        <is>
          <t>output/v8/F5/atribucion_combinada.csv</t>
        </is>
      </c>
      <c r="U1132" s="2">
        <f>IF(R1132=0,"",F1132/R1132)</f>
        <v/>
      </c>
      <c r="V1132" s="2">
        <f>SUMIFS(F$2:F$1589,A$2:A$1589,A1132,C$2:C$1589,C1132,E$2:E$1589,E1132,Q$2:Q$1589,Q1132)</f>
        <v/>
      </c>
    </row>
    <row r="1133">
      <c r="A1133" s="3" t="inlineStr">
        <is>
          <t>alquiler</t>
        </is>
      </c>
      <c r="B1133" s="3" t="inlineStr">
        <is>
          <t>ccaa:06</t>
        </is>
      </c>
      <c r="C1133" s="3" t="inlineStr">
        <is>
          <t>P3</t>
        </is>
      </c>
      <c r="D1133" s="3" t="inlineStr">
        <is>
          <t>empleo_renta</t>
        </is>
      </c>
      <c r="E1133" s="3" t="inlineStr">
        <is>
          <t>regional_panel</t>
        </is>
      </c>
      <c r="F1133" s="3" t="n">
        <v>0.0567245</v>
      </c>
      <c r="G1133" s="3" t="n"/>
      <c r="H1133" s="3" t="n"/>
      <c r="I1133" s="3" t="n">
        <v>-0.0322756</v>
      </c>
      <c r="J1133" s="3" t="n">
        <v>-0.127177</v>
      </c>
      <c r="K1133" s="3" t="n">
        <v>0.197089</v>
      </c>
      <c r="L1133" s="3" t="n">
        <v>-0.272081</v>
      </c>
      <c r="M1133" s="3" t="n">
        <v>0.289318</v>
      </c>
      <c r="N1133" s="3" t="inlineStr">
        <is>
          <t>C4</t>
        </is>
      </c>
      <c r="O1133" s="3" t="inlineStr">
        <is>
          <t>si</t>
        </is>
      </c>
      <c r="P1133" s="3" t="inlineStr">
        <is>
          <t>no_vota</t>
        </is>
      </c>
      <c r="Q1133" s="3" t="inlineStr">
        <is>
          <t>panel_covariables</t>
        </is>
      </c>
      <c r="R1133" s="3" t="n"/>
      <c r="S1133" s="3" t="inlineStr">
        <is>
          <t>contraste regional (R6); no vota</t>
        </is>
      </c>
      <c r="T1133" s="3" t="inlineStr">
        <is>
          <t>output/v8/F5/atribucion_combinada.csv</t>
        </is>
      </c>
      <c r="U1133" s="2">
        <f>IF(R1133=0,"",F1133/R1133)</f>
        <v/>
      </c>
      <c r="V1133" s="2">
        <f>SUMIFS(F$2:F$1589,A$2:A$1589,A1133,C$2:C$1589,C1133,E$2:E$1589,E1133,Q$2:Q$1589,Q1133)</f>
        <v/>
      </c>
    </row>
    <row r="1134">
      <c r="A1134" s="3" t="inlineStr">
        <is>
          <t>alquiler</t>
        </is>
      </c>
      <c r="B1134" s="3" t="inlineStr">
        <is>
          <t>ccaa:06</t>
        </is>
      </c>
      <c r="C1134" s="3" t="inlineStr">
        <is>
          <t>P3</t>
        </is>
      </c>
      <c r="D1134" s="3" t="inlineStr">
        <is>
          <t>demografia</t>
        </is>
      </c>
      <c r="E1134" s="3" t="inlineStr">
        <is>
          <t>regional_panel</t>
        </is>
      </c>
      <c r="F1134" s="3" t="n">
        <v>-0.583051</v>
      </c>
      <c r="G1134" s="3" t="n"/>
      <c r="H1134" s="3" t="n"/>
      <c r="I1134" s="3" t="n">
        <v>0.331749</v>
      </c>
      <c r="J1134" s="3" t="n">
        <v>-0.832573</v>
      </c>
      <c r="K1134" s="3" t="n">
        <v>-0.345699</v>
      </c>
      <c r="L1134" s="3" t="n">
        <v>-0.95725</v>
      </c>
      <c r="M1134" s="3" t="n">
        <v>-0.150993</v>
      </c>
      <c r="N1134" s="3" t="inlineStr">
        <is>
          <t>C4</t>
        </is>
      </c>
      <c r="O1134" s="3" t="inlineStr">
        <is>
          <t>si</t>
        </is>
      </c>
      <c r="P1134" s="3" t="inlineStr">
        <is>
          <t>no_vota</t>
        </is>
      </c>
      <c r="Q1134" s="3" t="inlineStr">
        <is>
          <t>panel_covariables</t>
        </is>
      </c>
      <c r="R1134" s="3" t="n"/>
      <c r="S1134" s="3" t="inlineStr">
        <is>
          <t>contraste regional (R6); no vota</t>
        </is>
      </c>
      <c r="T1134" s="3" t="inlineStr">
        <is>
          <t>output/v8/F5/atribucion_combinada.csv</t>
        </is>
      </c>
      <c r="U1134" s="2">
        <f>IF(R1134=0,"",F1134/R1134)</f>
        <v/>
      </c>
      <c r="V1134" s="2">
        <f>SUMIFS(F$2:F$1589,A$2:A$1589,A1134,C$2:C$1589,C1134,E$2:E$1589,E1134,Q$2:Q$1589,Q1134)</f>
        <v/>
      </c>
    </row>
    <row r="1135">
      <c r="A1135" s="3" t="inlineStr">
        <is>
          <t>alquiler</t>
        </is>
      </c>
      <c r="B1135" s="3" t="inlineStr">
        <is>
          <t>ccaa:06</t>
        </is>
      </c>
      <c r="C1135" s="3" t="inlineStr">
        <is>
          <t>P3</t>
        </is>
      </c>
      <c r="D1135" s="3" t="inlineStr">
        <is>
          <t>oferta</t>
        </is>
      </c>
      <c r="E1135" s="3" t="inlineStr">
        <is>
          <t>regional_panel</t>
        </is>
      </c>
      <c r="F1135" s="3" t="n">
        <v>0.0377857</v>
      </c>
      <c r="G1135" s="3" t="n"/>
      <c r="H1135" s="3" t="n"/>
      <c r="I1135" s="3" t="n">
        <v>-0.0214996</v>
      </c>
      <c r="J1135" s="3" t="n">
        <v>-0.00690033</v>
      </c>
      <c r="K1135" s="3" t="n">
        <v>0.131327</v>
      </c>
      <c r="L1135" s="3" t="n">
        <v>-0.0333993</v>
      </c>
      <c r="M1135" s="3" t="n">
        <v>0.24394</v>
      </c>
      <c r="N1135" s="3" t="inlineStr">
        <is>
          <t>C4</t>
        </is>
      </c>
      <c r="O1135" s="3" t="inlineStr">
        <is>
          <t>si</t>
        </is>
      </c>
      <c r="P1135" s="3" t="inlineStr">
        <is>
          <t>no_vota</t>
        </is>
      </c>
      <c r="Q1135" s="3" t="inlineStr">
        <is>
          <t>panel_covariables</t>
        </is>
      </c>
      <c r="R1135" s="3" t="n"/>
      <c r="S1135" s="3" t="inlineStr">
        <is>
          <t>contraste regional (R6); no vota</t>
        </is>
      </c>
      <c r="T1135" s="3" t="inlineStr">
        <is>
          <t>output/v8/F5/atribucion_combinada.csv</t>
        </is>
      </c>
      <c r="U1135" s="2">
        <f>IF(R1135=0,"",F1135/R1135)</f>
        <v/>
      </c>
      <c r="V1135" s="2">
        <f>SUMIFS(F$2:F$1589,A$2:A$1589,A1135,C$2:C$1589,C1135,E$2:E$1589,E1135,Q$2:Q$1589,Q1135)</f>
        <v/>
      </c>
    </row>
    <row r="1136">
      <c r="A1136" s="3" t="inlineStr">
        <is>
          <t>alquiler</t>
        </is>
      </c>
      <c r="B1136" s="3" t="inlineStr">
        <is>
          <t>ccaa:06</t>
        </is>
      </c>
      <c r="C1136" s="3" t="inlineStr">
        <is>
          <t>P3</t>
        </is>
      </c>
      <c r="D1136" s="3" t="inlineStr">
        <is>
          <t>demanda_externa</t>
        </is>
      </c>
      <c r="E1136" s="3" t="inlineStr">
        <is>
          <t>regional_panel</t>
        </is>
      </c>
      <c r="F1136" s="3" t="n">
        <v>0.163886</v>
      </c>
      <c r="G1136" s="3" t="n"/>
      <c r="H1136" s="3" t="n"/>
      <c r="I1136" s="3" t="n">
        <v>-0.0932492</v>
      </c>
      <c r="J1136" s="3" t="n">
        <v>0.0510019</v>
      </c>
      <c r="K1136" s="3" t="n">
        <v>0.307161</v>
      </c>
      <c r="L1136" s="3" t="n">
        <v>-0.0380745</v>
      </c>
      <c r="M1136" s="3" t="n">
        <v>0.394111</v>
      </c>
      <c r="N1136" s="3" t="inlineStr">
        <is>
          <t>C4</t>
        </is>
      </c>
      <c r="O1136" s="3" t="inlineStr">
        <is>
          <t>si</t>
        </is>
      </c>
      <c r="P1136" s="3" t="inlineStr">
        <is>
          <t>no_vota</t>
        </is>
      </c>
      <c r="Q1136" s="3" t="inlineStr">
        <is>
          <t>panel_covariables</t>
        </is>
      </c>
      <c r="R1136" s="3" t="n"/>
      <c r="S1136" s="3" t="inlineStr">
        <is>
          <t>contraste regional (R6); no vota</t>
        </is>
      </c>
      <c r="T1136" s="3" t="inlineStr">
        <is>
          <t>output/v8/F5/atribucion_combinada.csv</t>
        </is>
      </c>
      <c r="U1136" s="2">
        <f>IF(R1136=0,"",F1136/R1136)</f>
        <v/>
      </c>
      <c r="V1136" s="2">
        <f>SUMIFS(F$2:F$1589,A$2:A$1589,A1136,C$2:C$1589,C1136,E$2:E$1589,E1136,Q$2:Q$1589,Q1136)</f>
        <v/>
      </c>
    </row>
    <row r="1137">
      <c r="A1137" s="3" t="inlineStr">
        <is>
          <t>alquiler</t>
        </is>
      </c>
      <c r="B1137" s="3" t="inlineStr">
        <is>
          <t>ccaa:06</t>
        </is>
      </c>
      <c r="C1137" s="3" t="inlineStr">
        <is>
          <t>P3</t>
        </is>
      </c>
      <c r="D1137" s="3" t="inlineStr">
        <is>
          <t>residuo</t>
        </is>
      </c>
      <c r="E1137" s="3" t="inlineStr">
        <is>
          <t>regional_panel</t>
        </is>
      </c>
      <c r="F1137" s="3" t="n">
        <v>0.45883</v>
      </c>
      <c r="G1137" s="3" t="n"/>
      <c r="H1137" s="3" t="n"/>
      <c r="I1137" s="3" t="n">
        <v>-0.261069</v>
      </c>
      <c r="J1137" s="3" t="n">
        <v>-0.0521587</v>
      </c>
      <c r="K1137" s="3" t="n">
        <v>0.986734</v>
      </c>
      <c r="L1137" s="3" t="n">
        <v>-0.451396</v>
      </c>
      <c r="M1137" s="3" t="n">
        <v>1.45528</v>
      </c>
      <c r="N1137" s="3" t="inlineStr">
        <is>
          <t>C4</t>
        </is>
      </c>
      <c r="O1137" s="3" t="inlineStr">
        <is>
          <t>no</t>
        </is>
      </c>
      <c r="P1137" s="3" t="inlineStr">
        <is>
          <t>no_compite</t>
        </is>
      </c>
      <c r="Q1137" s="3" t="inlineStr">
        <is>
          <t>panel_covariables</t>
        </is>
      </c>
      <c r="R1137" s="3" t="n"/>
      <c r="S1137" s="3" t="inlineStr">
        <is>
          <t>contraste regional (R6); no vota</t>
        </is>
      </c>
      <c r="T1137" s="3" t="inlineStr">
        <is>
          <t>output/v8/F5/atribucion_combinada.csv</t>
        </is>
      </c>
      <c r="U1137" s="2">
        <f>IF(R1137=0,"",F1137/R1137)</f>
        <v/>
      </c>
      <c r="V1137" s="2">
        <f>SUMIFS(F$2:F$1589,A$2:A$1589,A1137,C$2:C$1589,C1137,E$2:E$1589,E1137,Q$2:Q$1589,Q1137)</f>
        <v/>
      </c>
    </row>
    <row r="1138">
      <c r="A1138" s="3" t="inlineStr">
        <is>
          <t>alquiler</t>
        </is>
      </c>
      <c r="B1138" s="3" t="inlineStr">
        <is>
          <t>ccaa:07</t>
        </is>
      </c>
      <c r="C1138" s="3" t="inlineStr">
        <is>
          <t>P3</t>
        </is>
      </c>
      <c r="D1138" s="3" t="inlineStr">
        <is>
          <t>factor_comun</t>
        </is>
      </c>
      <c r="E1138" s="3" t="inlineStr">
        <is>
          <t>regional_panel</t>
        </is>
      </c>
      <c r="F1138" s="3" t="n">
        <v>-1.89168</v>
      </c>
      <c r="G1138" s="3" t="n"/>
      <c r="H1138" s="3" t="n"/>
      <c r="I1138" s="3" t="n">
        <v>0.832651</v>
      </c>
      <c r="J1138" s="3" t="n">
        <v>-3.03018</v>
      </c>
      <c r="K1138" s="3" t="n">
        <v>-0.7753910000000001</v>
      </c>
      <c r="L1138" s="3" t="n">
        <v>-3.74726</v>
      </c>
      <c r="M1138" s="3" t="n">
        <v>-0.0842796</v>
      </c>
      <c r="N1138" s="3" t="inlineStr">
        <is>
          <t>C4</t>
        </is>
      </c>
      <c r="O1138" s="3" t="inlineStr">
        <is>
          <t>no</t>
        </is>
      </c>
      <c r="P1138" s="3" t="inlineStr">
        <is>
          <t>no_compite</t>
        </is>
      </c>
      <c r="Q1138" s="3" t="inlineStr">
        <is>
          <t>panel_covariables</t>
        </is>
      </c>
      <c r="R1138" s="3" t="n"/>
      <c r="S1138" s="3" t="inlineStr">
        <is>
          <t>contraste regional (R6); no vota</t>
        </is>
      </c>
      <c r="T1138" s="3" t="inlineStr">
        <is>
          <t>output/v8/F5/atribucion_combinada.csv</t>
        </is>
      </c>
      <c r="U1138" s="2">
        <f>IF(R1138=0,"",F1138/R1138)</f>
        <v/>
      </c>
      <c r="V1138" s="2">
        <f>SUMIFS(F$2:F$1589,A$2:A$1589,A1138,C$2:C$1589,C1138,E$2:E$1589,E1138,Q$2:Q$1589,Q1138)</f>
        <v/>
      </c>
    </row>
    <row r="1139">
      <c r="A1139" s="3" t="inlineStr">
        <is>
          <t>alquiler</t>
        </is>
      </c>
      <c r="B1139" s="3" t="inlineStr">
        <is>
          <t>ccaa:07</t>
        </is>
      </c>
      <c r="C1139" s="3" t="inlineStr">
        <is>
          <t>P3</t>
        </is>
      </c>
      <c r="D1139" s="3" t="inlineStr">
        <is>
          <t>empleo_renta</t>
        </is>
      </c>
      <c r="E1139" s="3" t="inlineStr">
        <is>
          <t>regional_panel</t>
        </is>
      </c>
      <c r="F1139" s="3" t="n">
        <v>0.009922530000000001</v>
      </c>
      <c r="G1139" s="3" t="n"/>
      <c r="H1139" s="3" t="n"/>
      <c r="I1139" s="3" t="n">
        <v>-0.00436754</v>
      </c>
      <c r="J1139" s="3" t="n">
        <v>-0.197055</v>
      </c>
      <c r="K1139" s="3" t="n">
        <v>0.166903</v>
      </c>
      <c r="L1139" s="3" t="n">
        <v>-0.36171</v>
      </c>
      <c r="M1139" s="3" t="n">
        <v>0.247113</v>
      </c>
      <c r="N1139" s="3" t="inlineStr">
        <is>
          <t>C4</t>
        </is>
      </c>
      <c r="O1139" s="3" t="inlineStr">
        <is>
          <t>si</t>
        </is>
      </c>
      <c r="P1139" s="3" t="inlineStr">
        <is>
          <t>no_vota</t>
        </is>
      </c>
      <c r="Q1139" s="3" t="inlineStr">
        <is>
          <t>panel_covariables</t>
        </is>
      </c>
      <c r="R1139" s="3" t="n"/>
      <c r="S1139" s="3" t="inlineStr">
        <is>
          <t>contraste regional (R6); no vota</t>
        </is>
      </c>
      <c r="T1139" s="3" t="inlineStr">
        <is>
          <t>output/v8/F5/atribucion_combinada.csv</t>
        </is>
      </c>
      <c r="U1139" s="2">
        <f>IF(R1139=0,"",F1139/R1139)</f>
        <v/>
      </c>
      <c r="V1139" s="2">
        <f>SUMIFS(F$2:F$1589,A$2:A$1589,A1139,C$2:C$1589,C1139,E$2:E$1589,E1139,Q$2:Q$1589,Q1139)</f>
        <v/>
      </c>
    </row>
    <row r="1140">
      <c r="A1140" s="3" t="inlineStr">
        <is>
          <t>alquiler</t>
        </is>
      </c>
      <c r="B1140" s="3" t="inlineStr">
        <is>
          <t>ccaa:07</t>
        </is>
      </c>
      <c r="C1140" s="3" t="inlineStr">
        <is>
          <t>P3</t>
        </is>
      </c>
      <c r="D1140" s="3" t="inlineStr">
        <is>
          <t>demografia</t>
        </is>
      </c>
      <c r="E1140" s="3" t="inlineStr">
        <is>
          <t>regional_panel</t>
        </is>
      </c>
      <c r="F1140" s="3" t="n">
        <v>-2.70224</v>
      </c>
      <c r="G1140" s="3" t="n"/>
      <c r="H1140" s="3" t="n"/>
      <c r="I1140" s="3" t="n">
        <v>1.18943</v>
      </c>
      <c r="J1140" s="3" t="n">
        <v>-3.2514</v>
      </c>
      <c r="K1140" s="3" t="n">
        <v>-2.29079</v>
      </c>
      <c r="L1140" s="3" t="n">
        <v>-3.70128</v>
      </c>
      <c r="M1140" s="3" t="n">
        <v>-1.90949</v>
      </c>
      <c r="N1140" s="3" t="inlineStr">
        <is>
          <t>C4</t>
        </is>
      </c>
      <c r="O1140" s="3" t="inlineStr">
        <is>
          <t>si</t>
        </is>
      </c>
      <c r="P1140" s="3" t="inlineStr">
        <is>
          <t>no_vota</t>
        </is>
      </c>
      <c r="Q1140" s="3" t="inlineStr">
        <is>
          <t>panel_covariables</t>
        </is>
      </c>
      <c r="R1140" s="3" t="n"/>
      <c r="S1140" s="3" t="inlineStr">
        <is>
          <t>contraste regional (R6); no vota</t>
        </is>
      </c>
      <c r="T1140" s="3" t="inlineStr">
        <is>
          <t>output/v8/F5/atribucion_combinada.csv</t>
        </is>
      </c>
      <c r="U1140" s="2">
        <f>IF(R1140=0,"",F1140/R1140)</f>
        <v/>
      </c>
      <c r="V1140" s="2">
        <f>SUMIFS(F$2:F$1589,A$2:A$1589,A1140,C$2:C$1589,C1140,E$2:E$1589,E1140,Q$2:Q$1589,Q1140)</f>
        <v/>
      </c>
    </row>
    <row r="1141">
      <c r="A1141" s="3" t="inlineStr">
        <is>
          <t>alquiler</t>
        </is>
      </c>
      <c r="B1141" s="3" t="inlineStr">
        <is>
          <t>ccaa:07</t>
        </is>
      </c>
      <c r="C1141" s="3" t="inlineStr">
        <is>
          <t>P3</t>
        </is>
      </c>
      <c r="D1141" s="3" t="inlineStr">
        <is>
          <t>oferta</t>
        </is>
      </c>
      <c r="E1141" s="3" t="inlineStr">
        <is>
          <t>regional_panel</t>
        </is>
      </c>
      <c r="F1141" s="3" t="n">
        <v>0.0302625</v>
      </c>
      <c r="G1141" s="3" t="n"/>
      <c r="H1141" s="3" t="n"/>
      <c r="I1141" s="3" t="n">
        <v>-0.0133205</v>
      </c>
      <c r="J1141" s="3" t="n">
        <v>-0.0082612</v>
      </c>
      <c r="K1141" s="3" t="n">
        <v>0.0932423</v>
      </c>
      <c r="L1141" s="3" t="n">
        <v>-0.0339598</v>
      </c>
      <c r="M1141" s="3" t="n">
        <v>0.145224</v>
      </c>
      <c r="N1141" s="3" t="inlineStr">
        <is>
          <t>C4</t>
        </is>
      </c>
      <c r="O1141" s="3" t="inlineStr">
        <is>
          <t>si</t>
        </is>
      </c>
      <c r="P1141" s="3" t="inlineStr">
        <is>
          <t>no_vota</t>
        </is>
      </c>
      <c r="Q1141" s="3" t="inlineStr">
        <is>
          <t>panel_covariables</t>
        </is>
      </c>
      <c r="R1141" s="3" t="n"/>
      <c r="S1141" s="3" t="inlineStr">
        <is>
          <t>contraste regional (R6); no vota</t>
        </is>
      </c>
      <c r="T1141" s="3" t="inlineStr">
        <is>
          <t>output/v8/F5/atribucion_combinada.csv</t>
        </is>
      </c>
      <c r="U1141" s="2">
        <f>IF(R1141=0,"",F1141/R1141)</f>
        <v/>
      </c>
      <c r="V1141" s="2">
        <f>SUMIFS(F$2:F$1589,A$2:A$1589,A1141,C$2:C$1589,C1141,E$2:E$1589,E1141,Q$2:Q$1589,Q1141)</f>
        <v/>
      </c>
    </row>
    <row r="1142">
      <c r="A1142" s="3" t="inlineStr">
        <is>
          <t>alquiler</t>
        </is>
      </c>
      <c r="B1142" s="3" t="inlineStr">
        <is>
          <t>ccaa:07</t>
        </is>
      </c>
      <c r="C1142" s="3" t="inlineStr">
        <is>
          <t>P3</t>
        </is>
      </c>
      <c r="D1142" s="3" t="inlineStr">
        <is>
          <t>demanda_externa</t>
        </is>
      </c>
      <c r="E1142" s="3" t="inlineStr">
        <is>
          <t>regional_panel</t>
        </is>
      </c>
      <c r="F1142" s="3" t="n">
        <v>0.185478</v>
      </c>
      <c r="G1142" s="3" t="n"/>
      <c r="H1142" s="3" t="n"/>
      <c r="I1142" s="3" t="n">
        <v>-0.0816408</v>
      </c>
      <c r="J1142" s="3" t="n">
        <v>0.0706069</v>
      </c>
      <c r="K1142" s="3" t="n">
        <v>0.297641</v>
      </c>
      <c r="L1142" s="3" t="n">
        <v>-0.0538019</v>
      </c>
      <c r="M1142" s="3" t="n">
        <v>0.381062</v>
      </c>
      <c r="N1142" s="3" t="inlineStr">
        <is>
          <t>C4</t>
        </is>
      </c>
      <c r="O1142" s="3" t="inlineStr">
        <is>
          <t>si</t>
        </is>
      </c>
      <c r="P1142" s="3" t="inlineStr">
        <is>
          <t>no_vota</t>
        </is>
      </c>
      <c r="Q1142" s="3" t="inlineStr">
        <is>
          <t>panel_covariables</t>
        </is>
      </c>
      <c r="R1142" s="3" t="n"/>
      <c r="S1142" s="3" t="inlineStr">
        <is>
          <t>contraste regional (R6); no vota</t>
        </is>
      </c>
      <c r="T1142" s="3" t="inlineStr">
        <is>
          <t>output/v8/F5/atribucion_combinada.csv</t>
        </is>
      </c>
      <c r="U1142" s="2">
        <f>IF(R1142=0,"",F1142/R1142)</f>
        <v/>
      </c>
      <c r="V1142" s="2">
        <f>SUMIFS(F$2:F$1589,A$2:A$1589,A1142,C$2:C$1589,C1142,E$2:E$1589,E1142,Q$2:Q$1589,Q1142)</f>
        <v/>
      </c>
    </row>
    <row r="1143">
      <c r="A1143" s="3" t="inlineStr">
        <is>
          <t>alquiler</t>
        </is>
      </c>
      <c r="B1143" s="3" t="inlineStr">
        <is>
          <t>ccaa:07</t>
        </is>
      </c>
      <c r="C1143" s="3" t="inlineStr">
        <is>
          <t>P3</t>
        </is>
      </c>
      <c r="D1143" s="3" t="inlineStr">
        <is>
          <t>residuo</t>
        </is>
      </c>
      <c r="E1143" s="3" t="inlineStr">
        <is>
          <t>regional_panel</t>
        </is>
      </c>
      <c r="F1143" s="3" t="n">
        <v>2.09639</v>
      </c>
      <c r="G1143" s="3" t="n"/>
      <c r="H1143" s="3" t="n"/>
      <c r="I1143" s="3" t="n">
        <v>-0.922754</v>
      </c>
      <c r="J1143" s="3" t="n">
        <v>1.49458</v>
      </c>
      <c r="K1143" s="3" t="n">
        <v>2.92018</v>
      </c>
      <c r="L1143" s="3" t="n">
        <v>1.09705</v>
      </c>
      <c r="M1143" s="3" t="n">
        <v>3.47619</v>
      </c>
      <c r="N1143" s="3" t="inlineStr">
        <is>
          <t>C4</t>
        </is>
      </c>
      <c r="O1143" s="3" t="inlineStr">
        <is>
          <t>no</t>
        </is>
      </c>
      <c r="P1143" s="3" t="inlineStr">
        <is>
          <t>no_compite</t>
        </is>
      </c>
      <c r="Q1143" s="3" t="inlineStr">
        <is>
          <t>panel_covariables</t>
        </is>
      </c>
      <c r="R1143" s="3" t="n"/>
      <c r="S1143" s="3" t="inlineStr">
        <is>
          <t>contraste regional (R6); no vota</t>
        </is>
      </c>
      <c r="T1143" s="3" t="inlineStr">
        <is>
          <t>output/v8/F5/atribucion_combinada.csv</t>
        </is>
      </c>
      <c r="U1143" s="2">
        <f>IF(R1143=0,"",F1143/R1143)</f>
        <v/>
      </c>
      <c r="V1143" s="2">
        <f>SUMIFS(F$2:F$1589,A$2:A$1589,A1143,C$2:C$1589,C1143,E$2:E$1589,E1143,Q$2:Q$1589,Q1143)</f>
        <v/>
      </c>
    </row>
    <row r="1144">
      <c r="A1144" s="3" t="inlineStr">
        <is>
          <t>alquiler</t>
        </is>
      </c>
      <c r="B1144" s="3" t="inlineStr">
        <is>
          <t>ccaa:08</t>
        </is>
      </c>
      <c r="C1144" s="3" t="inlineStr">
        <is>
          <t>P3</t>
        </is>
      </c>
      <c r="D1144" s="3" t="inlineStr">
        <is>
          <t>factor_comun</t>
        </is>
      </c>
      <c r="E1144" s="3" t="inlineStr">
        <is>
          <t>regional_panel</t>
        </is>
      </c>
      <c r="F1144" s="3" t="n">
        <v>-1.89168</v>
      </c>
      <c r="G1144" s="3" t="n"/>
      <c r="H1144" s="3" t="n"/>
      <c r="I1144" s="3" t="n">
        <v>0.57861</v>
      </c>
      <c r="J1144" s="3" t="n">
        <v>-3.03018</v>
      </c>
      <c r="K1144" s="3" t="n">
        <v>-0.7753910000000001</v>
      </c>
      <c r="L1144" s="3" t="n">
        <v>-3.74726</v>
      </c>
      <c r="M1144" s="3" t="n">
        <v>-0.0842796</v>
      </c>
      <c r="N1144" s="3" t="inlineStr">
        <is>
          <t>C4</t>
        </is>
      </c>
      <c r="O1144" s="3" t="inlineStr">
        <is>
          <t>no</t>
        </is>
      </c>
      <c r="P1144" s="3" t="inlineStr">
        <is>
          <t>no_compite</t>
        </is>
      </c>
      <c r="Q1144" s="3" t="inlineStr">
        <is>
          <t>panel_covariables</t>
        </is>
      </c>
      <c r="R1144" s="3" t="n"/>
      <c r="S1144" s="3" t="inlineStr">
        <is>
          <t>contraste regional (R6); no vota</t>
        </is>
      </c>
      <c r="T1144" s="3" t="inlineStr">
        <is>
          <t>output/v8/F5/atribucion_combinada.csv</t>
        </is>
      </c>
      <c r="U1144" s="2">
        <f>IF(R1144=0,"",F1144/R1144)</f>
        <v/>
      </c>
      <c r="V1144" s="2">
        <f>SUMIFS(F$2:F$1589,A$2:A$1589,A1144,C$2:C$1589,C1144,E$2:E$1589,E1144,Q$2:Q$1589,Q1144)</f>
        <v/>
      </c>
    </row>
    <row r="1145">
      <c r="A1145" s="3" t="inlineStr">
        <is>
          <t>alquiler</t>
        </is>
      </c>
      <c r="B1145" s="3" t="inlineStr">
        <is>
          <t>ccaa:08</t>
        </is>
      </c>
      <c r="C1145" s="3" t="inlineStr">
        <is>
          <t>P3</t>
        </is>
      </c>
      <c r="D1145" s="3" t="inlineStr">
        <is>
          <t>empleo_renta</t>
        </is>
      </c>
      <c r="E1145" s="3" t="inlineStr">
        <is>
          <t>regional_panel</t>
        </is>
      </c>
      <c r="F1145" s="3" t="n">
        <v>0.150312</v>
      </c>
      <c r="G1145" s="3" t="n"/>
      <c r="H1145" s="3" t="n"/>
      <c r="I1145" s="3" t="n">
        <v>-0.045976</v>
      </c>
      <c r="J1145" s="3" t="n">
        <v>-0.132965</v>
      </c>
      <c r="K1145" s="3" t="n">
        <v>0.338301</v>
      </c>
      <c r="L1145" s="3" t="n">
        <v>-0.302383</v>
      </c>
      <c r="M1145" s="3" t="n">
        <v>0.424469</v>
      </c>
      <c r="N1145" s="3" t="inlineStr">
        <is>
          <t>C4</t>
        </is>
      </c>
      <c r="O1145" s="3" t="inlineStr">
        <is>
          <t>si</t>
        </is>
      </c>
      <c r="P1145" s="3" t="inlineStr">
        <is>
          <t>no_vota</t>
        </is>
      </c>
      <c r="Q1145" s="3" t="inlineStr">
        <is>
          <t>panel_covariables</t>
        </is>
      </c>
      <c r="R1145" s="3" t="n"/>
      <c r="S1145" s="3" t="inlineStr">
        <is>
          <t>contraste regional (R6); no vota</t>
        </is>
      </c>
      <c r="T1145" s="3" t="inlineStr">
        <is>
          <t>output/v8/F5/atribucion_combinada.csv</t>
        </is>
      </c>
      <c r="U1145" s="2">
        <f>IF(R1145=0,"",F1145/R1145)</f>
        <v/>
      </c>
      <c r="V1145" s="2">
        <f>SUMIFS(F$2:F$1589,A$2:A$1589,A1145,C$2:C$1589,C1145,E$2:E$1589,E1145,Q$2:Q$1589,Q1145)</f>
        <v/>
      </c>
    </row>
    <row r="1146">
      <c r="A1146" s="3" t="inlineStr">
        <is>
          <t>alquiler</t>
        </is>
      </c>
      <c r="B1146" s="3" t="inlineStr">
        <is>
          <t>ccaa:08</t>
        </is>
      </c>
      <c r="C1146" s="3" t="inlineStr">
        <is>
          <t>P3</t>
        </is>
      </c>
      <c r="D1146" s="3" t="inlineStr">
        <is>
          <t>demografia</t>
        </is>
      </c>
      <c r="E1146" s="3" t="inlineStr">
        <is>
          <t>regional_panel</t>
        </is>
      </c>
      <c r="F1146" s="3" t="n">
        <v>-1.09715</v>
      </c>
      <c r="G1146" s="3" t="n"/>
      <c r="H1146" s="3" t="n"/>
      <c r="I1146" s="3" t="n">
        <v>0.335584</v>
      </c>
      <c r="J1146" s="3" t="n">
        <v>-1.49702</v>
      </c>
      <c r="K1146" s="3" t="n">
        <v>-0.841656</v>
      </c>
      <c r="L1146" s="3" t="n">
        <v>-1.84494</v>
      </c>
      <c r="M1146" s="3" t="n">
        <v>-0.706162</v>
      </c>
      <c r="N1146" s="3" t="inlineStr">
        <is>
          <t>C4</t>
        </is>
      </c>
      <c r="O1146" s="3" t="inlineStr">
        <is>
          <t>si</t>
        </is>
      </c>
      <c r="P1146" s="3" t="inlineStr">
        <is>
          <t>no_vota</t>
        </is>
      </c>
      <c r="Q1146" s="3" t="inlineStr">
        <is>
          <t>panel_covariables</t>
        </is>
      </c>
      <c r="R1146" s="3" t="n"/>
      <c r="S1146" s="3" t="inlineStr">
        <is>
          <t>contraste regional (R6); no vota</t>
        </is>
      </c>
      <c r="T1146" s="3" t="inlineStr">
        <is>
          <t>output/v8/F5/atribucion_combinada.csv</t>
        </is>
      </c>
      <c r="U1146" s="2">
        <f>IF(R1146=0,"",F1146/R1146)</f>
        <v/>
      </c>
      <c r="V1146" s="2">
        <f>SUMIFS(F$2:F$1589,A$2:A$1589,A1146,C$2:C$1589,C1146,E$2:E$1589,E1146,Q$2:Q$1589,Q1146)</f>
        <v/>
      </c>
    </row>
    <row r="1147">
      <c r="A1147" s="3" t="inlineStr">
        <is>
          <t>alquiler</t>
        </is>
      </c>
      <c r="B1147" s="3" t="inlineStr">
        <is>
          <t>ccaa:08</t>
        </is>
      </c>
      <c r="C1147" s="3" t="inlineStr">
        <is>
          <t>P3</t>
        </is>
      </c>
      <c r="D1147" s="3" t="inlineStr">
        <is>
          <t>oferta</t>
        </is>
      </c>
      <c r="E1147" s="3" t="inlineStr">
        <is>
          <t>regional_panel</t>
        </is>
      </c>
      <c r="F1147" s="3" t="n">
        <v>0.0153465</v>
      </c>
      <c r="G1147" s="3" t="n"/>
      <c r="H1147" s="3" t="n"/>
      <c r="I1147" s="3" t="n">
        <v>-0.00469403</v>
      </c>
      <c r="J1147" s="3" t="n">
        <v>-0.00227685</v>
      </c>
      <c r="K1147" s="3" t="n">
        <v>0.0547302</v>
      </c>
      <c r="L1147" s="3" t="n">
        <v>-0.0151795</v>
      </c>
      <c r="M1147" s="3" t="n">
        <v>0.0942414</v>
      </c>
      <c r="N1147" s="3" t="inlineStr">
        <is>
          <t>C4</t>
        </is>
      </c>
      <c r="O1147" s="3" t="inlineStr">
        <is>
          <t>si</t>
        </is>
      </c>
      <c r="P1147" s="3" t="inlineStr">
        <is>
          <t>no_vota</t>
        </is>
      </c>
      <c r="Q1147" s="3" t="inlineStr">
        <is>
          <t>panel_covariables</t>
        </is>
      </c>
      <c r="R1147" s="3" t="n"/>
      <c r="S1147" s="3" t="inlineStr">
        <is>
          <t>contraste regional (R6); no vota</t>
        </is>
      </c>
      <c r="T1147" s="3" t="inlineStr">
        <is>
          <t>output/v8/F5/atribucion_combinada.csv</t>
        </is>
      </c>
      <c r="U1147" s="2">
        <f>IF(R1147=0,"",F1147/R1147)</f>
        <v/>
      </c>
      <c r="V1147" s="2">
        <f>SUMIFS(F$2:F$1589,A$2:A$1589,A1147,C$2:C$1589,C1147,E$2:E$1589,E1147,Q$2:Q$1589,Q1147)</f>
        <v/>
      </c>
    </row>
    <row r="1148">
      <c r="A1148" s="3" t="inlineStr">
        <is>
          <t>alquiler</t>
        </is>
      </c>
      <c r="B1148" s="3" t="inlineStr">
        <is>
          <t>ccaa:08</t>
        </is>
      </c>
      <c r="C1148" s="3" t="inlineStr">
        <is>
          <t>P3</t>
        </is>
      </c>
      <c r="D1148" s="3" t="inlineStr">
        <is>
          <t>demanda_externa</t>
        </is>
      </c>
      <c r="E1148" s="3" t="inlineStr">
        <is>
          <t>regional_panel</t>
        </is>
      </c>
      <c r="F1148" s="3" t="n">
        <v>0.204284</v>
      </c>
      <c r="G1148" s="3" t="n"/>
      <c r="H1148" s="3" t="n"/>
      <c r="I1148" s="3" t="n">
        <v>-0.0624845</v>
      </c>
      <c r="J1148" s="3" t="n">
        <v>0.0747073</v>
      </c>
      <c r="K1148" s="3" t="n">
        <v>0.356973</v>
      </c>
      <c r="L1148" s="3" t="n">
        <v>-0.0542638</v>
      </c>
      <c r="M1148" s="3" t="n">
        <v>0.484168</v>
      </c>
      <c r="N1148" s="3" t="inlineStr">
        <is>
          <t>C4</t>
        </is>
      </c>
      <c r="O1148" s="3" t="inlineStr">
        <is>
          <t>si</t>
        </is>
      </c>
      <c r="P1148" s="3" t="inlineStr">
        <is>
          <t>no_vota</t>
        </is>
      </c>
      <c r="Q1148" s="3" t="inlineStr">
        <is>
          <t>panel_covariables</t>
        </is>
      </c>
      <c r="R1148" s="3" t="n"/>
      <c r="S1148" s="3" t="inlineStr">
        <is>
          <t>contraste regional (R6); no vota</t>
        </is>
      </c>
      <c r="T1148" s="3" t="inlineStr">
        <is>
          <t>output/v8/F5/atribucion_combinada.csv</t>
        </is>
      </c>
      <c r="U1148" s="2">
        <f>IF(R1148=0,"",F1148/R1148)</f>
        <v/>
      </c>
      <c r="V1148" s="2">
        <f>SUMIFS(F$2:F$1589,A$2:A$1589,A1148,C$2:C$1589,C1148,E$2:E$1589,E1148,Q$2:Q$1589,Q1148)</f>
        <v/>
      </c>
    </row>
    <row r="1149">
      <c r="A1149" s="3" t="inlineStr">
        <is>
          <t>alquiler</t>
        </is>
      </c>
      <c r="B1149" s="3" t="inlineStr">
        <is>
          <t>ccaa:08</t>
        </is>
      </c>
      <c r="C1149" s="3" t="inlineStr">
        <is>
          <t>P3</t>
        </is>
      </c>
      <c r="D1149" s="3" t="inlineStr">
        <is>
          <t>residuo</t>
        </is>
      </c>
      <c r="E1149" s="3" t="inlineStr">
        <is>
          <t>regional_panel</t>
        </is>
      </c>
      <c r="F1149" s="3" t="n">
        <v>-0.650473</v>
      </c>
      <c r="G1149" s="3" t="n"/>
      <c r="H1149" s="3" t="n"/>
      <c r="I1149" s="3" t="n">
        <v>0.19896</v>
      </c>
      <c r="J1149" s="3" t="n">
        <v>-1.17943</v>
      </c>
      <c r="K1149" s="3" t="n">
        <v>0.08447350000000001</v>
      </c>
      <c r="L1149" s="3" t="n">
        <v>-1.53089</v>
      </c>
      <c r="M1149" s="3" t="n">
        <v>0.648581</v>
      </c>
      <c r="N1149" s="3" t="inlineStr">
        <is>
          <t>C4</t>
        </is>
      </c>
      <c r="O1149" s="3" t="inlineStr">
        <is>
          <t>no</t>
        </is>
      </c>
      <c r="P1149" s="3" t="inlineStr">
        <is>
          <t>no_compite</t>
        </is>
      </c>
      <c r="Q1149" s="3" t="inlineStr">
        <is>
          <t>panel_covariables</t>
        </is>
      </c>
      <c r="R1149" s="3" t="n"/>
      <c r="S1149" s="3" t="inlineStr">
        <is>
          <t>contraste regional (R6); no vota</t>
        </is>
      </c>
      <c r="T1149" s="3" t="inlineStr">
        <is>
          <t>output/v8/F5/atribucion_combinada.csv</t>
        </is>
      </c>
      <c r="U1149" s="2">
        <f>IF(R1149=0,"",F1149/R1149)</f>
        <v/>
      </c>
      <c r="V1149" s="2">
        <f>SUMIFS(F$2:F$1589,A$2:A$1589,A1149,C$2:C$1589,C1149,E$2:E$1589,E1149,Q$2:Q$1589,Q1149)</f>
        <v/>
      </c>
    </row>
    <row r="1150">
      <c r="A1150" s="3" t="inlineStr">
        <is>
          <t>alquiler</t>
        </is>
      </c>
      <c r="B1150" s="3" t="inlineStr">
        <is>
          <t>ccaa:09</t>
        </is>
      </c>
      <c r="C1150" s="3" t="inlineStr">
        <is>
          <t>P3</t>
        </is>
      </c>
      <c r="D1150" s="3" t="inlineStr">
        <is>
          <t>factor_comun</t>
        </is>
      </c>
      <c r="E1150" s="3" t="inlineStr">
        <is>
          <t>regional_panel</t>
        </is>
      </c>
      <c r="F1150" s="3" t="n">
        <v>-1.89168</v>
      </c>
      <c r="G1150" s="3" t="n"/>
      <c r="H1150" s="3" t="n"/>
      <c r="I1150" s="3" t="n">
        <v>-2.64528</v>
      </c>
      <c r="J1150" s="3" t="n">
        <v>-3.03018</v>
      </c>
      <c r="K1150" s="3" t="n">
        <v>-0.7753910000000001</v>
      </c>
      <c r="L1150" s="3" t="n">
        <v>-3.74726</v>
      </c>
      <c r="M1150" s="3" t="n">
        <v>-0.0842796</v>
      </c>
      <c r="N1150" s="3" t="inlineStr">
        <is>
          <t>C4</t>
        </is>
      </c>
      <c r="O1150" s="3" t="inlineStr">
        <is>
          <t>no</t>
        </is>
      </c>
      <c r="P1150" s="3" t="inlineStr">
        <is>
          <t>no_compite</t>
        </is>
      </c>
      <c r="Q1150" s="3" t="inlineStr">
        <is>
          <t>panel_covariables</t>
        </is>
      </c>
      <c r="R1150" s="3" t="n"/>
      <c r="S1150" s="3" t="inlineStr">
        <is>
          <t>contraste regional (R6); no vota</t>
        </is>
      </c>
      <c r="T1150" s="3" t="inlineStr">
        <is>
          <t>output/v8/F5/atribucion_combinada.csv</t>
        </is>
      </c>
      <c r="U1150" s="2">
        <f>IF(R1150=0,"",F1150/R1150)</f>
        <v/>
      </c>
      <c r="V1150" s="2">
        <f>SUMIFS(F$2:F$1589,A$2:A$1589,A1150,C$2:C$1589,C1150,E$2:E$1589,E1150,Q$2:Q$1589,Q1150)</f>
        <v/>
      </c>
    </row>
    <row r="1151">
      <c r="A1151" s="3" t="inlineStr">
        <is>
          <t>alquiler</t>
        </is>
      </c>
      <c r="B1151" s="3" t="inlineStr">
        <is>
          <t>ccaa:09</t>
        </is>
      </c>
      <c r="C1151" s="3" t="inlineStr">
        <is>
          <t>P3</t>
        </is>
      </c>
      <c r="D1151" s="3" t="inlineStr">
        <is>
          <t>empleo_renta</t>
        </is>
      </c>
      <c r="E1151" s="3" t="inlineStr">
        <is>
          <t>regional_panel</t>
        </is>
      </c>
      <c r="F1151" s="3" t="n">
        <v>0.215067</v>
      </c>
      <c r="G1151" s="3" t="n"/>
      <c r="H1151" s="3" t="n"/>
      <c r="I1151" s="3" t="n">
        <v>0.300745</v>
      </c>
      <c r="J1151" s="3" t="n">
        <v>-0.0620368</v>
      </c>
      <c r="K1151" s="3" t="n">
        <v>0.349711</v>
      </c>
      <c r="L1151" s="3" t="n">
        <v>-0.239558</v>
      </c>
      <c r="M1151" s="3" t="n">
        <v>0.45827</v>
      </c>
      <c r="N1151" s="3" t="inlineStr">
        <is>
          <t>C4</t>
        </is>
      </c>
      <c r="O1151" s="3" t="inlineStr">
        <is>
          <t>si</t>
        </is>
      </c>
      <c r="P1151" s="3" t="inlineStr">
        <is>
          <t>no_vota</t>
        </is>
      </c>
      <c r="Q1151" s="3" t="inlineStr">
        <is>
          <t>panel_covariables</t>
        </is>
      </c>
      <c r="R1151" s="3" t="n"/>
      <c r="S1151" s="3" t="inlineStr">
        <is>
          <t>contraste regional (R6); no vota</t>
        </is>
      </c>
      <c r="T1151" s="3" t="inlineStr">
        <is>
          <t>output/v8/F5/atribucion_combinada.csv</t>
        </is>
      </c>
      <c r="U1151" s="2">
        <f>IF(R1151=0,"",F1151/R1151)</f>
        <v/>
      </c>
      <c r="V1151" s="2">
        <f>SUMIFS(F$2:F$1589,A$2:A$1589,A1151,C$2:C$1589,C1151,E$2:E$1589,E1151,Q$2:Q$1589,Q1151)</f>
        <v/>
      </c>
    </row>
    <row r="1152">
      <c r="A1152" s="3" t="inlineStr">
        <is>
          <t>alquiler</t>
        </is>
      </c>
      <c r="B1152" s="3" t="inlineStr">
        <is>
          <t>ccaa:09</t>
        </is>
      </c>
      <c r="C1152" s="3" t="inlineStr">
        <is>
          <t>P3</t>
        </is>
      </c>
      <c r="D1152" s="3" t="inlineStr">
        <is>
          <t>demografia</t>
        </is>
      </c>
      <c r="E1152" s="3" t="inlineStr">
        <is>
          <t>regional_panel</t>
        </is>
      </c>
      <c r="F1152" s="3" t="n">
        <v>1.56706</v>
      </c>
      <c r="G1152" s="3" t="n"/>
      <c r="H1152" s="3" t="n"/>
      <c r="I1152" s="3" t="n">
        <v>2.19134</v>
      </c>
      <c r="J1152" s="3" t="n">
        <v>1.10653</v>
      </c>
      <c r="K1152" s="3" t="n">
        <v>2.07339</v>
      </c>
      <c r="L1152" s="3" t="n">
        <v>0.816985</v>
      </c>
      <c r="M1152" s="3" t="n">
        <v>2.30793</v>
      </c>
      <c r="N1152" s="3" t="inlineStr">
        <is>
          <t>C4</t>
        </is>
      </c>
      <c r="O1152" s="3" t="inlineStr">
        <is>
          <t>si</t>
        </is>
      </c>
      <c r="P1152" s="3" t="inlineStr">
        <is>
          <t>no_vota</t>
        </is>
      </c>
      <c r="Q1152" s="3" t="inlineStr">
        <is>
          <t>panel_covariables</t>
        </is>
      </c>
      <c r="R1152" s="3" t="n"/>
      <c r="S1152" s="3" t="inlineStr">
        <is>
          <t>contraste regional (R6); no vota</t>
        </is>
      </c>
      <c r="T1152" s="3" t="inlineStr">
        <is>
          <t>output/v8/F5/atribucion_combinada.csv</t>
        </is>
      </c>
      <c r="U1152" s="2">
        <f>IF(R1152=0,"",F1152/R1152)</f>
        <v/>
      </c>
      <c r="V1152" s="2">
        <f>SUMIFS(F$2:F$1589,A$2:A$1589,A1152,C$2:C$1589,C1152,E$2:E$1589,E1152,Q$2:Q$1589,Q1152)</f>
        <v/>
      </c>
    </row>
    <row r="1153">
      <c r="A1153" s="3" t="inlineStr">
        <is>
          <t>alquiler</t>
        </is>
      </c>
      <c r="B1153" s="3" t="inlineStr">
        <is>
          <t>ccaa:09</t>
        </is>
      </c>
      <c r="C1153" s="3" t="inlineStr">
        <is>
          <t>P3</t>
        </is>
      </c>
      <c r="D1153" s="3" t="inlineStr">
        <is>
          <t>oferta</t>
        </is>
      </c>
      <c r="E1153" s="3" t="inlineStr">
        <is>
          <t>regional_panel</t>
        </is>
      </c>
      <c r="F1153" s="3" t="n">
        <v>0.0565447</v>
      </c>
      <c r="G1153" s="3" t="n"/>
      <c r="H1153" s="3" t="n"/>
      <c r="I1153" s="3" t="n">
        <v>0.0790708</v>
      </c>
      <c r="J1153" s="3" t="n">
        <v>-0.0266286</v>
      </c>
      <c r="K1153" s="3" t="n">
        <v>0.1344</v>
      </c>
      <c r="L1153" s="3" t="n">
        <v>-0.08161110000000001</v>
      </c>
      <c r="M1153" s="3" t="n">
        <v>0.205796</v>
      </c>
      <c r="N1153" s="3" t="inlineStr">
        <is>
          <t>C4</t>
        </is>
      </c>
      <c r="O1153" s="3" t="inlineStr">
        <is>
          <t>si</t>
        </is>
      </c>
      <c r="P1153" s="3" t="inlineStr">
        <is>
          <t>no_vota</t>
        </is>
      </c>
      <c r="Q1153" s="3" t="inlineStr">
        <is>
          <t>panel_covariables</t>
        </is>
      </c>
      <c r="R1153" s="3" t="n"/>
      <c r="S1153" s="3" t="inlineStr">
        <is>
          <t>contraste regional (R6); no vota</t>
        </is>
      </c>
      <c r="T1153" s="3" t="inlineStr">
        <is>
          <t>output/v8/F5/atribucion_combinada.csv</t>
        </is>
      </c>
      <c r="U1153" s="2">
        <f>IF(R1153=0,"",F1153/R1153)</f>
        <v/>
      </c>
      <c r="V1153" s="2">
        <f>SUMIFS(F$2:F$1589,A$2:A$1589,A1153,C$2:C$1589,C1153,E$2:E$1589,E1153,Q$2:Q$1589,Q1153)</f>
        <v/>
      </c>
    </row>
    <row r="1154">
      <c r="A1154" s="3" t="inlineStr">
        <is>
          <t>alquiler</t>
        </is>
      </c>
      <c r="B1154" s="3" t="inlineStr">
        <is>
          <t>ccaa:09</t>
        </is>
      </c>
      <c r="C1154" s="3" t="inlineStr">
        <is>
          <t>P3</t>
        </is>
      </c>
      <c r="D1154" s="3" t="inlineStr">
        <is>
          <t>demanda_externa</t>
        </is>
      </c>
      <c r="E1154" s="3" t="inlineStr">
        <is>
          <t>regional_panel</t>
        </is>
      </c>
      <c r="F1154" s="3" t="n">
        <v>0.094809</v>
      </c>
      <c r="G1154" s="3" t="n"/>
      <c r="H1154" s="3" t="n"/>
      <c r="I1154" s="3" t="n">
        <v>0.132579</v>
      </c>
      <c r="J1154" s="3" t="n">
        <v>0.0305165</v>
      </c>
      <c r="K1154" s="3" t="n">
        <v>0.166324</v>
      </c>
      <c r="L1154" s="3" t="n">
        <v>-0.0317516</v>
      </c>
      <c r="M1154" s="3" t="n">
        <v>0.217331</v>
      </c>
      <c r="N1154" s="3" t="inlineStr">
        <is>
          <t>C4</t>
        </is>
      </c>
      <c r="O1154" s="3" t="inlineStr">
        <is>
          <t>si</t>
        </is>
      </c>
      <c r="P1154" s="3" t="inlineStr">
        <is>
          <t>no_vota</t>
        </is>
      </c>
      <c r="Q1154" s="3" t="inlineStr">
        <is>
          <t>panel_covariables</t>
        </is>
      </c>
      <c r="R1154" s="3" t="n"/>
      <c r="S1154" s="3" t="inlineStr">
        <is>
          <t>contraste regional (R6); no vota</t>
        </is>
      </c>
      <c r="T1154" s="3" t="inlineStr">
        <is>
          <t>output/v8/F5/atribucion_combinada.csv</t>
        </is>
      </c>
      <c r="U1154" s="2">
        <f>IF(R1154=0,"",F1154/R1154)</f>
        <v/>
      </c>
      <c r="V1154" s="2">
        <f>SUMIFS(F$2:F$1589,A$2:A$1589,A1154,C$2:C$1589,C1154,E$2:E$1589,E1154,Q$2:Q$1589,Q1154)</f>
        <v/>
      </c>
    </row>
    <row r="1155">
      <c r="A1155" s="3" t="inlineStr">
        <is>
          <t>alquiler</t>
        </is>
      </c>
      <c r="B1155" s="3" t="inlineStr">
        <is>
          <t>ccaa:09</t>
        </is>
      </c>
      <c r="C1155" s="3" t="inlineStr">
        <is>
          <t>P3</t>
        </is>
      </c>
      <c r="D1155" s="3" t="inlineStr">
        <is>
          <t>residuo</t>
        </is>
      </c>
      <c r="E1155" s="3" t="inlineStr">
        <is>
          <t>regional_panel</t>
        </is>
      </c>
      <c r="F1155" s="3" t="n">
        <v>0.673318</v>
      </c>
      <c r="G1155" s="3" t="n"/>
      <c r="H1155" s="3" t="n"/>
      <c r="I1155" s="3" t="n">
        <v>0.941551</v>
      </c>
      <c r="J1155" s="3" t="n">
        <v>-0.363482</v>
      </c>
      <c r="K1155" s="3" t="n">
        <v>1.92667</v>
      </c>
      <c r="L1155" s="3" t="n">
        <v>-0.914702</v>
      </c>
      <c r="M1155" s="3" t="n">
        <v>2.70493</v>
      </c>
      <c r="N1155" s="3" t="inlineStr">
        <is>
          <t>C4</t>
        </is>
      </c>
      <c r="O1155" s="3" t="inlineStr">
        <is>
          <t>no</t>
        </is>
      </c>
      <c r="P1155" s="3" t="inlineStr">
        <is>
          <t>no_compite</t>
        </is>
      </c>
      <c r="Q1155" s="3" t="inlineStr">
        <is>
          <t>panel_covariables</t>
        </is>
      </c>
      <c r="R1155" s="3" t="n"/>
      <c r="S1155" s="3" t="inlineStr">
        <is>
          <t>contraste regional (R6); no vota</t>
        </is>
      </c>
      <c r="T1155" s="3" t="inlineStr">
        <is>
          <t>output/v8/F5/atribucion_combinada.csv</t>
        </is>
      </c>
      <c r="U1155" s="2">
        <f>IF(R1155=0,"",F1155/R1155)</f>
        <v/>
      </c>
      <c r="V1155" s="2">
        <f>SUMIFS(F$2:F$1589,A$2:A$1589,A1155,C$2:C$1589,C1155,E$2:E$1589,E1155,Q$2:Q$1589,Q1155)</f>
        <v/>
      </c>
    </row>
    <row r="1156">
      <c r="A1156" s="3" t="inlineStr">
        <is>
          <t>alquiler</t>
        </is>
      </c>
      <c r="B1156" s="3" t="inlineStr">
        <is>
          <t>ccaa:10</t>
        </is>
      </c>
      <c r="C1156" s="3" t="inlineStr">
        <is>
          <t>P3</t>
        </is>
      </c>
      <c r="D1156" s="3" t="inlineStr">
        <is>
          <t>factor_comun</t>
        </is>
      </c>
      <c r="E1156" s="3" t="inlineStr">
        <is>
          <t>regional_panel</t>
        </is>
      </c>
      <c r="F1156" s="3" t="n">
        <v>-1.89168</v>
      </c>
      <c r="G1156" s="3" t="n"/>
      <c r="H1156" s="3" t="n"/>
      <c r="I1156" s="3" t="n">
        <v>1.085</v>
      </c>
      <c r="J1156" s="3" t="n">
        <v>-3.03018</v>
      </c>
      <c r="K1156" s="3" t="n">
        <v>-0.7753910000000001</v>
      </c>
      <c r="L1156" s="3" t="n">
        <v>-3.74726</v>
      </c>
      <c r="M1156" s="3" t="n">
        <v>-0.0842796</v>
      </c>
      <c r="N1156" s="3" t="inlineStr">
        <is>
          <t>C4</t>
        </is>
      </c>
      <c r="O1156" s="3" t="inlineStr">
        <is>
          <t>no</t>
        </is>
      </c>
      <c r="P1156" s="3" t="inlineStr">
        <is>
          <t>no_compite</t>
        </is>
      </c>
      <c r="Q1156" s="3" t="inlineStr">
        <is>
          <t>panel_covariables</t>
        </is>
      </c>
      <c r="R1156" s="3" t="n"/>
      <c r="S1156" s="3" t="inlineStr">
        <is>
          <t>contraste regional (R6); no vota</t>
        </is>
      </c>
      <c r="T1156" s="3" t="inlineStr">
        <is>
          <t>output/v8/F5/atribucion_combinada.csv</t>
        </is>
      </c>
      <c r="U1156" s="2">
        <f>IF(R1156=0,"",F1156/R1156)</f>
        <v/>
      </c>
      <c r="V1156" s="2">
        <f>SUMIFS(F$2:F$1589,A$2:A$1589,A1156,C$2:C$1589,C1156,E$2:E$1589,E1156,Q$2:Q$1589,Q1156)</f>
        <v/>
      </c>
    </row>
    <row r="1157">
      <c r="A1157" s="3" t="inlineStr">
        <is>
          <t>alquiler</t>
        </is>
      </c>
      <c r="B1157" s="3" t="inlineStr">
        <is>
          <t>ccaa:10</t>
        </is>
      </c>
      <c r="C1157" s="3" t="inlineStr">
        <is>
          <t>P3</t>
        </is>
      </c>
      <c r="D1157" s="3" t="inlineStr">
        <is>
          <t>empleo_renta</t>
        </is>
      </c>
      <c r="E1157" s="3" t="inlineStr">
        <is>
          <t>regional_panel</t>
        </is>
      </c>
      <c r="F1157" s="3" t="n">
        <v>0.219791</v>
      </c>
      <c r="G1157" s="3" t="n"/>
      <c r="H1157" s="3" t="n"/>
      <c r="I1157" s="3" t="n">
        <v>-0.126064</v>
      </c>
      <c r="J1157" s="3" t="n">
        <v>-0.00334579</v>
      </c>
      <c r="K1157" s="3" t="n">
        <v>0.380111</v>
      </c>
      <c r="L1157" s="3" t="n">
        <v>-0.207293</v>
      </c>
      <c r="M1157" s="3" t="n">
        <v>0.5002529999999999</v>
      </c>
      <c r="N1157" s="3" t="inlineStr">
        <is>
          <t>C4</t>
        </is>
      </c>
      <c r="O1157" s="3" t="inlineStr">
        <is>
          <t>si</t>
        </is>
      </c>
      <c r="P1157" s="3" t="inlineStr">
        <is>
          <t>no_vota</t>
        </is>
      </c>
      <c r="Q1157" s="3" t="inlineStr">
        <is>
          <t>panel_covariables</t>
        </is>
      </c>
      <c r="R1157" s="3" t="n"/>
      <c r="S1157" s="3" t="inlineStr">
        <is>
          <t>contraste regional (R6); no vota</t>
        </is>
      </c>
      <c r="T1157" s="3" t="inlineStr">
        <is>
          <t>output/v8/F5/atribucion_combinada.csv</t>
        </is>
      </c>
      <c r="U1157" s="2">
        <f>IF(R1157=0,"",F1157/R1157)</f>
        <v/>
      </c>
      <c r="V1157" s="2">
        <f>SUMIFS(F$2:F$1589,A$2:A$1589,A1157,C$2:C$1589,C1157,E$2:E$1589,E1157,Q$2:Q$1589,Q1157)</f>
        <v/>
      </c>
    </row>
    <row r="1158">
      <c r="A1158" s="3" t="inlineStr">
        <is>
          <t>alquiler</t>
        </is>
      </c>
      <c r="B1158" s="3" t="inlineStr">
        <is>
          <t>ccaa:10</t>
        </is>
      </c>
      <c r="C1158" s="3" t="inlineStr">
        <is>
          <t>P3</t>
        </is>
      </c>
      <c r="D1158" s="3" t="inlineStr">
        <is>
          <t>demografia</t>
        </is>
      </c>
      <c r="E1158" s="3" t="inlineStr">
        <is>
          <t>regional_panel</t>
        </is>
      </c>
      <c r="F1158" s="3" t="n">
        <v>0.583978</v>
      </c>
      <c r="G1158" s="3" t="n"/>
      <c r="H1158" s="3" t="n"/>
      <c r="I1158" s="3" t="n">
        <v>-0.334949</v>
      </c>
      <c r="J1158" s="3" t="n">
        <v>0.189475</v>
      </c>
      <c r="K1158" s="3" t="n">
        <v>0.912418</v>
      </c>
      <c r="L1158" s="3" t="n">
        <v>0.0197665</v>
      </c>
      <c r="M1158" s="3" t="n">
        <v>1.10387</v>
      </c>
      <c r="N1158" s="3" t="inlineStr">
        <is>
          <t>C4</t>
        </is>
      </c>
      <c r="O1158" s="3" t="inlineStr">
        <is>
          <t>si</t>
        </is>
      </c>
      <c r="P1158" s="3" t="inlineStr">
        <is>
          <t>no_vota</t>
        </is>
      </c>
      <c r="Q1158" s="3" t="inlineStr">
        <is>
          <t>panel_covariables</t>
        </is>
      </c>
      <c r="R1158" s="3" t="n"/>
      <c r="S1158" s="3" t="inlineStr">
        <is>
          <t>contraste regional (R6); no vota</t>
        </is>
      </c>
      <c r="T1158" s="3" t="inlineStr">
        <is>
          <t>output/v8/F5/atribucion_combinada.csv</t>
        </is>
      </c>
      <c r="U1158" s="2">
        <f>IF(R1158=0,"",F1158/R1158)</f>
        <v/>
      </c>
      <c r="V1158" s="2">
        <f>SUMIFS(F$2:F$1589,A$2:A$1589,A1158,C$2:C$1589,C1158,E$2:E$1589,E1158,Q$2:Q$1589,Q1158)</f>
        <v/>
      </c>
    </row>
    <row r="1159">
      <c r="A1159" s="3" t="inlineStr">
        <is>
          <t>alquiler</t>
        </is>
      </c>
      <c r="B1159" s="3" t="inlineStr">
        <is>
          <t>ccaa:10</t>
        </is>
      </c>
      <c r="C1159" s="3" t="inlineStr">
        <is>
          <t>P3</t>
        </is>
      </c>
      <c r="D1159" s="3" t="inlineStr">
        <is>
          <t>oferta</t>
        </is>
      </c>
      <c r="E1159" s="3" t="inlineStr">
        <is>
          <t>regional_panel</t>
        </is>
      </c>
      <c r="F1159" s="3" t="n">
        <v>0.042218</v>
      </c>
      <c r="G1159" s="3" t="n"/>
      <c r="H1159" s="3" t="n"/>
      <c r="I1159" s="3" t="n">
        <v>-0.0242147</v>
      </c>
      <c r="J1159" s="3" t="n">
        <v>-0.0204096</v>
      </c>
      <c r="K1159" s="3" t="n">
        <v>0.0912259</v>
      </c>
      <c r="L1159" s="3" t="n">
        <v>-0.06823650000000001</v>
      </c>
      <c r="M1159" s="3" t="n">
        <v>0.148673</v>
      </c>
      <c r="N1159" s="3" t="inlineStr">
        <is>
          <t>C4</t>
        </is>
      </c>
      <c r="O1159" s="3" t="inlineStr">
        <is>
          <t>si</t>
        </is>
      </c>
      <c r="P1159" s="3" t="inlineStr">
        <is>
          <t>no_vota</t>
        </is>
      </c>
      <c r="Q1159" s="3" t="inlineStr">
        <is>
          <t>panel_covariables</t>
        </is>
      </c>
      <c r="R1159" s="3" t="n"/>
      <c r="S1159" s="3" t="inlineStr">
        <is>
          <t>contraste regional (R6); no vota</t>
        </is>
      </c>
      <c r="T1159" s="3" t="inlineStr">
        <is>
          <t>output/v8/F5/atribucion_combinada.csv</t>
        </is>
      </c>
      <c r="U1159" s="2">
        <f>IF(R1159=0,"",F1159/R1159)</f>
        <v/>
      </c>
      <c r="V1159" s="2">
        <f>SUMIFS(F$2:F$1589,A$2:A$1589,A1159,C$2:C$1589,C1159,E$2:E$1589,E1159,Q$2:Q$1589,Q1159)</f>
        <v/>
      </c>
    </row>
    <row r="1160">
      <c r="A1160" s="3" t="inlineStr">
        <is>
          <t>alquiler</t>
        </is>
      </c>
      <c r="B1160" s="3" t="inlineStr">
        <is>
          <t>ccaa:10</t>
        </is>
      </c>
      <c r="C1160" s="3" t="inlineStr">
        <is>
          <t>P3</t>
        </is>
      </c>
      <c r="D1160" s="3" t="inlineStr">
        <is>
          <t>demanda_externa</t>
        </is>
      </c>
      <c r="E1160" s="3" t="inlineStr">
        <is>
          <t>regional_panel</t>
        </is>
      </c>
      <c r="F1160" s="3" t="n">
        <v>0.0841957</v>
      </c>
      <c r="G1160" s="3" t="n"/>
      <c r="H1160" s="3" t="n"/>
      <c r="I1160" s="3" t="n">
        <v>-0.0482917</v>
      </c>
      <c r="J1160" s="3" t="n">
        <v>0.0286138</v>
      </c>
      <c r="K1160" s="3" t="n">
        <v>0.144688</v>
      </c>
      <c r="L1160" s="3" t="n">
        <v>-0.0214388</v>
      </c>
      <c r="M1160" s="3" t="n">
        <v>0.184019</v>
      </c>
      <c r="N1160" s="3" t="inlineStr">
        <is>
          <t>C4</t>
        </is>
      </c>
      <c r="O1160" s="3" t="inlineStr">
        <is>
          <t>si</t>
        </is>
      </c>
      <c r="P1160" s="3" t="inlineStr">
        <is>
          <t>no_vota</t>
        </is>
      </c>
      <c r="Q1160" s="3" t="inlineStr">
        <is>
          <t>panel_covariables</t>
        </is>
      </c>
      <c r="R1160" s="3" t="n"/>
      <c r="S1160" s="3" t="inlineStr">
        <is>
          <t>contraste regional (R6); no vota</t>
        </is>
      </c>
      <c r="T1160" s="3" t="inlineStr">
        <is>
          <t>output/v8/F5/atribucion_combinada.csv</t>
        </is>
      </c>
      <c r="U1160" s="2">
        <f>IF(R1160=0,"",F1160/R1160)</f>
        <v/>
      </c>
      <c r="V1160" s="2">
        <f>SUMIFS(F$2:F$1589,A$2:A$1589,A1160,C$2:C$1589,C1160,E$2:E$1589,E1160,Q$2:Q$1589,Q1160)</f>
        <v/>
      </c>
    </row>
    <row r="1161">
      <c r="A1161" s="3" t="inlineStr">
        <is>
          <t>alquiler</t>
        </is>
      </c>
      <c r="B1161" s="3" t="inlineStr">
        <is>
          <t>ccaa:10</t>
        </is>
      </c>
      <c r="C1161" s="3" t="inlineStr">
        <is>
          <t>P3</t>
        </is>
      </c>
      <c r="D1161" s="3" t="inlineStr">
        <is>
          <t>residuo</t>
        </is>
      </c>
      <c r="E1161" s="3" t="inlineStr">
        <is>
          <t>regional_panel</t>
        </is>
      </c>
      <c r="F1161" s="3" t="n">
        <v>-0.781983</v>
      </c>
      <c r="G1161" s="3" t="n"/>
      <c r="H1161" s="3" t="n"/>
      <c r="I1161" s="3" t="n">
        <v>0.448517</v>
      </c>
      <c r="J1161" s="3" t="n">
        <v>-1.15653</v>
      </c>
      <c r="K1161" s="3" t="n">
        <v>-0.30035</v>
      </c>
      <c r="L1161" s="3" t="n">
        <v>-1.46453</v>
      </c>
      <c r="M1161" s="3" t="n">
        <v>-0.0717565</v>
      </c>
      <c r="N1161" s="3" t="inlineStr">
        <is>
          <t>C4</t>
        </is>
      </c>
      <c r="O1161" s="3" t="inlineStr">
        <is>
          <t>no</t>
        </is>
      </c>
      <c r="P1161" s="3" t="inlineStr">
        <is>
          <t>no_compite</t>
        </is>
      </c>
      <c r="Q1161" s="3" t="inlineStr">
        <is>
          <t>panel_covariables</t>
        </is>
      </c>
      <c r="R1161" s="3" t="n"/>
      <c r="S1161" s="3" t="inlineStr">
        <is>
          <t>contraste regional (R6); no vota</t>
        </is>
      </c>
      <c r="T1161" s="3" t="inlineStr">
        <is>
          <t>output/v8/F5/atribucion_combinada.csv</t>
        </is>
      </c>
      <c r="U1161" s="2">
        <f>IF(R1161=0,"",F1161/R1161)</f>
        <v/>
      </c>
      <c r="V1161" s="2">
        <f>SUMIFS(F$2:F$1589,A$2:A$1589,A1161,C$2:C$1589,C1161,E$2:E$1589,E1161,Q$2:Q$1589,Q1161)</f>
        <v/>
      </c>
    </row>
    <row r="1162">
      <c r="A1162" s="3" t="inlineStr">
        <is>
          <t>alquiler</t>
        </is>
      </c>
      <c r="B1162" s="3" t="inlineStr">
        <is>
          <t>ccaa:11</t>
        </is>
      </c>
      <c r="C1162" s="3" t="inlineStr">
        <is>
          <t>P3</t>
        </is>
      </c>
      <c r="D1162" s="3" t="inlineStr">
        <is>
          <t>factor_comun</t>
        </is>
      </c>
      <c r="E1162" s="3" t="inlineStr">
        <is>
          <t>regional_panel</t>
        </is>
      </c>
      <c r="F1162" s="3" t="n">
        <v>-1.89168</v>
      </c>
      <c r="G1162" s="3" t="n"/>
      <c r="H1162" s="3" t="n"/>
      <c r="I1162" s="3" t="n">
        <v>0.500899</v>
      </c>
      <c r="J1162" s="3" t="n">
        <v>-3.03018</v>
      </c>
      <c r="K1162" s="3" t="n">
        <v>-0.7753910000000001</v>
      </c>
      <c r="L1162" s="3" t="n">
        <v>-3.74726</v>
      </c>
      <c r="M1162" s="3" t="n">
        <v>-0.0842796</v>
      </c>
      <c r="N1162" s="3" t="inlineStr">
        <is>
          <t>C4</t>
        </is>
      </c>
      <c r="O1162" s="3" t="inlineStr">
        <is>
          <t>no</t>
        </is>
      </c>
      <c r="P1162" s="3" t="inlineStr">
        <is>
          <t>no_compite</t>
        </is>
      </c>
      <c r="Q1162" s="3" t="inlineStr">
        <is>
          <t>panel_covariables</t>
        </is>
      </c>
      <c r="R1162" s="3" t="n"/>
      <c r="S1162" s="3" t="inlineStr">
        <is>
          <t>contraste regional (R6); no vota</t>
        </is>
      </c>
      <c r="T1162" s="3" t="inlineStr">
        <is>
          <t>output/v8/F5/atribucion_combinada.csv</t>
        </is>
      </c>
      <c r="U1162" s="2">
        <f>IF(R1162=0,"",F1162/R1162)</f>
        <v/>
      </c>
      <c r="V1162" s="2">
        <f>SUMIFS(F$2:F$1589,A$2:A$1589,A1162,C$2:C$1589,C1162,E$2:E$1589,E1162,Q$2:Q$1589,Q1162)</f>
        <v/>
      </c>
    </row>
    <row r="1163">
      <c r="A1163" s="3" t="inlineStr">
        <is>
          <t>alquiler</t>
        </is>
      </c>
      <c r="B1163" s="3" t="inlineStr">
        <is>
          <t>ccaa:11</t>
        </is>
      </c>
      <c r="C1163" s="3" t="inlineStr">
        <is>
          <t>P3</t>
        </is>
      </c>
      <c r="D1163" s="3" t="inlineStr">
        <is>
          <t>empleo_renta</t>
        </is>
      </c>
      <c r="E1163" s="3" t="inlineStr">
        <is>
          <t>regional_panel</t>
        </is>
      </c>
      <c r="F1163" s="3" t="n">
        <v>0.182682</v>
      </c>
      <c r="G1163" s="3" t="n"/>
      <c r="H1163" s="3" t="n"/>
      <c r="I1163" s="3" t="n">
        <v>-0.0483725</v>
      </c>
      <c r="J1163" s="3" t="n">
        <v>-0.069136</v>
      </c>
      <c r="K1163" s="3" t="n">
        <v>0.382254</v>
      </c>
      <c r="L1163" s="3" t="n">
        <v>-0.184155</v>
      </c>
      <c r="M1163" s="3" t="n">
        <v>0.5336880000000001</v>
      </c>
      <c r="N1163" s="3" t="inlineStr">
        <is>
          <t>C4</t>
        </is>
      </c>
      <c r="O1163" s="3" t="inlineStr">
        <is>
          <t>si</t>
        </is>
      </c>
      <c r="P1163" s="3" t="inlineStr">
        <is>
          <t>no_vota</t>
        </is>
      </c>
      <c r="Q1163" s="3" t="inlineStr">
        <is>
          <t>panel_covariables</t>
        </is>
      </c>
      <c r="R1163" s="3" t="n"/>
      <c r="S1163" s="3" t="inlineStr">
        <is>
          <t>contraste regional (R6); no vota</t>
        </is>
      </c>
      <c r="T1163" s="3" t="inlineStr">
        <is>
          <t>output/v8/F5/atribucion_combinada.csv</t>
        </is>
      </c>
      <c r="U1163" s="2">
        <f>IF(R1163=0,"",F1163/R1163)</f>
        <v/>
      </c>
      <c r="V1163" s="2">
        <f>SUMIFS(F$2:F$1589,A$2:A$1589,A1163,C$2:C$1589,C1163,E$2:E$1589,E1163,Q$2:Q$1589,Q1163)</f>
        <v/>
      </c>
    </row>
    <row r="1164">
      <c r="A1164" s="3" t="inlineStr">
        <is>
          <t>alquiler</t>
        </is>
      </c>
      <c r="B1164" s="3" t="inlineStr">
        <is>
          <t>ccaa:11</t>
        </is>
      </c>
      <c r="C1164" s="3" t="inlineStr">
        <is>
          <t>P3</t>
        </is>
      </c>
      <c r="D1164" s="3" t="inlineStr">
        <is>
          <t>demografia</t>
        </is>
      </c>
      <c r="E1164" s="3" t="inlineStr">
        <is>
          <t>regional_panel</t>
        </is>
      </c>
      <c r="F1164" s="3" t="n">
        <v>-1.64723</v>
      </c>
      <c r="G1164" s="3" t="n"/>
      <c r="H1164" s="3" t="n"/>
      <c r="I1164" s="3" t="n">
        <v>0.436171</v>
      </c>
      <c r="J1164" s="3" t="n">
        <v>-2.19017</v>
      </c>
      <c r="K1164" s="3" t="n">
        <v>-1.16197</v>
      </c>
      <c r="L1164" s="3" t="n">
        <v>-2.43538</v>
      </c>
      <c r="M1164" s="3" t="n">
        <v>-0.794534</v>
      </c>
      <c r="N1164" s="3" t="inlineStr">
        <is>
          <t>C4</t>
        </is>
      </c>
      <c r="O1164" s="3" t="inlineStr">
        <is>
          <t>si</t>
        </is>
      </c>
      <c r="P1164" s="3" t="inlineStr">
        <is>
          <t>no_vota</t>
        </is>
      </c>
      <c r="Q1164" s="3" t="inlineStr">
        <is>
          <t>panel_covariables</t>
        </is>
      </c>
      <c r="R1164" s="3" t="n"/>
      <c r="S1164" s="3" t="inlineStr">
        <is>
          <t>contraste regional (R6); no vota</t>
        </is>
      </c>
      <c r="T1164" s="3" t="inlineStr">
        <is>
          <t>output/v8/F5/atribucion_combinada.csv</t>
        </is>
      </c>
      <c r="U1164" s="2">
        <f>IF(R1164=0,"",F1164/R1164)</f>
        <v/>
      </c>
      <c r="V1164" s="2">
        <f>SUMIFS(F$2:F$1589,A$2:A$1589,A1164,C$2:C$1589,C1164,E$2:E$1589,E1164,Q$2:Q$1589,Q1164)</f>
        <v/>
      </c>
    </row>
    <row r="1165">
      <c r="A1165" s="3" t="inlineStr">
        <is>
          <t>alquiler</t>
        </is>
      </c>
      <c r="B1165" s="3" t="inlineStr">
        <is>
          <t>ccaa:11</t>
        </is>
      </c>
      <c r="C1165" s="3" t="inlineStr">
        <is>
          <t>P3</t>
        </is>
      </c>
      <c r="D1165" s="3" t="inlineStr">
        <is>
          <t>oferta</t>
        </is>
      </c>
      <c r="E1165" s="3" t="inlineStr">
        <is>
          <t>regional_panel</t>
        </is>
      </c>
      <c r="F1165" s="3" t="n">
        <v>0.0139135</v>
      </c>
      <c r="G1165" s="3" t="n"/>
      <c r="H1165" s="3" t="n"/>
      <c r="I1165" s="3" t="n">
        <v>-0.00368416</v>
      </c>
      <c r="J1165" s="3" t="n">
        <v>-0.0116758</v>
      </c>
      <c r="K1165" s="3" t="n">
        <v>0.0488687</v>
      </c>
      <c r="L1165" s="3" t="n">
        <v>-0.0315962</v>
      </c>
      <c r="M1165" s="3" t="n">
        <v>0.0778528</v>
      </c>
      <c r="N1165" s="3" t="inlineStr">
        <is>
          <t>C4</t>
        </is>
      </c>
      <c r="O1165" s="3" t="inlineStr">
        <is>
          <t>si</t>
        </is>
      </c>
      <c r="P1165" s="3" t="inlineStr">
        <is>
          <t>no_vota</t>
        </is>
      </c>
      <c r="Q1165" s="3" t="inlineStr">
        <is>
          <t>panel_covariables</t>
        </is>
      </c>
      <c r="R1165" s="3" t="n"/>
      <c r="S1165" s="3" t="inlineStr">
        <is>
          <t>contraste regional (R6); no vota</t>
        </is>
      </c>
      <c r="T1165" s="3" t="inlineStr">
        <is>
          <t>output/v8/F5/atribucion_combinada.csv</t>
        </is>
      </c>
      <c r="U1165" s="2">
        <f>IF(R1165=0,"",F1165/R1165)</f>
        <v/>
      </c>
      <c r="V1165" s="2">
        <f>SUMIFS(F$2:F$1589,A$2:A$1589,A1165,C$2:C$1589,C1165,E$2:E$1589,E1165,Q$2:Q$1589,Q1165)</f>
        <v/>
      </c>
    </row>
    <row r="1166">
      <c r="A1166" s="3" t="inlineStr">
        <is>
          <t>alquiler</t>
        </is>
      </c>
      <c r="B1166" s="3" t="inlineStr">
        <is>
          <t>ccaa:11</t>
        </is>
      </c>
      <c r="C1166" s="3" t="inlineStr">
        <is>
          <t>P3</t>
        </is>
      </c>
      <c r="D1166" s="3" t="inlineStr">
        <is>
          <t>demanda_externa</t>
        </is>
      </c>
      <c r="E1166" s="3" t="inlineStr">
        <is>
          <t>regional_panel</t>
        </is>
      </c>
      <c r="F1166" s="3" t="n">
        <v>0.145137</v>
      </c>
      <c r="G1166" s="3" t="n"/>
      <c r="H1166" s="3" t="n"/>
      <c r="I1166" s="3" t="n">
        <v>-0.0384309</v>
      </c>
      <c r="J1166" s="3" t="n">
        <v>0.0513687</v>
      </c>
      <c r="K1166" s="3" t="n">
        <v>0.221129</v>
      </c>
      <c r="L1166" s="3" t="n">
        <v>-0.0497349</v>
      </c>
      <c r="M1166" s="3" t="n">
        <v>0.285295</v>
      </c>
      <c r="N1166" s="3" t="inlineStr">
        <is>
          <t>C4</t>
        </is>
      </c>
      <c r="O1166" s="3" t="inlineStr">
        <is>
          <t>si</t>
        </is>
      </c>
      <c r="P1166" s="3" t="inlineStr">
        <is>
          <t>no_vota</t>
        </is>
      </c>
      <c r="Q1166" s="3" t="inlineStr">
        <is>
          <t>panel_covariables</t>
        </is>
      </c>
      <c r="R1166" s="3" t="n"/>
      <c r="S1166" s="3" t="inlineStr">
        <is>
          <t>contraste regional (R6); no vota</t>
        </is>
      </c>
      <c r="T1166" s="3" t="inlineStr">
        <is>
          <t>output/v8/F5/atribucion_combinada.csv</t>
        </is>
      </c>
      <c r="U1166" s="2">
        <f>IF(R1166=0,"",F1166/R1166)</f>
        <v/>
      </c>
      <c r="V1166" s="2">
        <f>SUMIFS(F$2:F$1589,A$2:A$1589,A1166,C$2:C$1589,C1166,E$2:E$1589,E1166,Q$2:Q$1589,Q1166)</f>
        <v/>
      </c>
    </row>
    <row r="1167">
      <c r="A1167" s="3" t="inlineStr">
        <is>
          <t>alquiler</t>
        </is>
      </c>
      <c r="B1167" s="3" t="inlineStr">
        <is>
          <t>ccaa:11</t>
        </is>
      </c>
      <c r="C1167" s="3" t="inlineStr">
        <is>
          <t>P3</t>
        </is>
      </c>
      <c r="D1167" s="3" t="inlineStr">
        <is>
          <t>residuo</t>
        </is>
      </c>
      <c r="E1167" s="3" t="inlineStr">
        <is>
          <t>regional_panel</t>
        </is>
      </c>
      <c r="F1167" s="3" t="n">
        <v>-0.579394</v>
      </c>
      <c r="G1167" s="3" t="n"/>
      <c r="H1167" s="3" t="n"/>
      <c r="I1167" s="3" t="n">
        <v>0.153418</v>
      </c>
      <c r="J1167" s="3" t="n">
        <v>-1.6385</v>
      </c>
      <c r="K1167" s="3" t="n">
        <v>0.895857</v>
      </c>
      <c r="L1167" s="3" t="n">
        <v>-2.31209</v>
      </c>
      <c r="M1167" s="3" t="n">
        <v>1.67973</v>
      </c>
      <c r="N1167" s="3" t="inlineStr">
        <is>
          <t>C4</t>
        </is>
      </c>
      <c r="O1167" s="3" t="inlineStr">
        <is>
          <t>no</t>
        </is>
      </c>
      <c r="P1167" s="3" t="inlineStr">
        <is>
          <t>no_compite</t>
        </is>
      </c>
      <c r="Q1167" s="3" t="inlineStr">
        <is>
          <t>panel_covariables</t>
        </is>
      </c>
      <c r="R1167" s="3" t="n"/>
      <c r="S1167" s="3" t="inlineStr">
        <is>
          <t>contraste regional (R6); no vota</t>
        </is>
      </c>
      <c r="T1167" s="3" t="inlineStr">
        <is>
          <t>output/v8/F5/atribucion_combinada.csv</t>
        </is>
      </c>
      <c r="U1167" s="2">
        <f>IF(R1167=0,"",F1167/R1167)</f>
        <v/>
      </c>
      <c r="V1167" s="2">
        <f>SUMIFS(F$2:F$1589,A$2:A$1589,A1167,C$2:C$1589,C1167,E$2:E$1589,E1167,Q$2:Q$1589,Q1167)</f>
        <v/>
      </c>
    </row>
    <row r="1168">
      <c r="A1168" s="3" t="inlineStr">
        <is>
          <t>alquiler</t>
        </is>
      </c>
      <c r="B1168" s="3" t="inlineStr">
        <is>
          <t>ccaa:12</t>
        </is>
      </c>
      <c r="C1168" s="3" t="inlineStr">
        <is>
          <t>P3</t>
        </is>
      </c>
      <c r="D1168" s="3" t="inlineStr">
        <is>
          <t>factor_comun</t>
        </is>
      </c>
      <c r="E1168" s="3" t="inlineStr">
        <is>
          <t>regional_panel</t>
        </is>
      </c>
      <c r="F1168" s="3" t="n">
        <v>-1.89168</v>
      </c>
      <c r="G1168" s="3" t="n"/>
      <c r="H1168" s="3" t="n"/>
      <c r="I1168" s="3" t="n">
        <v>6.4559</v>
      </c>
      <c r="J1168" s="3" t="n">
        <v>-3.03018</v>
      </c>
      <c r="K1168" s="3" t="n">
        <v>-0.7753910000000001</v>
      </c>
      <c r="L1168" s="3" t="n">
        <v>-3.74726</v>
      </c>
      <c r="M1168" s="3" t="n">
        <v>-0.0842796</v>
      </c>
      <c r="N1168" s="3" t="inlineStr">
        <is>
          <t>C4</t>
        </is>
      </c>
      <c r="O1168" s="3" t="inlineStr">
        <is>
          <t>no</t>
        </is>
      </c>
      <c r="P1168" s="3" t="inlineStr">
        <is>
          <t>no_compite</t>
        </is>
      </c>
      <c r="Q1168" s="3" t="inlineStr">
        <is>
          <t>panel_covariables</t>
        </is>
      </c>
      <c r="R1168" s="3" t="n"/>
      <c r="S1168" s="3" t="inlineStr">
        <is>
          <t>contraste regional (R6); no vota</t>
        </is>
      </c>
      <c r="T1168" s="3" t="inlineStr">
        <is>
          <t>output/v8/F5/atribucion_combinada.csv</t>
        </is>
      </c>
      <c r="U1168" s="2">
        <f>IF(R1168=0,"",F1168/R1168)</f>
        <v/>
      </c>
      <c r="V1168" s="2">
        <f>SUMIFS(F$2:F$1589,A$2:A$1589,A1168,C$2:C$1589,C1168,E$2:E$1589,E1168,Q$2:Q$1589,Q1168)</f>
        <v/>
      </c>
    </row>
    <row r="1169">
      <c r="A1169" s="3" t="inlineStr">
        <is>
          <t>alquiler</t>
        </is>
      </c>
      <c r="B1169" s="3" t="inlineStr">
        <is>
          <t>ccaa:12</t>
        </is>
      </c>
      <c r="C1169" s="3" t="inlineStr">
        <is>
          <t>P3</t>
        </is>
      </c>
      <c r="D1169" s="3" t="inlineStr">
        <is>
          <t>empleo_renta</t>
        </is>
      </c>
      <c r="E1169" s="3" t="inlineStr">
        <is>
          <t>regional_panel</t>
        </is>
      </c>
      <c r="F1169" s="3" t="n">
        <v>0.0122911</v>
      </c>
      <c r="G1169" s="3" t="n"/>
      <c r="H1169" s="3" t="n"/>
      <c r="I1169" s="3" t="n">
        <v>-0.0419469</v>
      </c>
      <c r="J1169" s="3" t="n">
        <v>-0.192102</v>
      </c>
      <c r="K1169" s="3" t="n">
        <v>0.173685</v>
      </c>
      <c r="L1169" s="3" t="n">
        <v>-0.340484</v>
      </c>
      <c r="M1169" s="3" t="n">
        <v>0.26273</v>
      </c>
      <c r="N1169" s="3" t="inlineStr">
        <is>
          <t>C4</t>
        </is>
      </c>
      <c r="O1169" s="3" t="inlineStr">
        <is>
          <t>si</t>
        </is>
      </c>
      <c r="P1169" s="3" t="inlineStr">
        <is>
          <t>no_vota</t>
        </is>
      </c>
      <c r="Q1169" s="3" t="inlineStr">
        <is>
          <t>panel_covariables</t>
        </is>
      </c>
      <c r="R1169" s="3" t="n"/>
      <c r="S1169" s="3" t="inlineStr">
        <is>
          <t>contraste regional (R6); no vota</t>
        </is>
      </c>
      <c r="T1169" s="3" t="inlineStr">
        <is>
          <t>output/v8/F5/atribucion_combinada.csv</t>
        </is>
      </c>
      <c r="U1169" s="2">
        <f>IF(R1169=0,"",F1169/R1169)</f>
        <v/>
      </c>
      <c r="V1169" s="2">
        <f>SUMIFS(F$2:F$1589,A$2:A$1589,A1169,C$2:C$1589,C1169,E$2:E$1589,E1169,Q$2:Q$1589,Q1169)</f>
        <v/>
      </c>
    </row>
    <row r="1170">
      <c r="A1170" s="3" t="inlineStr">
        <is>
          <t>alquiler</t>
        </is>
      </c>
      <c r="B1170" s="3" t="inlineStr">
        <is>
          <t>ccaa:12</t>
        </is>
      </c>
      <c r="C1170" s="3" t="inlineStr">
        <is>
          <t>P3</t>
        </is>
      </c>
      <c r="D1170" s="3" t="inlineStr">
        <is>
          <t>demografia</t>
        </is>
      </c>
      <c r="E1170" s="3" t="inlineStr">
        <is>
          <t>regional_panel</t>
        </is>
      </c>
      <c r="F1170" s="3" t="n">
        <v>-1.63747</v>
      </c>
      <c r="G1170" s="3" t="n"/>
      <c r="H1170" s="3" t="n"/>
      <c r="I1170" s="3" t="n">
        <v>5.58831</v>
      </c>
      <c r="J1170" s="3" t="n">
        <v>-2.04788</v>
      </c>
      <c r="K1170" s="3" t="n">
        <v>-1.22761</v>
      </c>
      <c r="L1170" s="3" t="n">
        <v>-2.28743</v>
      </c>
      <c r="M1170" s="3" t="n">
        <v>-0.8575660000000001</v>
      </c>
      <c r="N1170" s="3" t="inlineStr">
        <is>
          <t>C4</t>
        </is>
      </c>
      <c r="O1170" s="3" t="inlineStr">
        <is>
          <t>si</t>
        </is>
      </c>
      <c r="P1170" s="3" t="inlineStr">
        <is>
          <t>no_vota</t>
        </is>
      </c>
      <c r="Q1170" s="3" t="inlineStr">
        <is>
          <t>panel_covariables</t>
        </is>
      </c>
      <c r="R1170" s="3" t="n"/>
      <c r="S1170" s="3" t="inlineStr">
        <is>
          <t>contraste regional (R6); no vota</t>
        </is>
      </c>
      <c r="T1170" s="3" t="inlineStr">
        <is>
          <t>output/v8/F5/atribucion_combinada.csv</t>
        </is>
      </c>
      <c r="U1170" s="2">
        <f>IF(R1170=0,"",F1170/R1170)</f>
        <v/>
      </c>
      <c r="V1170" s="2">
        <f>SUMIFS(F$2:F$1589,A$2:A$1589,A1170,C$2:C$1589,C1170,E$2:E$1589,E1170,Q$2:Q$1589,Q1170)</f>
        <v/>
      </c>
    </row>
    <row r="1171">
      <c r="A1171" s="3" t="inlineStr">
        <is>
          <t>alquiler</t>
        </is>
      </c>
      <c r="B1171" s="3" t="inlineStr">
        <is>
          <t>ccaa:12</t>
        </is>
      </c>
      <c r="C1171" s="3" t="inlineStr">
        <is>
          <t>P3</t>
        </is>
      </c>
      <c r="D1171" s="3" t="inlineStr">
        <is>
          <t>oferta</t>
        </is>
      </c>
      <c r="E1171" s="3" t="inlineStr">
        <is>
          <t>regional_panel</t>
        </is>
      </c>
      <c r="F1171" s="3" t="n">
        <v>0.0112006</v>
      </c>
      <c r="G1171" s="3" t="n"/>
      <c r="H1171" s="3" t="n"/>
      <c r="I1171" s="3" t="n">
        <v>-0.0382252</v>
      </c>
      <c r="J1171" s="3" t="n">
        <v>0.000285698</v>
      </c>
      <c r="K1171" s="3" t="n">
        <v>0.0919186</v>
      </c>
      <c r="L1171" s="3" t="n">
        <v>-0.00392265</v>
      </c>
      <c r="M1171" s="3" t="n">
        <v>0.16188</v>
      </c>
      <c r="N1171" s="3" t="inlineStr">
        <is>
          <t>C4</t>
        </is>
      </c>
      <c r="O1171" s="3" t="inlineStr">
        <is>
          <t>si</t>
        </is>
      </c>
      <c r="P1171" s="3" t="inlineStr">
        <is>
          <t>no_vota</t>
        </is>
      </c>
      <c r="Q1171" s="3" t="inlineStr">
        <is>
          <t>panel_covariables</t>
        </is>
      </c>
      <c r="R1171" s="3" t="n"/>
      <c r="S1171" s="3" t="inlineStr">
        <is>
          <t>contraste regional (R6); no vota</t>
        </is>
      </c>
      <c r="T1171" s="3" t="inlineStr">
        <is>
          <t>output/v8/F5/atribucion_combinada.csv</t>
        </is>
      </c>
      <c r="U1171" s="2">
        <f>IF(R1171=0,"",F1171/R1171)</f>
        <v/>
      </c>
      <c r="V1171" s="2">
        <f>SUMIFS(F$2:F$1589,A$2:A$1589,A1171,C$2:C$1589,C1171,E$2:E$1589,E1171,Q$2:Q$1589,Q1171)</f>
        <v/>
      </c>
    </row>
    <row r="1172">
      <c r="A1172" s="3" t="inlineStr">
        <is>
          <t>alquiler</t>
        </is>
      </c>
      <c r="B1172" s="3" t="inlineStr">
        <is>
          <t>ccaa:12</t>
        </is>
      </c>
      <c r="C1172" s="3" t="inlineStr">
        <is>
          <t>P3</t>
        </is>
      </c>
      <c r="D1172" s="3" t="inlineStr">
        <is>
          <t>demanda_externa</t>
        </is>
      </c>
      <c r="E1172" s="3" t="inlineStr">
        <is>
          <t>regional_panel</t>
        </is>
      </c>
      <c r="F1172" s="3" t="n">
        <v>0.111789</v>
      </c>
      <c r="G1172" s="3" t="n"/>
      <c r="H1172" s="3" t="n"/>
      <c r="I1172" s="3" t="n">
        <v>-0.381511</v>
      </c>
      <c r="J1172" s="3" t="n">
        <v>0.0324528</v>
      </c>
      <c r="K1172" s="3" t="n">
        <v>0.197467</v>
      </c>
      <c r="L1172" s="3" t="n">
        <v>-0.0362382</v>
      </c>
      <c r="M1172" s="3" t="n">
        <v>0.266895</v>
      </c>
      <c r="N1172" s="3" t="inlineStr">
        <is>
          <t>C4</t>
        </is>
      </c>
      <c r="O1172" s="3" t="inlineStr">
        <is>
          <t>si</t>
        </is>
      </c>
      <c r="P1172" s="3" t="inlineStr">
        <is>
          <t>no_vota</t>
        </is>
      </c>
      <c r="Q1172" s="3" t="inlineStr">
        <is>
          <t>panel_covariables</t>
        </is>
      </c>
      <c r="R1172" s="3" t="n"/>
      <c r="S1172" s="3" t="inlineStr">
        <is>
          <t>contraste regional (R6); no vota</t>
        </is>
      </c>
      <c r="T1172" s="3" t="inlineStr">
        <is>
          <t>output/v8/F5/atribucion_combinada.csv</t>
        </is>
      </c>
      <c r="U1172" s="2">
        <f>IF(R1172=0,"",F1172/R1172)</f>
        <v/>
      </c>
      <c r="V1172" s="2">
        <f>SUMIFS(F$2:F$1589,A$2:A$1589,A1172,C$2:C$1589,C1172,E$2:E$1589,E1172,Q$2:Q$1589,Q1172)</f>
        <v/>
      </c>
    </row>
    <row r="1173">
      <c r="A1173" s="3" t="inlineStr">
        <is>
          <t>alquiler</t>
        </is>
      </c>
      <c r="B1173" s="3" t="inlineStr">
        <is>
          <t>ccaa:12</t>
        </is>
      </c>
      <c r="C1173" s="3" t="inlineStr">
        <is>
          <t>P3</t>
        </is>
      </c>
      <c r="D1173" s="3" t="inlineStr">
        <is>
          <t>residuo</t>
        </is>
      </c>
      <c r="E1173" s="3" t="inlineStr">
        <is>
          <t>regional_panel</t>
        </is>
      </c>
      <c r="F1173" s="3" t="n">
        <v>3.10085</v>
      </c>
      <c r="G1173" s="3" t="n"/>
      <c r="H1173" s="3" t="n"/>
      <c r="I1173" s="3" t="n">
        <v>-10.5825</v>
      </c>
      <c r="J1173" s="3" t="n">
        <v>2.65341</v>
      </c>
      <c r="K1173" s="3" t="n">
        <v>3.62634</v>
      </c>
      <c r="L1173" s="3" t="n">
        <v>2.2411</v>
      </c>
      <c r="M1173" s="3" t="n">
        <v>3.91753</v>
      </c>
      <c r="N1173" s="3" t="inlineStr">
        <is>
          <t>C4</t>
        </is>
      </c>
      <c r="O1173" s="3" t="inlineStr">
        <is>
          <t>no</t>
        </is>
      </c>
      <c r="P1173" s="3" t="inlineStr">
        <is>
          <t>no_compite</t>
        </is>
      </c>
      <c r="Q1173" s="3" t="inlineStr">
        <is>
          <t>panel_covariables</t>
        </is>
      </c>
      <c r="R1173" s="3" t="n"/>
      <c r="S1173" s="3" t="inlineStr">
        <is>
          <t>contraste regional (R6); no vota</t>
        </is>
      </c>
      <c r="T1173" s="3" t="inlineStr">
        <is>
          <t>output/v8/F5/atribucion_combinada.csv</t>
        </is>
      </c>
      <c r="U1173" s="2">
        <f>IF(R1173=0,"",F1173/R1173)</f>
        <v/>
      </c>
      <c r="V1173" s="2">
        <f>SUMIFS(F$2:F$1589,A$2:A$1589,A1173,C$2:C$1589,C1173,E$2:E$1589,E1173,Q$2:Q$1589,Q1173)</f>
        <v/>
      </c>
    </row>
    <row r="1174">
      <c r="A1174" s="3" t="inlineStr">
        <is>
          <t>alquiler</t>
        </is>
      </c>
      <c r="B1174" s="3" t="inlineStr">
        <is>
          <t>ccaa:13</t>
        </is>
      </c>
      <c r="C1174" s="3" t="inlineStr">
        <is>
          <t>P3</t>
        </is>
      </c>
      <c r="D1174" s="3" t="inlineStr">
        <is>
          <t>factor_comun</t>
        </is>
      </c>
      <c r="E1174" s="3" t="inlineStr">
        <is>
          <t>regional_panel</t>
        </is>
      </c>
      <c r="F1174" s="3" t="n">
        <v>-1.89168</v>
      </c>
      <c r="G1174" s="3" t="n"/>
      <c r="H1174" s="3" t="n"/>
      <c r="I1174" s="3" t="n">
        <v>0.8994180000000001</v>
      </c>
      <c r="J1174" s="3" t="n">
        <v>-3.03018</v>
      </c>
      <c r="K1174" s="3" t="n">
        <v>-0.7753910000000001</v>
      </c>
      <c r="L1174" s="3" t="n">
        <v>-3.74726</v>
      </c>
      <c r="M1174" s="3" t="n">
        <v>-0.0842796</v>
      </c>
      <c r="N1174" s="3" t="inlineStr">
        <is>
          <t>C4</t>
        </is>
      </c>
      <c r="O1174" s="3" t="inlineStr">
        <is>
          <t>no</t>
        </is>
      </c>
      <c r="P1174" s="3" t="inlineStr">
        <is>
          <t>no_compite</t>
        </is>
      </c>
      <c r="Q1174" s="3" t="inlineStr">
        <is>
          <t>panel_covariables</t>
        </is>
      </c>
      <c r="R1174" s="3" t="n"/>
      <c r="S1174" s="3" t="inlineStr">
        <is>
          <t>contraste regional (R6); no vota</t>
        </is>
      </c>
      <c r="T1174" s="3" t="inlineStr">
        <is>
          <t>output/v8/F5/atribucion_combinada.csv</t>
        </is>
      </c>
      <c r="U1174" s="2">
        <f>IF(R1174=0,"",F1174/R1174)</f>
        <v/>
      </c>
      <c r="V1174" s="2">
        <f>SUMIFS(F$2:F$1589,A$2:A$1589,A1174,C$2:C$1589,C1174,E$2:E$1589,E1174,Q$2:Q$1589,Q1174)</f>
        <v/>
      </c>
    </row>
    <row r="1175">
      <c r="A1175" s="3" t="inlineStr">
        <is>
          <t>alquiler</t>
        </is>
      </c>
      <c r="B1175" s="3" t="inlineStr">
        <is>
          <t>ccaa:13</t>
        </is>
      </c>
      <c r="C1175" s="3" t="inlineStr">
        <is>
          <t>P3</t>
        </is>
      </c>
      <c r="D1175" s="3" t="inlineStr">
        <is>
          <t>empleo_renta</t>
        </is>
      </c>
      <c r="E1175" s="3" t="inlineStr">
        <is>
          <t>regional_panel</t>
        </is>
      </c>
      <c r="F1175" s="3" t="n">
        <v>0.253666</v>
      </c>
      <c r="G1175" s="3" t="n"/>
      <c r="H1175" s="3" t="n"/>
      <c r="I1175" s="3" t="n">
        <v>-0.120608</v>
      </c>
      <c r="J1175" s="3" t="n">
        <v>0.0661673</v>
      </c>
      <c r="K1175" s="3" t="n">
        <v>0.398748</v>
      </c>
      <c r="L1175" s="3" t="n">
        <v>-0.0227051</v>
      </c>
      <c r="M1175" s="3" t="n">
        <v>0.506667</v>
      </c>
      <c r="N1175" s="3" t="inlineStr">
        <is>
          <t>C4</t>
        </is>
      </c>
      <c r="O1175" s="3" t="inlineStr">
        <is>
          <t>si</t>
        </is>
      </c>
      <c r="P1175" s="3" t="inlineStr">
        <is>
          <t>no_vota</t>
        </is>
      </c>
      <c r="Q1175" s="3" t="inlineStr">
        <is>
          <t>panel_covariables</t>
        </is>
      </c>
      <c r="R1175" s="3" t="n"/>
      <c r="S1175" s="3" t="inlineStr">
        <is>
          <t>contraste regional (R6); no vota</t>
        </is>
      </c>
      <c r="T1175" s="3" t="inlineStr">
        <is>
          <t>output/v8/F5/atribucion_combinada.csv</t>
        </is>
      </c>
      <c r="U1175" s="2">
        <f>IF(R1175=0,"",F1175/R1175)</f>
        <v/>
      </c>
      <c r="V1175" s="2">
        <f>SUMIFS(F$2:F$1589,A$2:A$1589,A1175,C$2:C$1589,C1175,E$2:E$1589,E1175,Q$2:Q$1589,Q1175)</f>
        <v/>
      </c>
    </row>
    <row r="1176">
      <c r="A1176" s="3" t="inlineStr">
        <is>
          <t>alquiler</t>
        </is>
      </c>
      <c r="B1176" s="3" t="inlineStr">
        <is>
          <t>ccaa:13</t>
        </is>
      </c>
      <c r="C1176" s="3" t="inlineStr">
        <is>
          <t>P3</t>
        </is>
      </c>
      <c r="D1176" s="3" t="inlineStr">
        <is>
          <t>demografia</t>
        </is>
      </c>
      <c r="E1176" s="3" t="inlineStr">
        <is>
          <t>regional_panel</t>
        </is>
      </c>
      <c r="F1176" s="3" t="n">
        <v>3.02484</v>
      </c>
      <c r="G1176" s="3" t="n"/>
      <c r="H1176" s="3" t="n"/>
      <c r="I1176" s="3" t="n">
        <v>-1.43819</v>
      </c>
      <c r="J1176" s="3" t="n">
        <v>2.45627</v>
      </c>
      <c r="K1176" s="3" t="n">
        <v>3.66888</v>
      </c>
      <c r="L1176" s="3" t="n">
        <v>2.11148</v>
      </c>
      <c r="M1176" s="3" t="n">
        <v>4.02375</v>
      </c>
      <c r="N1176" s="3" t="inlineStr">
        <is>
          <t>C4</t>
        </is>
      </c>
      <c r="O1176" s="3" t="inlineStr">
        <is>
          <t>si</t>
        </is>
      </c>
      <c r="P1176" s="3" t="inlineStr">
        <is>
          <t>no_vota</t>
        </is>
      </c>
      <c r="Q1176" s="3" t="inlineStr">
        <is>
          <t>panel_covariables</t>
        </is>
      </c>
      <c r="R1176" s="3" t="n"/>
      <c r="S1176" s="3" t="inlineStr">
        <is>
          <t>contraste regional (R6); no vota</t>
        </is>
      </c>
      <c r="T1176" s="3" t="inlineStr">
        <is>
          <t>output/v8/F5/atribucion_combinada.csv</t>
        </is>
      </c>
      <c r="U1176" s="2">
        <f>IF(R1176=0,"",F1176/R1176)</f>
        <v/>
      </c>
      <c r="V1176" s="2">
        <f>SUMIFS(F$2:F$1589,A$2:A$1589,A1176,C$2:C$1589,C1176,E$2:E$1589,E1176,Q$2:Q$1589,Q1176)</f>
        <v/>
      </c>
    </row>
    <row r="1177">
      <c r="A1177" s="3" t="inlineStr">
        <is>
          <t>alquiler</t>
        </is>
      </c>
      <c r="B1177" s="3" t="inlineStr">
        <is>
          <t>ccaa:13</t>
        </is>
      </c>
      <c r="C1177" s="3" t="inlineStr">
        <is>
          <t>P3</t>
        </is>
      </c>
      <c r="D1177" s="3" t="inlineStr">
        <is>
          <t>oferta</t>
        </is>
      </c>
      <c r="E1177" s="3" t="inlineStr">
        <is>
          <t>regional_panel</t>
        </is>
      </c>
      <c r="F1177" s="3" t="n">
        <v>0.0699442</v>
      </c>
      <c r="G1177" s="3" t="n"/>
      <c r="H1177" s="3" t="n"/>
      <c r="I1177" s="3" t="n">
        <v>-0.0332556</v>
      </c>
      <c r="J1177" s="3" t="n">
        <v>-0.0392429</v>
      </c>
      <c r="K1177" s="3" t="n">
        <v>0.150843</v>
      </c>
      <c r="L1177" s="3" t="n">
        <v>-0.121804</v>
      </c>
      <c r="M1177" s="3" t="n">
        <v>0.215292</v>
      </c>
      <c r="N1177" s="3" t="inlineStr">
        <is>
          <t>C4</t>
        </is>
      </c>
      <c r="O1177" s="3" t="inlineStr">
        <is>
          <t>si</t>
        </is>
      </c>
      <c r="P1177" s="3" t="inlineStr">
        <is>
          <t>no_vota</t>
        </is>
      </c>
      <c r="Q1177" s="3" t="inlineStr">
        <is>
          <t>panel_covariables</t>
        </is>
      </c>
      <c r="R1177" s="3" t="n"/>
      <c r="S1177" s="3" t="inlineStr">
        <is>
          <t>contraste regional (R6); no vota</t>
        </is>
      </c>
      <c r="T1177" s="3" t="inlineStr">
        <is>
          <t>output/v8/F5/atribucion_combinada.csv</t>
        </is>
      </c>
      <c r="U1177" s="2">
        <f>IF(R1177=0,"",F1177/R1177)</f>
        <v/>
      </c>
      <c r="V1177" s="2">
        <f>SUMIFS(F$2:F$1589,A$2:A$1589,A1177,C$2:C$1589,C1177,E$2:E$1589,E1177,Q$2:Q$1589,Q1177)</f>
        <v/>
      </c>
    </row>
    <row r="1178">
      <c r="A1178" s="3" t="inlineStr">
        <is>
          <t>alquiler</t>
        </is>
      </c>
      <c r="B1178" s="3" t="inlineStr">
        <is>
          <t>ccaa:13</t>
        </is>
      </c>
      <c r="C1178" s="3" t="inlineStr">
        <is>
          <t>P3</t>
        </is>
      </c>
      <c r="D1178" s="3" t="inlineStr">
        <is>
          <t>demanda_externa</t>
        </is>
      </c>
      <c r="E1178" s="3" t="inlineStr">
        <is>
          <t>regional_panel</t>
        </is>
      </c>
      <c r="F1178" s="3" t="n">
        <v>0.110205</v>
      </c>
      <c r="G1178" s="3" t="n"/>
      <c r="H1178" s="3" t="n"/>
      <c r="I1178" s="3" t="n">
        <v>-0.0523978</v>
      </c>
      <c r="J1178" s="3" t="n">
        <v>0.0124739</v>
      </c>
      <c r="K1178" s="3" t="n">
        <v>0.20983</v>
      </c>
      <c r="L1178" s="3" t="n">
        <v>-0.041342</v>
      </c>
      <c r="M1178" s="3" t="n">
        <v>0.287123</v>
      </c>
      <c r="N1178" s="3" t="inlineStr">
        <is>
          <t>C4</t>
        </is>
      </c>
      <c r="O1178" s="3" t="inlineStr">
        <is>
          <t>si</t>
        </is>
      </c>
      <c r="P1178" s="3" t="inlineStr">
        <is>
          <t>no_vota</t>
        </is>
      </c>
      <c r="Q1178" s="3" t="inlineStr">
        <is>
          <t>panel_covariables</t>
        </is>
      </c>
      <c r="R1178" s="3" t="n"/>
      <c r="S1178" s="3" t="inlineStr">
        <is>
          <t>contraste regional (R6); no vota</t>
        </is>
      </c>
      <c r="T1178" s="3" t="inlineStr">
        <is>
          <t>output/v8/F5/atribucion_combinada.csv</t>
        </is>
      </c>
      <c r="U1178" s="2">
        <f>IF(R1178=0,"",F1178/R1178)</f>
        <v/>
      </c>
      <c r="V1178" s="2">
        <f>SUMIFS(F$2:F$1589,A$2:A$1589,A1178,C$2:C$1589,C1178,E$2:E$1589,E1178,Q$2:Q$1589,Q1178)</f>
        <v/>
      </c>
    </row>
    <row r="1179">
      <c r="A1179" s="3" t="inlineStr">
        <is>
          <t>alquiler</t>
        </is>
      </c>
      <c r="B1179" s="3" t="inlineStr">
        <is>
          <t>ccaa:13</t>
        </is>
      </c>
      <c r="C1179" s="3" t="inlineStr">
        <is>
          <t>P3</t>
        </is>
      </c>
      <c r="D1179" s="3" t="inlineStr">
        <is>
          <t>residuo</t>
        </is>
      </c>
      <c r="E1179" s="3" t="inlineStr">
        <is>
          <t>regional_panel</t>
        </is>
      </c>
      <c r="F1179" s="3" t="n">
        <v>-3.67021</v>
      </c>
      <c r="G1179" s="3" t="n"/>
      <c r="H1179" s="3" t="n"/>
      <c r="I1179" s="3" t="n">
        <v>1.74503</v>
      </c>
      <c r="J1179" s="3" t="n">
        <v>-5.02894</v>
      </c>
      <c r="K1179" s="3" t="n">
        <v>-2.46668</v>
      </c>
      <c r="L1179" s="3" t="n">
        <v>-5.68058</v>
      </c>
      <c r="M1179" s="3" t="n">
        <v>-1.81534</v>
      </c>
      <c r="N1179" s="3" t="inlineStr">
        <is>
          <t>C4</t>
        </is>
      </c>
      <c r="O1179" s="3" t="inlineStr">
        <is>
          <t>no</t>
        </is>
      </c>
      <c r="P1179" s="3" t="inlineStr">
        <is>
          <t>no_compite</t>
        </is>
      </c>
      <c r="Q1179" s="3" t="inlineStr">
        <is>
          <t>panel_covariables</t>
        </is>
      </c>
      <c r="R1179" s="3" t="n"/>
      <c r="S1179" s="3" t="inlineStr">
        <is>
          <t>contraste regional (R6); no vota</t>
        </is>
      </c>
      <c r="T1179" s="3" t="inlineStr">
        <is>
          <t>output/v8/F5/atribucion_combinada.csv</t>
        </is>
      </c>
      <c r="U1179" s="2">
        <f>IF(R1179=0,"",F1179/R1179)</f>
        <v/>
      </c>
      <c r="V1179" s="2">
        <f>SUMIFS(F$2:F$1589,A$2:A$1589,A1179,C$2:C$1589,C1179,E$2:E$1589,E1179,Q$2:Q$1589,Q1179)</f>
        <v/>
      </c>
    </row>
    <row r="1180">
      <c r="A1180" s="3" t="inlineStr">
        <is>
          <t>alquiler</t>
        </is>
      </c>
      <c r="B1180" s="3" t="inlineStr">
        <is>
          <t>ccaa:14</t>
        </is>
      </c>
      <c r="C1180" s="3" t="inlineStr">
        <is>
          <t>P3</t>
        </is>
      </c>
      <c r="D1180" s="3" t="inlineStr">
        <is>
          <t>factor_comun</t>
        </is>
      </c>
      <c r="E1180" s="3" t="inlineStr">
        <is>
          <t>regional_panel</t>
        </is>
      </c>
      <c r="F1180" s="3" t="n">
        <v>-1.89168</v>
      </c>
      <c r="G1180" s="3" t="n"/>
      <c r="H1180" s="3" t="n"/>
      <c r="I1180" s="3" t="n">
        <v>0.485284</v>
      </c>
      <c r="J1180" s="3" t="n">
        <v>-3.03018</v>
      </c>
      <c r="K1180" s="3" t="n">
        <v>-0.7753910000000001</v>
      </c>
      <c r="L1180" s="3" t="n">
        <v>-3.74726</v>
      </c>
      <c r="M1180" s="3" t="n">
        <v>-0.0842796</v>
      </c>
      <c r="N1180" s="3" t="inlineStr">
        <is>
          <t>C4</t>
        </is>
      </c>
      <c r="O1180" s="3" t="inlineStr">
        <is>
          <t>no</t>
        </is>
      </c>
      <c r="P1180" s="3" t="inlineStr">
        <is>
          <t>no_compite</t>
        </is>
      </c>
      <c r="Q1180" s="3" t="inlineStr">
        <is>
          <t>panel_covariables</t>
        </is>
      </c>
      <c r="R1180" s="3" t="n"/>
      <c r="S1180" s="3" t="inlineStr">
        <is>
          <t>contraste regional (R6); no vota</t>
        </is>
      </c>
      <c r="T1180" s="3" t="inlineStr">
        <is>
          <t>output/v8/F5/atribucion_combinada.csv</t>
        </is>
      </c>
      <c r="U1180" s="2">
        <f>IF(R1180=0,"",F1180/R1180)</f>
        <v/>
      </c>
      <c r="V1180" s="2">
        <f>SUMIFS(F$2:F$1589,A$2:A$1589,A1180,C$2:C$1589,C1180,E$2:E$1589,E1180,Q$2:Q$1589,Q1180)</f>
        <v/>
      </c>
    </row>
    <row r="1181">
      <c r="A1181" s="3" t="inlineStr">
        <is>
          <t>alquiler</t>
        </is>
      </c>
      <c r="B1181" s="3" t="inlineStr">
        <is>
          <t>ccaa:14</t>
        </is>
      </c>
      <c r="C1181" s="3" t="inlineStr">
        <is>
          <t>P3</t>
        </is>
      </c>
      <c r="D1181" s="3" t="inlineStr">
        <is>
          <t>empleo_renta</t>
        </is>
      </c>
      <c r="E1181" s="3" t="inlineStr">
        <is>
          <t>regional_panel</t>
        </is>
      </c>
      <c r="F1181" s="3" t="n">
        <v>0.250636</v>
      </c>
      <c r="G1181" s="3" t="n"/>
      <c r="H1181" s="3" t="n"/>
      <c r="I1181" s="3" t="n">
        <v>-0.0642972</v>
      </c>
      <c r="J1181" s="3" t="n">
        <v>-0.067315</v>
      </c>
      <c r="K1181" s="3" t="n">
        <v>0.436459</v>
      </c>
      <c r="L1181" s="3" t="n">
        <v>-0.256833</v>
      </c>
      <c r="M1181" s="3" t="n">
        <v>0.607477</v>
      </c>
      <c r="N1181" s="3" t="inlineStr">
        <is>
          <t>C4</t>
        </is>
      </c>
      <c r="O1181" s="3" t="inlineStr">
        <is>
          <t>si</t>
        </is>
      </c>
      <c r="P1181" s="3" t="inlineStr">
        <is>
          <t>no_vota</t>
        </is>
      </c>
      <c r="Q1181" s="3" t="inlineStr">
        <is>
          <t>panel_covariables</t>
        </is>
      </c>
      <c r="R1181" s="3" t="n"/>
      <c r="S1181" s="3" t="inlineStr">
        <is>
          <t>contraste regional (R6); no vota</t>
        </is>
      </c>
      <c r="T1181" s="3" t="inlineStr">
        <is>
          <t>output/v8/F5/atribucion_combinada.csv</t>
        </is>
      </c>
      <c r="U1181" s="2">
        <f>IF(R1181=0,"",F1181/R1181)</f>
        <v/>
      </c>
      <c r="V1181" s="2">
        <f>SUMIFS(F$2:F$1589,A$2:A$1589,A1181,C$2:C$1589,C1181,E$2:E$1589,E1181,Q$2:Q$1589,Q1181)</f>
        <v/>
      </c>
    </row>
    <row r="1182">
      <c r="A1182" s="3" t="inlineStr">
        <is>
          <t>alquiler</t>
        </is>
      </c>
      <c r="B1182" s="3" t="inlineStr">
        <is>
          <t>ccaa:14</t>
        </is>
      </c>
      <c r="C1182" s="3" t="inlineStr">
        <is>
          <t>P3</t>
        </is>
      </c>
      <c r="D1182" s="3" t="inlineStr">
        <is>
          <t>demografia</t>
        </is>
      </c>
      <c r="E1182" s="3" t="inlineStr">
        <is>
          <t>regional_panel</t>
        </is>
      </c>
      <c r="F1182" s="3" t="n">
        <v>2.00499</v>
      </c>
      <c r="G1182" s="3" t="n"/>
      <c r="H1182" s="3" t="n"/>
      <c r="I1182" s="3" t="n">
        <v>-0.514351</v>
      </c>
      <c r="J1182" s="3" t="n">
        <v>1.6398</v>
      </c>
      <c r="K1182" s="3" t="n">
        <v>2.32397</v>
      </c>
      <c r="L1182" s="3" t="n">
        <v>1.43192</v>
      </c>
      <c r="M1182" s="3" t="n">
        <v>2.52955</v>
      </c>
      <c r="N1182" s="3" t="inlineStr">
        <is>
          <t>C4</t>
        </is>
      </c>
      <c r="O1182" s="3" t="inlineStr">
        <is>
          <t>si</t>
        </is>
      </c>
      <c r="P1182" s="3" t="inlineStr">
        <is>
          <t>no_vota</t>
        </is>
      </c>
      <c r="Q1182" s="3" t="inlineStr">
        <is>
          <t>panel_covariables</t>
        </is>
      </c>
      <c r="R1182" s="3" t="n"/>
      <c r="S1182" s="3" t="inlineStr">
        <is>
          <t>contraste regional (R6); no vota</t>
        </is>
      </c>
      <c r="T1182" s="3" t="inlineStr">
        <is>
          <t>output/v8/F5/atribucion_combinada.csv</t>
        </is>
      </c>
      <c r="U1182" s="2">
        <f>IF(R1182=0,"",F1182/R1182)</f>
        <v/>
      </c>
      <c r="V1182" s="2">
        <f>SUMIFS(F$2:F$1589,A$2:A$1589,A1182,C$2:C$1589,C1182,E$2:E$1589,E1182,Q$2:Q$1589,Q1182)</f>
        <v/>
      </c>
    </row>
    <row r="1183">
      <c r="A1183" s="3" t="inlineStr">
        <is>
          <t>alquiler</t>
        </is>
      </c>
      <c r="B1183" s="3" t="inlineStr">
        <is>
          <t>ccaa:14</t>
        </is>
      </c>
      <c r="C1183" s="3" t="inlineStr">
        <is>
          <t>P3</t>
        </is>
      </c>
      <c r="D1183" s="3" t="inlineStr">
        <is>
          <t>oferta</t>
        </is>
      </c>
      <c r="E1183" s="3" t="inlineStr">
        <is>
          <t>regional_panel</t>
        </is>
      </c>
      <c r="F1183" s="3" t="n">
        <v>0.0353544</v>
      </c>
      <c r="G1183" s="3" t="n"/>
      <c r="H1183" s="3" t="n"/>
      <c r="I1183" s="3" t="n">
        <v>-0.00906966</v>
      </c>
      <c r="J1183" s="3" t="n">
        <v>-0.00145336</v>
      </c>
      <c r="K1183" s="3" t="n">
        <v>0.130689</v>
      </c>
      <c r="L1183" s="3" t="n">
        <v>-0.0229502</v>
      </c>
      <c r="M1183" s="3" t="n">
        <v>0.234532</v>
      </c>
      <c r="N1183" s="3" t="inlineStr">
        <is>
          <t>C4</t>
        </is>
      </c>
      <c r="O1183" s="3" t="inlineStr">
        <is>
          <t>si</t>
        </is>
      </c>
      <c r="P1183" s="3" t="inlineStr">
        <is>
          <t>no_vota</t>
        </is>
      </c>
      <c r="Q1183" s="3" t="inlineStr">
        <is>
          <t>panel_covariables</t>
        </is>
      </c>
      <c r="R1183" s="3" t="n"/>
      <c r="S1183" s="3" t="inlineStr">
        <is>
          <t>contraste regional (R6); no vota</t>
        </is>
      </c>
      <c r="T1183" s="3" t="inlineStr">
        <is>
          <t>output/v8/F5/atribucion_combinada.csv</t>
        </is>
      </c>
      <c r="U1183" s="2">
        <f>IF(R1183=0,"",F1183/R1183)</f>
        <v/>
      </c>
      <c r="V1183" s="2">
        <f>SUMIFS(F$2:F$1589,A$2:A$1589,A1183,C$2:C$1589,C1183,E$2:E$1589,E1183,Q$2:Q$1589,Q1183)</f>
        <v/>
      </c>
    </row>
    <row r="1184">
      <c r="A1184" s="3" t="inlineStr">
        <is>
          <t>alquiler</t>
        </is>
      </c>
      <c r="B1184" s="3" t="inlineStr">
        <is>
          <t>ccaa:14</t>
        </is>
      </c>
      <c r="C1184" s="3" t="inlineStr">
        <is>
          <t>P3</t>
        </is>
      </c>
      <c r="D1184" s="3" t="inlineStr">
        <is>
          <t>demanda_externa</t>
        </is>
      </c>
      <c r="E1184" s="3" t="inlineStr">
        <is>
          <t>regional_panel</t>
        </is>
      </c>
      <c r="F1184" s="3" t="n">
        <v>0.143486</v>
      </c>
      <c r="G1184" s="3" t="n"/>
      <c r="H1184" s="3" t="n"/>
      <c r="I1184" s="3" t="n">
        <v>-0.0368093</v>
      </c>
      <c r="J1184" s="3" t="n">
        <v>0.0447859</v>
      </c>
      <c r="K1184" s="3" t="n">
        <v>0.270714</v>
      </c>
      <c r="L1184" s="3" t="n">
        <v>-0.0300547</v>
      </c>
      <c r="M1184" s="3" t="n">
        <v>0.375335</v>
      </c>
      <c r="N1184" s="3" t="inlineStr">
        <is>
          <t>C4</t>
        </is>
      </c>
      <c r="O1184" s="3" t="inlineStr">
        <is>
          <t>si</t>
        </is>
      </c>
      <c r="P1184" s="3" t="inlineStr">
        <is>
          <t>no_vota</t>
        </is>
      </c>
      <c r="Q1184" s="3" t="inlineStr">
        <is>
          <t>panel_covariables</t>
        </is>
      </c>
      <c r="R1184" s="3" t="n"/>
      <c r="S1184" s="3" t="inlineStr">
        <is>
          <t>contraste regional (R6); no vota</t>
        </is>
      </c>
      <c r="T1184" s="3" t="inlineStr">
        <is>
          <t>output/v8/F5/atribucion_combinada.csv</t>
        </is>
      </c>
      <c r="U1184" s="2">
        <f>IF(R1184=0,"",F1184/R1184)</f>
        <v/>
      </c>
      <c r="V1184" s="2">
        <f>SUMIFS(F$2:F$1589,A$2:A$1589,A1184,C$2:C$1589,C1184,E$2:E$1589,E1184,Q$2:Q$1589,Q1184)</f>
        <v/>
      </c>
    </row>
    <row r="1185">
      <c r="A1185" s="3" t="inlineStr">
        <is>
          <t>alquiler</t>
        </is>
      </c>
      <c r="B1185" s="3" t="inlineStr">
        <is>
          <t>ccaa:14</t>
        </is>
      </c>
      <c r="C1185" s="3" t="inlineStr">
        <is>
          <t>P3</t>
        </is>
      </c>
      <c r="D1185" s="3" t="inlineStr">
        <is>
          <t>residuo</t>
        </is>
      </c>
      <c r="E1185" s="3" t="inlineStr">
        <is>
          <t>regional_panel</t>
        </is>
      </c>
      <c r="F1185" s="3" t="n">
        <v>-4.44087</v>
      </c>
      <c r="G1185" s="3" t="n"/>
      <c r="H1185" s="3" t="n"/>
      <c r="I1185" s="3" t="n">
        <v>1.13924</v>
      </c>
      <c r="J1185" s="3" t="n">
        <v>-5.29977</v>
      </c>
      <c r="K1185" s="3" t="n">
        <v>-3.4782</v>
      </c>
      <c r="L1185" s="3" t="n">
        <v>-5.96629</v>
      </c>
      <c r="M1185" s="3" t="n">
        <v>-3.01601</v>
      </c>
      <c r="N1185" s="3" t="inlineStr">
        <is>
          <t>C4</t>
        </is>
      </c>
      <c r="O1185" s="3" t="inlineStr">
        <is>
          <t>no</t>
        </is>
      </c>
      <c r="P1185" s="3" t="inlineStr">
        <is>
          <t>no_compite</t>
        </is>
      </c>
      <c r="Q1185" s="3" t="inlineStr">
        <is>
          <t>panel_covariables</t>
        </is>
      </c>
      <c r="R1185" s="3" t="n"/>
      <c r="S1185" s="3" t="inlineStr">
        <is>
          <t>contraste regional (R6); no vota</t>
        </is>
      </c>
      <c r="T1185" s="3" t="inlineStr">
        <is>
          <t>output/v8/F5/atribucion_combinada.csv</t>
        </is>
      </c>
      <c r="U1185" s="2">
        <f>IF(R1185=0,"",F1185/R1185)</f>
        <v/>
      </c>
      <c r="V1185" s="2">
        <f>SUMIFS(F$2:F$1589,A$2:A$1589,A1185,C$2:C$1589,C1185,E$2:E$1589,E1185,Q$2:Q$1589,Q1185)</f>
        <v/>
      </c>
    </row>
    <row r="1186">
      <c r="A1186" s="3" t="inlineStr">
        <is>
          <t>alquiler</t>
        </is>
      </c>
      <c r="B1186" s="3" t="inlineStr">
        <is>
          <t>ccaa:15</t>
        </is>
      </c>
      <c r="C1186" s="3" t="inlineStr">
        <is>
          <t>P3</t>
        </is>
      </c>
      <c r="D1186" s="3" t="inlineStr">
        <is>
          <t>factor_comun</t>
        </is>
      </c>
      <c r="E1186" s="3" t="inlineStr">
        <is>
          <t>regional_panel</t>
        </is>
      </c>
      <c r="F1186" s="3" t="n">
        <v>-1.89168</v>
      </c>
      <c r="G1186" s="3" t="n"/>
      <c r="H1186" s="3" t="n"/>
      <c r="I1186" s="3" t="n">
        <v>0.722303</v>
      </c>
      <c r="J1186" s="3" t="n">
        <v>-3.03018</v>
      </c>
      <c r="K1186" s="3" t="n">
        <v>-0.7753910000000001</v>
      </c>
      <c r="L1186" s="3" t="n">
        <v>-3.74726</v>
      </c>
      <c r="M1186" s="3" t="n">
        <v>-0.0842796</v>
      </c>
      <c r="N1186" s="3" t="inlineStr">
        <is>
          <t>C4</t>
        </is>
      </c>
      <c r="O1186" s="3" t="inlineStr">
        <is>
          <t>no</t>
        </is>
      </c>
      <c r="P1186" s="3" t="inlineStr">
        <is>
          <t>no_compite</t>
        </is>
      </c>
      <c r="Q1186" s="3" t="inlineStr">
        <is>
          <t>panel_covariables</t>
        </is>
      </c>
      <c r="R1186" s="3" t="n"/>
      <c r="S1186" s="3" t="inlineStr">
        <is>
          <t>contraste regional (R6); no vota</t>
        </is>
      </c>
      <c r="T1186" s="3" t="inlineStr">
        <is>
          <t>output/v8/F5/atribucion_combinada.csv</t>
        </is>
      </c>
      <c r="U1186" s="2">
        <f>IF(R1186=0,"",F1186/R1186)</f>
        <v/>
      </c>
      <c r="V1186" s="2">
        <f>SUMIFS(F$2:F$1589,A$2:A$1589,A1186,C$2:C$1589,C1186,E$2:E$1589,E1186,Q$2:Q$1589,Q1186)</f>
        <v/>
      </c>
    </row>
    <row r="1187">
      <c r="A1187" s="3" t="inlineStr">
        <is>
          <t>alquiler</t>
        </is>
      </c>
      <c r="B1187" s="3" t="inlineStr">
        <is>
          <t>ccaa:15</t>
        </is>
      </c>
      <c r="C1187" s="3" t="inlineStr">
        <is>
          <t>P3</t>
        </is>
      </c>
      <c r="D1187" s="3" t="inlineStr">
        <is>
          <t>empleo_renta</t>
        </is>
      </c>
      <c r="E1187" s="3" t="inlineStr">
        <is>
          <t>regional_panel</t>
        </is>
      </c>
      <c r="F1187" s="3" t="n">
        <v>0.130261</v>
      </c>
      <c r="G1187" s="3" t="n"/>
      <c r="H1187" s="3" t="n"/>
      <c r="I1187" s="3" t="n">
        <v>-0.0497377</v>
      </c>
      <c r="J1187" s="3" t="n">
        <v>-0.103691</v>
      </c>
      <c r="K1187" s="3" t="n">
        <v>0.277558</v>
      </c>
      <c r="L1187" s="3" t="n">
        <v>-0.283194</v>
      </c>
      <c r="M1187" s="3" t="n">
        <v>0.406945</v>
      </c>
      <c r="N1187" s="3" t="inlineStr">
        <is>
          <t>C4</t>
        </is>
      </c>
      <c r="O1187" s="3" t="inlineStr">
        <is>
          <t>si</t>
        </is>
      </c>
      <c r="P1187" s="3" t="inlineStr">
        <is>
          <t>no_vota</t>
        </is>
      </c>
      <c r="Q1187" s="3" t="inlineStr">
        <is>
          <t>panel_covariables</t>
        </is>
      </c>
      <c r="R1187" s="3" t="n"/>
      <c r="S1187" s="3" t="inlineStr">
        <is>
          <t>contraste regional (R6); no vota</t>
        </is>
      </c>
      <c r="T1187" s="3" t="inlineStr">
        <is>
          <t>output/v8/F5/atribucion_combinada.csv</t>
        </is>
      </c>
      <c r="U1187" s="2">
        <f>IF(R1187=0,"",F1187/R1187)</f>
        <v/>
      </c>
      <c r="V1187" s="2">
        <f>SUMIFS(F$2:F$1589,A$2:A$1589,A1187,C$2:C$1589,C1187,E$2:E$1589,E1187,Q$2:Q$1589,Q1187)</f>
        <v/>
      </c>
    </row>
    <row r="1188">
      <c r="A1188" s="3" t="inlineStr">
        <is>
          <t>alquiler</t>
        </is>
      </c>
      <c r="B1188" s="3" t="inlineStr">
        <is>
          <t>ccaa:15</t>
        </is>
      </c>
      <c r="C1188" s="3" t="inlineStr">
        <is>
          <t>P3</t>
        </is>
      </c>
      <c r="D1188" s="3" t="inlineStr">
        <is>
          <t>demografia</t>
        </is>
      </c>
      <c r="E1188" s="3" t="inlineStr">
        <is>
          <t>regional_panel</t>
        </is>
      </c>
      <c r="F1188" s="3" t="n">
        <v>1.66157</v>
      </c>
      <c r="G1188" s="3" t="n"/>
      <c r="H1188" s="3" t="n"/>
      <c r="I1188" s="3" t="n">
        <v>-0.634439</v>
      </c>
      <c r="J1188" s="3" t="n">
        <v>1.4248</v>
      </c>
      <c r="K1188" s="3" t="n">
        <v>1.94569</v>
      </c>
      <c r="L1188" s="3" t="n">
        <v>1.28742</v>
      </c>
      <c r="M1188" s="3" t="n">
        <v>2.1114</v>
      </c>
      <c r="N1188" s="3" t="inlineStr">
        <is>
          <t>C4</t>
        </is>
      </c>
      <c r="O1188" s="3" t="inlineStr">
        <is>
          <t>si</t>
        </is>
      </c>
      <c r="P1188" s="3" t="inlineStr">
        <is>
          <t>no_vota</t>
        </is>
      </c>
      <c r="Q1188" s="3" t="inlineStr">
        <is>
          <t>panel_covariables</t>
        </is>
      </c>
      <c r="R1188" s="3" t="n"/>
      <c r="S1188" s="3" t="inlineStr">
        <is>
          <t>contraste regional (R6); no vota</t>
        </is>
      </c>
      <c r="T1188" s="3" t="inlineStr">
        <is>
          <t>output/v8/F5/atribucion_combinada.csv</t>
        </is>
      </c>
      <c r="U1188" s="2">
        <f>IF(R1188=0,"",F1188/R1188)</f>
        <v/>
      </c>
      <c r="V1188" s="2">
        <f>SUMIFS(F$2:F$1589,A$2:A$1589,A1188,C$2:C$1589,C1188,E$2:E$1589,E1188,Q$2:Q$1589,Q1188)</f>
        <v/>
      </c>
    </row>
    <row r="1189">
      <c r="A1189" s="3" t="inlineStr">
        <is>
          <t>alquiler</t>
        </is>
      </c>
      <c r="B1189" s="3" t="inlineStr">
        <is>
          <t>ccaa:15</t>
        </is>
      </c>
      <c r="C1189" s="3" t="inlineStr">
        <is>
          <t>P3</t>
        </is>
      </c>
      <c r="D1189" s="3" t="inlineStr">
        <is>
          <t>oferta</t>
        </is>
      </c>
      <c r="E1189" s="3" t="inlineStr">
        <is>
          <t>regional_panel</t>
        </is>
      </c>
      <c r="F1189" s="3" t="n">
        <v>0.0671799</v>
      </c>
      <c r="G1189" s="3" t="n"/>
      <c r="H1189" s="3" t="n"/>
      <c r="I1189" s="3" t="n">
        <v>-0.0256514</v>
      </c>
      <c r="J1189" s="3" t="n">
        <v>-0.0228435</v>
      </c>
      <c r="K1189" s="3" t="n">
        <v>0.185157</v>
      </c>
      <c r="L1189" s="3" t="n">
        <v>-0.088244</v>
      </c>
      <c r="M1189" s="3" t="n">
        <v>0.281748</v>
      </c>
      <c r="N1189" s="3" t="inlineStr">
        <is>
          <t>C4</t>
        </is>
      </c>
      <c r="O1189" s="3" t="inlineStr">
        <is>
          <t>si</t>
        </is>
      </c>
      <c r="P1189" s="3" t="inlineStr">
        <is>
          <t>no_vota</t>
        </is>
      </c>
      <c r="Q1189" s="3" t="inlineStr">
        <is>
          <t>panel_covariables</t>
        </is>
      </c>
      <c r="R1189" s="3" t="n"/>
      <c r="S1189" s="3" t="inlineStr">
        <is>
          <t>contraste regional (R6); no vota</t>
        </is>
      </c>
      <c r="T1189" s="3" t="inlineStr">
        <is>
          <t>output/v8/F5/atribucion_combinada.csv</t>
        </is>
      </c>
      <c r="U1189" s="2">
        <f>IF(R1189=0,"",F1189/R1189)</f>
        <v/>
      </c>
      <c r="V1189" s="2">
        <f>SUMIFS(F$2:F$1589,A$2:A$1589,A1189,C$2:C$1589,C1189,E$2:E$1589,E1189,Q$2:Q$1589,Q1189)</f>
        <v/>
      </c>
    </row>
    <row r="1190">
      <c r="A1190" s="3" t="inlineStr">
        <is>
          <t>alquiler</t>
        </is>
      </c>
      <c r="B1190" s="3" t="inlineStr">
        <is>
          <t>ccaa:15</t>
        </is>
      </c>
      <c r="C1190" s="3" t="inlineStr">
        <is>
          <t>P3</t>
        </is>
      </c>
      <c r="D1190" s="3" t="inlineStr">
        <is>
          <t>demanda_externa</t>
        </is>
      </c>
      <c r="E1190" s="3" t="inlineStr">
        <is>
          <t>regional_panel</t>
        </is>
      </c>
      <c r="F1190" s="3" t="n">
        <v>0.169851</v>
      </c>
      <c r="G1190" s="3" t="n"/>
      <c r="H1190" s="3" t="n"/>
      <c r="I1190" s="3" t="n">
        <v>-0.0648542</v>
      </c>
      <c r="J1190" s="3" t="n">
        <v>0.0531942</v>
      </c>
      <c r="K1190" s="3" t="n">
        <v>0.311517</v>
      </c>
      <c r="L1190" s="3" t="n">
        <v>-0.049103</v>
      </c>
      <c r="M1190" s="3" t="n">
        <v>0.411875</v>
      </c>
      <c r="N1190" s="3" t="inlineStr">
        <is>
          <t>C4</t>
        </is>
      </c>
      <c r="O1190" s="3" t="inlineStr">
        <is>
          <t>si</t>
        </is>
      </c>
      <c r="P1190" s="3" t="inlineStr">
        <is>
          <t>no_vota</t>
        </is>
      </c>
      <c r="Q1190" s="3" t="inlineStr">
        <is>
          <t>panel_covariables</t>
        </is>
      </c>
      <c r="R1190" s="3" t="n"/>
      <c r="S1190" s="3" t="inlineStr">
        <is>
          <t>contraste regional (R6); no vota</t>
        </is>
      </c>
      <c r="T1190" s="3" t="inlineStr">
        <is>
          <t>output/v8/F5/atribucion_combinada.csv</t>
        </is>
      </c>
      <c r="U1190" s="2">
        <f>IF(R1190=0,"",F1190/R1190)</f>
        <v/>
      </c>
      <c r="V1190" s="2">
        <f>SUMIFS(F$2:F$1589,A$2:A$1589,A1190,C$2:C$1589,C1190,E$2:E$1589,E1190,Q$2:Q$1589,Q1190)</f>
        <v/>
      </c>
    </row>
    <row r="1191">
      <c r="A1191" s="3" t="inlineStr">
        <is>
          <t>alquiler</t>
        </is>
      </c>
      <c r="B1191" s="3" t="inlineStr">
        <is>
          <t>ccaa:15</t>
        </is>
      </c>
      <c r="C1191" s="3" t="inlineStr">
        <is>
          <t>P3</t>
        </is>
      </c>
      <c r="D1191" s="3" t="inlineStr">
        <is>
          <t>residuo</t>
        </is>
      </c>
      <c r="E1191" s="3" t="inlineStr">
        <is>
          <t>regional_panel</t>
        </is>
      </c>
      <c r="F1191" s="3" t="n">
        <v>-2.75614</v>
      </c>
      <c r="G1191" s="3" t="n"/>
      <c r="H1191" s="3" t="n"/>
      <c r="I1191" s="3" t="n">
        <v>1.05238</v>
      </c>
      <c r="J1191" s="3" t="n">
        <v>-3.97728</v>
      </c>
      <c r="K1191" s="3" t="n">
        <v>-1.49015</v>
      </c>
      <c r="L1191" s="3" t="n">
        <v>-4.841</v>
      </c>
      <c r="M1191" s="3" t="n">
        <v>-0.818586</v>
      </c>
      <c r="N1191" s="3" t="inlineStr">
        <is>
          <t>C4</t>
        </is>
      </c>
      <c r="O1191" s="3" t="inlineStr">
        <is>
          <t>no</t>
        </is>
      </c>
      <c r="P1191" s="3" t="inlineStr">
        <is>
          <t>no_compite</t>
        </is>
      </c>
      <c r="Q1191" s="3" t="inlineStr">
        <is>
          <t>panel_covariables</t>
        </is>
      </c>
      <c r="R1191" s="3" t="n"/>
      <c r="S1191" s="3" t="inlineStr">
        <is>
          <t>contraste regional (R6); no vota</t>
        </is>
      </c>
      <c r="T1191" s="3" t="inlineStr">
        <is>
          <t>output/v8/F5/atribucion_combinada.csv</t>
        </is>
      </c>
      <c r="U1191" s="2">
        <f>IF(R1191=0,"",F1191/R1191)</f>
        <v/>
      </c>
      <c r="V1191" s="2">
        <f>SUMIFS(F$2:F$1589,A$2:A$1589,A1191,C$2:C$1589,C1191,E$2:E$1589,E1191,Q$2:Q$1589,Q1191)</f>
        <v/>
      </c>
    </row>
    <row r="1192">
      <c r="A1192" s="3" t="inlineStr">
        <is>
          <t>alquiler</t>
        </is>
      </c>
      <c r="B1192" s="3" t="inlineStr">
        <is>
          <t>ccaa:16</t>
        </is>
      </c>
      <c r="C1192" s="3" t="inlineStr">
        <is>
          <t>P3</t>
        </is>
      </c>
      <c r="D1192" s="3" t="inlineStr">
        <is>
          <t>factor_comun</t>
        </is>
      </c>
      <c r="E1192" s="3" t="inlineStr">
        <is>
          <t>regional_panel</t>
        </is>
      </c>
      <c r="F1192" s="3" t="n">
        <v>-1.89168</v>
      </c>
      <c r="G1192" s="3" t="n"/>
      <c r="H1192" s="3" t="n"/>
      <c r="I1192" s="3" t="n">
        <v>0.835093</v>
      </c>
      <c r="J1192" s="3" t="n">
        <v>-3.03018</v>
      </c>
      <c r="K1192" s="3" t="n">
        <v>-0.7753910000000001</v>
      </c>
      <c r="L1192" s="3" t="n">
        <v>-3.74726</v>
      </c>
      <c r="M1192" s="3" t="n">
        <v>-0.0842796</v>
      </c>
      <c r="N1192" s="3" t="inlineStr">
        <is>
          <t>C4</t>
        </is>
      </c>
      <c r="O1192" s="3" t="inlineStr">
        <is>
          <t>no</t>
        </is>
      </c>
      <c r="P1192" s="3" t="inlineStr">
        <is>
          <t>no_compite</t>
        </is>
      </c>
      <c r="Q1192" s="3" t="inlineStr">
        <is>
          <t>panel_covariables</t>
        </is>
      </c>
      <c r="R1192" s="3" t="n"/>
      <c r="S1192" s="3" t="inlineStr">
        <is>
          <t>contraste regional (R6); no vota</t>
        </is>
      </c>
      <c r="T1192" s="3" t="inlineStr">
        <is>
          <t>output/v8/F5/atribucion_combinada.csv</t>
        </is>
      </c>
      <c r="U1192" s="2">
        <f>IF(R1192=0,"",F1192/R1192)</f>
        <v/>
      </c>
      <c r="V1192" s="2">
        <f>SUMIFS(F$2:F$1589,A$2:A$1589,A1192,C$2:C$1589,C1192,E$2:E$1589,E1192,Q$2:Q$1589,Q1192)</f>
        <v/>
      </c>
    </row>
    <row r="1193">
      <c r="A1193" s="3" t="inlineStr">
        <is>
          <t>alquiler</t>
        </is>
      </c>
      <c r="B1193" s="3" t="inlineStr">
        <is>
          <t>ccaa:16</t>
        </is>
      </c>
      <c r="C1193" s="3" t="inlineStr">
        <is>
          <t>P3</t>
        </is>
      </c>
      <c r="D1193" s="3" t="inlineStr">
        <is>
          <t>empleo_renta</t>
        </is>
      </c>
      <c r="E1193" s="3" t="inlineStr">
        <is>
          <t>regional_panel</t>
        </is>
      </c>
      <c r="F1193" s="3" t="n">
        <v>0.0288517</v>
      </c>
      <c r="G1193" s="3" t="n"/>
      <c r="H1193" s="3" t="n"/>
      <c r="I1193" s="3" t="n">
        <v>-0.0127367</v>
      </c>
      <c r="J1193" s="3" t="n">
        <v>-0.127348</v>
      </c>
      <c r="K1193" s="3" t="n">
        <v>0.148239</v>
      </c>
      <c r="L1193" s="3" t="n">
        <v>-0.213315</v>
      </c>
      <c r="M1193" s="3" t="n">
        <v>0.221748</v>
      </c>
      <c r="N1193" s="3" t="inlineStr">
        <is>
          <t>C4</t>
        </is>
      </c>
      <c r="O1193" s="3" t="inlineStr">
        <is>
          <t>si</t>
        </is>
      </c>
      <c r="P1193" s="3" t="inlineStr">
        <is>
          <t>no_vota</t>
        </is>
      </c>
      <c r="Q1193" s="3" t="inlineStr">
        <is>
          <t>panel_covariables</t>
        </is>
      </c>
      <c r="R1193" s="3" t="n"/>
      <c r="S1193" s="3" t="inlineStr">
        <is>
          <t>contraste regional (R6); no vota</t>
        </is>
      </c>
      <c r="T1193" s="3" t="inlineStr">
        <is>
          <t>output/v8/F5/atribucion_combinada.csv</t>
        </is>
      </c>
      <c r="U1193" s="2">
        <f>IF(R1193=0,"",F1193/R1193)</f>
        <v/>
      </c>
      <c r="V1193" s="2">
        <f>SUMIFS(F$2:F$1589,A$2:A$1589,A1193,C$2:C$1589,C1193,E$2:E$1589,E1193,Q$2:Q$1589,Q1193)</f>
        <v/>
      </c>
    </row>
    <row r="1194">
      <c r="A1194" s="3" t="inlineStr">
        <is>
          <t>alquiler</t>
        </is>
      </c>
      <c r="B1194" s="3" t="inlineStr">
        <is>
          <t>ccaa:16</t>
        </is>
      </c>
      <c r="C1194" s="3" t="inlineStr">
        <is>
          <t>P3</t>
        </is>
      </c>
      <c r="D1194" s="3" t="inlineStr">
        <is>
          <t>demografia</t>
        </is>
      </c>
      <c r="E1194" s="3" t="inlineStr">
        <is>
          <t>regional_panel</t>
        </is>
      </c>
      <c r="F1194" s="3" t="n">
        <v>-0.036127</v>
      </c>
      <c r="G1194" s="3" t="n"/>
      <c r="H1194" s="3" t="n"/>
      <c r="I1194" s="3" t="n">
        <v>0.0159484</v>
      </c>
      <c r="J1194" s="3" t="n">
        <v>-0.227373</v>
      </c>
      <c r="K1194" s="3" t="n">
        <v>0.248182</v>
      </c>
      <c r="L1194" s="3" t="n">
        <v>-0.353079</v>
      </c>
      <c r="M1194" s="3" t="n">
        <v>0.365292</v>
      </c>
      <c r="N1194" s="3" t="inlineStr">
        <is>
          <t>C4</t>
        </is>
      </c>
      <c r="O1194" s="3" t="inlineStr">
        <is>
          <t>si</t>
        </is>
      </c>
      <c r="P1194" s="3" t="inlineStr">
        <is>
          <t>no_vota</t>
        </is>
      </c>
      <c r="Q1194" s="3" t="inlineStr">
        <is>
          <t>panel_covariables</t>
        </is>
      </c>
      <c r="R1194" s="3" t="n"/>
      <c r="S1194" s="3" t="inlineStr">
        <is>
          <t>contraste regional (R6); no vota</t>
        </is>
      </c>
      <c r="T1194" s="3" t="inlineStr">
        <is>
          <t>output/v8/F5/atribucion_combinada.csv</t>
        </is>
      </c>
      <c r="U1194" s="2">
        <f>IF(R1194=0,"",F1194/R1194)</f>
        <v/>
      </c>
      <c r="V1194" s="2">
        <f>SUMIFS(F$2:F$1589,A$2:A$1589,A1194,C$2:C$1589,C1194,E$2:E$1589,E1194,Q$2:Q$1589,Q1194)</f>
        <v/>
      </c>
    </row>
    <row r="1195">
      <c r="A1195" s="3" t="inlineStr">
        <is>
          <t>alquiler</t>
        </is>
      </c>
      <c r="B1195" s="3" t="inlineStr">
        <is>
          <t>ccaa:16</t>
        </is>
      </c>
      <c r="C1195" s="3" t="inlineStr">
        <is>
          <t>P3</t>
        </is>
      </c>
      <c r="D1195" s="3" t="inlineStr">
        <is>
          <t>oferta</t>
        </is>
      </c>
      <c r="E1195" s="3" t="inlineStr">
        <is>
          <t>regional_panel</t>
        </is>
      </c>
      <c r="F1195" s="3" t="n">
        <v>0.0254267</v>
      </c>
      <c r="G1195" s="3" t="n"/>
      <c r="H1195" s="3" t="n"/>
      <c r="I1195" s="3" t="n">
        <v>-0.0112248</v>
      </c>
      <c r="J1195" s="3" t="n">
        <v>-0.00686727</v>
      </c>
      <c r="K1195" s="3" t="n">
        <v>0.09831330000000001</v>
      </c>
      <c r="L1195" s="3" t="n">
        <v>-0.0209698</v>
      </c>
      <c r="M1195" s="3" t="n">
        <v>0.165347</v>
      </c>
      <c r="N1195" s="3" t="inlineStr">
        <is>
          <t>C4</t>
        </is>
      </c>
      <c r="O1195" s="3" t="inlineStr">
        <is>
          <t>si</t>
        </is>
      </c>
      <c r="P1195" s="3" t="inlineStr">
        <is>
          <t>no_vota</t>
        </is>
      </c>
      <c r="Q1195" s="3" t="inlineStr">
        <is>
          <t>panel_covariables</t>
        </is>
      </c>
      <c r="R1195" s="3" t="n"/>
      <c r="S1195" s="3" t="inlineStr">
        <is>
          <t>contraste regional (R6); no vota</t>
        </is>
      </c>
      <c r="T1195" s="3" t="inlineStr">
        <is>
          <t>output/v8/F5/atribucion_combinada.csv</t>
        </is>
      </c>
      <c r="U1195" s="2">
        <f>IF(R1195=0,"",F1195/R1195)</f>
        <v/>
      </c>
      <c r="V1195" s="2">
        <f>SUMIFS(F$2:F$1589,A$2:A$1589,A1195,C$2:C$1589,C1195,E$2:E$1589,E1195,Q$2:Q$1589,Q1195)</f>
        <v/>
      </c>
    </row>
    <row r="1196">
      <c r="A1196" s="3" t="inlineStr">
        <is>
          <t>alquiler</t>
        </is>
      </c>
      <c r="B1196" s="3" t="inlineStr">
        <is>
          <t>ccaa:16</t>
        </is>
      </c>
      <c r="C1196" s="3" t="inlineStr">
        <is>
          <t>P3</t>
        </is>
      </c>
      <c r="D1196" s="3" t="inlineStr">
        <is>
          <t>demanda_externa</t>
        </is>
      </c>
      <c r="E1196" s="3" t="inlineStr">
        <is>
          <t>regional_panel</t>
        </is>
      </c>
      <c r="F1196" s="3" t="n">
        <v>0.176932</v>
      </c>
      <c r="G1196" s="3" t="n"/>
      <c r="H1196" s="3" t="n"/>
      <c r="I1196" s="3" t="n">
        <v>-0.0781075</v>
      </c>
      <c r="J1196" s="3" t="n">
        <v>0.0592153</v>
      </c>
      <c r="K1196" s="3" t="n">
        <v>0.282557</v>
      </c>
      <c r="L1196" s="3" t="n">
        <v>-0.0636707</v>
      </c>
      <c r="M1196" s="3" t="n">
        <v>0.363631</v>
      </c>
      <c r="N1196" s="3" t="inlineStr">
        <is>
          <t>C4</t>
        </is>
      </c>
      <c r="O1196" s="3" t="inlineStr">
        <is>
          <t>si</t>
        </is>
      </c>
      <c r="P1196" s="3" t="inlineStr">
        <is>
          <t>no_vota</t>
        </is>
      </c>
      <c r="Q1196" s="3" t="inlineStr">
        <is>
          <t>panel_covariables</t>
        </is>
      </c>
      <c r="R1196" s="3" t="n"/>
      <c r="S1196" s="3" t="inlineStr">
        <is>
          <t>contraste regional (R6); no vota</t>
        </is>
      </c>
      <c r="T1196" s="3" t="inlineStr">
        <is>
          <t>output/v8/F5/atribucion_combinada.csv</t>
        </is>
      </c>
      <c r="U1196" s="2">
        <f>IF(R1196=0,"",F1196/R1196)</f>
        <v/>
      </c>
      <c r="V1196" s="2">
        <f>SUMIFS(F$2:F$1589,A$2:A$1589,A1196,C$2:C$1589,C1196,E$2:E$1589,E1196,Q$2:Q$1589,Q1196)</f>
        <v/>
      </c>
    </row>
    <row r="1197">
      <c r="A1197" s="3" t="inlineStr">
        <is>
          <t>alquiler</t>
        </is>
      </c>
      <c r="B1197" s="3" t="inlineStr">
        <is>
          <t>ccaa:16</t>
        </is>
      </c>
      <c r="C1197" s="3" t="inlineStr">
        <is>
          <t>P3</t>
        </is>
      </c>
      <c r="D1197" s="3" t="inlineStr">
        <is>
          <t>residuo</t>
        </is>
      </c>
      <c r="E1197" s="3" t="inlineStr">
        <is>
          <t>regional_panel</t>
        </is>
      </c>
      <c r="F1197" s="3" t="n">
        <v>-0.568638</v>
      </c>
      <c r="G1197" s="3" t="n"/>
      <c r="H1197" s="3" t="n"/>
      <c r="I1197" s="3" t="n">
        <v>0.251028</v>
      </c>
      <c r="J1197" s="3" t="n">
        <v>-1.06082</v>
      </c>
      <c r="K1197" s="3" t="n">
        <v>-0.0913524</v>
      </c>
      <c r="L1197" s="3" t="n">
        <v>-1.35874</v>
      </c>
      <c r="M1197" s="3" t="n">
        <v>0.233959</v>
      </c>
      <c r="N1197" s="3" t="inlineStr">
        <is>
          <t>C4</t>
        </is>
      </c>
      <c r="O1197" s="3" t="inlineStr">
        <is>
          <t>no</t>
        </is>
      </c>
      <c r="P1197" s="3" t="inlineStr">
        <is>
          <t>no_compite</t>
        </is>
      </c>
      <c r="Q1197" s="3" t="inlineStr">
        <is>
          <t>panel_covariables</t>
        </is>
      </c>
      <c r="R1197" s="3" t="n"/>
      <c r="S1197" s="3" t="inlineStr">
        <is>
          <t>contraste regional (R6); no vota</t>
        </is>
      </c>
      <c r="T1197" s="3" t="inlineStr">
        <is>
          <t>output/v8/F5/atribucion_combinada.csv</t>
        </is>
      </c>
      <c r="U1197" s="2">
        <f>IF(R1197=0,"",F1197/R1197)</f>
        <v/>
      </c>
      <c r="V1197" s="2">
        <f>SUMIFS(F$2:F$1589,A$2:A$1589,A1197,C$2:C$1589,C1197,E$2:E$1589,E1197,Q$2:Q$1589,Q1197)</f>
        <v/>
      </c>
    </row>
    <row r="1198">
      <c r="A1198" s="3" t="inlineStr">
        <is>
          <t>alquiler</t>
        </is>
      </c>
      <c r="B1198" s="3" t="inlineStr">
        <is>
          <t>ccaa:17</t>
        </is>
      </c>
      <c r="C1198" s="3" t="inlineStr">
        <is>
          <t>P3</t>
        </is>
      </c>
      <c r="D1198" s="3" t="inlineStr">
        <is>
          <t>factor_comun</t>
        </is>
      </c>
      <c r="E1198" s="3" t="inlineStr">
        <is>
          <t>regional_panel</t>
        </is>
      </c>
      <c r="F1198" s="3" t="n">
        <v>-1.89168</v>
      </c>
      <c r="G1198" s="3" t="n"/>
      <c r="H1198" s="3" t="n"/>
      <c r="I1198" s="3" t="n">
        <v>0.331352</v>
      </c>
      <c r="J1198" s="3" t="n">
        <v>-3.03018</v>
      </c>
      <c r="K1198" s="3" t="n">
        <v>-0.7753910000000001</v>
      </c>
      <c r="L1198" s="3" t="n">
        <v>-3.74726</v>
      </c>
      <c r="M1198" s="3" t="n">
        <v>-0.0842796</v>
      </c>
      <c r="N1198" s="3" t="inlineStr">
        <is>
          <t>C4</t>
        </is>
      </c>
      <c r="O1198" s="3" t="inlineStr">
        <is>
          <t>no</t>
        </is>
      </c>
      <c r="P1198" s="3" t="inlineStr">
        <is>
          <t>no_compite</t>
        </is>
      </c>
      <c r="Q1198" s="3" t="inlineStr">
        <is>
          <t>panel_covariables</t>
        </is>
      </c>
      <c r="R1198" s="3" t="n"/>
      <c r="S1198" s="3" t="inlineStr">
        <is>
          <t>contraste regional (R6); no vota</t>
        </is>
      </c>
      <c r="T1198" s="3" t="inlineStr">
        <is>
          <t>output/v8/F5/atribucion_combinada.csv</t>
        </is>
      </c>
      <c r="U1198" s="2">
        <f>IF(R1198=0,"",F1198/R1198)</f>
        <v/>
      </c>
      <c r="V1198" s="2">
        <f>SUMIFS(F$2:F$1589,A$2:A$1589,A1198,C$2:C$1589,C1198,E$2:E$1589,E1198,Q$2:Q$1589,Q1198)</f>
        <v/>
      </c>
    </row>
    <row r="1199">
      <c r="A1199" s="3" t="inlineStr">
        <is>
          <t>alquiler</t>
        </is>
      </c>
      <c r="B1199" s="3" t="inlineStr">
        <is>
          <t>ccaa:17</t>
        </is>
      </c>
      <c r="C1199" s="3" t="inlineStr">
        <is>
          <t>P3</t>
        </is>
      </c>
      <c r="D1199" s="3" t="inlineStr">
        <is>
          <t>empleo_renta</t>
        </is>
      </c>
      <c r="E1199" s="3" t="inlineStr">
        <is>
          <t>regional_panel</t>
        </is>
      </c>
      <c r="F1199" s="3" t="n">
        <v>0.189751</v>
      </c>
      <c r="G1199" s="3" t="n"/>
      <c r="H1199" s="3" t="n"/>
      <c r="I1199" s="3" t="n">
        <v>-0.0332374</v>
      </c>
      <c r="J1199" s="3" t="n">
        <v>-0.068617</v>
      </c>
      <c r="K1199" s="3" t="n">
        <v>0.334357</v>
      </c>
      <c r="L1199" s="3" t="n">
        <v>-0.246753</v>
      </c>
      <c r="M1199" s="3" t="n">
        <v>0.422168</v>
      </c>
      <c r="N1199" s="3" t="inlineStr">
        <is>
          <t>C4</t>
        </is>
      </c>
      <c r="O1199" s="3" t="inlineStr">
        <is>
          <t>si</t>
        </is>
      </c>
      <c r="P1199" s="3" t="inlineStr">
        <is>
          <t>no_vota</t>
        </is>
      </c>
      <c r="Q1199" s="3" t="inlineStr">
        <is>
          <t>panel_covariables</t>
        </is>
      </c>
      <c r="R1199" s="3" t="n"/>
      <c r="S1199" s="3" t="inlineStr">
        <is>
          <t>contraste regional (R6); no vota</t>
        </is>
      </c>
      <c r="T1199" s="3" t="inlineStr">
        <is>
          <t>output/v8/F5/atribucion_combinada.csv</t>
        </is>
      </c>
      <c r="U1199" s="2">
        <f>IF(R1199=0,"",F1199/R1199)</f>
        <v/>
      </c>
      <c r="V1199" s="2">
        <f>SUMIFS(F$2:F$1589,A$2:A$1589,A1199,C$2:C$1589,C1199,E$2:E$1589,E1199,Q$2:Q$1589,Q1199)</f>
        <v/>
      </c>
    </row>
    <row r="1200">
      <c r="A1200" s="3" t="inlineStr">
        <is>
          <t>alquiler</t>
        </is>
      </c>
      <c r="B1200" s="3" t="inlineStr">
        <is>
          <t>ccaa:17</t>
        </is>
      </c>
      <c r="C1200" s="3" t="inlineStr">
        <is>
          <t>P3</t>
        </is>
      </c>
      <c r="D1200" s="3" t="inlineStr">
        <is>
          <t>demografia</t>
        </is>
      </c>
      <c r="E1200" s="3" t="inlineStr">
        <is>
          <t>regional_panel</t>
        </is>
      </c>
      <c r="F1200" s="3" t="n">
        <v>0.125976</v>
      </c>
      <c r="G1200" s="3" t="n"/>
      <c r="H1200" s="3" t="n"/>
      <c r="I1200" s="3" t="n">
        <v>-0.0220662</v>
      </c>
      <c r="J1200" s="3" t="n">
        <v>-0.0711271</v>
      </c>
      <c r="K1200" s="3" t="n">
        <v>0.288458</v>
      </c>
      <c r="L1200" s="3" t="n">
        <v>-0.19438</v>
      </c>
      <c r="M1200" s="3" t="n">
        <v>0.371196</v>
      </c>
      <c r="N1200" s="3" t="inlineStr">
        <is>
          <t>C4</t>
        </is>
      </c>
      <c r="O1200" s="3" t="inlineStr">
        <is>
          <t>si</t>
        </is>
      </c>
      <c r="P1200" s="3" t="inlineStr">
        <is>
          <t>no_vota</t>
        </is>
      </c>
      <c r="Q1200" s="3" t="inlineStr">
        <is>
          <t>panel_covariables</t>
        </is>
      </c>
      <c r="R1200" s="3" t="n"/>
      <c r="S1200" s="3" t="inlineStr">
        <is>
          <t>contraste regional (R6); no vota</t>
        </is>
      </c>
      <c r="T1200" s="3" t="inlineStr">
        <is>
          <t>output/v8/F5/atribucion_combinada.csv</t>
        </is>
      </c>
      <c r="U1200" s="2">
        <f>IF(R1200=0,"",F1200/R1200)</f>
        <v/>
      </c>
      <c r="V1200" s="2">
        <f>SUMIFS(F$2:F$1589,A$2:A$1589,A1200,C$2:C$1589,C1200,E$2:E$1589,E1200,Q$2:Q$1589,Q1200)</f>
        <v/>
      </c>
    </row>
    <row r="1201">
      <c r="A1201" s="3" t="inlineStr">
        <is>
          <t>alquiler</t>
        </is>
      </c>
      <c r="B1201" s="3" t="inlineStr">
        <is>
          <t>ccaa:17</t>
        </is>
      </c>
      <c r="C1201" s="3" t="inlineStr">
        <is>
          <t>P3</t>
        </is>
      </c>
      <c r="D1201" s="3" t="inlineStr">
        <is>
          <t>oferta</t>
        </is>
      </c>
      <c r="E1201" s="3" t="inlineStr">
        <is>
          <t>regional_panel</t>
        </is>
      </c>
      <c r="F1201" s="3" t="n">
        <v>0.0199358</v>
      </c>
      <c r="G1201" s="3" t="n"/>
      <c r="H1201" s="3" t="n"/>
      <c r="I1201" s="3" t="n">
        <v>-0.00349202</v>
      </c>
      <c r="J1201" s="3" t="n">
        <v>-0.008281139999999999</v>
      </c>
      <c r="K1201" s="3" t="n">
        <v>0.105491</v>
      </c>
      <c r="L1201" s="3" t="n">
        <v>-0.0352777</v>
      </c>
      <c r="M1201" s="3" t="n">
        <v>0.175786</v>
      </c>
      <c r="N1201" s="3" t="inlineStr">
        <is>
          <t>C4</t>
        </is>
      </c>
      <c r="O1201" s="3" t="inlineStr">
        <is>
          <t>si</t>
        </is>
      </c>
      <c r="P1201" s="3" t="inlineStr">
        <is>
          <t>no_vota</t>
        </is>
      </c>
      <c r="Q1201" s="3" t="inlineStr">
        <is>
          <t>panel_covariables</t>
        </is>
      </c>
      <c r="R1201" s="3" t="n"/>
      <c r="S1201" s="3" t="inlineStr">
        <is>
          <t>contraste regional (R6); no vota</t>
        </is>
      </c>
      <c r="T1201" s="3" t="inlineStr">
        <is>
          <t>output/v8/F5/atribucion_combinada.csv</t>
        </is>
      </c>
      <c r="U1201" s="2">
        <f>IF(R1201=0,"",F1201/R1201)</f>
        <v/>
      </c>
      <c r="V1201" s="2">
        <f>SUMIFS(F$2:F$1589,A$2:A$1589,A1201,C$2:C$1589,C1201,E$2:E$1589,E1201,Q$2:Q$1589,Q1201)</f>
        <v/>
      </c>
    </row>
    <row r="1202">
      <c r="A1202" s="3" t="inlineStr">
        <is>
          <t>alquiler</t>
        </is>
      </c>
      <c r="B1202" s="3" t="inlineStr">
        <is>
          <t>ccaa:17</t>
        </is>
      </c>
      <c r="C1202" s="3" t="inlineStr">
        <is>
          <t>P3</t>
        </is>
      </c>
      <c r="D1202" s="3" t="inlineStr">
        <is>
          <t>demanda_externa</t>
        </is>
      </c>
      <c r="E1202" s="3" t="inlineStr">
        <is>
          <t>regional_panel</t>
        </is>
      </c>
      <c r="F1202" s="3" t="n">
        <v>0.155067</v>
      </c>
      <c r="G1202" s="3" t="n"/>
      <c r="H1202" s="3" t="n"/>
      <c r="I1202" s="3" t="n">
        <v>-0.0271619</v>
      </c>
      <c r="J1202" s="3" t="n">
        <v>0.0506407</v>
      </c>
      <c r="K1202" s="3" t="n">
        <v>0.286246</v>
      </c>
      <c r="L1202" s="3" t="n">
        <v>-0.0371702</v>
      </c>
      <c r="M1202" s="3" t="n">
        <v>0.391552</v>
      </c>
      <c r="N1202" s="3" t="inlineStr">
        <is>
          <t>C4</t>
        </is>
      </c>
      <c r="O1202" s="3" t="inlineStr">
        <is>
          <t>si</t>
        </is>
      </c>
      <c r="P1202" s="3" t="inlineStr">
        <is>
          <t>no_vota</t>
        </is>
      </c>
      <c r="Q1202" s="3" t="inlineStr">
        <is>
          <t>panel_covariables</t>
        </is>
      </c>
      <c r="R1202" s="3" t="n"/>
      <c r="S1202" s="3" t="inlineStr">
        <is>
          <t>contraste regional (R6); no vota</t>
        </is>
      </c>
      <c r="T1202" s="3" t="inlineStr">
        <is>
          <t>output/v8/F5/atribucion_combinada.csv</t>
        </is>
      </c>
      <c r="U1202" s="2">
        <f>IF(R1202=0,"",F1202/R1202)</f>
        <v/>
      </c>
      <c r="V1202" s="2">
        <f>SUMIFS(F$2:F$1589,A$2:A$1589,A1202,C$2:C$1589,C1202,E$2:E$1589,E1202,Q$2:Q$1589,Q1202)</f>
        <v/>
      </c>
    </row>
    <row r="1203">
      <c r="A1203" s="3" t="inlineStr">
        <is>
          <t>alquiler</t>
        </is>
      </c>
      <c r="B1203" s="3" t="inlineStr">
        <is>
          <t>ccaa:17</t>
        </is>
      </c>
      <c r="C1203" s="3" t="inlineStr">
        <is>
          <t>P3</t>
        </is>
      </c>
      <c r="D1203" s="3" t="inlineStr">
        <is>
          <t>residuo</t>
        </is>
      </c>
      <c r="E1203" s="3" t="inlineStr">
        <is>
          <t>regional_panel</t>
        </is>
      </c>
      <c r="F1203" s="3" t="n">
        <v>-4.30802</v>
      </c>
      <c r="G1203" s="3" t="n"/>
      <c r="H1203" s="3" t="n"/>
      <c r="I1203" s="3" t="n">
        <v>0.754605</v>
      </c>
      <c r="J1203" s="3" t="n">
        <v>-4.9095</v>
      </c>
      <c r="K1203" s="3" t="n">
        <v>-3.59357</v>
      </c>
      <c r="L1203" s="3" t="n">
        <v>-5.50679</v>
      </c>
      <c r="M1203" s="3" t="n">
        <v>-3.20044</v>
      </c>
      <c r="N1203" s="3" t="inlineStr">
        <is>
          <t>C4</t>
        </is>
      </c>
      <c r="O1203" s="3" t="inlineStr">
        <is>
          <t>no</t>
        </is>
      </c>
      <c r="P1203" s="3" t="inlineStr">
        <is>
          <t>no_compite</t>
        </is>
      </c>
      <c r="Q1203" s="3" t="inlineStr">
        <is>
          <t>panel_covariables</t>
        </is>
      </c>
      <c r="R1203" s="3" t="n"/>
      <c r="S1203" s="3" t="inlineStr">
        <is>
          <t>contraste regional (R6); no vota</t>
        </is>
      </c>
      <c r="T1203" s="3" t="inlineStr">
        <is>
          <t>output/v8/F5/atribucion_combinada.csv</t>
        </is>
      </c>
      <c r="U1203" s="2">
        <f>IF(R1203=0,"",F1203/R1203)</f>
        <v/>
      </c>
      <c r="V1203" s="2">
        <f>SUMIFS(F$2:F$1589,A$2:A$1589,A1203,C$2:C$1589,C1203,E$2:E$1589,E1203,Q$2:Q$1589,Q1203)</f>
        <v/>
      </c>
    </row>
    <row r="1204">
      <c r="A1204" s="3" t="inlineStr">
        <is>
          <t>alquiler</t>
        </is>
      </c>
      <c r="B1204" s="3" t="inlineStr">
        <is>
          <t>ccaa:01</t>
        </is>
      </c>
      <c r="C1204" s="3" t="inlineStr">
        <is>
          <t>P4</t>
        </is>
      </c>
      <c r="D1204" s="3" t="inlineStr">
        <is>
          <t>factor_comun</t>
        </is>
      </c>
      <c r="E1204" s="3" t="inlineStr">
        <is>
          <t>regional_panel</t>
        </is>
      </c>
      <c r="F1204" s="3" t="n">
        <v>-4.82785</v>
      </c>
      <c r="G1204" s="3" t="n"/>
      <c r="H1204" s="3" t="n"/>
      <c r="I1204" s="3" t="n">
        <v>1.00535</v>
      </c>
      <c r="J1204" s="3" t="n">
        <v>-8.01083</v>
      </c>
      <c r="K1204" s="3" t="n">
        <v>-1.73403</v>
      </c>
      <c r="L1204" s="3" t="n">
        <v>-10.2878</v>
      </c>
      <c r="M1204" s="3" t="n">
        <v>-0.0997739</v>
      </c>
      <c r="N1204" s="3" t="inlineStr">
        <is>
          <t>C4</t>
        </is>
      </c>
      <c r="O1204" s="3" t="inlineStr">
        <is>
          <t>no</t>
        </is>
      </c>
      <c r="P1204" s="3" t="inlineStr">
        <is>
          <t>no_compite</t>
        </is>
      </c>
      <c r="Q1204" s="3" t="inlineStr">
        <is>
          <t>panel_covariables</t>
        </is>
      </c>
      <c r="R1204" s="3" t="n"/>
      <c r="S1204" s="3" t="inlineStr">
        <is>
          <t>contraste regional (R6); no vota</t>
        </is>
      </c>
      <c r="T1204" s="3" t="inlineStr">
        <is>
          <t>output/v8/F5/atribucion_combinada.csv</t>
        </is>
      </c>
      <c r="U1204" s="2">
        <f>IF(R1204=0,"",F1204/R1204)</f>
        <v/>
      </c>
      <c r="V1204" s="2">
        <f>SUMIFS(F$2:F$1589,A$2:A$1589,A1204,C$2:C$1589,C1204,E$2:E$1589,E1204,Q$2:Q$1589,Q1204)</f>
        <v/>
      </c>
    </row>
    <row r="1205">
      <c r="A1205" s="3" t="inlineStr">
        <is>
          <t>alquiler</t>
        </is>
      </c>
      <c r="B1205" s="3" t="inlineStr">
        <is>
          <t>ccaa:01</t>
        </is>
      </c>
      <c r="C1205" s="3" t="inlineStr">
        <is>
          <t>P4</t>
        </is>
      </c>
      <c r="D1205" s="3" t="inlineStr">
        <is>
          <t>empleo_renta</t>
        </is>
      </c>
      <c r="E1205" s="3" t="inlineStr">
        <is>
          <t>regional_panel</t>
        </is>
      </c>
      <c r="F1205" s="3" t="n">
        <v>0.0395733</v>
      </c>
      <c r="G1205" s="3" t="n"/>
      <c r="H1205" s="3" t="n"/>
      <c r="I1205" s="3" t="n">
        <v>-0.00824076</v>
      </c>
      <c r="J1205" s="3" t="n">
        <v>-0.0497992</v>
      </c>
      <c r="K1205" s="3" t="n">
        <v>0.0634463</v>
      </c>
      <c r="L1205" s="3" t="n">
        <v>-0.107505</v>
      </c>
      <c r="M1205" s="3" t="n">
        <v>0.124123</v>
      </c>
      <c r="N1205" s="3" t="inlineStr">
        <is>
          <t>C4</t>
        </is>
      </c>
      <c r="O1205" s="3" t="inlineStr">
        <is>
          <t>si</t>
        </is>
      </c>
      <c r="P1205" s="3" t="inlineStr">
        <is>
          <t>no_vota</t>
        </is>
      </c>
      <c r="Q1205" s="3" t="inlineStr">
        <is>
          <t>panel_covariables</t>
        </is>
      </c>
      <c r="R1205" s="3" t="n"/>
      <c r="S1205" s="3" t="inlineStr">
        <is>
          <t>contraste regional (R6); no vota</t>
        </is>
      </c>
      <c r="T1205" s="3" t="inlineStr">
        <is>
          <t>output/v8/F5/atribucion_combinada.csv</t>
        </is>
      </c>
      <c r="U1205" s="2">
        <f>IF(R1205=0,"",F1205/R1205)</f>
        <v/>
      </c>
      <c r="V1205" s="2">
        <f>SUMIFS(F$2:F$1589,A$2:A$1589,A1205,C$2:C$1589,C1205,E$2:E$1589,E1205,Q$2:Q$1589,Q1205)</f>
        <v/>
      </c>
    </row>
    <row r="1206">
      <c r="A1206" s="3" t="inlineStr">
        <is>
          <t>alquiler</t>
        </is>
      </c>
      <c r="B1206" s="3" t="inlineStr">
        <is>
          <t>ccaa:01</t>
        </is>
      </c>
      <c r="C1206" s="3" t="inlineStr">
        <is>
          <t>P4</t>
        </is>
      </c>
      <c r="D1206" s="3" t="inlineStr">
        <is>
          <t>demografia</t>
        </is>
      </c>
      <c r="E1206" s="3" t="inlineStr">
        <is>
          <t>regional_panel</t>
        </is>
      </c>
      <c r="F1206" s="3" t="n">
        <v>0.35277</v>
      </c>
      <c r="G1206" s="3" t="n"/>
      <c r="H1206" s="3" t="n"/>
      <c r="I1206" s="3" t="n">
        <v>-0.0734611</v>
      </c>
      <c r="J1206" s="3" t="n">
        <v>0.222016</v>
      </c>
      <c r="K1206" s="3" t="n">
        <v>0.486372</v>
      </c>
      <c r="L1206" s="3" t="n">
        <v>0.129746</v>
      </c>
      <c r="M1206" s="3" t="n">
        <v>0.739495</v>
      </c>
      <c r="N1206" s="3" t="inlineStr">
        <is>
          <t>C4</t>
        </is>
      </c>
      <c r="O1206" s="3" t="inlineStr">
        <is>
          <t>si</t>
        </is>
      </c>
      <c r="P1206" s="3" t="inlineStr">
        <is>
          <t>no_vota</t>
        </is>
      </c>
      <c r="Q1206" s="3" t="inlineStr">
        <is>
          <t>panel_covariables</t>
        </is>
      </c>
      <c r="R1206" s="3" t="n"/>
      <c r="S1206" s="3" t="inlineStr">
        <is>
          <t>contraste regional (R6); no vota</t>
        </is>
      </c>
      <c r="T1206" s="3" t="inlineStr">
        <is>
          <t>output/v8/F5/atribucion_combinada.csv</t>
        </is>
      </c>
      <c r="U1206" s="2">
        <f>IF(R1206=0,"",F1206/R1206)</f>
        <v/>
      </c>
      <c r="V1206" s="2">
        <f>SUMIFS(F$2:F$1589,A$2:A$1589,A1206,C$2:C$1589,C1206,E$2:E$1589,E1206,Q$2:Q$1589,Q1206)</f>
        <v/>
      </c>
    </row>
    <row r="1207">
      <c r="A1207" s="3" t="inlineStr">
        <is>
          <t>alquiler</t>
        </is>
      </c>
      <c r="B1207" s="3" t="inlineStr">
        <is>
          <t>ccaa:01</t>
        </is>
      </c>
      <c r="C1207" s="3" t="inlineStr">
        <is>
          <t>P4</t>
        </is>
      </c>
      <c r="D1207" s="3" t="inlineStr">
        <is>
          <t>oferta</t>
        </is>
      </c>
      <c r="E1207" s="3" t="inlineStr">
        <is>
          <t>regional_panel</t>
        </is>
      </c>
      <c r="F1207" s="3" t="n">
        <v>0.00203751</v>
      </c>
      <c r="G1207" s="3" t="n"/>
      <c r="H1207" s="3" t="n"/>
      <c r="I1207" s="3" t="n">
        <v>-0.000424292</v>
      </c>
      <c r="J1207" s="3" t="n">
        <v>-0.0155916</v>
      </c>
      <c r="K1207" s="3" t="n">
        <v>0.035273</v>
      </c>
      <c r="L1207" s="3" t="n">
        <v>-0.0304635</v>
      </c>
      <c r="M1207" s="3" t="n">
        <v>0.0720971</v>
      </c>
      <c r="N1207" s="3" t="inlineStr">
        <is>
          <t>C4</t>
        </is>
      </c>
      <c r="O1207" s="3" t="inlineStr">
        <is>
          <t>si</t>
        </is>
      </c>
      <c r="P1207" s="3" t="inlineStr">
        <is>
          <t>no_vota</t>
        </is>
      </c>
      <c r="Q1207" s="3" t="inlineStr">
        <is>
          <t>panel_covariables</t>
        </is>
      </c>
      <c r="R1207" s="3" t="n"/>
      <c r="S1207" s="3" t="inlineStr">
        <is>
          <t>contraste regional (R6); no vota</t>
        </is>
      </c>
      <c r="T1207" s="3" t="inlineStr">
        <is>
          <t>output/v8/F5/atribucion_combinada.csv</t>
        </is>
      </c>
      <c r="U1207" s="2">
        <f>IF(R1207=0,"",F1207/R1207)</f>
        <v/>
      </c>
      <c r="V1207" s="2">
        <f>SUMIFS(F$2:F$1589,A$2:A$1589,A1207,C$2:C$1589,C1207,E$2:E$1589,E1207,Q$2:Q$1589,Q1207)</f>
        <v/>
      </c>
    </row>
    <row r="1208">
      <c r="A1208" s="3" t="inlineStr">
        <is>
          <t>alquiler</t>
        </is>
      </c>
      <c r="B1208" s="3" t="inlineStr">
        <is>
          <t>ccaa:01</t>
        </is>
      </c>
      <c r="C1208" s="3" t="inlineStr">
        <is>
          <t>P4</t>
        </is>
      </c>
      <c r="D1208" s="3" t="inlineStr">
        <is>
          <t>demanda_externa</t>
        </is>
      </c>
      <c r="E1208" s="3" t="inlineStr">
        <is>
          <t>regional_panel</t>
        </is>
      </c>
      <c r="F1208" s="3" t="n">
        <v>0.00895513</v>
      </c>
      <c r="G1208" s="3" t="n"/>
      <c r="H1208" s="3" t="n"/>
      <c r="I1208" s="3" t="n">
        <v>-0.00186482</v>
      </c>
      <c r="J1208" s="3" t="n">
        <v>-0.0420864</v>
      </c>
      <c r="K1208" s="3" t="n">
        <v>0.0270526</v>
      </c>
      <c r="L1208" s="3" t="n">
        <v>-0.107171</v>
      </c>
      <c r="M1208" s="3" t="n">
        <v>0.06396930000000001</v>
      </c>
      <c r="N1208" s="3" t="inlineStr">
        <is>
          <t>C4</t>
        </is>
      </c>
      <c r="O1208" s="3" t="inlineStr">
        <is>
          <t>si</t>
        </is>
      </c>
      <c r="P1208" s="3" t="inlineStr">
        <is>
          <t>no_vota</t>
        </is>
      </c>
      <c r="Q1208" s="3" t="inlineStr">
        <is>
          <t>panel_covariables</t>
        </is>
      </c>
      <c r="R1208" s="3" t="n"/>
      <c r="S1208" s="3" t="inlineStr">
        <is>
          <t>contraste regional (R6); no vota</t>
        </is>
      </c>
      <c r="T1208" s="3" t="inlineStr">
        <is>
          <t>output/v8/F5/atribucion_combinada.csv</t>
        </is>
      </c>
      <c r="U1208" s="2">
        <f>IF(R1208=0,"",F1208/R1208)</f>
        <v/>
      </c>
      <c r="V1208" s="2">
        <f>SUMIFS(F$2:F$1589,A$2:A$1589,A1208,C$2:C$1589,C1208,E$2:E$1589,E1208,Q$2:Q$1589,Q1208)</f>
        <v/>
      </c>
    </row>
    <row r="1209">
      <c r="A1209" s="3" t="inlineStr">
        <is>
          <t>alquiler</t>
        </is>
      </c>
      <c r="B1209" s="3" t="inlineStr">
        <is>
          <t>ccaa:01</t>
        </is>
      </c>
      <c r="C1209" s="3" t="inlineStr">
        <is>
          <t>P4</t>
        </is>
      </c>
      <c r="D1209" s="3" t="inlineStr">
        <is>
          <t>residuo</t>
        </is>
      </c>
      <c r="E1209" s="3" t="inlineStr">
        <is>
          <t>regional_panel</t>
        </is>
      </c>
      <c r="F1209" s="3" t="n">
        <v>-0.377629</v>
      </c>
      <c r="G1209" s="3" t="n"/>
      <c r="H1209" s="3" t="n"/>
      <c r="I1209" s="3" t="n">
        <v>0.0786376</v>
      </c>
      <c r="J1209" s="3" t="n">
        <v>-0.71118</v>
      </c>
      <c r="K1209" s="3" t="n">
        <v>-0.0940054</v>
      </c>
      <c r="L1209" s="3" t="n">
        <v>-1.08323</v>
      </c>
      <c r="M1209" s="3" t="n">
        <v>0.0947745</v>
      </c>
      <c r="N1209" s="3" t="inlineStr">
        <is>
          <t>C4</t>
        </is>
      </c>
      <c r="O1209" s="3" t="inlineStr">
        <is>
          <t>no</t>
        </is>
      </c>
      <c r="P1209" s="3" t="inlineStr">
        <is>
          <t>no_compite</t>
        </is>
      </c>
      <c r="Q1209" s="3" t="inlineStr">
        <is>
          <t>panel_covariables</t>
        </is>
      </c>
      <c r="R1209" s="3" t="n"/>
      <c r="S1209" s="3" t="inlineStr">
        <is>
          <t>contraste regional (R6); no vota</t>
        </is>
      </c>
      <c r="T1209" s="3" t="inlineStr">
        <is>
          <t>output/v8/F5/atribucion_combinada.csv</t>
        </is>
      </c>
      <c r="U1209" s="2">
        <f>IF(R1209=0,"",F1209/R1209)</f>
        <v/>
      </c>
      <c r="V1209" s="2">
        <f>SUMIFS(F$2:F$1589,A$2:A$1589,A1209,C$2:C$1589,C1209,E$2:E$1589,E1209,Q$2:Q$1589,Q1209)</f>
        <v/>
      </c>
    </row>
    <row r="1210">
      <c r="A1210" s="3" t="inlineStr">
        <is>
          <t>alquiler</t>
        </is>
      </c>
      <c r="B1210" s="3" t="inlineStr">
        <is>
          <t>ccaa:02</t>
        </is>
      </c>
      <c r="C1210" s="3" t="inlineStr">
        <is>
          <t>P4</t>
        </is>
      </c>
      <c r="D1210" s="3" t="inlineStr">
        <is>
          <t>factor_comun</t>
        </is>
      </c>
      <c r="E1210" s="3" t="inlineStr">
        <is>
          <t>regional_panel</t>
        </is>
      </c>
      <c r="F1210" s="3" t="n">
        <v>-4.82785</v>
      </c>
      <c r="G1210" s="3" t="n"/>
      <c r="H1210" s="3" t="n"/>
      <c r="I1210" s="3" t="n">
        <v>1.02994</v>
      </c>
      <c r="J1210" s="3" t="n">
        <v>-8.01083</v>
      </c>
      <c r="K1210" s="3" t="n">
        <v>-1.73403</v>
      </c>
      <c r="L1210" s="3" t="n">
        <v>-10.2878</v>
      </c>
      <c r="M1210" s="3" t="n">
        <v>-0.0997739</v>
      </c>
      <c r="N1210" s="3" t="inlineStr">
        <is>
          <t>C4</t>
        </is>
      </c>
      <c r="O1210" s="3" t="inlineStr">
        <is>
          <t>no</t>
        </is>
      </c>
      <c r="P1210" s="3" t="inlineStr">
        <is>
          <t>no_compite</t>
        </is>
      </c>
      <c r="Q1210" s="3" t="inlineStr">
        <is>
          <t>panel_covariables</t>
        </is>
      </c>
      <c r="R1210" s="3" t="n"/>
      <c r="S1210" s="3" t="inlineStr">
        <is>
          <t>contraste regional (R6); no vota</t>
        </is>
      </c>
      <c r="T1210" s="3" t="inlineStr">
        <is>
          <t>output/v8/F5/atribucion_combinada.csv</t>
        </is>
      </c>
      <c r="U1210" s="2">
        <f>IF(R1210=0,"",F1210/R1210)</f>
        <v/>
      </c>
      <c r="V1210" s="2">
        <f>SUMIFS(F$2:F$1589,A$2:A$1589,A1210,C$2:C$1589,C1210,E$2:E$1589,E1210,Q$2:Q$1589,Q1210)</f>
        <v/>
      </c>
    </row>
    <row r="1211">
      <c r="A1211" s="3" t="inlineStr">
        <is>
          <t>alquiler</t>
        </is>
      </c>
      <c r="B1211" s="3" t="inlineStr">
        <is>
          <t>ccaa:02</t>
        </is>
      </c>
      <c r="C1211" s="3" t="inlineStr">
        <is>
          <t>P4</t>
        </is>
      </c>
      <c r="D1211" s="3" t="inlineStr">
        <is>
          <t>empleo_renta</t>
        </is>
      </c>
      <c r="E1211" s="3" t="inlineStr">
        <is>
          <t>regional_panel</t>
        </is>
      </c>
      <c r="F1211" s="3" t="n">
        <v>0.0233518</v>
      </c>
      <c r="G1211" s="3" t="n"/>
      <c r="H1211" s="3" t="n"/>
      <c r="I1211" s="3" t="n">
        <v>-0.0049817</v>
      </c>
      <c r="J1211" s="3" t="n">
        <v>-0.0685017</v>
      </c>
      <c r="K1211" s="3" t="n">
        <v>0.0400601</v>
      </c>
      <c r="L1211" s="3" t="n">
        <v>-0.158786</v>
      </c>
      <c r="M1211" s="3" t="n">
        <v>0.0594551</v>
      </c>
      <c r="N1211" s="3" t="inlineStr">
        <is>
          <t>C4</t>
        </is>
      </c>
      <c r="O1211" s="3" t="inlineStr">
        <is>
          <t>si</t>
        </is>
      </c>
      <c r="P1211" s="3" t="inlineStr">
        <is>
          <t>no_vota</t>
        </is>
      </c>
      <c r="Q1211" s="3" t="inlineStr">
        <is>
          <t>panel_covariables</t>
        </is>
      </c>
      <c r="R1211" s="3" t="n"/>
      <c r="S1211" s="3" t="inlineStr">
        <is>
          <t>contraste regional (R6); no vota</t>
        </is>
      </c>
      <c r="T1211" s="3" t="inlineStr">
        <is>
          <t>output/v8/F5/atribucion_combinada.csv</t>
        </is>
      </c>
      <c r="U1211" s="2">
        <f>IF(R1211=0,"",F1211/R1211)</f>
        <v/>
      </c>
      <c r="V1211" s="2">
        <f>SUMIFS(F$2:F$1589,A$2:A$1589,A1211,C$2:C$1589,C1211,E$2:E$1589,E1211,Q$2:Q$1589,Q1211)</f>
        <v/>
      </c>
    </row>
    <row r="1212">
      <c r="A1212" s="3" t="inlineStr">
        <is>
          <t>alquiler</t>
        </is>
      </c>
      <c r="B1212" s="3" t="inlineStr">
        <is>
          <t>ccaa:02</t>
        </is>
      </c>
      <c r="C1212" s="3" t="inlineStr">
        <is>
          <t>P4</t>
        </is>
      </c>
      <c r="D1212" s="3" t="inlineStr">
        <is>
          <t>demografia</t>
        </is>
      </c>
      <c r="E1212" s="3" t="inlineStr">
        <is>
          <t>regional_panel</t>
        </is>
      </c>
      <c r="F1212" s="3" t="n">
        <v>0.22794</v>
      </c>
      <c r="G1212" s="3" t="n"/>
      <c r="H1212" s="3" t="n"/>
      <c r="I1212" s="3" t="n">
        <v>-0.0486271</v>
      </c>
      <c r="J1212" s="3" t="n">
        <v>0.08177130000000001</v>
      </c>
      <c r="K1212" s="3" t="n">
        <v>0.451973</v>
      </c>
      <c r="L1212" s="3" t="n">
        <v>0.00605319</v>
      </c>
      <c r="M1212" s="3" t="n">
        <v>0.907486</v>
      </c>
      <c r="N1212" s="3" t="inlineStr">
        <is>
          <t>C4</t>
        </is>
      </c>
      <c r="O1212" s="3" t="inlineStr">
        <is>
          <t>si</t>
        </is>
      </c>
      <c r="P1212" s="3" t="inlineStr">
        <is>
          <t>no_vota</t>
        </is>
      </c>
      <c r="Q1212" s="3" t="inlineStr">
        <is>
          <t>panel_covariables</t>
        </is>
      </c>
      <c r="R1212" s="3" t="n"/>
      <c r="S1212" s="3" t="inlineStr">
        <is>
          <t>contraste regional (R6); no vota</t>
        </is>
      </c>
      <c r="T1212" s="3" t="inlineStr">
        <is>
          <t>output/v8/F5/atribucion_combinada.csv</t>
        </is>
      </c>
      <c r="U1212" s="2">
        <f>IF(R1212=0,"",F1212/R1212)</f>
        <v/>
      </c>
      <c r="V1212" s="2">
        <f>SUMIFS(F$2:F$1589,A$2:A$1589,A1212,C$2:C$1589,C1212,E$2:E$1589,E1212,Q$2:Q$1589,Q1212)</f>
        <v/>
      </c>
    </row>
    <row r="1213">
      <c r="A1213" s="3" t="inlineStr">
        <is>
          <t>alquiler</t>
        </is>
      </c>
      <c r="B1213" s="3" t="inlineStr">
        <is>
          <t>ccaa:02</t>
        </is>
      </c>
      <c r="C1213" s="3" t="inlineStr">
        <is>
          <t>P4</t>
        </is>
      </c>
      <c r="D1213" s="3" t="inlineStr">
        <is>
          <t>oferta</t>
        </is>
      </c>
      <c r="E1213" s="3" t="inlineStr">
        <is>
          <t>regional_panel</t>
        </is>
      </c>
      <c r="F1213" s="3" t="n">
        <v>-0.00184116</v>
      </c>
      <c r="G1213" s="3" t="n"/>
      <c r="H1213" s="3" t="n"/>
      <c r="I1213" s="3" t="n">
        <v>0.000392779</v>
      </c>
      <c r="J1213" s="3" t="n">
        <v>-0.0158086</v>
      </c>
      <c r="K1213" s="3" t="n">
        <v>0.0122654</v>
      </c>
      <c r="L1213" s="3" t="n">
        <v>-0.0310556</v>
      </c>
      <c r="M1213" s="3" t="n">
        <v>0.0483435</v>
      </c>
      <c r="N1213" s="3" t="inlineStr">
        <is>
          <t>C4</t>
        </is>
      </c>
      <c r="O1213" s="3" t="inlineStr">
        <is>
          <t>si</t>
        </is>
      </c>
      <c r="P1213" s="3" t="inlineStr">
        <is>
          <t>no_vota</t>
        </is>
      </c>
      <c r="Q1213" s="3" t="inlineStr">
        <is>
          <t>panel_covariables</t>
        </is>
      </c>
      <c r="R1213" s="3" t="n"/>
      <c r="S1213" s="3" t="inlineStr">
        <is>
          <t>contraste regional (R6); no vota</t>
        </is>
      </c>
      <c r="T1213" s="3" t="inlineStr">
        <is>
          <t>output/v8/F5/atribucion_combinada.csv</t>
        </is>
      </c>
      <c r="U1213" s="2">
        <f>IF(R1213=0,"",F1213/R1213)</f>
        <v/>
      </c>
      <c r="V1213" s="2">
        <f>SUMIFS(F$2:F$1589,A$2:A$1589,A1213,C$2:C$1589,C1213,E$2:E$1589,E1213,Q$2:Q$1589,Q1213)</f>
        <v/>
      </c>
    </row>
    <row r="1214">
      <c r="A1214" s="3" t="inlineStr">
        <is>
          <t>alquiler</t>
        </is>
      </c>
      <c r="B1214" s="3" t="inlineStr">
        <is>
          <t>ccaa:02</t>
        </is>
      </c>
      <c r="C1214" s="3" t="inlineStr">
        <is>
          <t>P4</t>
        </is>
      </c>
      <c r="D1214" s="3" t="inlineStr">
        <is>
          <t>demanda_externa</t>
        </is>
      </c>
      <c r="E1214" s="3" t="inlineStr">
        <is>
          <t>regional_panel</t>
        </is>
      </c>
      <c r="F1214" s="3" t="n">
        <v>0.00771963</v>
      </c>
      <c r="G1214" s="3" t="n"/>
      <c r="H1214" s="3" t="n"/>
      <c r="I1214" s="3" t="n">
        <v>-0.00164685</v>
      </c>
      <c r="J1214" s="3" t="n">
        <v>-0.0373116</v>
      </c>
      <c r="K1214" s="3" t="n">
        <v>0.0210506</v>
      </c>
      <c r="L1214" s="3" t="n">
        <v>-0.08736140000000001</v>
      </c>
      <c r="M1214" s="3" t="n">
        <v>0.0442584</v>
      </c>
      <c r="N1214" s="3" t="inlineStr">
        <is>
          <t>C4</t>
        </is>
      </c>
      <c r="O1214" s="3" t="inlineStr">
        <is>
          <t>si</t>
        </is>
      </c>
      <c r="P1214" s="3" t="inlineStr">
        <is>
          <t>no_vota</t>
        </is>
      </c>
      <c r="Q1214" s="3" t="inlineStr">
        <is>
          <t>panel_covariables</t>
        </is>
      </c>
      <c r="R1214" s="3" t="n"/>
      <c r="S1214" s="3" t="inlineStr">
        <is>
          <t>contraste regional (R6); no vota</t>
        </is>
      </c>
      <c r="T1214" s="3" t="inlineStr">
        <is>
          <t>output/v8/F5/atribucion_combinada.csv</t>
        </is>
      </c>
      <c r="U1214" s="2">
        <f>IF(R1214=0,"",F1214/R1214)</f>
        <v/>
      </c>
      <c r="V1214" s="2">
        <f>SUMIFS(F$2:F$1589,A$2:A$1589,A1214,C$2:C$1589,C1214,E$2:E$1589,E1214,Q$2:Q$1589,Q1214)</f>
        <v/>
      </c>
    </row>
    <row r="1215">
      <c r="A1215" s="3" t="inlineStr">
        <is>
          <t>alquiler</t>
        </is>
      </c>
      <c r="B1215" s="3" t="inlineStr">
        <is>
          <t>ccaa:02</t>
        </is>
      </c>
      <c r="C1215" s="3" t="inlineStr">
        <is>
          <t>P4</t>
        </is>
      </c>
      <c r="D1215" s="3" t="inlineStr">
        <is>
          <t>residuo</t>
        </is>
      </c>
      <c r="E1215" s="3" t="inlineStr">
        <is>
          <t>regional_panel</t>
        </is>
      </c>
      <c r="F1215" s="3" t="n">
        <v>-0.116833</v>
      </c>
      <c r="G1215" s="3" t="n"/>
      <c r="H1215" s="3" t="n"/>
      <c r="I1215" s="3" t="n">
        <v>0.0249242</v>
      </c>
      <c r="J1215" s="3" t="n">
        <v>-0.472235</v>
      </c>
      <c r="K1215" s="3" t="n">
        <v>0.237701</v>
      </c>
      <c r="L1215" s="3" t="n">
        <v>-1.08645</v>
      </c>
      <c r="M1215" s="3" t="n">
        <v>0.397426</v>
      </c>
      <c r="N1215" s="3" t="inlineStr">
        <is>
          <t>C4</t>
        </is>
      </c>
      <c r="O1215" s="3" t="inlineStr">
        <is>
          <t>no</t>
        </is>
      </c>
      <c r="P1215" s="3" t="inlineStr">
        <is>
          <t>no_compite</t>
        </is>
      </c>
      <c r="Q1215" s="3" t="inlineStr">
        <is>
          <t>panel_covariables</t>
        </is>
      </c>
      <c r="R1215" s="3" t="n"/>
      <c r="S1215" s="3" t="inlineStr">
        <is>
          <t>contraste regional (R6); no vota</t>
        </is>
      </c>
      <c r="T1215" s="3" t="inlineStr">
        <is>
          <t>output/v8/F5/atribucion_combinada.csv</t>
        </is>
      </c>
      <c r="U1215" s="2">
        <f>IF(R1215=0,"",F1215/R1215)</f>
        <v/>
      </c>
      <c r="V1215" s="2">
        <f>SUMIFS(F$2:F$1589,A$2:A$1589,A1215,C$2:C$1589,C1215,E$2:E$1589,E1215,Q$2:Q$1589,Q1215)</f>
        <v/>
      </c>
    </row>
    <row r="1216">
      <c r="A1216" s="3" t="inlineStr">
        <is>
          <t>alquiler</t>
        </is>
      </c>
      <c r="B1216" s="3" t="inlineStr">
        <is>
          <t>ccaa:03</t>
        </is>
      </c>
      <c r="C1216" s="3" t="inlineStr">
        <is>
          <t>P4</t>
        </is>
      </c>
      <c r="D1216" s="3" t="inlineStr">
        <is>
          <t>factor_comun</t>
        </is>
      </c>
      <c r="E1216" s="3" t="inlineStr">
        <is>
          <t>regional_panel</t>
        </is>
      </c>
      <c r="F1216" s="3" t="n">
        <v>-4.82785</v>
      </c>
      <c r="G1216" s="3" t="n"/>
      <c r="H1216" s="3" t="n"/>
      <c r="I1216" s="3" t="n">
        <v>0.919972</v>
      </c>
      <c r="J1216" s="3" t="n">
        <v>-8.01083</v>
      </c>
      <c r="K1216" s="3" t="n">
        <v>-1.73403</v>
      </c>
      <c r="L1216" s="3" t="n">
        <v>-10.2878</v>
      </c>
      <c r="M1216" s="3" t="n">
        <v>-0.0997739</v>
      </c>
      <c r="N1216" s="3" t="inlineStr">
        <is>
          <t>C4</t>
        </is>
      </c>
      <c r="O1216" s="3" t="inlineStr">
        <is>
          <t>no</t>
        </is>
      </c>
      <c r="P1216" s="3" t="inlineStr">
        <is>
          <t>no_compite</t>
        </is>
      </c>
      <c r="Q1216" s="3" t="inlineStr">
        <is>
          <t>panel_covariables</t>
        </is>
      </c>
      <c r="R1216" s="3" t="n"/>
      <c r="S1216" s="3" t="inlineStr">
        <is>
          <t>contraste regional (R6); no vota</t>
        </is>
      </c>
      <c r="T1216" s="3" t="inlineStr">
        <is>
          <t>output/v8/F5/atribucion_combinada.csv</t>
        </is>
      </c>
      <c r="U1216" s="2">
        <f>IF(R1216=0,"",F1216/R1216)</f>
        <v/>
      </c>
      <c r="V1216" s="2">
        <f>SUMIFS(F$2:F$1589,A$2:A$1589,A1216,C$2:C$1589,C1216,E$2:E$1589,E1216,Q$2:Q$1589,Q1216)</f>
        <v/>
      </c>
    </row>
    <row r="1217">
      <c r="A1217" s="3" t="inlineStr">
        <is>
          <t>alquiler</t>
        </is>
      </c>
      <c r="B1217" s="3" t="inlineStr">
        <is>
          <t>ccaa:03</t>
        </is>
      </c>
      <c r="C1217" s="3" t="inlineStr">
        <is>
          <t>P4</t>
        </is>
      </c>
      <c r="D1217" s="3" t="inlineStr">
        <is>
          <t>empleo_renta</t>
        </is>
      </c>
      <c r="E1217" s="3" t="inlineStr">
        <is>
          <t>regional_panel</t>
        </is>
      </c>
      <c r="F1217" s="3" t="n">
        <v>0.0236927</v>
      </c>
      <c r="G1217" s="3" t="n"/>
      <c r="H1217" s="3" t="n"/>
      <c r="I1217" s="3" t="n">
        <v>-0.00451478</v>
      </c>
      <c r="J1217" s="3" t="n">
        <v>-0.07084020000000001</v>
      </c>
      <c r="K1217" s="3" t="n">
        <v>0.0565395</v>
      </c>
      <c r="L1217" s="3" t="n">
        <v>-0.156888</v>
      </c>
      <c r="M1217" s="3" t="n">
        <v>0.0796922</v>
      </c>
      <c r="N1217" s="3" t="inlineStr">
        <is>
          <t>C4</t>
        </is>
      </c>
      <c r="O1217" s="3" t="inlineStr">
        <is>
          <t>si</t>
        </is>
      </c>
      <c r="P1217" s="3" t="inlineStr">
        <is>
          <t>no_vota</t>
        </is>
      </c>
      <c r="Q1217" s="3" t="inlineStr">
        <is>
          <t>panel_covariables</t>
        </is>
      </c>
      <c r="R1217" s="3" t="n"/>
      <c r="S1217" s="3" t="inlineStr">
        <is>
          <t>contraste regional (R6); no vota</t>
        </is>
      </c>
      <c r="T1217" s="3" t="inlineStr">
        <is>
          <t>output/v8/F5/atribucion_combinada.csv</t>
        </is>
      </c>
      <c r="U1217" s="2">
        <f>IF(R1217=0,"",F1217/R1217)</f>
        <v/>
      </c>
      <c r="V1217" s="2">
        <f>SUMIFS(F$2:F$1589,A$2:A$1589,A1217,C$2:C$1589,C1217,E$2:E$1589,E1217,Q$2:Q$1589,Q1217)</f>
        <v/>
      </c>
    </row>
    <row r="1218">
      <c r="A1218" s="3" t="inlineStr">
        <is>
          <t>alquiler</t>
        </is>
      </c>
      <c r="B1218" s="3" t="inlineStr">
        <is>
          <t>ccaa:03</t>
        </is>
      </c>
      <c r="C1218" s="3" t="inlineStr">
        <is>
          <t>P4</t>
        </is>
      </c>
      <c r="D1218" s="3" t="inlineStr">
        <is>
          <t>demografia</t>
        </is>
      </c>
      <c r="E1218" s="3" t="inlineStr">
        <is>
          <t>regional_panel</t>
        </is>
      </c>
      <c r="F1218" s="3" t="n">
        <v>0.515747</v>
      </c>
      <c r="G1218" s="3" t="n"/>
      <c r="H1218" s="3" t="n"/>
      <c r="I1218" s="3" t="n">
        <v>-0.0982785</v>
      </c>
      <c r="J1218" s="3" t="n">
        <v>-0.217233</v>
      </c>
      <c r="K1218" s="3" t="n">
        <v>1.73846</v>
      </c>
      <c r="L1218" s="3" t="n">
        <v>-0.4948</v>
      </c>
      <c r="M1218" s="3" t="n">
        <v>3.82593</v>
      </c>
      <c r="N1218" s="3" t="inlineStr">
        <is>
          <t>C4</t>
        </is>
      </c>
      <c r="O1218" s="3" t="inlineStr">
        <is>
          <t>si</t>
        </is>
      </c>
      <c r="P1218" s="3" t="inlineStr">
        <is>
          <t>no_vota</t>
        </is>
      </c>
      <c r="Q1218" s="3" t="inlineStr">
        <is>
          <t>panel_covariables</t>
        </is>
      </c>
      <c r="R1218" s="3" t="n"/>
      <c r="S1218" s="3" t="inlineStr">
        <is>
          <t>contraste regional (R6); no vota</t>
        </is>
      </c>
      <c r="T1218" s="3" t="inlineStr">
        <is>
          <t>output/v8/F5/atribucion_combinada.csv</t>
        </is>
      </c>
      <c r="U1218" s="2">
        <f>IF(R1218=0,"",F1218/R1218)</f>
        <v/>
      </c>
      <c r="V1218" s="2">
        <f>SUMIFS(F$2:F$1589,A$2:A$1589,A1218,C$2:C$1589,C1218,E$2:E$1589,E1218,Q$2:Q$1589,Q1218)</f>
        <v/>
      </c>
    </row>
    <row r="1219">
      <c r="A1219" s="3" t="inlineStr">
        <is>
          <t>alquiler</t>
        </is>
      </c>
      <c r="B1219" s="3" t="inlineStr">
        <is>
          <t>ccaa:03</t>
        </is>
      </c>
      <c r="C1219" s="3" t="inlineStr">
        <is>
          <t>P4</t>
        </is>
      </c>
      <c r="D1219" s="3" t="inlineStr">
        <is>
          <t>oferta</t>
        </is>
      </c>
      <c r="E1219" s="3" t="inlineStr">
        <is>
          <t>regional_panel</t>
        </is>
      </c>
      <c r="F1219" s="3" t="n">
        <v>0.00567333</v>
      </c>
      <c r="G1219" s="3" t="n"/>
      <c r="H1219" s="3" t="n"/>
      <c r="I1219" s="3" t="n">
        <v>-0.00108108</v>
      </c>
      <c r="J1219" s="3" t="n">
        <v>-0.0272095</v>
      </c>
      <c r="K1219" s="3" t="n">
        <v>0.0330779</v>
      </c>
      <c r="L1219" s="3" t="n">
        <v>-0.0657286</v>
      </c>
      <c r="M1219" s="3" t="n">
        <v>0.08423360000000001</v>
      </c>
      <c r="N1219" s="3" t="inlineStr">
        <is>
          <t>C4</t>
        </is>
      </c>
      <c r="O1219" s="3" t="inlineStr">
        <is>
          <t>si</t>
        </is>
      </c>
      <c r="P1219" s="3" t="inlineStr">
        <is>
          <t>no_vota</t>
        </is>
      </c>
      <c r="Q1219" s="3" t="inlineStr">
        <is>
          <t>panel_covariables</t>
        </is>
      </c>
      <c r="R1219" s="3" t="n"/>
      <c r="S1219" s="3" t="inlineStr">
        <is>
          <t>contraste regional (R6); no vota</t>
        </is>
      </c>
      <c r="T1219" s="3" t="inlineStr">
        <is>
          <t>output/v8/F5/atribucion_combinada.csv</t>
        </is>
      </c>
      <c r="U1219" s="2">
        <f>IF(R1219=0,"",F1219/R1219)</f>
        <v/>
      </c>
      <c r="V1219" s="2">
        <f>SUMIFS(F$2:F$1589,A$2:A$1589,A1219,C$2:C$1589,C1219,E$2:E$1589,E1219,Q$2:Q$1589,Q1219)</f>
        <v/>
      </c>
    </row>
    <row r="1220">
      <c r="A1220" s="3" t="inlineStr">
        <is>
          <t>alquiler</t>
        </is>
      </c>
      <c r="B1220" s="3" t="inlineStr">
        <is>
          <t>ccaa:03</t>
        </is>
      </c>
      <c r="C1220" s="3" t="inlineStr">
        <is>
          <t>P4</t>
        </is>
      </c>
      <c r="D1220" s="3" t="inlineStr">
        <is>
          <t>demanda_externa</t>
        </is>
      </c>
      <c r="E1220" s="3" t="inlineStr">
        <is>
          <t>regional_panel</t>
        </is>
      </c>
      <c r="F1220" s="3" t="n">
        <v>0.0119624</v>
      </c>
      <c r="G1220" s="3" t="n"/>
      <c r="H1220" s="3" t="n"/>
      <c r="I1220" s="3" t="n">
        <v>-0.00227949</v>
      </c>
      <c r="J1220" s="3" t="n">
        <v>-0.0537829</v>
      </c>
      <c r="K1220" s="3" t="n">
        <v>0.0339762</v>
      </c>
      <c r="L1220" s="3" t="n">
        <v>-0.112801</v>
      </c>
      <c r="M1220" s="3" t="n">
        <v>0.0583252</v>
      </c>
      <c r="N1220" s="3" t="inlineStr">
        <is>
          <t>C4</t>
        </is>
      </c>
      <c r="O1220" s="3" t="inlineStr">
        <is>
          <t>si</t>
        </is>
      </c>
      <c r="P1220" s="3" t="inlineStr">
        <is>
          <t>no_vota</t>
        </is>
      </c>
      <c r="Q1220" s="3" t="inlineStr">
        <is>
          <t>panel_covariables</t>
        </is>
      </c>
      <c r="R1220" s="3" t="n"/>
      <c r="S1220" s="3" t="inlineStr">
        <is>
          <t>contraste regional (R6); no vota</t>
        </is>
      </c>
      <c r="T1220" s="3" t="inlineStr">
        <is>
          <t>output/v8/F5/atribucion_combinada.csv</t>
        </is>
      </c>
      <c r="U1220" s="2">
        <f>IF(R1220=0,"",F1220/R1220)</f>
        <v/>
      </c>
      <c r="V1220" s="2">
        <f>SUMIFS(F$2:F$1589,A$2:A$1589,A1220,C$2:C$1589,C1220,E$2:E$1589,E1220,Q$2:Q$1589,Q1220)</f>
        <v/>
      </c>
    </row>
    <row r="1221">
      <c r="A1221" s="3" t="inlineStr">
        <is>
          <t>alquiler</t>
        </is>
      </c>
      <c r="B1221" s="3" t="inlineStr">
        <is>
          <t>ccaa:03</t>
        </is>
      </c>
      <c r="C1221" s="3" t="inlineStr">
        <is>
          <t>P4</t>
        </is>
      </c>
      <c r="D1221" s="3" t="inlineStr">
        <is>
          <t>residuo</t>
        </is>
      </c>
      <c r="E1221" s="3" t="inlineStr">
        <is>
          <t>regional_panel</t>
        </is>
      </c>
      <c r="F1221" s="3" t="n">
        <v>-0.977046</v>
      </c>
      <c r="G1221" s="3" t="n"/>
      <c r="H1221" s="3" t="n"/>
      <c r="I1221" s="3" t="n">
        <v>0.186181</v>
      </c>
      <c r="J1221" s="3" t="n">
        <v>-2.3195</v>
      </c>
      <c r="K1221" s="3" t="n">
        <v>-0.0580995</v>
      </c>
      <c r="L1221" s="3" t="n">
        <v>-4.60012</v>
      </c>
      <c r="M1221" s="3" t="n">
        <v>0.230559</v>
      </c>
      <c r="N1221" s="3" t="inlineStr">
        <is>
          <t>C4</t>
        </is>
      </c>
      <c r="O1221" s="3" t="inlineStr">
        <is>
          <t>no</t>
        </is>
      </c>
      <c r="P1221" s="3" t="inlineStr">
        <is>
          <t>no_compite</t>
        </is>
      </c>
      <c r="Q1221" s="3" t="inlineStr">
        <is>
          <t>panel_covariables</t>
        </is>
      </c>
      <c r="R1221" s="3" t="n"/>
      <c r="S1221" s="3" t="inlineStr">
        <is>
          <t>contraste regional (R6); no vota</t>
        </is>
      </c>
      <c r="T1221" s="3" t="inlineStr">
        <is>
          <t>output/v8/F5/atribucion_combinada.csv</t>
        </is>
      </c>
      <c r="U1221" s="2">
        <f>IF(R1221=0,"",F1221/R1221)</f>
        <v/>
      </c>
      <c r="V1221" s="2">
        <f>SUMIFS(F$2:F$1589,A$2:A$1589,A1221,C$2:C$1589,C1221,E$2:E$1589,E1221,Q$2:Q$1589,Q1221)</f>
        <v/>
      </c>
    </row>
    <row r="1222">
      <c r="A1222" s="3" t="inlineStr">
        <is>
          <t>alquiler</t>
        </is>
      </c>
      <c r="B1222" s="3" t="inlineStr">
        <is>
          <t>ccaa:04</t>
        </is>
      </c>
      <c r="C1222" s="3" t="inlineStr">
        <is>
          <t>P4</t>
        </is>
      </c>
      <c r="D1222" s="3" t="inlineStr">
        <is>
          <t>factor_comun</t>
        </is>
      </c>
      <c r="E1222" s="3" t="inlineStr">
        <is>
          <t>regional_panel</t>
        </is>
      </c>
      <c r="F1222" s="3" t="n">
        <v>-4.82785</v>
      </c>
      <c r="G1222" s="3" t="n"/>
      <c r="H1222" s="3" t="n"/>
      <c r="I1222" s="3" t="n">
        <v>0.980271</v>
      </c>
      <c r="J1222" s="3" t="n">
        <v>-8.01083</v>
      </c>
      <c r="K1222" s="3" t="n">
        <v>-1.73403</v>
      </c>
      <c r="L1222" s="3" t="n">
        <v>-10.2878</v>
      </c>
      <c r="M1222" s="3" t="n">
        <v>-0.0997739</v>
      </c>
      <c r="N1222" s="3" t="inlineStr">
        <is>
          <t>C4</t>
        </is>
      </c>
      <c r="O1222" s="3" t="inlineStr">
        <is>
          <t>no</t>
        </is>
      </c>
      <c r="P1222" s="3" t="inlineStr">
        <is>
          <t>no_compite</t>
        </is>
      </c>
      <c r="Q1222" s="3" t="inlineStr">
        <is>
          <t>panel_covariables</t>
        </is>
      </c>
      <c r="R1222" s="3" t="n"/>
      <c r="S1222" s="3" t="inlineStr">
        <is>
          <t>contraste regional (R6); no vota</t>
        </is>
      </c>
      <c r="T1222" s="3" t="inlineStr">
        <is>
          <t>output/v8/F5/atribucion_combinada.csv</t>
        </is>
      </c>
      <c r="U1222" s="2">
        <f>IF(R1222=0,"",F1222/R1222)</f>
        <v/>
      </c>
      <c r="V1222" s="2">
        <f>SUMIFS(F$2:F$1589,A$2:A$1589,A1222,C$2:C$1589,C1222,E$2:E$1589,E1222,Q$2:Q$1589,Q1222)</f>
        <v/>
      </c>
    </row>
    <row r="1223">
      <c r="A1223" s="3" t="inlineStr">
        <is>
          <t>alquiler</t>
        </is>
      </c>
      <c r="B1223" s="3" t="inlineStr">
        <is>
          <t>ccaa:04</t>
        </is>
      </c>
      <c r="C1223" s="3" t="inlineStr">
        <is>
          <t>P4</t>
        </is>
      </c>
      <c r="D1223" s="3" t="inlineStr">
        <is>
          <t>empleo_renta</t>
        </is>
      </c>
      <c r="E1223" s="3" t="inlineStr">
        <is>
          <t>regional_panel</t>
        </is>
      </c>
      <c r="F1223" s="3" t="n">
        <v>-0.021054</v>
      </c>
      <c r="G1223" s="3" t="n"/>
      <c r="H1223" s="3" t="n"/>
      <c r="I1223" s="3" t="n">
        <v>0.00427491</v>
      </c>
      <c r="J1223" s="3" t="n">
        <v>-0.170158</v>
      </c>
      <c r="K1223" s="3" t="n">
        <v>0.00741527</v>
      </c>
      <c r="L1223" s="3" t="n">
        <v>-0.280309</v>
      </c>
      <c r="M1223" s="3" t="n">
        <v>0.022607</v>
      </c>
      <c r="N1223" s="3" t="inlineStr">
        <is>
          <t>C4</t>
        </is>
      </c>
      <c r="O1223" s="3" t="inlineStr">
        <is>
          <t>si</t>
        </is>
      </c>
      <c r="P1223" s="3" t="inlineStr">
        <is>
          <t>no_vota</t>
        </is>
      </c>
      <c r="Q1223" s="3" t="inlineStr">
        <is>
          <t>panel_covariables</t>
        </is>
      </c>
      <c r="R1223" s="3" t="n"/>
      <c r="S1223" s="3" t="inlineStr">
        <is>
          <t>contraste regional (R6); no vota</t>
        </is>
      </c>
      <c r="T1223" s="3" t="inlineStr">
        <is>
          <t>output/v8/F5/atribucion_combinada.csv</t>
        </is>
      </c>
      <c r="U1223" s="2">
        <f>IF(R1223=0,"",F1223/R1223)</f>
        <v/>
      </c>
      <c r="V1223" s="2">
        <f>SUMIFS(F$2:F$1589,A$2:A$1589,A1223,C$2:C$1589,C1223,E$2:E$1589,E1223,Q$2:Q$1589,Q1223)</f>
        <v/>
      </c>
    </row>
    <row r="1224">
      <c r="A1224" s="3" t="inlineStr">
        <is>
          <t>alquiler</t>
        </is>
      </c>
      <c r="B1224" s="3" t="inlineStr">
        <is>
          <t>ccaa:04</t>
        </is>
      </c>
      <c r="C1224" s="3" t="inlineStr">
        <is>
          <t>P4</t>
        </is>
      </c>
      <c r="D1224" s="3" t="inlineStr">
        <is>
          <t>demografia</t>
        </is>
      </c>
      <c r="E1224" s="3" t="inlineStr">
        <is>
          <t>regional_panel</t>
        </is>
      </c>
      <c r="F1224" s="3" t="n">
        <v>0.0867816</v>
      </c>
      <c r="G1224" s="3" t="n"/>
      <c r="H1224" s="3" t="n"/>
      <c r="I1224" s="3" t="n">
        <v>-0.0176206</v>
      </c>
      <c r="J1224" s="3" t="n">
        <v>-0.470762</v>
      </c>
      <c r="K1224" s="3" t="n">
        <v>0.38639</v>
      </c>
      <c r="L1224" s="3" t="n">
        <v>-1.04319</v>
      </c>
      <c r="M1224" s="3" t="n">
        <v>0.552787</v>
      </c>
      <c r="N1224" s="3" t="inlineStr">
        <is>
          <t>C4</t>
        </is>
      </c>
      <c r="O1224" s="3" t="inlineStr">
        <is>
          <t>si</t>
        </is>
      </c>
      <c r="P1224" s="3" t="inlineStr">
        <is>
          <t>no_vota</t>
        </is>
      </c>
      <c r="Q1224" s="3" t="inlineStr">
        <is>
          <t>panel_covariables</t>
        </is>
      </c>
      <c r="R1224" s="3" t="n"/>
      <c r="S1224" s="3" t="inlineStr">
        <is>
          <t>contraste regional (R6); no vota</t>
        </is>
      </c>
      <c r="T1224" s="3" t="inlineStr">
        <is>
          <t>output/v8/F5/atribucion_combinada.csv</t>
        </is>
      </c>
      <c r="U1224" s="2">
        <f>IF(R1224=0,"",F1224/R1224)</f>
        <v/>
      </c>
      <c r="V1224" s="2">
        <f>SUMIFS(F$2:F$1589,A$2:A$1589,A1224,C$2:C$1589,C1224,E$2:E$1589,E1224,Q$2:Q$1589,Q1224)</f>
        <v/>
      </c>
    </row>
    <row r="1225">
      <c r="A1225" s="3" t="inlineStr">
        <is>
          <t>alquiler</t>
        </is>
      </c>
      <c r="B1225" s="3" t="inlineStr">
        <is>
          <t>ccaa:04</t>
        </is>
      </c>
      <c r="C1225" s="3" t="inlineStr">
        <is>
          <t>P4</t>
        </is>
      </c>
      <c r="D1225" s="3" t="inlineStr">
        <is>
          <t>oferta</t>
        </is>
      </c>
      <c r="E1225" s="3" t="inlineStr">
        <is>
          <t>regional_panel</t>
        </is>
      </c>
      <c r="F1225" s="3" t="n">
        <v>-0.000774998</v>
      </c>
      <c r="G1225" s="3" t="n"/>
      <c r="H1225" s="3" t="n"/>
      <c r="I1225" s="3" t="n">
        <v>0.00015736</v>
      </c>
      <c r="J1225" s="3" t="n">
        <v>-0.0120294</v>
      </c>
      <c r="K1225" s="3" t="n">
        <v>0.0109289</v>
      </c>
      <c r="L1225" s="3" t="n">
        <v>-0.0333978</v>
      </c>
      <c r="M1225" s="3" t="n">
        <v>0.0335292</v>
      </c>
      <c r="N1225" s="3" t="inlineStr">
        <is>
          <t>C4</t>
        </is>
      </c>
      <c r="O1225" s="3" t="inlineStr">
        <is>
          <t>si</t>
        </is>
      </c>
      <c r="P1225" s="3" t="inlineStr">
        <is>
          <t>no_vota</t>
        </is>
      </c>
      <c r="Q1225" s="3" t="inlineStr">
        <is>
          <t>panel_covariables</t>
        </is>
      </c>
      <c r="R1225" s="3" t="n"/>
      <c r="S1225" s="3" t="inlineStr">
        <is>
          <t>contraste regional (R6); no vota</t>
        </is>
      </c>
      <c r="T1225" s="3" t="inlineStr">
        <is>
          <t>output/v8/F5/atribucion_combinada.csv</t>
        </is>
      </c>
      <c r="U1225" s="2">
        <f>IF(R1225=0,"",F1225/R1225)</f>
        <v/>
      </c>
      <c r="V1225" s="2">
        <f>SUMIFS(F$2:F$1589,A$2:A$1589,A1225,C$2:C$1589,C1225,E$2:E$1589,E1225,Q$2:Q$1589,Q1225)</f>
        <v/>
      </c>
    </row>
    <row r="1226">
      <c r="A1226" s="3" t="inlineStr">
        <is>
          <t>alquiler</t>
        </is>
      </c>
      <c r="B1226" s="3" t="inlineStr">
        <is>
          <t>ccaa:04</t>
        </is>
      </c>
      <c r="C1226" s="3" t="inlineStr">
        <is>
          <t>P4</t>
        </is>
      </c>
      <c r="D1226" s="3" t="inlineStr">
        <is>
          <t>demanda_externa</t>
        </is>
      </c>
      <c r="E1226" s="3" t="inlineStr">
        <is>
          <t>regional_panel</t>
        </is>
      </c>
      <c r="F1226" s="3" t="n">
        <v>0.00336043</v>
      </c>
      <c r="G1226" s="3" t="n"/>
      <c r="H1226" s="3" t="n"/>
      <c r="I1226" s="3" t="n">
        <v>-0.00068232</v>
      </c>
      <c r="J1226" s="3" t="n">
        <v>-0.0633639</v>
      </c>
      <c r="K1226" s="3" t="n">
        <v>0.0177536</v>
      </c>
      <c r="L1226" s="3" t="n">
        <v>-0.116531</v>
      </c>
      <c r="M1226" s="3" t="n">
        <v>0.0554351</v>
      </c>
      <c r="N1226" s="3" t="inlineStr">
        <is>
          <t>C4</t>
        </is>
      </c>
      <c r="O1226" s="3" t="inlineStr">
        <is>
          <t>si</t>
        </is>
      </c>
      <c r="P1226" s="3" t="inlineStr">
        <is>
          <t>no_vota</t>
        </is>
      </c>
      <c r="Q1226" s="3" t="inlineStr">
        <is>
          <t>panel_covariables</t>
        </is>
      </c>
      <c r="R1226" s="3" t="n"/>
      <c r="S1226" s="3" t="inlineStr">
        <is>
          <t>contraste regional (R6); no vota</t>
        </is>
      </c>
      <c r="T1226" s="3" t="inlineStr">
        <is>
          <t>output/v8/F5/atribucion_combinada.csv</t>
        </is>
      </c>
      <c r="U1226" s="2">
        <f>IF(R1226=0,"",F1226/R1226)</f>
        <v/>
      </c>
      <c r="V1226" s="2">
        <f>SUMIFS(F$2:F$1589,A$2:A$1589,A1226,C$2:C$1589,C1226,E$2:E$1589,E1226,Q$2:Q$1589,Q1226)</f>
        <v/>
      </c>
    </row>
    <row r="1227">
      <c r="A1227" s="3" t="inlineStr">
        <is>
          <t>alquiler</t>
        </is>
      </c>
      <c r="B1227" s="3" t="inlineStr">
        <is>
          <t>ccaa:04</t>
        </is>
      </c>
      <c r="C1227" s="3" t="inlineStr">
        <is>
          <t>P4</t>
        </is>
      </c>
      <c r="D1227" s="3" t="inlineStr">
        <is>
          <t>residuo</t>
        </is>
      </c>
      <c r="E1227" s="3" t="inlineStr">
        <is>
          <t>regional_panel</t>
        </is>
      </c>
      <c r="F1227" s="3" t="n">
        <v>-0.165477</v>
      </c>
      <c r="G1227" s="3" t="n"/>
      <c r="H1227" s="3" t="n"/>
      <c r="I1227" s="3" t="n">
        <v>0.0335994</v>
      </c>
      <c r="J1227" s="3" t="n">
        <v>-0.913469</v>
      </c>
      <c r="K1227" s="3" t="n">
        <v>0.790617</v>
      </c>
      <c r="L1227" s="3" t="n">
        <v>-1.46706</v>
      </c>
      <c r="M1227" s="3" t="n">
        <v>1.83302</v>
      </c>
      <c r="N1227" s="3" t="inlineStr">
        <is>
          <t>C4</t>
        </is>
      </c>
      <c r="O1227" s="3" t="inlineStr">
        <is>
          <t>no</t>
        </is>
      </c>
      <c r="P1227" s="3" t="inlineStr">
        <is>
          <t>no_compite</t>
        </is>
      </c>
      <c r="Q1227" s="3" t="inlineStr">
        <is>
          <t>panel_covariables</t>
        </is>
      </c>
      <c r="R1227" s="3" t="n"/>
      <c r="S1227" s="3" t="inlineStr">
        <is>
          <t>contraste regional (R6); no vota</t>
        </is>
      </c>
      <c r="T1227" s="3" t="inlineStr">
        <is>
          <t>output/v8/F5/atribucion_combinada.csv</t>
        </is>
      </c>
      <c r="U1227" s="2">
        <f>IF(R1227=0,"",F1227/R1227)</f>
        <v/>
      </c>
      <c r="V1227" s="2">
        <f>SUMIFS(F$2:F$1589,A$2:A$1589,A1227,C$2:C$1589,C1227,E$2:E$1589,E1227,Q$2:Q$1589,Q1227)</f>
        <v/>
      </c>
    </row>
    <row r="1228">
      <c r="A1228" s="3" t="inlineStr">
        <is>
          <t>alquiler</t>
        </is>
      </c>
      <c r="B1228" s="3" t="inlineStr">
        <is>
          <t>ccaa:05</t>
        </is>
      </c>
      <c r="C1228" s="3" t="inlineStr">
        <is>
          <t>P4</t>
        </is>
      </c>
      <c r="D1228" s="3" t="inlineStr">
        <is>
          <t>factor_comun</t>
        </is>
      </c>
      <c r="E1228" s="3" t="inlineStr">
        <is>
          <t>regional_panel</t>
        </is>
      </c>
      <c r="F1228" s="3" t="n">
        <v>-4.82785</v>
      </c>
      <c r="G1228" s="3" t="n"/>
      <c r="H1228" s="3" t="n"/>
      <c r="I1228" s="3" t="n">
        <v>0.9862649999999999</v>
      </c>
      <c r="J1228" s="3" t="n">
        <v>-8.01083</v>
      </c>
      <c r="K1228" s="3" t="n">
        <v>-1.73403</v>
      </c>
      <c r="L1228" s="3" t="n">
        <v>-10.2878</v>
      </c>
      <c r="M1228" s="3" t="n">
        <v>-0.0997739</v>
      </c>
      <c r="N1228" s="3" t="inlineStr">
        <is>
          <t>C4</t>
        </is>
      </c>
      <c r="O1228" s="3" t="inlineStr">
        <is>
          <t>no</t>
        </is>
      </c>
      <c r="P1228" s="3" t="inlineStr">
        <is>
          <t>no_compite</t>
        </is>
      </c>
      <c r="Q1228" s="3" t="inlineStr">
        <is>
          <t>panel_covariables</t>
        </is>
      </c>
      <c r="R1228" s="3" t="n"/>
      <c r="S1228" s="3" t="inlineStr">
        <is>
          <t>contraste regional (R6); no vota</t>
        </is>
      </c>
      <c r="T1228" s="3" t="inlineStr">
        <is>
          <t>output/v8/F5/atribucion_combinada.csv</t>
        </is>
      </c>
      <c r="U1228" s="2">
        <f>IF(R1228=0,"",F1228/R1228)</f>
        <v/>
      </c>
      <c r="V1228" s="2">
        <f>SUMIFS(F$2:F$1589,A$2:A$1589,A1228,C$2:C$1589,C1228,E$2:E$1589,E1228,Q$2:Q$1589,Q1228)</f>
        <v/>
      </c>
    </row>
    <row r="1229">
      <c r="A1229" s="3" t="inlineStr">
        <is>
          <t>alquiler</t>
        </is>
      </c>
      <c r="B1229" s="3" t="inlineStr">
        <is>
          <t>ccaa:05</t>
        </is>
      </c>
      <c r="C1229" s="3" t="inlineStr">
        <is>
          <t>P4</t>
        </is>
      </c>
      <c r="D1229" s="3" t="inlineStr">
        <is>
          <t>empleo_renta</t>
        </is>
      </c>
      <c r="E1229" s="3" t="inlineStr">
        <is>
          <t>regional_panel</t>
        </is>
      </c>
      <c r="F1229" s="3" t="n">
        <v>-0.0296925</v>
      </c>
      <c r="G1229" s="3" t="n"/>
      <c r="H1229" s="3" t="n"/>
      <c r="I1229" s="3" t="n">
        <v>0.00606579</v>
      </c>
      <c r="J1229" s="3" t="n">
        <v>-0.257129</v>
      </c>
      <c r="K1229" s="3" t="n">
        <v>0.0489979</v>
      </c>
      <c r="L1229" s="3" t="n">
        <v>-0.555299</v>
      </c>
      <c r="M1229" s="3" t="n">
        <v>0.104281</v>
      </c>
      <c r="N1229" s="3" t="inlineStr">
        <is>
          <t>C4</t>
        </is>
      </c>
      <c r="O1229" s="3" t="inlineStr">
        <is>
          <t>si</t>
        </is>
      </c>
      <c r="P1229" s="3" t="inlineStr">
        <is>
          <t>no_vota</t>
        </is>
      </c>
      <c r="Q1229" s="3" t="inlineStr">
        <is>
          <t>panel_covariables</t>
        </is>
      </c>
      <c r="R1229" s="3" t="n"/>
      <c r="S1229" s="3" t="inlineStr">
        <is>
          <t>contraste regional (R6); no vota</t>
        </is>
      </c>
      <c r="T1229" s="3" t="inlineStr">
        <is>
          <t>output/v8/F5/atribucion_combinada.csv</t>
        </is>
      </c>
      <c r="U1229" s="2">
        <f>IF(R1229=0,"",F1229/R1229)</f>
        <v/>
      </c>
      <c r="V1229" s="2">
        <f>SUMIFS(F$2:F$1589,A$2:A$1589,A1229,C$2:C$1589,C1229,E$2:E$1589,E1229,Q$2:Q$1589,Q1229)</f>
        <v/>
      </c>
    </row>
    <row r="1230">
      <c r="A1230" s="3" t="inlineStr">
        <is>
          <t>alquiler</t>
        </is>
      </c>
      <c r="B1230" s="3" t="inlineStr">
        <is>
          <t>ccaa:05</t>
        </is>
      </c>
      <c r="C1230" s="3" t="inlineStr">
        <is>
          <t>P4</t>
        </is>
      </c>
      <c r="D1230" s="3" t="inlineStr">
        <is>
          <t>demografia</t>
        </is>
      </c>
      <c r="E1230" s="3" t="inlineStr">
        <is>
          <t>regional_panel</t>
        </is>
      </c>
      <c r="F1230" s="3" t="n">
        <v>0.0817672</v>
      </c>
      <c r="G1230" s="3" t="n"/>
      <c r="H1230" s="3" t="n"/>
      <c r="I1230" s="3" t="n">
        <v>-0.016704</v>
      </c>
      <c r="J1230" s="3" t="n">
        <v>-0.231442</v>
      </c>
      <c r="K1230" s="3" t="n">
        <v>0.250982</v>
      </c>
      <c r="L1230" s="3" t="n">
        <v>-0.481996</v>
      </c>
      <c r="M1230" s="3" t="n">
        <v>0.297075</v>
      </c>
      <c r="N1230" s="3" t="inlineStr">
        <is>
          <t>C4</t>
        </is>
      </c>
      <c r="O1230" s="3" t="inlineStr">
        <is>
          <t>si</t>
        </is>
      </c>
      <c r="P1230" s="3" t="inlineStr">
        <is>
          <t>no_vota</t>
        </is>
      </c>
      <c r="Q1230" s="3" t="inlineStr">
        <is>
          <t>panel_covariables</t>
        </is>
      </c>
      <c r="R1230" s="3" t="n"/>
      <c r="S1230" s="3" t="inlineStr">
        <is>
          <t>contraste regional (R6); no vota</t>
        </is>
      </c>
      <c r="T1230" s="3" t="inlineStr">
        <is>
          <t>output/v8/F5/atribucion_combinada.csv</t>
        </is>
      </c>
      <c r="U1230" s="2">
        <f>IF(R1230=0,"",F1230/R1230)</f>
        <v/>
      </c>
      <c r="V1230" s="2">
        <f>SUMIFS(F$2:F$1589,A$2:A$1589,A1230,C$2:C$1589,C1230,E$2:E$1589,E1230,Q$2:Q$1589,Q1230)</f>
        <v/>
      </c>
    </row>
    <row r="1231">
      <c r="A1231" s="3" t="inlineStr">
        <is>
          <t>alquiler</t>
        </is>
      </c>
      <c r="B1231" s="3" t="inlineStr">
        <is>
          <t>ccaa:05</t>
        </is>
      </c>
      <c r="C1231" s="3" t="inlineStr">
        <is>
          <t>P4</t>
        </is>
      </c>
      <c r="D1231" s="3" t="inlineStr">
        <is>
          <t>oferta</t>
        </is>
      </c>
      <c r="E1231" s="3" t="inlineStr">
        <is>
          <t>regional_panel</t>
        </is>
      </c>
      <c r="F1231" s="3" t="n">
        <v>-0.0029073</v>
      </c>
      <c r="G1231" s="3" t="n"/>
      <c r="H1231" s="3" t="n"/>
      <c r="I1231" s="3" t="n">
        <v>0.000593923</v>
      </c>
      <c r="J1231" s="3" t="n">
        <v>-0.0249643</v>
      </c>
      <c r="K1231" s="3" t="n">
        <v>0.0178154</v>
      </c>
      <c r="L1231" s="3" t="n">
        <v>-0.045659</v>
      </c>
      <c r="M1231" s="3" t="n">
        <v>0.0673594</v>
      </c>
      <c r="N1231" s="3" t="inlineStr">
        <is>
          <t>C4</t>
        </is>
      </c>
      <c r="O1231" s="3" t="inlineStr">
        <is>
          <t>si</t>
        </is>
      </c>
      <c r="P1231" s="3" t="inlineStr">
        <is>
          <t>no_vota</t>
        </is>
      </c>
      <c r="Q1231" s="3" t="inlineStr">
        <is>
          <t>panel_covariables</t>
        </is>
      </c>
      <c r="R1231" s="3" t="n"/>
      <c r="S1231" s="3" t="inlineStr">
        <is>
          <t>contraste regional (R6); no vota</t>
        </is>
      </c>
      <c r="T1231" s="3" t="inlineStr">
        <is>
          <t>output/v8/F5/atribucion_combinada.csv</t>
        </is>
      </c>
      <c r="U1231" s="2">
        <f>IF(R1231=0,"",F1231/R1231)</f>
        <v/>
      </c>
      <c r="V1231" s="2">
        <f>SUMIFS(F$2:F$1589,A$2:A$1589,A1231,C$2:C$1589,C1231,E$2:E$1589,E1231,Q$2:Q$1589,Q1231)</f>
        <v/>
      </c>
    </row>
    <row r="1232">
      <c r="A1232" s="3" t="inlineStr">
        <is>
          <t>alquiler</t>
        </is>
      </c>
      <c r="B1232" s="3" t="inlineStr">
        <is>
          <t>ccaa:05</t>
        </is>
      </c>
      <c r="C1232" s="3" t="inlineStr">
        <is>
          <t>P4</t>
        </is>
      </c>
      <c r="D1232" s="3" t="inlineStr">
        <is>
          <t>demanda_externa</t>
        </is>
      </c>
      <c r="E1232" s="3" t="inlineStr">
        <is>
          <t>regional_panel</t>
        </is>
      </c>
      <c r="F1232" s="3" t="n">
        <v>0.00572032</v>
      </c>
      <c r="G1232" s="3" t="n"/>
      <c r="H1232" s="3" t="n"/>
      <c r="I1232" s="3" t="n">
        <v>-0.00116859</v>
      </c>
      <c r="J1232" s="3" t="n">
        <v>-0.0512252</v>
      </c>
      <c r="K1232" s="3" t="n">
        <v>0.0268261</v>
      </c>
      <c r="L1232" s="3" t="n">
        <v>-0.128933</v>
      </c>
      <c r="M1232" s="3" t="n">
        <v>0.105006</v>
      </c>
      <c r="N1232" s="3" t="inlineStr">
        <is>
          <t>C4</t>
        </is>
      </c>
      <c r="O1232" s="3" t="inlineStr">
        <is>
          <t>si</t>
        </is>
      </c>
      <c r="P1232" s="3" t="inlineStr">
        <is>
          <t>no_vota</t>
        </is>
      </c>
      <c r="Q1232" s="3" t="inlineStr">
        <is>
          <t>panel_covariables</t>
        </is>
      </c>
      <c r="R1232" s="3" t="n"/>
      <c r="S1232" s="3" t="inlineStr">
        <is>
          <t>contraste regional (R6); no vota</t>
        </is>
      </c>
      <c r="T1232" s="3" t="inlineStr">
        <is>
          <t>output/v8/F5/atribucion_combinada.csv</t>
        </is>
      </c>
      <c r="U1232" s="2">
        <f>IF(R1232=0,"",F1232/R1232)</f>
        <v/>
      </c>
      <c r="V1232" s="2">
        <f>SUMIFS(F$2:F$1589,A$2:A$1589,A1232,C$2:C$1589,C1232,E$2:E$1589,E1232,Q$2:Q$1589,Q1232)</f>
        <v/>
      </c>
    </row>
    <row r="1233">
      <c r="A1233" s="3" t="inlineStr">
        <is>
          <t>alquiler</t>
        </is>
      </c>
      <c r="B1233" s="3" t="inlineStr">
        <is>
          <t>ccaa:05</t>
        </is>
      </c>
      <c r="C1233" s="3" t="inlineStr">
        <is>
          <t>P4</t>
        </is>
      </c>
      <c r="D1233" s="3" t="inlineStr">
        <is>
          <t>residuo</t>
        </is>
      </c>
      <c r="E1233" s="3" t="inlineStr">
        <is>
          <t>regional_panel</t>
        </is>
      </c>
      <c r="F1233" s="3" t="n">
        <v>-0.12212</v>
      </c>
      <c r="G1233" s="3" t="n"/>
      <c r="H1233" s="3" t="n"/>
      <c r="I1233" s="3" t="n">
        <v>0.0249475</v>
      </c>
      <c r="J1233" s="3" t="n">
        <v>-0.232768</v>
      </c>
      <c r="K1233" s="3" t="n">
        <v>0.214625</v>
      </c>
      <c r="L1233" s="3" t="n">
        <v>-0.297124</v>
      </c>
      <c r="M1233" s="3" t="n">
        <v>0.5638570000000001</v>
      </c>
      <c r="N1233" s="3" t="inlineStr">
        <is>
          <t>C4</t>
        </is>
      </c>
      <c r="O1233" s="3" t="inlineStr">
        <is>
          <t>no</t>
        </is>
      </c>
      <c r="P1233" s="3" t="inlineStr">
        <is>
          <t>no_compite</t>
        </is>
      </c>
      <c r="Q1233" s="3" t="inlineStr">
        <is>
          <t>panel_covariables</t>
        </is>
      </c>
      <c r="R1233" s="3" t="n"/>
      <c r="S1233" s="3" t="inlineStr">
        <is>
          <t>contraste regional (R6); no vota</t>
        </is>
      </c>
      <c r="T1233" s="3" t="inlineStr">
        <is>
          <t>output/v8/F5/atribucion_combinada.csv</t>
        </is>
      </c>
      <c r="U1233" s="2">
        <f>IF(R1233=0,"",F1233/R1233)</f>
        <v/>
      </c>
      <c r="V1233" s="2">
        <f>SUMIFS(F$2:F$1589,A$2:A$1589,A1233,C$2:C$1589,C1233,E$2:E$1589,E1233,Q$2:Q$1589,Q1233)</f>
        <v/>
      </c>
    </row>
    <row r="1234">
      <c r="A1234" s="3" t="inlineStr">
        <is>
          <t>alquiler</t>
        </is>
      </c>
      <c r="B1234" s="3" t="inlineStr">
        <is>
          <t>ccaa:06</t>
        </is>
      </c>
      <c r="C1234" s="3" t="inlineStr">
        <is>
          <t>P4</t>
        </is>
      </c>
      <c r="D1234" s="3" t="inlineStr">
        <is>
          <t>factor_comun</t>
        </is>
      </c>
      <c r="E1234" s="3" t="inlineStr">
        <is>
          <t>regional_panel</t>
        </is>
      </c>
      <c r="F1234" s="3" t="n">
        <v>-4.82785</v>
      </c>
      <c r="G1234" s="3" t="n"/>
      <c r="H1234" s="3" t="n"/>
      <c r="I1234" s="3" t="n">
        <v>0.859036</v>
      </c>
      <c r="J1234" s="3" t="n">
        <v>-8.01083</v>
      </c>
      <c r="K1234" s="3" t="n">
        <v>-1.73403</v>
      </c>
      <c r="L1234" s="3" t="n">
        <v>-10.2878</v>
      </c>
      <c r="M1234" s="3" t="n">
        <v>-0.0997739</v>
      </c>
      <c r="N1234" s="3" t="inlineStr">
        <is>
          <t>C4</t>
        </is>
      </c>
      <c r="O1234" s="3" t="inlineStr">
        <is>
          <t>no</t>
        </is>
      </c>
      <c r="P1234" s="3" t="inlineStr">
        <is>
          <t>no_compite</t>
        </is>
      </c>
      <c r="Q1234" s="3" t="inlineStr">
        <is>
          <t>panel_covariables</t>
        </is>
      </c>
      <c r="R1234" s="3" t="n"/>
      <c r="S1234" s="3" t="inlineStr">
        <is>
          <t>contraste regional (R6); no vota</t>
        </is>
      </c>
      <c r="T1234" s="3" t="inlineStr">
        <is>
          <t>output/v8/F5/atribucion_combinada.csv</t>
        </is>
      </c>
      <c r="U1234" s="2">
        <f>IF(R1234=0,"",F1234/R1234)</f>
        <v/>
      </c>
      <c r="V1234" s="2">
        <f>SUMIFS(F$2:F$1589,A$2:A$1589,A1234,C$2:C$1589,C1234,E$2:E$1589,E1234,Q$2:Q$1589,Q1234)</f>
        <v/>
      </c>
    </row>
    <row r="1235">
      <c r="A1235" s="3" t="inlineStr">
        <is>
          <t>alquiler</t>
        </is>
      </c>
      <c r="B1235" s="3" t="inlineStr">
        <is>
          <t>ccaa:06</t>
        </is>
      </c>
      <c r="C1235" s="3" t="inlineStr">
        <is>
          <t>P4</t>
        </is>
      </c>
      <c r="D1235" s="3" t="inlineStr">
        <is>
          <t>empleo_renta</t>
        </is>
      </c>
      <c r="E1235" s="3" t="inlineStr">
        <is>
          <t>regional_panel</t>
        </is>
      </c>
      <c r="F1235" s="3" t="n">
        <v>0.0171645</v>
      </c>
      <c r="G1235" s="3" t="n"/>
      <c r="H1235" s="3" t="n"/>
      <c r="I1235" s="3" t="n">
        <v>-0.00305415</v>
      </c>
      <c r="J1235" s="3" t="n">
        <v>-0.0804952</v>
      </c>
      <c r="K1235" s="3" t="n">
        <v>0.0525039</v>
      </c>
      <c r="L1235" s="3" t="n">
        <v>-0.147238</v>
      </c>
      <c r="M1235" s="3" t="n">
        <v>0.109241</v>
      </c>
      <c r="N1235" s="3" t="inlineStr">
        <is>
          <t>C4</t>
        </is>
      </c>
      <c r="O1235" s="3" t="inlineStr">
        <is>
          <t>si</t>
        </is>
      </c>
      <c r="P1235" s="3" t="inlineStr">
        <is>
          <t>no_vota</t>
        </is>
      </c>
      <c r="Q1235" s="3" t="inlineStr">
        <is>
          <t>panel_covariables</t>
        </is>
      </c>
      <c r="R1235" s="3" t="n"/>
      <c r="S1235" s="3" t="inlineStr">
        <is>
          <t>contraste regional (R6); no vota</t>
        </is>
      </c>
      <c r="T1235" s="3" t="inlineStr">
        <is>
          <t>output/v8/F5/atribucion_combinada.csv</t>
        </is>
      </c>
      <c r="U1235" s="2">
        <f>IF(R1235=0,"",F1235/R1235)</f>
        <v/>
      </c>
      <c r="V1235" s="2">
        <f>SUMIFS(F$2:F$1589,A$2:A$1589,A1235,C$2:C$1589,C1235,E$2:E$1589,E1235,Q$2:Q$1589,Q1235)</f>
        <v/>
      </c>
    </row>
    <row r="1236">
      <c r="A1236" s="3" t="inlineStr">
        <is>
          <t>alquiler</t>
        </is>
      </c>
      <c r="B1236" s="3" t="inlineStr">
        <is>
          <t>ccaa:06</t>
        </is>
      </c>
      <c r="C1236" s="3" t="inlineStr">
        <is>
          <t>P4</t>
        </is>
      </c>
      <c r="D1236" s="3" t="inlineStr">
        <is>
          <t>demografia</t>
        </is>
      </c>
      <c r="E1236" s="3" t="inlineStr">
        <is>
          <t>regional_panel</t>
        </is>
      </c>
      <c r="F1236" s="3" t="n">
        <v>0.369528</v>
      </c>
      <c r="G1236" s="3" t="n"/>
      <c r="H1236" s="3" t="n"/>
      <c r="I1236" s="3" t="n">
        <v>-0.0657514</v>
      </c>
      <c r="J1236" s="3" t="n">
        <v>0.156908</v>
      </c>
      <c r="K1236" s="3" t="n">
        <v>0.6299979999999999</v>
      </c>
      <c r="L1236" s="3" t="n">
        <v>0.0436162</v>
      </c>
      <c r="M1236" s="3" t="n">
        <v>0.943948</v>
      </c>
      <c r="N1236" s="3" t="inlineStr">
        <is>
          <t>C4</t>
        </is>
      </c>
      <c r="O1236" s="3" t="inlineStr">
        <is>
          <t>si</t>
        </is>
      </c>
      <c r="P1236" s="3" t="inlineStr">
        <is>
          <t>no_vota</t>
        </is>
      </c>
      <c r="Q1236" s="3" t="inlineStr">
        <is>
          <t>panel_covariables</t>
        </is>
      </c>
      <c r="R1236" s="3" t="n"/>
      <c r="S1236" s="3" t="inlineStr">
        <is>
          <t>contraste regional (R6); no vota</t>
        </is>
      </c>
      <c r="T1236" s="3" t="inlineStr">
        <is>
          <t>output/v8/F5/atribucion_combinada.csv</t>
        </is>
      </c>
      <c r="U1236" s="2">
        <f>IF(R1236=0,"",F1236/R1236)</f>
        <v/>
      </c>
      <c r="V1236" s="2">
        <f>SUMIFS(F$2:F$1589,A$2:A$1589,A1236,C$2:C$1589,C1236,E$2:E$1589,E1236,Q$2:Q$1589,Q1236)</f>
        <v/>
      </c>
    </row>
    <row r="1237">
      <c r="A1237" s="3" t="inlineStr">
        <is>
          <t>alquiler</t>
        </is>
      </c>
      <c r="B1237" s="3" t="inlineStr">
        <is>
          <t>ccaa:06</t>
        </is>
      </c>
      <c r="C1237" s="3" t="inlineStr">
        <is>
          <t>P4</t>
        </is>
      </c>
      <c r="D1237" s="3" t="inlineStr">
        <is>
          <t>oferta</t>
        </is>
      </c>
      <c r="E1237" s="3" t="inlineStr">
        <is>
          <t>regional_panel</t>
        </is>
      </c>
      <c r="F1237" s="3" t="n">
        <v>0.00482224</v>
      </c>
      <c r="G1237" s="3" t="n"/>
      <c r="H1237" s="3" t="n"/>
      <c r="I1237" s="3" t="n">
        <v>-0.000858038</v>
      </c>
      <c r="J1237" s="3" t="n">
        <v>-0.00919732</v>
      </c>
      <c r="K1237" s="3" t="n">
        <v>0.0380432</v>
      </c>
      <c r="L1237" s="3" t="n">
        <v>-0.0261116</v>
      </c>
      <c r="M1237" s="3" t="n">
        <v>0.0609292</v>
      </c>
      <c r="N1237" s="3" t="inlineStr">
        <is>
          <t>C4</t>
        </is>
      </c>
      <c r="O1237" s="3" t="inlineStr">
        <is>
          <t>si</t>
        </is>
      </c>
      <c r="P1237" s="3" t="inlineStr">
        <is>
          <t>no_vota</t>
        </is>
      </c>
      <c r="Q1237" s="3" t="inlineStr">
        <is>
          <t>panel_covariables</t>
        </is>
      </c>
      <c r="R1237" s="3" t="n"/>
      <c r="S1237" s="3" t="inlineStr">
        <is>
          <t>contraste regional (R6); no vota</t>
        </is>
      </c>
      <c r="T1237" s="3" t="inlineStr">
        <is>
          <t>output/v8/F5/atribucion_combinada.csv</t>
        </is>
      </c>
      <c r="U1237" s="2">
        <f>IF(R1237=0,"",F1237/R1237)</f>
        <v/>
      </c>
      <c r="V1237" s="2">
        <f>SUMIFS(F$2:F$1589,A$2:A$1589,A1237,C$2:C$1589,C1237,E$2:E$1589,E1237,Q$2:Q$1589,Q1237)</f>
        <v/>
      </c>
    </row>
    <row r="1238">
      <c r="A1238" s="3" t="inlineStr">
        <is>
          <t>alquiler</t>
        </is>
      </c>
      <c r="B1238" s="3" t="inlineStr">
        <is>
          <t>ccaa:06</t>
        </is>
      </c>
      <c r="C1238" s="3" t="inlineStr">
        <is>
          <t>P4</t>
        </is>
      </c>
      <c r="D1238" s="3" t="inlineStr">
        <is>
          <t>demanda_externa</t>
        </is>
      </c>
      <c r="E1238" s="3" t="inlineStr">
        <is>
          <t>regional_panel</t>
        </is>
      </c>
      <c r="F1238" s="3" t="n">
        <v>0.00994186</v>
      </c>
      <c r="G1238" s="3" t="n"/>
      <c r="H1238" s="3" t="n"/>
      <c r="I1238" s="3" t="n">
        <v>-0.00176899</v>
      </c>
      <c r="J1238" s="3" t="n">
        <v>-0.045314</v>
      </c>
      <c r="K1238" s="3" t="n">
        <v>0.0377369</v>
      </c>
      <c r="L1238" s="3" t="n">
        <v>-0.117491</v>
      </c>
      <c r="M1238" s="3" t="n">
        <v>0.113507</v>
      </c>
      <c r="N1238" s="3" t="inlineStr">
        <is>
          <t>C4</t>
        </is>
      </c>
      <c r="O1238" s="3" t="inlineStr">
        <is>
          <t>si</t>
        </is>
      </c>
      <c r="P1238" s="3" t="inlineStr">
        <is>
          <t>no_vota</t>
        </is>
      </c>
      <c r="Q1238" s="3" t="inlineStr">
        <is>
          <t>panel_covariables</t>
        </is>
      </c>
      <c r="R1238" s="3" t="n"/>
      <c r="S1238" s="3" t="inlineStr">
        <is>
          <t>contraste regional (R6); no vota</t>
        </is>
      </c>
      <c r="T1238" s="3" t="inlineStr">
        <is>
          <t>output/v8/F5/atribucion_combinada.csv</t>
        </is>
      </c>
      <c r="U1238" s="2">
        <f>IF(R1238=0,"",F1238/R1238)</f>
        <v/>
      </c>
      <c r="V1238" s="2">
        <f>SUMIFS(F$2:F$1589,A$2:A$1589,A1238,C$2:C$1589,C1238,E$2:E$1589,E1238,Q$2:Q$1589,Q1238)</f>
        <v/>
      </c>
    </row>
    <row r="1239">
      <c r="A1239" s="3" t="inlineStr">
        <is>
          <t>alquiler</t>
        </is>
      </c>
      <c r="B1239" s="3" t="inlineStr">
        <is>
          <t>ccaa:06</t>
        </is>
      </c>
      <c r="C1239" s="3" t="inlineStr">
        <is>
          <t>P4</t>
        </is>
      </c>
      <c r="D1239" s="3" t="inlineStr">
        <is>
          <t>residuo</t>
        </is>
      </c>
      <c r="E1239" s="3" t="inlineStr">
        <is>
          <t>regional_panel</t>
        </is>
      </c>
      <c r="F1239" s="3" t="n">
        <v>-1.19368</v>
      </c>
      <c r="G1239" s="3" t="n"/>
      <c r="H1239" s="3" t="n"/>
      <c r="I1239" s="3" t="n">
        <v>0.212396</v>
      </c>
      <c r="J1239" s="3" t="n">
        <v>-1.67028</v>
      </c>
      <c r="K1239" s="3" t="n">
        <v>-0.6909459999999999</v>
      </c>
      <c r="L1239" s="3" t="n">
        <v>-2.09712</v>
      </c>
      <c r="M1239" s="3" t="n">
        <v>-0.35545</v>
      </c>
      <c r="N1239" s="3" t="inlineStr">
        <is>
          <t>C4</t>
        </is>
      </c>
      <c r="O1239" s="3" t="inlineStr">
        <is>
          <t>no</t>
        </is>
      </c>
      <c r="P1239" s="3" t="inlineStr">
        <is>
          <t>no_compite</t>
        </is>
      </c>
      <c r="Q1239" s="3" t="inlineStr">
        <is>
          <t>panel_covariables</t>
        </is>
      </c>
      <c r="R1239" s="3" t="n"/>
      <c r="S1239" s="3" t="inlineStr">
        <is>
          <t>contraste regional (R6); no vota</t>
        </is>
      </c>
      <c r="T1239" s="3" t="inlineStr">
        <is>
          <t>output/v8/F5/atribucion_combinada.csv</t>
        </is>
      </c>
      <c r="U1239" s="2">
        <f>IF(R1239=0,"",F1239/R1239)</f>
        <v/>
      </c>
      <c r="V1239" s="2">
        <f>SUMIFS(F$2:F$1589,A$2:A$1589,A1239,C$2:C$1589,C1239,E$2:E$1589,E1239,Q$2:Q$1589,Q1239)</f>
        <v/>
      </c>
    </row>
    <row r="1240">
      <c r="A1240" s="3" t="inlineStr">
        <is>
          <t>alquiler</t>
        </is>
      </c>
      <c r="B1240" s="3" t="inlineStr">
        <is>
          <t>ccaa:07</t>
        </is>
      </c>
      <c r="C1240" s="3" t="inlineStr">
        <is>
          <t>P4</t>
        </is>
      </c>
      <c r="D1240" s="3" t="inlineStr">
        <is>
          <t>factor_comun</t>
        </is>
      </c>
      <c r="E1240" s="3" t="inlineStr">
        <is>
          <t>regional_panel</t>
        </is>
      </c>
      <c r="F1240" s="3" t="n">
        <v>-4.82785</v>
      </c>
      <c r="G1240" s="3" t="n"/>
      <c r="H1240" s="3" t="n"/>
      <c r="I1240" s="3" t="n">
        <v>0.975194</v>
      </c>
      <c r="J1240" s="3" t="n">
        <v>-8.01083</v>
      </c>
      <c r="K1240" s="3" t="n">
        <v>-1.73403</v>
      </c>
      <c r="L1240" s="3" t="n">
        <v>-10.2878</v>
      </c>
      <c r="M1240" s="3" t="n">
        <v>-0.0997739</v>
      </c>
      <c r="N1240" s="3" t="inlineStr">
        <is>
          <t>C4</t>
        </is>
      </c>
      <c r="O1240" s="3" t="inlineStr">
        <is>
          <t>no</t>
        </is>
      </c>
      <c r="P1240" s="3" t="inlineStr">
        <is>
          <t>no_compite</t>
        </is>
      </c>
      <c r="Q1240" s="3" t="inlineStr">
        <is>
          <t>panel_covariables</t>
        </is>
      </c>
      <c r="R1240" s="3" t="n"/>
      <c r="S1240" s="3" t="inlineStr">
        <is>
          <t>contraste regional (R6); no vota</t>
        </is>
      </c>
      <c r="T1240" s="3" t="inlineStr">
        <is>
          <t>output/v8/F5/atribucion_combinada.csv</t>
        </is>
      </c>
      <c r="U1240" s="2">
        <f>IF(R1240=0,"",F1240/R1240)</f>
        <v/>
      </c>
      <c r="V1240" s="2">
        <f>SUMIFS(F$2:F$1589,A$2:A$1589,A1240,C$2:C$1589,C1240,E$2:E$1589,E1240,Q$2:Q$1589,Q1240)</f>
        <v/>
      </c>
    </row>
    <row r="1241">
      <c r="A1241" s="3" t="inlineStr">
        <is>
          <t>alquiler</t>
        </is>
      </c>
      <c r="B1241" s="3" t="inlineStr">
        <is>
          <t>ccaa:07</t>
        </is>
      </c>
      <c r="C1241" s="3" t="inlineStr">
        <is>
          <t>P4</t>
        </is>
      </c>
      <c r="D1241" s="3" t="inlineStr">
        <is>
          <t>empleo_renta</t>
        </is>
      </c>
      <c r="E1241" s="3" t="inlineStr">
        <is>
          <t>regional_panel</t>
        </is>
      </c>
      <c r="F1241" s="3" t="n">
        <v>0.00660344</v>
      </c>
      <c r="G1241" s="3" t="n"/>
      <c r="H1241" s="3" t="n"/>
      <c r="I1241" s="3" t="n">
        <v>-0.00133385</v>
      </c>
      <c r="J1241" s="3" t="n">
        <v>-0.0572321</v>
      </c>
      <c r="K1241" s="3" t="n">
        <v>0.0233206</v>
      </c>
      <c r="L1241" s="3" t="n">
        <v>-0.114731</v>
      </c>
      <c r="M1241" s="3" t="n">
        <v>0.0422906</v>
      </c>
      <c r="N1241" s="3" t="inlineStr">
        <is>
          <t>C4</t>
        </is>
      </c>
      <c r="O1241" s="3" t="inlineStr">
        <is>
          <t>si</t>
        </is>
      </c>
      <c r="P1241" s="3" t="inlineStr">
        <is>
          <t>no_vota</t>
        </is>
      </c>
      <c r="Q1241" s="3" t="inlineStr">
        <is>
          <t>panel_covariables</t>
        </is>
      </c>
      <c r="R1241" s="3" t="n"/>
      <c r="S1241" s="3" t="inlineStr">
        <is>
          <t>contraste regional (R6); no vota</t>
        </is>
      </c>
      <c r="T1241" s="3" t="inlineStr">
        <is>
          <t>output/v8/F5/atribucion_combinada.csv</t>
        </is>
      </c>
      <c r="U1241" s="2">
        <f>IF(R1241=0,"",F1241/R1241)</f>
        <v/>
      </c>
      <c r="V1241" s="2">
        <f>SUMIFS(F$2:F$1589,A$2:A$1589,A1241,C$2:C$1589,C1241,E$2:E$1589,E1241,Q$2:Q$1589,Q1241)</f>
        <v/>
      </c>
    </row>
    <row r="1242">
      <c r="A1242" s="3" t="inlineStr">
        <is>
          <t>alquiler</t>
        </is>
      </c>
      <c r="B1242" s="3" t="inlineStr">
        <is>
          <t>ccaa:07</t>
        </is>
      </c>
      <c r="C1242" s="3" t="inlineStr">
        <is>
          <t>P4</t>
        </is>
      </c>
      <c r="D1242" s="3" t="inlineStr">
        <is>
          <t>demografia</t>
        </is>
      </c>
      <c r="E1242" s="3" t="inlineStr">
        <is>
          <t>regional_panel</t>
        </is>
      </c>
      <c r="F1242" s="3" t="n">
        <v>0.429311</v>
      </c>
      <c r="G1242" s="3" t="n"/>
      <c r="H1242" s="3" t="n"/>
      <c r="I1242" s="3" t="n">
        <v>-0.086718</v>
      </c>
      <c r="J1242" s="3" t="n">
        <v>-0.163834</v>
      </c>
      <c r="K1242" s="3" t="n">
        <v>1.40794</v>
      </c>
      <c r="L1242" s="3" t="n">
        <v>-0.418103</v>
      </c>
      <c r="M1242" s="3" t="n">
        <v>3.18653</v>
      </c>
      <c r="N1242" s="3" t="inlineStr">
        <is>
          <t>C4</t>
        </is>
      </c>
      <c r="O1242" s="3" t="inlineStr">
        <is>
          <t>si</t>
        </is>
      </c>
      <c r="P1242" s="3" t="inlineStr">
        <is>
          <t>no_vota</t>
        </is>
      </c>
      <c r="Q1242" s="3" t="inlineStr">
        <is>
          <t>panel_covariables</t>
        </is>
      </c>
      <c r="R1242" s="3" t="n"/>
      <c r="S1242" s="3" t="inlineStr">
        <is>
          <t>contraste regional (R6); no vota</t>
        </is>
      </c>
      <c r="T1242" s="3" t="inlineStr">
        <is>
          <t>output/v8/F5/atribucion_combinada.csv</t>
        </is>
      </c>
      <c r="U1242" s="2">
        <f>IF(R1242=0,"",F1242/R1242)</f>
        <v/>
      </c>
      <c r="V1242" s="2">
        <f>SUMIFS(F$2:F$1589,A$2:A$1589,A1242,C$2:C$1589,C1242,E$2:E$1589,E1242,Q$2:Q$1589,Q1242)</f>
        <v/>
      </c>
    </row>
    <row r="1243">
      <c r="A1243" s="3" t="inlineStr">
        <is>
          <t>alquiler</t>
        </is>
      </c>
      <c r="B1243" s="3" t="inlineStr">
        <is>
          <t>ccaa:07</t>
        </is>
      </c>
      <c r="C1243" s="3" t="inlineStr">
        <is>
          <t>P4</t>
        </is>
      </c>
      <c r="D1243" s="3" t="inlineStr">
        <is>
          <t>oferta</t>
        </is>
      </c>
      <c r="E1243" s="3" t="inlineStr">
        <is>
          <t>regional_panel</t>
        </is>
      </c>
      <c r="F1243" s="3" t="n">
        <v>0.0023952</v>
      </c>
      <c r="G1243" s="3" t="n"/>
      <c r="H1243" s="3" t="n"/>
      <c r="I1243" s="3" t="n">
        <v>-0.000483814</v>
      </c>
      <c r="J1243" s="3" t="n">
        <v>-0.0101794</v>
      </c>
      <c r="K1243" s="3" t="n">
        <v>0.0279609</v>
      </c>
      <c r="L1243" s="3" t="n">
        <v>-0.0227542</v>
      </c>
      <c r="M1243" s="3" t="n">
        <v>0.0609812</v>
      </c>
      <c r="N1243" s="3" t="inlineStr">
        <is>
          <t>C4</t>
        </is>
      </c>
      <c r="O1243" s="3" t="inlineStr">
        <is>
          <t>si</t>
        </is>
      </c>
      <c r="P1243" s="3" t="inlineStr">
        <is>
          <t>no_vota</t>
        </is>
      </c>
      <c r="Q1243" s="3" t="inlineStr">
        <is>
          <t>panel_covariables</t>
        </is>
      </c>
      <c r="R1243" s="3" t="n"/>
      <c r="S1243" s="3" t="inlineStr">
        <is>
          <t>contraste regional (R6); no vota</t>
        </is>
      </c>
      <c r="T1243" s="3" t="inlineStr">
        <is>
          <t>output/v8/F5/atribucion_combinada.csv</t>
        </is>
      </c>
      <c r="U1243" s="2">
        <f>IF(R1243=0,"",F1243/R1243)</f>
        <v/>
      </c>
      <c r="V1243" s="2">
        <f>SUMIFS(F$2:F$1589,A$2:A$1589,A1243,C$2:C$1589,C1243,E$2:E$1589,E1243,Q$2:Q$1589,Q1243)</f>
        <v/>
      </c>
    </row>
    <row r="1244">
      <c r="A1244" s="3" t="inlineStr">
        <is>
          <t>alquiler</t>
        </is>
      </c>
      <c r="B1244" s="3" t="inlineStr">
        <is>
          <t>ccaa:07</t>
        </is>
      </c>
      <c r="C1244" s="3" t="inlineStr">
        <is>
          <t>P4</t>
        </is>
      </c>
      <c r="D1244" s="3" t="inlineStr">
        <is>
          <t>demanda_externa</t>
        </is>
      </c>
      <c r="E1244" s="3" t="inlineStr">
        <is>
          <t>regional_panel</t>
        </is>
      </c>
      <c r="F1244" s="3" t="n">
        <v>0.00832594</v>
      </c>
      <c r="G1244" s="3" t="n"/>
      <c r="H1244" s="3" t="n"/>
      <c r="I1244" s="3" t="n">
        <v>-0.00168179</v>
      </c>
      <c r="J1244" s="3" t="n">
        <v>-0.0399962</v>
      </c>
      <c r="K1244" s="3" t="n">
        <v>0.0242254</v>
      </c>
      <c r="L1244" s="3" t="n">
        <v>-0.0799192</v>
      </c>
      <c r="M1244" s="3" t="n">
        <v>0.0479131</v>
      </c>
      <c r="N1244" s="3" t="inlineStr">
        <is>
          <t>C4</t>
        </is>
      </c>
      <c r="O1244" s="3" t="inlineStr">
        <is>
          <t>si</t>
        </is>
      </c>
      <c r="P1244" s="3" t="inlineStr">
        <is>
          <t>no_vota</t>
        </is>
      </c>
      <c r="Q1244" s="3" t="inlineStr">
        <is>
          <t>panel_covariables</t>
        </is>
      </c>
      <c r="R1244" s="3" t="n"/>
      <c r="S1244" s="3" t="inlineStr">
        <is>
          <t>contraste regional (R6); no vota</t>
        </is>
      </c>
      <c r="T1244" s="3" t="inlineStr">
        <is>
          <t>output/v8/F5/atribucion_combinada.csv</t>
        </is>
      </c>
      <c r="U1244" s="2">
        <f>IF(R1244=0,"",F1244/R1244)</f>
        <v/>
      </c>
      <c r="V1244" s="2">
        <f>SUMIFS(F$2:F$1589,A$2:A$1589,A1244,C$2:C$1589,C1244,E$2:E$1589,E1244,Q$2:Q$1589,Q1244)</f>
        <v/>
      </c>
    </row>
    <row r="1245">
      <c r="A1245" s="3" t="inlineStr">
        <is>
          <t>alquiler</t>
        </is>
      </c>
      <c r="B1245" s="3" t="inlineStr">
        <is>
          <t>ccaa:07</t>
        </is>
      </c>
      <c r="C1245" s="3" t="inlineStr">
        <is>
          <t>P4</t>
        </is>
      </c>
      <c r="D1245" s="3" t="inlineStr">
        <is>
          <t>residuo</t>
        </is>
      </c>
      <c r="E1245" s="3" t="inlineStr">
        <is>
          <t>regional_panel</t>
        </is>
      </c>
      <c r="F1245" s="3" t="n">
        <v>-0.5694399999999999</v>
      </c>
      <c r="G1245" s="3" t="n"/>
      <c r="H1245" s="3" t="n"/>
      <c r="I1245" s="3" t="n">
        <v>0.115023</v>
      </c>
      <c r="J1245" s="3" t="n">
        <v>-1.66229</v>
      </c>
      <c r="K1245" s="3" t="n">
        <v>0.0884173</v>
      </c>
      <c r="L1245" s="3" t="n">
        <v>-3.43336</v>
      </c>
      <c r="M1245" s="3" t="n">
        <v>0.417933</v>
      </c>
      <c r="N1245" s="3" t="inlineStr">
        <is>
          <t>C4</t>
        </is>
      </c>
      <c r="O1245" s="3" t="inlineStr">
        <is>
          <t>no</t>
        </is>
      </c>
      <c r="P1245" s="3" t="inlineStr">
        <is>
          <t>no_compite</t>
        </is>
      </c>
      <c r="Q1245" s="3" t="inlineStr">
        <is>
          <t>panel_covariables</t>
        </is>
      </c>
      <c r="R1245" s="3" t="n"/>
      <c r="S1245" s="3" t="inlineStr">
        <is>
          <t>contraste regional (R6); no vota</t>
        </is>
      </c>
      <c r="T1245" s="3" t="inlineStr">
        <is>
          <t>output/v8/F5/atribucion_combinada.csv</t>
        </is>
      </c>
      <c r="U1245" s="2">
        <f>IF(R1245=0,"",F1245/R1245)</f>
        <v/>
      </c>
      <c r="V1245" s="2">
        <f>SUMIFS(F$2:F$1589,A$2:A$1589,A1245,C$2:C$1589,C1245,E$2:E$1589,E1245,Q$2:Q$1589,Q1245)</f>
        <v/>
      </c>
    </row>
    <row r="1246">
      <c r="A1246" s="3" t="inlineStr">
        <is>
          <t>alquiler</t>
        </is>
      </c>
      <c r="B1246" s="3" t="inlineStr">
        <is>
          <t>ccaa:08</t>
        </is>
      </c>
      <c r="C1246" s="3" t="inlineStr">
        <is>
          <t>P4</t>
        </is>
      </c>
      <c r="D1246" s="3" t="inlineStr">
        <is>
          <t>factor_comun</t>
        </is>
      </c>
      <c r="E1246" s="3" t="inlineStr">
        <is>
          <t>regional_panel</t>
        </is>
      </c>
      <c r="F1246" s="3" t="n">
        <v>-4.82785</v>
      </c>
      <c r="G1246" s="3" t="n"/>
      <c r="H1246" s="3" t="n"/>
      <c r="I1246" s="3" t="n">
        <v>0.921889</v>
      </c>
      <c r="J1246" s="3" t="n">
        <v>-8.01083</v>
      </c>
      <c r="K1246" s="3" t="n">
        <v>-1.73403</v>
      </c>
      <c r="L1246" s="3" t="n">
        <v>-10.2878</v>
      </c>
      <c r="M1246" s="3" t="n">
        <v>-0.0997739</v>
      </c>
      <c r="N1246" s="3" t="inlineStr">
        <is>
          <t>C4</t>
        </is>
      </c>
      <c r="O1246" s="3" t="inlineStr">
        <is>
          <t>no</t>
        </is>
      </c>
      <c r="P1246" s="3" t="inlineStr">
        <is>
          <t>no_compite</t>
        </is>
      </c>
      <c r="Q1246" s="3" t="inlineStr">
        <is>
          <t>panel_covariables</t>
        </is>
      </c>
      <c r="R1246" s="3" t="n"/>
      <c r="S1246" s="3" t="inlineStr">
        <is>
          <t>contraste regional (R6); no vota</t>
        </is>
      </c>
      <c r="T1246" s="3" t="inlineStr">
        <is>
          <t>output/v8/F5/atribucion_combinada.csv</t>
        </is>
      </c>
      <c r="U1246" s="2">
        <f>IF(R1246=0,"",F1246/R1246)</f>
        <v/>
      </c>
      <c r="V1246" s="2">
        <f>SUMIFS(F$2:F$1589,A$2:A$1589,A1246,C$2:C$1589,C1246,E$2:E$1589,E1246,Q$2:Q$1589,Q1246)</f>
        <v/>
      </c>
    </row>
    <row r="1247">
      <c r="A1247" s="3" t="inlineStr">
        <is>
          <t>alquiler</t>
        </is>
      </c>
      <c r="B1247" s="3" t="inlineStr">
        <is>
          <t>ccaa:08</t>
        </is>
      </c>
      <c r="C1247" s="3" t="inlineStr">
        <is>
          <t>P4</t>
        </is>
      </c>
      <c r="D1247" s="3" t="inlineStr">
        <is>
          <t>empleo_renta</t>
        </is>
      </c>
      <c r="E1247" s="3" t="inlineStr">
        <is>
          <t>regional_panel</t>
        </is>
      </c>
      <c r="F1247" s="3" t="n">
        <v>0.07328850000000001</v>
      </c>
      <c r="G1247" s="3" t="n"/>
      <c r="H1247" s="3" t="n"/>
      <c r="I1247" s="3" t="n">
        <v>-0.0139946</v>
      </c>
      <c r="J1247" s="3" t="n">
        <v>-0.00132588</v>
      </c>
      <c r="K1247" s="3" t="n">
        <v>0.0915291</v>
      </c>
      <c r="L1247" s="3" t="n">
        <v>-0.136254</v>
      </c>
      <c r="M1247" s="3" t="n">
        <v>0.121459</v>
      </c>
      <c r="N1247" s="3" t="inlineStr">
        <is>
          <t>C4</t>
        </is>
      </c>
      <c r="O1247" s="3" t="inlineStr">
        <is>
          <t>si</t>
        </is>
      </c>
      <c r="P1247" s="3" t="inlineStr">
        <is>
          <t>no_vota</t>
        </is>
      </c>
      <c r="Q1247" s="3" t="inlineStr">
        <is>
          <t>panel_covariables</t>
        </is>
      </c>
      <c r="R1247" s="3" t="n"/>
      <c r="S1247" s="3" t="inlineStr">
        <is>
          <t>contraste regional (R6); no vota</t>
        </is>
      </c>
      <c r="T1247" s="3" t="inlineStr">
        <is>
          <t>output/v8/F5/atribucion_combinada.csv</t>
        </is>
      </c>
      <c r="U1247" s="2">
        <f>IF(R1247=0,"",F1247/R1247)</f>
        <v/>
      </c>
      <c r="V1247" s="2">
        <f>SUMIFS(F$2:F$1589,A$2:A$1589,A1247,C$2:C$1589,C1247,E$2:E$1589,E1247,Q$2:Q$1589,Q1247)</f>
        <v/>
      </c>
    </row>
    <row r="1248">
      <c r="A1248" s="3" t="inlineStr">
        <is>
          <t>alquiler</t>
        </is>
      </c>
      <c r="B1248" s="3" t="inlineStr">
        <is>
          <t>ccaa:08</t>
        </is>
      </c>
      <c r="C1248" s="3" t="inlineStr">
        <is>
          <t>P4</t>
        </is>
      </c>
      <c r="D1248" s="3" t="inlineStr">
        <is>
          <t>demografia</t>
        </is>
      </c>
      <c r="E1248" s="3" t="inlineStr">
        <is>
          <t>regional_panel</t>
        </is>
      </c>
      <c r="F1248" s="3" t="n">
        <v>0.302797</v>
      </c>
      <c r="G1248" s="3" t="n"/>
      <c r="H1248" s="3" t="n"/>
      <c r="I1248" s="3" t="n">
        <v>-0.0578199</v>
      </c>
      <c r="J1248" s="3" t="n">
        <v>0.201207</v>
      </c>
      <c r="K1248" s="3" t="n">
        <v>0.38191</v>
      </c>
      <c r="L1248" s="3" t="n">
        <v>0.135667</v>
      </c>
      <c r="M1248" s="3" t="n">
        <v>0.492711</v>
      </c>
      <c r="N1248" s="3" t="inlineStr">
        <is>
          <t>C4</t>
        </is>
      </c>
      <c r="O1248" s="3" t="inlineStr">
        <is>
          <t>si</t>
        </is>
      </c>
      <c r="P1248" s="3" t="inlineStr">
        <is>
          <t>no_vota</t>
        </is>
      </c>
      <c r="Q1248" s="3" t="inlineStr">
        <is>
          <t>panel_covariables</t>
        </is>
      </c>
      <c r="R1248" s="3" t="n"/>
      <c r="S1248" s="3" t="inlineStr">
        <is>
          <t>contraste regional (R6); no vota</t>
        </is>
      </c>
      <c r="T1248" s="3" t="inlineStr">
        <is>
          <t>output/v8/F5/atribucion_combinada.csv</t>
        </is>
      </c>
      <c r="U1248" s="2">
        <f>IF(R1248=0,"",F1248/R1248)</f>
        <v/>
      </c>
      <c r="V1248" s="2">
        <f>SUMIFS(F$2:F$1589,A$2:A$1589,A1248,C$2:C$1589,C1248,E$2:E$1589,E1248,Q$2:Q$1589,Q1248)</f>
        <v/>
      </c>
    </row>
    <row r="1249">
      <c r="A1249" s="3" t="inlineStr">
        <is>
          <t>alquiler</t>
        </is>
      </c>
      <c r="B1249" s="3" t="inlineStr">
        <is>
          <t>ccaa:08</t>
        </is>
      </c>
      <c r="C1249" s="3" t="inlineStr">
        <is>
          <t>P4</t>
        </is>
      </c>
      <c r="D1249" s="3" t="inlineStr">
        <is>
          <t>oferta</t>
        </is>
      </c>
      <c r="E1249" s="3" t="inlineStr">
        <is>
          <t>regional_panel</t>
        </is>
      </c>
      <c r="F1249" s="3" t="n">
        <v>0.00354999</v>
      </c>
      <c r="G1249" s="3" t="n"/>
      <c r="H1249" s="3" t="n"/>
      <c r="I1249" s="3" t="n">
        <v>-0.00067788</v>
      </c>
      <c r="J1249" s="3" t="n">
        <v>-0.0117206</v>
      </c>
      <c r="K1249" s="3" t="n">
        <v>0.0271508</v>
      </c>
      <c r="L1249" s="3" t="n">
        <v>-0.0254354</v>
      </c>
      <c r="M1249" s="3" t="n">
        <v>0.0474334</v>
      </c>
      <c r="N1249" s="3" t="inlineStr">
        <is>
          <t>C4</t>
        </is>
      </c>
      <c r="O1249" s="3" t="inlineStr">
        <is>
          <t>si</t>
        </is>
      </c>
      <c r="P1249" s="3" t="inlineStr">
        <is>
          <t>no_vota</t>
        </is>
      </c>
      <c r="Q1249" s="3" t="inlineStr">
        <is>
          <t>panel_covariables</t>
        </is>
      </c>
      <c r="R1249" s="3" t="n"/>
      <c r="S1249" s="3" t="inlineStr">
        <is>
          <t>contraste regional (R6); no vota</t>
        </is>
      </c>
      <c r="T1249" s="3" t="inlineStr">
        <is>
          <t>output/v8/F5/atribucion_combinada.csv</t>
        </is>
      </c>
      <c r="U1249" s="2">
        <f>IF(R1249=0,"",F1249/R1249)</f>
        <v/>
      </c>
      <c r="V1249" s="2">
        <f>SUMIFS(F$2:F$1589,A$2:A$1589,A1249,C$2:C$1589,C1249,E$2:E$1589,E1249,Q$2:Q$1589,Q1249)</f>
        <v/>
      </c>
    </row>
    <row r="1250">
      <c r="A1250" s="3" t="inlineStr">
        <is>
          <t>alquiler</t>
        </is>
      </c>
      <c r="B1250" s="3" t="inlineStr">
        <is>
          <t>ccaa:08</t>
        </is>
      </c>
      <c r="C1250" s="3" t="inlineStr">
        <is>
          <t>P4</t>
        </is>
      </c>
      <c r="D1250" s="3" t="inlineStr">
        <is>
          <t>demanda_externa</t>
        </is>
      </c>
      <c r="E1250" s="3" t="inlineStr">
        <is>
          <t>regional_panel</t>
        </is>
      </c>
      <c r="F1250" s="3" t="n">
        <v>0.00863385</v>
      </c>
      <c r="G1250" s="3" t="n"/>
      <c r="H1250" s="3" t="n"/>
      <c r="I1250" s="3" t="n">
        <v>-0.00164865</v>
      </c>
      <c r="J1250" s="3" t="n">
        <v>-0.0426903</v>
      </c>
      <c r="K1250" s="3" t="n">
        <v>0.0270121</v>
      </c>
      <c r="L1250" s="3" t="n">
        <v>-0.101523</v>
      </c>
      <c r="M1250" s="3" t="n">
        <v>0.0551348</v>
      </c>
      <c r="N1250" s="3" t="inlineStr">
        <is>
          <t>C4</t>
        </is>
      </c>
      <c r="O1250" s="3" t="inlineStr">
        <is>
          <t>si</t>
        </is>
      </c>
      <c r="P1250" s="3" t="inlineStr">
        <is>
          <t>no_vota</t>
        </is>
      </c>
      <c r="Q1250" s="3" t="inlineStr">
        <is>
          <t>panel_covariables</t>
        </is>
      </c>
      <c r="R1250" s="3" t="n"/>
      <c r="S1250" s="3" t="inlineStr">
        <is>
          <t>contraste regional (R6); no vota</t>
        </is>
      </c>
      <c r="T1250" s="3" t="inlineStr">
        <is>
          <t>output/v8/F5/atribucion_combinada.csv</t>
        </is>
      </c>
      <c r="U1250" s="2">
        <f>IF(R1250=0,"",F1250/R1250)</f>
        <v/>
      </c>
      <c r="V1250" s="2">
        <f>SUMIFS(F$2:F$1589,A$2:A$1589,A1250,C$2:C$1589,C1250,E$2:E$1589,E1250,Q$2:Q$1589,Q1250)</f>
        <v/>
      </c>
    </row>
    <row r="1251">
      <c r="A1251" s="3" t="inlineStr">
        <is>
          <t>alquiler</t>
        </is>
      </c>
      <c r="B1251" s="3" t="inlineStr">
        <is>
          <t>ccaa:08</t>
        </is>
      </c>
      <c r="C1251" s="3" t="inlineStr">
        <is>
          <t>P4</t>
        </is>
      </c>
      <c r="D1251" s="3" t="inlineStr">
        <is>
          <t>residuo</t>
        </is>
      </c>
      <c r="E1251" s="3" t="inlineStr">
        <is>
          <t>regional_panel</t>
        </is>
      </c>
      <c r="F1251" s="3" t="n">
        <v>-0.797328</v>
      </c>
      <c r="G1251" s="3" t="n"/>
      <c r="H1251" s="3" t="n"/>
      <c r="I1251" s="3" t="n">
        <v>0.152252</v>
      </c>
      <c r="J1251" s="3" t="n">
        <v>-0.951738</v>
      </c>
      <c r="K1251" s="3" t="n">
        <v>-0.644827</v>
      </c>
      <c r="L1251" s="3" t="n">
        <v>-1.04354</v>
      </c>
      <c r="M1251" s="3" t="n">
        <v>-0.359199</v>
      </c>
      <c r="N1251" s="3" t="inlineStr">
        <is>
          <t>C4</t>
        </is>
      </c>
      <c r="O1251" s="3" t="inlineStr">
        <is>
          <t>no</t>
        </is>
      </c>
      <c r="P1251" s="3" t="inlineStr">
        <is>
          <t>no_compite</t>
        </is>
      </c>
      <c r="Q1251" s="3" t="inlineStr">
        <is>
          <t>panel_covariables</t>
        </is>
      </c>
      <c r="R1251" s="3" t="n"/>
      <c r="S1251" s="3" t="inlineStr">
        <is>
          <t>contraste regional (R6); no vota</t>
        </is>
      </c>
      <c r="T1251" s="3" t="inlineStr">
        <is>
          <t>output/v8/F5/atribucion_combinada.csv</t>
        </is>
      </c>
      <c r="U1251" s="2">
        <f>IF(R1251=0,"",F1251/R1251)</f>
        <v/>
      </c>
      <c r="V1251" s="2">
        <f>SUMIFS(F$2:F$1589,A$2:A$1589,A1251,C$2:C$1589,C1251,E$2:E$1589,E1251,Q$2:Q$1589,Q1251)</f>
        <v/>
      </c>
    </row>
    <row r="1252">
      <c r="A1252" s="3" t="inlineStr">
        <is>
          <t>alquiler</t>
        </is>
      </c>
      <c r="B1252" s="3" t="inlineStr">
        <is>
          <t>ccaa:09</t>
        </is>
      </c>
      <c r="C1252" s="3" t="inlineStr">
        <is>
          <t>P4</t>
        </is>
      </c>
      <c r="D1252" s="3" t="inlineStr">
        <is>
          <t>factor_comun</t>
        </is>
      </c>
      <c r="E1252" s="3" t="inlineStr">
        <is>
          <t>regional_panel</t>
        </is>
      </c>
      <c r="F1252" s="3" t="n">
        <v>-4.82785</v>
      </c>
      <c r="G1252" s="3" t="n"/>
      <c r="H1252" s="3" t="n"/>
      <c r="I1252" s="3" t="n">
        <v>1.12005</v>
      </c>
      <c r="J1252" s="3" t="n">
        <v>-8.01083</v>
      </c>
      <c r="K1252" s="3" t="n">
        <v>-1.73403</v>
      </c>
      <c r="L1252" s="3" t="n">
        <v>-10.2878</v>
      </c>
      <c r="M1252" s="3" t="n">
        <v>-0.0997739</v>
      </c>
      <c r="N1252" s="3" t="inlineStr">
        <is>
          <t>C4</t>
        </is>
      </c>
      <c r="O1252" s="3" t="inlineStr">
        <is>
          <t>no</t>
        </is>
      </c>
      <c r="P1252" s="3" t="inlineStr">
        <is>
          <t>no_compite</t>
        </is>
      </c>
      <c r="Q1252" s="3" t="inlineStr">
        <is>
          <t>panel_covariables</t>
        </is>
      </c>
      <c r="R1252" s="3" t="n"/>
      <c r="S1252" s="3" t="inlineStr">
        <is>
          <t>contraste regional (R6); no vota</t>
        </is>
      </c>
      <c r="T1252" s="3" t="inlineStr">
        <is>
          <t>output/v8/F5/atribucion_combinada.csv</t>
        </is>
      </c>
      <c r="U1252" s="2">
        <f>IF(R1252=0,"",F1252/R1252)</f>
        <v/>
      </c>
      <c r="V1252" s="2">
        <f>SUMIFS(F$2:F$1589,A$2:A$1589,A1252,C$2:C$1589,C1252,E$2:E$1589,E1252,Q$2:Q$1589,Q1252)</f>
        <v/>
      </c>
    </row>
    <row r="1253">
      <c r="A1253" s="3" t="inlineStr">
        <is>
          <t>alquiler</t>
        </is>
      </c>
      <c r="B1253" s="3" t="inlineStr">
        <is>
          <t>ccaa:09</t>
        </is>
      </c>
      <c r="C1253" s="3" t="inlineStr">
        <is>
          <t>P4</t>
        </is>
      </c>
      <c r="D1253" s="3" t="inlineStr">
        <is>
          <t>empleo_renta</t>
        </is>
      </c>
      <c r="E1253" s="3" t="inlineStr">
        <is>
          <t>regional_panel</t>
        </is>
      </c>
      <c r="F1253" s="3" t="n">
        <v>0.0296607</v>
      </c>
      <c r="G1253" s="3" t="n"/>
      <c r="H1253" s="3" t="n"/>
      <c r="I1253" s="3" t="n">
        <v>-0.00688121</v>
      </c>
      <c r="J1253" s="3" t="n">
        <v>-0.0707339</v>
      </c>
      <c r="K1253" s="3" t="n">
        <v>0.049415</v>
      </c>
      <c r="L1253" s="3" t="n">
        <v>-0.169484</v>
      </c>
      <c r="M1253" s="3" t="n">
        <v>0.0989554</v>
      </c>
      <c r="N1253" s="3" t="inlineStr">
        <is>
          <t>C4</t>
        </is>
      </c>
      <c r="O1253" s="3" t="inlineStr">
        <is>
          <t>si</t>
        </is>
      </c>
      <c r="P1253" s="3" t="inlineStr">
        <is>
          <t>no_vota</t>
        </is>
      </c>
      <c r="Q1253" s="3" t="inlineStr">
        <is>
          <t>panel_covariables</t>
        </is>
      </c>
      <c r="R1253" s="3" t="n"/>
      <c r="S1253" s="3" t="inlineStr">
        <is>
          <t>contraste regional (R6); no vota</t>
        </is>
      </c>
      <c r="T1253" s="3" t="inlineStr">
        <is>
          <t>output/v8/F5/atribucion_combinada.csv</t>
        </is>
      </c>
      <c r="U1253" s="2">
        <f>IF(R1253=0,"",F1253/R1253)</f>
        <v/>
      </c>
      <c r="V1253" s="2">
        <f>SUMIFS(F$2:F$1589,A$2:A$1589,A1253,C$2:C$1589,C1253,E$2:E$1589,E1253,Q$2:Q$1589,Q1253)</f>
        <v/>
      </c>
    </row>
    <row r="1254">
      <c r="A1254" s="3" t="inlineStr">
        <is>
          <t>alquiler</t>
        </is>
      </c>
      <c r="B1254" s="3" t="inlineStr">
        <is>
          <t>ccaa:09</t>
        </is>
      </c>
      <c r="C1254" s="3" t="inlineStr">
        <is>
          <t>P4</t>
        </is>
      </c>
      <c r="D1254" s="3" t="inlineStr">
        <is>
          <t>demografia</t>
        </is>
      </c>
      <c r="E1254" s="3" t="inlineStr">
        <is>
          <t>regional_panel</t>
        </is>
      </c>
      <c r="F1254" s="3" t="n">
        <v>0.225739</v>
      </c>
      <c r="G1254" s="3" t="n"/>
      <c r="H1254" s="3" t="n"/>
      <c r="I1254" s="3" t="n">
        <v>-0.0523708</v>
      </c>
      <c r="J1254" s="3" t="n">
        <v>0.0619145</v>
      </c>
      <c r="K1254" s="3" t="n">
        <v>0.328964</v>
      </c>
      <c r="L1254" s="3" t="n">
        <v>-0.149139</v>
      </c>
      <c r="M1254" s="3" t="n">
        <v>0.397491</v>
      </c>
      <c r="N1254" s="3" t="inlineStr">
        <is>
          <t>C4</t>
        </is>
      </c>
      <c r="O1254" s="3" t="inlineStr">
        <is>
          <t>si</t>
        </is>
      </c>
      <c r="P1254" s="3" t="inlineStr">
        <is>
          <t>no_vota</t>
        </is>
      </c>
      <c r="Q1254" s="3" t="inlineStr">
        <is>
          <t>panel_covariables</t>
        </is>
      </c>
      <c r="R1254" s="3" t="n"/>
      <c r="S1254" s="3" t="inlineStr">
        <is>
          <t>contraste regional (R6); no vota</t>
        </is>
      </c>
      <c r="T1254" s="3" t="inlineStr">
        <is>
          <t>output/v8/F5/atribucion_combinada.csv</t>
        </is>
      </c>
      <c r="U1254" s="2">
        <f>IF(R1254=0,"",F1254/R1254)</f>
        <v/>
      </c>
      <c r="V1254" s="2">
        <f>SUMIFS(F$2:F$1589,A$2:A$1589,A1254,C$2:C$1589,C1254,E$2:E$1589,E1254,Q$2:Q$1589,Q1254)</f>
        <v/>
      </c>
    </row>
    <row r="1255">
      <c r="A1255" s="3" t="inlineStr">
        <is>
          <t>alquiler</t>
        </is>
      </c>
      <c r="B1255" s="3" t="inlineStr">
        <is>
          <t>ccaa:09</t>
        </is>
      </c>
      <c r="C1255" s="3" t="inlineStr">
        <is>
          <t>P4</t>
        </is>
      </c>
      <c r="D1255" s="3" t="inlineStr">
        <is>
          <t>oferta</t>
        </is>
      </c>
      <c r="E1255" s="3" t="inlineStr">
        <is>
          <t>regional_panel</t>
        </is>
      </c>
      <c r="F1255" s="3" t="n">
        <v>-0.000957842</v>
      </c>
      <c r="G1255" s="3" t="n"/>
      <c r="H1255" s="3" t="n"/>
      <c r="I1255" s="3" t="n">
        <v>0.000222217</v>
      </c>
      <c r="J1255" s="3" t="n">
        <v>-0.0122195</v>
      </c>
      <c r="K1255" s="3" t="n">
        <v>0.0142395</v>
      </c>
      <c r="L1255" s="3" t="n">
        <v>-0.0294352</v>
      </c>
      <c r="M1255" s="3" t="n">
        <v>0.0236206</v>
      </c>
      <c r="N1255" s="3" t="inlineStr">
        <is>
          <t>C4</t>
        </is>
      </c>
      <c r="O1255" s="3" t="inlineStr">
        <is>
          <t>si</t>
        </is>
      </c>
      <c r="P1255" s="3" t="inlineStr">
        <is>
          <t>no_vota</t>
        </is>
      </c>
      <c r="Q1255" s="3" t="inlineStr">
        <is>
          <t>panel_covariables</t>
        </is>
      </c>
      <c r="R1255" s="3" t="n"/>
      <c r="S1255" s="3" t="inlineStr">
        <is>
          <t>contraste regional (R6); no vota</t>
        </is>
      </c>
      <c r="T1255" s="3" t="inlineStr">
        <is>
          <t>output/v8/F5/atribucion_combinada.csv</t>
        </is>
      </c>
      <c r="U1255" s="2">
        <f>IF(R1255=0,"",F1255/R1255)</f>
        <v/>
      </c>
      <c r="V1255" s="2">
        <f>SUMIFS(F$2:F$1589,A$2:A$1589,A1255,C$2:C$1589,C1255,E$2:E$1589,E1255,Q$2:Q$1589,Q1255)</f>
        <v/>
      </c>
    </row>
    <row r="1256">
      <c r="A1256" s="3" t="inlineStr">
        <is>
          <t>alquiler</t>
        </is>
      </c>
      <c r="B1256" s="3" t="inlineStr">
        <is>
          <t>ccaa:09</t>
        </is>
      </c>
      <c r="C1256" s="3" t="inlineStr">
        <is>
          <t>P4</t>
        </is>
      </c>
      <c r="D1256" s="3" t="inlineStr">
        <is>
          <t>demanda_externa</t>
        </is>
      </c>
      <c r="E1256" s="3" t="inlineStr">
        <is>
          <t>regional_panel</t>
        </is>
      </c>
      <c r="F1256" s="3" t="n">
        <v>0.00675478</v>
      </c>
      <c r="G1256" s="3" t="n"/>
      <c r="H1256" s="3" t="n"/>
      <c r="I1256" s="3" t="n">
        <v>-0.00156709</v>
      </c>
      <c r="J1256" s="3" t="n">
        <v>-0.045657</v>
      </c>
      <c r="K1256" s="3" t="n">
        <v>0.0214598</v>
      </c>
      <c r="L1256" s="3" t="n">
        <v>-0.0966756</v>
      </c>
      <c r="M1256" s="3" t="n">
        <v>0.0461506</v>
      </c>
      <c r="N1256" s="3" t="inlineStr">
        <is>
          <t>C4</t>
        </is>
      </c>
      <c r="O1256" s="3" t="inlineStr">
        <is>
          <t>si</t>
        </is>
      </c>
      <c r="P1256" s="3" t="inlineStr">
        <is>
          <t>no_vota</t>
        </is>
      </c>
      <c r="Q1256" s="3" t="inlineStr">
        <is>
          <t>panel_covariables</t>
        </is>
      </c>
      <c r="R1256" s="3" t="n"/>
      <c r="S1256" s="3" t="inlineStr">
        <is>
          <t>contraste regional (R6); no vota</t>
        </is>
      </c>
      <c r="T1256" s="3" t="inlineStr">
        <is>
          <t>output/v8/F5/atribucion_combinada.csv</t>
        </is>
      </c>
      <c r="U1256" s="2">
        <f>IF(R1256=0,"",F1256/R1256)</f>
        <v/>
      </c>
      <c r="V1256" s="2">
        <f>SUMIFS(F$2:F$1589,A$2:A$1589,A1256,C$2:C$1589,C1256,E$2:E$1589,E1256,Q$2:Q$1589,Q1256)</f>
        <v/>
      </c>
    </row>
    <row r="1257">
      <c r="A1257" s="3" t="inlineStr">
        <is>
          <t>alquiler</t>
        </is>
      </c>
      <c r="B1257" s="3" t="inlineStr">
        <is>
          <t>ccaa:09</t>
        </is>
      </c>
      <c r="C1257" s="3" t="inlineStr">
        <is>
          <t>P4</t>
        </is>
      </c>
      <c r="D1257" s="3" t="inlineStr">
        <is>
          <t>residuo</t>
        </is>
      </c>
      <c r="E1257" s="3" t="inlineStr">
        <is>
          <t>regional_panel</t>
        </is>
      </c>
      <c r="F1257" s="3" t="n">
        <v>0.256255</v>
      </c>
      <c r="G1257" s="3" t="n"/>
      <c r="H1257" s="3" t="n"/>
      <c r="I1257" s="3" t="n">
        <v>-0.0594505</v>
      </c>
      <c r="J1257" s="3" t="n">
        <v>-0.107707</v>
      </c>
      <c r="K1257" s="3" t="n">
        <v>0.7008450000000001</v>
      </c>
      <c r="L1257" s="3" t="n">
        <v>-0.277756</v>
      </c>
      <c r="M1257" s="3" t="n">
        <v>0.903155</v>
      </c>
      <c r="N1257" s="3" t="inlineStr">
        <is>
          <t>C4</t>
        </is>
      </c>
      <c r="O1257" s="3" t="inlineStr">
        <is>
          <t>no</t>
        </is>
      </c>
      <c r="P1257" s="3" t="inlineStr">
        <is>
          <t>no_compite</t>
        </is>
      </c>
      <c r="Q1257" s="3" t="inlineStr">
        <is>
          <t>panel_covariables</t>
        </is>
      </c>
      <c r="R1257" s="3" t="n"/>
      <c r="S1257" s="3" t="inlineStr">
        <is>
          <t>contraste regional (R6); no vota</t>
        </is>
      </c>
      <c r="T1257" s="3" t="inlineStr">
        <is>
          <t>output/v8/F5/atribucion_combinada.csv</t>
        </is>
      </c>
      <c r="U1257" s="2">
        <f>IF(R1257=0,"",F1257/R1257)</f>
        <v/>
      </c>
      <c r="V1257" s="2">
        <f>SUMIFS(F$2:F$1589,A$2:A$1589,A1257,C$2:C$1589,C1257,E$2:E$1589,E1257,Q$2:Q$1589,Q1257)</f>
        <v/>
      </c>
    </row>
    <row r="1258">
      <c r="A1258" s="3" t="inlineStr">
        <is>
          <t>alquiler</t>
        </is>
      </c>
      <c r="B1258" s="3" t="inlineStr">
        <is>
          <t>ccaa:10</t>
        </is>
      </c>
      <c r="C1258" s="3" t="inlineStr">
        <is>
          <t>P4</t>
        </is>
      </c>
      <c r="D1258" s="3" t="inlineStr">
        <is>
          <t>factor_comun</t>
        </is>
      </c>
      <c r="E1258" s="3" t="inlineStr">
        <is>
          <t>regional_panel</t>
        </is>
      </c>
      <c r="F1258" s="3" t="n">
        <v>-4.82785</v>
      </c>
      <c r="G1258" s="3" t="n"/>
      <c r="H1258" s="3" t="n"/>
      <c r="I1258" s="3" t="n">
        <v>1.22997</v>
      </c>
      <c r="J1258" s="3" t="n">
        <v>-8.01083</v>
      </c>
      <c r="K1258" s="3" t="n">
        <v>-1.73403</v>
      </c>
      <c r="L1258" s="3" t="n">
        <v>-10.2878</v>
      </c>
      <c r="M1258" s="3" t="n">
        <v>-0.0997739</v>
      </c>
      <c r="N1258" s="3" t="inlineStr">
        <is>
          <t>C4</t>
        </is>
      </c>
      <c r="O1258" s="3" t="inlineStr">
        <is>
          <t>no</t>
        </is>
      </c>
      <c r="P1258" s="3" t="inlineStr">
        <is>
          <t>no_compite</t>
        </is>
      </c>
      <c r="Q1258" s="3" t="inlineStr">
        <is>
          <t>panel_covariables</t>
        </is>
      </c>
      <c r="R1258" s="3" t="n"/>
      <c r="S1258" s="3" t="inlineStr">
        <is>
          <t>contraste regional (R6); no vota</t>
        </is>
      </c>
      <c r="T1258" s="3" t="inlineStr">
        <is>
          <t>output/v8/F5/atribucion_combinada.csv</t>
        </is>
      </c>
      <c r="U1258" s="2">
        <f>IF(R1258=0,"",F1258/R1258)</f>
        <v/>
      </c>
      <c r="V1258" s="2">
        <f>SUMIFS(F$2:F$1589,A$2:A$1589,A1258,C$2:C$1589,C1258,E$2:E$1589,E1258,Q$2:Q$1589,Q1258)</f>
        <v/>
      </c>
    </row>
    <row r="1259">
      <c r="A1259" s="3" t="inlineStr">
        <is>
          <t>alquiler</t>
        </is>
      </c>
      <c r="B1259" s="3" t="inlineStr">
        <is>
          <t>ccaa:10</t>
        </is>
      </c>
      <c r="C1259" s="3" t="inlineStr">
        <is>
          <t>P4</t>
        </is>
      </c>
      <c r="D1259" s="3" t="inlineStr">
        <is>
          <t>empleo_renta</t>
        </is>
      </c>
      <c r="E1259" s="3" t="inlineStr">
        <is>
          <t>regional_panel</t>
        </is>
      </c>
      <c r="F1259" s="3" t="n">
        <v>0.0276016</v>
      </c>
      <c r="G1259" s="3" t="n"/>
      <c r="H1259" s="3" t="n"/>
      <c r="I1259" s="3" t="n">
        <v>-0.00703195</v>
      </c>
      <c r="J1259" s="3" t="n">
        <v>-0.0936326</v>
      </c>
      <c r="K1259" s="3" t="n">
        <v>0.0594882</v>
      </c>
      <c r="L1259" s="3" t="n">
        <v>-0.174694</v>
      </c>
      <c r="M1259" s="3" t="n">
        <v>0.107637</v>
      </c>
      <c r="N1259" s="3" t="inlineStr">
        <is>
          <t>C4</t>
        </is>
      </c>
      <c r="O1259" s="3" t="inlineStr">
        <is>
          <t>si</t>
        </is>
      </c>
      <c r="P1259" s="3" t="inlineStr">
        <is>
          <t>no_vota</t>
        </is>
      </c>
      <c r="Q1259" s="3" t="inlineStr">
        <is>
          <t>panel_covariables</t>
        </is>
      </c>
      <c r="R1259" s="3" t="n"/>
      <c r="S1259" s="3" t="inlineStr">
        <is>
          <t>contraste regional (R6); no vota</t>
        </is>
      </c>
      <c r="T1259" s="3" t="inlineStr">
        <is>
          <t>output/v8/F5/atribucion_combinada.csv</t>
        </is>
      </c>
      <c r="U1259" s="2">
        <f>IF(R1259=0,"",F1259/R1259)</f>
        <v/>
      </c>
      <c r="V1259" s="2">
        <f>SUMIFS(F$2:F$1589,A$2:A$1589,A1259,C$2:C$1589,C1259,E$2:E$1589,E1259,Q$2:Q$1589,Q1259)</f>
        <v/>
      </c>
    </row>
    <row r="1260">
      <c r="A1260" s="3" t="inlineStr">
        <is>
          <t>alquiler</t>
        </is>
      </c>
      <c r="B1260" s="3" t="inlineStr">
        <is>
          <t>ccaa:10</t>
        </is>
      </c>
      <c r="C1260" s="3" t="inlineStr">
        <is>
          <t>P4</t>
        </is>
      </c>
      <c r="D1260" s="3" t="inlineStr">
        <is>
          <t>demografia</t>
        </is>
      </c>
      <c r="E1260" s="3" t="inlineStr">
        <is>
          <t>regional_panel</t>
        </is>
      </c>
      <c r="F1260" s="3" t="n">
        <v>0.279955</v>
      </c>
      <c r="G1260" s="3" t="n"/>
      <c r="H1260" s="3" t="n"/>
      <c r="I1260" s="3" t="n">
        <v>-0.07132280000000001</v>
      </c>
      <c r="J1260" s="3" t="n">
        <v>-0.129809</v>
      </c>
      <c r="K1260" s="3" t="n">
        <v>0.454315</v>
      </c>
      <c r="L1260" s="3" t="n">
        <v>-0.559826</v>
      </c>
      <c r="M1260" s="3" t="n">
        <v>0.568936</v>
      </c>
      <c r="N1260" s="3" t="inlineStr">
        <is>
          <t>C4</t>
        </is>
      </c>
      <c r="O1260" s="3" t="inlineStr">
        <is>
          <t>si</t>
        </is>
      </c>
      <c r="P1260" s="3" t="inlineStr">
        <is>
          <t>no_vota</t>
        </is>
      </c>
      <c r="Q1260" s="3" t="inlineStr">
        <is>
          <t>panel_covariables</t>
        </is>
      </c>
      <c r="R1260" s="3" t="n"/>
      <c r="S1260" s="3" t="inlineStr">
        <is>
          <t>contraste regional (R6); no vota</t>
        </is>
      </c>
      <c r="T1260" s="3" t="inlineStr">
        <is>
          <t>output/v8/F5/atribucion_combinada.csv</t>
        </is>
      </c>
      <c r="U1260" s="2">
        <f>IF(R1260=0,"",F1260/R1260)</f>
        <v/>
      </c>
      <c r="V1260" s="2">
        <f>SUMIFS(F$2:F$1589,A$2:A$1589,A1260,C$2:C$1589,C1260,E$2:E$1589,E1260,Q$2:Q$1589,Q1260)</f>
        <v/>
      </c>
    </row>
    <row r="1261">
      <c r="A1261" s="3" t="inlineStr">
        <is>
          <t>alquiler</t>
        </is>
      </c>
      <c r="B1261" s="3" t="inlineStr">
        <is>
          <t>ccaa:10</t>
        </is>
      </c>
      <c r="C1261" s="3" t="inlineStr">
        <is>
          <t>P4</t>
        </is>
      </c>
      <c r="D1261" s="3" t="inlineStr">
        <is>
          <t>oferta</t>
        </is>
      </c>
      <c r="E1261" s="3" t="inlineStr">
        <is>
          <t>regional_panel</t>
        </is>
      </c>
      <c r="F1261" s="3" t="n">
        <v>-0.00114273</v>
      </c>
      <c r="G1261" s="3" t="n"/>
      <c r="H1261" s="3" t="n"/>
      <c r="I1261" s="3" t="n">
        <v>0.000291129</v>
      </c>
      <c r="J1261" s="3" t="n">
        <v>-0.0145885</v>
      </c>
      <c r="K1261" s="3" t="n">
        <v>0.0171925</v>
      </c>
      <c r="L1261" s="3" t="n">
        <v>-0.0423395</v>
      </c>
      <c r="M1261" s="3" t="n">
        <v>0.0441355</v>
      </c>
      <c r="N1261" s="3" t="inlineStr">
        <is>
          <t>C4</t>
        </is>
      </c>
      <c r="O1261" s="3" t="inlineStr">
        <is>
          <t>si</t>
        </is>
      </c>
      <c r="P1261" s="3" t="inlineStr">
        <is>
          <t>no_vota</t>
        </is>
      </c>
      <c r="Q1261" s="3" t="inlineStr">
        <is>
          <t>panel_covariables</t>
        </is>
      </c>
      <c r="R1261" s="3" t="n"/>
      <c r="S1261" s="3" t="inlineStr">
        <is>
          <t>contraste regional (R6); no vota</t>
        </is>
      </c>
      <c r="T1261" s="3" t="inlineStr">
        <is>
          <t>output/v8/F5/atribucion_combinada.csv</t>
        </is>
      </c>
      <c r="U1261" s="2">
        <f>IF(R1261=0,"",F1261/R1261)</f>
        <v/>
      </c>
      <c r="V1261" s="2">
        <f>SUMIFS(F$2:F$1589,A$2:A$1589,A1261,C$2:C$1589,C1261,E$2:E$1589,E1261,Q$2:Q$1589,Q1261)</f>
        <v/>
      </c>
    </row>
    <row r="1262">
      <c r="A1262" s="3" t="inlineStr">
        <is>
          <t>alquiler</t>
        </is>
      </c>
      <c r="B1262" s="3" t="inlineStr">
        <is>
          <t>ccaa:10</t>
        </is>
      </c>
      <c r="C1262" s="3" t="inlineStr">
        <is>
          <t>P4</t>
        </is>
      </c>
      <c r="D1262" s="3" t="inlineStr">
        <is>
          <t>demanda_externa</t>
        </is>
      </c>
      <c r="E1262" s="3" t="inlineStr">
        <is>
          <t>regional_panel</t>
        </is>
      </c>
      <c r="F1262" s="3" t="n">
        <v>0.00671733</v>
      </c>
      <c r="G1262" s="3" t="n"/>
      <c r="H1262" s="3" t="n"/>
      <c r="I1262" s="3" t="n">
        <v>-0.00171134</v>
      </c>
      <c r="J1262" s="3" t="n">
        <v>-0.0508193</v>
      </c>
      <c r="K1262" s="3" t="n">
        <v>0.0214268</v>
      </c>
      <c r="L1262" s="3" t="n">
        <v>-0.110423</v>
      </c>
      <c r="M1262" s="3" t="n">
        <v>0.0621933</v>
      </c>
      <c r="N1262" s="3" t="inlineStr">
        <is>
          <t>C4</t>
        </is>
      </c>
      <c r="O1262" s="3" t="inlineStr">
        <is>
          <t>si</t>
        </is>
      </c>
      <c r="P1262" s="3" t="inlineStr">
        <is>
          <t>no_vota</t>
        </is>
      </c>
      <c r="Q1262" s="3" t="inlineStr">
        <is>
          <t>panel_covariables</t>
        </is>
      </c>
      <c r="R1262" s="3" t="n"/>
      <c r="S1262" s="3" t="inlineStr">
        <is>
          <t>contraste regional (R6); no vota</t>
        </is>
      </c>
      <c r="T1262" s="3" t="inlineStr">
        <is>
          <t>output/v8/F5/atribucion_combinada.csv</t>
        </is>
      </c>
      <c r="U1262" s="2">
        <f>IF(R1262=0,"",F1262/R1262)</f>
        <v/>
      </c>
      <c r="V1262" s="2">
        <f>SUMIFS(F$2:F$1589,A$2:A$1589,A1262,C$2:C$1589,C1262,E$2:E$1589,E1262,Q$2:Q$1589,Q1262)</f>
        <v/>
      </c>
    </row>
    <row r="1263">
      <c r="A1263" s="3" t="inlineStr">
        <is>
          <t>alquiler</t>
        </is>
      </c>
      <c r="B1263" s="3" t="inlineStr">
        <is>
          <t>ccaa:10</t>
        </is>
      </c>
      <c r="C1263" s="3" t="inlineStr">
        <is>
          <t>P4</t>
        </is>
      </c>
      <c r="D1263" s="3" t="inlineStr">
        <is>
          <t>residuo</t>
        </is>
      </c>
      <c r="E1263" s="3" t="inlineStr">
        <is>
          <t>regional_panel</t>
        </is>
      </c>
      <c r="F1263" s="3" t="n">
        <v>0.589537</v>
      </c>
      <c r="G1263" s="3" t="n"/>
      <c r="H1263" s="3" t="n"/>
      <c r="I1263" s="3" t="n">
        <v>-0.150194</v>
      </c>
      <c r="J1263" s="3" t="n">
        <v>0.445984</v>
      </c>
      <c r="K1263" s="3" t="n">
        <v>0.965743</v>
      </c>
      <c r="L1263" s="3" t="n">
        <v>0.280685</v>
      </c>
      <c r="M1263" s="3" t="n">
        <v>1.13044</v>
      </c>
      <c r="N1263" s="3" t="inlineStr">
        <is>
          <t>C4</t>
        </is>
      </c>
      <c r="O1263" s="3" t="inlineStr">
        <is>
          <t>no</t>
        </is>
      </c>
      <c r="P1263" s="3" t="inlineStr">
        <is>
          <t>no_compite</t>
        </is>
      </c>
      <c r="Q1263" s="3" t="inlineStr">
        <is>
          <t>panel_covariables</t>
        </is>
      </c>
      <c r="R1263" s="3" t="n"/>
      <c r="S1263" s="3" t="inlineStr">
        <is>
          <t>contraste regional (R6); no vota</t>
        </is>
      </c>
      <c r="T1263" s="3" t="inlineStr">
        <is>
          <t>output/v8/F5/atribucion_combinada.csv</t>
        </is>
      </c>
      <c r="U1263" s="2">
        <f>IF(R1263=0,"",F1263/R1263)</f>
        <v/>
      </c>
      <c r="V1263" s="2">
        <f>SUMIFS(F$2:F$1589,A$2:A$1589,A1263,C$2:C$1589,C1263,E$2:E$1589,E1263,Q$2:Q$1589,Q1263)</f>
        <v/>
      </c>
    </row>
    <row r="1264">
      <c r="A1264" s="3" t="inlineStr">
        <is>
          <t>alquiler</t>
        </is>
      </c>
      <c r="B1264" s="3" t="inlineStr">
        <is>
          <t>ccaa:11</t>
        </is>
      </c>
      <c r="C1264" s="3" t="inlineStr">
        <is>
          <t>P4</t>
        </is>
      </c>
      <c r="D1264" s="3" t="inlineStr">
        <is>
          <t>factor_comun</t>
        </is>
      </c>
      <c r="E1264" s="3" t="inlineStr">
        <is>
          <t>regional_panel</t>
        </is>
      </c>
      <c r="F1264" s="3" t="n">
        <v>-4.82785</v>
      </c>
      <c r="G1264" s="3" t="n"/>
      <c r="H1264" s="3" t="n"/>
      <c r="I1264" s="3" t="n">
        <v>0.9611730000000001</v>
      </c>
      <c r="J1264" s="3" t="n">
        <v>-8.01083</v>
      </c>
      <c r="K1264" s="3" t="n">
        <v>-1.73403</v>
      </c>
      <c r="L1264" s="3" t="n">
        <v>-10.2878</v>
      </c>
      <c r="M1264" s="3" t="n">
        <v>-0.0997739</v>
      </c>
      <c r="N1264" s="3" t="inlineStr">
        <is>
          <t>C4</t>
        </is>
      </c>
      <c r="O1264" s="3" t="inlineStr">
        <is>
          <t>no</t>
        </is>
      </c>
      <c r="P1264" s="3" t="inlineStr">
        <is>
          <t>no_compite</t>
        </is>
      </c>
      <c r="Q1264" s="3" t="inlineStr">
        <is>
          <t>panel_covariables</t>
        </is>
      </c>
      <c r="R1264" s="3" t="n"/>
      <c r="S1264" s="3" t="inlineStr">
        <is>
          <t>contraste regional (R6); no vota</t>
        </is>
      </c>
      <c r="T1264" s="3" t="inlineStr">
        <is>
          <t>output/v8/F5/atribucion_combinada.csv</t>
        </is>
      </c>
      <c r="U1264" s="2">
        <f>IF(R1264=0,"",F1264/R1264)</f>
        <v/>
      </c>
      <c r="V1264" s="2">
        <f>SUMIFS(F$2:F$1589,A$2:A$1589,A1264,C$2:C$1589,C1264,E$2:E$1589,E1264,Q$2:Q$1589,Q1264)</f>
        <v/>
      </c>
    </row>
    <row r="1265">
      <c r="A1265" s="3" t="inlineStr">
        <is>
          <t>alquiler</t>
        </is>
      </c>
      <c r="B1265" s="3" t="inlineStr">
        <is>
          <t>ccaa:11</t>
        </is>
      </c>
      <c r="C1265" s="3" t="inlineStr">
        <is>
          <t>P4</t>
        </is>
      </c>
      <c r="D1265" s="3" t="inlineStr">
        <is>
          <t>empleo_renta</t>
        </is>
      </c>
      <c r="E1265" s="3" t="inlineStr">
        <is>
          <t>regional_panel</t>
        </is>
      </c>
      <c r="F1265" s="3" t="n">
        <v>0.0626509</v>
      </c>
      <c r="G1265" s="3" t="n"/>
      <c r="H1265" s="3" t="n"/>
      <c r="I1265" s="3" t="n">
        <v>-0.0124731</v>
      </c>
      <c r="J1265" s="3" t="n">
        <v>-0.0178828</v>
      </c>
      <c r="K1265" s="3" t="n">
        <v>0.0771765</v>
      </c>
      <c r="L1265" s="3" t="n">
        <v>-0.133769</v>
      </c>
      <c r="M1265" s="3" t="n">
        <v>0.09488870000000001</v>
      </c>
      <c r="N1265" s="3" t="inlineStr">
        <is>
          <t>C4</t>
        </is>
      </c>
      <c r="O1265" s="3" t="inlineStr">
        <is>
          <t>si</t>
        </is>
      </c>
      <c r="P1265" s="3" t="inlineStr">
        <is>
          <t>no_vota</t>
        </is>
      </c>
      <c r="Q1265" s="3" t="inlineStr">
        <is>
          <t>panel_covariables</t>
        </is>
      </c>
      <c r="R1265" s="3" t="n"/>
      <c r="S1265" s="3" t="inlineStr">
        <is>
          <t>contraste regional (R6); no vota</t>
        </is>
      </c>
      <c r="T1265" s="3" t="inlineStr">
        <is>
          <t>output/v8/F5/atribucion_combinada.csv</t>
        </is>
      </c>
      <c r="U1265" s="2">
        <f>IF(R1265=0,"",F1265/R1265)</f>
        <v/>
      </c>
      <c r="V1265" s="2">
        <f>SUMIFS(F$2:F$1589,A$2:A$1589,A1265,C$2:C$1589,C1265,E$2:E$1589,E1265,Q$2:Q$1589,Q1265)</f>
        <v/>
      </c>
    </row>
    <row r="1266">
      <c r="A1266" s="3" t="inlineStr">
        <is>
          <t>alquiler</t>
        </is>
      </c>
      <c r="B1266" s="3" t="inlineStr">
        <is>
          <t>ccaa:11</t>
        </is>
      </c>
      <c r="C1266" s="3" t="inlineStr">
        <is>
          <t>P4</t>
        </is>
      </c>
      <c r="D1266" s="3" t="inlineStr">
        <is>
          <t>demografia</t>
        </is>
      </c>
      <c r="E1266" s="3" t="inlineStr">
        <is>
          <t>regional_panel</t>
        </is>
      </c>
      <c r="F1266" s="3" t="n">
        <v>0.394219</v>
      </c>
      <c r="G1266" s="3" t="n"/>
      <c r="H1266" s="3" t="n"/>
      <c r="I1266" s="3" t="n">
        <v>-0.0784847</v>
      </c>
      <c r="J1266" s="3" t="n">
        <v>-0.124302</v>
      </c>
      <c r="K1266" s="3" t="n">
        <v>1.24069</v>
      </c>
      <c r="L1266" s="3" t="n">
        <v>-0.322868</v>
      </c>
      <c r="M1266" s="3" t="n">
        <v>2.74856</v>
      </c>
      <c r="N1266" s="3" t="inlineStr">
        <is>
          <t>C4</t>
        </is>
      </c>
      <c r="O1266" s="3" t="inlineStr">
        <is>
          <t>si</t>
        </is>
      </c>
      <c r="P1266" s="3" t="inlineStr">
        <is>
          <t>no_vota</t>
        </is>
      </c>
      <c r="Q1266" s="3" t="inlineStr">
        <is>
          <t>panel_covariables</t>
        </is>
      </c>
      <c r="R1266" s="3" t="n"/>
      <c r="S1266" s="3" t="inlineStr">
        <is>
          <t>contraste regional (R6); no vota</t>
        </is>
      </c>
      <c r="T1266" s="3" t="inlineStr">
        <is>
          <t>output/v8/F5/atribucion_combinada.csv</t>
        </is>
      </c>
      <c r="U1266" s="2">
        <f>IF(R1266=0,"",F1266/R1266)</f>
        <v/>
      </c>
      <c r="V1266" s="2">
        <f>SUMIFS(F$2:F$1589,A$2:A$1589,A1266,C$2:C$1589,C1266,E$2:E$1589,E1266,Q$2:Q$1589,Q1266)</f>
        <v/>
      </c>
    </row>
    <row r="1267">
      <c r="A1267" s="3" t="inlineStr">
        <is>
          <t>alquiler</t>
        </is>
      </c>
      <c r="B1267" s="3" t="inlineStr">
        <is>
          <t>ccaa:11</t>
        </is>
      </c>
      <c r="C1267" s="3" t="inlineStr">
        <is>
          <t>P4</t>
        </is>
      </c>
      <c r="D1267" s="3" t="inlineStr">
        <is>
          <t>oferta</t>
        </is>
      </c>
      <c r="E1267" s="3" t="inlineStr">
        <is>
          <t>regional_panel</t>
        </is>
      </c>
      <c r="F1267" s="3" t="n">
        <v>0.00221354</v>
      </c>
      <c r="G1267" s="3" t="n"/>
      <c r="H1267" s="3" t="n"/>
      <c r="I1267" s="3" t="n">
        <v>-0.000440692</v>
      </c>
      <c r="J1267" s="3" t="n">
        <v>-0.0104587</v>
      </c>
      <c r="K1267" s="3" t="n">
        <v>0.0299912</v>
      </c>
      <c r="L1267" s="3" t="n">
        <v>-0.0257028</v>
      </c>
      <c r="M1267" s="3" t="n">
        <v>0.0557125</v>
      </c>
      <c r="N1267" s="3" t="inlineStr">
        <is>
          <t>C4</t>
        </is>
      </c>
      <c r="O1267" s="3" t="inlineStr">
        <is>
          <t>si</t>
        </is>
      </c>
      <c r="P1267" s="3" t="inlineStr">
        <is>
          <t>no_vota</t>
        </is>
      </c>
      <c r="Q1267" s="3" t="inlineStr">
        <is>
          <t>panel_covariables</t>
        </is>
      </c>
      <c r="R1267" s="3" t="n"/>
      <c r="S1267" s="3" t="inlineStr">
        <is>
          <t>contraste regional (R6); no vota</t>
        </is>
      </c>
      <c r="T1267" s="3" t="inlineStr">
        <is>
          <t>output/v8/F5/atribucion_combinada.csv</t>
        </is>
      </c>
      <c r="U1267" s="2">
        <f>IF(R1267=0,"",F1267/R1267)</f>
        <v/>
      </c>
      <c r="V1267" s="2">
        <f>SUMIFS(F$2:F$1589,A$2:A$1589,A1267,C$2:C$1589,C1267,E$2:E$1589,E1267,Q$2:Q$1589,Q1267)</f>
        <v/>
      </c>
    </row>
    <row r="1268">
      <c r="A1268" s="3" t="inlineStr">
        <is>
          <t>alquiler</t>
        </is>
      </c>
      <c r="B1268" s="3" t="inlineStr">
        <is>
          <t>ccaa:11</t>
        </is>
      </c>
      <c r="C1268" s="3" t="inlineStr">
        <is>
          <t>P4</t>
        </is>
      </c>
      <c r="D1268" s="3" t="inlineStr">
        <is>
          <t>demanda_externa</t>
        </is>
      </c>
      <c r="E1268" s="3" t="inlineStr">
        <is>
          <t>regional_panel</t>
        </is>
      </c>
      <c r="F1268" s="3" t="n">
        <v>0.0118218</v>
      </c>
      <c r="G1268" s="3" t="n"/>
      <c r="H1268" s="3" t="n"/>
      <c r="I1268" s="3" t="n">
        <v>-0.00235359</v>
      </c>
      <c r="J1268" s="3" t="n">
        <v>-0.0379511</v>
      </c>
      <c r="K1268" s="3" t="n">
        <v>0.049902</v>
      </c>
      <c r="L1268" s="3" t="n">
        <v>-0.100348</v>
      </c>
      <c r="M1268" s="3" t="n">
        <v>0.125485</v>
      </c>
      <c r="N1268" s="3" t="inlineStr">
        <is>
          <t>C4</t>
        </is>
      </c>
      <c r="O1268" s="3" t="inlineStr">
        <is>
          <t>si</t>
        </is>
      </c>
      <c r="P1268" s="3" t="inlineStr">
        <is>
          <t>no_vota</t>
        </is>
      </c>
      <c r="Q1268" s="3" t="inlineStr">
        <is>
          <t>panel_covariables</t>
        </is>
      </c>
      <c r="R1268" s="3" t="n"/>
      <c r="S1268" s="3" t="inlineStr">
        <is>
          <t>contraste regional (R6); no vota</t>
        </is>
      </c>
      <c r="T1268" s="3" t="inlineStr">
        <is>
          <t>output/v8/F5/atribucion_combinada.csv</t>
        </is>
      </c>
      <c r="U1268" s="2">
        <f>IF(R1268=0,"",F1268/R1268)</f>
        <v/>
      </c>
      <c r="V1268" s="2">
        <f>SUMIFS(F$2:F$1589,A$2:A$1589,A1268,C$2:C$1589,C1268,E$2:E$1589,E1268,Q$2:Q$1589,Q1268)</f>
        <v/>
      </c>
    </row>
    <row r="1269">
      <c r="A1269" s="3" t="inlineStr">
        <is>
          <t>alquiler</t>
        </is>
      </c>
      <c r="B1269" s="3" t="inlineStr">
        <is>
          <t>ccaa:11</t>
        </is>
      </c>
      <c r="C1269" s="3" t="inlineStr">
        <is>
          <t>P4</t>
        </is>
      </c>
      <c r="D1269" s="3" t="inlineStr">
        <is>
          <t>residuo</t>
        </is>
      </c>
      <c r="E1269" s="3" t="inlineStr">
        <is>
          <t>regional_panel</t>
        </is>
      </c>
      <c r="F1269" s="3" t="n">
        <v>-0.66593</v>
      </c>
      <c r="G1269" s="3" t="n"/>
      <c r="H1269" s="3" t="n"/>
      <c r="I1269" s="3" t="n">
        <v>0.132579</v>
      </c>
      <c r="J1269" s="3" t="n">
        <v>-1.47643</v>
      </c>
      <c r="K1269" s="3" t="n">
        <v>-0.218152</v>
      </c>
      <c r="L1269" s="3" t="n">
        <v>-2.36722</v>
      </c>
      <c r="M1269" s="3" t="n">
        <v>0.460784</v>
      </c>
      <c r="N1269" s="3" t="inlineStr">
        <is>
          <t>C4</t>
        </is>
      </c>
      <c r="O1269" s="3" t="inlineStr">
        <is>
          <t>no</t>
        </is>
      </c>
      <c r="P1269" s="3" t="inlineStr">
        <is>
          <t>no_compite</t>
        </is>
      </c>
      <c r="Q1269" s="3" t="inlineStr">
        <is>
          <t>panel_covariables</t>
        </is>
      </c>
      <c r="R1269" s="3" t="n"/>
      <c r="S1269" s="3" t="inlineStr">
        <is>
          <t>contraste regional (R6); no vota</t>
        </is>
      </c>
      <c r="T1269" s="3" t="inlineStr">
        <is>
          <t>output/v8/F5/atribucion_combinada.csv</t>
        </is>
      </c>
      <c r="U1269" s="2">
        <f>IF(R1269=0,"",F1269/R1269)</f>
        <v/>
      </c>
      <c r="V1269" s="2">
        <f>SUMIFS(F$2:F$1589,A$2:A$1589,A1269,C$2:C$1589,C1269,E$2:E$1589,E1269,Q$2:Q$1589,Q1269)</f>
        <v/>
      </c>
    </row>
    <row r="1270">
      <c r="A1270" s="3" t="inlineStr">
        <is>
          <t>alquiler</t>
        </is>
      </c>
      <c r="B1270" s="3" t="inlineStr">
        <is>
          <t>ccaa:12</t>
        </is>
      </c>
      <c r="C1270" s="3" t="inlineStr">
        <is>
          <t>P4</t>
        </is>
      </c>
      <c r="D1270" s="3" t="inlineStr">
        <is>
          <t>factor_comun</t>
        </is>
      </c>
      <c r="E1270" s="3" t="inlineStr">
        <is>
          <t>regional_panel</t>
        </is>
      </c>
      <c r="F1270" s="3" t="n">
        <v>-4.82785</v>
      </c>
      <c r="G1270" s="3" t="n"/>
      <c r="H1270" s="3" t="n"/>
      <c r="I1270" s="3" t="n">
        <v>0.984961</v>
      </c>
      <c r="J1270" s="3" t="n">
        <v>-8.01083</v>
      </c>
      <c r="K1270" s="3" t="n">
        <v>-1.73403</v>
      </c>
      <c r="L1270" s="3" t="n">
        <v>-10.2878</v>
      </c>
      <c r="M1270" s="3" t="n">
        <v>-0.0997739</v>
      </c>
      <c r="N1270" s="3" t="inlineStr">
        <is>
          <t>C4</t>
        </is>
      </c>
      <c r="O1270" s="3" t="inlineStr">
        <is>
          <t>no</t>
        </is>
      </c>
      <c r="P1270" s="3" t="inlineStr">
        <is>
          <t>no_compite</t>
        </is>
      </c>
      <c r="Q1270" s="3" t="inlineStr">
        <is>
          <t>panel_covariables</t>
        </is>
      </c>
      <c r="R1270" s="3" t="n"/>
      <c r="S1270" s="3" t="inlineStr">
        <is>
          <t>contraste regional (R6); no vota</t>
        </is>
      </c>
      <c r="T1270" s="3" t="inlineStr">
        <is>
          <t>output/v8/F5/atribucion_combinada.csv</t>
        </is>
      </c>
      <c r="U1270" s="2">
        <f>IF(R1270=0,"",F1270/R1270)</f>
        <v/>
      </c>
      <c r="V1270" s="2">
        <f>SUMIFS(F$2:F$1589,A$2:A$1589,A1270,C$2:C$1589,C1270,E$2:E$1589,E1270,Q$2:Q$1589,Q1270)</f>
        <v/>
      </c>
    </row>
    <row r="1271">
      <c r="A1271" s="3" t="inlineStr">
        <is>
          <t>alquiler</t>
        </is>
      </c>
      <c r="B1271" s="3" t="inlineStr">
        <is>
          <t>ccaa:12</t>
        </is>
      </c>
      <c r="C1271" s="3" t="inlineStr">
        <is>
          <t>P4</t>
        </is>
      </c>
      <c r="D1271" s="3" t="inlineStr">
        <is>
          <t>empleo_renta</t>
        </is>
      </c>
      <c r="E1271" s="3" t="inlineStr">
        <is>
          <t>regional_panel</t>
        </is>
      </c>
      <c r="F1271" s="3" t="n">
        <v>0.0101556</v>
      </c>
      <c r="G1271" s="3" t="n"/>
      <c r="H1271" s="3" t="n"/>
      <c r="I1271" s="3" t="n">
        <v>-0.00207191</v>
      </c>
      <c r="J1271" s="3" t="n">
        <v>-0.0301639</v>
      </c>
      <c r="K1271" s="3" t="n">
        <v>0.0193798</v>
      </c>
      <c r="L1271" s="3" t="n">
        <v>-0.0635109</v>
      </c>
      <c r="M1271" s="3" t="n">
        <v>0.0312378</v>
      </c>
      <c r="N1271" s="3" t="inlineStr">
        <is>
          <t>C4</t>
        </is>
      </c>
      <c r="O1271" s="3" t="inlineStr">
        <is>
          <t>si</t>
        </is>
      </c>
      <c r="P1271" s="3" t="inlineStr">
        <is>
          <t>no_vota</t>
        </is>
      </c>
      <c r="Q1271" s="3" t="inlineStr">
        <is>
          <t>panel_covariables</t>
        </is>
      </c>
      <c r="R1271" s="3" t="n"/>
      <c r="S1271" s="3" t="inlineStr">
        <is>
          <t>contraste regional (R6); no vota</t>
        </is>
      </c>
      <c r="T1271" s="3" t="inlineStr">
        <is>
          <t>output/v8/F5/atribucion_combinada.csv</t>
        </is>
      </c>
      <c r="U1271" s="2">
        <f>IF(R1271=0,"",F1271/R1271)</f>
        <v/>
      </c>
      <c r="V1271" s="2">
        <f>SUMIFS(F$2:F$1589,A$2:A$1589,A1271,C$2:C$1589,C1271,E$2:E$1589,E1271,Q$2:Q$1589,Q1271)</f>
        <v/>
      </c>
    </row>
    <row r="1272">
      <c r="A1272" s="3" t="inlineStr">
        <is>
          <t>alquiler</t>
        </is>
      </c>
      <c r="B1272" s="3" t="inlineStr">
        <is>
          <t>ccaa:12</t>
        </is>
      </c>
      <c r="C1272" s="3" t="inlineStr">
        <is>
          <t>P4</t>
        </is>
      </c>
      <c r="D1272" s="3" t="inlineStr">
        <is>
          <t>demografia</t>
        </is>
      </c>
      <c r="E1272" s="3" t="inlineStr">
        <is>
          <t>regional_panel</t>
        </is>
      </c>
      <c r="F1272" s="3" t="n">
        <v>0.612603</v>
      </c>
      <c r="G1272" s="3" t="n"/>
      <c r="H1272" s="3" t="n"/>
      <c r="I1272" s="3" t="n">
        <v>-0.124981</v>
      </c>
      <c r="J1272" s="3" t="n">
        <v>0.0504072</v>
      </c>
      <c r="K1272" s="3" t="n">
        <v>1.59071</v>
      </c>
      <c r="L1272" s="3" t="n">
        <v>-0.184008</v>
      </c>
      <c r="M1272" s="3" t="n">
        <v>3.02335</v>
      </c>
      <c r="N1272" s="3" t="inlineStr">
        <is>
          <t>C4</t>
        </is>
      </c>
      <c r="O1272" s="3" t="inlineStr">
        <is>
          <t>si</t>
        </is>
      </c>
      <c r="P1272" s="3" t="inlineStr">
        <is>
          <t>no_vota</t>
        </is>
      </c>
      <c r="Q1272" s="3" t="inlineStr">
        <is>
          <t>panel_covariables</t>
        </is>
      </c>
      <c r="R1272" s="3" t="n"/>
      <c r="S1272" s="3" t="inlineStr">
        <is>
          <t>contraste regional (R6); no vota</t>
        </is>
      </c>
      <c r="T1272" s="3" t="inlineStr">
        <is>
          <t>output/v8/F5/atribucion_combinada.csv</t>
        </is>
      </c>
      <c r="U1272" s="2">
        <f>IF(R1272=0,"",F1272/R1272)</f>
        <v/>
      </c>
      <c r="V1272" s="2">
        <f>SUMIFS(F$2:F$1589,A$2:A$1589,A1272,C$2:C$1589,C1272,E$2:E$1589,E1272,Q$2:Q$1589,Q1272)</f>
        <v/>
      </c>
    </row>
    <row r="1273">
      <c r="A1273" s="3" t="inlineStr">
        <is>
          <t>alquiler</t>
        </is>
      </c>
      <c r="B1273" s="3" t="inlineStr">
        <is>
          <t>ccaa:12</t>
        </is>
      </c>
      <c r="C1273" s="3" t="inlineStr">
        <is>
          <t>P4</t>
        </is>
      </c>
      <c r="D1273" s="3" t="inlineStr">
        <is>
          <t>oferta</t>
        </is>
      </c>
      <c r="E1273" s="3" t="inlineStr">
        <is>
          <t>regional_panel</t>
        </is>
      </c>
      <c r="F1273" s="3" t="n">
        <v>0.00327023</v>
      </c>
      <c r="G1273" s="3" t="n"/>
      <c r="H1273" s="3" t="n"/>
      <c r="I1273" s="3" t="n">
        <v>-0.000667181</v>
      </c>
      <c r="J1273" s="3" t="n">
        <v>-0.0077404</v>
      </c>
      <c r="K1273" s="3" t="n">
        <v>0.0270108</v>
      </c>
      <c r="L1273" s="3" t="n">
        <v>-0.026378</v>
      </c>
      <c r="M1273" s="3" t="n">
        <v>0.0536369</v>
      </c>
      <c r="N1273" s="3" t="inlineStr">
        <is>
          <t>C4</t>
        </is>
      </c>
      <c r="O1273" s="3" t="inlineStr">
        <is>
          <t>si</t>
        </is>
      </c>
      <c r="P1273" s="3" t="inlineStr">
        <is>
          <t>no_vota</t>
        </is>
      </c>
      <c r="Q1273" s="3" t="inlineStr">
        <is>
          <t>panel_covariables</t>
        </is>
      </c>
      <c r="R1273" s="3" t="n"/>
      <c r="S1273" s="3" t="inlineStr">
        <is>
          <t>contraste regional (R6); no vota</t>
        </is>
      </c>
      <c r="T1273" s="3" t="inlineStr">
        <is>
          <t>output/v8/F5/atribucion_combinada.csv</t>
        </is>
      </c>
      <c r="U1273" s="2">
        <f>IF(R1273=0,"",F1273/R1273)</f>
        <v/>
      </c>
      <c r="V1273" s="2">
        <f>SUMIFS(F$2:F$1589,A$2:A$1589,A1273,C$2:C$1589,C1273,E$2:E$1589,E1273,Q$2:Q$1589,Q1273)</f>
        <v/>
      </c>
    </row>
    <row r="1274">
      <c r="A1274" s="3" t="inlineStr">
        <is>
          <t>alquiler</t>
        </is>
      </c>
      <c r="B1274" s="3" t="inlineStr">
        <is>
          <t>ccaa:12</t>
        </is>
      </c>
      <c r="C1274" s="3" t="inlineStr">
        <is>
          <t>P4</t>
        </is>
      </c>
      <c r="D1274" s="3" t="inlineStr">
        <is>
          <t>demanda_externa</t>
        </is>
      </c>
      <c r="E1274" s="3" t="inlineStr">
        <is>
          <t>regional_panel</t>
        </is>
      </c>
      <c r="F1274" s="3" t="n">
        <v>0.009797699999999999</v>
      </c>
      <c r="G1274" s="3" t="n"/>
      <c r="H1274" s="3" t="n"/>
      <c r="I1274" s="3" t="n">
        <v>-0.00199889</v>
      </c>
      <c r="J1274" s="3" t="n">
        <v>-0.0535059</v>
      </c>
      <c r="K1274" s="3" t="n">
        <v>0.0182705</v>
      </c>
      <c r="L1274" s="3" t="n">
        <v>-0.101603</v>
      </c>
      <c r="M1274" s="3" t="n">
        <v>0.0428189</v>
      </c>
      <c r="N1274" s="3" t="inlineStr">
        <is>
          <t>C4</t>
        </is>
      </c>
      <c r="O1274" s="3" t="inlineStr">
        <is>
          <t>si</t>
        </is>
      </c>
      <c r="P1274" s="3" t="inlineStr">
        <is>
          <t>no_vota</t>
        </is>
      </c>
      <c r="Q1274" s="3" t="inlineStr">
        <is>
          <t>panel_covariables</t>
        </is>
      </c>
      <c r="R1274" s="3" t="n"/>
      <c r="S1274" s="3" t="inlineStr">
        <is>
          <t>contraste regional (R6); no vota</t>
        </is>
      </c>
      <c r="T1274" s="3" t="inlineStr">
        <is>
          <t>output/v8/F5/atribucion_combinada.csv</t>
        </is>
      </c>
      <c r="U1274" s="2">
        <f>IF(R1274=0,"",F1274/R1274)</f>
        <v/>
      </c>
      <c r="V1274" s="2">
        <f>SUMIFS(F$2:F$1589,A$2:A$1589,A1274,C$2:C$1589,C1274,E$2:E$1589,E1274,Q$2:Q$1589,Q1274)</f>
        <v/>
      </c>
    </row>
    <row r="1275">
      <c r="A1275" s="3" t="inlineStr">
        <is>
          <t>alquiler</t>
        </is>
      </c>
      <c r="B1275" s="3" t="inlineStr">
        <is>
          <t>ccaa:12</t>
        </is>
      </c>
      <c r="C1275" s="3" t="inlineStr">
        <is>
          <t>P4</t>
        </is>
      </c>
      <c r="D1275" s="3" t="inlineStr">
        <is>
          <t>residuo</t>
        </is>
      </c>
      <c r="E1275" s="3" t="inlineStr">
        <is>
          <t>regional_panel</t>
        </is>
      </c>
      <c r="F1275" s="3" t="n">
        <v>-0.709541</v>
      </c>
      <c r="G1275" s="3" t="n"/>
      <c r="H1275" s="3" t="n"/>
      <c r="I1275" s="3" t="n">
        <v>0.144758</v>
      </c>
      <c r="J1275" s="3" t="n">
        <v>-1.91942</v>
      </c>
      <c r="K1275" s="3" t="n">
        <v>0.0629947</v>
      </c>
      <c r="L1275" s="3" t="n">
        <v>-3.71441</v>
      </c>
      <c r="M1275" s="3" t="n">
        <v>0.478214</v>
      </c>
      <c r="N1275" s="3" t="inlineStr">
        <is>
          <t>C4</t>
        </is>
      </c>
      <c r="O1275" s="3" t="inlineStr">
        <is>
          <t>no</t>
        </is>
      </c>
      <c r="P1275" s="3" t="inlineStr">
        <is>
          <t>no_compite</t>
        </is>
      </c>
      <c r="Q1275" s="3" t="inlineStr">
        <is>
          <t>panel_covariables</t>
        </is>
      </c>
      <c r="R1275" s="3" t="n"/>
      <c r="S1275" s="3" t="inlineStr">
        <is>
          <t>contraste regional (R6); no vota</t>
        </is>
      </c>
      <c r="T1275" s="3" t="inlineStr">
        <is>
          <t>output/v8/F5/atribucion_combinada.csv</t>
        </is>
      </c>
      <c r="U1275" s="2">
        <f>IF(R1275=0,"",F1275/R1275)</f>
        <v/>
      </c>
      <c r="V1275" s="2">
        <f>SUMIFS(F$2:F$1589,A$2:A$1589,A1275,C$2:C$1589,C1275,E$2:E$1589,E1275,Q$2:Q$1589,Q1275)</f>
        <v/>
      </c>
    </row>
    <row r="1276">
      <c r="A1276" s="3" t="inlineStr">
        <is>
          <t>alquiler</t>
        </is>
      </c>
      <c r="B1276" s="3" t="inlineStr">
        <is>
          <t>ccaa:13</t>
        </is>
      </c>
      <c r="C1276" s="3" t="inlineStr">
        <is>
          <t>P4</t>
        </is>
      </c>
      <c r="D1276" s="3" t="inlineStr">
        <is>
          <t>factor_comun</t>
        </is>
      </c>
      <c r="E1276" s="3" t="inlineStr">
        <is>
          <t>regional_panel</t>
        </is>
      </c>
      <c r="F1276" s="3" t="n">
        <v>-4.82785</v>
      </c>
      <c r="G1276" s="3" t="n"/>
      <c r="H1276" s="3" t="n"/>
      <c r="I1276" s="3" t="n">
        <v>0.926952</v>
      </c>
      <c r="J1276" s="3" t="n">
        <v>-8.01083</v>
      </c>
      <c r="K1276" s="3" t="n">
        <v>-1.73403</v>
      </c>
      <c r="L1276" s="3" t="n">
        <v>-10.2878</v>
      </c>
      <c r="M1276" s="3" t="n">
        <v>-0.0997739</v>
      </c>
      <c r="N1276" s="3" t="inlineStr">
        <is>
          <t>C4</t>
        </is>
      </c>
      <c r="O1276" s="3" t="inlineStr">
        <is>
          <t>no</t>
        </is>
      </c>
      <c r="P1276" s="3" t="inlineStr">
        <is>
          <t>no_compite</t>
        </is>
      </c>
      <c r="Q1276" s="3" t="inlineStr">
        <is>
          <t>panel_covariables</t>
        </is>
      </c>
      <c r="R1276" s="3" t="n"/>
      <c r="S1276" s="3" t="inlineStr">
        <is>
          <t>contraste regional (R6); no vota</t>
        </is>
      </c>
      <c r="T1276" s="3" t="inlineStr">
        <is>
          <t>output/v8/F5/atribucion_combinada.csv</t>
        </is>
      </c>
      <c r="U1276" s="2">
        <f>IF(R1276=0,"",F1276/R1276)</f>
        <v/>
      </c>
      <c r="V1276" s="2">
        <f>SUMIFS(F$2:F$1589,A$2:A$1589,A1276,C$2:C$1589,C1276,E$2:E$1589,E1276,Q$2:Q$1589,Q1276)</f>
        <v/>
      </c>
    </row>
    <row r="1277">
      <c r="A1277" s="3" t="inlineStr">
        <is>
          <t>alquiler</t>
        </is>
      </c>
      <c r="B1277" s="3" t="inlineStr">
        <is>
          <t>ccaa:13</t>
        </is>
      </c>
      <c r="C1277" s="3" t="inlineStr">
        <is>
          <t>P4</t>
        </is>
      </c>
      <c r="D1277" s="3" t="inlineStr">
        <is>
          <t>empleo_renta</t>
        </is>
      </c>
      <c r="E1277" s="3" t="inlineStr">
        <is>
          <t>regional_panel</t>
        </is>
      </c>
      <c r="F1277" s="3" t="n">
        <v>0.0129234</v>
      </c>
      <c r="G1277" s="3" t="n"/>
      <c r="H1277" s="3" t="n"/>
      <c r="I1277" s="3" t="n">
        <v>-0.0024813</v>
      </c>
      <c r="J1277" s="3" t="n">
        <v>-0.08902409999999999</v>
      </c>
      <c r="K1277" s="3" t="n">
        <v>0.0563729</v>
      </c>
      <c r="L1277" s="3" t="n">
        <v>-0.12098</v>
      </c>
      <c r="M1277" s="3" t="n">
        <v>0.0949807</v>
      </c>
      <c r="N1277" s="3" t="inlineStr">
        <is>
          <t>C4</t>
        </is>
      </c>
      <c r="O1277" s="3" t="inlineStr">
        <is>
          <t>si</t>
        </is>
      </c>
      <c r="P1277" s="3" t="inlineStr">
        <is>
          <t>no_vota</t>
        </is>
      </c>
      <c r="Q1277" s="3" t="inlineStr">
        <is>
          <t>panel_covariables</t>
        </is>
      </c>
      <c r="R1277" s="3" t="n"/>
      <c r="S1277" s="3" t="inlineStr">
        <is>
          <t>contraste regional (R6); no vota</t>
        </is>
      </c>
      <c r="T1277" s="3" t="inlineStr">
        <is>
          <t>output/v8/F5/atribucion_combinada.csv</t>
        </is>
      </c>
      <c r="U1277" s="2">
        <f>IF(R1277=0,"",F1277/R1277)</f>
        <v/>
      </c>
      <c r="V1277" s="2">
        <f>SUMIFS(F$2:F$1589,A$2:A$1589,A1277,C$2:C$1589,C1277,E$2:E$1589,E1277,Q$2:Q$1589,Q1277)</f>
        <v/>
      </c>
    </row>
    <row r="1278">
      <c r="A1278" s="3" t="inlineStr">
        <is>
          <t>alquiler</t>
        </is>
      </c>
      <c r="B1278" s="3" t="inlineStr">
        <is>
          <t>ccaa:13</t>
        </is>
      </c>
      <c r="C1278" s="3" t="inlineStr">
        <is>
          <t>P4</t>
        </is>
      </c>
      <c r="D1278" s="3" t="inlineStr">
        <is>
          <t>demografia</t>
        </is>
      </c>
      <c r="E1278" s="3" t="inlineStr">
        <is>
          <t>regional_panel</t>
        </is>
      </c>
      <c r="F1278" s="3" t="n">
        <v>0.282114</v>
      </c>
      <c r="G1278" s="3" t="n"/>
      <c r="H1278" s="3" t="n"/>
      <c r="I1278" s="3" t="n">
        <v>-0.0541662</v>
      </c>
      <c r="J1278" s="3" t="n">
        <v>0.214663</v>
      </c>
      <c r="K1278" s="3" t="n">
        <v>0.398156</v>
      </c>
      <c r="L1278" s="3" t="n">
        <v>0.165473</v>
      </c>
      <c r="M1278" s="3" t="n">
        <v>0.57825</v>
      </c>
      <c r="N1278" s="3" t="inlineStr">
        <is>
          <t>C4</t>
        </is>
      </c>
      <c r="O1278" s="3" t="inlineStr">
        <is>
          <t>si</t>
        </is>
      </c>
      <c r="P1278" s="3" t="inlineStr">
        <is>
          <t>no_vota</t>
        </is>
      </c>
      <c r="Q1278" s="3" t="inlineStr">
        <is>
          <t>panel_covariables</t>
        </is>
      </c>
      <c r="R1278" s="3" t="n"/>
      <c r="S1278" s="3" t="inlineStr">
        <is>
          <t>contraste regional (R6); no vota</t>
        </is>
      </c>
      <c r="T1278" s="3" t="inlineStr">
        <is>
          <t>output/v8/F5/atribucion_combinada.csv</t>
        </is>
      </c>
      <c r="U1278" s="2">
        <f>IF(R1278=0,"",F1278/R1278)</f>
        <v/>
      </c>
      <c r="V1278" s="2">
        <f>SUMIFS(F$2:F$1589,A$2:A$1589,A1278,C$2:C$1589,C1278,E$2:E$1589,E1278,Q$2:Q$1589,Q1278)</f>
        <v/>
      </c>
    </row>
    <row r="1279">
      <c r="A1279" s="3" t="inlineStr">
        <is>
          <t>alquiler</t>
        </is>
      </c>
      <c r="B1279" s="3" t="inlineStr">
        <is>
          <t>ccaa:13</t>
        </is>
      </c>
      <c r="C1279" s="3" t="inlineStr">
        <is>
          <t>P4</t>
        </is>
      </c>
      <c r="D1279" s="3" t="inlineStr">
        <is>
          <t>oferta</t>
        </is>
      </c>
      <c r="E1279" s="3" t="inlineStr">
        <is>
          <t>regional_panel</t>
        </is>
      </c>
      <c r="F1279" s="3" t="n">
        <v>0.000600337</v>
      </c>
      <c r="G1279" s="3" t="n"/>
      <c r="H1279" s="3" t="n"/>
      <c r="I1279" s="3" t="n">
        <v>-0.000115265</v>
      </c>
      <c r="J1279" s="3" t="n">
        <v>-0.0143183</v>
      </c>
      <c r="K1279" s="3" t="n">
        <v>0.0193418</v>
      </c>
      <c r="L1279" s="3" t="n">
        <v>-0.0275425</v>
      </c>
      <c r="M1279" s="3" t="n">
        <v>0.0371248</v>
      </c>
      <c r="N1279" s="3" t="inlineStr">
        <is>
          <t>C4</t>
        </is>
      </c>
      <c r="O1279" s="3" t="inlineStr">
        <is>
          <t>si</t>
        </is>
      </c>
      <c r="P1279" s="3" t="inlineStr">
        <is>
          <t>no_vota</t>
        </is>
      </c>
      <c r="Q1279" s="3" t="inlineStr">
        <is>
          <t>panel_covariables</t>
        </is>
      </c>
      <c r="R1279" s="3" t="n"/>
      <c r="S1279" s="3" t="inlineStr">
        <is>
          <t>contraste regional (R6); no vota</t>
        </is>
      </c>
      <c r="T1279" s="3" t="inlineStr">
        <is>
          <t>output/v8/F5/atribucion_combinada.csv</t>
        </is>
      </c>
      <c r="U1279" s="2">
        <f>IF(R1279=0,"",F1279/R1279)</f>
        <v/>
      </c>
      <c r="V1279" s="2">
        <f>SUMIFS(F$2:F$1589,A$2:A$1589,A1279,C$2:C$1589,C1279,E$2:E$1589,E1279,Q$2:Q$1589,Q1279)</f>
        <v/>
      </c>
    </row>
    <row r="1280">
      <c r="A1280" s="3" t="inlineStr">
        <is>
          <t>alquiler</t>
        </is>
      </c>
      <c r="B1280" s="3" t="inlineStr">
        <is>
          <t>ccaa:13</t>
        </is>
      </c>
      <c r="C1280" s="3" t="inlineStr">
        <is>
          <t>P4</t>
        </is>
      </c>
      <c r="D1280" s="3" t="inlineStr">
        <is>
          <t>demanda_externa</t>
        </is>
      </c>
      <c r="E1280" s="3" t="inlineStr">
        <is>
          <t>regional_panel</t>
        </is>
      </c>
      <c r="F1280" s="3" t="n">
        <v>0.00342106</v>
      </c>
      <c r="G1280" s="3" t="n"/>
      <c r="H1280" s="3" t="n"/>
      <c r="I1280" s="3" t="n">
        <v>-0.000656846</v>
      </c>
      <c r="J1280" s="3" t="n">
        <v>-0.0526572</v>
      </c>
      <c r="K1280" s="3" t="n">
        <v>0.0122713</v>
      </c>
      <c r="L1280" s="3" t="n">
        <v>-0.0935005</v>
      </c>
      <c r="M1280" s="3" t="n">
        <v>0.0291879</v>
      </c>
      <c r="N1280" s="3" t="inlineStr">
        <is>
          <t>C4</t>
        </is>
      </c>
      <c r="O1280" s="3" t="inlineStr">
        <is>
          <t>si</t>
        </is>
      </c>
      <c r="P1280" s="3" t="inlineStr">
        <is>
          <t>no_vota</t>
        </is>
      </c>
      <c r="Q1280" s="3" t="inlineStr">
        <is>
          <t>panel_covariables</t>
        </is>
      </c>
      <c r="R1280" s="3" t="n"/>
      <c r="S1280" s="3" t="inlineStr">
        <is>
          <t>contraste regional (R6); no vota</t>
        </is>
      </c>
      <c r="T1280" s="3" t="inlineStr">
        <is>
          <t>output/v8/F5/atribucion_combinada.csv</t>
        </is>
      </c>
      <c r="U1280" s="2">
        <f>IF(R1280=0,"",F1280/R1280)</f>
        <v/>
      </c>
      <c r="V1280" s="2">
        <f>SUMIFS(F$2:F$1589,A$2:A$1589,A1280,C$2:C$1589,C1280,E$2:E$1589,E1280,Q$2:Q$1589,Q1280)</f>
        <v/>
      </c>
    </row>
    <row r="1281">
      <c r="A1281" s="3" t="inlineStr">
        <is>
          <t>alquiler</t>
        </is>
      </c>
      <c r="B1281" s="3" t="inlineStr">
        <is>
          <t>ccaa:13</t>
        </is>
      </c>
      <c r="C1281" s="3" t="inlineStr">
        <is>
          <t>P4</t>
        </is>
      </c>
      <c r="D1281" s="3" t="inlineStr">
        <is>
          <t>residuo</t>
        </is>
      </c>
      <c r="E1281" s="3" t="inlineStr">
        <is>
          <t>regional_panel</t>
        </is>
      </c>
      <c r="F1281" s="3" t="n">
        <v>-0.679517</v>
      </c>
      <c r="G1281" s="3" t="n"/>
      <c r="H1281" s="3" t="n"/>
      <c r="I1281" s="3" t="n">
        <v>0.130468</v>
      </c>
      <c r="J1281" s="3" t="n">
        <v>-1.26013</v>
      </c>
      <c r="K1281" s="3" t="n">
        <v>-0.125096</v>
      </c>
      <c r="L1281" s="3" t="n">
        <v>-1.80746</v>
      </c>
      <c r="M1281" s="3" t="n">
        <v>0.140046</v>
      </c>
      <c r="N1281" s="3" t="inlineStr">
        <is>
          <t>C4</t>
        </is>
      </c>
      <c r="O1281" s="3" t="inlineStr">
        <is>
          <t>no</t>
        </is>
      </c>
      <c r="P1281" s="3" t="inlineStr">
        <is>
          <t>no_compite</t>
        </is>
      </c>
      <c r="Q1281" s="3" t="inlineStr">
        <is>
          <t>panel_covariables</t>
        </is>
      </c>
      <c r="R1281" s="3" t="n"/>
      <c r="S1281" s="3" t="inlineStr">
        <is>
          <t>contraste regional (R6); no vota</t>
        </is>
      </c>
      <c r="T1281" s="3" t="inlineStr">
        <is>
          <t>output/v8/F5/atribucion_combinada.csv</t>
        </is>
      </c>
      <c r="U1281" s="2">
        <f>IF(R1281=0,"",F1281/R1281)</f>
        <v/>
      </c>
      <c r="V1281" s="2">
        <f>SUMIFS(F$2:F$1589,A$2:A$1589,A1281,C$2:C$1589,C1281,E$2:E$1589,E1281,Q$2:Q$1589,Q1281)</f>
        <v/>
      </c>
    </row>
    <row r="1282">
      <c r="A1282" s="3" t="inlineStr">
        <is>
          <t>alquiler</t>
        </is>
      </c>
      <c r="B1282" s="3" t="inlineStr">
        <is>
          <t>ccaa:14</t>
        </is>
      </c>
      <c r="C1282" s="3" t="inlineStr">
        <is>
          <t>P4</t>
        </is>
      </c>
      <c r="D1282" s="3" t="inlineStr">
        <is>
          <t>factor_comun</t>
        </is>
      </c>
      <c r="E1282" s="3" t="inlineStr">
        <is>
          <t>regional_panel</t>
        </is>
      </c>
      <c r="F1282" s="3" t="n">
        <v>-4.82785</v>
      </c>
      <c r="G1282" s="3" t="n"/>
      <c r="H1282" s="3" t="n"/>
      <c r="I1282" s="3" t="n">
        <v>1.00223</v>
      </c>
      <c r="J1282" s="3" t="n">
        <v>-8.01083</v>
      </c>
      <c r="K1282" s="3" t="n">
        <v>-1.73403</v>
      </c>
      <c r="L1282" s="3" t="n">
        <v>-10.2878</v>
      </c>
      <c r="M1282" s="3" t="n">
        <v>-0.0997739</v>
      </c>
      <c r="N1282" s="3" t="inlineStr">
        <is>
          <t>C4</t>
        </is>
      </c>
      <c r="O1282" s="3" t="inlineStr">
        <is>
          <t>no</t>
        </is>
      </c>
      <c r="P1282" s="3" t="inlineStr">
        <is>
          <t>no_compite</t>
        </is>
      </c>
      <c r="Q1282" s="3" t="inlineStr">
        <is>
          <t>panel_covariables</t>
        </is>
      </c>
      <c r="R1282" s="3" t="n"/>
      <c r="S1282" s="3" t="inlineStr">
        <is>
          <t>contraste regional (R6); no vota</t>
        </is>
      </c>
      <c r="T1282" s="3" t="inlineStr">
        <is>
          <t>output/v8/F5/atribucion_combinada.csv</t>
        </is>
      </c>
      <c r="U1282" s="2">
        <f>IF(R1282=0,"",F1282/R1282)</f>
        <v/>
      </c>
      <c r="V1282" s="2">
        <f>SUMIFS(F$2:F$1589,A$2:A$1589,A1282,C$2:C$1589,C1282,E$2:E$1589,E1282,Q$2:Q$1589,Q1282)</f>
        <v/>
      </c>
    </row>
    <row r="1283">
      <c r="A1283" s="3" t="inlineStr">
        <is>
          <t>alquiler</t>
        </is>
      </c>
      <c r="B1283" s="3" t="inlineStr">
        <is>
          <t>ccaa:14</t>
        </is>
      </c>
      <c r="C1283" s="3" t="inlineStr">
        <is>
          <t>P4</t>
        </is>
      </c>
      <c r="D1283" s="3" t="inlineStr">
        <is>
          <t>empleo_renta</t>
        </is>
      </c>
      <c r="E1283" s="3" t="inlineStr">
        <is>
          <t>regional_panel</t>
        </is>
      </c>
      <c r="F1283" s="3" t="n">
        <v>0.0632327</v>
      </c>
      <c r="G1283" s="3" t="n"/>
      <c r="H1283" s="3" t="n"/>
      <c r="I1283" s="3" t="n">
        <v>-0.0131267</v>
      </c>
      <c r="J1283" s="3" t="n">
        <v>-0.00918769</v>
      </c>
      <c r="K1283" s="3" t="n">
        <v>0.08642270000000001</v>
      </c>
      <c r="L1283" s="3" t="n">
        <v>-0.118744</v>
      </c>
      <c r="M1283" s="3" t="n">
        <v>0.113104</v>
      </c>
      <c r="N1283" s="3" t="inlineStr">
        <is>
          <t>C4</t>
        </is>
      </c>
      <c r="O1283" s="3" t="inlineStr">
        <is>
          <t>si</t>
        </is>
      </c>
      <c r="P1283" s="3" t="inlineStr">
        <is>
          <t>no_vota</t>
        </is>
      </c>
      <c r="Q1283" s="3" t="inlineStr">
        <is>
          <t>panel_covariables</t>
        </is>
      </c>
      <c r="R1283" s="3" t="n"/>
      <c r="S1283" s="3" t="inlineStr">
        <is>
          <t>contraste regional (R6); no vota</t>
        </is>
      </c>
      <c r="T1283" s="3" t="inlineStr">
        <is>
          <t>output/v8/F5/atribucion_combinada.csv</t>
        </is>
      </c>
      <c r="U1283" s="2">
        <f>IF(R1283=0,"",F1283/R1283)</f>
        <v/>
      </c>
      <c r="V1283" s="2">
        <f>SUMIFS(F$2:F$1589,A$2:A$1589,A1283,C$2:C$1589,C1283,E$2:E$1589,E1283,Q$2:Q$1589,Q1283)</f>
        <v/>
      </c>
    </row>
    <row r="1284">
      <c r="A1284" s="3" t="inlineStr">
        <is>
          <t>alquiler</t>
        </is>
      </c>
      <c r="B1284" s="3" t="inlineStr">
        <is>
          <t>ccaa:14</t>
        </is>
      </c>
      <c r="C1284" s="3" t="inlineStr">
        <is>
          <t>P4</t>
        </is>
      </c>
      <c r="D1284" s="3" t="inlineStr">
        <is>
          <t>demografia</t>
        </is>
      </c>
      <c r="E1284" s="3" t="inlineStr">
        <is>
          <t>regional_panel</t>
        </is>
      </c>
      <c r="F1284" s="3" t="n">
        <v>0.0405047</v>
      </c>
      <c r="G1284" s="3" t="n"/>
      <c r="H1284" s="3" t="n"/>
      <c r="I1284" s="3" t="n">
        <v>-0.008408499999999999</v>
      </c>
      <c r="J1284" s="3" t="n">
        <v>-0.859677</v>
      </c>
      <c r="K1284" s="3" t="n">
        <v>0.427115</v>
      </c>
      <c r="L1284" s="3" t="n">
        <v>-1.92867</v>
      </c>
      <c r="M1284" s="3" t="n">
        <v>0.552153</v>
      </c>
      <c r="N1284" s="3" t="inlineStr">
        <is>
          <t>C4</t>
        </is>
      </c>
      <c r="O1284" s="3" t="inlineStr">
        <is>
          <t>si</t>
        </is>
      </c>
      <c r="P1284" s="3" t="inlineStr">
        <is>
          <t>no_vota</t>
        </is>
      </c>
      <c r="Q1284" s="3" t="inlineStr">
        <is>
          <t>panel_covariables</t>
        </is>
      </c>
      <c r="R1284" s="3" t="n"/>
      <c r="S1284" s="3" t="inlineStr">
        <is>
          <t>contraste regional (R6); no vota</t>
        </is>
      </c>
      <c r="T1284" s="3" t="inlineStr">
        <is>
          <t>output/v8/F5/atribucion_combinada.csv</t>
        </is>
      </c>
      <c r="U1284" s="2">
        <f>IF(R1284=0,"",F1284/R1284)</f>
        <v/>
      </c>
      <c r="V1284" s="2">
        <f>SUMIFS(F$2:F$1589,A$2:A$1589,A1284,C$2:C$1589,C1284,E$2:E$1589,E1284,Q$2:Q$1589,Q1284)</f>
        <v/>
      </c>
    </row>
    <row r="1285">
      <c r="A1285" s="3" t="inlineStr">
        <is>
          <t>alquiler</t>
        </is>
      </c>
      <c r="B1285" s="3" t="inlineStr">
        <is>
          <t>ccaa:14</t>
        </is>
      </c>
      <c r="C1285" s="3" t="inlineStr">
        <is>
          <t>P4</t>
        </is>
      </c>
      <c r="D1285" s="3" t="inlineStr">
        <is>
          <t>oferta</t>
        </is>
      </c>
      <c r="E1285" s="3" t="inlineStr">
        <is>
          <t>regional_panel</t>
        </is>
      </c>
      <c r="F1285" s="3" t="n">
        <v>0.00412154</v>
      </c>
      <c r="G1285" s="3" t="n"/>
      <c r="H1285" s="3" t="n"/>
      <c r="I1285" s="3" t="n">
        <v>-0.000855604</v>
      </c>
      <c r="J1285" s="3" t="n">
        <v>-0.0138841</v>
      </c>
      <c r="K1285" s="3" t="n">
        <v>0.036435</v>
      </c>
      <c r="L1285" s="3" t="n">
        <v>-0.0396797</v>
      </c>
      <c r="M1285" s="3" t="n">
        <v>0.0604193</v>
      </c>
      <c r="N1285" s="3" t="inlineStr">
        <is>
          <t>C4</t>
        </is>
      </c>
      <c r="O1285" s="3" t="inlineStr">
        <is>
          <t>si</t>
        </is>
      </c>
      <c r="P1285" s="3" t="inlineStr">
        <is>
          <t>no_vota</t>
        </is>
      </c>
      <c r="Q1285" s="3" t="inlineStr">
        <is>
          <t>panel_covariables</t>
        </is>
      </c>
      <c r="R1285" s="3" t="n"/>
      <c r="S1285" s="3" t="inlineStr">
        <is>
          <t>contraste regional (R6); no vota</t>
        </is>
      </c>
      <c r="T1285" s="3" t="inlineStr">
        <is>
          <t>output/v8/F5/atribucion_combinada.csv</t>
        </is>
      </c>
      <c r="U1285" s="2">
        <f>IF(R1285=0,"",F1285/R1285)</f>
        <v/>
      </c>
      <c r="V1285" s="2">
        <f>SUMIFS(F$2:F$1589,A$2:A$1589,A1285,C$2:C$1589,C1285,E$2:E$1589,E1285,Q$2:Q$1589,Q1285)</f>
        <v/>
      </c>
    </row>
    <row r="1286">
      <c r="A1286" s="3" t="inlineStr">
        <is>
          <t>alquiler</t>
        </is>
      </c>
      <c r="B1286" s="3" t="inlineStr">
        <is>
          <t>ccaa:14</t>
        </is>
      </c>
      <c r="C1286" s="3" t="inlineStr">
        <is>
          <t>P4</t>
        </is>
      </c>
      <c r="D1286" s="3" t="inlineStr">
        <is>
          <t>demanda_externa</t>
        </is>
      </c>
      <c r="E1286" s="3" t="inlineStr">
        <is>
          <t>regional_panel</t>
        </is>
      </c>
      <c r="F1286" s="3" t="n">
        <v>0.00666364</v>
      </c>
      <c r="G1286" s="3" t="n"/>
      <c r="H1286" s="3" t="n"/>
      <c r="I1286" s="3" t="n">
        <v>-0.00138333</v>
      </c>
      <c r="J1286" s="3" t="n">
        <v>-0.0419973</v>
      </c>
      <c r="K1286" s="3" t="n">
        <v>0.013157</v>
      </c>
      <c r="L1286" s="3" t="n">
        <v>-0.0858266</v>
      </c>
      <c r="M1286" s="3" t="n">
        <v>0.0280044</v>
      </c>
      <c r="N1286" s="3" t="inlineStr">
        <is>
          <t>C4</t>
        </is>
      </c>
      <c r="O1286" s="3" t="inlineStr">
        <is>
          <t>si</t>
        </is>
      </c>
      <c r="P1286" s="3" t="inlineStr">
        <is>
          <t>no_vota</t>
        </is>
      </c>
      <c r="Q1286" s="3" t="inlineStr">
        <is>
          <t>panel_covariables</t>
        </is>
      </c>
      <c r="R1286" s="3" t="n"/>
      <c r="S1286" s="3" t="inlineStr">
        <is>
          <t>contraste regional (R6); no vota</t>
        </is>
      </c>
      <c r="T1286" s="3" t="inlineStr">
        <is>
          <t>output/v8/F5/atribucion_combinada.csv</t>
        </is>
      </c>
      <c r="U1286" s="2">
        <f>IF(R1286=0,"",F1286/R1286)</f>
        <v/>
      </c>
      <c r="V1286" s="2">
        <f>SUMIFS(F$2:F$1589,A$2:A$1589,A1286,C$2:C$1589,C1286,E$2:E$1589,E1286,Q$2:Q$1589,Q1286)</f>
        <v/>
      </c>
    </row>
    <row r="1287">
      <c r="A1287" s="3" t="inlineStr">
        <is>
          <t>alquiler</t>
        </is>
      </c>
      <c r="B1287" s="3" t="inlineStr">
        <is>
          <t>ccaa:14</t>
        </is>
      </c>
      <c r="C1287" s="3" t="inlineStr">
        <is>
          <t>P4</t>
        </is>
      </c>
      <c r="D1287" s="3" t="inlineStr">
        <is>
          <t>residuo</t>
        </is>
      </c>
      <c r="E1287" s="3" t="inlineStr">
        <is>
          <t>regional_panel</t>
        </is>
      </c>
      <c r="F1287" s="3" t="n">
        <v>-0.103787</v>
      </c>
      <c r="G1287" s="3" t="n"/>
      <c r="H1287" s="3" t="n"/>
      <c r="I1287" s="3" t="n">
        <v>0.0215455</v>
      </c>
      <c r="J1287" s="3" t="n">
        <v>-0.629497</v>
      </c>
      <c r="K1287" s="3" t="n">
        <v>0.845788</v>
      </c>
      <c r="L1287" s="3" t="n">
        <v>-0.984012</v>
      </c>
      <c r="M1287" s="3" t="n">
        <v>1.97522</v>
      </c>
      <c r="N1287" s="3" t="inlineStr">
        <is>
          <t>C4</t>
        </is>
      </c>
      <c r="O1287" s="3" t="inlineStr">
        <is>
          <t>no</t>
        </is>
      </c>
      <c r="P1287" s="3" t="inlineStr">
        <is>
          <t>no_compite</t>
        </is>
      </c>
      <c r="Q1287" s="3" t="inlineStr">
        <is>
          <t>panel_covariables</t>
        </is>
      </c>
      <c r="R1287" s="3" t="n"/>
      <c r="S1287" s="3" t="inlineStr">
        <is>
          <t>contraste regional (R6); no vota</t>
        </is>
      </c>
      <c r="T1287" s="3" t="inlineStr">
        <is>
          <t>output/v8/F5/atribucion_combinada.csv</t>
        </is>
      </c>
      <c r="U1287" s="2">
        <f>IF(R1287=0,"",F1287/R1287)</f>
        <v/>
      </c>
      <c r="V1287" s="2">
        <f>SUMIFS(F$2:F$1589,A$2:A$1589,A1287,C$2:C$1589,C1287,E$2:E$1589,E1287,Q$2:Q$1589,Q1287)</f>
        <v/>
      </c>
    </row>
    <row r="1288">
      <c r="A1288" s="3" t="inlineStr">
        <is>
          <t>alquiler</t>
        </is>
      </c>
      <c r="B1288" s="3" t="inlineStr">
        <is>
          <t>ccaa:15</t>
        </is>
      </c>
      <c r="C1288" s="3" t="inlineStr">
        <is>
          <t>P4</t>
        </is>
      </c>
      <c r="D1288" s="3" t="inlineStr">
        <is>
          <t>factor_comun</t>
        </is>
      </c>
      <c r="E1288" s="3" t="inlineStr">
        <is>
          <t>regional_panel</t>
        </is>
      </c>
      <c r="F1288" s="3" t="n">
        <v>-4.82785</v>
      </c>
      <c r="G1288" s="3" t="n"/>
      <c r="H1288" s="3" t="n"/>
      <c r="I1288" s="3" t="n">
        <v>1.19863</v>
      </c>
      <c r="J1288" s="3" t="n">
        <v>-8.01083</v>
      </c>
      <c r="K1288" s="3" t="n">
        <v>-1.73403</v>
      </c>
      <c r="L1288" s="3" t="n">
        <v>-10.2878</v>
      </c>
      <c r="M1288" s="3" t="n">
        <v>-0.0997739</v>
      </c>
      <c r="N1288" s="3" t="inlineStr">
        <is>
          <t>C4</t>
        </is>
      </c>
      <c r="O1288" s="3" t="inlineStr">
        <is>
          <t>no</t>
        </is>
      </c>
      <c r="P1288" s="3" t="inlineStr">
        <is>
          <t>no_compite</t>
        </is>
      </c>
      <c r="Q1288" s="3" t="inlineStr">
        <is>
          <t>panel_covariables</t>
        </is>
      </c>
      <c r="R1288" s="3" t="n"/>
      <c r="S1288" s="3" t="inlineStr">
        <is>
          <t>contraste regional (R6); no vota</t>
        </is>
      </c>
      <c r="T1288" s="3" t="inlineStr">
        <is>
          <t>output/v8/F5/atribucion_combinada.csv</t>
        </is>
      </c>
      <c r="U1288" s="2">
        <f>IF(R1288=0,"",F1288/R1288)</f>
        <v/>
      </c>
      <c r="V1288" s="2">
        <f>SUMIFS(F$2:F$1589,A$2:A$1589,A1288,C$2:C$1589,C1288,E$2:E$1589,E1288,Q$2:Q$1589,Q1288)</f>
        <v/>
      </c>
    </row>
    <row r="1289">
      <c r="A1289" s="3" t="inlineStr">
        <is>
          <t>alquiler</t>
        </is>
      </c>
      <c r="B1289" s="3" t="inlineStr">
        <is>
          <t>ccaa:15</t>
        </is>
      </c>
      <c r="C1289" s="3" t="inlineStr">
        <is>
          <t>P4</t>
        </is>
      </c>
      <c r="D1289" s="3" t="inlineStr">
        <is>
          <t>empleo_renta</t>
        </is>
      </c>
      <c r="E1289" s="3" t="inlineStr">
        <is>
          <t>regional_panel</t>
        </is>
      </c>
      <c r="F1289" s="3" t="n">
        <v>-0.00490741</v>
      </c>
      <c r="G1289" s="3" t="n"/>
      <c r="H1289" s="3" t="n"/>
      <c r="I1289" s="3" t="n">
        <v>0.00121838</v>
      </c>
      <c r="J1289" s="3" t="n">
        <v>-0.0920924</v>
      </c>
      <c r="K1289" s="3" t="n">
        <v>0.0605042</v>
      </c>
      <c r="L1289" s="3" t="n">
        <v>-0.149658</v>
      </c>
      <c r="M1289" s="3" t="n">
        <v>0.146396</v>
      </c>
      <c r="N1289" s="3" t="inlineStr">
        <is>
          <t>C4</t>
        </is>
      </c>
      <c r="O1289" s="3" t="inlineStr">
        <is>
          <t>si</t>
        </is>
      </c>
      <c r="P1289" s="3" t="inlineStr">
        <is>
          <t>no_vota</t>
        </is>
      </c>
      <c r="Q1289" s="3" t="inlineStr">
        <is>
          <t>panel_covariables</t>
        </is>
      </c>
      <c r="R1289" s="3" t="n"/>
      <c r="S1289" s="3" t="inlineStr">
        <is>
          <t>contraste regional (R6); no vota</t>
        </is>
      </c>
      <c r="T1289" s="3" t="inlineStr">
        <is>
          <t>output/v8/F5/atribucion_combinada.csv</t>
        </is>
      </c>
      <c r="U1289" s="2">
        <f>IF(R1289=0,"",F1289/R1289)</f>
        <v/>
      </c>
      <c r="V1289" s="2">
        <f>SUMIFS(F$2:F$1589,A$2:A$1589,A1289,C$2:C$1589,C1289,E$2:E$1589,E1289,Q$2:Q$1589,Q1289)</f>
        <v/>
      </c>
    </row>
    <row r="1290">
      <c r="A1290" s="3" t="inlineStr">
        <is>
          <t>alquiler</t>
        </is>
      </c>
      <c r="B1290" s="3" t="inlineStr">
        <is>
          <t>ccaa:15</t>
        </is>
      </c>
      <c r="C1290" s="3" t="inlineStr">
        <is>
          <t>P4</t>
        </is>
      </c>
      <c r="D1290" s="3" t="inlineStr">
        <is>
          <t>demografia</t>
        </is>
      </c>
      <c r="E1290" s="3" t="inlineStr">
        <is>
          <t>regional_panel</t>
        </is>
      </c>
      <c r="F1290" s="3" t="n">
        <v>0.334804</v>
      </c>
      <c r="G1290" s="3" t="n"/>
      <c r="H1290" s="3" t="n"/>
      <c r="I1290" s="3" t="n">
        <v>-0.08312319999999999</v>
      </c>
      <c r="J1290" s="3" t="n">
        <v>0.217664</v>
      </c>
      <c r="K1290" s="3" t="n">
        <v>0.380324</v>
      </c>
      <c r="L1290" s="3" t="n">
        <v>0.16949</v>
      </c>
      <c r="M1290" s="3" t="n">
        <v>0.456238</v>
      </c>
      <c r="N1290" s="3" t="inlineStr">
        <is>
          <t>C4</t>
        </is>
      </c>
      <c r="O1290" s="3" t="inlineStr">
        <is>
          <t>si</t>
        </is>
      </c>
      <c r="P1290" s="3" t="inlineStr">
        <is>
          <t>no_vota</t>
        </is>
      </c>
      <c r="Q1290" s="3" t="inlineStr">
        <is>
          <t>panel_covariables</t>
        </is>
      </c>
      <c r="R1290" s="3" t="n"/>
      <c r="S1290" s="3" t="inlineStr">
        <is>
          <t>contraste regional (R6); no vota</t>
        </is>
      </c>
      <c r="T1290" s="3" t="inlineStr">
        <is>
          <t>output/v8/F5/atribucion_combinada.csv</t>
        </is>
      </c>
      <c r="U1290" s="2">
        <f>IF(R1290=0,"",F1290/R1290)</f>
        <v/>
      </c>
      <c r="V1290" s="2">
        <f>SUMIFS(F$2:F$1589,A$2:A$1589,A1290,C$2:C$1589,C1290,E$2:E$1589,E1290,Q$2:Q$1589,Q1290)</f>
        <v/>
      </c>
    </row>
    <row r="1291">
      <c r="A1291" s="3" t="inlineStr">
        <is>
          <t>alquiler</t>
        </is>
      </c>
      <c r="B1291" s="3" t="inlineStr">
        <is>
          <t>ccaa:15</t>
        </is>
      </c>
      <c r="C1291" s="3" t="inlineStr">
        <is>
          <t>P4</t>
        </is>
      </c>
      <c r="D1291" s="3" t="inlineStr">
        <is>
          <t>oferta</t>
        </is>
      </c>
      <c r="E1291" s="3" t="inlineStr">
        <is>
          <t>regional_panel</t>
        </is>
      </c>
      <c r="F1291" s="3" t="n">
        <v>-0.0008795539999999999</v>
      </c>
      <c r="G1291" s="3" t="n"/>
      <c r="H1291" s="3" t="n"/>
      <c r="I1291" s="3" t="n">
        <v>0.000218371</v>
      </c>
      <c r="J1291" s="3" t="n">
        <v>-0.0159042</v>
      </c>
      <c r="K1291" s="3" t="n">
        <v>0.0152902</v>
      </c>
      <c r="L1291" s="3" t="n">
        <v>-0.0299779</v>
      </c>
      <c r="M1291" s="3" t="n">
        <v>0.0466094</v>
      </c>
      <c r="N1291" s="3" t="inlineStr">
        <is>
          <t>C4</t>
        </is>
      </c>
      <c r="O1291" s="3" t="inlineStr">
        <is>
          <t>si</t>
        </is>
      </c>
      <c r="P1291" s="3" t="inlineStr">
        <is>
          <t>no_vota</t>
        </is>
      </c>
      <c r="Q1291" s="3" t="inlineStr">
        <is>
          <t>panel_covariables</t>
        </is>
      </c>
      <c r="R1291" s="3" t="n"/>
      <c r="S1291" s="3" t="inlineStr">
        <is>
          <t>contraste regional (R6); no vota</t>
        </is>
      </c>
      <c r="T1291" s="3" t="inlineStr">
        <is>
          <t>output/v8/F5/atribucion_combinada.csv</t>
        </is>
      </c>
      <c r="U1291" s="2">
        <f>IF(R1291=0,"",F1291/R1291)</f>
        <v/>
      </c>
      <c r="V1291" s="2">
        <f>SUMIFS(F$2:F$1589,A$2:A$1589,A1291,C$2:C$1589,C1291,E$2:E$1589,E1291,Q$2:Q$1589,Q1291)</f>
        <v/>
      </c>
    </row>
    <row r="1292">
      <c r="A1292" s="3" t="inlineStr">
        <is>
          <t>alquiler</t>
        </is>
      </c>
      <c r="B1292" s="3" t="inlineStr">
        <is>
          <t>ccaa:15</t>
        </is>
      </c>
      <c r="C1292" s="3" t="inlineStr">
        <is>
          <t>P4</t>
        </is>
      </c>
      <c r="D1292" s="3" t="inlineStr">
        <is>
          <t>demanda_externa</t>
        </is>
      </c>
      <c r="E1292" s="3" t="inlineStr">
        <is>
          <t>regional_panel</t>
        </is>
      </c>
      <c r="F1292" s="3" t="n">
        <v>0.0077908</v>
      </c>
      <c r="G1292" s="3" t="n"/>
      <c r="H1292" s="3" t="n"/>
      <c r="I1292" s="3" t="n">
        <v>-0.00193426</v>
      </c>
      <c r="J1292" s="3" t="n">
        <v>-0.0332895</v>
      </c>
      <c r="K1292" s="3" t="n">
        <v>0.0220373</v>
      </c>
      <c r="L1292" s="3" t="n">
        <v>-0.09477430000000001</v>
      </c>
      <c r="M1292" s="3" t="n">
        <v>0.054798</v>
      </c>
      <c r="N1292" s="3" t="inlineStr">
        <is>
          <t>C4</t>
        </is>
      </c>
      <c r="O1292" s="3" t="inlineStr">
        <is>
          <t>si</t>
        </is>
      </c>
      <c r="P1292" s="3" t="inlineStr">
        <is>
          <t>no_vota</t>
        </is>
      </c>
      <c r="Q1292" s="3" t="inlineStr">
        <is>
          <t>panel_covariables</t>
        </is>
      </c>
      <c r="R1292" s="3" t="n"/>
      <c r="S1292" s="3" t="inlineStr">
        <is>
          <t>contraste regional (R6); no vota</t>
        </is>
      </c>
      <c r="T1292" s="3" t="inlineStr">
        <is>
          <t>output/v8/F5/atribucion_combinada.csv</t>
        </is>
      </c>
      <c r="U1292" s="2">
        <f>IF(R1292=0,"",F1292/R1292)</f>
        <v/>
      </c>
      <c r="V1292" s="2">
        <f>SUMIFS(F$2:F$1589,A$2:A$1589,A1292,C$2:C$1589,C1292,E$2:E$1589,E1292,Q$2:Q$1589,Q1292)</f>
        <v/>
      </c>
    </row>
    <row r="1293">
      <c r="A1293" s="3" t="inlineStr">
        <is>
          <t>alquiler</t>
        </is>
      </c>
      <c r="B1293" s="3" t="inlineStr">
        <is>
          <t>ccaa:15</t>
        </is>
      </c>
      <c r="C1293" s="3" t="inlineStr">
        <is>
          <t>P4</t>
        </is>
      </c>
      <c r="D1293" s="3" t="inlineStr">
        <is>
          <t>residuo</t>
        </is>
      </c>
      <c r="E1293" s="3" t="inlineStr">
        <is>
          <t>regional_panel</t>
        </is>
      </c>
      <c r="F1293" s="3" t="n">
        <v>0.463235</v>
      </c>
      <c r="G1293" s="3" t="n"/>
      <c r="H1293" s="3" t="n"/>
      <c r="I1293" s="3" t="n">
        <v>-0.115009</v>
      </c>
      <c r="J1293" s="3" t="n">
        <v>-0.08100549999999999</v>
      </c>
      <c r="K1293" s="3" t="n">
        <v>0.9883690000000001</v>
      </c>
      <c r="L1293" s="3" t="n">
        <v>-0.395912</v>
      </c>
      <c r="M1293" s="3" t="n">
        <v>1.26088</v>
      </c>
      <c r="N1293" s="3" t="inlineStr">
        <is>
          <t>C4</t>
        </is>
      </c>
      <c r="O1293" s="3" t="inlineStr">
        <is>
          <t>no</t>
        </is>
      </c>
      <c r="P1293" s="3" t="inlineStr">
        <is>
          <t>no_compite</t>
        </is>
      </c>
      <c r="Q1293" s="3" t="inlineStr">
        <is>
          <t>panel_covariables</t>
        </is>
      </c>
      <c r="R1293" s="3" t="n"/>
      <c r="S1293" s="3" t="inlineStr">
        <is>
          <t>contraste regional (R6); no vota</t>
        </is>
      </c>
      <c r="T1293" s="3" t="inlineStr">
        <is>
          <t>output/v8/F5/atribucion_combinada.csv</t>
        </is>
      </c>
      <c r="U1293" s="2">
        <f>IF(R1293=0,"",F1293/R1293)</f>
        <v/>
      </c>
      <c r="V1293" s="2">
        <f>SUMIFS(F$2:F$1589,A$2:A$1589,A1293,C$2:C$1589,C1293,E$2:E$1589,E1293,Q$2:Q$1589,Q1293)</f>
        <v/>
      </c>
    </row>
    <row r="1294">
      <c r="A1294" s="3" t="inlineStr">
        <is>
          <t>alquiler</t>
        </is>
      </c>
      <c r="B1294" s="3" t="inlineStr">
        <is>
          <t>ccaa:16</t>
        </is>
      </c>
      <c r="C1294" s="3" t="inlineStr">
        <is>
          <t>P4</t>
        </is>
      </c>
      <c r="D1294" s="3" t="inlineStr">
        <is>
          <t>factor_comun</t>
        </is>
      </c>
      <c r="E1294" s="3" t="inlineStr">
        <is>
          <t>regional_panel</t>
        </is>
      </c>
      <c r="F1294" s="3" t="n">
        <v>-4.82785</v>
      </c>
      <c r="G1294" s="3" t="n"/>
      <c r="H1294" s="3" t="n"/>
      <c r="I1294" s="3" t="n">
        <v>1.05315</v>
      </c>
      <c r="J1294" s="3" t="n">
        <v>-8.01083</v>
      </c>
      <c r="K1294" s="3" t="n">
        <v>-1.73403</v>
      </c>
      <c r="L1294" s="3" t="n">
        <v>-10.2878</v>
      </c>
      <c r="M1294" s="3" t="n">
        <v>-0.0997739</v>
      </c>
      <c r="N1294" s="3" t="inlineStr">
        <is>
          <t>C4</t>
        </is>
      </c>
      <c r="O1294" s="3" t="inlineStr">
        <is>
          <t>no</t>
        </is>
      </c>
      <c r="P1294" s="3" t="inlineStr">
        <is>
          <t>no_compite</t>
        </is>
      </c>
      <c r="Q1294" s="3" t="inlineStr">
        <is>
          <t>panel_covariables</t>
        </is>
      </c>
      <c r="R1294" s="3" t="n"/>
      <c r="S1294" s="3" t="inlineStr">
        <is>
          <t>contraste regional (R6); no vota</t>
        </is>
      </c>
      <c r="T1294" s="3" t="inlineStr">
        <is>
          <t>output/v8/F5/atribucion_combinada.csv</t>
        </is>
      </c>
      <c r="U1294" s="2">
        <f>IF(R1294=0,"",F1294/R1294)</f>
        <v/>
      </c>
      <c r="V1294" s="2">
        <f>SUMIFS(F$2:F$1589,A$2:A$1589,A1294,C$2:C$1589,C1294,E$2:E$1589,E1294,Q$2:Q$1589,Q1294)</f>
        <v/>
      </c>
    </row>
    <row r="1295">
      <c r="A1295" s="3" t="inlineStr">
        <is>
          <t>alquiler</t>
        </is>
      </c>
      <c r="B1295" s="3" t="inlineStr">
        <is>
          <t>ccaa:16</t>
        </is>
      </c>
      <c r="C1295" s="3" t="inlineStr">
        <is>
          <t>P4</t>
        </is>
      </c>
      <c r="D1295" s="3" t="inlineStr">
        <is>
          <t>empleo_renta</t>
        </is>
      </c>
      <c r="E1295" s="3" t="inlineStr">
        <is>
          <t>regional_panel</t>
        </is>
      </c>
      <c r="F1295" s="3" t="n">
        <v>0.0262318</v>
      </c>
      <c r="G1295" s="3" t="n"/>
      <c r="H1295" s="3" t="n"/>
      <c r="I1295" s="3" t="n">
        <v>-0.00572224</v>
      </c>
      <c r="J1295" s="3" t="n">
        <v>-0.0468314</v>
      </c>
      <c r="K1295" s="3" t="n">
        <v>0.0640888</v>
      </c>
      <c r="L1295" s="3" t="n">
        <v>-0.081802</v>
      </c>
      <c r="M1295" s="3" t="n">
        <v>0.142517</v>
      </c>
      <c r="N1295" s="3" t="inlineStr">
        <is>
          <t>C4</t>
        </is>
      </c>
      <c r="O1295" s="3" t="inlineStr">
        <is>
          <t>si</t>
        </is>
      </c>
      <c r="P1295" s="3" t="inlineStr">
        <is>
          <t>no_vota</t>
        </is>
      </c>
      <c r="Q1295" s="3" t="inlineStr">
        <is>
          <t>panel_covariables</t>
        </is>
      </c>
      <c r="R1295" s="3" t="n"/>
      <c r="S1295" s="3" t="inlineStr">
        <is>
          <t>contraste regional (R6); no vota</t>
        </is>
      </c>
      <c r="T1295" s="3" t="inlineStr">
        <is>
          <t>output/v8/F5/atribucion_combinada.csv</t>
        </is>
      </c>
      <c r="U1295" s="2">
        <f>IF(R1295=0,"",F1295/R1295)</f>
        <v/>
      </c>
      <c r="V1295" s="2">
        <f>SUMIFS(F$2:F$1589,A$2:A$1589,A1295,C$2:C$1589,C1295,E$2:E$1589,E1295,Q$2:Q$1589,Q1295)</f>
        <v/>
      </c>
    </row>
    <row r="1296">
      <c r="A1296" s="3" t="inlineStr">
        <is>
          <t>alquiler</t>
        </is>
      </c>
      <c r="B1296" s="3" t="inlineStr">
        <is>
          <t>ccaa:16</t>
        </is>
      </c>
      <c r="C1296" s="3" t="inlineStr">
        <is>
          <t>P4</t>
        </is>
      </c>
      <c r="D1296" s="3" t="inlineStr">
        <is>
          <t>demografia</t>
        </is>
      </c>
      <c r="E1296" s="3" t="inlineStr">
        <is>
          <t>regional_panel</t>
        </is>
      </c>
      <c r="F1296" s="3" t="n">
        <v>0.446991</v>
      </c>
      <c r="G1296" s="3" t="n"/>
      <c r="H1296" s="3" t="n"/>
      <c r="I1296" s="3" t="n">
        <v>-0.0975071</v>
      </c>
      <c r="J1296" s="3" t="n">
        <v>0.0731247</v>
      </c>
      <c r="K1296" s="3" t="n">
        <v>0.99139</v>
      </c>
      <c r="L1296" s="3" t="n">
        <v>-0.0436644</v>
      </c>
      <c r="M1296" s="3" t="n">
        <v>2.00421</v>
      </c>
      <c r="N1296" s="3" t="inlineStr">
        <is>
          <t>C4</t>
        </is>
      </c>
      <c r="O1296" s="3" t="inlineStr">
        <is>
          <t>si</t>
        </is>
      </c>
      <c r="P1296" s="3" t="inlineStr">
        <is>
          <t>no_vota</t>
        </is>
      </c>
      <c r="Q1296" s="3" t="inlineStr">
        <is>
          <t>panel_covariables</t>
        </is>
      </c>
      <c r="R1296" s="3" t="n"/>
      <c r="S1296" s="3" t="inlineStr">
        <is>
          <t>contraste regional (R6); no vota</t>
        </is>
      </c>
      <c r="T1296" s="3" t="inlineStr">
        <is>
          <t>output/v8/F5/atribucion_combinada.csv</t>
        </is>
      </c>
      <c r="U1296" s="2">
        <f>IF(R1296=0,"",F1296/R1296)</f>
        <v/>
      </c>
      <c r="V1296" s="2">
        <f>SUMIFS(F$2:F$1589,A$2:A$1589,A1296,C$2:C$1589,C1296,E$2:E$1589,E1296,Q$2:Q$1589,Q1296)</f>
        <v/>
      </c>
    </row>
    <row r="1297">
      <c r="A1297" s="3" t="inlineStr">
        <is>
          <t>alquiler</t>
        </is>
      </c>
      <c r="B1297" s="3" t="inlineStr">
        <is>
          <t>ccaa:16</t>
        </is>
      </c>
      <c r="C1297" s="3" t="inlineStr">
        <is>
          <t>P4</t>
        </is>
      </c>
      <c r="D1297" s="3" t="inlineStr">
        <is>
          <t>oferta</t>
        </is>
      </c>
      <c r="E1297" s="3" t="inlineStr">
        <is>
          <t>regional_panel</t>
        </is>
      </c>
      <c r="F1297" s="3" t="n">
        <v>-0.00392598</v>
      </c>
      <c r="G1297" s="3" t="n"/>
      <c r="H1297" s="3" t="n"/>
      <c r="I1297" s="3" t="n">
        <v>0.000856419</v>
      </c>
      <c r="J1297" s="3" t="n">
        <v>-0.0300654</v>
      </c>
      <c r="K1297" s="3" t="n">
        <v>0.0212562</v>
      </c>
      <c r="L1297" s="3" t="n">
        <v>-0.07138700000000001</v>
      </c>
      <c r="M1297" s="3" t="n">
        <v>0.07053959999999999</v>
      </c>
      <c r="N1297" s="3" t="inlineStr">
        <is>
          <t>C4</t>
        </is>
      </c>
      <c r="O1297" s="3" t="inlineStr">
        <is>
          <t>si</t>
        </is>
      </c>
      <c r="P1297" s="3" t="inlineStr">
        <is>
          <t>no_vota</t>
        </is>
      </c>
      <c r="Q1297" s="3" t="inlineStr">
        <is>
          <t>panel_covariables</t>
        </is>
      </c>
      <c r="R1297" s="3" t="n"/>
      <c r="S1297" s="3" t="inlineStr">
        <is>
          <t>contraste regional (R6); no vota</t>
        </is>
      </c>
      <c r="T1297" s="3" t="inlineStr">
        <is>
          <t>output/v8/F5/atribucion_combinada.csv</t>
        </is>
      </c>
      <c r="U1297" s="2">
        <f>IF(R1297=0,"",F1297/R1297)</f>
        <v/>
      </c>
      <c r="V1297" s="2">
        <f>SUMIFS(F$2:F$1589,A$2:A$1589,A1297,C$2:C$1589,C1297,E$2:E$1589,E1297,Q$2:Q$1589,Q1297)</f>
        <v/>
      </c>
    </row>
    <row r="1298">
      <c r="A1298" s="3" t="inlineStr">
        <is>
          <t>alquiler</t>
        </is>
      </c>
      <c r="B1298" s="3" t="inlineStr">
        <is>
          <t>ccaa:16</t>
        </is>
      </c>
      <c r="C1298" s="3" t="inlineStr">
        <is>
          <t>P4</t>
        </is>
      </c>
      <c r="D1298" s="3" t="inlineStr">
        <is>
          <t>demanda_externa</t>
        </is>
      </c>
      <c r="E1298" s="3" t="inlineStr">
        <is>
          <t>regional_panel</t>
        </is>
      </c>
      <c r="F1298" s="3" t="n">
        <v>0.00404353</v>
      </c>
      <c r="G1298" s="3" t="n"/>
      <c r="H1298" s="3" t="n"/>
      <c r="I1298" s="3" t="n">
        <v>-0.000882061</v>
      </c>
      <c r="J1298" s="3" t="n">
        <v>-0.0333747</v>
      </c>
      <c r="K1298" s="3" t="n">
        <v>0.0121903</v>
      </c>
      <c r="L1298" s="3" t="n">
        <v>-0.0700702</v>
      </c>
      <c r="M1298" s="3" t="n">
        <v>0.0319449</v>
      </c>
      <c r="N1298" s="3" t="inlineStr">
        <is>
          <t>C4</t>
        </is>
      </c>
      <c r="O1298" s="3" t="inlineStr">
        <is>
          <t>si</t>
        </is>
      </c>
      <c r="P1298" s="3" t="inlineStr">
        <is>
          <t>no_vota</t>
        </is>
      </c>
      <c r="Q1298" s="3" t="inlineStr">
        <is>
          <t>panel_covariables</t>
        </is>
      </c>
      <c r="R1298" s="3" t="n"/>
      <c r="S1298" s="3" t="inlineStr">
        <is>
          <t>contraste regional (R6); no vota</t>
        </is>
      </c>
      <c r="T1298" s="3" t="inlineStr">
        <is>
          <t>output/v8/F5/atribucion_combinada.csv</t>
        </is>
      </c>
      <c r="U1298" s="2">
        <f>IF(R1298=0,"",F1298/R1298)</f>
        <v/>
      </c>
      <c r="V1298" s="2">
        <f>SUMIFS(F$2:F$1589,A$2:A$1589,A1298,C$2:C$1589,C1298,E$2:E$1589,E1298,Q$2:Q$1589,Q1298)</f>
        <v/>
      </c>
    </row>
    <row r="1299">
      <c r="A1299" s="3" t="inlineStr">
        <is>
          <t>alquiler</t>
        </is>
      </c>
      <c r="B1299" s="3" t="inlineStr">
        <is>
          <t>ccaa:16</t>
        </is>
      </c>
      <c r="C1299" s="3" t="inlineStr">
        <is>
          <t>P4</t>
        </is>
      </c>
      <c r="D1299" s="3" t="inlineStr">
        <is>
          <t>residuo</t>
        </is>
      </c>
      <c r="E1299" s="3" t="inlineStr">
        <is>
          <t>regional_panel</t>
        </is>
      </c>
      <c r="F1299" s="3" t="n">
        <v>-0.22968</v>
      </c>
      <c r="G1299" s="3" t="n"/>
      <c r="H1299" s="3" t="n"/>
      <c r="I1299" s="3" t="n">
        <v>0.0501027</v>
      </c>
      <c r="J1299" s="3" t="n">
        <v>-0.77824</v>
      </c>
      <c r="K1299" s="3" t="n">
        <v>0.151356</v>
      </c>
      <c r="L1299" s="3" t="n">
        <v>-1.73099</v>
      </c>
      <c r="M1299" s="3" t="n">
        <v>0.348961</v>
      </c>
      <c r="N1299" s="3" t="inlineStr">
        <is>
          <t>C4</t>
        </is>
      </c>
      <c r="O1299" s="3" t="inlineStr">
        <is>
          <t>no</t>
        </is>
      </c>
      <c r="P1299" s="3" t="inlineStr">
        <is>
          <t>no_compite</t>
        </is>
      </c>
      <c r="Q1299" s="3" t="inlineStr">
        <is>
          <t>panel_covariables</t>
        </is>
      </c>
      <c r="R1299" s="3" t="n"/>
      <c r="S1299" s="3" t="inlineStr">
        <is>
          <t>contraste regional (R6); no vota</t>
        </is>
      </c>
      <c r="T1299" s="3" t="inlineStr">
        <is>
          <t>output/v8/F5/atribucion_combinada.csv</t>
        </is>
      </c>
      <c r="U1299" s="2">
        <f>IF(R1299=0,"",F1299/R1299)</f>
        <v/>
      </c>
      <c r="V1299" s="2">
        <f>SUMIFS(F$2:F$1589,A$2:A$1589,A1299,C$2:C$1589,C1299,E$2:E$1589,E1299,Q$2:Q$1589,Q1299)</f>
        <v/>
      </c>
    </row>
    <row r="1300">
      <c r="A1300" s="3" t="inlineStr">
        <is>
          <t>alquiler</t>
        </is>
      </c>
      <c r="B1300" s="3" t="inlineStr">
        <is>
          <t>ccaa:17</t>
        </is>
      </c>
      <c r="C1300" s="3" t="inlineStr">
        <is>
          <t>P4</t>
        </is>
      </c>
      <c r="D1300" s="3" t="inlineStr">
        <is>
          <t>factor_comun</t>
        </is>
      </c>
      <c r="E1300" s="3" t="inlineStr">
        <is>
          <t>regional_panel</t>
        </is>
      </c>
      <c r="F1300" s="3" t="n">
        <v>-4.82785</v>
      </c>
      <c r="G1300" s="3" t="n"/>
      <c r="H1300" s="3" t="n"/>
      <c r="I1300" s="3" t="n">
        <v>1.08502</v>
      </c>
      <c r="J1300" s="3" t="n">
        <v>-8.01083</v>
      </c>
      <c r="K1300" s="3" t="n">
        <v>-1.73403</v>
      </c>
      <c r="L1300" s="3" t="n">
        <v>-10.2878</v>
      </c>
      <c r="M1300" s="3" t="n">
        <v>-0.0997739</v>
      </c>
      <c r="N1300" s="3" t="inlineStr">
        <is>
          <t>C4</t>
        </is>
      </c>
      <c r="O1300" s="3" t="inlineStr">
        <is>
          <t>no</t>
        </is>
      </c>
      <c r="P1300" s="3" t="inlineStr">
        <is>
          <t>no_compite</t>
        </is>
      </c>
      <c r="Q1300" s="3" t="inlineStr">
        <is>
          <t>panel_covariables</t>
        </is>
      </c>
      <c r="R1300" s="3" t="n"/>
      <c r="S1300" s="3" t="inlineStr">
        <is>
          <t>contraste regional (R6); no vota</t>
        </is>
      </c>
      <c r="T1300" s="3" t="inlineStr">
        <is>
          <t>output/v8/F5/atribucion_combinada.csv</t>
        </is>
      </c>
      <c r="U1300" s="2">
        <f>IF(R1300=0,"",F1300/R1300)</f>
        <v/>
      </c>
      <c r="V1300" s="2">
        <f>SUMIFS(F$2:F$1589,A$2:A$1589,A1300,C$2:C$1589,C1300,E$2:E$1589,E1300,Q$2:Q$1589,Q1300)</f>
        <v/>
      </c>
    </row>
    <row r="1301">
      <c r="A1301" s="3" t="inlineStr">
        <is>
          <t>alquiler</t>
        </is>
      </c>
      <c r="B1301" s="3" t="inlineStr">
        <is>
          <t>ccaa:17</t>
        </is>
      </c>
      <c r="C1301" s="3" t="inlineStr">
        <is>
          <t>P4</t>
        </is>
      </c>
      <c r="D1301" s="3" t="inlineStr">
        <is>
          <t>empleo_renta</t>
        </is>
      </c>
      <c r="E1301" s="3" t="inlineStr">
        <is>
          <t>regional_panel</t>
        </is>
      </c>
      <c r="F1301" s="3" t="n">
        <v>0.0104466</v>
      </c>
      <c r="G1301" s="3" t="n"/>
      <c r="H1301" s="3" t="n"/>
      <c r="I1301" s="3" t="n">
        <v>-0.0023478</v>
      </c>
      <c r="J1301" s="3" t="n">
        <v>-0.0491719</v>
      </c>
      <c r="K1301" s="3" t="n">
        <v>0.072005</v>
      </c>
      <c r="L1301" s="3" t="n">
        <v>-0.0721202</v>
      </c>
      <c r="M1301" s="3" t="n">
        <v>0.170994</v>
      </c>
      <c r="N1301" s="3" t="inlineStr">
        <is>
          <t>C4</t>
        </is>
      </c>
      <c r="O1301" s="3" t="inlineStr">
        <is>
          <t>si</t>
        </is>
      </c>
      <c r="P1301" s="3" t="inlineStr">
        <is>
          <t>no_vota</t>
        </is>
      </c>
      <c r="Q1301" s="3" t="inlineStr">
        <is>
          <t>panel_covariables</t>
        </is>
      </c>
      <c r="R1301" s="3" t="n"/>
      <c r="S1301" s="3" t="inlineStr">
        <is>
          <t>contraste regional (R6); no vota</t>
        </is>
      </c>
      <c r="T1301" s="3" t="inlineStr">
        <is>
          <t>output/v8/F5/atribucion_combinada.csv</t>
        </is>
      </c>
      <c r="U1301" s="2">
        <f>IF(R1301=0,"",F1301/R1301)</f>
        <v/>
      </c>
      <c r="V1301" s="2">
        <f>SUMIFS(F$2:F$1589,A$2:A$1589,A1301,C$2:C$1589,C1301,E$2:E$1589,E1301,Q$2:Q$1589,Q1301)</f>
        <v/>
      </c>
    </row>
    <row r="1302">
      <c r="A1302" s="3" t="inlineStr">
        <is>
          <t>alquiler</t>
        </is>
      </c>
      <c r="B1302" s="3" t="inlineStr">
        <is>
          <t>ccaa:17</t>
        </is>
      </c>
      <c r="C1302" s="3" t="inlineStr">
        <is>
          <t>P4</t>
        </is>
      </c>
      <c r="D1302" s="3" t="inlineStr">
        <is>
          <t>demografia</t>
        </is>
      </c>
      <c r="E1302" s="3" t="inlineStr">
        <is>
          <t>regional_panel</t>
        </is>
      </c>
      <c r="F1302" s="3" t="n">
        <v>0.315434</v>
      </c>
      <c r="G1302" s="3" t="n"/>
      <c r="H1302" s="3" t="n"/>
      <c r="I1302" s="3" t="n">
        <v>-0.0708913</v>
      </c>
      <c r="J1302" s="3" t="n">
        <v>0.189517</v>
      </c>
      <c r="K1302" s="3" t="n">
        <v>0.495269</v>
      </c>
      <c r="L1302" s="3" t="n">
        <v>0.106348</v>
      </c>
      <c r="M1302" s="3" t="n">
        <v>0.8952</v>
      </c>
      <c r="N1302" s="3" t="inlineStr">
        <is>
          <t>C4</t>
        </is>
      </c>
      <c r="O1302" s="3" t="inlineStr">
        <is>
          <t>si</t>
        </is>
      </c>
      <c r="P1302" s="3" t="inlineStr">
        <is>
          <t>no_vota</t>
        </is>
      </c>
      <c r="Q1302" s="3" t="inlineStr">
        <is>
          <t>panel_covariables</t>
        </is>
      </c>
      <c r="R1302" s="3" t="n"/>
      <c r="S1302" s="3" t="inlineStr">
        <is>
          <t>contraste regional (R6); no vota</t>
        </is>
      </c>
      <c r="T1302" s="3" t="inlineStr">
        <is>
          <t>output/v8/F5/atribucion_combinada.csv</t>
        </is>
      </c>
      <c r="U1302" s="2">
        <f>IF(R1302=0,"",F1302/R1302)</f>
        <v/>
      </c>
      <c r="V1302" s="2">
        <f>SUMIFS(F$2:F$1589,A$2:A$1589,A1302,C$2:C$1589,C1302,E$2:E$1589,E1302,Q$2:Q$1589,Q1302)</f>
        <v/>
      </c>
    </row>
    <row r="1303">
      <c r="A1303" s="3" t="inlineStr">
        <is>
          <t>alquiler</t>
        </is>
      </c>
      <c r="B1303" s="3" t="inlineStr">
        <is>
          <t>ccaa:17</t>
        </is>
      </c>
      <c r="C1303" s="3" t="inlineStr">
        <is>
          <t>P4</t>
        </is>
      </c>
      <c r="D1303" s="3" t="inlineStr">
        <is>
          <t>oferta</t>
        </is>
      </c>
      <c r="E1303" s="3" t="inlineStr">
        <is>
          <t>regional_panel</t>
        </is>
      </c>
      <c r="F1303" s="3" t="n">
        <v>0.00302824</v>
      </c>
      <c r="G1303" s="3" t="n"/>
      <c r="H1303" s="3" t="n"/>
      <c r="I1303" s="3" t="n">
        <v>-0.000680573</v>
      </c>
      <c r="J1303" s="3" t="n">
        <v>-0.012902</v>
      </c>
      <c r="K1303" s="3" t="n">
        <v>0.0212925</v>
      </c>
      <c r="L1303" s="3" t="n">
        <v>-0.037688</v>
      </c>
      <c r="M1303" s="3" t="n">
        <v>0.0550506</v>
      </c>
      <c r="N1303" s="3" t="inlineStr">
        <is>
          <t>C4</t>
        </is>
      </c>
      <c r="O1303" s="3" t="inlineStr">
        <is>
          <t>si</t>
        </is>
      </c>
      <c r="P1303" s="3" t="inlineStr">
        <is>
          <t>no_vota</t>
        </is>
      </c>
      <c r="Q1303" s="3" t="inlineStr">
        <is>
          <t>panel_covariables</t>
        </is>
      </c>
      <c r="R1303" s="3" t="n"/>
      <c r="S1303" s="3" t="inlineStr">
        <is>
          <t>contraste regional (R6); no vota</t>
        </is>
      </c>
      <c r="T1303" s="3" t="inlineStr">
        <is>
          <t>output/v8/F5/atribucion_combinada.csv</t>
        </is>
      </c>
      <c r="U1303" s="2">
        <f>IF(R1303=0,"",F1303/R1303)</f>
        <v/>
      </c>
      <c r="V1303" s="2">
        <f>SUMIFS(F$2:F$1589,A$2:A$1589,A1303,C$2:C$1589,C1303,E$2:E$1589,E1303,Q$2:Q$1589,Q1303)</f>
        <v/>
      </c>
    </row>
    <row r="1304">
      <c r="A1304" s="3" t="inlineStr">
        <is>
          <t>alquiler</t>
        </is>
      </c>
      <c r="B1304" s="3" t="inlineStr">
        <is>
          <t>ccaa:17</t>
        </is>
      </c>
      <c r="C1304" s="3" t="inlineStr">
        <is>
          <t>P4</t>
        </is>
      </c>
      <c r="D1304" s="3" t="inlineStr">
        <is>
          <t>demanda_externa</t>
        </is>
      </c>
      <c r="E1304" s="3" t="inlineStr">
        <is>
          <t>regional_panel</t>
        </is>
      </c>
      <c r="F1304" s="3" t="n">
        <v>0.00663473</v>
      </c>
      <c r="G1304" s="3" t="n"/>
      <c r="H1304" s="3" t="n"/>
      <c r="I1304" s="3" t="n">
        <v>-0.00149111</v>
      </c>
      <c r="J1304" s="3" t="n">
        <v>-0.0401533</v>
      </c>
      <c r="K1304" s="3" t="n">
        <v>0.011818</v>
      </c>
      <c r="L1304" s="3" t="n">
        <v>-0.0845933</v>
      </c>
      <c r="M1304" s="3" t="n">
        <v>0.0270086</v>
      </c>
      <c r="N1304" s="3" t="inlineStr">
        <is>
          <t>C4</t>
        </is>
      </c>
      <c r="O1304" s="3" t="inlineStr">
        <is>
          <t>si</t>
        </is>
      </c>
      <c r="P1304" s="3" t="inlineStr">
        <is>
          <t>no_vota</t>
        </is>
      </c>
      <c r="Q1304" s="3" t="inlineStr">
        <is>
          <t>panel_covariables</t>
        </is>
      </c>
      <c r="R1304" s="3" t="n"/>
      <c r="S1304" s="3" t="inlineStr">
        <is>
          <t>contraste regional (R6); no vota</t>
        </is>
      </c>
      <c r="T1304" s="3" t="inlineStr">
        <is>
          <t>output/v8/F5/atribucion_combinada.csv</t>
        </is>
      </c>
      <c r="U1304" s="2">
        <f>IF(R1304=0,"",F1304/R1304)</f>
        <v/>
      </c>
      <c r="V1304" s="2">
        <f>SUMIFS(F$2:F$1589,A$2:A$1589,A1304,C$2:C$1589,C1304,E$2:E$1589,E1304,Q$2:Q$1589,Q1304)</f>
        <v/>
      </c>
    </row>
    <row r="1305">
      <c r="A1305" s="3" t="inlineStr">
        <is>
          <t>alquiler</t>
        </is>
      </c>
      <c r="B1305" s="3" t="inlineStr">
        <is>
          <t>ccaa:17</t>
        </is>
      </c>
      <c r="C1305" s="3" t="inlineStr">
        <is>
          <t>P4</t>
        </is>
      </c>
      <c r="D1305" s="3" t="inlineStr">
        <is>
          <t>residuo</t>
        </is>
      </c>
      <c r="E1305" s="3" t="inlineStr">
        <is>
          <t>regional_panel</t>
        </is>
      </c>
      <c r="F1305" s="3" t="n">
        <v>0.042763</v>
      </c>
      <c r="G1305" s="3" t="n"/>
      <c r="H1305" s="3" t="n"/>
      <c r="I1305" s="3" t="n">
        <v>-0.00961065</v>
      </c>
      <c r="J1305" s="3" t="n">
        <v>-0.346178</v>
      </c>
      <c r="K1305" s="3" t="n">
        <v>0.333519</v>
      </c>
      <c r="L1305" s="3" t="n">
        <v>-0.915394</v>
      </c>
      <c r="M1305" s="3" t="n">
        <v>0.504641</v>
      </c>
      <c r="N1305" s="3" t="inlineStr">
        <is>
          <t>C4</t>
        </is>
      </c>
      <c r="O1305" s="3" t="inlineStr">
        <is>
          <t>no</t>
        </is>
      </c>
      <c r="P1305" s="3" t="inlineStr">
        <is>
          <t>no_compite</t>
        </is>
      </c>
      <c r="Q1305" s="3" t="inlineStr">
        <is>
          <t>panel_covariables</t>
        </is>
      </c>
      <c r="R1305" s="3" t="n"/>
      <c r="S1305" s="3" t="inlineStr">
        <is>
          <t>contraste regional (R6); no vota</t>
        </is>
      </c>
      <c r="T1305" s="3" t="inlineStr">
        <is>
          <t>output/v8/F5/atribucion_combinada.csv</t>
        </is>
      </c>
      <c r="U1305" s="2">
        <f>IF(R1305=0,"",F1305/R1305)</f>
        <v/>
      </c>
      <c r="V1305" s="2">
        <f>SUMIFS(F$2:F$1589,A$2:A$1589,A1305,C$2:C$1589,C1305,E$2:E$1589,E1305,Q$2:Q$1589,Q1305)</f>
        <v/>
      </c>
    </row>
    <row r="1306">
      <c r="A1306" s="3" t="inlineStr">
        <is>
          <t>alquiler</t>
        </is>
      </c>
      <c r="B1306" s="3" t="inlineStr">
        <is>
          <t>ccaa:01</t>
        </is>
      </c>
      <c r="C1306" s="3" t="inlineStr">
        <is>
          <t>P5</t>
        </is>
      </c>
      <c r="D1306" s="3" t="inlineStr">
        <is>
          <t>factor_comun</t>
        </is>
      </c>
      <c r="E1306" s="3" t="inlineStr">
        <is>
          <t>regional_panel</t>
        </is>
      </c>
      <c r="F1306" s="3" t="n">
        <v>-5.47353</v>
      </c>
      <c r="G1306" s="3" t="n"/>
      <c r="H1306" s="3" t="n"/>
      <c r="I1306" s="3" t="n">
        <v>1.19773</v>
      </c>
      <c r="J1306" s="3" t="n">
        <v>-7.50057</v>
      </c>
      <c r="K1306" s="3" t="n">
        <v>-3.0519</v>
      </c>
      <c r="L1306" s="3" t="n">
        <v>-9.529260000000001</v>
      </c>
      <c r="M1306" s="3" t="n">
        <v>-2.07047</v>
      </c>
      <c r="N1306" s="3" t="inlineStr">
        <is>
          <t>C4</t>
        </is>
      </c>
      <c r="O1306" s="3" t="inlineStr">
        <is>
          <t>no</t>
        </is>
      </c>
      <c r="P1306" s="3" t="inlineStr">
        <is>
          <t>no_compite</t>
        </is>
      </c>
      <c r="Q1306" s="3" t="inlineStr">
        <is>
          <t>panel_covariables</t>
        </is>
      </c>
      <c r="R1306" s="3" t="n"/>
      <c r="S1306" s="3" t="inlineStr">
        <is>
          <t>contraste regional (R6); no vota</t>
        </is>
      </c>
      <c r="T1306" s="3" t="inlineStr">
        <is>
          <t>output/v8/F5/atribucion_combinada.csv</t>
        </is>
      </c>
      <c r="U1306" s="2">
        <f>IF(R1306=0,"",F1306/R1306)</f>
        <v/>
      </c>
      <c r="V1306" s="2">
        <f>SUMIFS(F$2:F$1589,A$2:A$1589,A1306,C$2:C$1589,C1306,E$2:E$1589,E1306,Q$2:Q$1589,Q1306)</f>
        <v/>
      </c>
    </row>
    <row r="1307">
      <c r="A1307" s="3" t="inlineStr">
        <is>
          <t>alquiler</t>
        </is>
      </c>
      <c r="B1307" s="3" t="inlineStr">
        <is>
          <t>ccaa:01</t>
        </is>
      </c>
      <c r="C1307" s="3" t="inlineStr">
        <is>
          <t>P5</t>
        </is>
      </c>
      <c r="D1307" s="3" t="inlineStr">
        <is>
          <t>empleo_renta</t>
        </is>
      </c>
      <c r="E1307" s="3" t="inlineStr">
        <is>
          <t>regional_panel</t>
        </is>
      </c>
      <c r="F1307" s="3" t="n">
        <v>-0.105901</v>
      </c>
      <c r="G1307" s="3" t="n"/>
      <c r="H1307" s="3" t="n"/>
      <c r="I1307" s="3" t="n">
        <v>0.0231735</v>
      </c>
      <c r="J1307" s="3" t="n">
        <v>-0.192563</v>
      </c>
      <c r="K1307" s="3" t="n">
        <v>-0.0405687</v>
      </c>
      <c r="L1307" s="3" t="n">
        <v>-0.279722</v>
      </c>
      <c r="M1307" s="3" t="n">
        <v>0.00554421</v>
      </c>
      <c r="N1307" s="3" t="inlineStr">
        <is>
          <t>C4</t>
        </is>
      </c>
      <c r="O1307" s="3" t="inlineStr">
        <is>
          <t>si</t>
        </is>
      </c>
      <c r="P1307" s="3" t="inlineStr">
        <is>
          <t>no_vota</t>
        </is>
      </c>
      <c r="Q1307" s="3" t="inlineStr">
        <is>
          <t>panel_covariables</t>
        </is>
      </c>
      <c r="R1307" s="3" t="n"/>
      <c r="S1307" s="3" t="inlineStr">
        <is>
          <t>contraste regional (R6); no vota</t>
        </is>
      </c>
      <c r="T1307" s="3" t="inlineStr">
        <is>
          <t>output/v8/F5/atribucion_combinada.csv</t>
        </is>
      </c>
      <c r="U1307" s="2">
        <f>IF(R1307=0,"",F1307/R1307)</f>
        <v/>
      </c>
      <c r="V1307" s="2">
        <f>SUMIFS(F$2:F$1589,A$2:A$1589,A1307,C$2:C$1589,C1307,E$2:E$1589,E1307,Q$2:Q$1589,Q1307)</f>
        <v/>
      </c>
    </row>
    <row r="1308">
      <c r="A1308" s="3" t="inlineStr">
        <is>
          <t>alquiler</t>
        </is>
      </c>
      <c r="B1308" s="3" t="inlineStr">
        <is>
          <t>ccaa:01</t>
        </is>
      </c>
      <c r="C1308" s="3" t="inlineStr">
        <is>
          <t>P5</t>
        </is>
      </c>
      <c r="D1308" s="3" t="inlineStr">
        <is>
          <t>demografia</t>
        </is>
      </c>
      <c r="E1308" s="3" t="inlineStr">
        <is>
          <t>regional_panel</t>
        </is>
      </c>
      <c r="F1308" s="3" t="n">
        <v>0.399998</v>
      </c>
      <c r="G1308" s="3" t="n"/>
      <c r="H1308" s="3" t="n"/>
      <c r="I1308" s="3" t="n">
        <v>-0.0875283</v>
      </c>
      <c r="J1308" s="3" t="n">
        <v>0.0716286</v>
      </c>
      <c r="K1308" s="3" t="n">
        <v>0.8489409999999999</v>
      </c>
      <c r="L1308" s="3" t="n">
        <v>-0.221242</v>
      </c>
      <c r="M1308" s="3" t="n">
        <v>1.24585</v>
      </c>
      <c r="N1308" s="3" t="inlineStr">
        <is>
          <t>C4</t>
        </is>
      </c>
      <c r="O1308" s="3" t="inlineStr">
        <is>
          <t>si</t>
        </is>
      </c>
      <c r="P1308" s="3" t="inlineStr">
        <is>
          <t>no_vota</t>
        </is>
      </c>
      <c r="Q1308" s="3" t="inlineStr">
        <is>
          <t>panel_covariables</t>
        </is>
      </c>
      <c r="R1308" s="3" t="n"/>
      <c r="S1308" s="3" t="inlineStr">
        <is>
          <t>contraste regional (R6); no vota</t>
        </is>
      </c>
      <c r="T1308" s="3" t="inlineStr">
        <is>
          <t>output/v8/F5/atribucion_combinada.csv</t>
        </is>
      </c>
      <c r="U1308" s="2">
        <f>IF(R1308=0,"",F1308/R1308)</f>
        <v/>
      </c>
      <c r="V1308" s="2">
        <f>SUMIFS(F$2:F$1589,A$2:A$1589,A1308,C$2:C$1589,C1308,E$2:E$1589,E1308,Q$2:Q$1589,Q1308)</f>
        <v/>
      </c>
    </row>
    <row r="1309">
      <c r="A1309" s="3" t="inlineStr">
        <is>
          <t>alquiler</t>
        </is>
      </c>
      <c r="B1309" s="3" t="inlineStr">
        <is>
          <t>ccaa:01</t>
        </is>
      </c>
      <c r="C1309" s="3" t="inlineStr">
        <is>
          <t>P5</t>
        </is>
      </c>
      <c r="D1309" s="3" t="inlineStr">
        <is>
          <t>oferta</t>
        </is>
      </c>
      <c r="E1309" s="3" t="inlineStr">
        <is>
          <t>regional_panel</t>
        </is>
      </c>
      <c r="F1309" s="3" t="n">
        <v>-0.00768543</v>
      </c>
      <c r="G1309" s="3" t="n"/>
      <c r="H1309" s="3" t="n"/>
      <c r="I1309" s="3" t="n">
        <v>0.00168174</v>
      </c>
      <c r="J1309" s="3" t="n">
        <v>-0.0229863</v>
      </c>
      <c r="K1309" s="3" t="n">
        <v>0.003541</v>
      </c>
      <c r="L1309" s="3" t="n">
        <v>-0.0396433</v>
      </c>
      <c r="M1309" s="3" t="n">
        <v>0.013131</v>
      </c>
      <c r="N1309" s="3" t="inlineStr">
        <is>
          <t>C4</t>
        </is>
      </c>
      <c r="O1309" s="3" t="inlineStr">
        <is>
          <t>si</t>
        </is>
      </c>
      <c r="P1309" s="3" t="inlineStr">
        <is>
          <t>no_vota</t>
        </is>
      </c>
      <c r="Q1309" s="3" t="inlineStr">
        <is>
          <t>panel_covariables</t>
        </is>
      </c>
      <c r="R1309" s="3" t="n"/>
      <c r="S1309" s="3" t="inlineStr">
        <is>
          <t>contraste regional (R6); no vota</t>
        </is>
      </c>
      <c r="T1309" s="3" t="inlineStr">
        <is>
          <t>output/v8/F5/atribucion_combinada.csv</t>
        </is>
      </c>
      <c r="U1309" s="2">
        <f>IF(R1309=0,"",F1309/R1309)</f>
        <v/>
      </c>
      <c r="V1309" s="2">
        <f>SUMIFS(F$2:F$1589,A$2:A$1589,A1309,C$2:C$1589,C1309,E$2:E$1589,E1309,Q$2:Q$1589,Q1309)</f>
        <v/>
      </c>
    </row>
    <row r="1310">
      <c r="A1310" s="3" t="inlineStr">
        <is>
          <t>alquiler</t>
        </is>
      </c>
      <c r="B1310" s="3" t="inlineStr">
        <is>
          <t>ccaa:01</t>
        </is>
      </c>
      <c r="C1310" s="3" t="inlineStr">
        <is>
          <t>P5</t>
        </is>
      </c>
      <c r="D1310" s="3" t="inlineStr">
        <is>
          <t>demanda_externa</t>
        </is>
      </c>
      <c r="E1310" s="3" t="inlineStr">
        <is>
          <t>regional_panel</t>
        </is>
      </c>
      <c r="F1310" s="3" t="n">
        <v>0.0220067</v>
      </c>
      <c r="G1310" s="3" t="n"/>
      <c r="H1310" s="3" t="n"/>
      <c r="I1310" s="3" t="n">
        <v>-0.00481554</v>
      </c>
      <c r="J1310" s="3" t="n">
        <v>-0.0110548</v>
      </c>
      <c r="K1310" s="3" t="n">
        <v>0.06415120000000001</v>
      </c>
      <c r="L1310" s="3" t="n">
        <v>-0.0324656</v>
      </c>
      <c r="M1310" s="3" t="n">
        <v>0.117407</v>
      </c>
      <c r="N1310" s="3" t="inlineStr">
        <is>
          <t>C4</t>
        </is>
      </c>
      <c r="O1310" s="3" t="inlineStr">
        <is>
          <t>si</t>
        </is>
      </c>
      <c r="P1310" s="3" t="inlineStr">
        <is>
          <t>no_vota</t>
        </is>
      </c>
      <c r="Q1310" s="3" t="inlineStr">
        <is>
          <t>panel_covariables</t>
        </is>
      </c>
      <c r="R1310" s="3" t="n"/>
      <c r="S1310" s="3" t="inlineStr">
        <is>
          <t>contraste regional (R6); no vota</t>
        </is>
      </c>
      <c r="T1310" s="3" t="inlineStr">
        <is>
          <t>output/v8/F5/atribucion_combinada.csv</t>
        </is>
      </c>
      <c r="U1310" s="2">
        <f>IF(R1310=0,"",F1310/R1310)</f>
        <v/>
      </c>
      <c r="V1310" s="2">
        <f>SUMIFS(F$2:F$1589,A$2:A$1589,A1310,C$2:C$1589,C1310,E$2:E$1589,E1310,Q$2:Q$1589,Q1310)</f>
        <v/>
      </c>
    </row>
    <row r="1311">
      <c r="A1311" s="3" t="inlineStr">
        <is>
          <t>alquiler</t>
        </is>
      </c>
      <c r="B1311" s="3" t="inlineStr">
        <is>
          <t>ccaa:01</t>
        </is>
      </c>
      <c r="C1311" s="3" t="inlineStr">
        <is>
          <t>P5</t>
        </is>
      </c>
      <c r="D1311" s="3" t="inlineStr">
        <is>
          <t>residuo</t>
        </is>
      </c>
      <c r="E1311" s="3" t="inlineStr">
        <is>
          <t>regional_panel</t>
        </is>
      </c>
      <c r="F1311" s="3" t="n">
        <v>0.595189</v>
      </c>
      <c r="G1311" s="3" t="n"/>
      <c r="H1311" s="3" t="n"/>
      <c r="I1311" s="3" t="n">
        <v>-0.13024</v>
      </c>
      <c r="J1311" s="3" t="n">
        <v>0.166417</v>
      </c>
      <c r="K1311" s="3" t="n">
        <v>0.941758</v>
      </c>
      <c r="L1311" s="3" t="n">
        <v>-0.148122</v>
      </c>
      <c r="M1311" s="3" t="n">
        <v>1.30001</v>
      </c>
      <c r="N1311" s="3" t="inlineStr">
        <is>
          <t>C4</t>
        </is>
      </c>
      <c r="O1311" s="3" t="inlineStr">
        <is>
          <t>no</t>
        </is>
      </c>
      <c r="P1311" s="3" t="inlineStr">
        <is>
          <t>no_compite</t>
        </is>
      </c>
      <c r="Q1311" s="3" t="inlineStr">
        <is>
          <t>panel_covariables</t>
        </is>
      </c>
      <c r="R1311" s="3" t="n"/>
      <c r="S1311" s="3" t="inlineStr">
        <is>
          <t>contraste regional (R6); no vota</t>
        </is>
      </c>
      <c r="T1311" s="3" t="inlineStr">
        <is>
          <t>output/v8/F5/atribucion_combinada.csv</t>
        </is>
      </c>
      <c r="U1311" s="2">
        <f>IF(R1311=0,"",F1311/R1311)</f>
        <v/>
      </c>
      <c r="V1311" s="2">
        <f>SUMIFS(F$2:F$1589,A$2:A$1589,A1311,C$2:C$1589,C1311,E$2:E$1589,E1311,Q$2:Q$1589,Q1311)</f>
        <v/>
      </c>
    </row>
    <row r="1312">
      <c r="A1312" s="3" t="inlineStr">
        <is>
          <t>alquiler</t>
        </is>
      </c>
      <c r="B1312" s="3" t="inlineStr">
        <is>
          <t>ccaa:02</t>
        </is>
      </c>
      <c r="C1312" s="3" t="inlineStr">
        <is>
          <t>P5</t>
        </is>
      </c>
      <c r="D1312" s="3" t="inlineStr">
        <is>
          <t>factor_comun</t>
        </is>
      </c>
      <c r="E1312" s="3" t="inlineStr">
        <is>
          <t>regional_panel</t>
        </is>
      </c>
      <c r="F1312" s="3" t="n">
        <v>-5.47353</v>
      </c>
      <c r="G1312" s="3" t="n"/>
      <c r="H1312" s="3" t="n"/>
      <c r="I1312" s="3" t="n">
        <v>1.09136</v>
      </c>
      <c r="J1312" s="3" t="n">
        <v>-7.50057</v>
      </c>
      <c r="K1312" s="3" t="n">
        <v>-3.0519</v>
      </c>
      <c r="L1312" s="3" t="n">
        <v>-9.529260000000001</v>
      </c>
      <c r="M1312" s="3" t="n">
        <v>-2.07047</v>
      </c>
      <c r="N1312" s="3" t="inlineStr">
        <is>
          <t>C4</t>
        </is>
      </c>
      <c r="O1312" s="3" t="inlineStr">
        <is>
          <t>no</t>
        </is>
      </c>
      <c r="P1312" s="3" t="inlineStr">
        <is>
          <t>no_compite</t>
        </is>
      </c>
      <c r="Q1312" s="3" t="inlineStr">
        <is>
          <t>panel_covariables</t>
        </is>
      </c>
      <c r="R1312" s="3" t="n"/>
      <c r="S1312" s="3" t="inlineStr">
        <is>
          <t>contraste regional (R6); no vota</t>
        </is>
      </c>
      <c r="T1312" s="3" t="inlineStr">
        <is>
          <t>output/v8/F5/atribucion_combinada.csv</t>
        </is>
      </c>
      <c r="U1312" s="2">
        <f>IF(R1312=0,"",F1312/R1312)</f>
        <v/>
      </c>
      <c r="V1312" s="2">
        <f>SUMIFS(F$2:F$1589,A$2:A$1589,A1312,C$2:C$1589,C1312,E$2:E$1589,E1312,Q$2:Q$1589,Q1312)</f>
        <v/>
      </c>
    </row>
    <row r="1313">
      <c r="A1313" s="3" t="inlineStr">
        <is>
          <t>alquiler</t>
        </is>
      </c>
      <c r="B1313" s="3" t="inlineStr">
        <is>
          <t>ccaa:02</t>
        </is>
      </c>
      <c r="C1313" s="3" t="inlineStr">
        <is>
          <t>P5</t>
        </is>
      </c>
      <c r="D1313" s="3" t="inlineStr">
        <is>
          <t>empleo_renta</t>
        </is>
      </c>
      <c r="E1313" s="3" t="inlineStr">
        <is>
          <t>regional_panel</t>
        </is>
      </c>
      <c r="F1313" s="3" t="n">
        <v>-0.0613172</v>
      </c>
      <c r="G1313" s="3" t="n"/>
      <c r="H1313" s="3" t="n"/>
      <c r="I1313" s="3" t="n">
        <v>0.012226</v>
      </c>
      <c r="J1313" s="3" t="n">
        <v>-0.07970670000000001</v>
      </c>
      <c r="K1313" s="3" t="n">
        <v>-0.0345218</v>
      </c>
      <c r="L1313" s="3" t="n">
        <v>-0.099028</v>
      </c>
      <c r="M1313" s="3" t="n">
        <v>-0.0134078</v>
      </c>
      <c r="N1313" s="3" t="inlineStr">
        <is>
          <t>C4</t>
        </is>
      </c>
      <c r="O1313" s="3" t="inlineStr">
        <is>
          <t>si</t>
        </is>
      </c>
      <c r="P1313" s="3" t="inlineStr">
        <is>
          <t>no_vota</t>
        </is>
      </c>
      <c r="Q1313" s="3" t="inlineStr">
        <is>
          <t>panel_covariables</t>
        </is>
      </c>
      <c r="R1313" s="3" t="n"/>
      <c r="S1313" s="3" t="inlineStr">
        <is>
          <t>contraste regional (R6); no vota</t>
        </is>
      </c>
      <c r="T1313" s="3" t="inlineStr">
        <is>
          <t>output/v8/F5/atribucion_combinada.csv</t>
        </is>
      </c>
      <c r="U1313" s="2">
        <f>IF(R1313=0,"",F1313/R1313)</f>
        <v/>
      </c>
      <c r="V1313" s="2">
        <f>SUMIFS(F$2:F$1589,A$2:A$1589,A1313,C$2:C$1589,C1313,E$2:E$1589,E1313,Q$2:Q$1589,Q1313)</f>
        <v/>
      </c>
    </row>
    <row r="1314">
      <c r="A1314" s="3" t="inlineStr">
        <is>
          <t>alquiler</t>
        </is>
      </c>
      <c r="B1314" s="3" t="inlineStr">
        <is>
          <t>ccaa:02</t>
        </is>
      </c>
      <c r="C1314" s="3" t="inlineStr">
        <is>
          <t>P5</t>
        </is>
      </c>
      <c r="D1314" s="3" t="inlineStr">
        <is>
          <t>demografia</t>
        </is>
      </c>
      <c r="E1314" s="3" t="inlineStr">
        <is>
          <t>regional_panel</t>
        </is>
      </c>
      <c r="F1314" s="3" t="n">
        <v>0.426157</v>
      </c>
      <c r="G1314" s="3" t="n"/>
      <c r="H1314" s="3" t="n"/>
      <c r="I1314" s="3" t="n">
        <v>-0.0849713</v>
      </c>
      <c r="J1314" s="3" t="n">
        <v>0.0698868</v>
      </c>
      <c r="K1314" s="3" t="n">
        <v>0.918602</v>
      </c>
      <c r="L1314" s="3" t="n">
        <v>-0.303878</v>
      </c>
      <c r="M1314" s="3" t="n">
        <v>1.53322</v>
      </c>
      <c r="N1314" s="3" t="inlineStr">
        <is>
          <t>C4</t>
        </is>
      </c>
      <c r="O1314" s="3" t="inlineStr">
        <is>
          <t>si</t>
        </is>
      </c>
      <c r="P1314" s="3" t="inlineStr">
        <is>
          <t>no_vota</t>
        </is>
      </c>
      <c r="Q1314" s="3" t="inlineStr">
        <is>
          <t>panel_covariables</t>
        </is>
      </c>
      <c r="R1314" s="3" t="n"/>
      <c r="S1314" s="3" t="inlineStr">
        <is>
          <t>contraste regional (R6); no vota</t>
        </is>
      </c>
      <c r="T1314" s="3" t="inlineStr">
        <is>
          <t>output/v8/F5/atribucion_combinada.csv</t>
        </is>
      </c>
      <c r="U1314" s="2">
        <f>IF(R1314=0,"",F1314/R1314)</f>
        <v/>
      </c>
      <c r="V1314" s="2">
        <f>SUMIFS(F$2:F$1589,A$2:A$1589,A1314,C$2:C$1589,C1314,E$2:E$1589,E1314,Q$2:Q$1589,Q1314)</f>
        <v/>
      </c>
    </row>
    <row r="1315">
      <c r="A1315" s="3" t="inlineStr">
        <is>
          <t>alquiler</t>
        </is>
      </c>
      <c r="B1315" s="3" t="inlineStr">
        <is>
          <t>ccaa:02</t>
        </is>
      </c>
      <c r="C1315" s="3" t="inlineStr">
        <is>
          <t>P5</t>
        </is>
      </c>
      <c r="D1315" s="3" t="inlineStr">
        <is>
          <t>oferta</t>
        </is>
      </c>
      <c r="E1315" s="3" t="inlineStr">
        <is>
          <t>regional_panel</t>
        </is>
      </c>
      <c r="F1315" s="3" t="n">
        <v>-0.00701579</v>
      </c>
      <c r="G1315" s="3" t="n"/>
      <c r="H1315" s="3" t="n"/>
      <c r="I1315" s="3" t="n">
        <v>0.00139888</v>
      </c>
      <c r="J1315" s="3" t="n">
        <v>-0.0202813</v>
      </c>
      <c r="K1315" s="3" t="n">
        <v>0.0134226</v>
      </c>
      <c r="L1315" s="3" t="n">
        <v>-0.0506819</v>
      </c>
      <c r="M1315" s="3" t="n">
        <v>0.0400521</v>
      </c>
      <c r="N1315" s="3" t="inlineStr">
        <is>
          <t>C4</t>
        </is>
      </c>
      <c r="O1315" s="3" t="inlineStr">
        <is>
          <t>si</t>
        </is>
      </c>
      <c r="P1315" s="3" t="inlineStr">
        <is>
          <t>no_vota</t>
        </is>
      </c>
      <c r="Q1315" s="3" t="inlineStr">
        <is>
          <t>panel_covariables</t>
        </is>
      </c>
      <c r="R1315" s="3" t="n"/>
      <c r="S1315" s="3" t="inlineStr">
        <is>
          <t>contraste regional (R6); no vota</t>
        </is>
      </c>
      <c r="T1315" s="3" t="inlineStr">
        <is>
          <t>output/v8/F5/atribucion_combinada.csv</t>
        </is>
      </c>
      <c r="U1315" s="2">
        <f>IF(R1315=0,"",F1315/R1315)</f>
        <v/>
      </c>
      <c r="V1315" s="2">
        <f>SUMIFS(F$2:F$1589,A$2:A$1589,A1315,C$2:C$1589,C1315,E$2:E$1589,E1315,Q$2:Q$1589,Q1315)</f>
        <v/>
      </c>
    </row>
    <row r="1316">
      <c r="A1316" s="3" t="inlineStr">
        <is>
          <t>alquiler</t>
        </is>
      </c>
      <c r="B1316" s="3" t="inlineStr">
        <is>
          <t>ccaa:02</t>
        </is>
      </c>
      <c r="C1316" s="3" t="inlineStr">
        <is>
          <t>P5</t>
        </is>
      </c>
      <c r="D1316" s="3" t="inlineStr">
        <is>
          <t>demanda_externa</t>
        </is>
      </c>
      <c r="E1316" s="3" t="inlineStr">
        <is>
          <t>regional_panel</t>
        </is>
      </c>
      <c r="F1316" s="3" t="n">
        <v>0.0189501</v>
      </c>
      <c r="G1316" s="3" t="n"/>
      <c r="H1316" s="3" t="n"/>
      <c r="I1316" s="3" t="n">
        <v>-0.00377846</v>
      </c>
      <c r="J1316" s="3" t="n">
        <v>-0.00986045</v>
      </c>
      <c r="K1316" s="3" t="n">
        <v>0.0664848</v>
      </c>
      <c r="L1316" s="3" t="n">
        <v>-0.0264725</v>
      </c>
      <c r="M1316" s="3" t="n">
        <v>0.117842</v>
      </c>
      <c r="N1316" s="3" t="inlineStr">
        <is>
          <t>C4</t>
        </is>
      </c>
      <c r="O1316" s="3" t="inlineStr">
        <is>
          <t>si</t>
        </is>
      </c>
      <c r="P1316" s="3" t="inlineStr">
        <is>
          <t>no_vota</t>
        </is>
      </c>
      <c r="Q1316" s="3" t="inlineStr">
        <is>
          <t>panel_covariables</t>
        </is>
      </c>
      <c r="R1316" s="3" t="n"/>
      <c r="S1316" s="3" t="inlineStr">
        <is>
          <t>contraste regional (R6); no vota</t>
        </is>
      </c>
      <c r="T1316" s="3" t="inlineStr">
        <is>
          <t>output/v8/F5/atribucion_combinada.csv</t>
        </is>
      </c>
      <c r="U1316" s="2">
        <f>IF(R1316=0,"",F1316/R1316)</f>
        <v/>
      </c>
      <c r="V1316" s="2">
        <f>SUMIFS(F$2:F$1589,A$2:A$1589,A1316,C$2:C$1589,C1316,E$2:E$1589,E1316,Q$2:Q$1589,Q1316)</f>
        <v/>
      </c>
    </row>
    <row r="1317">
      <c r="A1317" s="3" t="inlineStr">
        <is>
          <t>alquiler</t>
        </is>
      </c>
      <c r="B1317" s="3" t="inlineStr">
        <is>
          <t>ccaa:02</t>
        </is>
      </c>
      <c r="C1317" s="3" t="inlineStr">
        <is>
          <t>P5</t>
        </is>
      </c>
      <c r="D1317" s="3" t="inlineStr">
        <is>
          <t>residuo</t>
        </is>
      </c>
      <c r="E1317" s="3" t="inlineStr">
        <is>
          <t>regional_panel</t>
        </is>
      </c>
      <c r="F1317" s="3" t="n">
        <v>0.08144750000000001</v>
      </c>
      <c r="G1317" s="3" t="n"/>
      <c r="H1317" s="3" t="n"/>
      <c r="I1317" s="3" t="n">
        <v>-0.0162398</v>
      </c>
      <c r="J1317" s="3" t="n">
        <v>-0.437688</v>
      </c>
      <c r="K1317" s="3" t="n">
        <v>0.532525</v>
      </c>
      <c r="L1317" s="3" t="n">
        <v>-0.996465</v>
      </c>
      <c r="M1317" s="3" t="n">
        <v>0.855174</v>
      </c>
      <c r="N1317" s="3" t="inlineStr">
        <is>
          <t>C4</t>
        </is>
      </c>
      <c r="O1317" s="3" t="inlineStr">
        <is>
          <t>no</t>
        </is>
      </c>
      <c r="P1317" s="3" t="inlineStr">
        <is>
          <t>no_compite</t>
        </is>
      </c>
      <c r="Q1317" s="3" t="inlineStr">
        <is>
          <t>panel_covariables</t>
        </is>
      </c>
      <c r="R1317" s="3" t="n"/>
      <c r="S1317" s="3" t="inlineStr">
        <is>
          <t>contraste regional (R6); no vota</t>
        </is>
      </c>
      <c r="T1317" s="3" t="inlineStr">
        <is>
          <t>output/v8/F5/atribucion_combinada.csv</t>
        </is>
      </c>
      <c r="U1317" s="2">
        <f>IF(R1317=0,"",F1317/R1317)</f>
        <v/>
      </c>
      <c r="V1317" s="2">
        <f>SUMIFS(F$2:F$1589,A$2:A$1589,A1317,C$2:C$1589,C1317,E$2:E$1589,E1317,Q$2:Q$1589,Q1317)</f>
        <v/>
      </c>
    </row>
    <row r="1318">
      <c r="A1318" s="3" t="inlineStr">
        <is>
          <t>alquiler</t>
        </is>
      </c>
      <c r="B1318" s="3" t="inlineStr">
        <is>
          <t>ccaa:03</t>
        </is>
      </c>
      <c r="C1318" s="3" t="inlineStr">
        <is>
          <t>P5</t>
        </is>
      </c>
      <c r="D1318" s="3" t="inlineStr">
        <is>
          <t>factor_comun</t>
        </is>
      </c>
      <c r="E1318" s="3" t="inlineStr">
        <is>
          <t>regional_panel</t>
        </is>
      </c>
      <c r="F1318" s="3" t="n">
        <v>-5.47353</v>
      </c>
      <c r="G1318" s="3" t="n"/>
      <c r="H1318" s="3" t="n"/>
      <c r="I1318" s="3" t="n">
        <v>0.8300149999999999</v>
      </c>
      <c r="J1318" s="3" t="n">
        <v>-7.50057</v>
      </c>
      <c r="K1318" s="3" t="n">
        <v>-3.0519</v>
      </c>
      <c r="L1318" s="3" t="n">
        <v>-9.529260000000001</v>
      </c>
      <c r="M1318" s="3" t="n">
        <v>-2.07047</v>
      </c>
      <c r="N1318" s="3" t="inlineStr">
        <is>
          <t>C4</t>
        </is>
      </c>
      <c r="O1318" s="3" t="inlineStr">
        <is>
          <t>no</t>
        </is>
      </c>
      <c r="P1318" s="3" t="inlineStr">
        <is>
          <t>no_compite</t>
        </is>
      </c>
      <c r="Q1318" s="3" t="inlineStr">
        <is>
          <t>panel_covariables</t>
        </is>
      </c>
      <c r="R1318" s="3" t="n"/>
      <c r="S1318" s="3" t="inlineStr">
        <is>
          <t>contraste regional (R6); no vota</t>
        </is>
      </c>
      <c r="T1318" s="3" t="inlineStr">
        <is>
          <t>output/v8/F5/atribucion_combinada.csv</t>
        </is>
      </c>
      <c r="U1318" s="2">
        <f>IF(R1318=0,"",F1318/R1318)</f>
        <v/>
      </c>
      <c r="V1318" s="2">
        <f>SUMIFS(F$2:F$1589,A$2:A$1589,A1318,C$2:C$1589,C1318,E$2:E$1589,E1318,Q$2:Q$1589,Q1318)</f>
        <v/>
      </c>
    </row>
    <row r="1319">
      <c r="A1319" s="3" t="inlineStr">
        <is>
          <t>alquiler</t>
        </is>
      </c>
      <c r="B1319" s="3" t="inlineStr">
        <is>
          <t>ccaa:03</t>
        </is>
      </c>
      <c r="C1319" s="3" t="inlineStr">
        <is>
          <t>P5</t>
        </is>
      </c>
      <c r="D1319" s="3" t="inlineStr">
        <is>
          <t>empleo_renta</t>
        </is>
      </c>
      <c r="E1319" s="3" t="inlineStr">
        <is>
          <t>regional_panel</t>
        </is>
      </c>
      <c r="F1319" s="3" t="n">
        <v>-0.145624</v>
      </c>
      <c r="G1319" s="3" t="n"/>
      <c r="H1319" s="3" t="n"/>
      <c r="I1319" s="3" t="n">
        <v>0.0220826</v>
      </c>
      <c r="J1319" s="3" t="n">
        <v>-0.200243</v>
      </c>
      <c r="K1319" s="3" t="n">
        <v>-0.0595245</v>
      </c>
      <c r="L1319" s="3" t="n">
        <v>-0.274893</v>
      </c>
      <c r="M1319" s="3" t="n">
        <v>-0.000118236</v>
      </c>
      <c r="N1319" s="3" t="inlineStr">
        <is>
          <t>C4</t>
        </is>
      </c>
      <c r="O1319" s="3" t="inlineStr">
        <is>
          <t>si</t>
        </is>
      </c>
      <c r="P1319" s="3" t="inlineStr">
        <is>
          <t>no_vota</t>
        </is>
      </c>
      <c r="Q1319" s="3" t="inlineStr">
        <is>
          <t>panel_covariables</t>
        </is>
      </c>
      <c r="R1319" s="3" t="n"/>
      <c r="S1319" s="3" t="inlineStr">
        <is>
          <t>contraste regional (R6); no vota</t>
        </is>
      </c>
      <c r="T1319" s="3" t="inlineStr">
        <is>
          <t>output/v8/F5/atribucion_combinada.csv</t>
        </is>
      </c>
      <c r="U1319" s="2">
        <f>IF(R1319=0,"",F1319/R1319)</f>
        <v/>
      </c>
      <c r="V1319" s="2">
        <f>SUMIFS(F$2:F$1589,A$2:A$1589,A1319,C$2:C$1589,C1319,E$2:E$1589,E1319,Q$2:Q$1589,Q1319)</f>
        <v/>
      </c>
    </row>
    <row r="1320">
      <c r="A1320" s="3" t="inlineStr">
        <is>
          <t>alquiler</t>
        </is>
      </c>
      <c r="B1320" s="3" t="inlineStr">
        <is>
          <t>ccaa:03</t>
        </is>
      </c>
      <c r="C1320" s="3" t="inlineStr">
        <is>
          <t>P5</t>
        </is>
      </c>
      <c r="D1320" s="3" t="inlineStr">
        <is>
          <t>demografia</t>
        </is>
      </c>
      <c r="E1320" s="3" t="inlineStr">
        <is>
          <t>regional_panel</t>
        </is>
      </c>
      <c r="F1320" s="3" t="n">
        <v>0.605222</v>
      </c>
      <c r="G1320" s="3" t="n"/>
      <c r="H1320" s="3" t="n"/>
      <c r="I1320" s="3" t="n">
        <v>-0.09177689999999999</v>
      </c>
      <c r="J1320" s="3" t="n">
        <v>-0.270635</v>
      </c>
      <c r="K1320" s="3" t="n">
        <v>1.47443</v>
      </c>
      <c r="L1320" s="3" t="n">
        <v>-0.995794</v>
      </c>
      <c r="M1320" s="3" t="n">
        <v>2.01739</v>
      </c>
      <c r="N1320" s="3" t="inlineStr">
        <is>
          <t>C4</t>
        </is>
      </c>
      <c r="O1320" s="3" t="inlineStr">
        <is>
          <t>si</t>
        </is>
      </c>
      <c r="P1320" s="3" t="inlineStr">
        <is>
          <t>no_vota</t>
        </is>
      </c>
      <c r="Q1320" s="3" t="inlineStr">
        <is>
          <t>panel_covariables</t>
        </is>
      </c>
      <c r="R1320" s="3" t="n"/>
      <c r="S1320" s="3" t="inlineStr">
        <is>
          <t>contraste regional (R6); no vota</t>
        </is>
      </c>
      <c r="T1320" s="3" t="inlineStr">
        <is>
          <t>output/v8/F5/atribucion_combinada.csv</t>
        </is>
      </c>
      <c r="U1320" s="2">
        <f>IF(R1320=0,"",F1320/R1320)</f>
        <v/>
      </c>
      <c r="V1320" s="2">
        <f>SUMIFS(F$2:F$1589,A$2:A$1589,A1320,C$2:C$1589,C1320,E$2:E$1589,E1320,Q$2:Q$1589,Q1320)</f>
        <v/>
      </c>
    </row>
    <row r="1321">
      <c r="A1321" s="3" t="inlineStr">
        <is>
          <t>alquiler</t>
        </is>
      </c>
      <c r="B1321" s="3" t="inlineStr">
        <is>
          <t>ccaa:03</t>
        </is>
      </c>
      <c r="C1321" s="3" t="inlineStr">
        <is>
          <t>P5</t>
        </is>
      </c>
      <c r="D1321" s="3" t="inlineStr">
        <is>
          <t>oferta</t>
        </is>
      </c>
      <c r="E1321" s="3" t="inlineStr">
        <is>
          <t>regional_panel</t>
        </is>
      </c>
      <c r="F1321" s="3" t="n">
        <v>0.00130503</v>
      </c>
      <c r="G1321" s="3" t="n"/>
      <c r="H1321" s="3" t="n"/>
      <c r="I1321" s="3" t="n">
        <v>-0.000197896</v>
      </c>
      <c r="J1321" s="3" t="n">
        <v>-0.0145708</v>
      </c>
      <c r="K1321" s="3" t="n">
        <v>0.004722</v>
      </c>
      <c r="L1321" s="3" t="n">
        <v>-0.0281152</v>
      </c>
      <c r="M1321" s="3" t="n">
        <v>0.0155147</v>
      </c>
      <c r="N1321" s="3" t="inlineStr">
        <is>
          <t>C4</t>
        </is>
      </c>
      <c r="O1321" s="3" t="inlineStr">
        <is>
          <t>si</t>
        </is>
      </c>
      <c r="P1321" s="3" t="inlineStr">
        <is>
          <t>no_vota</t>
        </is>
      </c>
      <c r="Q1321" s="3" t="inlineStr">
        <is>
          <t>panel_covariables</t>
        </is>
      </c>
      <c r="R1321" s="3" t="n"/>
      <c r="S1321" s="3" t="inlineStr">
        <is>
          <t>contraste regional (R6); no vota</t>
        </is>
      </c>
      <c r="T1321" s="3" t="inlineStr">
        <is>
          <t>output/v8/F5/atribucion_combinada.csv</t>
        </is>
      </c>
      <c r="U1321" s="2">
        <f>IF(R1321=0,"",F1321/R1321)</f>
        <v/>
      </c>
      <c r="V1321" s="2">
        <f>SUMIFS(F$2:F$1589,A$2:A$1589,A1321,C$2:C$1589,C1321,E$2:E$1589,E1321,Q$2:Q$1589,Q1321)</f>
        <v/>
      </c>
    </row>
    <row r="1322">
      <c r="A1322" s="3" t="inlineStr">
        <is>
          <t>alquiler</t>
        </is>
      </c>
      <c r="B1322" s="3" t="inlineStr">
        <is>
          <t>ccaa:03</t>
        </is>
      </c>
      <c r="C1322" s="3" t="inlineStr">
        <is>
          <t>P5</t>
        </is>
      </c>
      <c r="D1322" s="3" t="inlineStr">
        <is>
          <t>demanda_externa</t>
        </is>
      </c>
      <c r="E1322" s="3" t="inlineStr">
        <is>
          <t>regional_panel</t>
        </is>
      </c>
      <c r="F1322" s="3" t="n">
        <v>0.254993</v>
      </c>
      <c r="G1322" s="3" t="n"/>
      <c r="H1322" s="3" t="n"/>
      <c r="I1322" s="3" t="n">
        <v>-0.0386675</v>
      </c>
      <c r="J1322" s="3" t="n">
        <v>0.0943756</v>
      </c>
      <c r="K1322" s="3" t="n">
        <v>0.399339</v>
      </c>
      <c r="L1322" s="3" t="n">
        <v>-0.0371443</v>
      </c>
      <c r="M1322" s="3" t="n">
        <v>0.565935</v>
      </c>
      <c r="N1322" s="3" t="inlineStr">
        <is>
          <t>C4</t>
        </is>
      </c>
      <c r="O1322" s="3" t="inlineStr">
        <is>
          <t>si</t>
        </is>
      </c>
      <c r="P1322" s="3" t="inlineStr">
        <is>
          <t>no_vota</t>
        </is>
      </c>
      <c r="Q1322" s="3" t="inlineStr">
        <is>
          <t>panel_covariables</t>
        </is>
      </c>
      <c r="R1322" s="3" t="n"/>
      <c r="S1322" s="3" t="inlineStr">
        <is>
          <t>contraste regional (R6); no vota</t>
        </is>
      </c>
      <c r="T1322" s="3" t="inlineStr">
        <is>
          <t>output/v8/F5/atribucion_combinada.csv</t>
        </is>
      </c>
      <c r="U1322" s="2">
        <f>IF(R1322=0,"",F1322/R1322)</f>
        <v/>
      </c>
      <c r="V1322" s="2">
        <f>SUMIFS(F$2:F$1589,A$2:A$1589,A1322,C$2:C$1589,C1322,E$2:E$1589,E1322,Q$2:Q$1589,Q1322)</f>
        <v/>
      </c>
    </row>
    <row r="1323">
      <c r="A1323" s="3" t="inlineStr">
        <is>
          <t>alquiler</t>
        </is>
      </c>
      <c r="B1323" s="3" t="inlineStr">
        <is>
          <t>ccaa:03</t>
        </is>
      </c>
      <c r="C1323" s="3" t="inlineStr">
        <is>
          <t>P5</t>
        </is>
      </c>
      <c r="D1323" s="3" t="inlineStr">
        <is>
          <t>residuo</t>
        </is>
      </c>
      <c r="E1323" s="3" t="inlineStr">
        <is>
          <t>regional_panel</t>
        </is>
      </c>
      <c r="F1323" s="3" t="n">
        <v>-1.83686</v>
      </c>
      <c r="G1323" s="3" t="n"/>
      <c r="H1323" s="3" t="n"/>
      <c r="I1323" s="3" t="n">
        <v>0.278544</v>
      </c>
      <c r="J1323" s="3" t="n">
        <v>-2.79763</v>
      </c>
      <c r="K1323" s="3" t="n">
        <v>-1.01818</v>
      </c>
      <c r="L1323" s="3" t="n">
        <v>-3.51204</v>
      </c>
      <c r="M1323" s="3" t="n">
        <v>-0.387862</v>
      </c>
      <c r="N1323" s="3" t="inlineStr">
        <is>
          <t>C4</t>
        </is>
      </c>
      <c r="O1323" s="3" t="inlineStr">
        <is>
          <t>no</t>
        </is>
      </c>
      <c r="P1323" s="3" t="inlineStr">
        <is>
          <t>no_compite</t>
        </is>
      </c>
      <c r="Q1323" s="3" t="inlineStr">
        <is>
          <t>panel_covariables</t>
        </is>
      </c>
      <c r="R1323" s="3" t="n"/>
      <c r="S1323" s="3" t="inlineStr">
        <is>
          <t>contraste regional (R6); no vota</t>
        </is>
      </c>
      <c r="T1323" s="3" t="inlineStr">
        <is>
          <t>output/v8/F5/atribucion_combinada.csv</t>
        </is>
      </c>
      <c r="U1323" s="2">
        <f>IF(R1323=0,"",F1323/R1323)</f>
        <v/>
      </c>
      <c r="V1323" s="2">
        <f>SUMIFS(F$2:F$1589,A$2:A$1589,A1323,C$2:C$1589,C1323,E$2:E$1589,E1323,Q$2:Q$1589,Q1323)</f>
        <v/>
      </c>
    </row>
    <row r="1324">
      <c r="A1324" s="3" t="inlineStr">
        <is>
          <t>alquiler</t>
        </is>
      </c>
      <c r="B1324" s="3" t="inlineStr">
        <is>
          <t>ccaa:04</t>
        </is>
      </c>
      <c r="C1324" s="3" t="inlineStr">
        <is>
          <t>P5</t>
        </is>
      </c>
      <c r="D1324" s="3" t="inlineStr">
        <is>
          <t>factor_comun</t>
        </is>
      </c>
      <c r="E1324" s="3" t="inlineStr">
        <is>
          <t>regional_panel</t>
        </is>
      </c>
      <c r="F1324" s="3" t="n">
        <v>-5.47353</v>
      </c>
      <c r="G1324" s="3" t="n"/>
      <c r="H1324" s="3" t="n"/>
      <c r="I1324" s="3" t="n">
        <v>1.25145</v>
      </c>
      <c r="J1324" s="3" t="n">
        <v>-7.50057</v>
      </c>
      <c r="K1324" s="3" t="n">
        <v>-3.0519</v>
      </c>
      <c r="L1324" s="3" t="n">
        <v>-9.529260000000001</v>
      </c>
      <c r="M1324" s="3" t="n">
        <v>-2.07047</v>
      </c>
      <c r="N1324" s="3" t="inlineStr">
        <is>
          <t>C4</t>
        </is>
      </c>
      <c r="O1324" s="3" t="inlineStr">
        <is>
          <t>no</t>
        </is>
      </c>
      <c r="P1324" s="3" t="inlineStr">
        <is>
          <t>no_compite</t>
        </is>
      </c>
      <c r="Q1324" s="3" t="inlineStr">
        <is>
          <t>panel_covariables</t>
        </is>
      </c>
      <c r="R1324" s="3" t="n"/>
      <c r="S1324" s="3" t="inlineStr">
        <is>
          <t>contraste regional (R6); no vota</t>
        </is>
      </c>
      <c r="T1324" s="3" t="inlineStr">
        <is>
          <t>output/v8/F5/atribucion_combinada.csv</t>
        </is>
      </c>
      <c r="U1324" s="2">
        <f>IF(R1324=0,"",F1324/R1324)</f>
        <v/>
      </c>
      <c r="V1324" s="2">
        <f>SUMIFS(F$2:F$1589,A$2:A$1589,A1324,C$2:C$1589,C1324,E$2:E$1589,E1324,Q$2:Q$1589,Q1324)</f>
        <v/>
      </c>
    </row>
    <row r="1325">
      <c r="A1325" s="3" t="inlineStr">
        <is>
          <t>alquiler</t>
        </is>
      </c>
      <c r="B1325" s="3" t="inlineStr">
        <is>
          <t>ccaa:04</t>
        </is>
      </c>
      <c r="C1325" s="3" t="inlineStr">
        <is>
          <t>P5</t>
        </is>
      </c>
      <c r="D1325" s="3" t="inlineStr">
        <is>
          <t>empleo_renta</t>
        </is>
      </c>
      <c r="E1325" s="3" t="inlineStr">
        <is>
          <t>regional_panel</t>
        </is>
      </c>
      <c r="F1325" s="3" t="n">
        <v>-0.157949</v>
      </c>
      <c r="G1325" s="3" t="n"/>
      <c r="H1325" s="3" t="n"/>
      <c r="I1325" s="3" t="n">
        <v>0.036113</v>
      </c>
      <c r="J1325" s="3" t="n">
        <v>-0.270705</v>
      </c>
      <c r="K1325" s="3" t="n">
        <v>-0.09764200000000001</v>
      </c>
      <c r="L1325" s="3" t="n">
        <v>-0.368671</v>
      </c>
      <c r="M1325" s="3" t="n">
        <v>-0.0541292</v>
      </c>
      <c r="N1325" s="3" t="inlineStr">
        <is>
          <t>C4</t>
        </is>
      </c>
      <c r="O1325" s="3" t="inlineStr">
        <is>
          <t>si</t>
        </is>
      </c>
      <c r="P1325" s="3" t="inlineStr">
        <is>
          <t>no_vota</t>
        </is>
      </c>
      <c r="Q1325" s="3" t="inlineStr">
        <is>
          <t>panel_covariables</t>
        </is>
      </c>
      <c r="R1325" s="3" t="n"/>
      <c r="S1325" s="3" t="inlineStr">
        <is>
          <t>contraste regional (R6); no vota</t>
        </is>
      </c>
      <c r="T1325" s="3" t="inlineStr">
        <is>
          <t>output/v8/F5/atribucion_combinada.csv</t>
        </is>
      </c>
      <c r="U1325" s="2">
        <f>IF(R1325=0,"",F1325/R1325)</f>
        <v/>
      </c>
      <c r="V1325" s="2">
        <f>SUMIFS(F$2:F$1589,A$2:A$1589,A1325,C$2:C$1589,C1325,E$2:E$1589,E1325,Q$2:Q$1589,Q1325)</f>
        <v/>
      </c>
    </row>
    <row r="1326">
      <c r="A1326" s="3" t="inlineStr">
        <is>
          <t>alquiler</t>
        </is>
      </c>
      <c r="B1326" s="3" t="inlineStr">
        <is>
          <t>ccaa:04</t>
        </is>
      </c>
      <c r="C1326" s="3" t="inlineStr">
        <is>
          <t>P5</t>
        </is>
      </c>
      <c r="D1326" s="3" t="inlineStr">
        <is>
          <t>demografia</t>
        </is>
      </c>
      <c r="E1326" s="3" t="inlineStr">
        <is>
          <t>regional_panel</t>
        </is>
      </c>
      <c r="F1326" s="3" t="n">
        <v>0.543286</v>
      </c>
      <c r="G1326" s="3" t="n"/>
      <c r="H1326" s="3" t="n"/>
      <c r="I1326" s="3" t="n">
        <v>-0.124215</v>
      </c>
      <c r="J1326" s="3" t="n">
        <v>-0.152614</v>
      </c>
      <c r="K1326" s="3" t="n">
        <v>1.63764</v>
      </c>
      <c r="L1326" s="3" t="n">
        <v>-1.15275</v>
      </c>
      <c r="M1326" s="3" t="n">
        <v>2.69714</v>
      </c>
      <c r="N1326" s="3" t="inlineStr">
        <is>
          <t>C4</t>
        </is>
      </c>
      <c r="O1326" s="3" t="inlineStr">
        <is>
          <t>si</t>
        </is>
      </c>
      <c r="P1326" s="3" t="inlineStr">
        <is>
          <t>no_vota</t>
        </is>
      </c>
      <c r="Q1326" s="3" t="inlineStr">
        <is>
          <t>panel_covariables</t>
        </is>
      </c>
      <c r="R1326" s="3" t="n"/>
      <c r="S1326" s="3" t="inlineStr">
        <is>
          <t>contraste regional (R6); no vota</t>
        </is>
      </c>
      <c r="T1326" s="3" t="inlineStr">
        <is>
          <t>output/v8/F5/atribucion_combinada.csv</t>
        </is>
      </c>
      <c r="U1326" s="2">
        <f>IF(R1326=0,"",F1326/R1326)</f>
        <v/>
      </c>
      <c r="V1326" s="2">
        <f>SUMIFS(F$2:F$1589,A$2:A$1589,A1326,C$2:C$1589,C1326,E$2:E$1589,E1326,Q$2:Q$1589,Q1326)</f>
        <v/>
      </c>
    </row>
    <row r="1327">
      <c r="A1327" s="3" t="inlineStr">
        <is>
          <t>alquiler</t>
        </is>
      </c>
      <c r="B1327" s="3" t="inlineStr">
        <is>
          <t>ccaa:04</t>
        </is>
      </c>
      <c r="C1327" s="3" t="inlineStr">
        <is>
          <t>P5</t>
        </is>
      </c>
      <c r="D1327" s="3" t="inlineStr">
        <is>
          <t>oferta</t>
        </is>
      </c>
      <c r="E1327" s="3" t="inlineStr">
        <is>
          <t>regional_panel</t>
        </is>
      </c>
      <c r="F1327" s="3" t="n">
        <v>-0.00433081</v>
      </c>
      <c r="G1327" s="3" t="n"/>
      <c r="H1327" s="3" t="n"/>
      <c r="I1327" s="3" t="n">
        <v>0.0009901829999999999</v>
      </c>
      <c r="J1327" s="3" t="n">
        <v>-0.00687806</v>
      </c>
      <c r="K1327" s="3" t="n">
        <v>0.00597754</v>
      </c>
      <c r="L1327" s="3" t="n">
        <v>-0.0125653</v>
      </c>
      <c r="M1327" s="3" t="n">
        <v>0.0125772</v>
      </c>
      <c r="N1327" s="3" t="inlineStr">
        <is>
          <t>C4</t>
        </is>
      </c>
      <c r="O1327" s="3" t="inlineStr">
        <is>
          <t>si</t>
        </is>
      </c>
      <c r="P1327" s="3" t="inlineStr">
        <is>
          <t>no_vota</t>
        </is>
      </c>
      <c r="Q1327" s="3" t="inlineStr">
        <is>
          <t>panel_covariables</t>
        </is>
      </c>
      <c r="R1327" s="3" t="n"/>
      <c r="S1327" s="3" t="inlineStr">
        <is>
          <t>contraste regional (R6); no vota</t>
        </is>
      </c>
      <c r="T1327" s="3" t="inlineStr">
        <is>
          <t>output/v8/F5/atribucion_combinada.csv</t>
        </is>
      </c>
      <c r="U1327" s="2">
        <f>IF(R1327=0,"",F1327/R1327)</f>
        <v/>
      </c>
      <c r="V1327" s="2">
        <f>SUMIFS(F$2:F$1589,A$2:A$1589,A1327,C$2:C$1589,C1327,E$2:E$1589,E1327,Q$2:Q$1589,Q1327)</f>
        <v/>
      </c>
    </row>
    <row r="1328">
      <c r="A1328" s="3" t="inlineStr">
        <is>
          <t>alquiler</t>
        </is>
      </c>
      <c r="B1328" s="3" t="inlineStr">
        <is>
          <t>ccaa:04</t>
        </is>
      </c>
      <c r="C1328" s="3" t="inlineStr">
        <is>
          <t>P5</t>
        </is>
      </c>
      <c r="D1328" s="3" t="inlineStr">
        <is>
          <t>demanda_externa</t>
        </is>
      </c>
      <c r="E1328" s="3" t="inlineStr">
        <is>
          <t>regional_panel</t>
        </is>
      </c>
      <c r="F1328" s="3" t="n">
        <v>-0.118188</v>
      </c>
      <c r="G1328" s="3" t="n"/>
      <c r="H1328" s="3" t="n"/>
      <c r="I1328" s="3" t="n">
        <v>0.0270221</v>
      </c>
      <c r="J1328" s="3" t="n">
        <v>-0.192953</v>
      </c>
      <c r="K1328" s="3" t="n">
        <v>-0.0402299</v>
      </c>
      <c r="L1328" s="3" t="n">
        <v>-0.274829</v>
      </c>
      <c r="M1328" s="3" t="n">
        <v>0.0205483</v>
      </c>
      <c r="N1328" s="3" t="inlineStr">
        <is>
          <t>C4</t>
        </is>
      </c>
      <c r="O1328" s="3" t="inlineStr">
        <is>
          <t>si</t>
        </is>
      </c>
      <c r="P1328" s="3" t="inlineStr">
        <is>
          <t>no_vota</t>
        </is>
      </c>
      <c r="Q1328" s="3" t="inlineStr">
        <is>
          <t>panel_covariables</t>
        </is>
      </c>
      <c r="R1328" s="3" t="n"/>
      <c r="S1328" s="3" t="inlineStr">
        <is>
          <t>contraste regional (R6); no vota</t>
        </is>
      </c>
      <c r="T1328" s="3" t="inlineStr">
        <is>
          <t>output/v8/F5/atribucion_combinada.csv</t>
        </is>
      </c>
      <c r="U1328" s="2">
        <f>IF(R1328=0,"",F1328/R1328)</f>
        <v/>
      </c>
      <c r="V1328" s="2">
        <f>SUMIFS(F$2:F$1589,A$2:A$1589,A1328,C$2:C$1589,C1328,E$2:E$1589,E1328,Q$2:Q$1589,Q1328)</f>
        <v/>
      </c>
    </row>
    <row r="1329">
      <c r="A1329" s="3" t="inlineStr">
        <is>
          <t>alquiler</t>
        </is>
      </c>
      <c r="B1329" s="3" t="inlineStr">
        <is>
          <t>ccaa:04</t>
        </is>
      </c>
      <c r="C1329" s="3" t="inlineStr">
        <is>
          <t>P5</t>
        </is>
      </c>
      <c r="D1329" s="3" t="inlineStr">
        <is>
          <t>residuo</t>
        </is>
      </c>
      <c r="E1329" s="3" t="inlineStr">
        <is>
          <t>regional_panel</t>
        </is>
      </c>
      <c r="F1329" s="3" t="n">
        <v>0.836962</v>
      </c>
      <c r="G1329" s="3" t="n"/>
      <c r="H1329" s="3" t="n"/>
      <c r="I1329" s="3" t="n">
        <v>-0.19136</v>
      </c>
      <c r="J1329" s="3" t="n">
        <v>-0.470183</v>
      </c>
      <c r="K1329" s="3" t="n">
        <v>1.62661</v>
      </c>
      <c r="L1329" s="3" t="n">
        <v>-0.9420500000000001</v>
      </c>
      <c r="M1329" s="3" t="n">
        <v>2.58535</v>
      </c>
      <c r="N1329" s="3" t="inlineStr">
        <is>
          <t>C4</t>
        </is>
      </c>
      <c r="O1329" s="3" t="inlineStr">
        <is>
          <t>no</t>
        </is>
      </c>
      <c r="P1329" s="3" t="inlineStr">
        <is>
          <t>no_compite</t>
        </is>
      </c>
      <c r="Q1329" s="3" t="inlineStr">
        <is>
          <t>panel_covariables</t>
        </is>
      </c>
      <c r="R1329" s="3" t="n"/>
      <c r="S1329" s="3" t="inlineStr">
        <is>
          <t>contraste regional (R6); no vota</t>
        </is>
      </c>
      <c r="T1329" s="3" t="inlineStr">
        <is>
          <t>output/v8/F5/atribucion_combinada.csv</t>
        </is>
      </c>
      <c r="U1329" s="2">
        <f>IF(R1329=0,"",F1329/R1329)</f>
        <v/>
      </c>
      <c r="V1329" s="2">
        <f>SUMIFS(F$2:F$1589,A$2:A$1589,A1329,C$2:C$1589,C1329,E$2:E$1589,E1329,Q$2:Q$1589,Q1329)</f>
        <v/>
      </c>
    </row>
    <row r="1330">
      <c r="A1330" s="3" t="inlineStr">
        <is>
          <t>alquiler</t>
        </is>
      </c>
      <c r="B1330" s="3" t="inlineStr">
        <is>
          <t>ccaa:05</t>
        </is>
      </c>
      <c r="C1330" s="3" t="inlineStr">
        <is>
          <t>P5</t>
        </is>
      </c>
      <c r="D1330" s="3" t="inlineStr">
        <is>
          <t>factor_comun</t>
        </is>
      </c>
      <c r="E1330" s="3" t="inlineStr">
        <is>
          <t>regional_panel</t>
        </is>
      </c>
      <c r="F1330" s="3" t="n">
        <v>-5.47353</v>
      </c>
      <c r="G1330" s="3" t="n"/>
      <c r="H1330" s="3" t="n"/>
      <c r="I1330" s="3" t="n">
        <v>1.10953</v>
      </c>
      <c r="J1330" s="3" t="n">
        <v>-7.50057</v>
      </c>
      <c r="K1330" s="3" t="n">
        <v>-3.0519</v>
      </c>
      <c r="L1330" s="3" t="n">
        <v>-9.529260000000001</v>
      </c>
      <c r="M1330" s="3" t="n">
        <v>-2.07047</v>
      </c>
      <c r="N1330" s="3" t="inlineStr">
        <is>
          <t>C4</t>
        </is>
      </c>
      <c r="O1330" s="3" t="inlineStr">
        <is>
          <t>no</t>
        </is>
      </c>
      <c r="P1330" s="3" t="inlineStr">
        <is>
          <t>no_compite</t>
        </is>
      </c>
      <c r="Q1330" s="3" t="inlineStr">
        <is>
          <t>panel_covariables</t>
        </is>
      </c>
      <c r="R1330" s="3" t="n"/>
      <c r="S1330" s="3" t="inlineStr">
        <is>
          <t>contraste regional (R6); no vota</t>
        </is>
      </c>
      <c r="T1330" s="3" t="inlineStr">
        <is>
          <t>output/v8/F5/atribucion_combinada.csv</t>
        </is>
      </c>
      <c r="U1330" s="2">
        <f>IF(R1330=0,"",F1330/R1330)</f>
        <v/>
      </c>
      <c r="V1330" s="2">
        <f>SUMIFS(F$2:F$1589,A$2:A$1589,A1330,C$2:C$1589,C1330,E$2:E$1589,E1330,Q$2:Q$1589,Q1330)</f>
        <v/>
      </c>
    </row>
    <row r="1331">
      <c r="A1331" s="3" t="inlineStr">
        <is>
          <t>alquiler</t>
        </is>
      </c>
      <c r="B1331" s="3" t="inlineStr">
        <is>
          <t>ccaa:05</t>
        </is>
      </c>
      <c r="C1331" s="3" t="inlineStr">
        <is>
          <t>P5</t>
        </is>
      </c>
      <c r="D1331" s="3" t="inlineStr">
        <is>
          <t>empleo_renta</t>
        </is>
      </c>
      <c r="E1331" s="3" t="inlineStr">
        <is>
          <t>regional_panel</t>
        </is>
      </c>
      <c r="F1331" s="3" t="n">
        <v>-0.184254</v>
      </c>
      <c r="G1331" s="3" t="n"/>
      <c r="H1331" s="3" t="n"/>
      <c r="I1331" s="3" t="n">
        <v>0.0373499</v>
      </c>
      <c r="J1331" s="3" t="n">
        <v>-0.354323</v>
      </c>
      <c r="K1331" s="3" t="n">
        <v>-0.0640428</v>
      </c>
      <c r="L1331" s="3" t="n">
        <v>-0.537363</v>
      </c>
      <c r="M1331" s="3" t="n">
        <v>-0.00392195</v>
      </c>
      <c r="N1331" s="3" t="inlineStr">
        <is>
          <t>C4</t>
        </is>
      </c>
      <c r="O1331" s="3" t="inlineStr">
        <is>
          <t>si</t>
        </is>
      </c>
      <c r="P1331" s="3" t="inlineStr">
        <is>
          <t>no_vota</t>
        </is>
      </c>
      <c r="Q1331" s="3" t="inlineStr">
        <is>
          <t>panel_covariables</t>
        </is>
      </c>
      <c r="R1331" s="3" t="n"/>
      <c r="S1331" s="3" t="inlineStr">
        <is>
          <t>contraste regional (R6); no vota</t>
        </is>
      </c>
      <c r="T1331" s="3" t="inlineStr">
        <is>
          <t>output/v8/F5/atribucion_combinada.csv</t>
        </is>
      </c>
      <c r="U1331" s="2">
        <f>IF(R1331=0,"",F1331/R1331)</f>
        <v/>
      </c>
      <c r="V1331" s="2">
        <f>SUMIFS(F$2:F$1589,A$2:A$1589,A1331,C$2:C$1589,C1331,E$2:E$1589,E1331,Q$2:Q$1589,Q1331)</f>
        <v/>
      </c>
    </row>
    <row r="1332">
      <c r="A1332" s="3" t="inlineStr">
        <is>
          <t>alquiler</t>
        </is>
      </c>
      <c r="B1332" s="3" t="inlineStr">
        <is>
          <t>ccaa:05</t>
        </is>
      </c>
      <c r="C1332" s="3" t="inlineStr">
        <is>
          <t>P5</t>
        </is>
      </c>
      <c r="D1332" s="3" t="inlineStr">
        <is>
          <t>demografia</t>
        </is>
      </c>
      <c r="E1332" s="3" t="inlineStr">
        <is>
          <t>regional_panel</t>
        </is>
      </c>
      <c r="F1332" s="3" t="n">
        <v>0.428549</v>
      </c>
      <c r="G1332" s="3" t="n"/>
      <c r="H1332" s="3" t="n"/>
      <c r="I1332" s="3" t="n">
        <v>-0.0868707</v>
      </c>
      <c r="J1332" s="3" t="n">
        <v>0.0276422</v>
      </c>
      <c r="K1332" s="3" t="n">
        <v>1.08207</v>
      </c>
      <c r="L1332" s="3" t="n">
        <v>-0.595337</v>
      </c>
      <c r="M1332" s="3" t="n">
        <v>1.8473</v>
      </c>
      <c r="N1332" s="3" t="inlineStr">
        <is>
          <t>C4</t>
        </is>
      </c>
      <c r="O1332" s="3" t="inlineStr">
        <is>
          <t>si</t>
        </is>
      </c>
      <c r="P1332" s="3" t="inlineStr">
        <is>
          <t>no_vota</t>
        </is>
      </c>
      <c r="Q1332" s="3" t="inlineStr">
        <is>
          <t>panel_covariables</t>
        </is>
      </c>
      <c r="R1332" s="3" t="n"/>
      <c r="S1332" s="3" t="inlineStr">
        <is>
          <t>contraste regional (R6); no vota</t>
        </is>
      </c>
      <c r="T1332" s="3" t="inlineStr">
        <is>
          <t>output/v8/F5/atribucion_combinada.csv</t>
        </is>
      </c>
      <c r="U1332" s="2">
        <f>IF(R1332=0,"",F1332/R1332)</f>
        <v/>
      </c>
      <c r="V1332" s="2">
        <f>SUMIFS(F$2:F$1589,A$2:A$1589,A1332,C$2:C$1589,C1332,E$2:E$1589,E1332,Q$2:Q$1589,Q1332)</f>
        <v/>
      </c>
    </row>
    <row r="1333">
      <c r="A1333" s="3" t="inlineStr">
        <is>
          <t>alquiler</t>
        </is>
      </c>
      <c r="B1333" s="3" t="inlineStr">
        <is>
          <t>ccaa:05</t>
        </is>
      </c>
      <c r="C1333" s="3" t="inlineStr">
        <is>
          <t>P5</t>
        </is>
      </c>
      <c r="D1333" s="3" t="inlineStr">
        <is>
          <t>oferta</t>
        </is>
      </c>
      <c r="E1333" s="3" t="inlineStr">
        <is>
          <t>regional_panel</t>
        </is>
      </c>
      <c r="F1333" s="3" t="n">
        <v>-0.0156951</v>
      </c>
      <c r="G1333" s="3" t="n"/>
      <c r="H1333" s="3" t="n"/>
      <c r="I1333" s="3" t="n">
        <v>0.00318154</v>
      </c>
      <c r="J1333" s="3" t="n">
        <v>-0.0352212</v>
      </c>
      <c r="K1333" s="3" t="n">
        <v>0.0114535</v>
      </c>
      <c r="L1333" s="3" t="n">
        <v>-0.0593313</v>
      </c>
      <c r="M1333" s="3" t="n">
        <v>0.0338862</v>
      </c>
      <c r="N1333" s="3" t="inlineStr">
        <is>
          <t>C4</t>
        </is>
      </c>
      <c r="O1333" s="3" t="inlineStr">
        <is>
          <t>si</t>
        </is>
      </c>
      <c r="P1333" s="3" t="inlineStr">
        <is>
          <t>no_vota</t>
        </is>
      </c>
      <c r="Q1333" s="3" t="inlineStr">
        <is>
          <t>panel_covariables</t>
        </is>
      </c>
      <c r="R1333" s="3" t="n"/>
      <c r="S1333" s="3" t="inlineStr">
        <is>
          <t>contraste regional (R6); no vota</t>
        </is>
      </c>
      <c r="T1333" s="3" t="inlineStr">
        <is>
          <t>output/v8/F5/atribucion_combinada.csv</t>
        </is>
      </c>
      <c r="U1333" s="2">
        <f>IF(R1333=0,"",F1333/R1333)</f>
        <v/>
      </c>
      <c r="V1333" s="2">
        <f>SUMIFS(F$2:F$1589,A$2:A$1589,A1333,C$2:C$1589,C1333,E$2:E$1589,E1333,Q$2:Q$1589,Q1333)</f>
        <v/>
      </c>
    </row>
    <row r="1334">
      <c r="A1334" s="3" t="inlineStr">
        <is>
          <t>alquiler</t>
        </is>
      </c>
      <c r="B1334" s="3" t="inlineStr">
        <is>
          <t>ccaa:05</t>
        </is>
      </c>
      <c r="C1334" s="3" t="inlineStr">
        <is>
          <t>P5</t>
        </is>
      </c>
      <c r="D1334" s="3" t="inlineStr">
        <is>
          <t>demanda_externa</t>
        </is>
      </c>
      <c r="E1334" s="3" t="inlineStr">
        <is>
          <t>regional_panel</t>
        </is>
      </c>
      <c r="F1334" s="3" t="n">
        <v>-0.0236442</v>
      </c>
      <c r="G1334" s="3" t="n"/>
      <c r="H1334" s="3" t="n"/>
      <c r="I1334" s="3" t="n">
        <v>0.00479289</v>
      </c>
      <c r="J1334" s="3" t="n">
        <v>-0.0911023</v>
      </c>
      <c r="K1334" s="3" t="n">
        <v>0.0216697</v>
      </c>
      <c r="L1334" s="3" t="n">
        <v>-0.130354</v>
      </c>
      <c r="M1334" s="3" t="n">
        <v>0.07217419999999999</v>
      </c>
      <c r="N1334" s="3" t="inlineStr">
        <is>
          <t>C4</t>
        </is>
      </c>
      <c r="O1334" s="3" t="inlineStr">
        <is>
          <t>si</t>
        </is>
      </c>
      <c r="P1334" s="3" t="inlineStr">
        <is>
          <t>no_vota</t>
        </is>
      </c>
      <c r="Q1334" s="3" t="inlineStr">
        <is>
          <t>panel_covariables</t>
        </is>
      </c>
      <c r="R1334" s="3" t="n"/>
      <c r="S1334" s="3" t="inlineStr">
        <is>
          <t>contraste regional (R6); no vota</t>
        </is>
      </c>
      <c r="T1334" s="3" t="inlineStr">
        <is>
          <t>output/v8/F5/atribucion_combinada.csv</t>
        </is>
      </c>
      <c r="U1334" s="2">
        <f>IF(R1334=0,"",F1334/R1334)</f>
        <v/>
      </c>
      <c r="V1334" s="2">
        <f>SUMIFS(F$2:F$1589,A$2:A$1589,A1334,C$2:C$1589,C1334,E$2:E$1589,E1334,Q$2:Q$1589,Q1334)</f>
        <v/>
      </c>
    </row>
    <row r="1335">
      <c r="A1335" s="3" t="inlineStr">
        <is>
          <t>alquiler</t>
        </is>
      </c>
      <c r="B1335" s="3" t="inlineStr">
        <is>
          <t>ccaa:05</t>
        </is>
      </c>
      <c r="C1335" s="3" t="inlineStr">
        <is>
          <t>P5</t>
        </is>
      </c>
      <c r="D1335" s="3" t="inlineStr">
        <is>
          <t>residuo</t>
        </is>
      </c>
      <c r="E1335" s="3" t="inlineStr">
        <is>
          <t>regional_panel</t>
        </is>
      </c>
      <c r="F1335" s="3" t="n">
        <v>0.335396</v>
      </c>
      <c r="G1335" s="3" t="n"/>
      <c r="H1335" s="3" t="n"/>
      <c r="I1335" s="3" t="n">
        <v>-0.0679877</v>
      </c>
      <c r="J1335" s="3" t="n">
        <v>-0.158706</v>
      </c>
      <c r="K1335" s="3" t="n">
        <v>0.7925450000000001</v>
      </c>
      <c r="L1335" s="3" t="n">
        <v>-0.553378</v>
      </c>
      <c r="M1335" s="3" t="n">
        <v>1.24009</v>
      </c>
      <c r="N1335" s="3" t="inlineStr">
        <is>
          <t>C4</t>
        </is>
      </c>
      <c r="O1335" s="3" t="inlineStr">
        <is>
          <t>no</t>
        </is>
      </c>
      <c r="P1335" s="3" t="inlineStr">
        <is>
          <t>no_compite</t>
        </is>
      </c>
      <c r="Q1335" s="3" t="inlineStr">
        <is>
          <t>panel_covariables</t>
        </is>
      </c>
      <c r="R1335" s="3" t="n"/>
      <c r="S1335" s="3" t="inlineStr">
        <is>
          <t>contraste regional (R6); no vota</t>
        </is>
      </c>
      <c r="T1335" s="3" t="inlineStr">
        <is>
          <t>output/v8/F5/atribucion_combinada.csv</t>
        </is>
      </c>
      <c r="U1335" s="2">
        <f>IF(R1335=0,"",F1335/R1335)</f>
        <v/>
      </c>
      <c r="V1335" s="2">
        <f>SUMIFS(F$2:F$1589,A$2:A$1589,A1335,C$2:C$1589,C1335,E$2:E$1589,E1335,Q$2:Q$1589,Q1335)</f>
        <v/>
      </c>
    </row>
    <row r="1336">
      <c r="A1336" s="3" t="inlineStr">
        <is>
          <t>alquiler</t>
        </is>
      </c>
      <c r="B1336" s="3" t="inlineStr">
        <is>
          <t>ccaa:06</t>
        </is>
      </c>
      <c r="C1336" s="3" t="inlineStr">
        <is>
          <t>P5</t>
        </is>
      </c>
      <c r="D1336" s="3" t="inlineStr">
        <is>
          <t>factor_comun</t>
        </is>
      </c>
      <c r="E1336" s="3" t="inlineStr">
        <is>
          <t>regional_panel</t>
        </is>
      </c>
      <c r="F1336" s="3" t="n">
        <v>-5.47353</v>
      </c>
      <c r="G1336" s="3" t="n"/>
      <c r="H1336" s="3" t="n"/>
      <c r="I1336" s="3" t="n">
        <v>0.954647</v>
      </c>
      <c r="J1336" s="3" t="n">
        <v>-7.50057</v>
      </c>
      <c r="K1336" s="3" t="n">
        <v>-3.0519</v>
      </c>
      <c r="L1336" s="3" t="n">
        <v>-9.529260000000001</v>
      </c>
      <c r="M1336" s="3" t="n">
        <v>-2.07047</v>
      </c>
      <c r="N1336" s="3" t="inlineStr">
        <is>
          <t>C4</t>
        </is>
      </c>
      <c r="O1336" s="3" t="inlineStr">
        <is>
          <t>no</t>
        </is>
      </c>
      <c r="P1336" s="3" t="inlineStr">
        <is>
          <t>no_compite</t>
        </is>
      </c>
      <c r="Q1336" s="3" t="inlineStr">
        <is>
          <t>panel_covariables</t>
        </is>
      </c>
      <c r="R1336" s="3" t="n"/>
      <c r="S1336" s="3" t="inlineStr">
        <is>
          <t>contraste regional (R6); no vota</t>
        </is>
      </c>
      <c r="T1336" s="3" t="inlineStr">
        <is>
          <t>output/v8/F5/atribucion_combinada.csv</t>
        </is>
      </c>
      <c r="U1336" s="2">
        <f>IF(R1336=0,"",F1336/R1336)</f>
        <v/>
      </c>
      <c r="V1336" s="2">
        <f>SUMIFS(F$2:F$1589,A$2:A$1589,A1336,C$2:C$1589,C1336,E$2:E$1589,E1336,Q$2:Q$1589,Q1336)</f>
        <v/>
      </c>
    </row>
    <row r="1337">
      <c r="A1337" s="3" t="inlineStr">
        <is>
          <t>alquiler</t>
        </is>
      </c>
      <c r="B1337" s="3" t="inlineStr">
        <is>
          <t>ccaa:06</t>
        </is>
      </c>
      <c r="C1337" s="3" t="inlineStr">
        <is>
          <t>P5</t>
        </is>
      </c>
      <c r="D1337" s="3" t="inlineStr">
        <is>
          <t>empleo_renta</t>
        </is>
      </c>
      <c r="E1337" s="3" t="inlineStr">
        <is>
          <t>regional_panel</t>
        </is>
      </c>
      <c r="F1337" s="3" t="n">
        <v>-0.0973499</v>
      </c>
      <c r="G1337" s="3" t="n"/>
      <c r="H1337" s="3" t="n"/>
      <c r="I1337" s="3" t="n">
        <v>0.0169789</v>
      </c>
      <c r="J1337" s="3" t="n">
        <v>-0.127447</v>
      </c>
      <c r="K1337" s="3" t="n">
        <v>-0.06173</v>
      </c>
      <c r="L1337" s="3" t="n">
        <v>-0.159749</v>
      </c>
      <c r="M1337" s="3" t="n">
        <v>-0.0409631</v>
      </c>
      <c r="N1337" s="3" t="inlineStr">
        <is>
          <t>C4</t>
        </is>
      </c>
      <c r="O1337" s="3" t="inlineStr">
        <is>
          <t>si</t>
        </is>
      </c>
      <c r="P1337" s="3" t="inlineStr">
        <is>
          <t>no_vota</t>
        </is>
      </c>
      <c r="Q1337" s="3" t="inlineStr">
        <is>
          <t>panel_covariables</t>
        </is>
      </c>
      <c r="R1337" s="3" t="n"/>
      <c r="S1337" s="3" t="inlineStr">
        <is>
          <t>contraste regional (R6); no vota</t>
        </is>
      </c>
      <c r="T1337" s="3" t="inlineStr">
        <is>
          <t>output/v8/F5/atribucion_combinada.csv</t>
        </is>
      </c>
      <c r="U1337" s="2">
        <f>IF(R1337=0,"",F1337/R1337)</f>
        <v/>
      </c>
      <c r="V1337" s="2">
        <f>SUMIFS(F$2:F$1589,A$2:A$1589,A1337,C$2:C$1589,C1337,E$2:E$1589,E1337,Q$2:Q$1589,Q1337)</f>
        <v/>
      </c>
    </row>
    <row r="1338">
      <c r="A1338" s="3" t="inlineStr">
        <is>
          <t>alquiler</t>
        </is>
      </c>
      <c r="B1338" s="3" t="inlineStr">
        <is>
          <t>ccaa:06</t>
        </is>
      </c>
      <c r="C1338" s="3" t="inlineStr">
        <is>
          <t>P5</t>
        </is>
      </c>
      <c r="D1338" s="3" t="inlineStr">
        <is>
          <t>demografia</t>
        </is>
      </c>
      <c r="E1338" s="3" t="inlineStr">
        <is>
          <t>regional_panel</t>
        </is>
      </c>
      <c r="F1338" s="3" t="n">
        <v>0.46166</v>
      </c>
      <c r="G1338" s="3" t="n"/>
      <c r="H1338" s="3" t="n"/>
      <c r="I1338" s="3" t="n">
        <v>-0.0805187</v>
      </c>
      <c r="J1338" s="3" t="n">
        <v>-0.112771</v>
      </c>
      <c r="K1338" s="3" t="n">
        <v>1.02687</v>
      </c>
      <c r="L1338" s="3" t="n">
        <v>-0.457564</v>
      </c>
      <c r="M1338" s="3" t="n">
        <v>1.52333</v>
      </c>
      <c r="N1338" s="3" t="inlineStr">
        <is>
          <t>C4</t>
        </is>
      </c>
      <c r="O1338" s="3" t="inlineStr">
        <is>
          <t>si</t>
        </is>
      </c>
      <c r="P1338" s="3" t="inlineStr">
        <is>
          <t>no_vota</t>
        </is>
      </c>
      <c r="Q1338" s="3" t="inlineStr">
        <is>
          <t>panel_covariables</t>
        </is>
      </c>
      <c r="R1338" s="3" t="n"/>
      <c r="S1338" s="3" t="inlineStr">
        <is>
          <t>contraste regional (R6); no vota</t>
        </is>
      </c>
      <c r="T1338" s="3" t="inlineStr">
        <is>
          <t>output/v8/F5/atribucion_combinada.csv</t>
        </is>
      </c>
      <c r="U1338" s="2">
        <f>IF(R1338=0,"",F1338/R1338)</f>
        <v/>
      </c>
      <c r="V1338" s="2">
        <f>SUMIFS(F$2:F$1589,A$2:A$1589,A1338,C$2:C$1589,C1338,E$2:E$1589,E1338,Q$2:Q$1589,Q1338)</f>
        <v/>
      </c>
    </row>
    <row r="1339">
      <c r="A1339" s="3" t="inlineStr">
        <is>
          <t>alquiler</t>
        </is>
      </c>
      <c r="B1339" s="3" t="inlineStr">
        <is>
          <t>ccaa:06</t>
        </is>
      </c>
      <c r="C1339" s="3" t="inlineStr">
        <is>
          <t>P5</t>
        </is>
      </c>
      <c r="D1339" s="3" t="inlineStr">
        <is>
          <t>oferta</t>
        </is>
      </c>
      <c r="E1339" s="3" t="inlineStr">
        <is>
          <t>regional_panel</t>
        </is>
      </c>
      <c r="F1339" s="3" t="n">
        <v>-0.00543063</v>
      </c>
      <c r="G1339" s="3" t="n"/>
      <c r="H1339" s="3" t="n"/>
      <c r="I1339" s="3" t="n">
        <v>0.000947164</v>
      </c>
      <c r="J1339" s="3" t="n">
        <v>-0.0351465</v>
      </c>
      <c r="K1339" s="3" t="n">
        <v>0.00779031</v>
      </c>
      <c r="L1339" s="3" t="n">
        <v>-0.066813</v>
      </c>
      <c r="M1339" s="3" t="n">
        <v>0.0290887</v>
      </c>
      <c r="N1339" s="3" t="inlineStr">
        <is>
          <t>C4</t>
        </is>
      </c>
      <c r="O1339" s="3" t="inlineStr">
        <is>
          <t>si</t>
        </is>
      </c>
      <c r="P1339" s="3" t="inlineStr">
        <is>
          <t>no_vota</t>
        </is>
      </c>
      <c r="Q1339" s="3" t="inlineStr">
        <is>
          <t>panel_covariables</t>
        </is>
      </c>
      <c r="R1339" s="3" t="n"/>
      <c r="S1339" s="3" t="inlineStr">
        <is>
          <t>contraste regional (R6); no vota</t>
        </is>
      </c>
      <c r="T1339" s="3" t="inlineStr">
        <is>
          <t>output/v8/F5/atribucion_combinada.csv</t>
        </is>
      </c>
      <c r="U1339" s="2">
        <f>IF(R1339=0,"",F1339/R1339)</f>
        <v/>
      </c>
      <c r="V1339" s="2">
        <f>SUMIFS(F$2:F$1589,A$2:A$1589,A1339,C$2:C$1589,C1339,E$2:E$1589,E1339,Q$2:Q$1589,Q1339)</f>
        <v/>
      </c>
    </row>
    <row r="1340">
      <c r="A1340" s="3" t="inlineStr">
        <is>
          <t>alquiler</t>
        </is>
      </c>
      <c r="B1340" s="3" t="inlineStr">
        <is>
          <t>ccaa:06</t>
        </is>
      </c>
      <c r="C1340" s="3" t="inlineStr">
        <is>
          <t>P5</t>
        </is>
      </c>
      <c r="D1340" s="3" t="inlineStr">
        <is>
          <t>demanda_externa</t>
        </is>
      </c>
      <c r="E1340" s="3" t="inlineStr">
        <is>
          <t>regional_panel</t>
        </is>
      </c>
      <c r="F1340" s="3" t="n">
        <v>0.0154897</v>
      </c>
      <c r="G1340" s="3" t="n"/>
      <c r="H1340" s="3" t="n"/>
      <c r="I1340" s="3" t="n">
        <v>-0.00270157</v>
      </c>
      <c r="J1340" s="3" t="n">
        <v>-0.0413382</v>
      </c>
      <c r="K1340" s="3" t="n">
        <v>0.124668</v>
      </c>
      <c r="L1340" s="3" t="n">
        <v>-0.0747492</v>
      </c>
      <c r="M1340" s="3" t="n">
        <v>0.210119</v>
      </c>
      <c r="N1340" s="3" t="inlineStr">
        <is>
          <t>C4</t>
        </is>
      </c>
      <c r="O1340" s="3" t="inlineStr">
        <is>
          <t>si</t>
        </is>
      </c>
      <c r="P1340" s="3" t="inlineStr">
        <is>
          <t>no_vota</t>
        </is>
      </c>
      <c r="Q1340" s="3" t="inlineStr">
        <is>
          <t>panel_covariables</t>
        </is>
      </c>
      <c r="R1340" s="3" t="n"/>
      <c r="S1340" s="3" t="inlineStr">
        <is>
          <t>contraste regional (R6); no vota</t>
        </is>
      </c>
      <c r="T1340" s="3" t="inlineStr">
        <is>
          <t>output/v8/F5/atribucion_combinada.csv</t>
        </is>
      </c>
      <c r="U1340" s="2">
        <f>IF(R1340=0,"",F1340/R1340)</f>
        <v/>
      </c>
      <c r="V1340" s="2">
        <f>SUMIFS(F$2:F$1589,A$2:A$1589,A1340,C$2:C$1589,C1340,E$2:E$1589,E1340,Q$2:Q$1589,Q1340)</f>
        <v/>
      </c>
    </row>
    <row r="1341">
      <c r="A1341" s="3" t="inlineStr">
        <is>
          <t>alquiler</t>
        </is>
      </c>
      <c r="B1341" s="3" t="inlineStr">
        <is>
          <t>ccaa:06</t>
        </is>
      </c>
      <c r="C1341" s="3" t="inlineStr">
        <is>
          <t>P5</t>
        </is>
      </c>
      <c r="D1341" s="3" t="inlineStr">
        <is>
          <t>residuo</t>
        </is>
      </c>
      <c r="E1341" s="3" t="inlineStr">
        <is>
          <t>regional_panel</t>
        </is>
      </c>
      <c r="F1341" s="3" t="n">
        <v>-0.634406</v>
      </c>
      <c r="G1341" s="3" t="n"/>
      <c r="H1341" s="3" t="n"/>
      <c r="I1341" s="3" t="n">
        <v>0.110648</v>
      </c>
      <c r="J1341" s="3" t="n">
        <v>-1.26096</v>
      </c>
      <c r="K1341" s="3" t="n">
        <v>-0.0407288</v>
      </c>
      <c r="L1341" s="3" t="n">
        <v>-1.79331</v>
      </c>
      <c r="M1341" s="3" t="n">
        <v>0.258417</v>
      </c>
      <c r="N1341" s="3" t="inlineStr">
        <is>
          <t>C4</t>
        </is>
      </c>
      <c r="O1341" s="3" t="inlineStr">
        <is>
          <t>no</t>
        </is>
      </c>
      <c r="P1341" s="3" t="inlineStr">
        <is>
          <t>no_compite</t>
        </is>
      </c>
      <c r="Q1341" s="3" t="inlineStr">
        <is>
          <t>panel_covariables</t>
        </is>
      </c>
      <c r="R1341" s="3" t="n"/>
      <c r="S1341" s="3" t="inlineStr">
        <is>
          <t>contraste regional (R6); no vota</t>
        </is>
      </c>
      <c r="T1341" s="3" t="inlineStr">
        <is>
          <t>output/v8/F5/atribucion_combinada.csv</t>
        </is>
      </c>
      <c r="U1341" s="2">
        <f>IF(R1341=0,"",F1341/R1341)</f>
        <v/>
      </c>
      <c r="V1341" s="2">
        <f>SUMIFS(F$2:F$1589,A$2:A$1589,A1341,C$2:C$1589,C1341,E$2:E$1589,E1341,Q$2:Q$1589,Q1341)</f>
        <v/>
      </c>
    </row>
    <row r="1342">
      <c r="A1342" s="3" t="inlineStr">
        <is>
          <t>alquiler</t>
        </is>
      </c>
      <c r="B1342" s="3" t="inlineStr">
        <is>
          <t>ccaa:07</t>
        </is>
      </c>
      <c r="C1342" s="3" t="inlineStr">
        <is>
          <t>P5</t>
        </is>
      </c>
      <c r="D1342" s="3" t="inlineStr">
        <is>
          <t>factor_comun</t>
        </is>
      </c>
      <c r="E1342" s="3" t="inlineStr">
        <is>
          <t>regional_panel</t>
        </is>
      </c>
      <c r="F1342" s="3" t="n">
        <v>-5.47353</v>
      </c>
      <c r="G1342" s="3" t="n"/>
      <c r="H1342" s="3" t="n"/>
      <c r="I1342" s="3" t="n">
        <v>0.895309</v>
      </c>
      <c r="J1342" s="3" t="n">
        <v>-7.50057</v>
      </c>
      <c r="K1342" s="3" t="n">
        <v>-3.0519</v>
      </c>
      <c r="L1342" s="3" t="n">
        <v>-9.529260000000001</v>
      </c>
      <c r="M1342" s="3" t="n">
        <v>-2.07047</v>
      </c>
      <c r="N1342" s="3" t="inlineStr">
        <is>
          <t>C4</t>
        </is>
      </c>
      <c r="O1342" s="3" t="inlineStr">
        <is>
          <t>no</t>
        </is>
      </c>
      <c r="P1342" s="3" t="inlineStr">
        <is>
          <t>no_compite</t>
        </is>
      </c>
      <c r="Q1342" s="3" t="inlineStr">
        <is>
          <t>panel_covariables</t>
        </is>
      </c>
      <c r="R1342" s="3" t="n"/>
      <c r="S1342" s="3" t="inlineStr">
        <is>
          <t>contraste regional (R6); no vota</t>
        </is>
      </c>
      <c r="T1342" s="3" t="inlineStr">
        <is>
          <t>output/v8/F5/atribucion_combinada.csv</t>
        </is>
      </c>
      <c r="U1342" s="2">
        <f>IF(R1342=0,"",F1342/R1342)</f>
        <v/>
      </c>
      <c r="V1342" s="2">
        <f>SUMIFS(F$2:F$1589,A$2:A$1589,A1342,C$2:C$1589,C1342,E$2:E$1589,E1342,Q$2:Q$1589,Q1342)</f>
        <v/>
      </c>
    </row>
    <row r="1343">
      <c r="A1343" s="3" t="inlineStr">
        <is>
          <t>alquiler</t>
        </is>
      </c>
      <c r="B1343" s="3" t="inlineStr">
        <is>
          <t>ccaa:07</t>
        </is>
      </c>
      <c r="C1343" s="3" t="inlineStr">
        <is>
          <t>P5</t>
        </is>
      </c>
      <c r="D1343" s="3" t="inlineStr">
        <is>
          <t>empleo_renta</t>
        </is>
      </c>
      <c r="E1343" s="3" t="inlineStr">
        <is>
          <t>regional_panel</t>
        </is>
      </c>
      <c r="F1343" s="3" t="n">
        <v>-0.0610251</v>
      </c>
      <c r="G1343" s="3" t="n"/>
      <c r="H1343" s="3" t="n"/>
      <c r="I1343" s="3" t="n">
        <v>0.00998191</v>
      </c>
      <c r="J1343" s="3" t="n">
        <v>-0.124079</v>
      </c>
      <c r="K1343" s="3" t="n">
        <v>-0.0147174</v>
      </c>
      <c r="L1343" s="3" t="n">
        <v>-0.213374</v>
      </c>
      <c r="M1343" s="3" t="n">
        <v>0.0005847889999999999</v>
      </c>
      <c r="N1343" s="3" t="inlineStr">
        <is>
          <t>C4</t>
        </is>
      </c>
      <c r="O1343" s="3" t="inlineStr">
        <is>
          <t>si</t>
        </is>
      </c>
      <c r="P1343" s="3" t="inlineStr">
        <is>
          <t>no_vota</t>
        </is>
      </c>
      <c r="Q1343" s="3" t="inlineStr">
        <is>
          <t>panel_covariables</t>
        </is>
      </c>
      <c r="R1343" s="3" t="n"/>
      <c r="S1343" s="3" t="inlineStr">
        <is>
          <t>contraste regional (R6); no vota</t>
        </is>
      </c>
      <c r="T1343" s="3" t="inlineStr">
        <is>
          <t>output/v8/F5/atribucion_combinada.csv</t>
        </is>
      </c>
      <c r="U1343" s="2">
        <f>IF(R1343=0,"",F1343/R1343)</f>
        <v/>
      </c>
      <c r="V1343" s="2">
        <f>SUMIFS(F$2:F$1589,A$2:A$1589,A1343,C$2:C$1589,C1343,E$2:E$1589,E1343,Q$2:Q$1589,Q1343)</f>
        <v/>
      </c>
    </row>
    <row r="1344">
      <c r="A1344" s="3" t="inlineStr">
        <is>
          <t>alquiler</t>
        </is>
      </c>
      <c r="B1344" s="3" t="inlineStr">
        <is>
          <t>ccaa:07</t>
        </is>
      </c>
      <c r="C1344" s="3" t="inlineStr">
        <is>
          <t>P5</t>
        </is>
      </c>
      <c r="D1344" s="3" t="inlineStr">
        <is>
          <t>demografia</t>
        </is>
      </c>
      <c r="E1344" s="3" t="inlineStr">
        <is>
          <t>regional_panel</t>
        </is>
      </c>
      <c r="F1344" s="3" t="n">
        <v>0.503709</v>
      </c>
      <c r="G1344" s="3" t="n"/>
      <c r="H1344" s="3" t="n"/>
      <c r="I1344" s="3" t="n">
        <v>-0.08239200000000001</v>
      </c>
      <c r="J1344" s="3" t="n">
        <v>-0.124468</v>
      </c>
      <c r="K1344" s="3" t="n">
        <v>1.1806</v>
      </c>
      <c r="L1344" s="3" t="n">
        <v>-0.6718769999999999</v>
      </c>
      <c r="M1344" s="3" t="n">
        <v>1.58179</v>
      </c>
      <c r="N1344" s="3" t="inlineStr">
        <is>
          <t>C4</t>
        </is>
      </c>
      <c r="O1344" s="3" t="inlineStr">
        <is>
          <t>si</t>
        </is>
      </c>
      <c r="P1344" s="3" t="inlineStr">
        <is>
          <t>no_vota</t>
        </is>
      </c>
      <c r="Q1344" s="3" t="inlineStr">
        <is>
          <t>panel_covariables</t>
        </is>
      </c>
      <c r="R1344" s="3" t="n"/>
      <c r="S1344" s="3" t="inlineStr">
        <is>
          <t>contraste regional (R6); no vota</t>
        </is>
      </c>
      <c r="T1344" s="3" t="inlineStr">
        <is>
          <t>output/v8/F5/atribucion_combinada.csv</t>
        </is>
      </c>
      <c r="U1344" s="2">
        <f>IF(R1344=0,"",F1344/R1344)</f>
        <v/>
      </c>
      <c r="V1344" s="2">
        <f>SUMIFS(F$2:F$1589,A$2:A$1589,A1344,C$2:C$1589,C1344,E$2:E$1589,E1344,Q$2:Q$1589,Q1344)</f>
        <v/>
      </c>
    </row>
    <row r="1345">
      <c r="A1345" s="3" t="inlineStr">
        <is>
          <t>alquiler</t>
        </is>
      </c>
      <c r="B1345" s="3" t="inlineStr">
        <is>
          <t>ccaa:07</t>
        </is>
      </c>
      <c r="C1345" s="3" t="inlineStr">
        <is>
          <t>P5</t>
        </is>
      </c>
      <c r="D1345" s="3" t="inlineStr">
        <is>
          <t>oferta</t>
        </is>
      </c>
      <c r="E1345" s="3" t="inlineStr">
        <is>
          <t>regional_panel</t>
        </is>
      </c>
      <c r="F1345" s="3" t="n">
        <v>-0.00364166</v>
      </c>
      <c r="G1345" s="3" t="n"/>
      <c r="H1345" s="3" t="n"/>
      <c r="I1345" s="3" t="n">
        <v>0.000595669</v>
      </c>
      <c r="J1345" s="3" t="n">
        <v>-0.0192706</v>
      </c>
      <c r="K1345" s="3" t="n">
        <v>0.00489004</v>
      </c>
      <c r="L1345" s="3" t="n">
        <v>-0.0379001</v>
      </c>
      <c r="M1345" s="3" t="n">
        <v>0.0210798</v>
      </c>
      <c r="N1345" s="3" t="inlineStr">
        <is>
          <t>C4</t>
        </is>
      </c>
      <c r="O1345" s="3" t="inlineStr">
        <is>
          <t>si</t>
        </is>
      </c>
      <c r="P1345" s="3" t="inlineStr">
        <is>
          <t>no_vota</t>
        </is>
      </c>
      <c r="Q1345" s="3" t="inlineStr">
        <is>
          <t>panel_covariables</t>
        </is>
      </c>
      <c r="R1345" s="3" t="n"/>
      <c r="S1345" s="3" t="inlineStr">
        <is>
          <t>contraste regional (R6); no vota</t>
        </is>
      </c>
      <c r="T1345" s="3" t="inlineStr">
        <is>
          <t>output/v8/F5/atribucion_combinada.csv</t>
        </is>
      </c>
      <c r="U1345" s="2">
        <f>IF(R1345=0,"",F1345/R1345)</f>
        <v/>
      </c>
      <c r="V1345" s="2">
        <f>SUMIFS(F$2:F$1589,A$2:A$1589,A1345,C$2:C$1589,C1345,E$2:E$1589,E1345,Q$2:Q$1589,Q1345)</f>
        <v/>
      </c>
    </row>
    <row r="1346">
      <c r="A1346" s="3" t="inlineStr">
        <is>
          <t>alquiler</t>
        </is>
      </c>
      <c r="B1346" s="3" t="inlineStr">
        <is>
          <t>ccaa:07</t>
        </is>
      </c>
      <c r="C1346" s="3" t="inlineStr">
        <is>
          <t>P5</t>
        </is>
      </c>
      <c r="D1346" s="3" t="inlineStr">
        <is>
          <t>demanda_externa</t>
        </is>
      </c>
      <c r="E1346" s="3" t="inlineStr">
        <is>
          <t>regional_panel</t>
        </is>
      </c>
      <c r="F1346" s="3" t="n">
        <v>0.126206</v>
      </c>
      <c r="G1346" s="3" t="n"/>
      <c r="H1346" s="3" t="n"/>
      <c r="I1346" s="3" t="n">
        <v>-0.0206436</v>
      </c>
      <c r="J1346" s="3" t="n">
        <v>0.0159868</v>
      </c>
      <c r="K1346" s="3" t="n">
        <v>0.232707</v>
      </c>
      <c r="L1346" s="3" t="n">
        <v>-0.00540928</v>
      </c>
      <c r="M1346" s="3" t="n">
        <v>0.338338</v>
      </c>
      <c r="N1346" s="3" t="inlineStr">
        <is>
          <t>C4</t>
        </is>
      </c>
      <c r="O1346" s="3" t="inlineStr">
        <is>
          <t>si</t>
        </is>
      </c>
      <c r="P1346" s="3" t="inlineStr">
        <is>
          <t>no_vota</t>
        </is>
      </c>
      <c r="Q1346" s="3" t="inlineStr">
        <is>
          <t>panel_covariables</t>
        </is>
      </c>
      <c r="R1346" s="3" t="n"/>
      <c r="S1346" s="3" t="inlineStr">
        <is>
          <t>contraste regional (R6); no vota</t>
        </is>
      </c>
      <c r="T1346" s="3" t="inlineStr">
        <is>
          <t>output/v8/F5/atribucion_combinada.csv</t>
        </is>
      </c>
      <c r="U1346" s="2">
        <f>IF(R1346=0,"",F1346/R1346)</f>
        <v/>
      </c>
      <c r="V1346" s="2">
        <f>SUMIFS(F$2:F$1589,A$2:A$1589,A1346,C$2:C$1589,C1346,E$2:E$1589,E1346,Q$2:Q$1589,Q1346)</f>
        <v/>
      </c>
    </row>
    <row r="1347">
      <c r="A1347" s="3" t="inlineStr">
        <is>
          <t>alquiler</t>
        </is>
      </c>
      <c r="B1347" s="3" t="inlineStr">
        <is>
          <t>ccaa:07</t>
        </is>
      </c>
      <c r="C1347" s="3" t="inlineStr">
        <is>
          <t>P5</t>
        </is>
      </c>
      <c r="D1347" s="3" t="inlineStr">
        <is>
          <t>residuo</t>
        </is>
      </c>
      <c r="E1347" s="3" t="inlineStr">
        <is>
          <t>regional_panel</t>
        </is>
      </c>
      <c r="F1347" s="3" t="n">
        <v>-1.20529</v>
      </c>
      <c r="G1347" s="3" t="n"/>
      <c r="H1347" s="3" t="n"/>
      <c r="I1347" s="3" t="n">
        <v>0.197149</v>
      </c>
      <c r="J1347" s="3" t="n">
        <v>-2.09326</v>
      </c>
      <c r="K1347" s="3" t="n">
        <v>-0.287398</v>
      </c>
      <c r="L1347" s="3" t="n">
        <v>-2.56539</v>
      </c>
      <c r="M1347" s="3" t="n">
        <v>0.424051</v>
      </c>
      <c r="N1347" s="3" t="inlineStr">
        <is>
          <t>C4</t>
        </is>
      </c>
      <c r="O1347" s="3" t="inlineStr">
        <is>
          <t>no</t>
        </is>
      </c>
      <c r="P1347" s="3" t="inlineStr">
        <is>
          <t>no_compite</t>
        </is>
      </c>
      <c r="Q1347" s="3" t="inlineStr">
        <is>
          <t>panel_covariables</t>
        </is>
      </c>
      <c r="R1347" s="3" t="n"/>
      <c r="S1347" s="3" t="inlineStr">
        <is>
          <t>contraste regional (R6); no vota</t>
        </is>
      </c>
      <c r="T1347" s="3" t="inlineStr">
        <is>
          <t>output/v8/F5/atribucion_combinada.csv</t>
        </is>
      </c>
      <c r="U1347" s="2">
        <f>IF(R1347=0,"",F1347/R1347)</f>
        <v/>
      </c>
      <c r="V1347" s="2">
        <f>SUMIFS(F$2:F$1589,A$2:A$1589,A1347,C$2:C$1589,C1347,E$2:E$1589,E1347,Q$2:Q$1589,Q1347)</f>
        <v/>
      </c>
    </row>
    <row r="1348">
      <c r="A1348" s="3" t="inlineStr">
        <is>
          <t>alquiler</t>
        </is>
      </c>
      <c r="B1348" s="3" t="inlineStr">
        <is>
          <t>ccaa:08</t>
        </is>
      </c>
      <c r="C1348" s="3" t="inlineStr">
        <is>
          <t>P5</t>
        </is>
      </c>
      <c r="D1348" s="3" t="inlineStr">
        <is>
          <t>factor_comun</t>
        </is>
      </c>
      <c r="E1348" s="3" t="inlineStr">
        <is>
          <t>regional_panel</t>
        </is>
      </c>
      <c r="F1348" s="3" t="n">
        <v>-5.47353</v>
      </c>
      <c r="G1348" s="3" t="n"/>
      <c r="H1348" s="3" t="n"/>
      <c r="I1348" s="3" t="n">
        <v>1.10629</v>
      </c>
      <c r="J1348" s="3" t="n">
        <v>-7.50057</v>
      </c>
      <c r="K1348" s="3" t="n">
        <v>-3.0519</v>
      </c>
      <c r="L1348" s="3" t="n">
        <v>-9.529260000000001</v>
      </c>
      <c r="M1348" s="3" t="n">
        <v>-2.07047</v>
      </c>
      <c r="N1348" s="3" t="inlineStr">
        <is>
          <t>C4</t>
        </is>
      </c>
      <c r="O1348" s="3" t="inlineStr">
        <is>
          <t>no</t>
        </is>
      </c>
      <c r="P1348" s="3" t="inlineStr">
        <is>
          <t>no_compite</t>
        </is>
      </c>
      <c r="Q1348" s="3" t="inlineStr">
        <is>
          <t>panel_covariables</t>
        </is>
      </c>
      <c r="R1348" s="3" t="n"/>
      <c r="S1348" s="3" t="inlineStr">
        <is>
          <t>contraste regional (R6); no vota</t>
        </is>
      </c>
      <c r="T1348" s="3" t="inlineStr">
        <is>
          <t>output/v8/F5/atribucion_combinada.csv</t>
        </is>
      </c>
      <c r="U1348" s="2">
        <f>IF(R1348=0,"",F1348/R1348)</f>
        <v/>
      </c>
      <c r="V1348" s="2">
        <f>SUMIFS(F$2:F$1589,A$2:A$1589,A1348,C$2:C$1589,C1348,E$2:E$1589,E1348,Q$2:Q$1589,Q1348)</f>
        <v/>
      </c>
    </row>
    <row r="1349">
      <c r="A1349" s="3" t="inlineStr">
        <is>
          <t>alquiler</t>
        </is>
      </c>
      <c r="B1349" s="3" t="inlineStr">
        <is>
          <t>ccaa:08</t>
        </is>
      </c>
      <c r="C1349" s="3" t="inlineStr">
        <is>
          <t>P5</t>
        </is>
      </c>
      <c r="D1349" s="3" t="inlineStr">
        <is>
          <t>empleo_renta</t>
        </is>
      </c>
      <c r="E1349" s="3" t="inlineStr">
        <is>
          <t>regional_panel</t>
        </is>
      </c>
      <c r="F1349" s="3" t="n">
        <v>-0.0785257</v>
      </c>
      <c r="G1349" s="3" t="n"/>
      <c r="H1349" s="3" t="n"/>
      <c r="I1349" s="3" t="n">
        <v>0.0158714</v>
      </c>
      <c r="J1349" s="3" t="n">
        <v>-0.154814</v>
      </c>
      <c r="K1349" s="3" t="n">
        <v>-0.0256448</v>
      </c>
      <c r="L1349" s="3" t="n">
        <v>-0.17898</v>
      </c>
      <c r="M1349" s="3" t="n">
        <v>-0.00437276</v>
      </c>
      <c r="N1349" s="3" t="inlineStr">
        <is>
          <t>C4</t>
        </is>
      </c>
      <c r="O1349" s="3" t="inlineStr">
        <is>
          <t>si</t>
        </is>
      </c>
      <c r="P1349" s="3" t="inlineStr">
        <is>
          <t>no_vota</t>
        </is>
      </c>
      <c r="Q1349" s="3" t="inlineStr">
        <is>
          <t>panel_covariables</t>
        </is>
      </c>
      <c r="R1349" s="3" t="n"/>
      <c r="S1349" s="3" t="inlineStr">
        <is>
          <t>contraste regional (R6); no vota</t>
        </is>
      </c>
      <c r="T1349" s="3" t="inlineStr">
        <is>
          <t>output/v8/F5/atribucion_combinada.csv</t>
        </is>
      </c>
      <c r="U1349" s="2">
        <f>IF(R1349=0,"",F1349/R1349)</f>
        <v/>
      </c>
      <c r="V1349" s="2">
        <f>SUMIFS(F$2:F$1589,A$2:A$1589,A1349,C$2:C$1589,C1349,E$2:E$1589,E1349,Q$2:Q$1589,Q1349)</f>
        <v/>
      </c>
    </row>
    <row r="1350">
      <c r="A1350" s="3" t="inlineStr">
        <is>
          <t>alquiler</t>
        </is>
      </c>
      <c r="B1350" s="3" t="inlineStr">
        <is>
          <t>ccaa:08</t>
        </is>
      </c>
      <c r="C1350" s="3" t="inlineStr">
        <is>
          <t>P5</t>
        </is>
      </c>
      <c r="D1350" s="3" t="inlineStr">
        <is>
          <t>demografia</t>
        </is>
      </c>
      <c r="E1350" s="3" t="inlineStr">
        <is>
          <t>regional_panel</t>
        </is>
      </c>
      <c r="F1350" s="3" t="n">
        <v>0.579944</v>
      </c>
      <c r="G1350" s="3" t="n"/>
      <c r="H1350" s="3" t="n"/>
      <c r="I1350" s="3" t="n">
        <v>-0.117217</v>
      </c>
      <c r="J1350" s="3" t="n">
        <v>0.104646</v>
      </c>
      <c r="K1350" s="3" t="n">
        <v>1.22464</v>
      </c>
      <c r="L1350" s="3" t="n">
        <v>-0.34067</v>
      </c>
      <c r="M1350" s="3" t="n">
        <v>1.9587</v>
      </c>
      <c r="N1350" s="3" t="inlineStr">
        <is>
          <t>C4</t>
        </is>
      </c>
      <c r="O1350" s="3" t="inlineStr">
        <is>
          <t>si</t>
        </is>
      </c>
      <c r="P1350" s="3" t="inlineStr">
        <is>
          <t>no_vota</t>
        </is>
      </c>
      <c r="Q1350" s="3" t="inlineStr">
        <is>
          <t>panel_covariables</t>
        </is>
      </c>
      <c r="R1350" s="3" t="n"/>
      <c r="S1350" s="3" t="inlineStr">
        <is>
          <t>contraste regional (R6); no vota</t>
        </is>
      </c>
      <c r="T1350" s="3" t="inlineStr">
        <is>
          <t>output/v8/F5/atribucion_combinada.csv</t>
        </is>
      </c>
      <c r="U1350" s="2">
        <f>IF(R1350=0,"",F1350/R1350)</f>
        <v/>
      </c>
      <c r="V1350" s="2">
        <f>SUMIFS(F$2:F$1589,A$2:A$1589,A1350,C$2:C$1589,C1350,E$2:E$1589,E1350,Q$2:Q$1589,Q1350)</f>
        <v/>
      </c>
    </row>
    <row r="1351">
      <c r="A1351" s="3" t="inlineStr">
        <is>
          <t>alquiler</t>
        </is>
      </c>
      <c r="B1351" s="3" t="inlineStr">
        <is>
          <t>ccaa:08</t>
        </is>
      </c>
      <c r="C1351" s="3" t="inlineStr">
        <is>
          <t>P5</t>
        </is>
      </c>
      <c r="D1351" s="3" t="inlineStr">
        <is>
          <t>oferta</t>
        </is>
      </c>
      <c r="E1351" s="3" t="inlineStr">
        <is>
          <t>regional_panel</t>
        </is>
      </c>
      <c r="F1351" s="3" t="n">
        <v>0.00286701</v>
      </c>
      <c r="G1351" s="3" t="n"/>
      <c r="H1351" s="3" t="n"/>
      <c r="I1351" s="3" t="n">
        <v>-0.0005794730000000001</v>
      </c>
      <c r="J1351" s="3" t="n">
        <v>-0.0124258</v>
      </c>
      <c r="K1351" s="3" t="n">
        <v>0.0077801</v>
      </c>
      <c r="L1351" s="3" t="n">
        <v>-0.0232327</v>
      </c>
      <c r="M1351" s="3" t="n">
        <v>0.022227</v>
      </c>
      <c r="N1351" s="3" t="inlineStr">
        <is>
          <t>C4</t>
        </is>
      </c>
      <c r="O1351" s="3" t="inlineStr">
        <is>
          <t>si</t>
        </is>
      </c>
      <c r="P1351" s="3" t="inlineStr">
        <is>
          <t>no_vota</t>
        </is>
      </c>
      <c r="Q1351" s="3" t="inlineStr">
        <is>
          <t>panel_covariables</t>
        </is>
      </c>
      <c r="R1351" s="3" t="n"/>
      <c r="S1351" s="3" t="inlineStr">
        <is>
          <t>contraste regional (R6); no vota</t>
        </is>
      </c>
      <c r="T1351" s="3" t="inlineStr">
        <is>
          <t>output/v8/F5/atribucion_combinada.csv</t>
        </is>
      </c>
      <c r="U1351" s="2">
        <f>IF(R1351=0,"",F1351/R1351)</f>
        <v/>
      </c>
      <c r="V1351" s="2">
        <f>SUMIFS(F$2:F$1589,A$2:A$1589,A1351,C$2:C$1589,C1351,E$2:E$1589,E1351,Q$2:Q$1589,Q1351)</f>
        <v/>
      </c>
    </row>
    <row r="1352">
      <c r="A1352" s="3" t="inlineStr">
        <is>
          <t>alquiler</t>
        </is>
      </c>
      <c r="B1352" s="3" t="inlineStr">
        <is>
          <t>ccaa:08</t>
        </is>
      </c>
      <c r="C1352" s="3" t="inlineStr">
        <is>
          <t>P5</t>
        </is>
      </c>
      <c r="D1352" s="3" t="inlineStr">
        <is>
          <t>demanda_externa</t>
        </is>
      </c>
      <c r="E1352" s="3" t="inlineStr">
        <is>
          <t>regional_panel</t>
        </is>
      </c>
      <c r="F1352" s="3" t="n">
        <v>0.06879830000000001</v>
      </c>
      <c r="G1352" s="3" t="n"/>
      <c r="H1352" s="3" t="n"/>
      <c r="I1352" s="3" t="n">
        <v>-0.0139053</v>
      </c>
      <c r="J1352" s="3" t="n">
        <v>0.00714857</v>
      </c>
      <c r="K1352" s="3" t="n">
        <v>0.152727</v>
      </c>
      <c r="L1352" s="3" t="n">
        <v>-0.000420651</v>
      </c>
      <c r="M1352" s="3" t="n">
        <v>0.222894</v>
      </c>
      <c r="N1352" s="3" t="inlineStr">
        <is>
          <t>C4</t>
        </is>
      </c>
      <c r="O1352" s="3" t="inlineStr">
        <is>
          <t>si</t>
        </is>
      </c>
      <c r="P1352" s="3" t="inlineStr">
        <is>
          <t>no_vota</t>
        </is>
      </c>
      <c r="Q1352" s="3" t="inlineStr">
        <is>
          <t>panel_covariables</t>
        </is>
      </c>
      <c r="R1352" s="3" t="n"/>
      <c r="S1352" s="3" t="inlineStr">
        <is>
          <t>contraste regional (R6); no vota</t>
        </is>
      </c>
      <c r="T1352" s="3" t="inlineStr">
        <is>
          <t>output/v8/F5/atribucion_combinada.csv</t>
        </is>
      </c>
      <c r="U1352" s="2">
        <f>IF(R1352=0,"",F1352/R1352)</f>
        <v/>
      </c>
      <c r="V1352" s="2">
        <f>SUMIFS(F$2:F$1589,A$2:A$1589,A1352,C$2:C$1589,C1352,E$2:E$1589,E1352,Q$2:Q$1589,Q1352)</f>
        <v/>
      </c>
    </row>
    <row r="1353">
      <c r="A1353" s="3" t="inlineStr">
        <is>
          <t>alquiler</t>
        </is>
      </c>
      <c r="B1353" s="3" t="inlineStr">
        <is>
          <t>ccaa:08</t>
        </is>
      </c>
      <c r="C1353" s="3" t="inlineStr">
        <is>
          <t>P5</t>
        </is>
      </c>
      <c r="D1353" s="3" t="inlineStr">
        <is>
          <t>residuo</t>
        </is>
      </c>
      <c r="E1353" s="3" t="inlineStr">
        <is>
          <t>regional_panel</t>
        </is>
      </c>
      <c r="F1353" s="3" t="n">
        <v>-0.0471775</v>
      </c>
      <c r="G1353" s="3" t="n"/>
      <c r="H1353" s="3" t="n"/>
      <c r="I1353" s="3" t="n">
        <v>0.009535389999999999</v>
      </c>
      <c r="J1353" s="3" t="n">
        <v>-0.66638</v>
      </c>
      <c r="K1353" s="3" t="n">
        <v>0.472796</v>
      </c>
      <c r="L1353" s="3" t="n">
        <v>-1.15329</v>
      </c>
      <c r="M1353" s="3" t="n">
        <v>1.0817</v>
      </c>
      <c r="N1353" s="3" t="inlineStr">
        <is>
          <t>C4</t>
        </is>
      </c>
      <c r="O1353" s="3" t="inlineStr">
        <is>
          <t>no</t>
        </is>
      </c>
      <c r="P1353" s="3" t="inlineStr">
        <is>
          <t>no_compite</t>
        </is>
      </c>
      <c r="Q1353" s="3" t="inlineStr">
        <is>
          <t>panel_covariables</t>
        </is>
      </c>
      <c r="R1353" s="3" t="n"/>
      <c r="S1353" s="3" t="inlineStr">
        <is>
          <t>contraste regional (R6); no vota</t>
        </is>
      </c>
      <c r="T1353" s="3" t="inlineStr">
        <is>
          <t>output/v8/F5/atribucion_combinada.csv</t>
        </is>
      </c>
      <c r="U1353" s="2">
        <f>IF(R1353=0,"",F1353/R1353)</f>
        <v/>
      </c>
      <c r="V1353" s="2">
        <f>SUMIFS(F$2:F$1589,A$2:A$1589,A1353,C$2:C$1589,C1353,E$2:E$1589,E1353,Q$2:Q$1589,Q1353)</f>
        <v/>
      </c>
    </row>
    <row r="1354">
      <c r="A1354" s="3" t="inlineStr">
        <is>
          <t>alquiler</t>
        </is>
      </c>
      <c r="B1354" s="3" t="inlineStr">
        <is>
          <t>ccaa:09</t>
        </is>
      </c>
      <c r="C1354" s="3" t="inlineStr">
        <is>
          <t>P5</t>
        </is>
      </c>
      <c r="D1354" s="3" t="inlineStr">
        <is>
          <t>factor_comun</t>
        </is>
      </c>
      <c r="E1354" s="3" t="inlineStr">
        <is>
          <t>regional_panel</t>
        </is>
      </c>
      <c r="F1354" s="3" t="n">
        <v>-5.47353</v>
      </c>
      <c r="G1354" s="3" t="n"/>
      <c r="H1354" s="3" t="n"/>
      <c r="I1354" s="3" t="n">
        <v>0.868142</v>
      </c>
      <c r="J1354" s="3" t="n">
        <v>-7.50057</v>
      </c>
      <c r="K1354" s="3" t="n">
        <v>-3.0519</v>
      </c>
      <c r="L1354" s="3" t="n">
        <v>-9.529260000000001</v>
      </c>
      <c r="M1354" s="3" t="n">
        <v>-2.07047</v>
      </c>
      <c r="N1354" s="3" t="inlineStr">
        <is>
          <t>C4</t>
        </is>
      </c>
      <c r="O1354" s="3" t="inlineStr">
        <is>
          <t>no</t>
        </is>
      </c>
      <c r="P1354" s="3" t="inlineStr">
        <is>
          <t>no_compite</t>
        </is>
      </c>
      <c r="Q1354" s="3" t="inlineStr">
        <is>
          <t>panel_covariables</t>
        </is>
      </c>
      <c r="R1354" s="3" t="n"/>
      <c r="S1354" s="3" t="inlineStr">
        <is>
          <t>contraste regional (R6); no vota</t>
        </is>
      </c>
      <c r="T1354" s="3" t="inlineStr">
        <is>
          <t>output/v8/F5/atribucion_combinada.csv</t>
        </is>
      </c>
      <c r="U1354" s="2">
        <f>IF(R1354=0,"",F1354/R1354)</f>
        <v/>
      </c>
      <c r="V1354" s="2">
        <f>SUMIFS(F$2:F$1589,A$2:A$1589,A1354,C$2:C$1589,C1354,E$2:E$1589,E1354,Q$2:Q$1589,Q1354)</f>
        <v/>
      </c>
    </row>
    <row r="1355">
      <c r="A1355" s="3" t="inlineStr">
        <is>
          <t>alquiler</t>
        </is>
      </c>
      <c r="B1355" s="3" t="inlineStr">
        <is>
          <t>ccaa:09</t>
        </is>
      </c>
      <c r="C1355" s="3" t="inlineStr">
        <is>
          <t>P5</t>
        </is>
      </c>
      <c r="D1355" s="3" t="inlineStr">
        <is>
          <t>empleo_renta</t>
        </is>
      </c>
      <c r="E1355" s="3" t="inlineStr">
        <is>
          <t>regional_panel</t>
        </is>
      </c>
      <c r="F1355" s="3" t="n">
        <v>-0.164653</v>
      </c>
      <c r="G1355" s="3" t="n"/>
      <c r="H1355" s="3" t="n"/>
      <c r="I1355" s="3" t="n">
        <v>0.0261151</v>
      </c>
      <c r="J1355" s="3" t="n">
        <v>-0.233662</v>
      </c>
      <c r="K1355" s="3" t="n">
        <v>-0.102921</v>
      </c>
      <c r="L1355" s="3" t="n">
        <v>-0.295374</v>
      </c>
      <c r="M1355" s="3" t="n">
        <v>-0.055753</v>
      </c>
      <c r="N1355" s="3" t="inlineStr">
        <is>
          <t>C4</t>
        </is>
      </c>
      <c r="O1355" s="3" t="inlineStr">
        <is>
          <t>si</t>
        </is>
      </c>
      <c r="P1355" s="3" t="inlineStr">
        <is>
          <t>no_vota</t>
        </is>
      </c>
      <c r="Q1355" s="3" t="inlineStr">
        <is>
          <t>panel_covariables</t>
        </is>
      </c>
      <c r="R1355" s="3" t="n"/>
      <c r="S1355" s="3" t="inlineStr">
        <is>
          <t>contraste regional (R6); no vota</t>
        </is>
      </c>
      <c r="T1355" s="3" t="inlineStr">
        <is>
          <t>output/v8/F5/atribucion_combinada.csv</t>
        </is>
      </c>
      <c r="U1355" s="2">
        <f>IF(R1355=0,"",F1355/R1355)</f>
        <v/>
      </c>
      <c r="V1355" s="2">
        <f>SUMIFS(F$2:F$1589,A$2:A$1589,A1355,C$2:C$1589,C1355,E$2:E$1589,E1355,Q$2:Q$1589,Q1355)</f>
        <v/>
      </c>
    </row>
    <row r="1356">
      <c r="A1356" s="3" t="inlineStr">
        <is>
          <t>alquiler</t>
        </is>
      </c>
      <c r="B1356" s="3" t="inlineStr">
        <is>
          <t>ccaa:09</t>
        </is>
      </c>
      <c r="C1356" s="3" t="inlineStr">
        <is>
          <t>P5</t>
        </is>
      </c>
      <c r="D1356" s="3" t="inlineStr">
        <is>
          <t>demografia</t>
        </is>
      </c>
      <c r="E1356" s="3" t="inlineStr">
        <is>
          <t>regional_panel</t>
        </is>
      </c>
      <c r="F1356" s="3" t="n">
        <v>0.566711</v>
      </c>
      <c r="G1356" s="3" t="n"/>
      <c r="H1356" s="3" t="n"/>
      <c r="I1356" s="3" t="n">
        <v>-0.0898846</v>
      </c>
      <c r="J1356" s="3" t="n">
        <v>0.0212058</v>
      </c>
      <c r="K1356" s="3" t="n">
        <v>1.40309</v>
      </c>
      <c r="L1356" s="3" t="n">
        <v>-0.81541</v>
      </c>
      <c r="M1356" s="3" t="n">
        <v>2.41224</v>
      </c>
      <c r="N1356" s="3" t="inlineStr">
        <is>
          <t>C4</t>
        </is>
      </c>
      <c r="O1356" s="3" t="inlineStr">
        <is>
          <t>si</t>
        </is>
      </c>
      <c r="P1356" s="3" t="inlineStr">
        <is>
          <t>no_vota</t>
        </is>
      </c>
      <c r="Q1356" s="3" t="inlineStr">
        <is>
          <t>panel_covariables</t>
        </is>
      </c>
      <c r="R1356" s="3" t="n"/>
      <c r="S1356" s="3" t="inlineStr">
        <is>
          <t>contraste regional (R6); no vota</t>
        </is>
      </c>
      <c r="T1356" s="3" t="inlineStr">
        <is>
          <t>output/v8/F5/atribucion_combinada.csv</t>
        </is>
      </c>
      <c r="U1356" s="2">
        <f>IF(R1356=0,"",F1356/R1356)</f>
        <v/>
      </c>
      <c r="V1356" s="2">
        <f>SUMIFS(F$2:F$1589,A$2:A$1589,A1356,C$2:C$1589,C1356,E$2:E$1589,E1356,Q$2:Q$1589,Q1356)</f>
        <v/>
      </c>
    </row>
    <row r="1357">
      <c r="A1357" s="3" t="inlineStr">
        <is>
          <t>alquiler</t>
        </is>
      </c>
      <c r="B1357" s="3" t="inlineStr">
        <is>
          <t>ccaa:09</t>
        </is>
      </c>
      <c r="C1357" s="3" t="inlineStr">
        <is>
          <t>P5</t>
        </is>
      </c>
      <c r="D1357" s="3" t="inlineStr">
        <is>
          <t>oferta</t>
        </is>
      </c>
      <c r="E1357" s="3" t="inlineStr">
        <is>
          <t>regional_panel</t>
        </is>
      </c>
      <c r="F1357" s="3" t="n">
        <v>-0.00825676</v>
      </c>
      <c r="G1357" s="3" t="n"/>
      <c r="H1357" s="3" t="n"/>
      <c r="I1357" s="3" t="n">
        <v>0.00130958</v>
      </c>
      <c r="J1357" s="3" t="n">
        <v>-0.015276</v>
      </c>
      <c r="K1357" s="3" t="n">
        <v>0.00780155</v>
      </c>
      <c r="L1357" s="3" t="n">
        <v>-0.027769</v>
      </c>
      <c r="M1357" s="3" t="n">
        <v>0.0169327</v>
      </c>
      <c r="N1357" s="3" t="inlineStr">
        <is>
          <t>C4</t>
        </is>
      </c>
      <c r="O1357" s="3" t="inlineStr">
        <is>
          <t>si</t>
        </is>
      </c>
      <c r="P1357" s="3" t="inlineStr">
        <is>
          <t>no_vota</t>
        </is>
      </c>
      <c r="Q1357" s="3" t="inlineStr">
        <is>
          <t>panel_covariables</t>
        </is>
      </c>
      <c r="R1357" s="3" t="n"/>
      <c r="S1357" s="3" t="inlineStr">
        <is>
          <t>contraste regional (R6); no vota</t>
        </is>
      </c>
      <c r="T1357" s="3" t="inlineStr">
        <is>
          <t>output/v8/F5/atribucion_combinada.csv</t>
        </is>
      </c>
      <c r="U1357" s="2">
        <f>IF(R1357=0,"",F1357/R1357)</f>
        <v/>
      </c>
      <c r="V1357" s="2">
        <f>SUMIFS(F$2:F$1589,A$2:A$1589,A1357,C$2:C$1589,C1357,E$2:E$1589,E1357,Q$2:Q$1589,Q1357)</f>
        <v/>
      </c>
    </row>
    <row r="1358">
      <c r="A1358" s="3" t="inlineStr">
        <is>
          <t>alquiler</t>
        </is>
      </c>
      <c r="B1358" s="3" t="inlineStr">
        <is>
          <t>ccaa:09</t>
        </is>
      </c>
      <c r="C1358" s="3" t="inlineStr">
        <is>
          <t>P5</t>
        </is>
      </c>
      <c r="D1358" s="3" t="inlineStr">
        <is>
          <t>demanda_externa</t>
        </is>
      </c>
      <c r="E1358" s="3" t="inlineStr">
        <is>
          <t>regional_panel</t>
        </is>
      </c>
      <c r="F1358" s="3" t="n">
        <v>0.0571354</v>
      </c>
      <c r="G1358" s="3" t="n"/>
      <c r="H1358" s="3" t="n"/>
      <c r="I1358" s="3" t="n">
        <v>-0.0090621</v>
      </c>
      <c r="J1358" s="3" t="n">
        <v>0.00138213</v>
      </c>
      <c r="K1358" s="3" t="n">
        <v>0.125394</v>
      </c>
      <c r="L1358" s="3" t="n">
        <v>-0.0141723</v>
      </c>
      <c r="M1358" s="3" t="n">
        <v>0.197937</v>
      </c>
      <c r="N1358" s="3" t="inlineStr">
        <is>
          <t>C4</t>
        </is>
      </c>
      <c r="O1358" s="3" t="inlineStr">
        <is>
          <t>si</t>
        </is>
      </c>
      <c r="P1358" s="3" t="inlineStr">
        <is>
          <t>no_vota</t>
        </is>
      </c>
      <c r="Q1358" s="3" t="inlineStr">
        <is>
          <t>panel_covariables</t>
        </is>
      </c>
      <c r="R1358" s="3" t="n"/>
      <c r="S1358" s="3" t="inlineStr">
        <is>
          <t>contraste regional (R6); no vota</t>
        </is>
      </c>
      <c r="T1358" s="3" t="inlineStr">
        <is>
          <t>output/v8/F5/atribucion_combinada.csv</t>
        </is>
      </c>
      <c r="U1358" s="2">
        <f>IF(R1358=0,"",F1358/R1358)</f>
        <v/>
      </c>
      <c r="V1358" s="2">
        <f>SUMIFS(F$2:F$1589,A$2:A$1589,A1358,C$2:C$1589,C1358,E$2:E$1589,E1358,Q$2:Q$1589,Q1358)</f>
        <v/>
      </c>
    </row>
    <row r="1359">
      <c r="A1359" s="3" t="inlineStr">
        <is>
          <t>alquiler</t>
        </is>
      </c>
      <c r="B1359" s="3" t="inlineStr">
        <is>
          <t>ccaa:09</t>
        </is>
      </c>
      <c r="C1359" s="3" t="inlineStr">
        <is>
          <t>P5</t>
        </is>
      </c>
      <c r="D1359" s="3" t="inlineStr">
        <is>
          <t>residuo</t>
        </is>
      </c>
      <c r="E1359" s="3" t="inlineStr">
        <is>
          <t>regional_panel</t>
        </is>
      </c>
      <c r="F1359" s="3" t="n">
        <v>-1.28228</v>
      </c>
      <c r="G1359" s="3" t="n"/>
      <c r="H1359" s="3" t="n"/>
      <c r="I1359" s="3" t="n">
        <v>0.20338</v>
      </c>
      <c r="J1359" s="3" t="n">
        <v>-1.94446</v>
      </c>
      <c r="K1359" s="3" t="n">
        <v>-0.828166</v>
      </c>
      <c r="L1359" s="3" t="n">
        <v>-2.75543</v>
      </c>
      <c r="M1359" s="3" t="n">
        <v>-0.240637</v>
      </c>
      <c r="N1359" s="3" t="inlineStr">
        <is>
          <t>C4</t>
        </is>
      </c>
      <c r="O1359" s="3" t="inlineStr">
        <is>
          <t>no</t>
        </is>
      </c>
      <c r="P1359" s="3" t="inlineStr">
        <is>
          <t>no_compite</t>
        </is>
      </c>
      <c r="Q1359" s="3" t="inlineStr">
        <is>
          <t>panel_covariables</t>
        </is>
      </c>
      <c r="R1359" s="3" t="n"/>
      <c r="S1359" s="3" t="inlineStr">
        <is>
          <t>contraste regional (R6); no vota</t>
        </is>
      </c>
      <c r="T1359" s="3" t="inlineStr">
        <is>
          <t>output/v8/F5/atribucion_combinada.csv</t>
        </is>
      </c>
      <c r="U1359" s="2">
        <f>IF(R1359=0,"",F1359/R1359)</f>
        <v/>
      </c>
      <c r="V1359" s="2">
        <f>SUMIFS(F$2:F$1589,A$2:A$1589,A1359,C$2:C$1589,C1359,E$2:E$1589,E1359,Q$2:Q$1589,Q1359)</f>
        <v/>
      </c>
    </row>
    <row r="1360">
      <c r="A1360" s="3" t="inlineStr">
        <is>
          <t>alquiler</t>
        </is>
      </c>
      <c r="B1360" s="3" t="inlineStr">
        <is>
          <t>ccaa:10</t>
        </is>
      </c>
      <c r="C1360" s="3" t="inlineStr">
        <is>
          <t>P5</t>
        </is>
      </c>
      <c r="D1360" s="3" t="inlineStr">
        <is>
          <t>factor_comun</t>
        </is>
      </c>
      <c r="E1360" s="3" t="inlineStr">
        <is>
          <t>regional_panel</t>
        </is>
      </c>
      <c r="F1360" s="3" t="n">
        <v>-5.47353</v>
      </c>
      <c r="G1360" s="3" t="n"/>
      <c r="H1360" s="3" t="n"/>
      <c r="I1360" s="3" t="n">
        <v>1.43315</v>
      </c>
      <c r="J1360" s="3" t="n">
        <v>-7.50057</v>
      </c>
      <c r="K1360" s="3" t="n">
        <v>-3.0519</v>
      </c>
      <c r="L1360" s="3" t="n">
        <v>-9.529260000000001</v>
      </c>
      <c r="M1360" s="3" t="n">
        <v>-2.07047</v>
      </c>
      <c r="N1360" s="3" t="inlineStr">
        <is>
          <t>C4</t>
        </is>
      </c>
      <c r="O1360" s="3" t="inlineStr">
        <is>
          <t>no</t>
        </is>
      </c>
      <c r="P1360" s="3" t="inlineStr">
        <is>
          <t>no_compite</t>
        </is>
      </c>
      <c r="Q1360" s="3" t="inlineStr">
        <is>
          <t>panel_covariables</t>
        </is>
      </c>
      <c r="R1360" s="3" t="n"/>
      <c r="S1360" s="3" t="inlineStr">
        <is>
          <t>contraste regional (R6); no vota</t>
        </is>
      </c>
      <c r="T1360" s="3" t="inlineStr">
        <is>
          <t>output/v8/F5/atribucion_combinada.csv</t>
        </is>
      </c>
      <c r="U1360" s="2">
        <f>IF(R1360=0,"",F1360/R1360)</f>
        <v/>
      </c>
      <c r="V1360" s="2">
        <f>SUMIFS(F$2:F$1589,A$2:A$1589,A1360,C$2:C$1589,C1360,E$2:E$1589,E1360,Q$2:Q$1589,Q1360)</f>
        <v/>
      </c>
    </row>
    <row r="1361">
      <c r="A1361" s="3" t="inlineStr">
        <is>
          <t>alquiler</t>
        </is>
      </c>
      <c r="B1361" s="3" t="inlineStr">
        <is>
          <t>ccaa:10</t>
        </is>
      </c>
      <c r="C1361" s="3" t="inlineStr">
        <is>
          <t>P5</t>
        </is>
      </c>
      <c r="D1361" s="3" t="inlineStr">
        <is>
          <t>empleo_renta</t>
        </is>
      </c>
      <c r="E1361" s="3" t="inlineStr">
        <is>
          <t>regional_panel</t>
        </is>
      </c>
      <c r="F1361" s="3" t="n">
        <v>-0.192496</v>
      </c>
      <c r="G1361" s="3" t="n"/>
      <c r="H1361" s="3" t="n"/>
      <c r="I1361" s="3" t="n">
        <v>0.0504016</v>
      </c>
      <c r="J1361" s="3" t="n">
        <v>-0.315767</v>
      </c>
      <c r="K1361" s="3" t="n">
        <v>-0.105849</v>
      </c>
      <c r="L1361" s="3" t="n">
        <v>-0.39125</v>
      </c>
      <c r="M1361" s="3" t="n">
        <v>-0.0544091</v>
      </c>
      <c r="N1361" s="3" t="inlineStr">
        <is>
          <t>C4</t>
        </is>
      </c>
      <c r="O1361" s="3" t="inlineStr">
        <is>
          <t>si</t>
        </is>
      </c>
      <c r="P1361" s="3" t="inlineStr">
        <is>
          <t>no_vota</t>
        </is>
      </c>
      <c r="Q1361" s="3" t="inlineStr">
        <is>
          <t>panel_covariables</t>
        </is>
      </c>
      <c r="R1361" s="3" t="n"/>
      <c r="S1361" s="3" t="inlineStr">
        <is>
          <t>contraste regional (R6); no vota</t>
        </is>
      </c>
      <c r="T1361" s="3" t="inlineStr">
        <is>
          <t>output/v8/F5/atribucion_combinada.csv</t>
        </is>
      </c>
      <c r="U1361" s="2">
        <f>IF(R1361=0,"",F1361/R1361)</f>
        <v/>
      </c>
      <c r="V1361" s="2">
        <f>SUMIFS(F$2:F$1589,A$2:A$1589,A1361,C$2:C$1589,C1361,E$2:E$1589,E1361,Q$2:Q$1589,Q1361)</f>
        <v/>
      </c>
    </row>
    <row r="1362">
      <c r="A1362" s="3" t="inlineStr">
        <is>
          <t>alquiler</t>
        </is>
      </c>
      <c r="B1362" s="3" t="inlineStr">
        <is>
          <t>ccaa:10</t>
        </is>
      </c>
      <c r="C1362" s="3" t="inlineStr">
        <is>
          <t>P5</t>
        </is>
      </c>
      <c r="D1362" s="3" t="inlineStr">
        <is>
          <t>demografia</t>
        </is>
      </c>
      <c r="E1362" s="3" t="inlineStr">
        <is>
          <t>regional_panel</t>
        </is>
      </c>
      <c r="F1362" s="3" t="n">
        <v>0.781189</v>
      </c>
      <c r="G1362" s="3" t="n"/>
      <c r="H1362" s="3" t="n"/>
      <c r="I1362" s="3" t="n">
        <v>-0.20454</v>
      </c>
      <c r="J1362" s="3" t="n">
        <v>0.0779905</v>
      </c>
      <c r="K1362" s="3" t="n">
        <v>1.87737</v>
      </c>
      <c r="L1362" s="3" t="n">
        <v>-1.06972</v>
      </c>
      <c r="M1362" s="3" t="n">
        <v>3.24719</v>
      </c>
      <c r="N1362" s="3" t="inlineStr">
        <is>
          <t>C4</t>
        </is>
      </c>
      <c r="O1362" s="3" t="inlineStr">
        <is>
          <t>si</t>
        </is>
      </c>
      <c r="P1362" s="3" t="inlineStr">
        <is>
          <t>no_vota</t>
        </is>
      </c>
      <c r="Q1362" s="3" t="inlineStr">
        <is>
          <t>panel_covariables</t>
        </is>
      </c>
      <c r="R1362" s="3" t="n"/>
      <c r="S1362" s="3" t="inlineStr">
        <is>
          <t>contraste regional (R6); no vota</t>
        </is>
      </c>
      <c r="T1362" s="3" t="inlineStr">
        <is>
          <t>output/v8/F5/atribucion_combinada.csv</t>
        </is>
      </c>
      <c r="U1362" s="2">
        <f>IF(R1362=0,"",F1362/R1362)</f>
        <v/>
      </c>
      <c r="V1362" s="2">
        <f>SUMIFS(F$2:F$1589,A$2:A$1589,A1362,C$2:C$1589,C1362,E$2:E$1589,E1362,Q$2:Q$1589,Q1362)</f>
        <v/>
      </c>
    </row>
    <row r="1363">
      <c r="A1363" s="3" t="inlineStr">
        <is>
          <t>alquiler</t>
        </is>
      </c>
      <c r="B1363" s="3" t="inlineStr">
        <is>
          <t>ccaa:10</t>
        </is>
      </c>
      <c r="C1363" s="3" t="inlineStr">
        <is>
          <t>P5</t>
        </is>
      </c>
      <c r="D1363" s="3" t="inlineStr">
        <is>
          <t>oferta</t>
        </is>
      </c>
      <c r="E1363" s="3" t="inlineStr">
        <is>
          <t>regional_panel</t>
        </is>
      </c>
      <c r="F1363" s="3" t="n">
        <v>-0.0118399</v>
      </c>
      <c r="G1363" s="3" t="n"/>
      <c r="H1363" s="3" t="n"/>
      <c r="I1363" s="3" t="n">
        <v>0.00310006</v>
      </c>
      <c r="J1363" s="3" t="n">
        <v>-0.0261901</v>
      </c>
      <c r="K1363" s="3" t="n">
        <v>0.00788293</v>
      </c>
      <c r="L1363" s="3" t="n">
        <v>-0.0443077</v>
      </c>
      <c r="M1363" s="3" t="n">
        <v>0.0227344</v>
      </c>
      <c r="N1363" s="3" t="inlineStr">
        <is>
          <t>C4</t>
        </is>
      </c>
      <c r="O1363" s="3" t="inlineStr">
        <is>
          <t>si</t>
        </is>
      </c>
      <c r="P1363" s="3" t="inlineStr">
        <is>
          <t>no_vota</t>
        </is>
      </c>
      <c r="Q1363" s="3" t="inlineStr">
        <is>
          <t>panel_covariables</t>
        </is>
      </c>
      <c r="R1363" s="3" t="n"/>
      <c r="S1363" s="3" t="inlineStr">
        <is>
          <t>contraste regional (R6); no vota</t>
        </is>
      </c>
      <c r="T1363" s="3" t="inlineStr">
        <is>
          <t>output/v8/F5/atribucion_combinada.csv</t>
        </is>
      </c>
      <c r="U1363" s="2">
        <f>IF(R1363=0,"",F1363/R1363)</f>
        <v/>
      </c>
      <c r="V1363" s="2">
        <f>SUMIFS(F$2:F$1589,A$2:A$1589,A1363,C$2:C$1589,C1363,E$2:E$1589,E1363,Q$2:Q$1589,Q1363)</f>
        <v/>
      </c>
    </row>
    <row r="1364">
      <c r="A1364" s="3" t="inlineStr">
        <is>
          <t>alquiler</t>
        </is>
      </c>
      <c r="B1364" s="3" t="inlineStr">
        <is>
          <t>ccaa:10</t>
        </is>
      </c>
      <c r="C1364" s="3" t="inlineStr">
        <is>
          <t>P5</t>
        </is>
      </c>
      <c r="D1364" s="3" t="inlineStr">
        <is>
          <t>demanda_externa</t>
        </is>
      </c>
      <c r="E1364" s="3" t="inlineStr">
        <is>
          <t>regional_panel</t>
        </is>
      </c>
      <c r="F1364" s="3" t="n">
        <v>0.0416749</v>
      </c>
      <c r="G1364" s="3" t="n"/>
      <c r="H1364" s="3" t="n"/>
      <c r="I1364" s="3" t="n">
        <v>-0.0109118</v>
      </c>
      <c r="J1364" s="3" t="n">
        <v>-0.00184137</v>
      </c>
      <c r="K1364" s="3" t="n">
        <v>0.0829891</v>
      </c>
      <c r="L1364" s="3" t="n">
        <v>-0.0172878</v>
      </c>
      <c r="M1364" s="3" t="n">
        <v>0.129259</v>
      </c>
      <c r="N1364" s="3" t="inlineStr">
        <is>
          <t>C4</t>
        </is>
      </c>
      <c r="O1364" s="3" t="inlineStr">
        <is>
          <t>si</t>
        </is>
      </c>
      <c r="P1364" s="3" t="inlineStr">
        <is>
          <t>no_vota</t>
        </is>
      </c>
      <c r="Q1364" s="3" t="inlineStr">
        <is>
          <t>panel_covariables</t>
        </is>
      </c>
      <c r="R1364" s="3" t="n"/>
      <c r="S1364" s="3" t="inlineStr">
        <is>
          <t>contraste regional (R6); no vota</t>
        </is>
      </c>
      <c r="T1364" s="3" t="inlineStr">
        <is>
          <t>output/v8/F5/atribucion_combinada.csv</t>
        </is>
      </c>
      <c r="U1364" s="2">
        <f>IF(R1364=0,"",F1364/R1364)</f>
        <v/>
      </c>
      <c r="V1364" s="2">
        <f>SUMIFS(F$2:F$1589,A$2:A$1589,A1364,C$2:C$1589,C1364,E$2:E$1589,E1364,Q$2:Q$1589,Q1364)</f>
        <v/>
      </c>
    </row>
    <row r="1365">
      <c r="A1365" s="3" t="inlineStr">
        <is>
          <t>alquiler</t>
        </is>
      </c>
      <c r="B1365" s="3" t="inlineStr">
        <is>
          <t>ccaa:10</t>
        </is>
      </c>
      <c r="C1365" s="3" t="inlineStr">
        <is>
          <t>P5</t>
        </is>
      </c>
      <c r="D1365" s="3" t="inlineStr">
        <is>
          <t>residuo</t>
        </is>
      </c>
      <c r="E1365" s="3" t="inlineStr">
        <is>
          <t>regional_panel</t>
        </is>
      </c>
      <c r="F1365" s="3" t="n">
        <v>1.03576</v>
      </c>
      <c r="G1365" s="3" t="n"/>
      <c r="H1365" s="3" t="n"/>
      <c r="I1365" s="3" t="n">
        <v>-0.271195</v>
      </c>
      <c r="J1365" s="3" t="n">
        <v>-0.293111</v>
      </c>
      <c r="K1365" s="3" t="n">
        <v>1.84572</v>
      </c>
      <c r="L1365" s="3" t="n">
        <v>-1.3457</v>
      </c>
      <c r="M1365" s="3" t="n">
        <v>2.96995</v>
      </c>
      <c r="N1365" s="3" t="inlineStr">
        <is>
          <t>C4</t>
        </is>
      </c>
      <c r="O1365" s="3" t="inlineStr">
        <is>
          <t>no</t>
        </is>
      </c>
      <c r="P1365" s="3" t="inlineStr">
        <is>
          <t>no_compite</t>
        </is>
      </c>
      <c r="Q1365" s="3" t="inlineStr">
        <is>
          <t>panel_covariables</t>
        </is>
      </c>
      <c r="R1365" s="3" t="n"/>
      <c r="S1365" s="3" t="inlineStr">
        <is>
          <t>contraste regional (R6); no vota</t>
        </is>
      </c>
      <c r="T1365" s="3" t="inlineStr">
        <is>
          <t>output/v8/F5/atribucion_combinada.csv</t>
        </is>
      </c>
      <c r="U1365" s="2">
        <f>IF(R1365=0,"",F1365/R1365)</f>
        <v/>
      </c>
      <c r="V1365" s="2">
        <f>SUMIFS(F$2:F$1589,A$2:A$1589,A1365,C$2:C$1589,C1365,E$2:E$1589,E1365,Q$2:Q$1589,Q1365)</f>
        <v/>
      </c>
    </row>
    <row r="1366">
      <c r="A1366" s="3" t="inlineStr">
        <is>
          <t>alquiler</t>
        </is>
      </c>
      <c r="B1366" s="3" t="inlineStr">
        <is>
          <t>ccaa:11</t>
        </is>
      </c>
      <c r="C1366" s="3" t="inlineStr">
        <is>
          <t>P5</t>
        </is>
      </c>
      <c r="D1366" s="3" t="inlineStr">
        <is>
          <t>factor_comun</t>
        </is>
      </c>
      <c r="E1366" s="3" t="inlineStr">
        <is>
          <t>regional_panel</t>
        </is>
      </c>
      <c r="F1366" s="3" t="n">
        <v>-5.47353</v>
      </c>
      <c r="G1366" s="3" t="n"/>
      <c r="H1366" s="3" t="n"/>
      <c r="I1366" s="3" t="n">
        <v>0.990062</v>
      </c>
      <c r="J1366" s="3" t="n">
        <v>-7.50057</v>
      </c>
      <c r="K1366" s="3" t="n">
        <v>-3.0519</v>
      </c>
      <c r="L1366" s="3" t="n">
        <v>-9.529260000000001</v>
      </c>
      <c r="M1366" s="3" t="n">
        <v>-2.07047</v>
      </c>
      <c r="N1366" s="3" t="inlineStr">
        <is>
          <t>C4</t>
        </is>
      </c>
      <c r="O1366" s="3" t="inlineStr">
        <is>
          <t>no</t>
        </is>
      </c>
      <c r="P1366" s="3" t="inlineStr">
        <is>
          <t>no_compite</t>
        </is>
      </c>
      <c r="Q1366" s="3" t="inlineStr">
        <is>
          <t>panel_covariables</t>
        </is>
      </c>
      <c r="R1366" s="3" t="n"/>
      <c r="S1366" s="3" t="inlineStr">
        <is>
          <t>contraste regional (R6); no vota</t>
        </is>
      </c>
      <c r="T1366" s="3" t="inlineStr">
        <is>
          <t>output/v8/F5/atribucion_combinada.csv</t>
        </is>
      </c>
      <c r="U1366" s="2">
        <f>IF(R1366=0,"",F1366/R1366)</f>
        <v/>
      </c>
      <c r="V1366" s="2">
        <f>SUMIFS(F$2:F$1589,A$2:A$1589,A1366,C$2:C$1589,C1366,E$2:E$1589,E1366,Q$2:Q$1589,Q1366)</f>
        <v/>
      </c>
    </row>
    <row r="1367">
      <c r="A1367" s="3" t="inlineStr">
        <is>
          <t>alquiler</t>
        </is>
      </c>
      <c r="B1367" s="3" t="inlineStr">
        <is>
          <t>ccaa:11</t>
        </is>
      </c>
      <c r="C1367" s="3" t="inlineStr">
        <is>
          <t>P5</t>
        </is>
      </c>
      <c r="D1367" s="3" t="inlineStr">
        <is>
          <t>empleo_renta</t>
        </is>
      </c>
      <c r="E1367" s="3" t="inlineStr">
        <is>
          <t>regional_panel</t>
        </is>
      </c>
      <c r="F1367" s="3" t="n">
        <v>-0.0212814</v>
      </c>
      <c r="G1367" s="3" t="n"/>
      <c r="H1367" s="3" t="n"/>
      <c r="I1367" s="3" t="n">
        <v>0.00384942</v>
      </c>
      <c r="J1367" s="3" t="n">
        <v>-0.104484</v>
      </c>
      <c r="K1367" s="3" t="n">
        <v>0.0351429</v>
      </c>
      <c r="L1367" s="3" t="n">
        <v>-0.151889</v>
      </c>
      <c r="M1367" s="3" t="n">
        <v>0.0865138</v>
      </c>
      <c r="N1367" s="3" t="inlineStr">
        <is>
          <t>C4</t>
        </is>
      </c>
      <c r="O1367" s="3" t="inlineStr">
        <is>
          <t>si</t>
        </is>
      </c>
      <c r="P1367" s="3" t="inlineStr">
        <is>
          <t>no_vota</t>
        </is>
      </c>
      <c r="Q1367" s="3" t="inlineStr">
        <is>
          <t>panel_covariables</t>
        </is>
      </c>
      <c r="R1367" s="3" t="n"/>
      <c r="S1367" s="3" t="inlineStr">
        <is>
          <t>contraste regional (R6); no vota</t>
        </is>
      </c>
      <c r="T1367" s="3" t="inlineStr">
        <is>
          <t>output/v8/F5/atribucion_combinada.csv</t>
        </is>
      </c>
      <c r="U1367" s="2">
        <f>IF(R1367=0,"",F1367/R1367)</f>
        <v/>
      </c>
      <c r="V1367" s="2">
        <f>SUMIFS(F$2:F$1589,A$2:A$1589,A1367,C$2:C$1589,C1367,E$2:E$1589,E1367,Q$2:Q$1589,Q1367)</f>
        <v/>
      </c>
    </row>
    <row r="1368">
      <c r="A1368" s="3" t="inlineStr">
        <is>
          <t>alquiler</t>
        </is>
      </c>
      <c r="B1368" s="3" t="inlineStr">
        <is>
          <t>ccaa:11</t>
        </is>
      </c>
      <c r="C1368" s="3" t="inlineStr">
        <is>
          <t>P5</t>
        </is>
      </c>
      <c r="D1368" s="3" t="inlineStr">
        <is>
          <t>demografia</t>
        </is>
      </c>
      <c r="E1368" s="3" t="inlineStr">
        <is>
          <t>regional_panel</t>
        </is>
      </c>
      <c r="F1368" s="3" t="n">
        <v>0.345492</v>
      </c>
      <c r="G1368" s="3" t="n"/>
      <c r="H1368" s="3" t="n"/>
      <c r="I1368" s="3" t="n">
        <v>-0.0624932</v>
      </c>
      <c r="J1368" s="3" t="n">
        <v>-0.408466</v>
      </c>
      <c r="K1368" s="3" t="n">
        <v>1.08439</v>
      </c>
      <c r="L1368" s="3" t="n">
        <v>-1.15107</v>
      </c>
      <c r="M1368" s="3" t="n">
        <v>1.56</v>
      </c>
      <c r="N1368" s="3" t="inlineStr">
        <is>
          <t>C4</t>
        </is>
      </c>
      <c r="O1368" s="3" t="inlineStr">
        <is>
          <t>si</t>
        </is>
      </c>
      <c r="P1368" s="3" t="inlineStr">
        <is>
          <t>no_vota</t>
        </is>
      </c>
      <c r="Q1368" s="3" t="inlineStr">
        <is>
          <t>panel_covariables</t>
        </is>
      </c>
      <c r="R1368" s="3" t="n"/>
      <c r="S1368" s="3" t="inlineStr">
        <is>
          <t>contraste regional (R6); no vota</t>
        </is>
      </c>
      <c r="T1368" s="3" t="inlineStr">
        <is>
          <t>output/v8/F5/atribucion_combinada.csv</t>
        </is>
      </c>
      <c r="U1368" s="2">
        <f>IF(R1368=0,"",F1368/R1368)</f>
        <v/>
      </c>
      <c r="V1368" s="2">
        <f>SUMIFS(F$2:F$1589,A$2:A$1589,A1368,C$2:C$1589,C1368,E$2:E$1589,E1368,Q$2:Q$1589,Q1368)</f>
        <v/>
      </c>
    </row>
    <row r="1369">
      <c r="A1369" s="3" t="inlineStr">
        <is>
          <t>alquiler</t>
        </is>
      </c>
      <c r="B1369" s="3" t="inlineStr">
        <is>
          <t>ccaa:11</t>
        </is>
      </c>
      <c r="C1369" s="3" t="inlineStr">
        <is>
          <t>P5</t>
        </is>
      </c>
      <c r="D1369" s="3" t="inlineStr">
        <is>
          <t>oferta</t>
        </is>
      </c>
      <c r="E1369" s="3" t="inlineStr">
        <is>
          <t>regional_panel</t>
        </is>
      </c>
      <c r="F1369" s="3" t="n">
        <v>-4.607e-06</v>
      </c>
      <c r="G1369" s="3" t="n"/>
      <c r="H1369" s="3" t="n"/>
      <c r="I1369" s="3" t="n">
        <v>8.33323e-07</v>
      </c>
      <c r="J1369" s="3" t="n">
        <v>-0.0132118</v>
      </c>
      <c r="K1369" s="3" t="n">
        <v>0.00839929</v>
      </c>
      <c r="L1369" s="3" t="n">
        <v>-0.0247337</v>
      </c>
      <c r="M1369" s="3" t="n">
        <v>0.0231112</v>
      </c>
      <c r="N1369" s="3" t="inlineStr">
        <is>
          <t>C4</t>
        </is>
      </c>
      <c r="O1369" s="3" t="inlineStr">
        <is>
          <t>si</t>
        </is>
      </c>
      <c r="P1369" s="3" t="inlineStr">
        <is>
          <t>no_vota</t>
        </is>
      </c>
      <c r="Q1369" s="3" t="inlineStr">
        <is>
          <t>panel_covariables</t>
        </is>
      </c>
      <c r="R1369" s="3" t="n"/>
      <c r="S1369" s="3" t="inlineStr">
        <is>
          <t>contraste regional (R6); no vota</t>
        </is>
      </c>
      <c r="T1369" s="3" t="inlineStr">
        <is>
          <t>output/v8/F5/atribucion_combinada.csv</t>
        </is>
      </c>
      <c r="U1369" s="2">
        <f>IF(R1369=0,"",F1369/R1369)</f>
        <v/>
      </c>
      <c r="V1369" s="2">
        <f>SUMIFS(F$2:F$1589,A$2:A$1589,A1369,C$2:C$1589,C1369,E$2:E$1589,E1369,Q$2:Q$1589,Q1369)</f>
        <v/>
      </c>
    </row>
    <row r="1370">
      <c r="A1370" s="3" t="inlineStr">
        <is>
          <t>alquiler</t>
        </is>
      </c>
      <c r="B1370" s="3" t="inlineStr">
        <is>
          <t>ccaa:11</t>
        </is>
      </c>
      <c r="C1370" s="3" t="inlineStr">
        <is>
          <t>P5</t>
        </is>
      </c>
      <c r="D1370" s="3" t="inlineStr">
        <is>
          <t>demanda_externa</t>
        </is>
      </c>
      <c r="E1370" s="3" t="inlineStr">
        <is>
          <t>regional_panel</t>
        </is>
      </c>
      <c r="F1370" s="3" t="n">
        <v>0.09327770000000001</v>
      </c>
      <c r="G1370" s="3" t="n"/>
      <c r="H1370" s="3" t="n"/>
      <c r="I1370" s="3" t="n">
        <v>-0.0168722</v>
      </c>
      <c r="J1370" s="3" t="n">
        <v>0.00427016</v>
      </c>
      <c r="K1370" s="3" t="n">
        <v>0.217394</v>
      </c>
      <c r="L1370" s="3" t="n">
        <v>-0.0204047</v>
      </c>
      <c r="M1370" s="3" t="n">
        <v>0.305101</v>
      </c>
      <c r="N1370" s="3" t="inlineStr">
        <is>
          <t>C4</t>
        </is>
      </c>
      <c r="O1370" s="3" t="inlineStr">
        <is>
          <t>si</t>
        </is>
      </c>
      <c r="P1370" s="3" t="inlineStr">
        <is>
          <t>no_vota</t>
        </is>
      </c>
      <c r="Q1370" s="3" t="inlineStr">
        <is>
          <t>panel_covariables</t>
        </is>
      </c>
      <c r="R1370" s="3" t="n"/>
      <c r="S1370" s="3" t="inlineStr">
        <is>
          <t>contraste regional (R6); no vota</t>
        </is>
      </c>
      <c r="T1370" s="3" t="inlineStr">
        <is>
          <t>output/v8/F5/atribucion_combinada.csv</t>
        </is>
      </c>
      <c r="U1370" s="2">
        <f>IF(R1370=0,"",F1370/R1370)</f>
        <v/>
      </c>
      <c r="V1370" s="2">
        <f>SUMIFS(F$2:F$1589,A$2:A$1589,A1370,C$2:C$1589,C1370,E$2:E$1589,E1370,Q$2:Q$1589,Q1370)</f>
        <v/>
      </c>
    </row>
    <row r="1371">
      <c r="A1371" s="3" t="inlineStr">
        <is>
          <t>alquiler</t>
        </is>
      </c>
      <c r="B1371" s="3" t="inlineStr">
        <is>
          <t>ccaa:11</t>
        </is>
      </c>
      <c r="C1371" s="3" t="inlineStr">
        <is>
          <t>P5</t>
        </is>
      </c>
      <c r="D1371" s="3" t="inlineStr">
        <is>
          <t>residuo</t>
        </is>
      </c>
      <c r="E1371" s="3" t="inlineStr">
        <is>
          <t>regional_panel</t>
        </is>
      </c>
      <c r="F1371" s="3" t="n">
        <v>-0.472428</v>
      </c>
      <c r="G1371" s="3" t="n"/>
      <c r="H1371" s="3" t="n"/>
      <c r="I1371" s="3" t="n">
        <v>0.0854536</v>
      </c>
      <c r="J1371" s="3" t="n">
        <v>-0.998649</v>
      </c>
      <c r="K1371" s="3" t="n">
        <v>0.0404477</v>
      </c>
      <c r="L1371" s="3" t="n">
        <v>-1.50095</v>
      </c>
      <c r="M1371" s="3" t="n">
        <v>0.331923</v>
      </c>
      <c r="N1371" s="3" t="inlineStr">
        <is>
          <t>C4</t>
        </is>
      </c>
      <c r="O1371" s="3" t="inlineStr">
        <is>
          <t>no</t>
        </is>
      </c>
      <c r="P1371" s="3" t="inlineStr">
        <is>
          <t>no_compite</t>
        </is>
      </c>
      <c r="Q1371" s="3" t="inlineStr">
        <is>
          <t>panel_covariables</t>
        </is>
      </c>
      <c r="R1371" s="3" t="n"/>
      <c r="S1371" s="3" t="inlineStr">
        <is>
          <t>contraste regional (R6); no vota</t>
        </is>
      </c>
      <c r="T1371" s="3" t="inlineStr">
        <is>
          <t>output/v8/F5/atribucion_combinada.csv</t>
        </is>
      </c>
      <c r="U1371" s="2">
        <f>IF(R1371=0,"",F1371/R1371)</f>
        <v/>
      </c>
      <c r="V1371" s="2">
        <f>SUMIFS(F$2:F$1589,A$2:A$1589,A1371,C$2:C$1589,C1371,E$2:E$1589,E1371,Q$2:Q$1589,Q1371)</f>
        <v/>
      </c>
    </row>
    <row r="1372">
      <c r="A1372" s="3" t="inlineStr">
        <is>
          <t>alquiler</t>
        </is>
      </c>
      <c r="B1372" s="3" t="inlineStr">
        <is>
          <t>ccaa:12</t>
        </is>
      </c>
      <c r="C1372" s="3" t="inlineStr">
        <is>
          <t>P5</t>
        </is>
      </c>
      <c r="D1372" s="3" t="inlineStr">
        <is>
          <t>factor_comun</t>
        </is>
      </c>
      <c r="E1372" s="3" t="inlineStr">
        <is>
          <t>regional_panel</t>
        </is>
      </c>
      <c r="F1372" s="3" t="n">
        <v>-5.47353</v>
      </c>
      <c r="G1372" s="3" t="n"/>
      <c r="H1372" s="3" t="n"/>
      <c r="I1372" s="3" t="n">
        <v>1.01827</v>
      </c>
      <c r="J1372" s="3" t="n">
        <v>-7.50057</v>
      </c>
      <c r="K1372" s="3" t="n">
        <v>-3.0519</v>
      </c>
      <c r="L1372" s="3" t="n">
        <v>-9.529260000000001</v>
      </c>
      <c r="M1372" s="3" t="n">
        <v>-2.07047</v>
      </c>
      <c r="N1372" s="3" t="inlineStr">
        <is>
          <t>C4</t>
        </is>
      </c>
      <c r="O1372" s="3" t="inlineStr">
        <is>
          <t>no</t>
        </is>
      </c>
      <c r="P1372" s="3" t="inlineStr">
        <is>
          <t>no_compite</t>
        </is>
      </c>
      <c r="Q1372" s="3" t="inlineStr">
        <is>
          <t>panel_covariables</t>
        </is>
      </c>
      <c r="R1372" s="3" t="n"/>
      <c r="S1372" s="3" t="inlineStr">
        <is>
          <t>contraste regional (R6); no vota</t>
        </is>
      </c>
      <c r="T1372" s="3" t="inlineStr">
        <is>
          <t>output/v8/F5/atribucion_combinada.csv</t>
        </is>
      </c>
      <c r="U1372" s="2">
        <f>IF(R1372=0,"",F1372/R1372)</f>
        <v/>
      </c>
      <c r="V1372" s="2">
        <f>SUMIFS(F$2:F$1589,A$2:A$1589,A1372,C$2:C$1589,C1372,E$2:E$1589,E1372,Q$2:Q$1589,Q1372)</f>
        <v/>
      </c>
    </row>
    <row r="1373">
      <c r="A1373" s="3" t="inlineStr">
        <is>
          <t>alquiler</t>
        </is>
      </c>
      <c r="B1373" s="3" t="inlineStr">
        <is>
          <t>ccaa:12</t>
        </is>
      </c>
      <c r="C1373" s="3" t="inlineStr">
        <is>
          <t>P5</t>
        </is>
      </c>
      <c r="D1373" s="3" t="inlineStr">
        <is>
          <t>empleo_renta</t>
        </is>
      </c>
      <c r="E1373" s="3" t="inlineStr">
        <is>
          <t>regional_panel</t>
        </is>
      </c>
      <c r="F1373" s="3" t="n">
        <v>-0.0694446</v>
      </c>
      <c r="G1373" s="3" t="n"/>
      <c r="H1373" s="3" t="n"/>
      <c r="I1373" s="3" t="n">
        <v>0.0129192</v>
      </c>
      <c r="J1373" s="3" t="n">
        <v>-0.104856</v>
      </c>
      <c r="K1373" s="3" t="n">
        <v>-0.0279938</v>
      </c>
      <c r="L1373" s="3" t="n">
        <v>-0.133971</v>
      </c>
      <c r="M1373" s="3" t="n">
        <v>-0.00594731</v>
      </c>
      <c r="N1373" s="3" t="inlineStr">
        <is>
          <t>C4</t>
        </is>
      </c>
      <c r="O1373" s="3" t="inlineStr">
        <is>
          <t>si</t>
        </is>
      </c>
      <c r="P1373" s="3" t="inlineStr">
        <is>
          <t>no_vota</t>
        </is>
      </c>
      <c r="Q1373" s="3" t="inlineStr">
        <is>
          <t>panel_covariables</t>
        </is>
      </c>
      <c r="R1373" s="3" t="n"/>
      <c r="S1373" s="3" t="inlineStr">
        <is>
          <t>contraste regional (R6); no vota</t>
        </is>
      </c>
      <c r="T1373" s="3" t="inlineStr">
        <is>
          <t>output/v8/F5/atribucion_combinada.csv</t>
        </is>
      </c>
      <c r="U1373" s="2">
        <f>IF(R1373=0,"",F1373/R1373)</f>
        <v/>
      </c>
      <c r="V1373" s="2">
        <f>SUMIFS(F$2:F$1589,A$2:A$1589,A1373,C$2:C$1589,C1373,E$2:E$1589,E1373,Q$2:Q$1589,Q1373)</f>
        <v/>
      </c>
    </row>
    <row r="1374">
      <c r="A1374" s="3" t="inlineStr">
        <is>
          <t>alquiler</t>
        </is>
      </c>
      <c r="B1374" s="3" t="inlineStr">
        <is>
          <t>ccaa:12</t>
        </is>
      </c>
      <c r="C1374" s="3" t="inlineStr">
        <is>
          <t>P5</t>
        </is>
      </c>
      <c r="D1374" s="3" t="inlineStr">
        <is>
          <t>demografia</t>
        </is>
      </c>
      <c r="E1374" s="3" t="inlineStr">
        <is>
          <t>regional_panel</t>
        </is>
      </c>
      <c r="F1374" s="3" t="n">
        <v>0.575666</v>
      </c>
      <c r="G1374" s="3" t="n"/>
      <c r="H1374" s="3" t="n"/>
      <c r="I1374" s="3" t="n">
        <v>-0.107095</v>
      </c>
      <c r="J1374" s="3" t="n">
        <v>-0.268089</v>
      </c>
      <c r="K1374" s="3" t="n">
        <v>1.38098</v>
      </c>
      <c r="L1374" s="3" t="n">
        <v>-0.838273</v>
      </c>
      <c r="M1374" s="3" t="n">
        <v>1.91452</v>
      </c>
      <c r="N1374" s="3" t="inlineStr">
        <is>
          <t>C4</t>
        </is>
      </c>
      <c r="O1374" s="3" t="inlineStr">
        <is>
          <t>si</t>
        </is>
      </c>
      <c r="P1374" s="3" t="inlineStr">
        <is>
          <t>no_vota</t>
        </is>
      </c>
      <c r="Q1374" s="3" t="inlineStr">
        <is>
          <t>panel_covariables</t>
        </is>
      </c>
      <c r="R1374" s="3" t="n"/>
      <c r="S1374" s="3" t="inlineStr">
        <is>
          <t>contraste regional (R6); no vota</t>
        </is>
      </c>
      <c r="T1374" s="3" t="inlineStr">
        <is>
          <t>output/v8/F5/atribucion_combinada.csv</t>
        </is>
      </c>
      <c r="U1374" s="2">
        <f>IF(R1374=0,"",F1374/R1374)</f>
        <v/>
      </c>
      <c r="V1374" s="2">
        <f>SUMIFS(F$2:F$1589,A$2:A$1589,A1374,C$2:C$1589,C1374,E$2:E$1589,E1374,Q$2:Q$1589,Q1374)</f>
        <v/>
      </c>
    </row>
    <row r="1375">
      <c r="A1375" s="3" t="inlineStr">
        <is>
          <t>alquiler</t>
        </is>
      </c>
      <c r="B1375" s="3" t="inlineStr">
        <is>
          <t>ccaa:12</t>
        </is>
      </c>
      <c r="C1375" s="3" t="inlineStr">
        <is>
          <t>P5</t>
        </is>
      </c>
      <c r="D1375" s="3" t="inlineStr">
        <is>
          <t>oferta</t>
        </is>
      </c>
      <c r="E1375" s="3" t="inlineStr">
        <is>
          <t>regional_panel</t>
        </is>
      </c>
      <c r="F1375" s="3" t="n">
        <v>-0.00208841</v>
      </c>
      <c r="G1375" s="3" t="n"/>
      <c r="H1375" s="3" t="n"/>
      <c r="I1375" s="3" t="n">
        <v>0.000388518</v>
      </c>
      <c r="J1375" s="3" t="n">
        <v>-0.0154406</v>
      </c>
      <c r="K1375" s="3" t="n">
        <v>0.00518399</v>
      </c>
      <c r="L1375" s="3" t="n">
        <v>-0.0285066</v>
      </c>
      <c r="M1375" s="3" t="n">
        <v>0.0182824</v>
      </c>
      <c r="N1375" s="3" t="inlineStr">
        <is>
          <t>C4</t>
        </is>
      </c>
      <c r="O1375" s="3" t="inlineStr">
        <is>
          <t>si</t>
        </is>
      </c>
      <c r="P1375" s="3" t="inlineStr">
        <is>
          <t>no_vota</t>
        </is>
      </c>
      <c r="Q1375" s="3" t="inlineStr">
        <is>
          <t>panel_covariables</t>
        </is>
      </c>
      <c r="R1375" s="3" t="n"/>
      <c r="S1375" s="3" t="inlineStr">
        <is>
          <t>contraste regional (R6); no vota</t>
        </is>
      </c>
      <c r="T1375" s="3" t="inlineStr">
        <is>
          <t>output/v8/F5/atribucion_combinada.csv</t>
        </is>
      </c>
      <c r="U1375" s="2">
        <f>IF(R1375=0,"",F1375/R1375)</f>
        <v/>
      </c>
      <c r="V1375" s="2">
        <f>SUMIFS(F$2:F$1589,A$2:A$1589,A1375,C$2:C$1589,C1375,E$2:E$1589,E1375,Q$2:Q$1589,Q1375)</f>
        <v/>
      </c>
    </row>
    <row r="1376">
      <c r="A1376" s="3" t="inlineStr">
        <is>
          <t>alquiler</t>
        </is>
      </c>
      <c r="B1376" s="3" t="inlineStr">
        <is>
          <t>ccaa:12</t>
        </is>
      </c>
      <c r="C1376" s="3" t="inlineStr">
        <is>
          <t>P5</t>
        </is>
      </c>
      <c r="D1376" s="3" t="inlineStr">
        <is>
          <t>demanda_externa</t>
        </is>
      </c>
      <c r="E1376" s="3" t="inlineStr">
        <is>
          <t>regional_panel</t>
        </is>
      </c>
      <c r="F1376" s="3" t="n">
        <v>0.135484</v>
      </c>
      <c r="G1376" s="3" t="n"/>
      <c r="H1376" s="3" t="n"/>
      <c r="I1376" s="3" t="n">
        <v>-0.0252048</v>
      </c>
      <c r="J1376" s="3" t="n">
        <v>0.0434908</v>
      </c>
      <c r="K1376" s="3" t="n">
        <v>0.219406</v>
      </c>
      <c r="L1376" s="3" t="n">
        <v>-0.0136906</v>
      </c>
      <c r="M1376" s="3" t="n">
        <v>0.340285</v>
      </c>
      <c r="N1376" s="3" t="inlineStr">
        <is>
          <t>C4</t>
        </is>
      </c>
      <c r="O1376" s="3" t="inlineStr">
        <is>
          <t>si</t>
        </is>
      </c>
      <c r="P1376" s="3" t="inlineStr">
        <is>
          <t>no_vota</t>
        </is>
      </c>
      <c r="Q1376" s="3" t="inlineStr">
        <is>
          <t>panel_covariables</t>
        </is>
      </c>
      <c r="R1376" s="3" t="n"/>
      <c r="S1376" s="3" t="inlineStr">
        <is>
          <t>contraste regional (R6); no vota</t>
        </is>
      </c>
      <c r="T1376" s="3" t="inlineStr">
        <is>
          <t>output/v8/F5/atribucion_combinada.csv</t>
        </is>
      </c>
      <c r="U1376" s="2">
        <f>IF(R1376=0,"",F1376/R1376)</f>
        <v/>
      </c>
      <c r="V1376" s="2">
        <f>SUMIFS(F$2:F$1589,A$2:A$1589,A1376,C$2:C$1589,C1376,E$2:E$1589,E1376,Q$2:Q$1589,Q1376)</f>
        <v/>
      </c>
    </row>
    <row r="1377">
      <c r="A1377" s="3" t="inlineStr">
        <is>
          <t>alquiler</t>
        </is>
      </c>
      <c r="B1377" s="3" t="inlineStr">
        <is>
          <t>ccaa:12</t>
        </is>
      </c>
      <c r="C1377" s="3" t="inlineStr">
        <is>
          <t>P5</t>
        </is>
      </c>
      <c r="D1377" s="3" t="inlineStr">
        <is>
          <t>residuo</t>
        </is>
      </c>
      <c r="E1377" s="3" t="inlineStr">
        <is>
          <t>regional_panel</t>
        </is>
      </c>
      <c r="F1377" s="3" t="n">
        <v>-0.541393</v>
      </c>
      <c r="G1377" s="3" t="n"/>
      <c r="H1377" s="3" t="n"/>
      <c r="I1377" s="3" t="n">
        <v>0.100719</v>
      </c>
      <c r="J1377" s="3" t="n">
        <v>-1.68569</v>
      </c>
      <c r="K1377" s="3" t="n">
        <v>0.536918</v>
      </c>
      <c r="L1377" s="3" t="n">
        <v>-2.28544</v>
      </c>
      <c r="M1377" s="3" t="n">
        <v>1.41102</v>
      </c>
      <c r="N1377" s="3" t="inlineStr">
        <is>
          <t>C4</t>
        </is>
      </c>
      <c r="O1377" s="3" t="inlineStr">
        <is>
          <t>no</t>
        </is>
      </c>
      <c r="P1377" s="3" t="inlineStr">
        <is>
          <t>no_compite</t>
        </is>
      </c>
      <c r="Q1377" s="3" t="inlineStr">
        <is>
          <t>panel_covariables</t>
        </is>
      </c>
      <c r="R1377" s="3" t="n"/>
      <c r="S1377" s="3" t="inlineStr">
        <is>
          <t>contraste regional (R6); no vota</t>
        </is>
      </c>
      <c r="T1377" s="3" t="inlineStr">
        <is>
          <t>output/v8/F5/atribucion_combinada.csv</t>
        </is>
      </c>
      <c r="U1377" s="2">
        <f>IF(R1377=0,"",F1377/R1377)</f>
        <v/>
      </c>
      <c r="V1377" s="2">
        <f>SUMIFS(F$2:F$1589,A$2:A$1589,A1377,C$2:C$1589,C1377,E$2:E$1589,E1377,Q$2:Q$1589,Q1377)</f>
        <v/>
      </c>
    </row>
    <row r="1378">
      <c r="A1378" s="3" t="inlineStr">
        <is>
          <t>alquiler</t>
        </is>
      </c>
      <c r="B1378" s="3" t="inlineStr">
        <is>
          <t>ccaa:13</t>
        </is>
      </c>
      <c r="C1378" s="3" t="inlineStr">
        <is>
          <t>P5</t>
        </is>
      </c>
      <c r="D1378" s="3" t="inlineStr">
        <is>
          <t>factor_comun</t>
        </is>
      </c>
      <c r="E1378" s="3" t="inlineStr">
        <is>
          <t>regional_panel</t>
        </is>
      </c>
      <c r="F1378" s="3" t="n">
        <v>-5.47353</v>
      </c>
      <c r="G1378" s="3" t="n"/>
      <c r="H1378" s="3" t="n"/>
      <c r="I1378" s="3" t="n">
        <v>1.23449</v>
      </c>
      <c r="J1378" s="3" t="n">
        <v>-7.50057</v>
      </c>
      <c r="K1378" s="3" t="n">
        <v>-3.0519</v>
      </c>
      <c r="L1378" s="3" t="n">
        <v>-9.529260000000001</v>
      </c>
      <c r="M1378" s="3" t="n">
        <v>-2.07047</v>
      </c>
      <c r="N1378" s="3" t="inlineStr">
        <is>
          <t>C4</t>
        </is>
      </c>
      <c r="O1378" s="3" t="inlineStr">
        <is>
          <t>no</t>
        </is>
      </c>
      <c r="P1378" s="3" t="inlineStr">
        <is>
          <t>no_compite</t>
        </is>
      </c>
      <c r="Q1378" s="3" t="inlineStr">
        <is>
          <t>panel_covariables</t>
        </is>
      </c>
      <c r="R1378" s="3" t="n"/>
      <c r="S1378" s="3" t="inlineStr">
        <is>
          <t>contraste regional (R6); no vota</t>
        </is>
      </c>
      <c r="T1378" s="3" t="inlineStr">
        <is>
          <t>output/v8/F5/atribucion_combinada.csv</t>
        </is>
      </c>
      <c r="U1378" s="2">
        <f>IF(R1378=0,"",F1378/R1378)</f>
        <v/>
      </c>
      <c r="V1378" s="2">
        <f>SUMIFS(F$2:F$1589,A$2:A$1589,A1378,C$2:C$1589,C1378,E$2:E$1589,E1378,Q$2:Q$1589,Q1378)</f>
        <v/>
      </c>
    </row>
    <row r="1379">
      <c r="A1379" s="3" t="inlineStr">
        <is>
          <t>alquiler</t>
        </is>
      </c>
      <c r="B1379" s="3" t="inlineStr">
        <is>
          <t>ccaa:13</t>
        </is>
      </c>
      <c r="C1379" s="3" t="inlineStr">
        <is>
          <t>P5</t>
        </is>
      </c>
      <c r="D1379" s="3" t="inlineStr">
        <is>
          <t>empleo_renta</t>
        </is>
      </c>
      <c r="E1379" s="3" t="inlineStr">
        <is>
          <t>regional_panel</t>
        </is>
      </c>
      <c r="F1379" s="3" t="n">
        <v>-0.165782</v>
      </c>
      <c r="G1379" s="3" t="n"/>
      <c r="H1379" s="3" t="n"/>
      <c r="I1379" s="3" t="n">
        <v>0.0373903</v>
      </c>
      <c r="J1379" s="3" t="n">
        <v>-0.250554</v>
      </c>
      <c r="K1379" s="3" t="n">
        <v>-0.0939509</v>
      </c>
      <c r="L1379" s="3" t="n">
        <v>-0.310417</v>
      </c>
      <c r="M1379" s="3" t="n">
        <v>-0.0498258</v>
      </c>
      <c r="N1379" s="3" t="inlineStr">
        <is>
          <t>C4</t>
        </is>
      </c>
      <c r="O1379" s="3" t="inlineStr">
        <is>
          <t>si</t>
        </is>
      </c>
      <c r="P1379" s="3" t="inlineStr">
        <is>
          <t>no_vota</t>
        </is>
      </c>
      <c r="Q1379" s="3" t="inlineStr">
        <is>
          <t>panel_covariables</t>
        </is>
      </c>
      <c r="R1379" s="3" t="n"/>
      <c r="S1379" s="3" t="inlineStr">
        <is>
          <t>contraste regional (R6); no vota</t>
        </is>
      </c>
      <c r="T1379" s="3" t="inlineStr">
        <is>
          <t>output/v8/F5/atribucion_combinada.csv</t>
        </is>
      </c>
      <c r="U1379" s="2">
        <f>IF(R1379=0,"",F1379/R1379)</f>
        <v/>
      </c>
      <c r="V1379" s="2">
        <f>SUMIFS(F$2:F$1589,A$2:A$1589,A1379,C$2:C$1589,C1379,E$2:E$1589,E1379,Q$2:Q$1589,Q1379)</f>
        <v/>
      </c>
    </row>
    <row r="1380">
      <c r="A1380" s="3" t="inlineStr">
        <is>
          <t>alquiler</t>
        </is>
      </c>
      <c r="B1380" s="3" t="inlineStr">
        <is>
          <t>ccaa:13</t>
        </is>
      </c>
      <c r="C1380" s="3" t="inlineStr">
        <is>
          <t>P5</t>
        </is>
      </c>
      <c r="D1380" s="3" t="inlineStr">
        <is>
          <t>demografia</t>
        </is>
      </c>
      <c r="E1380" s="3" t="inlineStr">
        <is>
          <t>regional_panel</t>
        </is>
      </c>
      <c r="F1380" s="3" t="n">
        <v>0.657922</v>
      </c>
      <c r="G1380" s="3" t="n"/>
      <c r="H1380" s="3" t="n"/>
      <c r="I1380" s="3" t="n">
        <v>-0.148387</v>
      </c>
      <c r="J1380" s="3" t="n">
        <v>-0.022285</v>
      </c>
      <c r="K1380" s="3" t="n">
        <v>1.71975</v>
      </c>
      <c r="L1380" s="3" t="n">
        <v>-1.06398</v>
      </c>
      <c r="M1380" s="3" t="n">
        <v>3.00233</v>
      </c>
      <c r="N1380" s="3" t="inlineStr">
        <is>
          <t>C4</t>
        </is>
      </c>
      <c r="O1380" s="3" t="inlineStr">
        <is>
          <t>si</t>
        </is>
      </c>
      <c r="P1380" s="3" t="inlineStr">
        <is>
          <t>no_vota</t>
        </is>
      </c>
      <c r="Q1380" s="3" t="inlineStr">
        <is>
          <t>panel_covariables</t>
        </is>
      </c>
      <c r="R1380" s="3" t="n"/>
      <c r="S1380" s="3" t="inlineStr">
        <is>
          <t>contraste regional (R6); no vota</t>
        </is>
      </c>
      <c r="T1380" s="3" t="inlineStr">
        <is>
          <t>output/v8/F5/atribucion_combinada.csv</t>
        </is>
      </c>
      <c r="U1380" s="2">
        <f>IF(R1380=0,"",F1380/R1380)</f>
        <v/>
      </c>
      <c r="V1380" s="2">
        <f>SUMIFS(F$2:F$1589,A$2:A$1589,A1380,C$2:C$1589,C1380,E$2:E$1589,E1380,Q$2:Q$1589,Q1380)</f>
        <v/>
      </c>
    </row>
    <row r="1381">
      <c r="A1381" s="3" t="inlineStr">
        <is>
          <t>alquiler</t>
        </is>
      </c>
      <c r="B1381" s="3" t="inlineStr">
        <is>
          <t>ccaa:13</t>
        </is>
      </c>
      <c r="C1381" s="3" t="inlineStr">
        <is>
          <t>P5</t>
        </is>
      </c>
      <c r="D1381" s="3" t="inlineStr">
        <is>
          <t>oferta</t>
        </is>
      </c>
      <c r="E1381" s="3" t="inlineStr">
        <is>
          <t>regional_panel</t>
        </is>
      </c>
      <c r="F1381" s="3" t="n">
        <v>0.00306993</v>
      </c>
      <c r="G1381" s="3" t="n"/>
      <c r="H1381" s="3" t="n"/>
      <c r="I1381" s="3" t="n">
        <v>-0.000692389</v>
      </c>
      <c r="J1381" s="3" t="n">
        <v>-0.0117161</v>
      </c>
      <c r="K1381" s="3" t="n">
        <v>0.009799530000000001</v>
      </c>
      <c r="L1381" s="3" t="n">
        <v>-0.0245078</v>
      </c>
      <c r="M1381" s="3" t="n">
        <v>0.0220988</v>
      </c>
      <c r="N1381" s="3" t="inlineStr">
        <is>
          <t>C4</t>
        </is>
      </c>
      <c r="O1381" s="3" t="inlineStr">
        <is>
          <t>si</t>
        </is>
      </c>
      <c r="P1381" s="3" t="inlineStr">
        <is>
          <t>no_vota</t>
        </is>
      </c>
      <c r="Q1381" s="3" t="inlineStr">
        <is>
          <t>panel_covariables</t>
        </is>
      </c>
      <c r="R1381" s="3" t="n"/>
      <c r="S1381" s="3" t="inlineStr">
        <is>
          <t>contraste regional (R6); no vota</t>
        </is>
      </c>
      <c r="T1381" s="3" t="inlineStr">
        <is>
          <t>output/v8/F5/atribucion_combinada.csv</t>
        </is>
      </c>
      <c r="U1381" s="2">
        <f>IF(R1381=0,"",F1381/R1381)</f>
        <v/>
      </c>
      <c r="V1381" s="2">
        <f>SUMIFS(F$2:F$1589,A$2:A$1589,A1381,C$2:C$1589,C1381,E$2:E$1589,E1381,Q$2:Q$1589,Q1381)</f>
        <v/>
      </c>
    </row>
    <row r="1382">
      <c r="A1382" s="3" t="inlineStr">
        <is>
          <t>alquiler</t>
        </is>
      </c>
      <c r="B1382" s="3" t="inlineStr">
        <is>
          <t>ccaa:13</t>
        </is>
      </c>
      <c r="C1382" s="3" t="inlineStr">
        <is>
          <t>P5</t>
        </is>
      </c>
      <c r="D1382" s="3" t="inlineStr">
        <is>
          <t>demanda_externa</t>
        </is>
      </c>
      <c r="E1382" s="3" t="inlineStr">
        <is>
          <t>regional_panel</t>
        </is>
      </c>
      <c r="F1382" s="3" t="n">
        <v>0.0285967</v>
      </c>
      <c r="G1382" s="3" t="n"/>
      <c r="H1382" s="3" t="n"/>
      <c r="I1382" s="3" t="n">
        <v>-0.00644967</v>
      </c>
      <c r="J1382" s="3" t="n">
        <v>-0.00713876</v>
      </c>
      <c r="K1382" s="3" t="n">
        <v>0.0979039</v>
      </c>
      <c r="L1382" s="3" t="n">
        <v>-0.0275929</v>
      </c>
      <c r="M1382" s="3" t="n">
        <v>0.140124</v>
      </c>
      <c r="N1382" s="3" t="inlineStr">
        <is>
          <t>C4</t>
        </is>
      </c>
      <c r="O1382" s="3" t="inlineStr">
        <is>
          <t>si</t>
        </is>
      </c>
      <c r="P1382" s="3" t="inlineStr">
        <is>
          <t>no_vota</t>
        </is>
      </c>
      <c r="Q1382" s="3" t="inlineStr">
        <is>
          <t>panel_covariables</t>
        </is>
      </c>
      <c r="R1382" s="3" t="n"/>
      <c r="S1382" s="3" t="inlineStr">
        <is>
          <t>contraste regional (R6); no vota</t>
        </is>
      </c>
      <c r="T1382" s="3" t="inlineStr">
        <is>
          <t>output/v8/F5/atribucion_combinada.csv</t>
        </is>
      </c>
      <c r="U1382" s="2">
        <f>IF(R1382=0,"",F1382/R1382)</f>
        <v/>
      </c>
      <c r="V1382" s="2">
        <f>SUMIFS(F$2:F$1589,A$2:A$1589,A1382,C$2:C$1589,C1382,E$2:E$1589,E1382,Q$2:Q$1589,Q1382)</f>
        <v/>
      </c>
    </row>
    <row r="1383">
      <c r="A1383" s="3" t="inlineStr">
        <is>
          <t>alquiler</t>
        </is>
      </c>
      <c r="B1383" s="3" t="inlineStr">
        <is>
          <t>ccaa:13</t>
        </is>
      </c>
      <c r="C1383" s="3" t="inlineStr">
        <is>
          <t>P5</t>
        </is>
      </c>
      <c r="D1383" s="3" t="inlineStr">
        <is>
          <t>residuo</t>
        </is>
      </c>
      <c r="E1383" s="3" t="inlineStr">
        <is>
          <t>regional_panel</t>
        </is>
      </c>
      <c r="F1383" s="3" t="n">
        <v>0.515894</v>
      </c>
      <c r="G1383" s="3" t="n"/>
      <c r="H1383" s="3" t="n"/>
      <c r="I1383" s="3" t="n">
        <v>-0.116354</v>
      </c>
      <c r="J1383" s="3" t="n">
        <v>-1.00774</v>
      </c>
      <c r="K1383" s="3" t="n">
        <v>1.50007</v>
      </c>
      <c r="L1383" s="3" t="n">
        <v>-2.0103</v>
      </c>
      <c r="M1383" s="3" t="n">
        <v>2.83212</v>
      </c>
      <c r="N1383" s="3" t="inlineStr">
        <is>
          <t>C4</t>
        </is>
      </c>
      <c r="O1383" s="3" t="inlineStr">
        <is>
          <t>no</t>
        </is>
      </c>
      <c r="P1383" s="3" t="inlineStr">
        <is>
          <t>no_compite</t>
        </is>
      </c>
      <c r="Q1383" s="3" t="inlineStr">
        <is>
          <t>panel_covariables</t>
        </is>
      </c>
      <c r="R1383" s="3" t="n"/>
      <c r="S1383" s="3" t="inlineStr">
        <is>
          <t>contraste regional (R6); no vota</t>
        </is>
      </c>
      <c r="T1383" s="3" t="inlineStr">
        <is>
          <t>output/v8/F5/atribucion_combinada.csv</t>
        </is>
      </c>
      <c r="U1383" s="2">
        <f>IF(R1383=0,"",F1383/R1383)</f>
        <v/>
      </c>
      <c r="V1383" s="2">
        <f>SUMIFS(F$2:F$1589,A$2:A$1589,A1383,C$2:C$1589,C1383,E$2:E$1589,E1383,Q$2:Q$1589,Q1383)</f>
        <v/>
      </c>
    </row>
    <row r="1384">
      <c r="A1384" s="3" t="inlineStr">
        <is>
          <t>alquiler</t>
        </is>
      </c>
      <c r="B1384" s="3" t="inlineStr">
        <is>
          <t>ccaa:14</t>
        </is>
      </c>
      <c r="C1384" s="3" t="inlineStr">
        <is>
          <t>P5</t>
        </is>
      </c>
      <c r="D1384" s="3" t="inlineStr">
        <is>
          <t>factor_comun</t>
        </is>
      </c>
      <c r="E1384" s="3" t="inlineStr">
        <is>
          <t>regional_panel</t>
        </is>
      </c>
      <c r="F1384" s="3" t="n">
        <v>-5.47353</v>
      </c>
      <c r="G1384" s="3" t="n"/>
      <c r="H1384" s="3" t="n"/>
      <c r="I1384" s="3" t="n">
        <v>0.740464</v>
      </c>
      <c r="J1384" s="3" t="n">
        <v>-7.50057</v>
      </c>
      <c r="K1384" s="3" t="n">
        <v>-3.0519</v>
      </c>
      <c r="L1384" s="3" t="n">
        <v>-9.529260000000001</v>
      </c>
      <c r="M1384" s="3" t="n">
        <v>-2.07047</v>
      </c>
      <c r="N1384" s="3" t="inlineStr">
        <is>
          <t>C4</t>
        </is>
      </c>
      <c r="O1384" s="3" t="inlineStr">
        <is>
          <t>no</t>
        </is>
      </c>
      <c r="P1384" s="3" t="inlineStr">
        <is>
          <t>no_compite</t>
        </is>
      </c>
      <c r="Q1384" s="3" t="inlineStr">
        <is>
          <t>panel_covariables</t>
        </is>
      </c>
      <c r="R1384" s="3" t="n"/>
      <c r="S1384" s="3" t="inlineStr">
        <is>
          <t>contraste regional (R6); no vota</t>
        </is>
      </c>
      <c r="T1384" s="3" t="inlineStr">
        <is>
          <t>output/v8/F5/atribucion_combinada.csv</t>
        </is>
      </c>
      <c r="U1384" s="2">
        <f>IF(R1384=0,"",F1384/R1384)</f>
        <v/>
      </c>
      <c r="V1384" s="2">
        <f>SUMIFS(F$2:F$1589,A$2:A$1589,A1384,C$2:C$1589,C1384,E$2:E$1589,E1384,Q$2:Q$1589,Q1384)</f>
        <v/>
      </c>
    </row>
    <row r="1385">
      <c r="A1385" s="3" t="inlineStr">
        <is>
          <t>alquiler</t>
        </is>
      </c>
      <c r="B1385" s="3" t="inlineStr">
        <is>
          <t>ccaa:14</t>
        </is>
      </c>
      <c r="C1385" s="3" t="inlineStr">
        <is>
          <t>P5</t>
        </is>
      </c>
      <c r="D1385" s="3" t="inlineStr">
        <is>
          <t>empleo_renta</t>
        </is>
      </c>
      <c r="E1385" s="3" t="inlineStr">
        <is>
          <t>regional_panel</t>
        </is>
      </c>
      <c r="F1385" s="3" t="n">
        <v>-0.0967927</v>
      </c>
      <c r="G1385" s="3" t="n"/>
      <c r="H1385" s="3" t="n"/>
      <c r="I1385" s="3" t="n">
        <v>0.0130942</v>
      </c>
      <c r="J1385" s="3" t="n">
        <v>-0.141623</v>
      </c>
      <c r="K1385" s="3" t="n">
        <v>-0.0524772</v>
      </c>
      <c r="L1385" s="3" t="n">
        <v>-0.173686</v>
      </c>
      <c r="M1385" s="3" t="n">
        <v>-0.0231651</v>
      </c>
      <c r="N1385" s="3" t="inlineStr">
        <is>
          <t>C4</t>
        </is>
      </c>
      <c r="O1385" s="3" t="inlineStr">
        <is>
          <t>si</t>
        </is>
      </c>
      <c r="P1385" s="3" t="inlineStr">
        <is>
          <t>no_vota</t>
        </is>
      </c>
      <c r="Q1385" s="3" t="inlineStr">
        <is>
          <t>panel_covariables</t>
        </is>
      </c>
      <c r="R1385" s="3" t="n"/>
      <c r="S1385" s="3" t="inlineStr">
        <is>
          <t>contraste regional (R6); no vota</t>
        </is>
      </c>
      <c r="T1385" s="3" t="inlineStr">
        <is>
          <t>output/v8/F5/atribucion_combinada.csv</t>
        </is>
      </c>
      <c r="U1385" s="2">
        <f>IF(R1385=0,"",F1385/R1385)</f>
        <v/>
      </c>
      <c r="V1385" s="2">
        <f>SUMIFS(F$2:F$1589,A$2:A$1589,A1385,C$2:C$1589,C1385,E$2:E$1589,E1385,Q$2:Q$1589,Q1385)</f>
        <v/>
      </c>
    </row>
    <row r="1386">
      <c r="A1386" s="3" t="inlineStr">
        <is>
          <t>alquiler</t>
        </is>
      </c>
      <c r="B1386" s="3" t="inlineStr">
        <is>
          <t>ccaa:14</t>
        </is>
      </c>
      <c r="C1386" s="3" t="inlineStr">
        <is>
          <t>P5</t>
        </is>
      </c>
      <c r="D1386" s="3" t="inlineStr">
        <is>
          <t>demografia</t>
        </is>
      </c>
      <c r="E1386" s="3" t="inlineStr">
        <is>
          <t>regional_panel</t>
        </is>
      </c>
      <c r="F1386" s="3" t="n">
        <v>0.393716</v>
      </c>
      <c r="G1386" s="3" t="n"/>
      <c r="H1386" s="3" t="n"/>
      <c r="I1386" s="3" t="n">
        <v>-0.0532623</v>
      </c>
      <c r="J1386" s="3" t="n">
        <v>-0.099414</v>
      </c>
      <c r="K1386" s="3" t="n">
        <v>1.17382</v>
      </c>
      <c r="L1386" s="3" t="n">
        <v>-0.8379450000000001</v>
      </c>
      <c r="M1386" s="3" t="n">
        <v>1.7806</v>
      </c>
      <c r="N1386" s="3" t="inlineStr">
        <is>
          <t>C4</t>
        </is>
      </c>
      <c r="O1386" s="3" t="inlineStr">
        <is>
          <t>si</t>
        </is>
      </c>
      <c r="P1386" s="3" t="inlineStr">
        <is>
          <t>no_vota</t>
        </is>
      </c>
      <c r="Q1386" s="3" t="inlineStr">
        <is>
          <t>panel_covariables</t>
        </is>
      </c>
      <c r="R1386" s="3" t="n"/>
      <c r="S1386" s="3" t="inlineStr">
        <is>
          <t>contraste regional (R6); no vota</t>
        </is>
      </c>
      <c r="T1386" s="3" t="inlineStr">
        <is>
          <t>output/v8/F5/atribucion_combinada.csv</t>
        </is>
      </c>
      <c r="U1386" s="2">
        <f>IF(R1386=0,"",F1386/R1386)</f>
        <v/>
      </c>
      <c r="V1386" s="2">
        <f>SUMIFS(F$2:F$1589,A$2:A$1589,A1386,C$2:C$1589,C1386,E$2:E$1589,E1386,Q$2:Q$1589,Q1386)</f>
        <v/>
      </c>
    </row>
    <row r="1387">
      <c r="A1387" s="3" t="inlineStr">
        <is>
          <t>alquiler</t>
        </is>
      </c>
      <c r="B1387" s="3" t="inlineStr">
        <is>
          <t>ccaa:14</t>
        </is>
      </c>
      <c r="C1387" s="3" t="inlineStr">
        <is>
          <t>P5</t>
        </is>
      </c>
      <c r="D1387" s="3" t="inlineStr">
        <is>
          <t>oferta</t>
        </is>
      </c>
      <c r="E1387" s="3" t="inlineStr">
        <is>
          <t>regional_panel</t>
        </is>
      </c>
      <c r="F1387" s="3" t="n">
        <v>-0.00545356</v>
      </c>
      <c r="G1387" s="3" t="n"/>
      <c r="H1387" s="3" t="n"/>
      <c r="I1387" s="3" t="n">
        <v>0.000737762</v>
      </c>
      <c r="J1387" s="3" t="n">
        <v>-0.026197</v>
      </c>
      <c r="K1387" s="3" t="n">
        <v>0.00556385</v>
      </c>
      <c r="L1387" s="3" t="n">
        <v>-0.0540179</v>
      </c>
      <c r="M1387" s="3" t="n">
        <v>0.0158716</v>
      </c>
      <c r="N1387" s="3" t="inlineStr">
        <is>
          <t>C4</t>
        </is>
      </c>
      <c r="O1387" s="3" t="inlineStr">
        <is>
          <t>si</t>
        </is>
      </c>
      <c r="P1387" s="3" t="inlineStr">
        <is>
          <t>no_vota</t>
        </is>
      </c>
      <c r="Q1387" s="3" t="inlineStr">
        <is>
          <t>panel_covariables</t>
        </is>
      </c>
      <c r="R1387" s="3" t="n"/>
      <c r="S1387" s="3" t="inlineStr">
        <is>
          <t>contraste regional (R6); no vota</t>
        </is>
      </c>
      <c r="T1387" s="3" t="inlineStr">
        <is>
          <t>output/v8/F5/atribucion_combinada.csv</t>
        </is>
      </c>
      <c r="U1387" s="2">
        <f>IF(R1387=0,"",F1387/R1387)</f>
        <v/>
      </c>
      <c r="V1387" s="2">
        <f>SUMIFS(F$2:F$1589,A$2:A$1589,A1387,C$2:C$1589,C1387,E$2:E$1589,E1387,Q$2:Q$1589,Q1387)</f>
        <v/>
      </c>
    </row>
    <row r="1388">
      <c r="A1388" s="3" t="inlineStr">
        <is>
          <t>alquiler</t>
        </is>
      </c>
      <c r="B1388" s="3" t="inlineStr">
        <is>
          <t>ccaa:14</t>
        </is>
      </c>
      <c r="C1388" s="3" t="inlineStr">
        <is>
          <t>P5</t>
        </is>
      </c>
      <c r="D1388" s="3" t="inlineStr">
        <is>
          <t>demanda_externa</t>
        </is>
      </c>
      <c r="E1388" s="3" t="inlineStr">
        <is>
          <t>regional_panel</t>
        </is>
      </c>
      <c r="F1388" s="3" t="n">
        <v>0.0204386</v>
      </c>
      <c r="G1388" s="3" t="n"/>
      <c r="H1388" s="3" t="n"/>
      <c r="I1388" s="3" t="n">
        <v>-0.00276496</v>
      </c>
      <c r="J1388" s="3" t="n">
        <v>-0.00390684</v>
      </c>
      <c r="K1388" s="3" t="n">
        <v>0.0624803</v>
      </c>
      <c r="L1388" s="3" t="n">
        <v>-0.0178582</v>
      </c>
      <c r="M1388" s="3" t="n">
        <v>0.106457</v>
      </c>
      <c r="N1388" s="3" t="inlineStr">
        <is>
          <t>C4</t>
        </is>
      </c>
      <c r="O1388" s="3" t="inlineStr">
        <is>
          <t>si</t>
        </is>
      </c>
      <c r="P1388" s="3" t="inlineStr">
        <is>
          <t>no_vota</t>
        </is>
      </c>
      <c r="Q1388" s="3" t="inlineStr">
        <is>
          <t>panel_covariables</t>
        </is>
      </c>
      <c r="R1388" s="3" t="n"/>
      <c r="S1388" s="3" t="inlineStr">
        <is>
          <t>contraste regional (R6); no vota</t>
        </is>
      </c>
      <c r="T1388" s="3" t="inlineStr">
        <is>
          <t>output/v8/F5/atribucion_combinada.csv</t>
        </is>
      </c>
      <c r="U1388" s="2">
        <f>IF(R1388=0,"",F1388/R1388)</f>
        <v/>
      </c>
      <c r="V1388" s="2">
        <f>SUMIFS(F$2:F$1589,A$2:A$1589,A1388,C$2:C$1589,C1388,E$2:E$1589,E1388,Q$2:Q$1589,Q1388)</f>
        <v/>
      </c>
    </row>
    <row r="1389">
      <c r="A1389" s="3" t="inlineStr">
        <is>
          <t>alquiler</t>
        </is>
      </c>
      <c r="B1389" s="3" t="inlineStr">
        <is>
          <t>ccaa:14</t>
        </is>
      </c>
      <c r="C1389" s="3" t="inlineStr">
        <is>
          <t>P5</t>
        </is>
      </c>
      <c r="D1389" s="3" t="inlineStr">
        <is>
          <t>residuo</t>
        </is>
      </c>
      <c r="E1389" s="3" t="inlineStr">
        <is>
          <t>regional_panel</t>
        </is>
      </c>
      <c r="F1389" s="3" t="n">
        <v>-2.2304</v>
      </c>
      <c r="G1389" s="3" t="n"/>
      <c r="H1389" s="3" t="n"/>
      <c r="I1389" s="3" t="n">
        <v>0.301731</v>
      </c>
      <c r="J1389" s="3" t="n">
        <v>-3.47818</v>
      </c>
      <c r="K1389" s="3" t="n">
        <v>-1.411</v>
      </c>
      <c r="L1389" s="3" t="n">
        <v>-3.92158</v>
      </c>
      <c r="M1389" s="3" t="n">
        <v>-0.286157</v>
      </c>
      <c r="N1389" s="3" t="inlineStr">
        <is>
          <t>C4</t>
        </is>
      </c>
      <c r="O1389" s="3" t="inlineStr">
        <is>
          <t>no</t>
        </is>
      </c>
      <c r="P1389" s="3" t="inlineStr">
        <is>
          <t>no_compite</t>
        </is>
      </c>
      <c r="Q1389" s="3" t="inlineStr">
        <is>
          <t>panel_covariables</t>
        </is>
      </c>
      <c r="R1389" s="3" t="n"/>
      <c r="S1389" s="3" t="inlineStr">
        <is>
          <t>contraste regional (R6); no vota</t>
        </is>
      </c>
      <c r="T1389" s="3" t="inlineStr">
        <is>
          <t>output/v8/F5/atribucion_combinada.csv</t>
        </is>
      </c>
      <c r="U1389" s="2">
        <f>IF(R1389=0,"",F1389/R1389)</f>
        <v/>
      </c>
      <c r="V1389" s="2">
        <f>SUMIFS(F$2:F$1589,A$2:A$1589,A1389,C$2:C$1589,C1389,E$2:E$1589,E1389,Q$2:Q$1589,Q1389)</f>
        <v/>
      </c>
    </row>
    <row r="1390">
      <c r="A1390" s="3" t="inlineStr">
        <is>
          <t>alquiler</t>
        </is>
      </c>
      <c r="B1390" s="3" t="inlineStr">
        <is>
          <t>ccaa:15</t>
        </is>
      </c>
      <c r="C1390" s="3" t="inlineStr">
        <is>
          <t>P5</t>
        </is>
      </c>
      <c r="D1390" s="3" t="inlineStr">
        <is>
          <t>factor_comun</t>
        </is>
      </c>
      <c r="E1390" s="3" t="inlineStr">
        <is>
          <t>regional_panel</t>
        </is>
      </c>
      <c r="F1390" s="3" t="n">
        <v>-5.47353</v>
      </c>
      <c r="G1390" s="3" t="n"/>
      <c r="H1390" s="3" t="n"/>
      <c r="I1390" s="3" t="n">
        <v>0.917291</v>
      </c>
      <c r="J1390" s="3" t="n">
        <v>-7.50057</v>
      </c>
      <c r="K1390" s="3" t="n">
        <v>-3.0519</v>
      </c>
      <c r="L1390" s="3" t="n">
        <v>-9.529260000000001</v>
      </c>
      <c r="M1390" s="3" t="n">
        <v>-2.07047</v>
      </c>
      <c r="N1390" s="3" t="inlineStr">
        <is>
          <t>C4</t>
        </is>
      </c>
      <c r="O1390" s="3" t="inlineStr">
        <is>
          <t>no</t>
        </is>
      </c>
      <c r="P1390" s="3" t="inlineStr">
        <is>
          <t>no_compite</t>
        </is>
      </c>
      <c r="Q1390" s="3" t="inlineStr">
        <is>
          <t>panel_covariables</t>
        </is>
      </c>
      <c r="R1390" s="3" t="n"/>
      <c r="S1390" s="3" t="inlineStr">
        <is>
          <t>contraste regional (R6); no vota</t>
        </is>
      </c>
      <c r="T1390" s="3" t="inlineStr">
        <is>
          <t>output/v8/F5/atribucion_combinada.csv</t>
        </is>
      </c>
      <c r="U1390" s="2">
        <f>IF(R1390=0,"",F1390/R1390)</f>
        <v/>
      </c>
      <c r="V1390" s="2">
        <f>SUMIFS(F$2:F$1589,A$2:A$1589,A1390,C$2:C$1589,C1390,E$2:E$1589,E1390,Q$2:Q$1589,Q1390)</f>
        <v/>
      </c>
    </row>
    <row r="1391">
      <c r="A1391" s="3" t="inlineStr">
        <is>
          <t>alquiler</t>
        </is>
      </c>
      <c r="B1391" s="3" t="inlineStr">
        <is>
          <t>ccaa:15</t>
        </is>
      </c>
      <c r="C1391" s="3" t="inlineStr">
        <is>
          <t>P5</t>
        </is>
      </c>
      <c r="D1391" s="3" t="inlineStr">
        <is>
          <t>empleo_renta</t>
        </is>
      </c>
      <c r="E1391" s="3" t="inlineStr">
        <is>
          <t>regional_panel</t>
        </is>
      </c>
      <c r="F1391" s="3" t="n">
        <v>-0.133964</v>
      </c>
      <c r="G1391" s="3" t="n"/>
      <c r="H1391" s="3" t="n"/>
      <c r="I1391" s="3" t="n">
        <v>0.0224506</v>
      </c>
      <c r="J1391" s="3" t="n">
        <v>-0.18512</v>
      </c>
      <c r="K1391" s="3" t="n">
        <v>-0.076944</v>
      </c>
      <c r="L1391" s="3" t="n">
        <v>-0.254357</v>
      </c>
      <c r="M1391" s="3" t="n">
        <v>-0.0415663</v>
      </c>
      <c r="N1391" s="3" t="inlineStr">
        <is>
          <t>C4</t>
        </is>
      </c>
      <c r="O1391" s="3" t="inlineStr">
        <is>
          <t>si</t>
        </is>
      </c>
      <c r="P1391" s="3" t="inlineStr">
        <is>
          <t>no_vota</t>
        </is>
      </c>
      <c r="Q1391" s="3" t="inlineStr">
        <is>
          <t>panel_covariables</t>
        </is>
      </c>
      <c r="R1391" s="3" t="n"/>
      <c r="S1391" s="3" t="inlineStr">
        <is>
          <t>contraste regional (R6); no vota</t>
        </is>
      </c>
      <c r="T1391" s="3" t="inlineStr">
        <is>
          <t>output/v8/F5/atribucion_combinada.csv</t>
        </is>
      </c>
      <c r="U1391" s="2">
        <f>IF(R1391=0,"",F1391/R1391)</f>
        <v/>
      </c>
      <c r="V1391" s="2">
        <f>SUMIFS(F$2:F$1589,A$2:A$1589,A1391,C$2:C$1589,C1391,E$2:E$1589,E1391,Q$2:Q$1589,Q1391)</f>
        <v/>
      </c>
    </row>
    <row r="1392">
      <c r="A1392" s="3" t="inlineStr">
        <is>
          <t>alquiler</t>
        </is>
      </c>
      <c r="B1392" s="3" t="inlineStr">
        <is>
          <t>ccaa:15</t>
        </is>
      </c>
      <c r="C1392" s="3" t="inlineStr">
        <is>
          <t>P5</t>
        </is>
      </c>
      <c r="D1392" s="3" t="inlineStr">
        <is>
          <t>demografia</t>
        </is>
      </c>
      <c r="E1392" s="3" t="inlineStr">
        <is>
          <t>regional_panel</t>
        </is>
      </c>
      <c r="F1392" s="3" t="n">
        <v>0.472403</v>
      </c>
      <c r="G1392" s="3" t="n"/>
      <c r="H1392" s="3" t="n"/>
      <c r="I1392" s="3" t="n">
        <v>-0.0791684</v>
      </c>
      <c r="J1392" s="3" t="n">
        <v>0.0824681</v>
      </c>
      <c r="K1392" s="3" t="n">
        <v>1.02307</v>
      </c>
      <c r="L1392" s="3" t="n">
        <v>-0.339609</v>
      </c>
      <c r="M1392" s="3" t="n">
        <v>1.70613</v>
      </c>
      <c r="N1392" s="3" t="inlineStr">
        <is>
          <t>C4</t>
        </is>
      </c>
      <c r="O1392" s="3" t="inlineStr">
        <is>
          <t>si</t>
        </is>
      </c>
      <c r="P1392" s="3" t="inlineStr">
        <is>
          <t>no_vota</t>
        </is>
      </c>
      <c r="Q1392" s="3" t="inlineStr">
        <is>
          <t>panel_covariables</t>
        </is>
      </c>
      <c r="R1392" s="3" t="n"/>
      <c r="S1392" s="3" t="inlineStr">
        <is>
          <t>contraste regional (R6); no vota</t>
        </is>
      </c>
      <c r="T1392" s="3" t="inlineStr">
        <is>
          <t>output/v8/F5/atribucion_combinada.csv</t>
        </is>
      </c>
      <c r="U1392" s="2">
        <f>IF(R1392=0,"",F1392/R1392)</f>
        <v/>
      </c>
      <c r="V1392" s="2">
        <f>SUMIFS(F$2:F$1589,A$2:A$1589,A1392,C$2:C$1589,C1392,E$2:E$1589,E1392,Q$2:Q$1589,Q1392)</f>
        <v/>
      </c>
    </row>
    <row r="1393">
      <c r="A1393" s="3" t="inlineStr">
        <is>
          <t>alquiler</t>
        </is>
      </c>
      <c r="B1393" s="3" t="inlineStr">
        <is>
          <t>ccaa:15</t>
        </is>
      </c>
      <c r="C1393" s="3" t="inlineStr">
        <is>
          <t>P5</t>
        </is>
      </c>
      <c r="D1393" s="3" t="inlineStr">
        <is>
          <t>oferta</t>
        </is>
      </c>
      <c r="E1393" s="3" t="inlineStr">
        <is>
          <t>regional_panel</t>
        </is>
      </c>
      <c r="F1393" s="3" t="n">
        <v>-0.0048241</v>
      </c>
      <c r="G1393" s="3" t="n"/>
      <c r="H1393" s="3" t="n"/>
      <c r="I1393" s="3" t="n">
        <v>0.000808455</v>
      </c>
      <c r="J1393" s="3" t="n">
        <v>-0.0292078</v>
      </c>
      <c r="K1393" s="3" t="n">
        <v>0.0275538</v>
      </c>
      <c r="L1393" s="3" t="n">
        <v>-0.06808889999999999</v>
      </c>
      <c r="M1393" s="3" t="n">
        <v>0.0780863</v>
      </c>
      <c r="N1393" s="3" t="inlineStr">
        <is>
          <t>C4</t>
        </is>
      </c>
      <c r="O1393" s="3" t="inlineStr">
        <is>
          <t>si</t>
        </is>
      </c>
      <c r="P1393" s="3" t="inlineStr">
        <is>
          <t>no_vota</t>
        </is>
      </c>
      <c r="Q1393" s="3" t="inlineStr">
        <is>
          <t>panel_covariables</t>
        </is>
      </c>
      <c r="R1393" s="3" t="n"/>
      <c r="S1393" s="3" t="inlineStr">
        <is>
          <t>contraste regional (R6); no vota</t>
        </is>
      </c>
      <c r="T1393" s="3" t="inlineStr">
        <is>
          <t>output/v8/F5/atribucion_combinada.csv</t>
        </is>
      </c>
      <c r="U1393" s="2">
        <f>IF(R1393=0,"",F1393/R1393)</f>
        <v/>
      </c>
      <c r="V1393" s="2">
        <f>SUMIFS(F$2:F$1589,A$2:A$1589,A1393,C$2:C$1589,C1393,E$2:E$1589,E1393,Q$2:Q$1589,Q1393)</f>
        <v/>
      </c>
    </row>
    <row r="1394">
      <c r="A1394" s="3" t="inlineStr">
        <is>
          <t>alquiler</t>
        </is>
      </c>
      <c r="B1394" s="3" t="inlineStr">
        <is>
          <t>ccaa:15</t>
        </is>
      </c>
      <c r="C1394" s="3" t="inlineStr">
        <is>
          <t>P5</t>
        </is>
      </c>
      <c r="D1394" s="3" t="inlineStr">
        <is>
          <t>demanda_externa</t>
        </is>
      </c>
      <c r="E1394" s="3" t="inlineStr">
        <is>
          <t>regional_panel</t>
        </is>
      </c>
      <c r="F1394" s="3" t="n">
        <v>-0.0435609</v>
      </c>
      <c r="G1394" s="3" t="n"/>
      <c r="H1394" s="3" t="n"/>
      <c r="I1394" s="3" t="n">
        <v>0.00730023</v>
      </c>
      <c r="J1394" s="3" t="n">
        <v>-0.0978079</v>
      </c>
      <c r="K1394" s="3" t="n">
        <v>0.00316462</v>
      </c>
      <c r="L1394" s="3" t="n">
        <v>-0.151482</v>
      </c>
      <c r="M1394" s="3" t="n">
        <v>0.0204664</v>
      </c>
      <c r="N1394" s="3" t="inlineStr">
        <is>
          <t>C4</t>
        </is>
      </c>
      <c r="O1394" s="3" t="inlineStr">
        <is>
          <t>si</t>
        </is>
      </c>
      <c r="P1394" s="3" t="inlineStr">
        <is>
          <t>no_vota</t>
        </is>
      </c>
      <c r="Q1394" s="3" t="inlineStr">
        <is>
          <t>panel_covariables</t>
        </is>
      </c>
      <c r="R1394" s="3" t="n"/>
      <c r="S1394" s="3" t="inlineStr">
        <is>
          <t>contraste regional (R6); no vota</t>
        </is>
      </c>
      <c r="T1394" s="3" t="inlineStr">
        <is>
          <t>output/v8/F5/atribucion_combinada.csv</t>
        </is>
      </c>
      <c r="U1394" s="2">
        <f>IF(R1394=0,"",F1394/R1394)</f>
        <v/>
      </c>
      <c r="V1394" s="2">
        <f>SUMIFS(F$2:F$1589,A$2:A$1589,A1394,C$2:C$1589,C1394,E$2:E$1589,E1394,Q$2:Q$1589,Q1394)</f>
        <v/>
      </c>
    </row>
    <row r="1395">
      <c r="A1395" s="3" t="inlineStr">
        <is>
          <t>alquiler</t>
        </is>
      </c>
      <c r="B1395" s="3" t="inlineStr">
        <is>
          <t>ccaa:15</t>
        </is>
      </c>
      <c r="C1395" s="3" t="inlineStr">
        <is>
          <t>P5</t>
        </is>
      </c>
      <c r="D1395" s="3" t="inlineStr">
        <is>
          <t>residuo</t>
        </is>
      </c>
      <c r="E1395" s="3" t="inlineStr">
        <is>
          <t>regional_panel</t>
        </is>
      </c>
      <c r="F1395" s="3" t="n">
        <v>-0.783582</v>
      </c>
      <c r="G1395" s="3" t="n"/>
      <c r="H1395" s="3" t="n"/>
      <c r="I1395" s="3" t="n">
        <v>0.131318</v>
      </c>
      <c r="J1395" s="3" t="n">
        <v>-1.38673</v>
      </c>
      <c r="K1395" s="3" t="n">
        <v>-0.180087</v>
      </c>
      <c r="L1395" s="3" t="n">
        <v>-2.14828</v>
      </c>
      <c r="M1395" s="3" t="n">
        <v>0.190221</v>
      </c>
      <c r="N1395" s="3" t="inlineStr">
        <is>
          <t>C4</t>
        </is>
      </c>
      <c r="O1395" s="3" t="inlineStr">
        <is>
          <t>no</t>
        </is>
      </c>
      <c r="P1395" s="3" t="inlineStr">
        <is>
          <t>no_compite</t>
        </is>
      </c>
      <c r="Q1395" s="3" t="inlineStr">
        <is>
          <t>panel_covariables</t>
        </is>
      </c>
      <c r="R1395" s="3" t="n"/>
      <c r="S1395" s="3" t="inlineStr">
        <is>
          <t>contraste regional (R6); no vota</t>
        </is>
      </c>
      <c r="T1395" s="3" t="inlineStr">
        <is>
          <t>output/v8/F5/atribucion_combinada.csv</t>
        </is>
      </c>
      <c r="U1395" s="2">
        <f>IF(R1395=0,"",F1395/R1395)</f>
        <v/>
      </c>
      <c r="V1395" s="2">
        <f>SUMIFS(F$2:F$1589,A$2:A$1589,A1395,C$2:C$1589,C1395,E$2:E$1589,E1395,Q$2:Q$1589,Q1395)</f>
        <v/>
      </c>
    </row>
    <row r="1396">
      <c r="A1396" s="3" t="inlineStr">
        <is>
          <t>alquiler</t>
        </is>
      </c>
      <c r="B1396" s="3" t="inlineStr">
        <is>
          <t>ccaa:16</t>
        </is>
      </c>
      <c r="C1396" s="3" t="inlineStr">
        <is>
          <t>P5</t>
        </is>
      </c>
      <c r="D1396" s="3" t="inlineStr">
        <is>
          <t>factor_comun</t>
        </is>
      </c>
      <c r="E1396" s="3" t="inlineStr">
        <is>
          <t>regional_panel</t>
        </is>
      </c>
      <c r="F1396" s="3" t="n">
        <v>-5.47353</v>
      </c>
      <c r="G1396" s="3" t="n"/>
      <c r="H1396" s="3" t="n"/>
      <c r="I1396" s="3" t="n">
        <v>0.910879</v>
      </c>
      <c r="J1396" s="3" t="n">
        <v>-7.50057</v>
      </c>
      <c r="K1396" s="3" t="n">
        <v>-3.0519</v>
      </c>
      <c r="L1396" s="3" t="n">
        <v>-9.529260000000001</v>
      </c>
      <c r="M1396" s="3" t="n">
        <v>-2.07047</v>
      </c>
      <c r="N1396" s="3" t="inlineStr">
        <is>
          <t>C4</t>
        </is>
      </c>
      <c r="O1396" s="3" t="inlineStr">
        <is>
          <t>no</t>
        </is>
      </c>
      <c r="P1396" s="3" t="inlineStr">
        <is>
          <t>no_compite</t>
        </is>
      </c>
      <c r="Q1396" s="3" t="inlineStr">
        <is>
          <t>panel_covariables</t>
        </is>
      </c>
      <c r="R1396" s="3" t="n"/>
      <c r="S1396" s="3" t="inlineStr">
        <is>
          <t>contraste regional (R6); no vota</t>
        </is>
      </c>
      <c r="T1396" s="3" t="inlineStr">
        <is>
          <t>output/v8/F5/atribucion_combinada.csv</t>
        </is>
      </c>
      <c r="U1396" s="2">
        <f>IF(R1396=0,"",F1396/R1396)</f>
        <v/>
      </c>
      <c r="V1396" s="2">
        <f>SUMIFS(F$2:F$1589,A$2:A$1589,A1396,C$2:C$1589,C1396,E$2:E$1589,E1396,Q$2:Q$1589,Q1396)</f>
        <v/>
      </c>
    </row>
    <row r="1397">
      <c r="A1397" s="3" t="inlineStr">
        <is>
          <t>alquiler</t>
        </is>
      </c>
      <c r="B1397" s="3" t="inlineStr">
        <is>
          <t>ccaa:16</t>
        </is>
      </c>
      <c r="C1397" s="3" t="inlineStr">
        <is>
          <t>P5</t>
        </is>
      </c>
      <c r="D1397" s="3" t="inlineStr">
        <is>
          <t>empleo_renta</t>
        </is>
      </c>
      <c r="E1397" s="3" t="inlineStr">
        <is>
          <t>regional_panel</t>
        </is>
      </c>
      <c r="F1397" s="3" t="n">
        <v>-0.0375788</v>
      </c>
      <c r="G1397" s="3" t="n"/>
      <c r="H1397" s="3" t="n"/>
      <c r="I1397" s="3" t="n">
        <v>0.00625369</v>
      </c>
      <c r="J1397" s="3" t="n">
        <v>-0.104218</v>
      </c>
      <c r="K1397" s="3" t="n">
        <v>0.0168406</v>
      </c>
      <c r="L1397" s="3" t="n">
        <v>-0.165577</v>
      </c>
      <c r="M1397" s="3" t="n">
        <v>0.0818941</v>
      </c>
      <c r="N1397" s="3" t="inlineStr">
        <is>
          <t>C4</t>
        </is>
      </c>
      <c r="O1397" s="3" t="inlineStr">
        <is>
          <t>si</t>
        </is>
      </c>
      <c r="P1397" s="3" t="inlineStr">
        <is>
          <t>no_vota</t>
        </is>
      </c>
      <c r="Q1397" s="3" t="inlineStr">
        <is>
          <t>panel_covariables</t>
        </is>
      </c>
      <c r="R1397" s="3" t="n"/>
      <c r="S1397" s="3" t="inlineStr">
        <is>
          <t>contraste regional (R6); no vota</t>
        </is>
      </c>
      <c r="T1397" s="3" t="inlineStr">
        <is>
          <t>output/v8/F5/atribucion_combinada.csv</t>
        </is>
      </c>
      <c r="U1397" s="2">
        <f>IF(R1397=0,"",F1397/R1397)</f>
        <v/>
      </c>
      <c r="V1397" s="2">
        <f>SUMIFS(F$2:F$1589,A$2:A$1589,A1397,C$2:C$1589,C1397,E$2:E$1589,E1397,Q$2:Q$1589,Q1397)</f>
        <v/>
      </c>
    </row>
    <row r="1398">
      <c r="A1398" s="3" t="inlineStr">
        <is>
          <t>alquiler</t>
        </is>
      </c>
      <c r="B1398" s="3" t="inlineStr">
        <is>
          <t>ccaa:16</t>
        </is>
      </c>
      <c r="C1398" s="3" t="inlineStr">
        <is>
          <t>P5</t>
        </is>
      </c>
      <c r="D1398" s="3" t="inlineStr">
        <is>
          <t>demografia</t>
        </is>
      </c>
      <c r="E1398" s="3" t="inlineStr">
        <is>
          <t>regional_panel</t>
        </is>
      </c>
      <c r="F1398" s="3" t="n">
        <v>0.410295</v>
      </c>
      <c r="G1398" s="3" t="n"/>
      <c r="H1398" s="3" t="n"/>
      <c r="I1398" s="3" t="n">
        <v>-0.0682793</v>
      </c>
      <c r="J1398" s="3" t="n">
        <v>-0.0596082</v>
      </c>
      <c r="K1398" s="3" t="n">
        <v>0.909206</v>
      </c>
      <c r="L1398" s="3" t="n">
        <v>-0.423315</v>
      </c>
      <c r="M1398" s="3" t="n">
        <v>1.32113</v>
      </c>
      <c r="N1398" s="3" t="inlineStr">
        <is>
          <t>C4</t>
        </is>
      </c>
      <c r="O1398" s="3" t="inlineStr">
        <is>
          <t>si</t>
        </is>
      </c>
      <c r="P1398" s="3" t="inlineStr">
        <is>
          <t>no_vota</t>
        </is>
      </c>
      <c r="Q1398" s="3" t="inlineStr">
        <is>
          <t>panel_covariables</t>
        </is>
      </c>
      <c r="R1398" s="3" t="n"/>
      <c r="S1398" s="3" t="inlineStr">
        <is>
          <t>contraste regional (R6); no vota</t>
        </is>
      </c>
      <c r="T1398" s="3" t="inlineStr">
        <is>
          <t>output/v8/F5/atribucion_combinada.csv</t>
        </is>
      </c>
      <c r="U1398" s="2">
        <f>IF(R1398=0,"",F1398/R1398)</f>
        <v/>
      </c>
      <c r="V1398" s="2">
        <f>SUMIFS(F$2:F$1589,A$2:A$1589,A1398,C$2:C$1589,C1398,E$2:E$1589,E1398,Q$2:Q$1589,Q1398)</f>
        <v/>
      </c>
    </row>
    <row r="1399">
      <c r="A1399" s="3" t="inlineStr">
        <is>
          <t>alquiler</t>
        </is>
      </c>
      <c r="B1399" s="3" t="inlineStr">
        <is>
          <t>ccaa:16</t>
        </is>
      </c>
      <c r="C1399" s="3" t="inlineStr">
        <is>
          <t>P5</t>
        </is>
      </c>
      <c r="D1399" s="3" t="inlineStr">
        <is>
          <t>oferta</t>
        </is>
      </c>
      <c r="E1399" s="3" t="inlineStr">
        <is>
          <t>regional_panel</t>
        </is>
      </c>
      <c r="F1399" s="3" t="n">
        <v>-0.0145182</v>
      </c>
      <c r="G1399" s="3" t="n"/>
      <c r="H1399" s="3" t="n"/>
      <c r="I1399" s="3" t="n">
        <v>0.00241605</v>
      </c>
      <c r="J1399" s="3" t="n">
        <v>-0.0302788</v>
      </c>
      <c r="K1399" s="3" t="n">
        <v>0.0104089</v>
      </c>
      <c r="L1399" s="3" t="n">
        <v>-0.0498928</v>
      </c>
      <c r="M1399" s="3" t="n">
        <v>0.0289893</v>
      </c>
      <c r="N1399" s="3" t="inlineStr">
        <is>
          <t>C4</t>
        </is>
      </c>
      <c r="O1399" s="3" t="inlineStr">
        <is>
          <t>si</t>
        </is>
      </c>
      <c r="P1399" s="3" t="inlineStr">
        <is>
          <t>no_vota</t>
        </is>
      </c>
      <c r="Q1399" s="3" t="inlineStr">
        <is>
          <t>panel_covariables</t>
        </is>
      </c>
      <c r="R1399" s="3" t="n"/>
      <c r="S1399" s="3" t="inlineStr">
        <is>
          <t>contraste regional (R6); no vota</t>
        </is>
      </c>
      <c r="T1399" s="3" t="inlineStr">
        <is>
          <t>output/v8/F5/atribucion_combinada.csv</t>
        </is>
      </c>
      <c r="U1399" s="2">
        <f>IF(R1399=0,"",F1399/R1399)</f>
        <v/>
      </c>
      <c r="V1399" s="2">
        <f>SUMIFS(F$2:F$1589,A$2:A$1589,A1399,C$2:C$1589,C1399,E$2:E$1589,E1399,Q$2:Q$1589,Q1399)</f>
        <v/>
      </c>
    </row>
    <row r="1400">
      <c r="A1400" s="3" t="inlineStr">
        <is>
          <t>alquiler</t>
        </is>
      </c>
      <c r="B1400" s="3" t="inlineStr">
        <is>
          <t>ccaa:16</t>
        </is>
      </c>
      <c r="C1400" s="3" t="inlineStr">
        <is>
          <t>P5</t>
        </is>
      </c>
      <c r="D1400" s="3" t="inlineStr">
        <is>
          <t>demanda_externa</t>
        </is>
      </c>
      <c r="E1400" s="3" t="inlineStr">
        <is>
          <t>regional_panel</t>
        </is>
      </c>
      <c r="F1400" s="3" t="n">
        <v>0.0486356</v>
      </c>
      <c r="G1400" s="3" t="n"/>
      <c r="H1400" s="3" t="n"/>
      <c r="I1400" s="3" t="n">
        <v>-0.008093700000000001</v>
      </c>
      <c r="J1400" s="3" t="n">
        <v>-0.0049378</v>
      </c>
      <c r="K1400" s="3" t="n">
        <v>0.134779</v>
      </c>
      <c r="L1400" s="3" t="n">
        <v>-0.0276826</v>
      </c>
      <c r="M1400" s="3" t="n">
        <v>0.200837</v>
      </c>
      <c r="N1400" s="3" t="inlineStr">
        <is>
          <t>C4</t>
        </is>
      </c>
      <c r="O1400" s="3" t="inlineStr">
        <is>
          <t>si</t>
        </is>
      </c>
      <c r="P1400" s="3" t="inlineStr">
        <is>
          <t>no_vota</t>
        </is>
      </c>
      <c r="Q1400" s="3" t="inlineStr">
        <is>
          <t>panel_covariables</t>
        </is>
      </c>
      <c r="R1400" s="3" t="n"/>
      <c r="S1400" s="3" t="inlineStr">
        <is>
          <t>contraste regional (R6); no vota</t>
        </is>
      </c>
      <c r="T1400" s="3" t="inlineStr">
        <is>
          <t>output/v8/F5/atribucion_combinada.csv</t>
        </is>
      </c>
      <c r="U1400" s="2">
        <f>IF(R1400=0,"",F1400/R1400)</f>
        <v/>
      </c>
      <c r="V1400" s="2">
        <f>SUMIFS(F$2:F$1589,A$2:A$1589,A1400,C$2:C$1589,C1400,E$2:E$1589,E1400,Q$2:Q$1589,Q1400)</f>
        <v/>
      </c>
    </row>
    <row r="1401">
      <c r="A1401" s="3" t="inlineStr">
        <is>
          <t>alquiler</t>
        </is>
      </c>
      <c r="B1401" s="3" t="inlineStr">
        <is>
          <t>ccaa:16</t>
        </is>
      </c>
      <c r="C1401" s="3" t="inlineStr">
        <is>
          <t>P5</t>
        </is>
      </c>
      <c r="D1401" s="3" t="inlineStr">
        <is>
          <t>residuo</t>
        </is>
      </c>
      <c r="E1401" s="3" t="inlineStr">
        <is>
          <t>regional_panel</t>
        </is>
      </c>
      <c r="F1401" s="3" t="n">
        <v>-0.942364</v>
      </c>
      <c r="G1401" s="3" t="n"/>
      <c r="H1401" s="3" t="n"/>
      <c r="I1401" s="3" t="n">
        <v>0.156824</v>
      </c>
      <c r="J1401" s="3" t="n">
        <v>-1.51388</v>
      </c>
      <c r="K1401" s="3" t="n">
        <v>-0.448647</v>
      </c>
      <c r="L1401" s="3" t="n">
        <v>-1.89046</v>
      </c>
      <c r="M1401" s="3" t="n">
        <v>-0.163547</v>
      </c>
      <c r="N1401" s="3" t="inlineStr">
        <is>
          <t>C4</t>
        </is>
      </c>
      <c r="O1401" s="3" t="inlineStr">
        <is>
          <t>no</t>
        </is>
      </c>
      <c r="P1401" s="3" t="inlineStr">
        <is>
          <t>no_compite</t>
        </is>
      </c>
      <c r="Q1401" s="3" t="inlineStr">
        <is>
          <t>panel_covariables</t>
        </is>
      </c>
      <c r="R1401" s="3" t="n"/>
      <c r="S1401" s="3" t="inlineStr">
        <is>
          <t>contraste regional (R6); no vota</t>
        </is>
      </c>
      <c r="T1401" s="3" t="inlineStr">
        <is>
          <t>output/v8/F5/atribucion_combinada.csv</t>
        </is>
      </c>
      <c r="U1401" s="2">
        <f>IF(R1401=0,"",F1401/R1401)</f>
        <v/>
      </c>
      <c r="V1401" s="2">
        <f>SUMIFS(F$2:F$1589,A$2:A$1589,A1401,C$2:C$1589,C1401,E$2:E$1589,E1401,Q$2:Q$1589,Q1401)</f>
        <v/>
      </c>
    </row>
    <row r="1402">
      <c r="A1402" s="3" t="inlineStr">
        <is>
          <t>alquiler</t>
        </is>
      </c>
      <c r="B1402" s="3" t="inlineStr">
        <is>
          <t>ccaa:17</t>
        </is>
      </c>
      <c r="C1402" s="3" t="inlineStr">
        <is>
          <t>P5</t>
        </is>
      </c>
      <c r="D1402" s="3" t="inlineStr">
        <is>
          <t>factor_comun</t>
        </is>
      </c>
      <c r="E1402" s="3" t="inlineStr">
        <is>
          <t>regional_panel</t>
        </is>
      </c>
      <c r="F1402" s="3" t="n">
        <v>-5.47353</v>
      </c>
      <c r="G1402" s="3" t="n"/>
      <c r="H1402" s="3" t="n"/>
      <c r="I1402" s="3" t="n">
        <v>0.940427</v>
      </c>
      <c r="J1402" s="3" t="n">
        <v>-7.50057</v>
      </c>
      <c r="K1402" s="3" t="n">
        <v>-3.0519</v>
      </c>
      <c r="L1402" s="3" t="n">
        <v>-9.529260000000001</v>
      </c>
      <c r="M1402" s="3" t="n">
        <v>-2.07047</v>
      </c>
      <c r="N1402" s="3" t="inlineStr">
        <is>
          <t>C4</t>
        </is>
      </c>
      <c r="O1402" s="3" t="inlineStr">
        <is>
          <t>no</t>
        </is>
      </c>
      <c r="P1402" s="3" t="inlineStr">
        <is>
          <t>no_compite</t>
        </is>
      </c>
      <c r="Q1402" s="3" t="inlineStr">
        <is>
          <t>panel_covariables</t>
        </is>
      </c>
      <c r="R1402" s="3" t="n"/>
      <c r="S1402" s="3" t="inlineStr">
        <is>
          <t>contraste regional (R6); no vota</t>
        </is>
      </c>
      <c r="T1402" s="3" t="inlineStr">
        <is>
          <t>output/v8/F5/atribucion_combinada.csv</t>
        </is>
      </c>
      <c r="U1402" s="2">
        <f>IF(R1402=0,"",F1402/R1402)</f>
        <v/>
      </c>
      <c r="V1402" s="2">
        <f>SUMIFS(F$2:F$1589,A$2:A$1589,A1402,C$2:C$1589,C1402,E$2:E$1589,E1402,Q$2:Q$1589,Q1402)</f>
        <v/>
      </c>
    </row>
    <row r="1403">
      <c r="A1403" s="3" t="inlineStr">
        <is>
          <t>alquiler</t>
        </is>
      </c>
      <c r="B1403" s="3" t="inlineStr">
        <is>
          <t>ccaa:17</t>
        </is>
      </c>
      <c r="C1403" s="3" t="inlineStr">
        <is>
          <t>P5</t>
        </is>
      </c>
      <c r="D1403" s="3" t="inlineStr">
        <is>
          <t>empleo_renta</t>
        </is>
      </c>
      <c r="E1403" s="3" t="inlineStr">
        <is>
          <t>regional_panel</t>
        </is>
      </c>
      <c r="F1403" s="3" t="n">
        <v>-0.0323703</v>
      </c>
      <c r="G1403" s="3" t="n"/>
      <c r="H1403" s="3" t="n"/>
      <c r="I1403" s="3" t="n">
        <v>0.00556166</v>
      </c>
      <c r="J1403" s="3" t="n">
        <v>-0.121363</v>
      </c>
      <c r="K1403" s="3" t="n">
        <v>0.000127476</v>
      </c>
      <c r="L1403" s="3" t="n">
        <v>-0.263171</v>
      </c>
      <c r="M1403" s="3" t="n">
        <v>0.0189176</v>
      </c>
      <c r="N1403" s="3" t="inlineStr">
        <is>
          <t>C4</t>
        </is>
      </c>
      <c r="O1403" s="3" t="inlineStr">
        <is>
          <t>si</t>
        </is>
      </c>
      <c r="P1403" s="3" t="inlineStr">
        <is>
          <t>no_vota</t>
        </is>
      </c>
      <c r="Q1403" s="3" t="inlineStr">
        <is>
          <t>panel_covariables</t>
        </is>
      </c>
      <c r="R1403" s="3" t="n"/>
      <c r="S1403" s="3" t="inlineStr">
        <is>
          <t>contraste regional (R6); no vota</t>
        </is>
      </c>
      <c r="T1403" s="3" t="inlineStr">
        <is>
          <t>output/v8/F5/atribucion_combinada.csv</t>
        </is>
      </c>
      <c r="U1403" s="2">
        <f>IF(R1403=0,"",F1403/R1403)</f>
        <v/>
      </c>
      <c r="V1403" s="2">
        <f>SUMIFS(F$2:F$1589,A$2:A$1589,A1403,C$2:C$1589,C1403,E$2:E$1589,E1403,Q$2:Q$1589,Q1403)</f>
        <v/>
      </c>
    </row>
    <row r="1404">
      <c r="A1404" s="3" t="inlineStr">
        <is>
          <t>alquiler</t>
        </is>
      </c>
      <c r="B1404" s="3" t="inlineStr">
        <is>
          <t>ccaa:17</t>
        </is>
      </c>
      <c r="C1404" s="3" t="inlineStr">
        <is>
          <t>P5</t>
        </is>
      </c>
      <c r="D1404" s="3" t="inlineStr">
        <is>
          <t>demografia</t>
        </is>
      </c>
      <c r="E1404" s="3" t="inlineStr">
        <is>
          <t>regional_panel</t>
        </is>
      </c>
      <c r="F1404" s="3" t="n">
        <v>0.360397</v>
      </c>
      <c r="G1404" s="3" t="n"/>
      <c r="H1404" s="3" t="n"/>
      <c r="I1404" s="3" t="n">
        <v>-0.061921</v>
      </c>
      <c r="J1404" s="3" t="n">
        <v>0.040025</v>
      </c>
      <c r="K1404" s="3" t="n">
        <v>0.75685</v>
      </c>
      <c r="L1404" s="3" t="n">
        <v>-0.24686</v>
      </c>
      <c r="M1404" s="3" t="n">
        <v>1.24914</v>
      </c>
      <c r="N1404" s="3" t="inlineStr">
        <is>
          <t>C4</t>
        </is>
      </c>
      <c r="O1404" s="3" t="inlineStr">
        <is>
          <t>si</t>
        </is>
      </c>
      <c r="P1404" s="3" t="inlineStr">
        <is>
          <t>no_vota</t>
        </is>
      </c>
      <c r="Q1404" s="3" t="inlineStr">
        <is>
          <t>panel_covariables</t>
        </is>
      </c>
      <c r="R1404" s="3" t="n"/>
      <c r="S1404" s="3" t="inlineStr">
        <is>
          <t>contraste regional (R6); no vota</t>
        </is>
      </c>
      <c r="T1404" s="3" t="inlineStr">
        <is>
          <t>output/v8/F5/atribucion_combinada.csv</t>
        </is>
      </c>
      <c r="U1404" s="2">
        <f>IF(R1404=0,"",F1404/R1404)</f>
        <v/>
      </c>
      <c r="V1404" s="2">
        <f>SUMIFS(F$2:F$1589,A$2:A$1589,A1404,C$2:C$1589,C1404,E$2:E$1589,E1404,Q$2:Q$1589,Q1404)</f>
        <v/>
      </c>
    </row>
    <row r="1405">
      <c r="A1405" s="3" t="inlineStr">
        <is>
          <t>alquiler</t>
        </is>
      </c>
      <c r="B1405" s="3" t="inlineStr">
        <is>
          <t>ccaa:17</t>
        </is>
      </c>
      <c r="C1405" s="3" t="inlineStr">
        <is>
          <t>P5</t>
        </is>
      </c>
      <c r="D1405" s="3" t="inlineStr">
        <is>
          <t>oferta</t>
        </is>
      </c>
      <c r="E1405" s="3" t="inlineStr">
        <is>
          <t>regional_panel</t>
        </is>
      </c>
      <c r="F1405" s="3" t="n">
        <v>0.00207942</v>
      </c>
      <c r="G1405" s="3" t="n"/>
      <c r="H1405" s="3" t="n"/>
      <c r="I1405" s="3" t="n">
        <v>-0.000357272</v>
      </c>
      <c r="J1405" s="3" t="n">
        <v>-0.014687</v>
      </c>
      <c r="K1405" s="3" t="n">
        <v>0.0266126</v>
      </c>
      <c r="L1405" s="3" t="n">
        <v>-0.0368105</v>
      </c>
      <c r="M1405" s="3" t="n">
        <v>0.0596259</v>
      </c>
      <c r="N1405" s="3" t="inlineStr">
        <is>
          <t>C4</t>
        </is>
      </c>
      <c r="O1405" s="3" t="inlineStr">
        <is>
          <t>si</t>
        </is>
      </c>
      <c r="P1405" s="3" t="inlineStr">
        <is>
          <t>no_vota</t>
        </is>
      </c>
      <c r="Q1405" s="3" t="inlineStr">
        <is>
          <t>panel_covariables</t>
        </is>
      </c>
      <c r="R1405" s="3" t="n"/>
      <c r="S1405" s="3" t="inlineStr">
        <is>
          <t>contraste regional (R6); no vota</t>
        </is>
      </c>
      <c r="T1405" s="3" t="inlineStr">
        <is>
          <t>output/v8/F5/atribucion_combinada.csv</t>
        </is>
      </c>
      <c r="U1405" s="2">
        <f>IF(R1405=0,"",F1405/R1405)</f>
        <v/>
      </c>
      <c r="V1405" s="2">
        <f>SUMIFS(F$2:F$1589,A$2:A$1589,A1405,C$2:C$1589,C1405,E$2:E$1589,E1405,Q$2:Q$1589,Q1405)</f>
        <v/>
      </c>
    </row>
    <row r="1406">
      <c r="A1406" s="3" t="inlineStr">
        <is>
          <t>alquiler</t>
        </is>
      </c>
      <c r="B1406" s="3" t="inlineStr">
        <is>
          <t>ccaa:17</t>
        </is>
      </c>
      <c r="C1406" s="3" t="inlineStr">
        <is>
          <t>P5</t>
        </is>
      </c>
      <c r="D1406" s="3" t="inlineStr">
        <is>
          <t>demanda_externa</t>
        </is>
      </c>
      <c r="E1406" s="3" t="inlineStr">
        <is>
          <t>regional_panel</t>
        </is>
      </c>
      <c r="F1406" s="3" t="n">
        <v>0.0383274</v>
      </c>
      <c r="G1406" s="3" t="n"/>
      <c r="H1406" s="3" t="n"/>
      <c r="I1406" s="3" t="n">
        <v>-0.00658516</v>
      </c>
      <c r="J1406" s="3" t="n">
        <v>0.0032239</v>
      </c>
      <c r="K1406" s="3" t="n">
        <v>0.07876900000000001</v>
      </c>
      <c r="L1406" s="3" t="n">
        <v>-0.00540336</v>
      </c>
      <c r="M1406" s="3" t="n">
        <v>0.120504</v>
      </c>
      <c r="N1406" s="3" t="inlineStr">
        <is>
          <t>C4</t>
        </is>
      </c>
      <c r="O1406" s="3" t="inlineStr">
        <is>
          <t>si</t>
        </is>
      </c>
      <c r="P1406" s="3" t="inlineStr">
        <is>
          <t>no_vota</t>
        </is>
      </c>
      <c r="Q1406" s="3" t="inlineStr">
        <is>
          <t>panel_covariables</t>
        </is>
      </c>
      <c r="R1406" s="3" t="n"/>
      <c r="S1406" s="3" t="inlineStr">
        <is>
          <t>contraste regional (R6); no vota</t>
        </is>
      </c>
      <c r="T1406" s="3" t="inlineStr">
        <is>
          <t>output/v8/F5/atribucion_combinada.csv</t>
        </is>
      </c>
      <c r="U1406" s="2">
        <f>IF(R1406=0,"",F1406/R1406)</f>
        <v/>
      </c>
      <c r="V1406" s="2">
        <f>SUMIFS(F$2:F$1589,A$2:A$1589,A1406,C$2:C$1589,C1406,E$2:E$1589,E1406,Q$2:Q$1589,Q1406)</f>
        <v/>
      </c>
    </row>
    <row r="1407">
      <c r="A1407" s="3" t="inlineStr">
        <is>
          <t>alquiler</t>
        </is>
      </c>
      <c r="B1407" s="3" t="inlineStr">
        <is>
          <t>ccaa:17</t>
        </is>
      </c>
      <c r="C1407" s="3" t="inlineStr">
        <is>
          <t>P5</t>
        </is>
      </c>
      <c r="D1407" s="3" t="inlineStr">
        <is>
          <t>residuo</t>
        </is>
      </c>
      <c r="E1407" s="3" t="inlineStr">
        <is>
          <t>regional_panel</t>
        </is>
      </c>
      <c r="F1407" s="3" t="n">
        <v>-0.715166</v>
      </c>
      <c r="G1407" s="3" t="n"/>
      <c r="H1407" s="3" t="n"/>
      <c r="I1407" s="3" t="n">
        <v>0.122875</v>
      </c>
      <c r="J1407" s="3" t="n">
        <v>-1.3155</v>
      </c>
      <c r="K1407" s="3" t="n">
        <v>-0.08929819999999999</v>
      </c>
      <c r="L1407" s="3" t="n">
        <v>-1.85164</v>
      </c>
      <c r="M1407" s="3" t="n">
        <v>0.457651</v>
      </c>
      <c r="N1407" s="3" t="inlineStr">
        <is>
          <t>C4</t>
        </is>
      </c>
      <c r="O1407" s="3" t="inlineStr">
        <is>
          <t>no</t>
        </is>
      </c>
      <c r="P1407" s="3" t="inlineStr">
        <is>
          <t>no_compite</t>
        </is>
      </c>
      <c r="Q1407" s="3" t="inlineStr">
        <is>
          <t>panel_covariables</t>
        </is>
      </c>
      <c r="R1407" s="3" t="n"/>
      <c r="S1407" s="3" t="inlineStr">
        <is>
          <t>contraste regional (R6); no vota</t>
        </is>
      </c>
      <c r="T1407" s="3" t="inlineStr">
        <is>
          <t>output/v8/F5/atribucion_combinada.csv</t>
        </is>
      </c>
      <c r="U1407" s="2">
        <f>IF(R1407=0,"",F1407/R1407)</f>
        <v/>
      </c>
      <c r="V1407" s="2">
        <f>SUMIFS(F$2:F$1589,A$2:A$1589,A1407,C$2:C$1589,C1407,E$2:E$1589,E1407,Q$2:Q$1589,Q1407)</f>
        <v/>
      </c>
    </row>
    <row r="1408">
      <c r="A1408" s="3" t="inlineStr">
        <is>
          <t>compra</t>
        </is>
      </c>
      <c r="B1408" s="3" t="inlineStr">
        <is>
          <t>cv_prov:03</t>
        </is>
      </c>
      <c r="C1408" s="3" t="inlineStr">
        <is>
          <t>P1</t>
        </is>
      </c>
      <c r="D1408" s="3" t="inlineStr">
        <is>
          <t>factor_comun</t>
        </is>
      </c>
      <c r="E1408" s="3" t="inlineStr">
        <is>
          <t>contabilidad</t>
        </is>
      </c>
      <c r="F1408" s="3" t="n">
        <v>80.9421</v>
      </c>
      <c r="G1408" s="3" t="n"/>
      <c r="H1408" s="3" t="n"/>
      <c r="I1408" s="3" t="n">
        <v>0.852832</v>
      </c>
      <c r="J1408" s="3" t="n">
        <v>61.4336</v>
      </c>
      <c r="K1408" s="3" t="n">
        <v>98.10509999999999</v>
      </c>
      <c r="L1408" s="3" t="n">
        <v>53.646</v>
      </c>
      <c r="M1408" s="3" t="n">
        <v>117.609</v>
      </c>
      <c r="N1408" s="3" t="inlineStr">
        <is>
          <t>C4</t>
        </is>
      </c>
      <c r="O1408" s="3" t="inlineStr">
        <is>
          <t>no</t>
        </is>
      </c>
      <c r="P1408" s="3" t="inlineStr">
        <is>
          <t>no_compite</t>
        </is>
      </c>
      <c r="Q1408" s="3" t="inlineStr">
        <is>
          <t>ols_factor_nacional</t>
        </is>
      </c>
      <c r="R1408" s="3" t="n"/>
      <c r="S1408" s="3" t="inlineStr">
        <is>
          <t>contraste regional (R6); no vota</t>
        </is>
      </c>
      <c r="T1408" s="3" t="inlineStr">
        <is>
          <t>output/v8/F5/atribucion_combinada.csv</t>
        </is>
      </c>
      <c r="U1408" s="2">
        <f>IF(R1408=0,"",F1408/R1408)</f>
        <v/>
      </c>
      <c r="V1408" s="2">
        <f>SUMIFS(F$2:F$1589,A$2:A$1589,A1408,C$2:C$1589,C1408,E$2:E$1589,E1408,Q$2:Q$1589,Q1408)</f>
        <v/>
      </c>
    </row>
    <row r="1409">
      <c r="A1409" s="3" t="inlineStr">
        <is>
          <t>compra</t>
        </is>
      </c>
      <c r="B1409" s="3" t="inlineStr">
        <is>
          <t>cv_prov:03</t>
        </is>
      </c>
      <c r="C1409" s="3" t="inlineStr">
        <is>
          <t>P1</t>
        </is>
      </c>
      <c r="D1409" s="3" t="inlineStr">
        <is>
          <t>residuo</t>
        </is>
      </c>
      <c r="E1409" s="3" t="inlineStr">
        <is>
          <t>contabilidad</t>
        </is>
      </c>
      <c r="F1409" s="3" t="n">
        <v>13.9677</v>
      </c>
      <c r="G1409" s="3" t="n"/>
      <c r="H1409" s="3" t="n"/>
      <c r="I1409" s="3" t="n">
        <v>0.147168</v>
      </c>
      <c r="J1409" s="3" t="n"/>
      <c r="K1409" s="3" t="n"/>
      <c r="L1409" s="3" t="n"/>
      <c r="M1409" s="3" t="n"/>
      <c r="N1409" s="3" t="inlineStr">
        <is>
          <t>C4</t>
        </is>
      </c>
      <c r="O1409" s="3" t="inlineStr">
        <is>
          <t>no</t>
        </is>
      </c>
      <c r="P1409" s="3" t="inlineStr">
        <is>
          <t>no_compite</t>
        </is>
      </c>
      <c r="Q1409" s="3" t="inlineStr">
        <is>
          <t>ols_factor_nacional</t>
        </is>
      </c>
      <c r="R1409" s="3" t="n"/>
      <c r="S1409" s="3" t="inlineStr">
        <is>
          <t>contraste regional (R6); no vota</t>
        </is>
      </c>
      <c r="T1409" s="3" t="inlineStr">
        <is>
          <t>output/v8/F5/atribucion_combinada.csv</t>
        </is>
      </c>
      <c r="U1409" s="2">
        <f>IF(R1409=0,"",F1409/R1409)</f>
        <v/>
      </c>
      <c r="V1409" s="2">
        <f>SUMIFS(F$2:F$1589,A$2:A$1589,A1409,C$2:C$1589,C1409,E$2:E$1589,E1409,Q$2:Q$1589,Q1409)</f>
        <v/>
      </c>
    </row>
    <row r="1410">
      <c r="A1410" s="3" t="inlineStr">
        <is>
          <t>compra</t>
        </is>
      </c>
      <c r="B1410" s="3" t="inlineStr">
        <is>
          <t>cv_prov:03</t>
        </is>
      </c>
      <c r="C1410" s="3" t="inlineStr">
        <is>
          <t>P2</t>
        </is>
      </c>
      <c r="D1410" s="3" t="inlineStr">
        <is>
          <t>factor_comun</t>
        </is>
      </c>
      <c r="E1410" s="3" t="inlineStr">
        <is>
          <t>contabilidad</t>
        </is>
      </c>
      <c r="F1410" s="3" t="n">
        <v>-26.1861</v>
      </c>
      <c r="G1410" s="3" t="n"/>
      <c r="H1410" s="3" t="n"/>
      <c r="I1410" s="3" t="n">
        <v>0.562392</v>
      </c>
      <c r="J1410" s="3" t="n">
        <v>-43.3364</v>
      </c>
      <c r="K1410" s="3" t="n">
        <v>-11.0616</v>
      </c>
      <c r="L1410" s="3" t="n">
        <v>-57.0626</v>
      </c>
      <c r="M1410" s="3" t="n">
        <v>-1.39432</v>
      </c>
      <c r="N1410" s="3" t="inlineStr">
        <is>
          <t>C4</t>
        </is>
      </c>
      <c r="O1410" s="3" t="inlineStr">
        <is>
          <t>no</t>
        </is>
      </c>
      <c r="P1410" s="3" t="inlineStr">
        <is>
          <t>no_compite</t>
        </is>
      </c>
      <c r="Q1410" s="3" t="inlineStr">
        <is>
          <t>ols_factor_nacional</t>
        </is>
      </c>
      <c r="R1410" s="3" t="n"/>
      <c r="S1410" s="3" t="inlineStr">
        <is>
          <t>contraste regional (R6); no vota</t>
        </is>
      </c>
      <c r="T1410" s="3" t="inlineStr">
        <is>
          <t>output/v8/F5/atribucion_combinada.csv</t>
        </is>
      </c>
      <c r="U1410" s="2">
        <f>IF(R1410=0,"",F1410/R1410)</f>
        <v/>
      </c>
      <c r="V1410" s="2">
        <f>SUMIFS(F$2:F$1589,A$2:A$1589,A1410,C$2:C$1589,C1410,E$2:E$1589,E1410,Q$2:Q$1589,Q1410)</f>
        <v/>
      </c>
    </row>
    <row r="1411">
      <c r="A1411" s="3" t="inlineStr">
        <is>
          <t>compra</t>
        </is>
      </c>
      <c r="B1411" s="3" t="inlineStr">
        <is>
          <t>cv_prov:03</t>
        </is>
      </c>
      <c r="C1411" s="3" t="inlineStr">
        <is>
          <t>P2</t>
        </is>
      </c>
      <c r="D1411" s="3" t="inlineStr">
        <is>
          <t>residuo</t>
        </is>
      </c>
      <c r="E1411" s="3" t="inlineStr">
        <is>
          <t>contabilidad</t>
        </is>
      </c>
      <c r="F1411" s="3" t="n">
        <v>-20.3759</v>
      </c>
      <c r="G1411" s="3" t="n"/>
      <c r="H1411" s="3" t="n"/>
      <c r="I1411" s="3" t="n">
        <v>0.437608</v>
      </c>
      <c r="J1411" s="3" t="n"/>
      <c r="K1411" s="3" t="n"/>
      <c r="L1411" s="3" t="n"/>
      <c r="M1411" s="3" t="n"/>
      <c r="N1411" s="3" t="inlineStr">
        <is>
          <t>C4</t>
        </is>
      </c>
      <c r="O1411" s="3" t="inlineStr">
        <is>
          <t>no</t>
        </is>
      </c>
      <c r="P1411" s="3" t="inlineStr">
        <is>
          <t>no_compite</t>
        </is>
      </c>
      <c r="Q1411" s="3" t="inlineStr">
        <is>
          <t>ols_factor_nacional</t>
        </is>
      </c>
      <c r="R1411" s="3" t="n"/>
      <c r="S1411" s="3" t="inlineStr">
        <is>
          <t>contraste regional (R6); no vota</t>
        </is>
      </c>
      <c r="T1411" s="3" t="inlineStr">
        <is>
          <t>output/v8/F5/atribucion_combinada.csv</t>
        </is>
      </c>
      <c r="U1411" s="2">
        <f>IF(R1411=0,"",F1411/R1411)</f>
        <v/>
      </c>
      <c r="V1411" s="2">
        <f>SUMIFS(F$2:F$1589,A$2:A$1589,A1411,C$2:C$1589,C1411,E$2:E$1589,E1411,Q$2:Q$1589,Q1411)</f>
        <v/>
      </c>
    </row>
    <row r="1412">
      <c r="A1412" s="3" t="inlineStr">
        <is>
          <t>compra</t>
        </is>
      </c>
      <c r="B1412" s="3" t="inlineStr">
        <is>
          <t>cv_prov:03</t>
        </is>
      </c>
      <c r="C1412" s="3" t="inlineStr">
        <is>
          <t>P3</t>
        </is>
      </c>
      <c r="D1412" s="3" t="inlineStr">
        <is>
          <t>factor_comun</t>
        </is>
      </c>
      <c r="E1412" s="3" t="inlineStr">
        <is>
          <t>contabilidad</t>
        </is>
      </c>
      <c r="F1412" s="3" t="n">
        <v>-0.279076</v>
      </c>
      <c r="G1412" s="3" t="n"/>
      <c r="H1412" s="3" t="n"/>
      <c r="I1412" s="3" t="n">
        <v>-0.0662561</v>
      </c>
      <c r="J1412" s="3" t="n">
        <v>-1.75766</v>
      </c>
      <c r="K1412" s="3" t="n">
        <v>1.87119</v>
      </c>
      <c r="L1412" s="3" t="n">
        <v>-2.64986</v>
      </c>
      <c r="M1412" s="3" t="n">
        <v>3.12101</v>
      </c>
      <c r="N1412" s="3" t="inlineStr">
        <is>
          <t>C4</t>
        </is>
      </c>
      <c r="O1412" s="3" t="inlineStr">
        <is>
          <t>no</t>
        </is>
      </c>
      <c r="P1412" s="3" t="inlineStr">
        <is>
          <t>no_compite</t>
        </is>
      </c>
      <c r="Q1412" s="3" t="inlineStr">
        <is>
          <t>ols_factor_nacional</t>
        </is>
      </c>
      <c r="R1412" s="3" t="n"/>
      <c r="S1412" s="3" t="inlineStr">
        <is>
          <t>contraste regional (R6); no vota</t>
        </is>
      </c>
      <c r="T1412" s="3" t="inlineStr">
        <is>
          <t>output/v8/F5/atribucion_combinada.csv</t>
        </is>
      </c>
      <c r="U1412" s="2">
        <f>IF(R1412=0,"",F1412/R1412)</f>
        <v/>
      </c>
      <c r="V1412" s="2">
        <f>SUMIFS(F$2:F$1589,A$2:A$1589,A1412,C$2:C$1589,C1412,E$2:E$1589,E1412,Q$2:Q$1589,Q1412)</f>
        <v/>
      </c>
    </row>
    <row r="1413">
      <c r="A1413" s="3" t="inlineStr">
        <is>
          <t>compra</t>
        </is>
      </c>
      <c r="B1413" s="3" t="inlineStr">
        <is>
          <t>cv_prov:03</t>
        </is>
      </c>
      <c r="C1413" s="3" t="inlineStr">
        <is>
          <t>P3</t>
        </is>
      </c>
      <c r="D1413" s="3" t="inlineStr">
        <is>
          <t>residuo</t>
        </is>
      </c>
      <c r="E1413" s="3" t="inlineStr">
        <is>
          <t>contabilidad</t>
        </is>
      </c>
      <c r="F1413" s="3" t="n">
        <v>4.49116</v>
      </c>
      <c r="G1413" s="3" t="n"/>
      <c r="H1413" s="3" t="n"/>
      <c r="I1413" s="3" t="n">
        <v>1.06626</v>
      </c>
      <c r="J1413" s="3" t="n"/>
      <c r="K1413" s="3" t="n"/>
      <c r="L1413" s="3" t="n"/>
      <c r="M1413" s="3" t="n"/>
      <c r="N1413" s="3" t="inlineStr">
        <is>
          <t>C4</t>
        </is>
      </c>
      <c r="O1413" s="3" t="inlineStr">
        <is>
          <t>no</t>
        </is>
      </c>
      <c r="P1413" s="3" t="inlineStr">
        <is>
          <t>no_compite</t>
        </is>
      </c>
      <c r="Q1413" s="3" t="inlineStr">
        <is>
          <t>ols_factor_nacional</t>
        </is>
      </c>
      <c r="R1413" s="3" t="n"/>
      <c r="S1413" s="3" t="inlineStr">
        <is>
          <t>contraste regional (R6); no vota</t>
        </is>
      </c>
      <c r="T1413" s="3" t="inlineStr">
        <is>
          <t>output/v8/F5/atribucion_combinada.csv</t>
        </is>
      </c>
      <c r="U1413" s="2">
        <f>IF(R1413=0,"",F1413/R1413)</f>
        <v/>
      </c>
      <c r="V1413" s="2">
        <f>SUMIFS(F$2:F$1589,A$2:A$1589,A1413,C$2:C$1589,C1413,E$2:E$1589,E1413,Q$2:Q$1589,Q1413)</f>
        <v/>
      </c>
    </row>
    <row r="1414">
      <c r="A1414" s="3" t="inlineStr">
        <is>
          <t>compra</t>
        </is>
      </c>
      <c r="B1414" s="3" t="inlineStr">
        <is>
          <t>cv_prov:03</t>
        </is>
      </c>
      <c r="C1414" s="3" t="inlineStr">
        <is>
          <t>P4</t>
        </is>
      </c>
      <c r="D1414" s="3" t="inlineStr">
        <is>
          <t>factor_comun</t>
        </is>
      </c>
      <c r="E1414" s="3" t="inlineStr">
        <is>
          <t>contabilidad</t>
        </is>
      </c>
      <c r="F1414" s="3" t="n">
        <v>-1.63847</v>
      </c>
      <c r="G1414" s="3" t="n"/>
      <c r="H1414" s="3" t="n"/>
      <c r="I1414" s="3" t="n">
        <v>1.47253</v>
      </c>
      <c r="J1414" s="3" t="n">
        <v>-3.03906</v>
      </c>
      <c r="K1414" s="3" t="n">
        <v>-0.294285</v>
      </c>
      <c r="L1414" s="3" t="n">
        <v>-4.17554</v>
      </c>
      <c r="M1414" s="3" t="n">
        <v>0.472345</v>
      </c>
      <c r="N1414" s="3" t="inlineStr">
        <is>
          <t>C4</t>
        </is>
      </c>
      <c r="O1414" s="3" t="inlineStr">
        <is>
          <t>no</t>
        </is>
      </c>
      <c r="P1414" s="3" t="inlineStr">
        <is>
          <t>no_compite</t>
        </is>
      </c>
      <c r="Q1414" s="3" t="inlineStr">
        <is>
          <t>ols_factor_nacional</t>
        </is>
      </c>
      <c r="R1414" s="3" t="n"/>
      <c r="S1414" s="3" t="inlineStr">
        <is>
          <t>contraste regional (R6); no vota</t>
        </is>
      </c>
      <c r="T1414" s="3" t="inlineStr">
        <is>
          <t>output/v8/F5/atribucion_combinada.csv</t>
        </is>
      </c>
      <c r="U1414" s="2">
        <f>IF(R1414=0,"",F1414/R1414)</f>
        <v/>
      </c>
      <c r="V1414" s="2">
        <f>SUMIFS(F$2:F$1589,A$2:A$1589,A1414,C$2:C$1589,C1414,E$2:E$1589,E1414,Q$2:Q$1589,Q1414)</f>
        <v/>
      </c>
    </row>
    <row r="1415">
      <c r="A1415" s="3" t="inlineStr">
        <is>
          <t>compra</t>
        </is>
      </c>
      <c r="B1415" s="3" t="inlineStr">
        <is>
          <t>cv_prov:03</t>
        </is>
      </c>
      <c r="C1415" s="3" t="inlineStr">
        <is>
          <t>P4</t>
        </is>
      </c>
      <c r="D1415" s="3" t="inlineStr">
        <is>
          <t>residuo</t>
        </is>
      </c>
      <c r="E1415" s="3" t="inlineStr">
        <is>
          <t>contabilidad</t>
        </is>
      </c>
      <c r="F1415" s="3" t="n">
        <v>0.52578</v>
      </c>
      <c r="G1415" s="3" t="n"/>
      <c r="H1415" s="3" t="n"/>
      <c r="I1415" s="3" t="n">
        <v>-0.47253</v>
      </c>
      <c r="J1415" s="3" t="n"/>
      <c r="K1415" s="3" t="n"/>
      <c r="L1415" s="3" t="n"/>
      <c r="M1415" s="3" t="n"/>
      <c r="N1415" s="3" t="inlineStr">
        <is>
          <t>C4</t>
        </is>
      </c>
      <c r="O1415" s="3" t="inlineStr">
        <is>
          <t>no</t>
        </is>
      </c>
      <c r="P1415" s="3" t="inlineStr">
        <is>
          <t>no_compite</t>
        </is>
      </c>
      <c r="Q1415" s="3" t="inlineStr">
        <is>
          <t>ols_factor_nacional</t>
        </is>
      </c>
      <c r="R1415" s="3" t="n"/>
      <c r="S1415" s="3" t="inlineStr">
        <is>
          <t>contraste regional (R6); no vota</t>
        </is>
      </c>
      <c r="T1415" s="3" t="inlineStr">
        <is>
          <t>output/v8/F5/atribucion_combinada.csv</t>
        </is>
      </c>
      <c r="U1415" s="2">
        <f>IF(R1415=0,"",F1415/R1415)</f>
        <v/>
      </c>
      <c r="V1415" s="2">
        <f>SUMIFS(F$2:F$1589,A$2:A$1589,A1415,C$2:C$1589,C1415,E$2:E$1589,E1415,Q$2:Q$1589,Q1415)</f>
        <v/>
      </c>
    </row>
    <row r="1416">
      <c r="A1416" s="3" t="inlineStr">
        <is>
          <t>compra</t>
        </is>
      </c>
      <c r="B1416" s="3" t="inlineStr">
        <is>
          <t>cv_prov:03</t>
        </is>
      </c>
      <c r="C1416" s="3" t="inlineStr">
        <is>
          <t>P5</t>
        </is>
      </c>
      <c r="D1416" s="3" t="inlineStr">
        <is>
          <t>factor_comun</t>
        </is>
      </c>
      <c r="E1416" s="3" t="inlineStr">
        <is>
          <t>contabilidad</t>
        </is>
      </c>
      <c r="F1416" s="3" t="n">
        <v>11.2428</v>
      </c>
      <c r="G1416" s="3" t="n"/>
      <c r="H1416" s="3" t="n"/>
      <c r="I1416" s="3" t="n">
        <v>0.667504</v>
      </c>
      <c r="J1416" s="3" t="n">
        <v>4.58459</v>
      </c>
      <c r="K1416" s="3" t="n">
        <v>16.8005</v>
      </c>
      <c r="L1416" s="3" t="n">
        <v>-0.112037</v>
      </c>
      <c r="M1416" s="3" t="n">
        <v>21.1722</v>
      </c>
      <c r="N1416" s="3" t="inlineStr">
        <is>
          <t>C4</t>
        </is>
      </c>
      <c r="O1416" s="3" t="inlineStr">
        <is>
          <t>no</t>
        </is>
      </c>
      <c r="P1416" s="3" t="inlineStr">
        <is>
          <t>no_compite</t>
        </is>
      </c>
      <c r="Q1416" s="3" t="inlineStr">
        <is>
          <t>ols_factor_nacional</t>
        </is>
      </c>
      <c r="R1416" s="3" t="n"/>
      <c r="S1416" s="3" t="inlineStr">
        <is>
          <t>contraste regional (R6); no vota</t>
        </is>
      </c>
      <c r="T1416" s="3" t="inlineStr">
        <is>
          <t>output/v8/F5/atribucion_combinada.csv</t>
        </is>
      </c>
      <c r="U1416" s="2">
        <f>IF(R1416=0,"",F1416/R1416)</f>
        <v/>
      </c>
      <c r="V1416" s="2">
        <f>SUMIFS(F$2:F$1589,A$2:A$1589,A1416,C$2:C$1589,C1416,E$2:E$1589,E1416,Q$2:Q$1589,Q1416)</f>
        <v/>
      </c>
    </row>
    <row r="1417">
      <c r="A1417" s="3" t="inlineStr">
        <is>
          <t>compra</t>
        </is>
      </c>
      <c r="B1417" s="3" t="inlineStr">
        <is>
          <t>cv_prov:03</t>
        </is>
      </c>
      <c r="C1417" s="3" t="inlineStr">
        <is>
          <t>P5</t>
        </is>
      </c>
      <c r="D1417" s="3" t="inlineStr">
        <is>
          <t>residuo</t>
        </is>
      </c>
      <c r="E1417" s="3" t="inlineStr">
        <is>
          <t>contabilidad</t>
        </is>
      </c>
      <c r="F1417" s="3" t="n">
        <v>5.60026</v>
      </c>
      <c r="G1417" s="3" t="n"/>
      <c r="H1417" s="3" t="n"/>
      <c r="I1417" s="3" t="n">
        <v>0.332496</v>
      </c>
      <c r="J1417" s="3" t="n"/>
      <c r="K1417" s="3" t="n"/>
      <c r="L1417" s="3" t="n"/>
      <c r="M1417" s="3" t="n"/>
      <c r="N1417" s="3" t="inlineStr">
        <is>
          <t>C4</t>
        </is>
      </c>
      <c r="O1417" s="3" t="inlineStr">
        <is>
          <t>no</t>
        </is>
      </c>
      <c r="P1417" s="3" t="inlineStr">
        <is>
          <t>no_compite</t>
        </is>
      </c>
      <c r="Q1417" s="3" t="inlineStr">
        <is>
          <t>ols_factor_nacional</t>
        </is>
      </c>
      <c r="R1417" s="3" t="n"/>
      <c r="S1417" s="3" t="inlineStr">
        <is>
          <t>contraste regional (R6); no vota</t>
        </is>
      </c>
      <c r="T1417" s="3" t="inlineStr">
        <is>
          <t>output/v8/F5/atribucion_combinada.csv</t>
        </is>
      </c>
      <c r="U1417" s="2">
        <f>IF(R1417=0,"",F1417/R1417)</f>
        <v/>
      </c>
      <c r="V1417" s="2">
        <f>SUMIFS(F$2:F$1589,A$2:A$1589,A1417,C$2:C$1589,C1417,E$2:E$1589,E1417,Q$2:Q$1589,Q1417)</f>
        <v/>
      </c>
    </row>
    <row r="1418">
      <c r="A1418" s="3" t="inlineStr">
        <is>
          <t>compra</t>
        </is>
      </c>
      <c r="B1418" s="3" t="inlineStr">
        <is>
          <t>cv_prov:12</t>
        </is>
      </c>
      <c r="C1418" s="3" t="inlineStr">
        <is>
          <t>P1</t>
        </is>
      </c>
      <c r="D1418" s="3" t="inlineStr">
        <is>
          <t>factor_comun</t>
        </is>
      </c>
      <c r="E1418" s="3" t="inlineStr">
        <is>
          <t>contabilidad</t>
        </is>
      </c>
      <c r="F1418" s="3" t="n">
        <v>70.8788</v>
      </c>
      <c r="G1418" s="3" t="n"/>
      <c r="H1418" s="3" t="n"/>
      <c r="I1418" s="3" t="n">
        <v>0.721793</v>
      </c>
      <c r="J1418" s="3" t="n">
        <v>55.4682</v>
      </c>
      <c r="K1418" s="3" t="n">
        <v>96.13339999999999</v>
      </c>
      <c r="L1418" s="3" t="n">
        <v>44.4757</v>
      </c>
      <c r="M1418" s="3" t="n">
        <v>110.437</v>
      </c>
      <c r="N1418" s="3" t="inlineStr">
        <is>
          <t>C4</t>
        </is>
      </c>
      <c r="O1418" s="3" t="inlineStr">
        <is>
          <t>no</t>
        </is>
      </c>
      <c r="P1418" s="3" t="inlineStr">
        <is>
          <t>no_compite</t>
        </is>
      </c>
      <c r="Q1418" s="3" t="inlineStr">
        <is>
          <t>ols_factor_nacional</t>
        </is>
      </c>
      <c r="R1418" s="3" t="n"/>
      <c r="S1418" s="3" t="inlineStr">
        <is>
          <t>contraste regional (R6); no vota</t>
        </is>
      </c>
      <c r="T1418" s="3" t="inlineStr">
        <is>
          <t>output/v8/F5/atribucion_combinada.csv</t>
        </is>
      </c>
      <c r="U1418" s="2">
        <f>IF(R1418=0,"",F1418/R1418)</f>
        <v/>
      </c>
      <c r="V1418" s="2">
        <f>SUMIFS(F$2:F$1589,A$2:A$1589,A1418,C$2:C$1589,C1418,E$2:E$1589,E1418,Q$2:Q$1589,Q1418)</f>
        <v/>
      </c>
    </row>
    <row r="1419">
      <c r="A1419" s="3" t="inlineStr">
        <is>
          <t>compra</t>
        </is>
      </c>
      <c r="B1419" s="3" t="inlineStr">
        <is>
          <t>cv_prov:12</t>
        </is>
      </c>
      <c r="C1419" s="3" t="inlineStr">
        <is>
          <t>P1</t>
        </is>
      </c>
      <c r="D1419" s="3" t="inlineStr">
        <is>
          <t>residuo</t>
        </is>
      </c>
      <c r="E1419" s="3" t="inlineStr">
        <is>
          <t>contabilidad</t>
        </is>
      </c>
      <c r="F1419" s="3" t="n">
        <v>27.3195</v>
      </c>
      <c r="G1419" s="3" t="n"/>
      <c r="H1419" s="3" t="n"/>
      <c r="I1419" s="3" t="n">
        <v>0.278207</v>
      </c>
      <c r="J1419" s="3" t="n"/>
      <c r="K1419" s="3" t="n"/>
      <c r="L1419" s="3" t="n"/>
      <c r="M1419" s="3" t="n"/>
      <c r="N1419" s="3" t="inlineStr">
        <is>
          <t>C4</t>
        </is>
      </c>
      <c r="O1419" s="3" t="inlineStr">
        <is>
          <t>no</t>
        </is>
      </c>
      <c r="P1419" s="3" t="inlineStr">
        <is>
          <t>no_compite</t>
        </is>
      </c>
      <c r="Q1419" s="3" t="inlineStr">
        <is>
          <t>ols_factor_nacional</t>
        </is>
      </c>
      <c r="R1419" s="3" t="n"/>
      <c r="S1419" s="3" t="inlineStr">
        <is>
          <t>contraste regional (R6); no vota</t>
        </is>
      </c>
      <c r="T1419" s="3" t="inlineStr">
        <is>
          <t>output/v8/F5/atribucion_combinada.csv</t>
        </is>
      </c>
      <c r="U1419" s="2">
        <f>IF(R1419=0,"",F1419/R1419)</f>
        <v/>
      </c>
      <c r="V1419" s="2">
        <f>SUMIFS(F$2:F$1589,A$2:A$1589,A1419,C$2:C$1589,C1419,E$2:E$1589,E1419,Q$2:Q$1589,Q1419)</f>
        <v/>
      </c>
    </row>
    <row r="1420">
      <c r="A1420" s="3" t="inlineStr">
        <is>
          <t>compra</t>
        </is>
      </c>
      <c r="B1420" s="3" t="inlineStr">
        <is>
          <t>cv_prov:12</t>
        </is>
      </c>
      <c r="C1420" s="3" t="inlineStr">
        <is>
          <t>P2</t>
        </is>
      </c>
      <c r="D1420" s="3" t="inlineStr">
        <is>
          <t>factor_comun</t>
        </is>
      </c>
      <c r="E1420" s="3" t="inlineStr">
        <is>
          <t>contabilidad</t>
        </is>
      </c>
      <c r="F1420" s="3" t="n">
        <v>-65.9119</v>
      </c>
      <c r="G1420" s="3" t="n"/>
      <c r="H1420" s="3" t="n"/>
      <c r="I1420" s="3" t="n">
        <v>1.21223</v>
      </c>
      <c r="J1420" s="3" t="n">
        <v>-80.8978</v>
      </c>
      <c r="K1420" s="3" t="n">
        <v>-47.1491</v>
      </c>
      <c r="L1420" s="3" t="n">
        <v>-91.4203</v>
      </c>
      <c r="M1420" s="3" t="n">
        <v>-29.6836</v>
      </c>
      <c r="N1420" s="3" t="inlineStr">
        <is>
          <t>C4</t>
        </is>
      </c>
      <c r="O1420" s="3" t="inlineStr">
        <is>
          <t>no</t>
        </is>
      </c>
      <c r="P1420" s="3" t="inlineStr">
        <is>
          <t>no_compite</t>
        </is>
      </c>
      <c r="Q1420" s="3" t="inlineStr">
        <is>
          <t>ols_factor_nacional</t>
        </is>
      </c>
      <c r="R1420" s="3" t="n"/>
      <c r="S1420" s="3" t="inlineStr">
        <is>
          <t>contraste regional (R6); no vota</t>
        </is>
      </c>
      <c r="T1420" s="3" t="inlineStr">
        <is>
          <t>output/v8/F5/atribucion_combinada.csv</t>
        </is>
      </c>
      <c r="U1420" s="2">
        <f>IF(R1420=0,"",F1420/R1420)</f>
        <v/>
      </c>
      <c r="V1420" s="2">
        <f>SUMIFS(F$2:F$1589,A$2:A$1589,A1420,C$2:C$1589,C1420,E$2:E$1589,E1420,Q$2:Q$1589,Q1420)</f>
        <v/>
      </c>
    </row>
    <row r="1421">
      <c r="A1421" s="3" t="inlineStr">
        <is>
          <t>compra</t>
        </is>
      </c>
      <c r="B1421" s="3" t="inlineStr">
        <is>
          <t>cv_prov:12</t>
        </is>
      </c>
      <c r="C1421" s="3" t="inlineStr">
        <is>
          <t>P2</t>
        </is>
      </c>
      <c r="D1421" s="3" t="inlineStr">
        <is>
          <t>residuo</t>
        </is>
      </c>
      <c r="E1421" s="3" t="inlineStr">
        <is>
          <t>contabilidad</t>
        </is>
      </c>
      <c r="F1421" s="3" t="n">
        <v>11.5393</v>
      </c>
      <c r="G1421" s="3" t="n"/>
      <c r="H1421" s="3" t="n"/>
      <c r="I1421" s="3" t="n">
        <v>-0.212227</v>
      </c>
      <c r="J1421" s="3" t="n"/>
      <c r="K1421" s="3" t="n"/>
      <c r="L1421" s="3" t="n"/>
      <c r="M1421" s="3" t="n"/>
      <c r="N1421" s="3" t="inlineStr">
        <is>
          <t>C4</t>
        </is>
      </c>
      <c r="O1421" s="3" t="inlineStr">
        <is>
          <t>no</t>
        </is>
      </c>
      <c r="P1421" s="3" t="inlineStr">
        <is>
          <t>no_compite</t>
        </is>
      </c>
      <c r="Q1421" s="3" t="inlineStr">
        <is>
          <t>ols_factor_nacional</t>
        </is>
      </c>
      <c r="R1421" s="3" t="n"/>
      <c r="S1421" s="3" t="inlineStr">
        <is>
          <t>contraste regional (R6); no vota</t>
        </is>
      </c>
      <c r="T1421" s="3" t="inlineStr">
        <is>
          <t>output/v8/F5/atribucion_combinada.csv</t>
        </is>
      </c>
      <c r="U1421" s="2">
        <f>IF(R1421=0,"",F1421/R1421)</f>
        <v/>
      </c>
      <c r="V1421" s="2">
        <f>SUMIFS(F$2:F$1589,A$2:A$1589,A1421,C$2:C$1589,C1421,E$2:E$1589,E1421,Q$2:Q$1589,Q1421)</f>
        <v/>
      </c>
    </row>
    <row r="1422">
      <c r="A1422" s="3" t="inlineStr">
        <is>
          <t>compra</t>
        </is>
      </c>
      <c r="B1422" s="3" t="inlineStr">
        <is>
          <t>cv_prov:12</t>
        </is>
      </c>
      <c r="C1422" s="3" t="inlineStr">
        <is>
          <t>P3</t>
        </is>
      </c>
      <c r="D1422" s="3" t="inlineStr">
        <is>
          <t>factor_comun</t>
        </is>
      </c>
      <c r="E1422" s="3" t="inlineStr">
        <is>
          <t>contabilidad</t>
        </is>
      </c>
      <c r="F1422" s="3" t="n">
        <v>-0.83027</v>
      </c>
      <c r="G1422" s="3" t="n"/>
      <c r="H1422" s="3" t="n"/>
      <c r="I1422" s="3" t="n">
        <v>0.100496</v>
      </c>
      <c r="J1422" s="3" t="n">
        <v>-5.9888</v>
      </c>
      <c r="K1422" s="3" t="n">
        <v>5.67178</v>
      </c>
      <c r="L1422" s="3" t="n">
        <v>-9.517569999999999</v>
      </c>
      <c r="M1422" s="3" t="n">
        <v>10.1533</v>
      </c>
      <c r="N1422" s="3" t="inlineStr">
        <is>
          <t>C4</t>
        </is>
      </c>
      <c r="O1422" s="3" t="inlineStr">
        <is>
          <t>no</t>
        </is>
      </c>
      <c r="P1422" s="3" t="inlineStr">
        <is>
          <t>no_compite</t>
        </is>
      </c>
      <c r="Q1422" s="3" t="inlineStr">
        <is>
          <t>ols_factor_nacional</t>
        </is>
      </c>
      <c r="R1422" s="3" t="n"/>
      <c r="S1422" s="3" t="inlineStr">
        <is>
          <t>contraste regional (R6); no vota</t>
        </is>
      </c>
      <c r="T1422" s="3" t="inlineStr">
        <is>
          <t>output/v8/F5/atribucion_combinada.csv</t>
        </is>
      </c>
      <c r="U1422" s="2">
        <f>IF(R1422=0,"",F1422/R1422)</f>
        <v/>
      </c>
      <c r="V1422" s="2">
        <f>SUMIFS(F$2:F$1589,A$2:A$1589,A1422,C$2:C$1589,C1422,E$2:E$1589,E1422,Q$2:Q$1589,Q1422)</f>
        <v/>
      </c>
    </row>
    <row r="1423">
      <c r="A1423" s="3" t="inlineStr">
        <is>
          <t>compra</t>
        </is>
      </c>
      <c r="B1423" s="3" t="inlineStr">
        <is>
          <t>cv_prov:12</t>
        </is>
      </c>
      <c r="C1423" s="3" t="inlineStr">
        <is>
          <t>P3</t>
        </is>
      </c>
      <c r="D1423" s="3" t="inlineStr">
        <is>
          <t>residuo</t>
        </is>
      </c>
      <c r="E1423" s="3" t="inlineStr">
        <is>
          <t>contabilidad</t>
        </is>
      </c>
      <c r="F1423" s="3" t="n">
        <v>-7.43149</v>
      </c>
      <c r="G1423" s="3" t="n"/>
      <c r="H1423" s="3" t="n"/>
      <c r="I1423" s="3" t="n">
        <v>0.899504</v>
      </c>
      <c r="J1423" s="3" t="n"/>
      <c r="K1423" s="3" t="n"/>
      <c r="L1423" s="3" t="n"/>
      <c r="M1423" s="3" t="n"/>
      <c r="N1423" s="3" t="inlineStr">
        <is>
          <t>C4</t>
        </is>
      </c>
      <c r="O1423" s="3" t="inlineStr">
        <is>
          <t>no</t>
        </is>
      </c>
      <c r="P1423" s="3" t="inlineStr">
        <is>
          <t>no_compite</t>
        </is>
      </c>
      <c r="Q1423" s="3" t="inlineStr">
        <is>
          <t>ols_factor_nacional</t>
        </is>
      </c>
      <c r="R1423" s="3" t="n"/>
      <c r="S1423" s="3" t="inlineStr">
        <is>
          <t>contraste regional (R6); no vota</t>
        </is>
      </c>
      <c r="T1423" s="3" t="inlineStr">
        <is>
          <t>output/v8/F5/atribucion_combinada.csv</t>
        </is>
      </c>
      <c r="U1423" s="2">
        <f>IF(R1423=0,"",F1423/R1423)</f>
        <v/>
      </c>
      <c r="V1423" s="2">
        <f>SUMIFS(F$2:F$1589,A$2:A$1589,A1423,C$2:C$1589,C1423,E$2:E$1589,E1423,Q$2:Q$1589,Q1423)</f>
        <v/>
      </c>
    </row>
    <row r="1424">
      <c r="A1424" s="3" t="inlineStr">
        <is>
          <t>compra</t>
        </is>
      </c>
      <c r="B1424" s="3" t="inlineStr">
        <is>
          <t>cv_prov:12</t>
        </is>
      </c>
      <c r="C1424" s="3" t="inlineStr">
        <is>
          <t>P4</t>
        </is>
      </c>
      <c r="D1424" s="3" t="inlineStr">
        <is>
          <t>factor_comun</t>
        </is>
      </c>
      <c r="E1424" s="3" t="inlineStr">
        <is>
          <t>contabilidad</t>
        </is>
      </c>
      <c r="F1424" s="3" t="n">
        <v>-4.26591</v>
      </c>
      <c r="G1424" s="3" t="n"/>
      <c r="H1424" s="3" t="n"/>
      <c r="I1424" s="3" t="n">
        <v>1.17037</v>
      </c>
      <c r="J1424" s="3" t="n">
        <v>-6.01512</v>
      </c>
      <c r="K1424" s="3" t="n">
        <v>-1.37365</v>
      </c>
      <c r="L1424" s="3" t="n">
        <v>-7.31357</v>
      </c>
      <c r="M1424" s="3" t="n">
        <v>-0.393681</v>
      </c>
      <c r="N1424" s="3" t="inlineStr">
        <is>
          <t>C4</t>
        </is>
      </c>
      <c r="O1424" s="3" t="inlineStr">
        <is>
          <t>no</t>
        </is>
      </c>
      <c r="P1424" s="3" t="inlineStr">
        <is>
          <t>no_compite</t>
        </is>
      </c>
      <c r="Q1424" s="3" t="inlineStr">
        <is>
          <t>ols_factor_nacional</t>
        </is>
      </c>
      <c r="R1424" s="3" t="n"/>
      <c r="S1424" s="3" t="inlineStr">
        <is>
          <t>contraste regional (R6); no vota</t>
        </is>
      </c>
      <c r="T1424" s="3" t="inlineStr">
        <is>
          <t>output/v8/F5/atribucion_combinada.csv</t>
        </is>
      </c>
      <c r="U1424" s="2">
        <f>IF(R1424=0,"",F1424/R1424)</f>
        <v/>
      </c>
      <c r="V1424" s="2">
        <f>SUMIFS(F$2:F$1589,A$2:A$1589,A1424,C$2:C$1589,C1424,E$2:E$1589,E1424,Q$2:Q$1589,Q1424)</f>
        <v/>
      </c>
    </row>
    <row r="1425">
      <c r="A1425" s="3" t="inlineStr">
        <is>
          <t>compra</t>
        </is>
      </c>
      <c r="B1425" s="3" t="inlineStr">
        <is>
          <t>cv_prov:12</t>
        </is>
      </c>
      <c r="C1425" s="3" t="inlineStr">
        <is>
          <t>P4</t>
        </is>
      </c>
      <c r="D1425" s="3" t="inlineStr">
        <is>
          <t>residuo</t>
        </is>
      </c>
      <c r="E1425" s="3" t="inlineStr">
        <is>
          <t>contabilidad</t>
        </is>
      </c>
      <c r="F1425" s="3" t="n">
        <v>0.620974</v>
      </c>
      <c r="G1425" s="3" t="n"/>
      <c r="H1425" s="3" t="n"/>
      <c r="I1425" s="3" t="n">
        <v>-0.170366</v>
      </c>
      <c r="J1425" s="3" t="n"/>
      <c r="K1425" s="3" t="n"/>
      <c r="L1425" s="3" t="n"/>
      <c r="M1425" s="3" t="n"/>
      <c r="N1425" s="3" t="inlineStr">
        <is>
          <t>C4</t>
        </is>
      </c>
      <c r="O1425" s="3" t="inlineStr">
        <is>
          <t>no</t>
        </is>
      </c>
      <c r="P1425" s="3" t="inlineStr">
        <is>
          <t>no_compite</t>
        </is>
      </c>
      <c r="Q1425" s="3" t="inlineStr">
        <is>
          <t>ols_factor_nacional</t>
        </is>
      </c>
      <c r="R1425" s="3" t="n"/>
      <c r="S1425" s="3" t="inlineStr">
        <is>
          <t>contraste regional (R6); no vota</t>
        </is>
      </c>
      <c r="T1425" s="3" t="inlineStr">
        <is>
          <t>output/v8/F5/atribucion_combinada.csv</t>
        </is>
      </c>
      <c r="U1425" s="2">
        <f>IF(R1425=0,"",F1425/R1425)</f>
        <v/>
      </c>
      <c r="V1425" s="2">
        <f>SUMIFS(F$2:F$1589,A$2:A$1589,A1425,C$2:C$1589,C1425,E$2:E$1589,E1425,Q$2:Q$1589,Q1425)</f>
        <v/>
      </c>
    </row>
    <row r="1426">
      <c r="A1426" s="3" t="inlineStr">
        <is>
          <t>compra</t>
        </is>
      </c>
      <c r="B1426" s="3" t="inlineStr">
        <is>
          <t>cv_prov:12</t>
        </is>
      </c>
      <c r="C1426" s="3" t="inlineStr">
        <is>
          <t>P5</t>
        </is>
      </c>
      <c r="D1426" s="3" t="inlineStr">
        <is>
          <t>factor_comun</t>
        </is>
      </c>
      <c r="E1426" s="3" t="inlineStr">
        <is>
          <t>contabilidad</t>
        </is>
      </c>
      <c r="F1426" s="3" t="n">
        <v>14.6063</v>
      </c>
      <c r="G1426" s="3" t="n"/>
      <c r="H1426" s="3" t="n"/>
      <c r="I1426" s="3" t="n">
        <v>1.87166</v>
      </c>
      <c r="J1426" s="3" t="n">
        <v>6.64604</v>
      </c>
      <c r="K1426" s="3" t="n">
        <v>21.3848</v>
      </c>
      <c r="L1426" s="3" t="n">
        <v>-0.718584</v>
      </c>
      <c r="M1426" s="3" t="n">
        <v>28.6906</v>
      </c>
      <c r="N1426" s="3" t="inlineStr">
        <is>
          <t>C4</t>
        </is>
      </c>
      <c r="O1426" s="3" t="inlineStr">
        <is>
          <t>no</t>
        </is>
      </c>
      <c r="P1426" s="3" t="inlineStr">
        <is>
          <t>no_compite</t>
        </is>
      </c>
      <c r="Q1426" s="3" t="inlineStr">
        <is>
          <t>ols_factor_nacional</t>
        </is>
      </c>
      <c r="R1426" s="3" t="n"/>
      <c r="S1426" s="3" t="inlineStr">
        <is>
          <t>contraste regional (R6); no vota</t>
        </is>
      </c>
      <c r="T1426" s="3" t="inlineStr">
        <is>
          <t>output/v8/F5/atribucion_combinada.csv</t>
        </is>
      </c>
      <c r="U1426" s="2">
        <f>IF(R1426=0,"",F1426/R1426)</f>
        <v/>
      </c>
      <c r="V1426" s="2">
        <f>SUMIFS(F$2:F$1589,A$2:A$1589,A1426,C$2:C$1589,C1426,E$2:E$1589,E1426,Q$2:Q$1589,Q1426)</f>
        <v/>
      </c>
    </row>
    <row r="1427">
      <c r="A1427" s="3" t="inlineStr">
        <is>
          <t>compra</t>
        </is>
      </c>
      <c r="B1427" s="3" t="inlineStr">
        <is>
          <t>cv_prov:12</t>
        </is>
      </c>
      <c r="C1427" s="3" t="inlineStr">
        <is>
          <t>P5</t>
        </is>
      </c>
      <c r="D1427" s="3" t="inlineStr">
        <is>
          <t>residuo</t>
        </is>
      </c>
      <c r="E1427" s="3" t="inlineStr">
        <is>
          <t>contabilidad</t>
        </is>
      </c>
      <c r="F1427" s="3" t="n">
        <v>-6.80237</v>
      </c>
      <c r="G1427" s="3" t="n"/>
      <c r="H1427" s="3" t="n"/>
      <c r="I1427" s="3" t="n">
        <v>-0.871655</v>
      </c>
      <c r="J1427" s="3" t="n"/>
      <c r="K1427" s="3" t="n"/>
      <c r="L1427" s="3" t="n"/>
      <c r="M1427" s="3" t="n"/>
      <c r="N1427" s="3" t="inlineStr">
        <is>
          <t>C4</t>
        </is>
      </c>
      <c r="O1427" s="3" t="inlineStr">
        <is>
          <t>no</t>
        </is>
      </c>
      <c r="P1427" s="3" t="inlineStr">
        <is>
          <t>no_compite</t>
        </is>
      </c>
      <c r="Q1427" s="3" t="inlineStr">
        <is>
          <t>ols_factor_nacional</t>
        </is>
      </c>
      <c r="R1427" s="3" t="n"/>
      <c r="S1427" s="3" t="inlineStr">
        <is>
          <t>contraste regional (R6); no vota</t>
        </is>
      </c>
      <c r="T1427" s="3" t="inlineStr">
        <is>
          <t>output/v8/F5/atribucion_combinada.csv</t>
        </is>
      </c>
      <c r="U1427" s="2">
        <f>IF(R1427=0,"",F1427/R1427)</f>
        <v/>
      </c>
      <c r="V1427" s="2">
        <f>SUMIFS(F$2:F$1589,A$2:A$1589,A1427,C$2:C$1589,C1427,E$2:E$1589,E1427,Q$2:Q$1589,Q1427)</f>
        <v/>
      </c>
    </row>
    <row r="1428">
      <c r="A1428" s="3" t="inlineStr">
        <is>
          <t>compra</t>
        </is>
      </c>
      <c r="B1428" s="3" t="inlineStr">
        <is>
          <t>cv_prov:46</t>
        </is>
      </c>
      <c r="C1428" s="3" t="inlineStr">
        <is>
          <t>P1</t>
        </is>
      </c>
      <c r="D1428" s="3" t="inlineStr">
        <is>
          <t>factor_comun</t>
        </is>
      </c>
      <c r="E1428" s="3" t="inlineStr">
        <is>
          <t>contabilidad</t>
        </is>
      </c>
      <c r="F1428" s="3" t="n">
        <v>64.8964</v>
      </c>
      <c r="G1428" s="3" t="n"/>
      <c r="H1428" s="3" t="n"/>
      <c r="I1428" s="3" t="n">
        <v>0.75556</v>
      </c>
      <c r="J1428" s="3" t="n">
        <v>49.1353</v>
      </c>
      <c r="K1428" s="3" t="n">
        <v>78.7397</v>
      </c>
      <c r="L1428" s="3" t="n">
        <v>40.5896</v>
      </c>
      <c r="M1428" s="3" t="n">
        <v>89.4513</v>
      </c>
      <c r="N1428" s="3" t="inlineStr">
        <is>
          <t>C4</t>
        </is>
      </c>
      <c r="O1428" s="3" t="inlineStr">
        <is>
          <t>no</t>
        </is>
      </c>
      <c r="P1428" s="3" t="inlineStr">
        <is>
          <t>no_compite</t>
        </is>
      </c>
      <c r="Q1428" s="3" t="inlineStr">
        <is>
          <t>ols_factor_nacional</t>
        </is>
      </c>
      <c r="R1428" s="3" t="n"/>
      <c r="S1428" s="3" t="inlineStr">
        <is>
          <t>contraste regional (R6); no vota</t>
        </is>
      </c>
      <c r="T1428" s="3" t="inlineStr">
        <is>
          <t>output/v8/F5/atribucion_combinada.csv</t>
        </is>
      </c>
      <c r="U1428" s="2">
        <f>IF(R1428=0,"",F1428/R1428)</f>
        <v/>
      </c>
      <c r="V1428" s="2">
        <f>SUMIFS(F$2:F$1589,A$2:A$1589,A1428,C$2:C$1589,C1428,E$2:E$1589,E1428,Q$2:Q$1589,Q1428)</f>
        <v/>
      </c>
    </row>
    <row r="1429">
      <c r="A1429" s="3" t="inlineStr">
        <is>
          <t>compra</t>
        </is>
      </c>
      <c r="B1429" s="3" t="inlineStr">
        <is>
          <t>cv_prov:46</t>
        </is>
      </c>
      <c r="C1429" s="3" t="inlineStr">
        <is>
          <t>P1</t>
        </is>
      </c>
      <c r="D1429" s="3" t="inlineStr">
        <is>
          <t>residuo</t>
        </is>
      </c>
      <c r="E1429" s="3" t="inlineStr">
        <is>
          <t>contabilidad</t>
        </is>
      </c>
      <c r="F1429" s="3" t="n">
        <v>20.9954</v>
      </c>
      <c r="G1429" s="3" t="n"/>
      <c r="H1429" s="3" t="n"/>
      <c r="I1429" s="3" t="n">
        <v>0.24444</v>
      </c>
      <c r="J1429" s="3" t="n"/>
      <c r="K1429" s="3" t="n"/>
      <c r="L1429" s="3" t="n"/>
      <c r="M1429" s="3" t="n"/>
      <c r="N1429" s="3" t="inlineStr">
        <is>
          <t>C4</t>
        </is>
      </c>
      <c r="O1429" s="3" t="inlineStr">
        <is>
          <t>no</t>
        </is>
      </c>
      <c r="P1429" s="3" t="inlineStr">
        <is>
          <t>no_compite</t>
        </is>
      </c>
      <c r="Q1429" s="3" t="inlineStr">
        <is>
          <t>ols_factor_nacional</t>
        </is>
      </c>
      <c r="R1429" s="3" t="n"/>
      <c r="S1429" s="3" t="inlineStr">
        <is>
          <t>contraste regional (R6); no vota</t>
        </is>
      </c>
      <c r="T1429" s="3" t="inlineStr">
        <is>
          <t>output/v8/F5/atribucion_combinada.csv</t>
        </is>
      </c>
      <c r="U1429" s="2">
        <f>IF(R1429=0,"",F1429/R1429)</f>
        <v/>
      </c>
      <c r="V1429" s="2">
        <f>SUMIFS(F$2:F$1589,A$2:A$1589,A1429,C$2:C$1589,C1429,E$2:E$1589,E1429,Q$2:Q$1589,Q1429)</f>
        <v/>
      </c>
    </row>
    <row r="1430">
      <c r="A1430" s="3" t="inlineStr">
        <is>
          <t>compra</t>
        </is>
      </c>
      <c r="B1430" s="3" t="inlineStr">
        <is>
          <t>cv_prov:46</t>
        </is>
      </c>
      <c r="C1430" s="3" t="inlineStr">
        <is>
          <t>P2</t>
        </is>
      </c>
      <c r="D1430" s="3" t="inlineStr">
        <is>
          <t>factor_comun</t>
        </is>
      </c>
      <c r="E1430" s="3" t="inlineStr">
        <is>
          <t>contabilidad</t>
        </is>
      </c>
      <c r="F1430" s="3" t="n">
        <v>-62.3437</v>
      </c>
      <c r="G1430" s="3" t="n"/>
      <c r="H1430" s="3" t="n"/>
      <c r="I1430" s="3" t="n">
        <v>1.28779</v>
      </c>
      <c r="J1430" s="3" t="n">
        <v>-90.5609</v>
      </c>
      <c r="K1430" s="3" t="n">
        <v>-37.1046</v>
      </c>
      <c r="L1430" s="3" t="n">
        <v>-105.674</v>
      </c>
      <c r="M1430" s="3" t="n">
        <v>-16.2643</v>
      </c>
      <c r="N1430" s="3" t="inlineStr">
        <is>
          <t>C4</t>
        </is>
      </c>
      <c r="O1430" s="3" t="inlineStr">
        <is>
          <t>no</t>
        </is>
      </c>
      <c r="P1430" s="3" t="inlineStr">
        <is>
          <t>no_compite</t>
        </is>
      </c>
      <c r="Q1430" s="3" t="inlineStr">
        <is>
          <t>ols_factor_nacional</t>
        </is>
      </c>
      <c r="R1430" s="3" t="n"/>
      <c r="S1430" s="3" t="inlineStr">
        <is>
          <t>contraste regional (R6); no vota</t>
        </is>
      </c>
      <c r="T1430" s="3" t="inlineStr">
        <is>
          <t>output/v8/F5/atribucion_combinada.csv</t>
        </is>
      </c>
      <c r="U1430" s="2">
        <f>IF(R1430=0,"",F1430/R1430)</f>
        <v/>
      </c>
      <c r="V1430" s="2">
        <f>SUMIFS(F$2:F$1589,A$2:A$1589,A1430,C$2:C$1589,C1430,E$2:E$1589,E1430,Q$2:Q$1589,Q1430)</f>
        <v/>
      </c>
    </row>
    <row r="1431">
      <c r="A1431" s="3" t="inlineStr">
        <is>
          <t>compra</t>
        </is>
      </c>
      <c r="B1431" s="3" t="inlineStr">
        <is>
          <t>cv_prov:46</t>
        </is>
      </c>
      <c r="C1431" s="3" t="inlineStr">
        <is>
          <t>P2</t>
        </is>
      </c>
      <c r="D1431" s="3" t="inlineStr">
        <is>
          <t>residuo</t>
        </is>
      </c>
      <c r="E1431" s="3" t="inlineStr">
        <is>
          <t>contabilidad</t>
        </is>
      </c>
      <c r="F1431" s="3" t="n">
        <v>13.9324</v>
      </c>
      <c r="G1431" s="3" t="n"/>
      <c r="H1431" s="3" t="n"/>
      <c r="I1431" s="3" t="n">
        <v>-0.287792</v>
      </c>
      <c r="J1431" s="3" t="n"/>
      <c r="K1431" s="3" t="n"/>
      <c r="L1431" s="3" t="n"/>
      <c r="M1431" s="3" t="n"/>
      <c r="N1431" s="3" t="inlineStr">
        <is>
          <t>C4</t>
        </is>
      </c>
      <c r="O1431" s="3" t="inlineStr">
        <is>
          <t>no</t>
        </is>
      </c>
      <c r="P1431" s="3" t="inlineStr">
        <is>
          <t>no_compite</t>
        </is>
      </c>
      <c r="Q1431" s="3" t="inlineStr">
        <is>
          <t>ols_factor_nacional</t>
        </is>
      </c>
      <c r="R1431" s="3" t="n"/>
      <c r="S1431" s="3" t="inlineStr">
        <is>
          <t>contraste regional (R6); no vota</t>
        </is>
      </c>
      <c r="T1431" s="3" t="inlineStr">
        <is>
          <t>output/v8/F5/atribucion_combinada.csv</t>
        </is>
      </c>
      <c r="U1431" s="2">
        <f>IF(R1431=0,"",F1431/R1431)</f>
        <v/>
      </c>
      <c r="V1431" s="2">
        <f>SUMIFS(F$2:F$1589,A$2:A$1589,A1431,C$2:C$1589,C1431,E$2:E$1589,E1431,Q$2:Q$1589,Q1431)</f>
        <v/>
      </c>
    </row>
    <row r="1432">
      <c r="A1432" s="3" t="inlineStr">
        <is>
          <t>compra</t>
        </is>
      </c>
      <c r="B1432" s="3" t="inlineStr">
        <is>
          <t>cv_prov:46</t>
        </is>
      </c>
      <c r="C1432" s="3" t="inlineStr">
        <is>
          <t>P3</t>
        </is>
      </c>
      <c r="D1432" s="3" t="inlineStr">
        <is>
          <t>factor_comun</t>
        </is>
      </c>
      <c r="E1432" s="3" t="inlineStr">
        <is>
          <t>contabilidad</t>
        </is>
      </c>
      <c r="F1432" s="3" t="n">
        <v>-0.597696</v>
      </c>
      <c r="G1432" s="3" t="n"/>
      <c r="H1432" s="3" t="n"/>
      <c r="I1432" s="3" t="n">
        <v>-0.133713</v>
      </c>
      <c r="J1432" s="3" t="n">
        <v>-4.66383</v>
      </c>
      <c r="K1432" s="3" t="n">
        <v>3.84016</v>
      </c>
      <c r="L1432" s="3" t="n">
        <v>-7.37415</v>
      </c>
      <c r="M1432" s="3" t="n">
        <v>5.94614</v>
      </c>
      <c r="N1432" s="3" t="inlineStr">
        <is>
          <t>C4</t>
        </is>
      </c>
      <c r="O1432" s="3" t="inlineStr">
        <is>
          <t>no</t>
        </is>
      </c>
      <c r="P1432" s="3" t="inlineStr">
        <is>
          <t>no_compite</t>
        </is>
      </c>
      <c r="Q1432" s="3" t="inlineStr">
        <is>
          <t>ols_factor_nacional</t>
        </is>
      </c>
      <c r="R1432" s="3" t="n"/>
      <c r="S1432" s="3" t="inlineStr">
        <is>
          <t>contraste regional (R6); no vota</t>
        </is>
      </c>
      <c r="T1432" s="3" t="inlineStr">
        <is>
          <t>output/v8/F5/atribucion_combinada.csv</t>
        </is>
      </c>
      <c r="U1432" s="2">
        <f>IF(R1432=0,"",F1432/R1432)</f>
        <v/>
      </c>
      <c r="V1432" s="2">
        <f>SUMIFS(F$2:F$1589,A$2:A$1589,A1432,C$2:C$1589,C1432,E$2:E$1589,E1432,Q$2:Q$1589,Q1432)</f>
        <v/>
      </c>
    </row>
    <row r="1433">
      <c r="A1433" s="3" t="inlineStr">
        <is>
          <t>compra</t>
        </is>
      </c>
      <c r="B1433" s="3" t="inlineStr">
        <is>
          <t>cv_prov:46</t>
        </is>
      </c>
      <c r="C1433" s="3" t="inlineStr">
        <is>
          <t>P3</t>
        </is>
      </c>
      <c r="D1433" s="3" t="inlineStr">
        <is>
          <t>residuo</t>
        </is>
      </c>
      <c r="E1433" s="3" t="inlineStr">
        <is>
          <t>contabilidad</t>
        </is>
      </c>
      <c r="F1433" s="3" t="n">
        <v>5.06767</v>
      </c>
      <c r="G1433" s="3" t="n"/>
      <c r="H1433" s="3" t="n"/>
      <c r="I1433" s="3" t="n">
        <v>1.13371</v>
      </c>
      <c r="J1433" s="3" t="n"/>
      <c r="K1433" s="3" t="n"/>
      <c r="L1433" s="3" t="n"/>
      <c r="M1433" s="3" t="n"/>
      <c r="N1433" s="3" t="inlineStr">
        <is>
          <t>C4</t>
        </is>
      </c>
      <c r="O1433" s="3" t="inlineStr">
        <is>
          <t>no</t>
        </is>
      </c>
      <c r="P1433" s="3" t="inlineStr">
        <is>
          <t>no_compite</t>
        </is>
      </c>
      <c r="Q1433" s="3" t="inlineStr">
        <is>
          <t>ols_factor_nacional</t>
        </is>
      </c>
      <c r="R1433" s="3" t="n"/>
      <c r="S1433" s="3" t="inlineStr">
        <is>
          <t>contraste regional (R6); no vota</t>
        </is>
      </c>
      <c r="T1433" s="3" t="inlineStr">
        <is>
          <t>output/v8/F5/atribucion_combinada.csv</t>
        </is>
      </c>
      <c r="U1433" s="2">
        <f>IF(R1433=0,"",F1433/R1433)</f>
        <v/>
      </c>
      <c r="V1433" s="2">
        <f>SUMIFS(F$2:F$1589,A$2:A$1589,A1433,C$2:C$1589,C1433,E$2:E$1589,E1433,Q$2:Q$1589,Q1433)</f>
        <v/>
      </c>
    </row>
    <row r="1434">
      <c r="A1434" s="3" t="inlineStr">
        <is>
          <t>compra</t>
        </is>
      </c>
      <c r="B1434" s="3" t="inlineStr">
        <is>
          <t>cv_prov:46</t>
        </is>
      </c>
      <c r="C1434" s="3" t="inlineStr">
        <is>
          <t>P4</t>
        </is>
      </c>
      <c r="D1434" s="3" t="inlineStr">
        <is>
          <t>factor_comun</t>
        </is>
      </c>
      <c r="E1434" s="3" t="inlineStr">
        <is>
          <t>contabilidad</t>
        </is>
      </c>
      <c r="F1434" s="3" t="n">
        <v>-3.58193</v>
      </c>
      <c r="G1434" s="3" t="n"/>
      <c r="H1434" s="3" t="n"/>
      <c r="I1434" s="3" t="n">
        <v>-6.22433</v>
      </c>
      <c r="J1434" s="3" t="n">
        <v>-4.75256</v>
      </c>
      <c r="K1434" s="3" t="n">
        <v>-2.56711</v>
      </c>
      <c r="L1434" s="3" t="n">
        <v>-5.88527</v>
      </c>
      <c r="M1434" s="3" t="n">
        <v>-1.4348</v>
      </c>
      <c r="N1434" s="3" t="inlineStr">
        <is>
          <t>C4</t>
        </is>
      </c>
      <c r="O1434" s="3" t="inlineStr">
        <is>
          <t>no</t>
        </is>
      </c>
      <c r="P1434" s="3" t="inlineStr">
        <is>
          <t>no_compite</t>
        </is>
      </c>
      <c r="Q1434" s="3" t="inlineStr">
        <is>
          <t>ols_factor_nacional</t>
        </is>
      </c>
      <c r="R1434" s="3" t="n"/>
      <c r="S1434" s="3" t="inlineStr">
        <is>
          <t>contraste regional (R6); no vota</t>
        </is>
      </c>
      <c r="T1434" s="3" t="inlineStr">
        <is>
          <t>output/v8/F5/atribucion_combinada.csv</t>
        </is>
      </c>
      <c r="U1434" s="2">
        <f>IF(R1434=0,"",F1434/R1434)</f>
        <v/>
      </c>
      <c r="V1434" s="2">
        <f>SUMIFS(F$2:F$1589,A$2:A$1589,A1434,C$2:C$1589,C1434,E$2:E$1589,E1434,Q$2:Q$1589,Q1434)</f>
        <v/>
      </c>
    </row>
    <row r="1435">
      <c r="A1435" s="3" t="inlineStr">
        <is>
          <t>compra</t>
        </is>
      </c>
      <c r="B1435" s="3" t="inlineStr">
        <is>
          <t>cv_prov:46</t>
        </is>
      </c>
      <c r="C1435" s="3" t="inlineStr">
        <is>
          <t>P4</t>
        </is>
      </c>
      <c r="D1435" s="3" t="inlineStr">
        <is>
          <t>residuo</t>
        </is>
      </c>
      <c r="E1435" s="3" t="inlineStr">
        <is>
          <t>contabilidad</t>
        </is>
      </c>
      <c r="F1435" s="3" t="n">
        <v>4.1574</v>
      </c>
      <c r="G1435" s="3" t="n"/>
      <c r="H1435" s="3" t="n"/>
      <c r="I1435" s="3" t="n">
        <v>7.22433</v>
      </c>
      <c r="J1435" s="3" t="n"/>
      <c r="K1435" s="3" t="n"/>
      <c r="L1435" s="3" t="n"/>
      <c r="M1435" s="3" t="n"/>
      <c r="N1435" s="3" t="inlineStr">
        <is>
          <t>C4</t>
        </is>
      </c>
      <c r="O1435" s="3" t="inlineStr">
        <is>
          <t>no</t>
        </is>
      </c>
      <c r="P1435" s="3" t="inlineStr">
        <is>
          <t>no_compite</t>
        </is>
      </c>
      <c r="Q1435" s="3" t="inlineStr">
        <is>
          <t>ols_factor_nacional</t>
        </is>
      </c>
      <c r="R1435" s="3" t="n"/>
      <c r="S1435" s="3" t="inlineStr">
        <is>
          <t>contraste regional (R6); no vota</t>
        </is>
      </c>
      <c r="T1435" s="3" t="inlineStr">
        <is>
          <t>output/v8/F5/atribucion_combinada.csv</t>
        </is>
      </c>
      <c r="U1435" s="2">
        <f>IF(R1435=0,"",F1435/R1435)</f>
        <v/>
      </c>
      <c r="V1435" s="2">
        <f>SUMIFS(F$2:F$1589,A$2:A$1589,A1435,C$2:C$1589,C1435,E$2:E$1589,E1435,Q$2:Q$1589,Q1435)</f>
        <v/>
      </c>
    </row>
    <row r="1436">
      <c r="A1436" s="3" t="inlineStr">
        <is>
          <t>compra</t>
        </is>
      </c>
      <c r="B1436" s="3" t="inlineStr">
        <is>
          <t>cv_prov:46</t>
        </is>
      </c>
      <c r="C1436" s="3" t="inlineStr">
        <is>
          <t>P5</t>
        </is>
      </c>
      <c r="D1436" s="3" t="inlineStr">
        <is>
          <t>factor_comun</t>
        </is>
      </c>
      <c r="E1436" s="3" t="inlineStr">
        <is>
          <t>contabilidad</t>
        </is>
      </c>
      <c r="F1436" s="3" t="n">
        <v>12.2358</v>
      </c>
      <c r="G1436" s="3" t="n"/>
      <c r="H1436" s="3" t="n"/>
      <c r="I1436" s="3" t="n">
        <v>0.579521</v>
      </c>
      <c r="J1436" s="3" t="n">
        <v>5.56355</v>
      </c>
      <c r="K1436" s="3" t="n">
        <v>18.2214</v>
      </c>
      <c r="L1436" s="3" t="n">
        <v>1.34178</v>
      </c>
      <c r="M1436" s="3" t="n">
        <v>22.8181</v>
      </c>
      <c r="N1436" s="3" t="inlineStr">
        <is>
          <t>C4</t>
        </is>
      </c>
      <c r="O1436" s="3" t="inlineStr">
        <is>
          <t>no</t>
        </is>
      </c>
      <c r="P1436" s="3" t="inlineStr">
        <is>
          <t>no_compite</t>
        </is>
      </c>
      <c r="Q1436" s="3" t="inlineStr">
        <is>
          <t>ols_factor_nacional</t>
        </is>
      </c>
      <c r="R1436" s="3" t="n"/>
      <c r="S1436" s="3" t="inlineStr">
        <is>
          <t>contraste regional (R6); no vota</t>
        </is>
      </c>
      <c r="T1436" s="3" t="inlineStr">
        <is>
          <t>output/v8/F5/atribucion_combinada.csv</t>
        </is>
      </c>
      <c r="U1436" s="2">
        <f>IF(R1436=0,"",F1436/R1436)</f>
        <v/>
      </c>
      <c r="V1436" s="2">
        <f>SUMIFS(F$2:F$1589,A$2:A$1589,A1436,C$2:C$1589,C1436,E$2:E$1589,E1436,Q$2:Q$1589,Q1436)</f>
        <v/>
      </c>
    </row>
    <row r="1437">
      <c r="A1437" s="3" t="inlineStr">
        <is>
          <t>compra</t>
        </is>
      </c>
      <c r="B1437" s="3" t="inlineStr">
        <is>
          <t>cv_prov:46</t>
        </is>
      </c>
      <c r="C1437" s="3" t="inlineStr">
        <is>
          <t>P5</t>
        </is>
      </c>
      <c r="D1437" s="3" t="inlineStr">
        <is>
          <t>residuo</t>
        </is>
      </c>
      <c r="E1437" s="3" t="inlineStr">
        <is>
          <t>contabilidad</t>
        </is>
      </c>
      <c r="F1437" s="3" t="n">
        <v>8.87785</v>
      </c>
      <c r="G1437" s="3" t="n"/>
      <c r="H1437" s="3" t="n"/>
      <c r="I1437" s="3" t="n">
        <v>0.420479</v>
      </c>
      <c r="J1437" s="3" t="n"/>
      <c r="K1437" s="3" t="n"/>
      <c r="L1437" s="3" t="n"/>
      <c r="M1437" s="3" t="n"/>
      <c r="N1437" s="3" t="inlineStr">
        <is>
          <t>C4</t>
        </is>
      </c>
      <c r="O1437" s="3" t="inlineStr">
        <is>
          <t>no</t>
        </is>
      </c>
      <c r="P1437" s="3" t="inlineStr">
        <is>
          <t>no_compite</t>
        </is>
      </c>
      <c r="Q1437" s="3" t="inlineStr">
        <is>
          <t>ols_factor_nacional</t>
        </is>
      </c>
      <c r="R1437" s="3" t="n"/>
      <c r="S1437" s="3" t="inlineStr">
        <is>
          <t>contraste regional (R6); no vota</t>
        </is>
      </c>
      <c r="T1437" s="3" t="inlineStr">
        <is>
          <t>output/v8/F5/atribucion_combinada.csv</t>
        </is>
      </c>
      <c r="U1437" s="2">
        <f>IF(R1437=0,"",F1437/R1437)</f>
        <v/>
      </c>
      <c r="V1437" s="2">
        <f>SUMIFS(F$2:F$1589,A$2:A$1589,A1437,C$2:C$1589,C1437,E$2:E$1589,E1437,Q$2:Q$1589,Q1437)</f>
        <v/>
      </c>
    </row>
    <row r="1438">
      <c r="A1438" s="3" t="inlineStr">
        <is>
          <t>compra</t>
        </is>
      </c>
      <c r="B1438" s="3" t="inlineStr">
        <is>
          <t>valencia_ciudad</t>
        </is>
      </c>
      <c r="C1438" s="3" t="inlineStr">
        <is>
          <t>P1</t>
        </is>
      </c>
      <c r="D1438" s="3" t="inlineStr">
        <is>
          <t>factor_comun</t>
        </is>
      </c>
      <c r="E1438" s="3" t="inlineStr">
        <is>
          <t>contabilidad</t>
        </is>
      </c>
      <c r="F1438" s="3" t="n">
        <v>5.30757</v>
      </c>
      <c r="G1438" s="3" t="n"/>
      <c r="H1438" s="3" t="n"/>
      <c r="I1438" s="3" t="n">
        <v>0.308277</v>
      </c>
      <c r="J1438" s="3" t="n">
        <v>-0.06939480000000001</v>
      </c>
      <c r="K1438" s="3" t="n">
        <v>11.7984</v>
      </c>
      <c r="L1438" s="3" t="n">
        <v>-1.92632</v>
      </c>
      <c r="M1438" s="3" t="n">
        <v>18.7029</v>
      </c>
      <c r="N1438" s="3" t="inlineStr">
        <is>
          <t>C4</t>
        </is>
      </c>
      <c r="O1438" s="3" t="inlineStr">
        <is>
          <t>no</t>
        </is>
      </c>
      <c r="P1438" s="3" t="inlineStr">
        <is>
          <t>no_compite</t>
        </is>
      </c>
      <c r="Q1438" s="3" t="inlineStr">
        <is>
          <t>ols_factor_nacional</t>
        </is>
      </c>
      <c r="R1438" s="3" t="n"/>
      <c r="S1438" s="3" t="inlineStr">
        <is>
          <t>contraste regional (R6); no vota</t>
        </is>
      </c>
      <c r="T1438" s="3" t="inlineStr">
        <is>
          <t>output/v8/F5/atribucion_combinada.csv</t>
        </is>
      </c>
      <c r="U1438" s="2">
        <f>IF(R1438=0,"",F1438/R1438)</f>
        <v/>
      </c>
      <c r="V1438" s="2">
        <f>SUMIFS(F$2:F$1589,A$2:A$1589,A1438,C$2:C$1589,C1438,E$2:E$1589,E1438,Q$2:Q$1589,Q1438)</f>
        <v/>
      </c>
    </row>
    <row r="1439">
      <c r="A1439" s="3" t="inlineStr">
        <is>
          <t>compra</t>
        </is>
      </c>
      <c r="B1439" s="3" t="inlineStr">
        <is>
          <t>valencia_ciudad</t>
        </is>
      </c>
      <c r="C1439" s="3" t="inlineStr">
        <is>
          <t>P1</t>
        </is>
      </c>
      <c r="D1439" s="3" t="inlineStr">
        <is>
          <t>residuo</t>
        </is>
      </c>
      <c r="E1439" s="3" t="inlineStr">
        <is>
          <t>contabilidad</t>
        </is>
      </c>
      <c r="F1439" s="3" t="n">
        <v>11.9093</v>
      </c>
      <c r="G1439" s="3" t="n"/>
      <c r="H1439" s="3" t="n"/>
      <c r="I1439" s="3" t="n">
        <v>0.691723</v>
      </c>
      <c r="J1439" s="3" t="n"/>
      <c r="K1439" s="3" t="n"/>
      <c r="L1439" s="3" t="n"/>
      <c r="M1439" s="3" t="n"/>
      <c r="N1439" s="3" t="inlineStr">
        <is>
          <t>C4</t>
        </is>
      </c>
      <c r="O1439" s="3" t="inlineStr">
        <is>
          <t>no</t>
        </is>
      </c>
      <c r="P1439" s="3" t="inlineStr">
        <is>
          <t>no_compite</t>
        </is>
      </c>
      <c r="Q1439" s="3" t="inlineStr">
        <is>
          <t>ols_factor_nacional</t>
        </is>
      </c>
      <c r="R1439" s="3" t="n"/>
      <c r="S1439" s="3" t="inlineStr">
        <is>
          <t>contraste regional (R6); no vota</t>
        </is>
      </c>
      <c r="T1439" s="3" t="inlineStr">
        <is>
          <t>output/v8/F5/atribucion_combinada.csv</t>
        </is>
      </c>
      <c r="U1439" s="2">
        <f>IF(R1439=0,"",F1439/R1439)</f>
        <v/>
      </c>
      <c r="V1439" s="2">
        <f>SUMIFS(F$2:F$1589,A$2:A$1589,A1439,C$2:C$1589,C1439,E$2:E$1589,E1439,Q$2:Q$1589,Q1439)</f>
        <v/>
      </c>
    </row>
    <row r="1440">
      <c r="A1440" s="3" t="inlineStr">
        <is>
          <t>compra</t>
        </is>
      </c>
      <c r="B1440" s="3" t="inlineStr">
        <is>
          <t>valencia_ciudad</t>
        </is>
      </c>
      <c r="C1440" s="3" t="inlineStr">
        <is>
          <t>P2</t>
        </is>
      </c>
      <c r="D1440" s="3" t="inlineStr">
        <is>
          <t>factor_comun</t>
        </is>
      </c>
      <c r="E1440" s="3" t="inlineStr">
        <is>
          <t>contabilidad</t>
        </is>
      </c>
      <c r="F1440" s="3" t="n">
        <v>-73.1439</v>
      </c>
      <c r="G1440" s="3" t="n"/>
      <c r="H1440" s="3" t="n"/>
      <c r="I1440" s="3" t="n">
        <v>1.06681</v>
      </c>
      <c r="J1440" s="3" t="n">
        <v>-101.082</v>
      </c>
      <c r="K1440" s="3" t="n">
        <v>-51.9617</v>
      </c>
      <c r="L1440" s="3" t="n">
        <v>-118.503</v>
      </c>
      <c r="M1440" s="3" t="n">
        <v>-37.6975</v>
      </c>
      <c r="N1440" s="3" t="inlineStr">
        <is>
          <t>C4</t>
        </is>
      </c>
      <c r="O1440" s="3" t="inlineStr">
        <is>
          <t>no</t>
        </is>
      </c>
      <c r="P1440" s="3" t="inlineStr">
        <is>
          <t>no_compite</t>
        </is>
      </c>
      <c r="Q1440" s="3" t="inlineStr">
        <is>
          <t>ols_factor_nacional</t>
        </is>
      </c>
      <c r="R1440" s="3" t="n"/>
      <c r="S1440" s="3" t="inlineStr">
        <is>
          <t>contraste regional (R6); no vota</t>
        </is>
      </c>
      <c r="T1440" s="3" t="inlineStr">
        <is>
          <t>output/v8/F5/atribucion_combinada.csv</t>
        </is>
      </c>
      <c r="U1440" s="2">
        <f>IF(R1440=0,"",F1440/R1440)</f>
        <v/>
      </c>
      <c r="V1440" s="2">
        <f>SUMIFS(F$2:F$1589,A$2:A$1589,A1440,C$2:C$1589,C1440,E$2:E$1589,E1440,Q$2:Q$1589,Q1440)</f>
        <v/>
      </c>
    </row>
    <row r="1441">
      <c r="A1441" s="3" t="inlineStr">
        <is>
          <t>compra</t>
        </is>
      </c>
      <c r="B1441" s="3" t="inlineStr">
        <is>
          <t>valencia_ciudad</t>
        </is>
      </c>
      <c r="C1441" s="3" t="inlineStr">
        <is>
          <t>P2</t>
        </is>
      </c>
      <c r="D1441" s="3" t="inlineStr">
        <is>
          <t>residuo</t>
        </is>
      </c>
      <c r="E1441" s="3" t="inlineStr">
        <is>
          <t>contabilidad</t>
        </is>
      </c>
      <c r="F1441" s="3" t="n">
        <v>4.58062</v>
      </c>
      <c r="G1441" s="3" t="n"/>
      <c r="H1441" s="3" t="n"/>
      <c r="I1441" s="3" t="n">
        <v>-0.0668086</v>
      </c>
      <c r="J1441" s="3" t="n"/>
      <c r="K1441" s="3" t="n"/>
      <c r="L1441" s="3" t="n"/>
      <c r="M1441" s="3" t="n"/>
      <c r="N1441" s="3" t="inlineStr">
        <is>
          <t>C4</t>
        </is>
      </c>
      <c r="O1441" s="3" t="inlineStr">
        <is>
          <t>no</t>
        </is>
      </c>
      <c r="P1441" s="3" t="inlineStr">
        <is>
          <t>no_compite</t>
        </is>
      </c>
      <c r="Q1441" s="3" t="inlineStr">
        <is>
          <t>ols_factor_nacional</t>
        </is>
      </c>
      <c r="R1441" s="3" t="n"/>
      <c r="S1441" s="3" t="inlineStr">
        <is>
          <t>contraste regional (R6); no vota</t>
        </is>
      </c>
      <c r="T1441" s="3" t="inlineStr">
        <is>
          <t>output/v8/F5/atribucion_combinada.csv</t>
        </is>
      </c>
      <c r="U1441" s="2">
        <f>IF(R1441=0,"",F1441/R1441)</f>
        <v/>
      </c>
      <c r="V1441" s="2">
        <f>SUMIFS(F$2:F$1589,A$2:A$1589,A1441,C$2:C$1589,C1441,E$2:E$1589,E1441,Q$2:Q$1589,Q1441)</f>
        <v/>
      </c>
    </row>
    <row r="1442">
      <c r="A1442" s="3" t="inlineStr">
        <is>
          <t>compra</t>
        </is>
      </c>
      <c r="B1442" s="3" t="inlineStr">
        <is>
          <t>valencia_ciudad</t>
        </is>
      </c>
      <c r="C1442" s="3" t="inlineStr">
        <is>
          <t>P3</t>
        </is>
      </c>
      <c r="D1442" s="3" t="inlineStr">
        <is>
          <t>factor_comun</t>
        </is>
      </c>
      <c r="E1442" s="3" t="inlineStr">
        <is>
          <t>contabilidad</t>
        </is>
      </c>
      <c r="F1442" s="3" t="n">
        <v>-1.16708</v>
      </c>
      <c r="G1442" s="3" t="n"/>
      <c r="H1442" s="3" t="n"/>
      <c r="I1442" s="3" t="n">
        <v>-0.150448</v>
      </c>
      <c r="J1442" s="3" t="n">
        <v>-10.8886</v>
      </c>
      <c r="K1442" s="3" t="n">
        <v>4.60692</v>
      </c>
      <c r="L1442" s="3" t="n">
        <v>-17.533</v>
      </c>
      <c r="M1442" s="3" t="n">
        <v>8.391120000000001</v>
      </c>
      <c r="N1442" s="3" t="inlineStr">
        <is>
          <t>C4</t>
        </is>
      </c>
      <c r="O1442" s="3" t="inlineStr">
        <is>
          <t>no</t>
        </is>
      </c>
      <c r="P1442" s="3" t="inlineStr">
        <is>
          <t>no_compite</t>
        </is>
      </c>
      <c r="Q1442" s="3" t="inlineStr">
        <is>
          <t>ols_factor_nacional</t>
        </is>
      </c>
      <c r="R1442" s="3" t="n"/>
      <c r="S1442" s="3" t="inlineStr">
        <is>
          <t>contraste regional (R6); no vota</t>
        </is>
      </c>
      <c r="T1442" s="3" t="inlineStr">
        <is>
          <t>output/v8/F5/atribucion_combinada.csv</t>
        </is>
      </c>
      <c r="U1442" s="2">
        <f>IF(R1442=0,"",F1442/R1442)</f>
        <v/>
      </c>
      <c r="V1442" s="2">
        <f>SUMIFS(F$2:F$1589,A$2:A$1589,A1442,C$2:C$1589,C1442,E$2:E$1589,E1442,Q$2:Q$1589,Q1442)</f>
        <v/>
      </c>
    </row>
    <row r="1443">
      <c r="A1443" s="3" t="inlineStr">
        <is>
          <t>compra</t>
        </is>
      </c>
      <c r="B1443" s="3" t="inlineStr">
        <is>
          <t>valencia_ciudad</t>
        </is>
      </c>
      <c r="C1443" s="3" t="inlineStr">
        <is>
          <t>P3</t>
        </is>
      </c>
      <c r="D1443" s="3" t="inlineStr">
        <is>
          <t>residuo</t>
        </is>
      </c>
      <c r="E1443" s="3" t="inlineStr">
        <is>
          <t>contabilidad</t>
        </is>
      </c>
      <c r="F1443" s="3" t="n">
        <v>8.92446</v>
      </c>
      <c r="G1443" s="3" t="n"/>
      <c r="H1443" s="3" t="n"/>
      <c r="I1443" s="3" t="n">
        <v>1.15045</v>
      </c>
      <c r="J1443" s="3" t="n"/>
      <c r="K1443" s="3" t="n"/>
      <c r="L1443" s="3" t="n"/>
      <c r="M1443" s="3" t="n"/>
      <c r="N1443" s="3" t="inlineStr">
        <is>
          <t>C4</t>
        </is>
      </c>
      <c r="O1443" s="3" t="inlineStr">
        <is>
          <t>no</t>
        </is>
      </c>
      <c r="P1443" s="3" t="inlineStr">
        <is>
          <t>no_compite</t>
        </is>
      </c>
      <c r="Q1443" s="3" t="inlineStr">
        <is>
          <t>ols_factor_nacional</t>
        </is>
      </c>
      <c r="R1443" s="3" t="n"/>
      <c r="S1443" s="3" t="inlineStr">
        <is>
          <t>contraste regional (R6); no vota</t>
        </is>
      </c>
      <c r="T1443" s="3" t="inlineStr">
        <is>
          <t>output/v8/F5/atribucion_combinada.csv</t>
        </is>
      </c>
      <c r="U1443" s="2">
        <f>IF(R1443=0,"",F1443/R1443)</f>
        <v/>
      </c>
      <c r="V1443" s="2">
        <f>SUMIFS(F$2:F$1589,A$2:A$1589,A1443,C$2:C$1589,C1443,E$2:E$1589,E1443,Q$2:Q$1589,Q1443)</f>
        <v/>
      </c>
    </row>
    <row r="1444">
      <c r="A1444" s="3" t="inlineStr">
        <is>
          <t>compra</t>
        </is>
      </c>
      <c r="B1444" s="3" t="inlineStr">
        <is>
          <t>valencia_ciudad</t>
        </is>
      </c>
      <c r="C1444" s="3" t="inlineStr">
        <is>
          <t>P4</t>
        </is>
      </c>
      <c r="D1444" s="3" t="inlineStr">
        <is>
          <t>factor_comun</t>
        </is>
      </c>
      <c r="E1444" s="3" t="inlineStr">
        <is>
          <t>contabilidad</t>
        </is>
      </c>
      <c r="F1444" s="3" t="n">
        <v>-5.13147</v>
      </c>
      <c r="G1444" s="3" t="n"/>
      <c r="H1444" s="3" t="n"/>
      <c r="I1444" s="3" t="n">
        <v>-0.817997</v>
      </c>
      <c r="J1444" s="3" t="n">
        <v>-7.69963</v>
      </c>
      <c r="K1444" s="3" t="n">
        <v>-2.43579</v>
      </c>
      <c r="L1444" s="3" t="n">
        <v>-12.0783</v>
      </c>
      <c r="M1444" s="3" t="n">
        <v>-0.375003</v>
      </c>
      <c r="N1444" s="3" t="inlineStr">
        <is>
          <t>C4</t>
        </is>
      </c>
      <c r="O1444" s="3" t="inlineStr">
        <is>
          <t>no</t>
        </is>
      </c>
      <c r="P1444" s="3" t="inlineStr">
        <is>
          <t>no_compite</t>
        </is>
      </c>
      <c r="Q1444" s="3" t="inlineStr">
        <is>
          <t>ols_factor_nacional</t>
        </is>
      </c>
      <c r="R1444" s="3" t="n"/>
      <c r="S1444" s="3" t="inlineStr">
        <is>
          <t>contraste regional (R6); no vota</t>
        </is>
      </c>
      <c r="T1444" s="3" t="inlineStr">
        <is>
          <t>output/v8/F5/atribucion_combinada.csv</t>
        </is>
      </c>
      <c r="U1444" s="2">
        <f>IF(R1444=0,"",F1444/R1444)</f>
        <v/>
      </c>
      <c r="V1444" s="2">
        <f>SUMIFS(F$2:F$1589,A$2:A$1589,A1444,C$2:C$1589,C1444,E$2:E$1589,E1444,Q$2:Q$1589,Q1444)</f>
        <v/>
      </c>
    </row>
    <row r="1445">
      <c r="A1445" s="3" t="inlineStr">
        <is>
          <t>compra</t>
        </is>
      </c>
      <c r="B1445" s="3" t="inlineStr">
        <is>
          <t>valencia_ciudad</t>
        </is>
      </c>
      <c r="C1445" s="3" t="inlineStr">
        <is>
          <t>P4</t>
        </is>
      </c>
      <c r="D1445" s="3" t="inlineStr">
        <is>
          <t>residuo</t>
        </is>
      </c>
      <c r="E1445" s="3" t="inlineStr">
        <is>
          <t>contabilidad</t>
        </is>
      </c>
      <c r="F1445" s="3" t="n">
        <v>11.4047</v>
      </c>
      <c r="G1445" s="3" t="n"/>
      <c r="H1445" s="3" t="n"/>
      <c r="I1445" s="3" t="n">
        <v>1.818</v>
      </c>
      <c r="J1445" s="3" t="n"/>
      <c r="K1445" s="3" t="n"/>
      <c r="L1445" s="3" t="n"/>
      <c r="M1445" s="3" t="n"/>
      <c r="N1445" s="3" t="inlineStr">
        <is>
          <t>C4</t>
        </is>
      </c>
      <c r="O1445" s="3" t="inlineStr">
        <is>
          <t>no</t>
        </is>
      </c>
      <c r="P1445" s="3" t="inlineStr">
        <is>
          <t>no_compite</t>
        </is>
      </c>
      <c r="Q1445" s="3" t="inlineStr">
        <is>
          <t>ols_factor_nacional</t>
        </is>
      </c>
      <c r="R1445" s="3" t="n"/>
      <c r="S1445" s="3" t="inlineStr">
        <is>
          <t>contraste regional (R6); no vota</t>
        </is>
      </c>
      <c r="T1445" s="3" t="inlineStr">
        <is>
          <t>output/v8/F5/atribucion_combinada.csv</t>
        </is>
      </c>
      <c r="U1445" s="2">
        <f>IF(R1445=0,"",F1445/R1445)</f>
        <v/>
      </c>
      <c r="V1445" s="2">
        <f>SUMIFS(F$2:F$1589,A$2:A$1589,A1445,C$2:C$1589,C1445,E$2:E$1589,E1445,Q$2:Q$1589,Q1445)</f>
        <v/>
      </c>
    </row>
    <row r="1446">
      <c r="A1446" s="3" t="inlineStr">
        <is>
          <t>compra</t>
        </is>
      </c>
      <c r="B1446" s="3" t="inlineStr">
        <is>
          <t>valencia_ciudad</t>
        </is>
      </c>
      <c r="C1446" s="3" t="inlineStr">
        <is>
          <t>P5</t>
        </is>
      </c>
      <c r="D1446" s="3" t="inlineStr">
        <is>
          <t>factor_comun</t>
        </is>
      </c>
      <c r="E1446" s="3" t="inlineStr">
        <is>
          <t>contabilidad</t>
        </is>
      </c>
      <c r="F1446" s="3" t="n">
        <v>13.0001</v>
      </c>
      <c r="G1446" s="3" t="n"/>
      <c r="H1446" s="3" t="n"/>
      <c r="I1446" s="3" t="n">
        <v>0.357902</v>
      </c>
      <c r="J1446" s="3" t="n">
        <v>5.07962</v>
      </c>
      <c r="K1446" s="3" t="n">
        <v>19.9446</v>
      </c>
      <c r="L1446" s="3" t="n">
        <v>0.165823</v>
      </c>
      <c r="M1446" s="3" t="n">
        <v>22.9781</v>
      </c>
      <c r="N1446" s="3" t="inlineStr">
        <is>
          <t>C4</t>
        </is>
      </c>
      <c r="O1446" s="3" t="inlineStr">
        <is>
          <t>no</t>
        </is>
      </c>
      <c r="P1446" s="3" t="inlineStr">
        <is>
          <t>no_compite</t>
        </is>
      </c>
      <c r="Q1446" s="3" t="inlineStr">
        <is>
          <t>ols_factor_nacional</t>
        </is>
      </c>
      <c r="R1446" s="3" t="n"/>
      <c r="S1446" s="3" t="inlineStr">
        <is>
          <t>contraste regional (R6); no vota</t>
        </is>
      </c>
      <c r="T1446" s="3" t="inlineStr">
        <is>
          <t>output/v8/F5/atribucion_combinada.csv</t>
        </is>
      </c>
      <c r="U1446" s="2">
        <f>IF(R1446=0,"",F1446/R1446)</f>
        <v/>
      </c>
      <c r="V1446" s="2">
        <f>SUMIFS(F$2:F$1589,A$2:A$1589,A1446,C$2:C$1589,C1446,E$2:E$1589,E1446,Q$2:Q$1589,Q1446)</f>
        <v/>
      </c>
    </row>
    <row r="1447">
      <c r="A1447" s="3" t="inlineStr">
        <is>
          <t>compra</t>
        </is>
      </c>
      <c r="B1447" s="3" t="inlineStr">
        <is>
          <t>valencia_ciudad</t>
        </is>
      </c>
      <c r="C1447" s="3" t="inlineStr">
        <is>
          <t>P5</t>
        </is>
      </c>
      <c r="D1447" s="3" t="inlineStr">
        <is>
          <t>residuo</t>
        </is>
      </c>
      <c r="E1447" s="3" t="inlineStr">
        <is>
          <t>contabilidad</t>
        </is>
      </c>
      <c r="F1447" s="3" t="n">
        <v>23.323</v>
      </c>
      <c r="G1447" s="3" t="n"/>
      <c r="H1447" s="3" t="n"/>
      <c r="I1447" s="3" t="n">
        <v>0.6420979999999999</v>
      </c>
      <c r="J1447" s="3" t="n"/>
      <c r="K1447" s="3" t="n"/>
      <c r="L1447" s="3" t="n"/>
      <c r="M1447" s="3" t="n"/>
      <c r="N1447" s="3" t="inlineStr">
        <is>
          <t>C4</t>
        </is>
      </c>
      <c r="O1447" s="3" t="inlineStr">
        <is>
          <t>no</t>
        </is>
      </c>
      <c r="P1447" s="3" t="inlineStr">
        <is>
          <t>no_compite</t>
        </is>
      </c>
      <c r="Q1447" s="3" t="inlineStr">
        <is>
          <t>ols_factor_nacional</t>
        </is>
      </c>
      <c r="R1447" s="3" t="n"/>
      <c r="S1447" s="3" t="inlineStr">
        <is>
          <t>contraste regional (R6); no vota</t>
        </is>
      </c>
      <c r="T1447" s="3" t="inlineStr">
        <is>
          <t>output/v8/F5/atribucion_combinada.csv</t>
        </is>
      </c>
      <c r="U1447" s="2">
        <f>IF(R1447=0,"",F1447/R1447)</f>
        <v/>
      </c>
      <c r="V1447" s="2">
        <f>SUMIFS(F$2:F$1589,A$2:A$1589,A1447,C$2:C$1589,C1447,E$2:E$1589,E1447,Q$2:Q$1589,Q1447)</f>
        <v/>
      </c>
    </row>
    <row r="1448">
      <c r="A1448" s="3" t="inlineStr">
        <is>
          <t>compra</t>
        </is>
      </c>
      <c r="B1448" s="3" t="inlineStr">
        <is>
          <t>ccaa_panel</t>
        </is>
      </c>
      <c r="C1448" s="3" t="inlineStr">
        <is>
          <t>P2</t>
        </is>
      </c>
      <c r="D1448" s="3" t="inlineStr">
        <is>
          <t>demografia</t>
        </is>
      </c>
      <c r="E1448" s="3" t="inlineStr">
        <is>
          <t>shap</t>
        </is>
      </c>
      <c r="F1448" s="3" t="n">
        <v>-0.592754</v>
      </c>
      <c r="G1448" s="3" t="n"/>
      <c r="H1448" s="3" t="n"/>
      <c r="I1448" s="3" t="n"/>
      <c r="J1448" s="3" t="n">
        <v>-1.44408</v>
      </c>
      <c r="K1448" s="3" t="n">
        <v>-0.0934927</v>
      </c>
      <c r="L1448" s="3" t="n">
        <v>-2.24353</v>
      </c>
      <c r="M1448" s="3" t="n">
        <v>0.304105</v>
      </c>
      <c r="N1448" s="3" t="inlineStr">
        <is>
          <t>C4</t>
        </is>
      </c>
      <c r="O1448" s="3" t="inlineStr">
        <is>
          <t>si</t>
        </is>
      </c>
      <c r="P1448" s="3" t="inlineStr">
        <is>
          <t>no_vota</t>
        </is>
      </c>
      <c r="Q1448" s="3" t="inlineStr">
        <is>
          <t>lgbm_A_monotono</t>
        </is>
      </c>
      <c r="R1448" s="3" t="n"/>
      <c r="S1448" s="3" t="inlineStr">
        <is>
          <t>contraste (R6): media interanual x T/4; nunca causal; s_f respecto a dY de M2/M6</t>
        </is>
      </c>
      <c r="T1448" s="3" t="inlineStr">
        <is>
          <t>output/v8/F5/atribucion_combinada.csv</t>
        </is>
      </c>
      <c r="U1448" s="2">
        <f>IF(R1448=0,"",F1448/R1448)</f>
        <v/>
      </c>
      <c r="V1448" s="2">
        <f>SUMIFS(F$2:F$1589,A$2:A$1589,A1448,C$2:C$1589,C1448,E$2:E$1589,E1448,Q$2:Q$1589,Q1448)</f>
        <v/>
      </c>
    </row>
    <row r="1449">
      <c r="A1449" s="3" t="inlineStr">
        <is>
          <t>compra</t>
        </is>
      </c>
      <c r="B1449" s="3" t="inlineStr">
        <is>
          <t>ccaa_panel</t>
        </is>
      </c>
      <c r="C1449" s="3" t="inlineStr">
        <is>
          <t>P2</t>
        </is>
      </c>
      <c r="D1449" s="3" t="inlineStr">
        <is>
          <t>empleo_renta</t>
        </is>
      </c>
      <c r="E1449" s="3" t="inlineStr">
        <is>
          <t>shap</t>
        </is>
      </c>
      <c r="F1449" s="3" t="n">
        <v>-8.463329999999999</v>
      </c>
      <c r="G1449" s="3" t="n"/>
      <c r="H1449" s="3" t="n"/>
      <c r="I1449" s="3" t="n"/>
      <c r="J1449" s="3" t="n">
        <v>-11.6572</v>
      </c>
      <c r="K1449" s="3" t="n">
        <v>-3.56574</v>
      </c>
      <c r="L1449" s="3" t="n">
        <v>-14.5725</v>
      </c>
      <c r="M1449" s="3" t="n">
        <v>-2.15111</v>
      </c>
      <c r="N1449" s="3" t="inlineStr">
        <is>
          <t>C4</t>
        </is>
      </c>
      <c r="O1449" s="3" t="inlineStr">
        <is>
          <t>si</t>
        </is>
      </c>
      <c r="P1449" s="3" t="inlineStr">
        <is>
          <t>no_vota</t>
        </is>
      </c>
      <c r="Q1449" s="3" t="inlineStr">
        <is>
          <t>lgbm_A_monotono</t>
        </is>
      </c>
      <c r="R1449" s="3" t="n"/>
      <c r="S1449" s="3" t="inlineStr">
        <is>
          <t>contraste (R6): media interanual x T/4; nunca causal; s_f respecto a dY de M2/M6</t>
        </is>
      </c>
      <c r="T1449" s="3" t="inlineStr">
        <is>
          <t>output/v8/F5/atribucion_combinada.csv</t>
        </is>
      </c>
      <c r="U1449" s="2">
        <f>IF(R1449=0,"",F1449/R1449)</f>
        <v/>
      </c>
      <c r="V1449" s="2">
        <f>SUMIFS(F$2:F$1589,A$2:A$1589,A1449,C$2:C$1589,C1449,E$2:E$1589,E1449,Q$2:Q$1589,Q1449)</f>
        <v/>
      </c>
    </row>
    <row r="1450">
      <c r="A1450" s="3" t="inlineStr">
        <is>
          <t>compra</t>
        </is>
      </c>
      <c r="B1450" s="3" t="inlineStr">
        <is>
          <t>ccaa_panel</t>
        </is>
      </c>
      <c r="C1450" s="3" t="inlineStr">
        <is>
          <t>P2</t>
        </is>
      </c>
      <c r="D1450" s="3" t="inlineStr">
        <is>
          <t>credito_tipos</t>
        </is>
      </c>
      <c r="E1450" s="3" t="inlineStr">
        <is>
          <t>shap</t>
        </is>
      </c>
      <c r="F1450" s="3" t="n">
        <v>-3.28811</v>
      </c>
      <c r="G1450" s="3" t="n"/>
      <c r="H1450" s="3" t="n"/>
      <c r="I1450" s="3" t="n"/>
      <c r="J1450" s="3" t="n">
        <v>-6.2766</v>
      </c>
      <c r="K1450" s="3" t="n">
        <v>-1.40799</v>
      </c>
      <c r="L1450" s="3" t="n">
        <v>-8.939909999999999</v>
      </c>
      <c r="M1450" s="3" t="n">
        <v>-0.801743</v>
      </c>
      <c r="N1450" s="3" t="inlineStr">
        <is>
          <t>C4</t>
        </is>
      </c>
      <c r="O1450" s="3" t="inlineStr">
        <is>
          <t>si</t>
        </is>
      </c>
      <c r="P1450" s="3" t="inlineStr">
        <is>
          <t>no_vota</t>
        </is>
      </c>
      <c r="Q1450" s="3" t="inlineStr">
        <is>
          <t>lgbm_A_monotono</t>
        </is>
      </c>
      <c r="R1450" s="3" t="n"/>
      <c r="S1450" s="3" t="inlineStr">
        <is>
          <t>contraste (R6): media interanual x T/4; nunca causal; s_f respecto a dY de M2/M6</t>
        </is>
      </c>
      <c r="T1450" s="3" t="inlineStr">
        <is>
          <t>output/v8/F5/atribucion_combinada.csv</t>
        </is>
      </c>
      <c r="U1450" s="2">
        <f>IF(R1450=0,"",F1450/R1450)</f>
        <v/>
      </c>
      <c r="V1450" s="2">
        <f>SUMIFS(F$2:F$1589,A$2:A$1589,A1450,C$2:C$1589,C1450,E$2:E$1589,E1450,Q$2:Q$1589,Q1450)</f>
        <v/>
      </c>
    </row>
    <row r="1451">
      <c r="A1451" s="3" t="inlineStr">
        <is>
          <t>compra</t>
        </is>
      </c>
      <c r="B1451" s="3" t="inlineStr">
        <is>
          <t>ccaa_panel</t>
        </is>
      </c>
      <c r="C1451" s="3" t="inlineStr">
        <is>
          <t>P2</t>
        </is>
      </c>
      <c r="D1451" s="3" t="inlineStr">
        <is>
          <t>oferta</t>
        </is>
      </c>
      <c r="E1451" s="3" t="inlineStr">
        <is>
          <t>shap</t>
        </is>
      </c>
      <c r="F1451" s="3" t="n">
        <v>-2.10573</v>
      </c>
      <c r="G1451" s="3" t="n"/>
      <c r="H1451" s="3" t="n"/>
      <c r="I1451" s="3" t="n"/>
      <c r="J1451" s="3" t="n">
        <v>-2.46878</v>
      </c>
      <c r="K1451" s="3" t="n">
        <v>-1.33005</v>
      </c>
      <c r="L1451" s="3" t="n">
        <v>-3.20823</v>
      </c>
      <c r="M1451" s="3" t="n">
        <v>-1.00924</v>
      </c>
      <c r="N1451" s="3" t="inlineStr">
        <is>
          <t>C4</t>
        </is>
      </c>
      <c r="O1451" s="3" t="inlineStr">
        <is>
          <t>si</t>
        </is>
      </c>
      <c r="P1451" s="3" t="inlineStr">
        <is>
          <t>no_vota</t>
        </is>
      </c>
      <c r="Q1451" s="3" t="inlineStr">
        <is>
          <t>lgbm_A_monotono</t>
        </is>
      </c>
      <c r="R1451" s="3" t="n"/>
      <c r="S1451" s="3" t="inlineStr">
        <is>
          <t>contraste (R6): media interanual x T/4; nunca causal; s_f respecto a dY de M2/M6</t>
        </is>
      </c>
      <c r="T1451" s="3" t="inlineStr">
        <is>
          <t>output/v8/F5/atribucion_combinada.csv</t>
        </is>
      </c>
      <c r="U1451" s="2">
        <f>IF(R1451=0,"",F1451/R1451)</f>
        <v/>
      </c>
      <c r="V1451" s="2">
        <f>SUMIFS(F$2:F$1589,A$2:A$1589,A1451,C$2:C$1589,C1451,E$2:E$1589,E1451,Q$2:Q$1589,Q1451)</f>
        <v/>
      </c>
    </row>
    <row r="1452">
      <c r="A1452" s="3" t="inlineStr">
        <is>
          <t>compra</t>
        </is>
      </c>
      <c r="B1452" s="3" t="inlineStr">
        <is>
          <t>ccaa_panel</t>
        </is>
      </c>
      <c r="C1452" s="3" t="inlineStr">
        <is>
          <t>P2</t>
        </is>
      </c>
      <c r="D1452" s="3" t="inlineStr">
        <is>
          <t>demanda_externa</t>
        </is>
      </c>
      <c r="E1452" s="3" t="inlineStr">
        <is>
          <t>shap</t>
        </is>
      </c>
      <c r="F1452" s="3" t="n">
        <v>-0.373439</v>
      </c>
      <c r="G1452" s="3" t="n"/>
      <c r="H1452" s="3" t="n"/>
      <c r="I1452" s="3" t="n"/>
      <c r="J1452" s="3" t="n">
        <v>-0.8083669999999999</v>
      </c>
      <c r="K1452" s="3" t="n">
        <v>0.12411</v>
      </c>
      <c r="L1452" s="3" t="n">
        <v>-1.47704</v>
      </c>
      <c r="M1452" s="3" t="n">
        <v>0.334316</v>
      </c>
      <c r="N1452" s="3" t="inlineStr">
        <is>
          <t>C4</t>
        </is>
      </c>
      <c r="O1452" s="3" t="inlineStr">
        <is>
          <t>si</t>
        </is>
      </c>
      <c r="P1452" s="3" t="inlineStr">
        <is>
          <t>no_vota</t>
        </is>
      </c>
      <c r="Q1452" s="3" t="inlineStr">
        <is>
          <t>lgbm_A_monotono</t>
        </is>
      </c>
      <c r="R1452" s="3" t="n"/>
      <c r="S1452" s="3" t="inlineStr">
        <is>
          <t>contraste (R6): media interanual x T/4; nunca causal; s_f respecto a dY de M2/M6</t>
        </is>
      </c>
      <c r="T1452" s="3" t="inlineStr">
        <is>
          <t>output/v8/F5/atribucion_combinada.csv</t>
        </is>
      </c>
      <c r="U1452" s="2">
        <f>IF(R1452=0,"",F1452/R1452)</f>
        <v/>
      </c>
      <c r="V1452" s="2">
        <f>SUMIFS(F$2:F$1589,A$2:A$1589,A1452,C$2:C$1589,C1452,E$2:E$1589,E1452,Q$2:Q$1589,Q1452)</f>
        <v/>
      </c>
    </row>
    <row r="1453">
      <c r="A1453" s="3" t="inlineStr">
        <is>
          <t>compra</t>
        </is>
      </c>
      <c r="B1453" s="3" t="inlineStr">
        <is>
          <t>ccaa_panel</t>
        </is>
      </c>
      <c r="C1453" s="3" t="inlineStr">
        <is>
          <t>P2</t>
        </is>
      </c>
      <c r="D1453" s="3" t="inlineStr">
        <is>
          <t>factor_europeo</t>
        </is>
      </c>
      <c r="E1453" s="3" t="inlineStr">
        <is>
          <t>shap</t>
        </is>
      </c>
      <c r="F1453" s="3" t="n">
        <v>-12.6942</v>
      </c>
      <c r="G1453" s="3" t="n"/>
      <c r="H1453" s="3" t="n"/>
      <c r="I1453" s="3" t="n"/>
      <c r="J1453" s="3" t="n">
        <v>-17.2112</v>
      </c>
      <c r="K1453" s="3" t="n">
        <v>-6.54022</v>
      </c>
      <c r="L1453" s="3" t="n">
        <v>-20.6059</v>
      </c>
      <c r="M1453" s="3" t="n">
        <v>-4.30025</v>
      </c>
      <c r="N1453" s="3" t="inlineStr">
        <is>
          <t>C4</t>
        </is>
      </c>
      <c r="O1453" s="3" t="inlineStr">
        <is>
          <t>si</t>
        </is>
      </c>
      <c r="P1453" s="3" t="inlineStr">
        <is>
          <t>no_vota</t>
        </is>
      </c>
      <c r="Q1453" s="3" t="inlineStr">
        <is>
          <t>lgbm_A_monotono</t>
        </is>
      </c>
      <c r="R1453" s="3" t="n"/>
      <c r="S1453" s="3" t="inlineStr">
        <is>
          <t>contraste (R6): media interanual x T/4; nunca causal; s_f respecto a dY de M2/M6</t>
        </is>
      </c>
      <c r="T1453" s="3" t="inlineStr">
        <is>
          <t>output/v8/F5/atribucion_combinada.csv</t>
        </is>
      </c>
      <c r="U1453" s="2">
        <f>IF(R1453=0,"",F1453/R1453)</f>
        <v/>
      </c>
      <c r="V1453" s="2">
        <f>SUMIFS(F$2:F$1589,A$2:A$1589,A1453,C$2:C$1589,C1453,E$2:E$1589,E1453,Q$2:Q$1589,Q1453)</f>
        <v/>
      </c>
    </row>
    <row r="1454">
      <c r="A1454" s="3" t="inlineStr">
        <is>
          <t>compra</t>
        </is>
      </c>
      <c r="B1454" s="3" t="inlineStr">
        <is>
          <t>ccaa_panel</t>
        </is>
      </c>
      <c r="C1454" s="3" t="inlineStr">
        <is>
          <t>P2</t>
        </is>
      </c>
      <c r="D1454" s="3" t="inlineStr">
        <is>
          <t>residuo</t>
        </is>
      </c>
      <c r="E1454" s="3" t="inlineStr">
        <is>
          <t>shap</t>
        </is>
      </c>
      <c r="F1454" s="3" t="n">
        <v>-1.62486</v>
      </c>
      <c r="G1454" s="3" t="n"/>
      <c r="H1454" s="3" t="n"/>
      <c r="I1454" s="3" t="n"/>
      <c r="J1454" s="3" t="n">
        <v>-1.8569</v>
      </c>
      <c r="K1454" s="3" t="n">
        <v>-0.593402</v>
      </c>
      <c r="L1454" s="3" t="n">
        <v>-2.24155</v>
      </c>
      <c r="M1454" s="3" t="n">
        <v>-0.234768</v>
      </c>
      <c r="N1454" s="3" t="inlineStr">
        <is>
          <t>C4</t>
        </is>
      </c>
      <c r="O1454" s="3" t="inlineStr">
        <is>
          <t>no</t>
        </is>
      </c>
      <c r="P1454" s="3" t="inlineStr">
        <is>
          <t>no_compite</t>
        </is>
      </c>
      <c r="Q1454" s="3" t="inlineStr">
        <is>
          <t>lgbm_A_monotono</t>
        </is>
      </c>
      <c r="R1454" s="3" t="n"/>
      <c r="S1454" s="3" t="inlineStr">
        <is>
          <t>contraste (R6): media interanual x T/4; nunca causal; s_f respecto a dY de M2/M6</t>
        </is>
      </c>
      <c r="T1454" s="3" t="inlineStr">
        <is>
          <t>output/v8/F5/atribucion_combinada.csv</t>
        </is>
      </c>
      <c r="U1454" s="2">
        <f>IF(R1454=0,"",F1454/R1454)</f>
        <v/>
      </c>
      <c r="V1454" s="2">
        <f>SUMIFS(F$2:F$1589,A$2:A$1589,A1454,C$2:C$1589,C1454,E$2:E$1589,E1454,Q$2:Q$1589,Q1454)</f>
        <v/>
      </c>
    </row>
    <row r="1455">
      <c r="A1455" s="3" t="inlineStr">
        <is>
          <t>compra</t>
        </is>
      </c>
      <c r="B1455" s="3" t="inlineStr">
        <is>
          <t>ccaa_panel</t>
        </is>
      </c>
      <c r="C1455" s="3" t="inlineStr">
        <is>
          <t>P3</t>
        </is>
      </c>
      <c r="D1455" s="3" t="inlineStr">
        <is>
          <t>demografia</t>
        </is>
      </c>
      <c r="E1455" s="3" t="inlineStr">
        <is>
          <t>shap</t>
        </is>
      </c>
      <c r="F1455" s="3" t="n">
        <v>-2.10549</v>
      </c>
      <c r="G1455" s="3" t="n"/>
      <c r="H1455" s="3" t="n"/>
      <c r="I1455" s="3" t="n"/>
      <c r="J1455" s="3" t="n">
        <v>-2.81378</v>
      </c>
      <c r="K1455" s="3" t="n">
        <v>-0.863468</v>
      </c>
      <c r="L1455" s="3" t="n">
        <v>-3.52814</v>
      </c>
      <c r="M1455" s="3" t="n">
        <v>-0.522601</v>
      </c>
      <c r="N1455" s="3" t="inlineStr">
        <is>
          <t>C4</t>
        </is>
      </c>
      <c r="O1455" s="3" t="inlineStr">
        <is>
          <t>si</t>
        </is>
      </c>
      <c r="P1455" s="3" t="inlineStr">
        <is>
          <t>no_vota</t>
        </is>
      </c>
      <c r="Q1455" s="3" t="inlineStr">
        <is>
          <t>lgbm_A_monotono</t>
        </is>
      </c>
      <c r="R1455" s="3" t="n"/>
      <c r="S1455" s="3" t="inlineStr">
        <is>
          <t>contraste (R6): media interanual x T/4; nunca causal; s_f respecto a dY de M2/M6</t>
        </is>
      </c>
      <c r="T1455" s="3" t="inlineStr">
        <is>
          <t>output/v8/F5/atribucion_combinada.csv</t>
        </is>
      </c>
      <c r="U1455" s="2">
        <f>IF(R1455=0,"",F1455/R1455)</f>
        <v/>
      </c>
      <c r="V1455" s="2">
        <f>SUMIFS(F$2:F$1589,A$2:A$1589,A1455,C$2:C$1589,C1455,E$2:E$1589,E1455,Q$2:Q$1589,Q1455)</f>
        <v/>
      </c>
    </row>
    <row r="1456">
      <c r="A1456" s="3" t="inlineStr">
        <is>
          <t>compra</t>
        </is>
      </c>
      <c r="B1456" s="3" t="inlineStr">
        <is>
          <t>ccaa_panel</t>
        </is>
      </c>
      <c r="C1456" s="3" t="inlineStr">
        <is>
          <t>P3</t>
        </is>
      </c>
      <c r="D1456" s="3" t="inlineStr">
        <is>
          <t>empleo_renta</t>
        </is>
      </c>
      <c r="E1456" s="3" t="inlineStr">
        <is>
          <t>shap</t>
        </is>
      </c>
      <c r="F1456" s="3" t="n">
        <v>2.53131</v>
      </c>
      <c r="G1456" s="3" t="n"/>
      <c r="H1456" s="3" t="n"/>
      <c r="I1456" s="3" t="n"/>
      <c r="J1456" s="3" t="n">
        <v>0.512332</v>
      </c>
      <c r="K1456" s="3" t="n">
        <v>4.24122</v>
      </c>
      <c r="L1456" s="3" t="n">
        <v>-0.388786</v>
      </c>
      <c r="M1456" s="3" t="n">
        <v>6.20619</v>
      </c>
      <c r="N1456" s="3" t="inlineStr">
        <is>
          <t>C4</t>
        </is>
      </c>
      <c r="O1456" s="3" t="inlineStr">
        <is>
          <t>si</t>
        </is>
      </c>
      <c r="P1456" s="3" t="inlineStr">
        <is>
          <t>no_vota</t>
        </is>
      </c>
      <c r="Q1456" s="3" t="inlineStr">
        <is>
          <t>lgbm_A_monotono</t>
        </is>
      </c>
      <c r="R1456" s="3" t="n"/>
      <c r="S1456" s="3" t="inlineStr">
        <is>
          <t>contraste (R6): media interanual x T/4; nunca causal; s_f respecto a dY de M2/M6</t>
        </is>
      </c>
      <c r="T1456" s="3" t="inlineStr">
        <is>
          <t>output/v8/F5/atribucion_combinada.csv</t>
        </is>
      </c>
      <c r="U1456" s="2">
        <f>IF(R1456=0,"",F1456/R1456)</f>
        <v/>
      </c>
      <c r="V1456" s="2">
        <f>SUMIFS(F$2:F$1589,A$2:A$1589,A1456,C$2:C$1589,C1456,E$2:E$1589,E1456,Q$2:Q$1589,Q1456)</f>
        <v/>
      </c>
    </row>
    <row r="1457">
      <c r="A1457" s="3" t="inlineStr">
        <is>
          <t>compra</t>
        </is>
      </c>
      <c r="B1457" s="3" t="inlineStr">
        <is>
          <t>ccaa_panel</t>
        </is>
      </c>
      <c r="C1457" s="3" t="inlineStr">
        <is>
          <t>P3</t>
        </is>
      </c>
      <c r="D1457" s="3" t="inlineStr">
        <is>
          <t>credito_tipos</t>
        </is>
      </c>
      <c r="E1457" s="3" t="inlineStr">
        <is>
          <t>shap</t>
        </is>
      </c>
      <c r="F1457" s="3" t="n">
        <v>1.3465</v>
      </c>
      <c r="G1457" s="3" t="n"/>
      <c r="H1457" s="3" t="n"/>
      <c r="I1457" s="3" t="n"/>
      <c r="J1457" s="3" t="n">
        <v>0.0646157</v>
      </c>
      <c r="K1457" s="3" t="n">
        <v>2.77524</v>
      </c>
      <c r="L1457" s="3" t="n">
        <v>-0.702416</v>
      </c>
      <c r="M1457" s="3" t="n">
        <v>4.0301</v>
      </c>
      <c r="N1457" s="3" t="inlineStr">
        <is>
          <t>C4</t>
        </is>
      </c>
      <c r="O1457" s="3" t="inlineStr">
        <is>
          <t>si</t>
        </is>
      </c>
      <c r="P1457" s="3" t="inlineStr">
        <is>
          <t>no_vota</t>
        </is>
      </c>
      <c r="Q1457" s="3" t="inlineStr">
        <is>
          <t>lgbm_A_monotono</t>
        </is>
      </c>
      <c r="R1457" s="3" t="n"/>
      <c r="S1457" s="3" t="inlineStr">
        <is>
          <t>contraste (R6): media interanual x T/4; nunca causal; s_f respecto a dY de M2/M6</t>
        </is>
      </c>
      <c r="T1457" s="3" t="inlineStr">
        <is>
          <t>output/v8/F5/atribucion_combinada.csv</t>
        </is>
      </c>
      <c r="U1457" s="2">
        <f>IF(R1457=0,"",F1457/R1457)</f>
        <v/>
      </c>
      <c r="V1457" s="2">
        <f>SUMIFS(F$2:F$1589,A$2:A$1589,A1457,C$2:C$1589,C1457,E$2:E$1589,E1457,Q$2:Q$1589,Q1457)</f>
        <v/>
      </c>
    </row>
    <row r="1458">
      <c r="A1458" s="3" t="inlineStr">
        <is>
          <t>compra</t>
        </is>
      </c>
      <c r="B1458" s="3" t="inlineStr">
        <is>
          <t>ccaa_panel</t>
        </is>
      </c>
      <c r="C1458" s="3" t="inlineStr">
        <is>
          <t>P3</t>
        </is>
      </c>
      <c r="D1458" s="3" t="inlineStr">
        <is>
          <t>oferta</t>
        </is>
      </c>
      <c r="E1458" s="3" t="inlineStr">
        <is>
          <t>shap</t>
        </is>
      </c>
      <c r="F1458" s="3" t="n">
        <v>0.720117</v>
      </c>
      <c r="G1458" s="3" t="n"/>
      <c r="H1458" s="3" t="n"/>
      <c r="I1458" s="3" t="n"/>
      <c r="J1458" s="3" t="n">
        <v>0.215194</v>
      </c>
      <c r="K1458" s="3" t="n">
        <v>1.0346</v>
      </c>
      <c r="L1458" s="3" t="n">
        <v>0.0556397</v>
      </c>
      <c r="M1458" s="3" t="n">
        <v>1.47507</v>
      </c>
      <c r="N1458" s="3" t="inlineStr">
        <is>
          <t>C4</t>
        </is>
      </c>
      <c r="O1458" s="3" t="inlineStr">
        <is>
          <t>si</t>
        </is>
      </c>
      <c r="P1458" s="3" t="inlineStr">
        <is>
          <t>no_vota</t>
        </is>
      </c>
      <c r="Q1458" s="3" t="inlineStr">
        <is>
          <t>lgbm_A_monotono</t>
        </is>
      </c>
      <c r="R1458" s="3" t="n"/>
      <c r="S1458" s="3" t="inlineStr">
        <is>
          <t>contraste (R6): media interanual x T/4; nunca causal; s_f respecto a dY de M2/M6</t>
        </is>
      </c>
      <c r="T1458" s="3" t="inlineStr">
        <is>
          <t>output/v8/F5/atribucion_combinada.csv</t>
        </is>
      </c>
      <c r="U1458" s="2">
        <f>IF(R1458=0,"",F1458/R1458)</f>
        <v/>
      </c>
      <c r="V1458" s="2">
        <f>SUMIFS(F$2:F$1589,A$2:A$1589,A1458,C$2:C$1589,C1458,E$2:E$1589,E1458,Q$2:Q$1589,Q1458)</f>
        <v/>
      </c>
    </row>
    <row r="1459">
      <c r="A1459" s="3" t="inlineStr">
        <is>
          <t>compra</t>
        </is>
      </c>
      <c r="B1459" s="3" t="inlineStr">
        <is>
          <t>ccaa_panel</t>
        </is>
      </c>
      <c r="C1459" s="3" t="inlineStr">
        <is>
          <t>P3</t>
        </is>
      </c>
      <c r="D1459" s="3" t="inlineStr">
        <is>
          <t>demanda_externa</t>
        </is>
      </c>
      <c r="E1459" s="3" t="inlineStr">
        <is>
          <t>shap</t>
        </is>
      </c>
      <c r="F1459" s="3" t="n">
        <v>-0.237462</v>
      </c>
      <c r="G1459" s="3" t="n"/>
      <c r="H1459" s="3" t="n"/>
      <c r="I1459" s="3" t="n"/>
      <c r="J1459" s="3" t="n">
        <v>-0.436776</v>
      </c>
      <c r="K1459" s="3" t="n">
        <v>0.09301719999999999</v>
      </c>
      <c r="L1459" s="3" t="n">
        <v>-0.655686</v>
      </c>
      <c r="M1459" s="3" t="n">
        <v>0.235173</v>
      </c>
      <c r="N1459" s="3" t="inlineStr">
        <is>
          <t>C4</t>
        </is>
      </c>
      <c r="O1459" s="3" t="inlineStr">
        <is>
          <t>si</t>
        </is>
      </c>
      <c r="P1459" s="3" t="inlineStr">
        <is>
          <t>no_vota</t>
        </is>
      </c>
      <c r="Q1459" s="3" t="inlineStr">
        <is>
          <t>lgbm_A_monotono</t>
        </is>
      </c>
      <c r="R1459" s="3" t="n"/>
      <c r="S1459" s="3" t="inlineStr">
        <is>
          <t>contraste (R6): media interanual x T/4; nunca causal; s_f respecto a dY de M2/M6</t>
        </is>
      </c>
      <c r="T1459" s="3" t="inlineStr">
        <is>
          <t>output/v8/F5/atribucion_combinada.csv</t>
        </is>
      </c>
      <c r="U1459" s="2">
        <f>IF(R1459=0,"",F1459/R1459)</f>
        <v/>
      </c>
      <c r="V1459" s="2">
        <f>SUMIFS(F$2:F$1589,A$2:A$1589,A1459,C$2:C$1589,C1459,E$2:E$1589,E1459,Q$2:Q$1589,Q1459)</f>
        <v/>
      </c>
    </row>
    <row r="1460">
      <c r="A1460" s="3" t="inlineStr">
        <is>
          <t>compra</t>
        </is>
      </c>
      <c r="B1460" s="3" t="inlineStr">
        <is>
          <t>ccaa_panel</t>
        </is>
      </c>
      <c r="C1460" s="3" t="inlineStr">
        <is>
          <t>P3</t>
        </is>
      </c>
      <c r="D1460" s="3" t="inlineStr">
        <is>
          <t>factor_europeo</t>
        </is>
      </c>
      <c r="E1460" s="3" t="inlineStr">
        <is>
          <t>shap</t>
        </is>
      </c>
      <c r="F1460" s="3" t="n">
        <v>6.86493</v>
      </c>
      <c r="G1460" s="3" t="n"/>
      <c r="H1460" s="3" t="n"/>
      <c r="I1460" s="3" t="n"/>
      <c r="J1460" s="3" t="n">
        <v>3.59909</v>
      </c>
      <c r="K1460" s="3" t="n">
        <v>10.2093</v>
      </c>
      <c r="L1460" s="3" t="n">
        <v>2.32855</v>
      </c>
      <c r="M1460" s="3" t="n">
        <v>12.4518</v>
      </c>
      <c r="N1460" s="3" t="inlineStr">
        <is>
          <t>C4</t>
        </is>
      </c>
      <c r="O1460" s="3" t="inlineStr">
        <is>
          <t>si</t>
        </is>
      </c>
      <c r="P1460" s="3" t="inlineStr">
        <is>
          <t>no_vota</t>
        </is>
      </c>
      <c r="Q1460" s="3" t="inlineStr">
        <is>
          <t>lgbm_A_monotono</t>
        </is>
      </c>
      <c r="R1460" s="3" t="n"/>
      <c r="S1460" s="3" t="inlineStr">
        <is>
          <t>contraste (R6): media interanual x T/4; nunca causal; s_f respecto a dY de M2/M6</t>
        </is>
      </c>
      <c r="T1460" s="3" t="inlineStr">
        <is>
          <t>output/v8/F5/atribucion_combinada.csv</t>
        </is>
      </c>
      <c r="U1460" s="2">
        <f>IF(R1460=0,"",F1460/R1460)</f>
        <v/>
      </c>
      <c r="V1460" s="2">
        <f>SUMIFS(F$2:F$1589,A$2:A$1589,A1460,C$2:C$1589,C1460,E$2:E$1589,E1460,Q$2:Q$1589,Q1460)</f>
        <v/>
      </c>
    </row>
    <row r="1461">
      <c r="A1461" s="3" t="inlineStr">
        <is>
          <t>compra</t>
        </is>
      </c>
      <c r="B1461" s="3" t="inlineStr">
        <is>
          <t>ccaa_panel</t>
        </is>
      </c>
      <c r="C1461" s="3" t="inlineStr">
        <is>
          <t>P3</t>
        </is>
      </c>
      <c r="D1461" s="3" t="inlineStr">
        <is>
          <t>residuo</t>
        </is>
      </c>
      <c r="E1461" s="3" t="inlineStr">
        <is>
          <t>shap</t>
        </is>
      </c>
      <c r="F1461" s="3" t="n">
        <v>0.00538921</v>
      </c>
      <c r="G1461" s="3" t="n"/>
      <c r="H1461" s="3" t="n"/>
      <c r="I1461" s="3" t="n"/>
      <c r="J1461" s="3" t="n">
        <v>-0.250094</v>
      </c>
      <c r="K1461" s="3" t="n">
        <v>0.930304</v>
      </c>
      <c r="L1461" s="3" t="n">
        <v>-0.550183</v>
      </c>
      <c r="M1461" s="3" t="n">
        <v>1.37881</v>
      </c>
      <c r="N1461" s="3" t="inlineStr">
        <is>
          <t>C4</t>
        </is>
      </c>
      <c r="O1461" s="3" t="inlineStr">
        <is>
          <t>no</t>
        </is>
      </c>
      <c r="P1461" s="3" t="inlineStr">
        <is>
          <t>no_compite</t>
        </is>
      </c>
      <c r="Q1461" s="3" t="inlineStr">
        <is>
          <t>lgbm_A_monotono</t>
        </is>
      </c>
      <c r="R1461" s="3" t="n"/>
      <c r="S1461" s="3" t="inlineStr">
        <is>
          <t>contraste (R6): media interanual x T/4; nunca causal; s_f respecto a dY de M2/M6</t>
        </is>
      </c>
      <c r="T1461" s="3" t="inlineStr">
        <is>
          <t>output/v8/F5/atribucion_combinada.csv</t>
        </is>
      </c>
      <c r="U1461" s="2">
        <f>IF(R1461=0,"",F1461/R1461)</f>
        <v/>
      </c>
      <c r="V1461" s="2">
        <f>SUMIFS(F$2:F$1589,A$2:A$1589,A1461,C$2:C$1589,C1461,E$2:E$1589,E1461,Q$2:Q$1589,Q1461)</f>
        <v/>
      </c>
    </row>
    <row r="1462">
      <c r="A1462" s="3" t="inlineStr">
        <is>
          <t>compra</t>
        </is>
      </c>
      <c r="B1462" s="3" t="inlineStr">
        <is>
          <t>ccaa_panel</t>
        </is>
      </c>
      <c r="C1462" s="3" t="inlineStr">
        <is>
          <t>P4</t>
        </is>
      </c>
      <c r="D1462" s="3" t="inlineStr">
        <is>
          <t>demografia</t>
        </is>
      </c>
      <c r="E1462" s="3" t="inlineStr">
        <is>
          <t>shap</t>
        </is>
      </c>
      <c r="F1462" s="3" t="n">
        <v>0.118545</v>
      </c>
      <c r="G1462" s="3" t="n"/>
      <c r="H1462" s="3" t="n"/>
      <c r="I1462" s="3" t="n"/>
      <c r="J1462" s="3" t="n">
        <v>-0.0333209</v>
      </c>
      <c r="K1462" s="3" t="n">
        <v>0.482125</v>
      </c>
      <c r="L1462" s="3" t="n">
        <v>-0.21093</v>
      </c>
      <c r="M1462" s="3" t="n">
        <v>0.763993</v>
      </c>
      <c r="N1462" s="3" t="inlineStr">
        <is>
          <t>C4</t>
        </is>
      </c>
      <c r="O1462" s="3" t="inlineStr">
        <is>
          <t>si</t>
        </is>
      </c>
      <c r="P1462" s="3" t="inlineStr">
        <is>
          <t>no_vota</t>
        </is>
      </c>
      <c r="Q1462" s="3" t="inlineStr">
        <is>
          <t>lgbm_A_monotono</t>
        </is>
      </c>
      <c r="R1462" s="3" t="n"/>
      <c r="S1462" s="3" t="inlineStr">
        <is>
          <t>contraste (R6): media interanual x T/4; nunca causal; s_f respecto a dY de M2/M6</t>
        </is>
      </c>
      <c r="T1462" s="3" t="inlineStr">
        <is>
          <t>output/v8/F5/atribucion_combinada.csv</t>
        </is>
      </c>
      <c r="U1462" s="2">
        <f>IF(R1462=0,"",F1462/R1462)</f>
        <v/>
      </c>
      <c r="V1462" s="2">
        <f>SUMIFS(F$2:F$1589,A$2:A$1589,A1462,C$2:C$1589,C1462,E$2:E$1589,E1462,Q$2:Q$1589,Q1462)</f>
        <v/>
      </c>
    </row>
    <row r="1463">
      <c r="A1463" s="3" t="inlineStr">
        <is>
          <t>compra</t>
        </is>
      </c>
      <c r="B1463" s="3" t="inlineStr">
        <is>
          <t>ccaa_panel</t>
        </is>
      </c>
      <c r="C1463" s="3" t="inlineStr">
        <is>
          <t>P4</t>
        </is>
      </c>
      <c r="D1463" s="3" t="inlineStr">
        <is>
          <t>empleo_renta</t>
        </is>
      </c>
      <c r="E1463" s="3" t="inlineStr">
        <is>
          <t>shap</t>
        </is>
      </c>
      <c r="F1463" s="3" t="n">
        <v>-0.437672</v>
      </c>
      <c r="G1463" s="3" t="n"/>
      <c r="H1463" s="3" t="n"/>
      <c r="I1463" s="3" t="n"/>
      <c r="J1463" s="3" t="n">
        <v>-1.23118</v>
      </c>
      <c r="K1463" s="3" t="n">
        <v>0.764622</v>
      </c>
      <c r="L1463" s="3" t="n">
        <v>-2.13878</v>
      </c>
      <c r="M1463" s="3" t="n">
        <v>1.7305</v>
      </c>
      <c r="N1463" s="3" t="inlineStr">
        <is>
          <t>C4</t>
        </is>
      </c>
      <c r="O1463" s="3" t="inlineStr">
        <is>
          <t>si</t>
        </is>
      </c>
      <c r="P1463" s="3" t="inlineStr">
        <is>
          <t>no_vota</t>
        </is>
      </c>
      <c r="Q1463" s="3" t="inlineStr">
        <is>
          <t>lgbm_A_monotono</t>
        </is>
      </c>
      <c r="R1463" s="3" t="n"/>
      <c r="S1463" s="3" t="inlineStr">
        <is>
          <t>contraste (R6): media interanual x T/4; nunca causal; s_f respecto a dY de M2/M6</t>
        </is>
      </c>
      <c r="T1463" s="3" t="inlineStr">
        <is>
          <t>output/v8/F5/atribucion_combinada.csv</t>
        </is>
      </c>
      <c r="U1463" s="2">
        <f>IF(R1463=0,"",F1463/R1463)</f>
        <v/>
      </c>
      <c r="V1463" s="2">
        <f>SUMIFS(F$2:F$1589,A$2:A$1589,A1463,C$2:C$1589,C1463,E$2:E$1589,E1463,Q$2:Q$1589,Q1463)</f>
        <v/>
      </c>
    </row>
    <row r="1464">
      <c r="A1464" s="3" t="inlineStr">
        <is>
          <t>compra</t>
        </is>
      </c>
      <c r="B1464" s="3" t="inlineStr">
        <is>
          <t>ccaa_panel</t>
        </is>
      </c>
      <c r="C1464" s="3" t="inlineStr">
        <is>
          <t>P4</t>
        </is>
      </c>
      <c r="D1464" s="3" t="inlineStr">
        <is>
          <t>credito_tipos</t>
        </is>
      </c>
      <c r="E1464" s="3" t="inlineStr">
        <is>
          <t>shap</t>
        </is>
      </c>
      <c r="F1464" s="3" t="n">
        <v>0.714467</v>
      </c>
      <c r="G1464" s="3" t="n"/>
      <c r="H1464" s="3" t="n"/>
      <c r="I1464" s="3" t="n"/>
      <c r="J1464" s="3" t="n">
        <v>-0.00641115</v>
      </c>
      <c r="K1464" s="3" t="n">
        <v>1.32793</v>
      </c>
      <c r="L1464" s="3" t="n">
        <v>-0.403979</v>
      </c>
      <c r="M1464" s="3" t="n">
        <v>1.7629</v>
      </c>
      <c r="N1464" s="3" t="inlineStr">
        <is>
          <t>C4</t>
        </is>
      </c>
      <c r="O1464" s="3" t="inlineStr">
        <is>
          <t>si</t>
        </is>
      </c>
      <c r="P1464" s="3" t="inlineStr">
        <is>
          <t>no_vota</t>
        </is>
      </c>
      <c r="Q1464" s="3" t="inlineStr">
        <is>
          <t>lgbm_A_monotono</t>
        </is>
      </c>
      <c r="R1464" s="3" t="n"/>
      <c r="S1464" s="3" t="inlineStr">
        <is>
          <t>contraste (R6): media interanual x T/4; nunca causal; s_f respecto a dY de M2/M6</t>
        </is>
      </c>
      <c r="T1464" s="3" t="inlineStr">
        <is>
          <t>output/v8/F5/atribucion_combinada.csv</t>
        </is>
      </c>
      <c r="U1464" s="2">
        <f>IF(R1464=0,"",F1464/R1464)</f>
        <v/>
      </c>
      <c r="V1464" s="2">
        <f>SUMIFS(F$2:F$1589,A$2:A$1589,A1464,C$2:C$1589,C1464,E$2:E$1589,E1464,Q$2:Q$1589,Q1464)</f>
        <v/>
      </c>
    </row>
    <row r="1465">
      <c r="A1465" s="3" t="inlineStr">
        <is>
          <t>compra</t>
        </is>
      </c>
      <c r="B1465" s="3" t="inlineStr">
        <is>
          <t>ccaa_panel</t>
        </is>
      </c>
      <c r="C1465" s="3" t="inlineStr">
        <is>
          <t>P4</t>
        </is>
      </c>
      <c r="D1465" s="3" t="inlineStr">
        <is>
          <t>oferta</t>
        </is>
      </c>
      <c r="E1465" s="3" t="inlineStr">
        <is>
          <t>shap</t>
        </is>
      </c>
      <c r="F1465" s="3" t="n">
        <v>0.370533</v>
      </c>
      <c r="G1465" s="3" t="n"/>
      <c r="H1465" s="3" t="n"/>
      <c r="I1465" s="3" t="n"/>
      <c r="J1465" s="3" t="n">
        <v>0.191901</v>
      </c>
      <c r="K1465" s="3" t="n">
        <v>0.620255</v>
      </c>
      <c r="L1465" s="3" t="n">
        <v>0.0495827</v>
      </c>
      <c r="M1465" s="3" t="n">
        <v>0.778652</v>
      </c>
      <c r="N1465" s="3" t="inlineStr">
        <is>
          <t>C4</t>
        </is>
      </c>
      <c r="O1465" s="3" t="inlineStr">
        <is>
          <t>si</t>
        </is>
      </c>
      <c r="P1465" s="3" t="inlineStr">
        <is>
          <t>no_vota</t>
        </is>
      </c>
      <c r="Q1465" s="3" t="inlineStr">
        <is>
          <t>lgbm_A_monotono</t>
        </is>
      </c>
      <c r="R1465" s="3" t="n"/>
      <c r="S1465" s="3" t="inlineStr">
        <is>
          <t>contraste (R6): media interanual x T/4; nunca causal; s_f respecto a dY de M2/M6</t>
        </is>
      </c>
      <c r="T1465" s="3" t="inlineStr">
        <is>
          <t>output/v8/F5/atribucion_combinada.csv</t>
        </is>
      </c>
      <c r="U1465" s="2">
        <f>IF(R1465=0,"",F1465/R1465)</f>
        <v/>
      </c>
      <c r="V1465" s="2">
        <f>SUMIFS(F$2:F$1589,A$2:A$1589,A1465,C$2:C$1589,C1465,E$2:E$1589,E1465,Q$2:Q$1589,Q1465)</f>
        <v/>
      </c>
    </row>
    <row r="1466">
      <c r="A1466" s="3" t="inlineStr">
        <is>
          <t>compra</t>
        </is>
      </c>
      <c r="B1466" s="3" t="inlineStr">
        <is>
          <t>ccaa_panel</t>
        </is>
      </c>
      <c r="C1466" s="3" t="inlineStr">
        <is>
          <t>P4</t>
        </is>
      </c>
      <c r="D1466" s="3" t="inlineStr">
        <is>
          <t>demanda_externa</t>
        </is>
      </c>
      <c r="E1466" s="3" t="inlineStr">
        <is>
          <t>shap</t>
        </is>
      </c>
      <c r="F1466" s="3" t="n">
        <v>0.09121990000000001</v>
      </c>
      <c r="G1466" s="3" t="n"/>
      <c r="H1466" s="3" t="n"/>
      <c r="I1466" s="3" t="n"/>
      <c r="J1466" s="3" t="n">
        <v>-0.135986</v>
      </c>
      <c r="K1466" s="3" t="n">
        <v>0.235269</v>
      </c>
      <c r="L1466" s="3" t="n">
        <v>-0.374695</v>
      </c>
      <c r="M1466" s="3" t="n">
        <v>0.380666</v>
      </c>
      <c r="N1466" s="3" t="inlineStr">
        <is>
          <t>C4</t>
        </is>
      </c>
      <c r="O1466" s="3" t="inlineStr">
        <is>
          <t>si</t>
        </is>
      </c>
      <c r="P1466" s="3" t="inlineStr">
        <is>
          <t>no_vota</t>
        </is>
      </c>
      <c r="Q1466" s="3" t="inlineStr">
        <is>
          <t>lgbm_A_monotono</t>
        </is>
      </c>
      <c r="R1466" s="3" t="n"/>
      <c r="S1466" s="3" t="inlineStr">
        <is>
          <t>contraste (R6): media interanual x T/4; nunca causal; s_f respecto a dY de M2/M6</t>
        </is>
      </c>
      <c r="T1466" s="3" t="inlineStr">
        <is>
          <t>output/v8/F5/atribucion_combinada.csv</t>
        </is>
      </c>
      <c r="U1466" s="2">
        <f>IF(R1466=0,"",F1466/R1466)</f>
        <v/>
      </c>
      <c r="V1466" s="2">
        <f>SUMIFS(F$2:F$1589,A$2:A$1589,A1466,C$2:C$1589,C1466,E$2:E$1589,E1466,Q$2:Q$1589,Q1466)</f>
        <v/>
      </c>
    </row>
    <row r="1467">
      <c r="A1467" s="3" t="inlineStr">
        <is>
          <t>compra</t>
        </is>
      </c>
      <c r="B1467" s="3" t="inlineStr">
        <is>
          <t>ccaa_panel</t>
        </is>
      </c>
      <c r="C1467" s="3" t="inlineStr">
        <is>
          <t>P4</t>
        </is>
      </c>
      <c r="D1467" s="3" t="inlineStr">
        <is>
          <t>factor_europeo</t>
        </is>
      </c>
      <c r="E1467" s="3" t="inlineStr">
        <is>
          <t>shap</t>
        </is>
      </c>
      <c r="F1467" s="3" t="n">
        <v>-0.220162</v>
      </c>
      <c r="G1467" s="3" t="n"/>
      <c r="H1467" s="3" t="n"/>
      <c r="I1467" s="3" t="n"/>
      <c r="J1467" s="3" t="n">
        <v>-2.25263</v>
      </c>
      <c r="K1467" s="3" t="n">
        <v>2.42217</v>
      </c>
      <c r="L1467" s="3" t="n">
        <v>-4.70257</v>
      </c>
      <c r="M1467" s="3" t="n">
        <v>3.96279</v>
      </c>
      <c r="N1467" s="3" t="inlineStr">
        <is>
          <t>C4</t>
        </is>
      </c>
      <c r="O1467" s="3" t="inlineStr">
        <is>
          <t>si</t>
        </is>
      </c>
      <c r="P1467" s="3" t="inlineStr">
        <is>
          <t>no_vota</t>
        </is>
      </c>
      <c r="Q1467" s="3" t="inlineStr">
        <is>
          <t>lgbm_A_monotono</t>
        </is>
      </c>
      <c r="R1467" s="3" t="n"/>
      <c r="S1467" s="3" t="inlineStr">
        <is>
          <t>contraste (R6): media interanual x T/4; nunca causal; s_f respecto a dY de M2/M6</t>
        </is>
      </c>
      <c r="T1467" s="3" t="inlineStr">
        <is>
          <t>output/v8/F5/atribucion_combinada.csv</t>
        </is>
      </c>
      <c r="U1467" s="2">
        <f>IF(R1467=0,"",F1467/R1467)</f>
        <v/>
      </c>
      <c r="V1467" s="2">
        <f>SUMIFS(F$2:F$1589,A$2:A$1589,A1467,C$2:C$1589,C1467,E$2:E$1589,E1467,Q$2:Q$1589,Q1467)</f>
        <v/>
      </c>
    </row>
    <row r="1468">
      <c r="A1468" s="3" t="inlineStr">
        <is>
          <t>compra</t>
        </is>
      </c>
      <c r="B1468" s="3" t="inlineStr">
        <is>
          <t>ccaa_panel</t>
        </is>
      </c>
      <c r="C1468" s="3" t="inlineStr">
        <is>
          <t>P4</t>
        </is>
      </c>
      <c r="D1468" s="3" t="inlineStr">
        <is>
          <t>residuo</t>
        </is>
      </c>
      <c r="E1468" s="3" t="inlineStr">
        <is>
          <t>shap</t>
        </is>
      </c>
      <c r="F1468" s="3" t="n">
        <v>-0.133177</v>
      </c>
      <c r="G1468" s="3" t="n"/>
      <c r="H1468" s="3" t="n"/>
      <c r="I1468" s="3" t="n"/>
      <c r="J1468" s="3" t="n">
        <v>-0.308036</v>
      </c>
      <c r="K1468" s="3" t="n">
        <v>0.097132</v>
      </c>
      <c r="L1468" s="3" t="n">
        <v>-0.498925</v>
      </c>
      <c r="M1468" s="3" t="n">
        <v>0.181869</v>
      </c>
      <c r="N1468" s="3" t="inlineStr">
        <is>
          <t>C4</t>
        </is>
      </c>
      <c r="O1468" s="3" t="inlineStr">
        <is>
          <t>no</t>
        </is>
      </c>
      <c r="P1468" s="3" t="inlineStr">
        <is>
          <t>no_compite</t>
        </is>
      </c>
      <c r="Q1468" s="3" t="inlineStr">
        <is>
          <t>lgbm_A_monotono</t>
        </is>
      </c>
      <c r="R1468" s="3" t="n"/>
      <c r="S1468" s="3" t="inlineStr">
        <is>
          <t>contraste (R6): media interanual x T/4; nunca causal; s_f respecto a dY de M2/M6</t>
        </is>
      </c>
      <c r="T1468" s="3" t="inlineStr">
        <is>
          <t>output/v8/F5/atribucion_combinada.csv</t>
        </is>
      </c>
      <c r="U1468" s="2">
        <f>IF(R1468=0,"",F1468/R1468)</f>
        <v/>
      </c>
      <c r="V1468" s="2">
        <f>SUMIFS(F$2:F$1589,A$2:A$1589,A1468,C$2:C$1589,C1468,E$2:E$1589,E1468,Q$2:Q$1589,Q1468)</f>
        <v/>
      </c>
    </row>
    <row r="1469">
      <c r="A1469" s="3" t="inlineStr">
        <is>
          <t>compra</t>
        </is>
      </c>
      <c r="B1469" s="3" t="inlineStr">
        <is>
          <t>ccaa_panel</t>
        </is>
      </c>
      <c r="C1469" s="3" t="inlineStr">
        <is>
          <t>P5</t>
        </is>
      </c>
      <c r="D1469" s="3" t="inlineStr">
        <is>
          <t>demografia</t>
        </is>
      </c>
      <c r="E1469" s="3" t="inlineStr">
        <is>
          <t>shap</t>
        </is>
      </c>
      <c r="F1469" s="3" t="n">
        <v>2.30055</v>
      </c>
      <c r="G1469" s="3" t="n"/>
      <c r="H1469" s="3" t="n"/>
      <c r="I1469" s="3" t="n"/>
      <c r="J1469" s="3" t="n">
        <v>1.55389</v>
      </c>
      <c r="K1469" s="3" t="n">
        <v>3.35067</v>
      </c>
      <c r="L1469" s="3" t="n">
        <v>1.18856</v>
      </c>
      <c r="M1469" s="3" t="n">
        <v>4.61083</v>
      </c>
      <c r="N1469" s="3" t="inlineStr">
        <is>
          <t>C4</t>
        </is>
      </c>
      <c r="O1469" s="3" t="inlineStr">
        <is>
          <t>si</t>
        </is>
      </c>
      <c r="P1469" s="3" t="inlineStr">
        <is>
          <t>no_vota</t>
        </is>
      </c>
      <c r="Q1469" s="3" t="inlineStr">
        <is>
          <t>lgbm_A_monotono</t>
        </is>
      </c>
      <c r="R1469" s="3" t="n"/>
      <c r="S1469" s="3" t="inlineStr">
        <is>
          <t>contraste (R6): media interanual x T/4; nunca causal; s_f respecto a dY de M2/M6</t>
        </is>
      </c>
      <c r="T1469" s="3" t="inlineStr">
        <is>
          <t>output/v8/F5/atribucion_combinada.csv</t>
        </is>
      </c>
      <c r="U1469" s="2">
        <f>IF(R1469=0,"",F1469/R1469)</f>
        <v/>
      </c>
      <c r="V1469" s="2">
        <f>SUMIFS(F$2:F$1589,A$2:A$1589,A1469,C$2:C$1589,C1469,E$2:E$1589,E1469,Q$2:Q$1589,Q1469)</f>
        <v/>
      </c>
    </row>
    <row r="1470">
      <c r="A1470" s="3" t="inlineStr">
        <is>
          <t>compra</t>
        </is>
      </c>
      <c r="B1470" s="3" t="inlineStr">
        <is>
          <t>ccaa_panel</t>
        </is>
      </c>
      <c r="C1470" s="3" t="inlineStr">
        <is>
          <t>P5</t>
        </is>
      </c>
      <c r="D1470" s="3" t="inlineStr">
        <is>
          <t>empleo_renta</t>
        </is>
      </c>
      <c r="E1470" s="3" t="inlineStr">
        <is>
          <t>shap</t>
        </is>
      </c>
      <c r="F1470" s="3" t="n">
        <v>7.95609</v>
      </c>
      <c r="G1470" s="3" t="n"/>
      <c r="H1470" s="3" t="n"/>
      <c r="I1470" s="3" t="n"/>
      <c r="J1470" s="3" t="n">
        <v>3.2556</v>
      </c>
      <c r="K1470" s="3" t="n">
        <v>8.46921</v>
      </c>
      <c r="L1470" s="3" t="n">
        <v>2.04078</v>
      </c>
      <c r="M1470" s="3" t="n">
        <v>10.2373</v>
      </c>
      <c r="N1470" s="3" t="inlineStr">
        <is>
          <t>C4</t>
        </is>
      </c>
      <c r="O1470" s="3" t="inlineStr">
        <is>
          <t>si</t>
        </is>
      </c>
      <c r="P1470" s="3" t="inlineStr">
        <is>
          <t>no_vota</t>
        </is>
      </c>
      <c r="Q1470" s="3" t="inlineStr">
        <is>
          <t>lgbm_A_monotono</t>
        </is>
      </c>
      <c r="R1470" s="3" t="n"/>
      <c r="S1470" s="3" t="inlineStr">
        <is>
          <t>contraste (R6): media interanual x T/4; nunca causal; s_f respecto a dY de M2/M6</t>
        </is>
      </c>
      <c r="T1470" s="3" t="inlineStr">
        <is>
          <t>output/v8/F5/atribucion_combinada.csv</t>
        </is>
      </c>
      <c r="U1470" s="2">
        <f>IF(R1470=0,"",F1470/R1470)</f>
        <v/>
      </c>
      <c r="V1470" s="2">
        <f>SUMIFS(F$2:F$1589,A$2:A$1589,A1470,C$2:C$1589,C1470,E$2:E$1589,E1470,Q$2:Q$1589,Q1470)</f>
        <v/>
      </c>
    </row>
    <row r="1471">
      <c r="A1471" s="3" t="inlineStr">
        <is>
          <t>compra</t>
        </is>
      </c>
      <c r="B1471" s="3" t="inlineStr">
        <is>
          <t>ccaa_panel</t>
        </is>
      </c>
      <c r="C1471" s="3" t="inlineStr">
        <is>
          <t>P5</t>
        </is>
      </c>
      <c r="D1471" s="3" t="inlineStr">
        <is>
          <t>credito_tipos</t>
        </is>
      </c>
      <c r="E1471" s="3" t="inlineStr">
        <is>
          <t>shap</t>
        </is>
      </c>
      <c r="F1471" s="3" t="n">
        <v>1.58128</v>
      </c>
      <c r="G1471" s="3" t="n"/>
      <c r="H1471" s="3" t="n"/>
      <c r="I1471" s="3" t="n"/>
      <c r="J1471" s="3" t="n">
        <v>0.60181</v>
      </c>
      <c r="K1471" s="3" t="n">
        <v>2.79518</v>
      </c>
      <c r="L1471" s="3" t="n">
        <v>0.054479</v>
      </c>
      <c r="M1471" s="3" t="n">
        <v>4.24713</v>
      </c>
      <c r="N1471" s="3" t="inlineStr">
        <is>
          <t>C4</t>
        </is>
      </c>
      <c r="O1471" s="3" t="inlineStr">
        <is>
          <t>si</t>
        </is>
      </c>
      <c r="P1471" s="3" t="inlineStr">
        <is>
          <t>no_vota</t>
        </is>
      </c>
      <c r="Q1471" s="3" t="inlineStr">
        <is>
          <t>lgbm_A_monotono</t>
        </is>
      </c>
      <c r="R1471" s="3" t="n"/>
      <c r="S1471" s="3" t="inlineStr">
        <is>
          <t>contraste (R6): media interanual x T/4; nunca causal; s_f respecto a dY de M2/M6</t>
        </is>
      </c>
      <c r="T1471" s="3" t="inlineStr">
        <is>
          <t>output/v8/F5/atribucion_combinada.csv</t>
        </is>
      </c>
      <c r="U1471" s="2">
        <f>IF(R1471=0,"",F1471/R1471)</f>
        <v/>
      </c>
      <c r="V1471" s="2">
        <f>SUMIFS(F$2:F$1589,A$2:A$1589,A1471,C$2:C$1589,C1471,E$2:E$1589,E1471,Q$2:Q$1589,Q1471)</f>
        <v/>
      </c>
    </row>
    <row r="1472">
      <c r="A1472" s="3" t="inlineStr">
        <is>
          <t>compra</t>
        </is>
      </c>
      <c r="B1472" s="3" t="inlineStr">
        <is>
          <t>ccaa_panel</t>
        </is>
      </c>
      <c r="C1472" s="3" t="inlineStr">
        <is>
          <t>P5</t>
        </is>
      </c>
      <c r="D1472" s="3" t="inlineStr">
        <is>
          <t>oferta</t>
        </is>
      </c>
      <c r="E1472" s="3" t="inlineStr">
        <is>
          <t>shap</t>
        </is>
      </c>
      <c r="F1472" s="3" t="n">
        <v>0.83395</v>
      </c>
      <c r="G1472" s="3" t="n"/>
      <c r="H1472" s="3" t="n"/>
      <c r="I1472" s="3" t="n"/>
      <c r="J1472" s="3" t="n">
        <v>0.489084</v>
      </c>
      <c r="K1472" s="3" t="n">
        <v>1.21305</v>
      </c>
      <c r="L1472" s="3" t="n">
        <v>0.284907</v>
      </c>
      <c r="M1472" s="3" t="n">
        <v>1.40096</v>
      </c>
      <c r="N1472" s="3" t="inlineStr">
        <is>
          <t>C4</t>
        </is>
      </c>
      <c r="O1472" s="3" t="inlineStr">
        <is>
          <t>si</t>
        </is>
      </c>
      <c r="P1472" s="3" t="inlineStr">
        <is>
          <t>no_vota</t>
        </is>
      </c>
      <c r="Q1472" s="3" t="inlineStr">
        <is>
          <t>lgbm_A_monotono</t>
        </is>
      </c>
      <c r="R1472" s="3" t="n"/>
      <c r="S1472" s="3" t="inlineStr">
        <is>
          <t>contraste (R6): media interanual x T/4; nunca causal; s_f respecto a dY de M2/M6</t>
        </is>
      </c>
      <c r="T1472" s="3" t="inlineStr">
        <is>
          <t>output/v8/F5/atribucion_combinada.csv</t>
        </is>
      </c>
      <c r="U1472" s="2">
        <f>IF(R1472=0,"",F1472/R1472)</f>
        <v/>
      </c>
      <c r="V1472" s="2">
        <f>SUMIFS(F$2:F$1589,A$2:A$1589,A1472,C$2:C$1589,C1472,E$2:E$1589,E1472,Q$2:Q$1589,Q1472)</f>
        <v/>
      </c>
    </row>
    <row r="1473">
      <c r="A1473" s="3" t="inlineStr">
        <is>
          <t>compra</t>
        </is>
      </c>
      <c r="B1473" s="3" t="inlineStr">
        <is>
          <t>ccaa_panel</t>
        </is>
      </c>
      <c r="C1473" s="3" t="inlineStr">
        <is>
          <t>P5</t>
        </is>
      </c>
      <c r="D1473" s="3" t="inlineStr">
        <is>
          <t>demanda_externa</t>
        </is>
      </c>
      <c r="E1473" s="3" t="inlineStr">
        <is>
          <t>shap</t>
        </is>
      </c>
      <c r="F1473" s="3" t="n">
        <v>0.510277</v>
      </c>
      <c r="G1473" s="3" t="n"/>
      <c r="H1473" s="3" t="n"/>
      <c r="I1473" s="3" t="n"/>
      <c r="J1473" s="3" t="n">
        <v>0.101852</v>
      </c>
      <c r="K1473" s="3" t="n">
        <v>0.709909</v>
      </c>
      <c r="L1473" s="3" t="n">
        <v>-0.0562882</v>
      </c>
      <c r="M1473" s="3" t="n">
        <v>0.937153</v>
      </c>
      <c r="N1473" s="3" t="inlineStr">
        <is>
          <t>C4</t>
        </is>
      </c>
      <c r="O1473" s="3" t="inlineStr">
        <is>
          <t>si</t>
        </is>
      </c>
      <c r="P1473" s="3" t="inlineStr">
        <is>
          <t>no_vota</t>
        </is>
      </c>
      <c r="Q1473" s="3" t="inlineStr">
        <is>
          <t>lgbm_A_monotono</t>
        </is>
      </c>
      <c r="R1473" s="3" t="n"/>
      <c r="S1473" s="3" t="inlineStr">
        <is>
          <t>contraste (R6): media interanual x T/4; nunca causal; s_f respecto a dY de M2/M6</t>
        </is>
      </c>
      <c r="T1473" s="3" t="inlineStr">
        <is>
          <t>output/v8/F5/atribucion_combinada.csv</t>
        </is>
      </c>
      <c r="U1473" s="2">
        <f>IF(R1473=0,"",F1473/R1473)</f>
        <v/>
      </c>
      <c r="V1473" s="2">
        <f>SUMIFS(F$2:F$1589,A$2:A$1589,A1473,C$2:C$1589,C1473,E$2:E$1589,E1473,Q$2:Q$1589,Q1473)</f>
        <v/>
      </c>
    </row>
    <row r="1474">
      <c r="A1474" s="3" t="inlineStr">
        <is>
          <t>compra</t>
        </is>
      </c>
      <c r="B1474" s="3" t="inlineStr">
        <is>
          <t>ccaa_panel</t>
        </is>
      </c>
      <c r="C1474" s="3" t="inlineStr">
        <is>
          <t>P5</t>
        </is>
      </c>
      <c r="D1474" s="3" t="inlineStr">
        <is>
          <t>factor_europeo</t>
        </is>
      </c>
      <c r="E1474" s="3" t="inlineStr">
        <is>
          <t>shap</t>
        </is>
      </c>
      <c r="F1474" s="3" t="n">
        <v>2.138</v>
      </c>
      <c r="G1474" s="3" t="n"/>
      <c r="H1474" s="3" t="n"/>
      <c r="I1474" s="3" t="n"/>
      <c r="J1474" s="3" t="n">
        <v>-0.363783</v>
      </c>
      <c r="K1474" s="3" t="n">
        <v>7.18717</v>
      </c>
      <c r="L1474" s="3" t="n">
        <v>-1.98946</v>
      </c>
      <c r="M1474" s="3" t="n">
        <v>10.8791</v>
      </c>
      <c r="N1474" s="3" t="inlineStr">
        <is>
          <t>C4</t>
        </is>
      </c>
      <c r="O1474" s="3" t="inlineStr">
        <is>
          <t>si</t>
        </is>
      </c>
      <c r="P1474" s="3" t="inlineStr">
        <is>
          <t>no_vota</t>
        </is>
      </c>
      <c r="Q1474" s="3" t="inlineStr">
        <is>
          <t>lgbm_A_monotono</t>
        </is>
      </c>
      <c r="R1474" s="3" t="n"/>
      <c r="S1474" s="3" t="inlineStr">
        <is>
          <t>contraste (R6): media interanual x T/4; nunca causal; s_f respecto a dY de M2/M6</t>
        </is>
      </c>
      <c r="T1474" s="3" t="inlineStr">
        <is>
          <t>output/v8/F5/atribucion_combinada.csv</t>
        </is>
      </c>
      <c r="U1474" s="2">
        <f>IF(R1474=0,"",F1474/R1474)</f>
        <v/>
      </c>
      <c r="V1474" s="2">
        <f>SUMIFS(F$2:F$1589,A$2:A$1589,A1474,C$2:C$1589,C1474,E$2:E$1589,E1474,Q$2:Q$1589,Q1474)</f>
        <v/>
      </c>
    </row>
    <row r="1475">
      <c r="A1475" s="3" t="inlineStr">
        <is>
          <t>compra</t>
        </is>
      </c>
      <c r="B1475" s="3" t="inlineStr">
        <is>
          <t>ccaa_panel</t>
        </is>
      </c>
      <c r="C1475" s="3" t="inlineStr">
        <is>
          <t>P5</t>
        </is>
      </c>
      <c r="D1475" s="3" t="inlineStr">
        <is>
          <t>residuo</t>
        </is>
      </c>
      <c r="E1475" s="3" t="inlineStr">
        <is>
          <t>shap</t>
        </is>
      </c>
      <c r="F1475" s="3" t="n">
        <v>1.51326</v>
      </c>
      <c r="G1475" s="3" t="n"/>
      <c r="H1475" s="3" t="n"/>
      <c r="I1475" s="3" t="n"/>
      <c r="J1475" s="3" t="n">
        <v>0.549504</v>
      </c>
      <c r="K1475" s="3" t="n">
        <v>1.87725</v>
      </c>
      <c r="L1475" s="3" t="n">
        <v>0.187072</v>
      </c>
      <c r="M1475" s="3" t="n">
        <v>2.6401</v>
      </c>
      <c r="N1475" s="3" t="inlineStr">
        <is>
          <t>C4</t>
        </is>
      </c>
      <c r="O1475" s="3" t="inlineStr">
        <is>
          <t>no</t>
        </is>
      </c>
      <c r="P1475" s="3" t="inlineStr">
        <is>
          <t>no_compite</t>
        </is>
      </c>
      <c r="Q1475" s="3" t="inlineStr">
        <is>
          <t>lgbm_A_monotono</t>
        </is>
      </c>
      <c r="R1475" s="3" t="n"/>
      <c r="S1475" s="3" t="inlineStr">
        <is>
          <t>contraste (R6): media interanual x T/4; nunca causal; s_f respecto a dY de M2/M6</t>
        </is>
      </c>
      <c r="T1475" s="3" t="inlineStr">
        <is>
          <t>output/v8/F5/atribucion_combinada.csv</t>
        </is>
      </c>
      <c r="U1475" s="2">
        <f>IF(R1475=0,"",F1475/R1475)</f>
        <v/>
      </c>
      <c r="V1475" s="2">
        <f>SUMIFS(F$2:F$1589,A$2:A$1589,A1475,C$2:C$1589,C1475,E$2:E$1589,E1475,Q$2:Q$1589,Q1475)</f>
        <v/>
      </c>
    </row>
    <row r="1476">
      <c r="A1476" s="3" t="inlineStr">
        <is>
          <t>compra</t>
        </is>
      </c>
      <c r="B1476" s="3" t="inlineStr">
        <is>
          <t>ccaa_panel</t>
        </is>
      </c>
      <c r="C1476" s="3" t="inlineStr">
        <is>
          <t>completo</t>
        </is>
      </c>
      <c r="D1476" s="3" t="inlineStr">
        <is>
          <t>demografia</t>
        </is>
      </c>
      <c r="E1476" s="3" t="inlineStr">
        <is>
          <t>shap</t>
        </is>
      </c>
      <c r="F1476" s="3" t="n">
        <v>-0.279147</v>
      </c>
      <c r="G1476" s="3" t="n"/>
      <c r="H1476" s="3" t="n"/>
      <c r="I1476" s="3" t="n"/>
      <c r="J1476" s="3" t="n">
        <v>-1.32975</v>
      </c>
      <c r="K1476" s="3" t="n">
        <v>1.32752</v>
      </c>
      <c r="L1476" s="3" t="n">
        <v>-2.30679</v>
      </c>
      <c r="M1476" s="3" t="n">
        <v>2.22766</v>
      </c>
      <c r="N1476" s="3" t="inlineStr">
        <is>
          <t>C4</t>
        </is>
      </c>
      <c r="O1476" s="3" t="inlineStr">
        <is>
          <t>si</t>
        </is>
      </c>
      <c r="P1476" s="3" t="inlineStr">
        <is>
          <t>no_vota</t>
        </is>
      </c>
      <c r="Q1476" s="3" t="inlineStr">
        <is>
          <t>lgbm_A_monotono</t>
        </is>
      </c>
      <c r="R1476" s="3" t="n"/>
      <c r="S1476" s="3" t="inlineStr">
        <is>
          <t>contraste (R6): media interanual x T/4; nunca causal; s_f respecto a dY de M2/M6</t>
        </is>
      </c>
      <c r="T1476" s="3" t="inlineStr">
        <is>
          <t>output/v8/F5/atribucion_combinada.csv</t>
        </is>
      </c>
      <c r="U1476" s="2">
        <f>IF(R1476=0,"",F1476/R1476)</f>
        <v/>
      </c>
      <c r="V1476" s="2">
        <f>SUMIFS(F$2:F$1589,A$2:A$1589,A1476,C$2:C$1589,C1476,E$2:E$1589,E1476,Q$2:Q$1589,Q1476)</f>
        <v/>
      </c>
    </row>
    <row r="1477">
      <c r="A1477" s="3" t="inlineStr">
        <is>
          <t>compra</t>
        </is>
      </c>
      <c r="B1477" s="3" t="inlineStr">
        <is>
          <t>ccaa_panel</t>
        </is>
      </c>
      <c r="C1477" s="3" t="inlineStr">
        <is>
          <t>completo</t>
        </is>
      </c>
      <c r="D1477" s="3" t="inlineStr">
        <is>
          <t>empleo_renta</t>
        </is>
      </c>
      <c r="E1477" s="3" t="inlineStr">
        <is>
          <t>shap</t>
        </is>
      </c>
      <c r="F1477" s="3" t="n">
        <v>1.5864</v>
      </c>
      <c r="G1477" s="3" t="n"/>
      <c r="H1477" s="3" t="n"/>
      <c r="I1477" s="3" t="n"/>
      <c r="J1477" s="3" t="n">
        <v>-2.14094</v>
      </c>
      <c r="K1477" s="3" t="n">
        <v>4.61419</v>
      </c>
      <c r="L1477" s="3" t="n">
        <v>-5.16332</v>
      </c>
      <c r="M1477" s="3" t="n">
        <v>6.97339</v>
      </c>
      <c r="N1477" s="3" t="inlineStr">
        <is>
          <t>C4</t>
        </is>
      </c>
      <c r="O1477" s="3" t="inlineStr">
        <is>
          <t>si</t>
        </is>
      </c>
      <c r="P1477" s="3" t="inlineStr">
        <is>
          <t>no_vota</t>
        </is>
      </c>
      <c r="Q1477" s="3" t="inlineStr">
        <is>
          <t>lgbm_A_monotono</t>
        </is>
      </c>
      <c r="R1477" s="3" t="n"/>
      <c r="S1477" s="3" t="inlineStr">
        <is>
          <t>contraste (R6): media interanual x T/4; nunca causal; s_f respecto a dY de M2/M6</t>
        </is>
      </c>
      <c r="T1477" s="3" t="inlineStr">
        <is>
          <t>output/v8/F5/atribucion_combinada.csv</t>
        </is>
      </c>
      <c r="U1477" s="2">
        <f>IF(R1477=0,"",F1477/R1477)</f>
        <v/>
      </c>
      <c r="V1477" s="2">
        <f>SUMIFS(F$2:F$1589,A$2:A$1589,A1477,C$2:C$1589,C1477,E$2:E$1589,E1477,Q$2:Q$1589,Q1477)</f>
        <v/>
      </c>
    </row>
    <row r="1478">
      <c r="A1478" s="3" t="inlineStr">
        <is>
          <t>compra</t>
        </is>
      </c>
      <c r="B1478" s="3" t="inlineStr">
        <is>
          <t>ccaa_panel</t>
        </is>
      </c>
      <c r="C1478" s="3" t="inlineStr">
        <is>
          <t>completo</t>
        </is>
      </c>
      <c r="D1478" s="3" t="inlineStr">
        <is>
          <t>credito_tipos</t>
        </is>
      </c>
      <c r="E1478" s="3" t="inlineStr">
        <is>
          <t>shap</t>
        </is>
      </c>
      <c r="F1478" s="3" t="n">
        <v>0.35414</v>
      </c>
      <c r="G1478" s="3" t="n"/>
      <c r="H1478" s="3" t="n"/>
      <c r="I1478" s="3" t="n"/>
      <c r="J1478" s="3" t="n">
        <v>-1.18171</v>
      </c>
      <c r="K1478" s="3" t="n">
        <v>2.09917</v>
      </c>
      <c r="L1478" s="3" t="n">
        <v>-2.5428</v>
      </c>
      <c r="M1478" s="3" t="n">
        <v>3.34183</v>
      </c>
      <c r="N1478" s="3" t="inlineStr">
        <is>
          <t>C4</t>
        </is>
      </c>
      <c r="O1478" s="3" t="inlineStr">
        <is>
          <t>si</t>
        </is>
      </c>
      <c r="P1478" s="3" t="inlineStr">
        <is>
          <t>no_vota</t>
        </is>
      </c>
      <c r="Q1478" s="3" t="inlineStr">
        <is>
          <t>lgbm_A_monotono</t>
        </is>
      </c>
      <c r="R1478" s="3" t="n"/>
      <c r="S1478" s="3" t="inlineStr">
        <is>
          <t>contraste (R6): media interanual x T/4; nunca causal; s_f respecto a dY de M2/M6</t>
        </is>
      </c>
      <c r="T1478" s="3" t="inlineStr">
        <is>
          <t>output/v8/F5/atribucion_combinada.csv</t>
        </is>
      </c>
      <c r="U1478" s="2">
        <f>IF(R1478=0,"",F1478/R1478)</f>
        <v/>
      </c>
      <c r="V1478" s="2">
        <f>SUMIFS(F$2:F$1589,A$2:A$1589,A1478,C$2:C$1589,C1478,E$2:E$1589,E1478,Q$2:Q$1589,Q1478)</f>
        <v/>
      </c>
    </row>
    <row r="1479">
      <c r="A1479" s="3" t="inlineStr">
        <is>
          <t>compra</t>
        </is>
      </c>
      <c r="B1479" s="3" t="inlineStr">
        <is>
          <t>ccaa_panel</t>
        </is>
      </c>
      <c r="C1479" s="3" t="inlineStr">
        <is>
          <t>completo</t>
        </is>
      </c>
      <c r="D1479" s="3" t="inlineStr">
        <is>
          <t>oferta</t>
        </is>
      </c>
      <c r="E1479" s="3" t="inlineStr">
        <is>
          <t>shap</t>
        </is>
      </c>
      <c r="F1479" s="3" t="n">
        <v>-0.181126</v>
      </c>
      <c r="G1479" s="3" t="n"/>
      <c r="H1479" s="3" t="n"/>
      <c r="I1479" s="3" t="n"/>
      <c r="J1479" s="3" t="n">
        <v>-0.591253</v>
      </c>
      <c r="K1479" s="3" t="n">
        <v>0.811991</v>
      </c>
      <c r="L1479" s="3" t="n">
        <v>-1.0512</v>
      </c>
      <c r="M1479" s="3" t="n">
        <v>1.38182</v>
      </c>
      <c r="N1479" s="3" t="inlineStr">
        <is>
          <t>C4</t>
        </is>
      </c>
      <c r="O1479" s="3" t="inlineStr">
        <is>
          <t>si</t>
        </is>
      </c>
      <c r="P1479" s="3" t="inlineStr">
        <is>
          <t>no_vota</t>
        </is>
      </c>
      <c r="Q1479" s="3" t="inlineStr">
        <is>
          <t>lgbm_A_monotono</t>
        </is>
      </c>
      <c r="R1479" s="3" t="n"/>
      <c r="S1479" s="3" t="inlineStr">
        <is>
          <t>contraste (R6): media interanual x T/4; nunca causal; s_f respecto a dY de M2/M6</t>
        </is>
      </c>
      <c r="T1479" s="3" t="inlineStr">
        <is>
          <t>output/v8/F5/atribucion_combinada.csv</t>
        </is>
      </c>
      <c r="U1479" s="2">
        <f>IF(R1479=0,"",F1479/R1479)</f>
        <v/>
      </c>
      <c r="V1479" s="2">
        <f>SUMIFS(F$2:F$1589,A$2:A$1589,A1479,C$2:C$1589,C1479,E$2:E$1589,E1479,Q$2:Q$1589,Q1479)</f>
        <v/>
      </c>
    </row>
    <row r="1480">
      <c r="A1480" s="3" t="inlineStr">
        <is>
          <t>compra</t>
        </is>
      </c>
      <c r="B1480" s="3" t="inlineStr">
        <is>
          <t>ccaa_panel</t>
        </is>
      </c>
      <c r="C1480" s="3" t="inlineStr">
        <is>
          <t>completo</t>
        </is>
      </c>
      <c r="D1480" s="3" t="inlineStr">
        <is>
          <t>demanda_externa</t>
        </is>
      </c>
      <c r="E1480" s="3" t="inlineStr">
        <is>
          <t>shap</t>
        </is>
      </c>
      <c r="F1480" s="3" t="n">
        <v>-0.00940534</v>
      </c>
      <c r="G1480" s="3" t="n"/>
      <c r="H1480" s="3" t="n"/>
      <c r="I1480" s="3" t="n"/>
      <c r="J1480" s="3" t="n">
        <v>-0.57619</v>
      </c>
      <c r="K1480" s="3" t="n">
        <v>0.31679</v>
      </c>
      <c r="L1480" s="3" t="n">
        <v>-0.8322619999999999</v>
      </c>
      <c r="M1480" s="3" t="n">
        <v>0.632863</v>
      </c>
      <c r="N1480" s="3" t="inlineStr">
        <is>
          <t>C4</t>
        </is>
      </c>
      <c r="O1480" s="3" t="inlineStr">
        <is>
          <t>si</t>
        </is>
      </c>
      <c r="P1480" s="3" t="inlineStr">
        <is>
          <t>no_vota</t>
        </is>
      </c>
      <c r="Q1480" s="3" t="inlineStr">
        <is>
          <t>lgbm_A_monotono</t>
        </is>
      </c>
      <c r="R1480" s="3" t="n"/>
      <c r="S1480" s="3" t="inlineStr">
        <is>
          <t>contraste (R6): media interanual x T/4; nunca causal; s_f respecto a dY de M2/M6</t>
        </is>
      </c>
      <c r="T1480" s="3" t="inlineStr">
        <is>
          <t>output/v8/F5/atribucion_combinada.csv</t>
        </is>
      </c>
      <c r="U1480" s="2">
        <f>IF(R1480=0,"",F1480/R1480)</f>
        <v/>
      </c>
      <c r="V1480" s="2">
        <f>SUMIFS(F$2:F$1589,A$2:A$1589,A1480,C$2:C$1589,C1480,E$2:E$1589,E1480,Q$2:Q$1589,Q1480)</f>
        <v/>
      </c>
    </row>
    <row r="1481">
      <c r="A1481" s="3" t="inlineStr">
        <is>
          <t>compra</t>
        </is>
      </c>
      <c r="B1481" s="3" t="inlineStr">
        <is>
          <t>ccaa_panel</t>
        </is>
      </c>
      <c r="C1481" s="3" t="inlineStr">
        <is>
          <t>completo</t>
        </is>
      </c>
      <c r="D1481" s="3" t="inlineStr">
        <is>
          <t>factor_europeo</t>
        </is>
      </c>
      <c r="E1481" s="3" t="inlineStr">
        <is>
          <t>shap</t>
        </is>
      </c>
      <c r="F1481" s="3" t="n">
        <v>-3.91142</v>
      </c>
      <c r="G1481" s="3" t="n"/>
      <c r="H1481" s="3" t="n"/>
      <c r="I1481" s="3" t="n"/>
      <c r="J1481" s="3" t="n">
        <v>-6.3436</v>
      </c>
      <c r="K1481" s="3" t="n">
        <v>3.53846</v>
      </c>
      <c r="L1481" s="3" t="n">
        <v>-9.379759999999999</v>
      </c>
      <c r="M1481" s="3" t="n">
        <v>7.59512</v>
      </c>
      <c r="N1481" s="3" t="inlineStr">
        <is>
          <t>C4</t>
        </is>
      </c>
      <c r="O1481" s="3" t="inlineStr">
        <is>
          <t>si</t>
        </is>
      </c>
      <c r="P1481" s="3" t="inlineStr">
        <is>
          <t>no_vota</t>
        </is>
      </c>
      <c r="Q1481" s="3" t="inlineStr">
        <is>
          <t>lgbm_A_monotono</t>
        </is>
      </c>
      <c r="R1481" s="3" t="n"/>
      <c r="S1481" s="3" t="inlineStr">
        <is>
          <t>contraste (R6): media interanual x T/4; nunca causal; s_f respecto a dY de M2/M6</t>
        </is>
      </c>
      <c r="T1481" s="3" t="inlineStr">
        <is>
          <t>output/v8/F5/atribucion_combinada.csv</t>
        </is>
      </c>
      <c r="U1481" s="2">
        <f>IF(R1481=0,"",F1481/R1481)</f>
        <v/>
      </c>
      <c r="V1481" s="2">
        <f>SUMIFS(F$2:F$1589,A$2:A$1589,A1481,C$2:C$1589,C1481,E$2:E$1589,E1481,Q$2:Q$1589,Q1481)</f>
        <v/>
      </c>
    </row>
    <row r="1482">
      <c r="A1482" s="3" t="inlineStr">
        <is>
          <t>compra</t>
        </is>
      </c>
      <c r="B1482" s="3" t="inlineStr">
        <is>
          <t>ccaa_panel</t>
        </is>
      </c>
      <c r="C1482" s="3" t="inlineStr">
        <is>
          <t>completo</t>
        </is>
      </c>
      <c r="D1482" s="3" t="inlineStr">
        <is>
          <t>residuo</t>
        </is>
      </c>
      <c r="E1482" s="3" t="inlineStr">
        <is>
          <t>shap</t>
        </is>
      </c>
      <c r="F1482" s="3" t="n">
        <v>-0.239384</v>
      </c>
      <c r="G1482" s="3" t="n"/>
      <c r="H1482" s="3" t="n"/>
      <c r="I1482" s="3" t="n"/>
      <c r="J1482" s="3" t="n">
        <v>-0.574727</v>
      </c>
      <c r="K1482" s="3" t="n">
        <v>1.0468</v>
      </c>
      <c r="L1482" s="3" t="n">
        <v>-0.99709</v>
      </c>
      <c r="M1482" s="3" t="n">
        <v>1.62657</v>
      </c>
      <c r="N1482" s="3" t="inlineStr">
        <is>
          <t>C4</t>
        </is>
      </c>
      <c r="O1482" s="3" t="inlineStr">
        <is>
          <t>no</t>
        </is>
      </c>
      <c r="P1482" s="3" t="inlineStr">
        <is>
          <t>no_compite</t>
        </is>
      </c>
      <c r="Q1482" s="3" t="inlineStr">
        <is>
          <t>lgbm_A_monotono</t>
        </is>
      </c>
      <c r="R1482" s="3" t="n"/>
      <c r="S1482" s="3" t="inlineStr">
        <is>
          <t>contraste (R6): media interanual x T/4; nunca causal; s_f respecto a dY de M2/M6</t>
        </is>
      </c>
      <c r="T1482" s="3" t="inlineStr">
        <is>
          <t>output/v8/F5/atribucion_combinada.csv</t>
        </is>
      </c>
      <c r="U1482" s="2">
        <f>IF(R1482=0,"",F1482/R1482)</f>
        <v/>
      </c>
      <c r="V1482" s="2">
        <f>SUMIFS(F$2:F$1589,A$2:A$1589,A1482,C$2:C$1589,C1482,E$2:E$1589,E1482,Q$2:Q$1589,Q1482)</f>
        <v/>
      </c>
    </row>
    <row r="1483">
      <c r="A1483" s="3" t="inlineStr">
        <is>
          <t>compra</t>
        </is>
      </c>
      <c r="B1483" s="3" t="inlineStr">
        <is>
          <t>nacional</t>
        </is>
      </c>
      <c r="C1483" s="3" t="inlineStr">
        <is>
          <t>P1</t>
        </is>
      </c>
      <c r="D1483" s="3" t="inlineStr">
        <is>
          <t>demografia</t>
        </is>
      </c>
      <c r="E1483" s="3" t="inlineStr">
        <is>
          <t>shap</t>
        </is>
      </c>
      <c r="F1483" s="3" t="n">
        <v>10.1924</v>
      </c>
      <c r="G1483" s="3" t="n"/>
      <c r="H1483" s="3" t="n"/>
      <c r="I1483" s="3" t="n">
        <v>0.135263</v>
      </c>
      <c r="J1483" s="3" t="n">
        <v>2.30224</v>
      </c>
      <c r="K1483" s="3" t="n">
        <v>15.3754</v>
      </c>
      <c r="L1483" s="3" t="n">
        <v>0.7153389999999999</v>
      </c>
      <c r="M1483" s="3" t="n">
        <v>23.0869</v>
      </c>
      <c r="N1483" s="3" t="inlineStr">
        <is>
          <t>C4</t>
        </is>
      </c>
      <c r="O1483" s="3" t="inlineStr">
        <is>
          <t>si</t>
        </is>
      </c>
      <c r="P1483" s="3" t="inlineStr">
        <is>
          <t>no_vota</t>
        </is>
      </c>
      <c r="Q1483" s="3" t="inlineStr">
        <is>
          <t>lgbm_A_monotono</t>
        </is>
      </c>
      <c r="R1483" s="3" t="n">
        <v>75.3518</v>
      </c>
      <c r="S1483" s="3" t="inlineStr">
        <is>
          <t>contraste (R6): media interanual x T/4; nunca causal; s_f respecto a dY de M2/M6</t>
        </is>
      </c>
      <c r="T1483" s="3" t="inlineStr">
        <is>
          <t>output/v8/F5/atribucion_combinada.csv</t>
        </is>
      </c>
      <c r="U1483" s="2">
        <f>IF(R1483=0,"",F1483/R1483)</f>
        <v/>
      </c>
      <c r="V1483" s="2">
        <f>SUMIFS(F$2:F$1589,A$2:A$1589,A1483,C$2:C$1589,C1483,E$2:E$1589,E1483,Q$2:Q$1589,Q1483)</f>
        <v/>
      </c>
    </row>
    <row r="1484">
      <c r="A1484" s="3" t="inlineStr">
        <is>
          <t>compra</t>
        </is>
      </c>
      <c r="B1484" s="3" t="inlineStr">
        <is>
          <t>nacional</t>
        </is>
      </c>
      <c r="C1484" s="3" t="inlineStr">
        <is>
          <t>P1</t>
        </is>
      </c>
      <c r="D1484" s="3" t="inlineStr">
        <is>
          <t>empleo_renta</t>
        </is>
      </c>
      <c r="E1484" s="3" t="inlineStr">
        <is>
          <t>shap</t>
        </is>
      </c>
      <c r="F1484" s="3" t="n">
        <v>12.1945</v>
      </c>
      <c r="G1484" s="3" t="n"/>
      <c r="H1484" s="3" t="n"/>
      <c r="I1484" s="3" t="n">
        <v>0.161834</v>
      </c>
      <c r="J1484" s="3" t="n">
        <v>7.08651</v>
      </c>
      <c r="K1484" s="3" t="n">
        <v>18.9386</v>
      </c>
      <c r="L1484" s="3" t="n">
        <v>4.49245</v>
      </c>
      <c r="M1484" s="3" t="n">
        <v>24.5667</v>
      </c>
      <c r="N1484" s="3" t="inlineStr">
        <is>
          <t>C4</t>
        </is>
      </c>
      <c r="O1484" s="3" t="inlineStr">
        <is>
          <t>si</t>
        </is>
      </c>
      <c r="P1484" s="3" t="inlineStr">
        <is>
          <t>no_vota</t>
        </is>
      </c>
      <c r="Q1484" s="3" t="inlineStr">
        <is>
          <t>lgbm_A_monotono</t>
        </is>
      </c>
      <c r="R1484" s="3" t="n">
        <v>75.3518</v>
      </c>
      <c r="S1484" s="3" t="inlineStr">
        <is>
          <t>contraste (R6): media interanual x T/4; nunca causal; s_f respecto a dY de M2/M6</t>
        </is>
      </c>
      <c r="T1484" s="3" t="inlineStr">
        <is>
          <t>output/v8/F5/atribucion_combinada.csv</t>
        </is>
      </c>
      <c r="U1484" s="2">
        <f>IF(R1484=0,"",F1484/R1484)</f>
        <v/>
      </c>
      <c r="V1484" s="2">
        <f>SUMIFS(F$2:F$1589,A$2:A$1589,A1484,C$2:C$1589,C1484,E$2:E$1589,E1484,Q$2:Q$1589,Q1484)</f>
        <v/>
      </c>
    </row>
    <row r="1485">
      <c r="A1485" s="3" t="inlineStr">
        <is>
          <t>compra</t>
        </is>
      </c>
      <c r="B1485" s="3" t="inlineStr">
        <is>
          <t>nacional</t>
        </is>
      </c>
      <c r="C1485" s="3" t="inlineStr">
        <is>
          <t>P1</t>
        </is>
      </c>
      <c r="D1485" s="3" t="inlineStr">
        <is>
          <t>credito_tipos</t>
        </is>
      </c>
      <c r="E1485" s="3" t="inlineStr">
        <is>
          <t>shap</t>
        </is>
      </c>
      <c r="F1485" s="3" t="n">
        <v>9.166689999999999</v>
      </c>
      <c r="G1485" s="3" t="n"/>
      <c r="H1485" s="3" t="n"/>
      <c r="I1485" s="3" t="n">
        <v>0.121652</v>
      </c>
      <c r="J1485" s="3" t="n">
        <v>2.82065</v>
      </c>
      <c r="K1485" s="3" t="n">
        <v>13.2955</v>
      </c>
      <c r="L1485" s="3" t="n">
        <v>1.17552</v>
      </c>
      <c r="M1485" s="3" t="n">
        <v>16.8742</v>
      </c>
      <c r="N1485" s="3" t="inlineStr">
        <is>
          <t>C4</t>
        </is>
      </c>
      <c r="O1485" s="3" t="inlineStr">
        <is>
          <t>si</t>
        </is>
      </c>
      <c r="P1485" s="3" t="inlineStr">
        <is>
          <t>no_vota</t>
        </is>
      </c>
      <c r="Q1485" s="3" t="inlineStr">
        <is>
          <t>lgbm_A_monotono</t>
        </is>
      </c>
      <c r="R1485" s="3" t="n">
        <v>75.3518</v>
      </c>
      <c r="S1485" s="3" t="inlineStr">
        <is>
          <t>contraste (R6): media interanual x T/4; nunca causal; s_f respecto a dY de M2/M6</t>
        </is>
      </c>
      <c r="T1485" s="3" t="inlineStr">
        <is>
          <t>output/v8/F5/atribucion_combinada.csv</t>
        </is>
      </c>
      <c r="U1485" s="2">
        <f>IF(R1485=0,"",F1485/R1485)</f>
        <v/>
      </c>
      <c r="V1485" s="2">
        <f>SUMIFS(F$2:F$1589,A$2:A$1589,A1485,C$2:C$1589,C1485,E$2:E$1589,E1485,Q$2:Q$1589,Q1485)</f>
        <v/>
      </c>
    </row>
    <row r="1486">
      <c r="A1486" s="3" t="inlineStr">
        <is>
          <t>compra</t>
        </is>
      </c>
      <c r="B1486" s="3" t="inlineStr">
        <is>
          <t>nacional</t>
        </is>
      </c>
      <c r="C1486" s="3" t="inlineStr">
        <is>
          <t>P1</t>
        </is>
      </c>
      <c r="D1486" s="3" t="inlineStr">
        <is>
          <t>oferta</t>
        </is>
      </c>
      <c r="E1486" s="3" t="inlineStr">
        <is>
          <t>shap</t>
        </is>
      </c>
      <c r="F1486" s="3" t="n">
        <v>-0.112402</v>
      </c>
      <c r="G1486" s="3" t="n"/>
      <c r="H1486" s="3" t="n"/>
      <c r="I1486" s="3" t="n">
        <v>-0.0014917</v>
      </c>
      <c r="J1486" s="3" t="n">
        <v>-0.0579377</v>
      </c>
      <c r="K1486" s="3" t="n">
        <v>4.72588</v>
      </c>
      <c r="L1486" s="3" t="n">
        <v>-0.847557</v>
      </c>
      <c r="M1486" s="3" t="n">
        <v>8.20664</v>
      </c>
      <c r="N1486" s="3" t="inlineStr">
        <is>
          <t>C4</t>
        </is>
      </c>
      <c r="O1486" s="3" t="inlineStr">
        <is>
          <t>si</t>
        </is>
      </c>
      <c r="P1486" s="3" t="inlineStr">
        <is>
          <t>no_vota</t>
        </is>
      </c>
      <c r="Q1486" s="3" t="inlineStr">
        <is>
          <t>lgbm_A_monotono</t>
        </is>
      </c>
      <c r="R1486" s="3" t="n">
        <v>75.3518</v>
      </c>
      <c r="S1486" s="3" t="inlineStr">
        <is>
          <t>contraste (R6): media interanual x T/4; nunca causal; s_f respecto a dY de M2/M6</t>
        </is>
      </c>
      <c r="T1486" s="3" t="inlineStr">
        <is>
          <t>output/v8/F5/atribucion_combinada.csv</t>
        </is>
      </c>
      <c r="U1486" s="2">
        <f>IF(R1486=0,"",F1486/R1486)</f>
        <v/>
      </c>
      <c r="V1486" s="2">
        <f>SUMIFS(F$2:F$1589,A$2:A$1589,A1486,C$2:C$1589,C1486,E$2:E$1589,E1486,Q$2:Q$1589,Q1486)</f>
        <v/>
      </c>
    </row>
    <row r="1487">
      <c r="A1487" s="3" t="inlineStr">
        <is>
          <t>compra</t>
        </is>
      </c>
      <c r="B1487" s="3" t="inlineStr">
        <is>
          <t>nacional</t>
        </is>
      </c>
      <c r="C1487" s="3" t="inlineStr">
        <is>
          <t>P1</t>
        </is>
      </c>
      <c r="D1487" s="3" t="inlineStr">
        <is>
          <t>factor_europeo</t>
        </is>
      </c>
      <c r="E1487" s="3" t="inlineStr">
        <is>
          <t>shap</t>
        </is>
      </c>
      <c r="F1487" s="3" t="n">
        <v>7.6281</v>
      </c>
      <c r="G1487" s="3" t="n"/>
      <c r="H1487" s="3" t="n"/>
      <c r="I1487" s="3" t="n">
        <v>0.101233</v>
      </c>
      <c r="J1487" s="3" t="n">
        <v>2.51182</v>
      </c>
      <c r="K1487" s="3" t="n">
        <v>10.2393</v>
      </c>
      <c r="L1487" s="3" t="n">
        <v>1.43173</v>
      </c>
      <c r="M1487" s="3" t="n">
        <v>12.5586</v>
      </c>
      <c r="N1487" s="3" t="inlineStr">
        <is>
          <t>C4</t>
        </is>
      </c>
      <c r="O1487" s="3" t="inlineStr">
        <is>
          <t>si</t>
        </is>
      </c>
      <c r="P1487" s="3" t="inlineStr">
        <is>
          <t>no_vota</t>
        </is>
      </c>
      <c r="Q1487" s="3" t="inlineStr">
        <is>
          <t>lgbm_A_monotono</t>
        </is>
      </c>
      <c r="R1487" s="3" t="n">
        <v>75.3518</v>
      </c>
      <c r="S1487" s="3" t="inlineStr">
        <is>
          <t>contraste (R6): media interanual x T/4; nunca causal; s_f respecto a dY de M2/M6</t>
        </is>
      </c>
      <c r="T1487" s="3" t="inlineStr">
        <is>
          <t>output/v8/F5/atribucion_combinada.csv</t>
        </is>
      </c>
      <c r="U1487" s="2">
        <f>IF(R1487=0,"",F1487/R1487)</f>
        <v/>
      </c>
      <c r="V1487" s="2">
        <f>SUMIFS(F$2:F$1589,A$2:A$1589,A1487,C$2:C$1589,C1487,E$2:E$1589,E1487,Q$2:Q$1589,Q1487)</f>
        <v/>
      </c>
    </row>
    <row r="1488">
      <c r="A1488" s="3" t="inlineStr">
        <is>
          <t>compra</t>
        </is>
      </c>
      <c r="B1488" s="3" t="inlineStr">
        <is>
          <t>nacional</t>
        </is>
      </c>
      <c r="C1488" s="3" t="inlineStr">
        <is>
          <t>P1</t>
        </is>
      </c>
      <c r="D1488" s="3" t="inlineStr">
        <is>
          <t>residuo</t>
        </is>
      </c>
      <c r="E1488" s="3" t="inlineStr">
        <is>
          <t>shap</t>
        </is>
      </c>
      <c r="F1488" s="3" t="n">
        <v>0.121081</v>
      </c>
      <c r="G1488" s="3" t="n"/>
      <c r="H1488" s="3" t="n"/>
      <c r="I1488" s="3" t="n">
        <v>0.00160688</v>
      </c>
      <c r="J1488" s="3" t="n">
        <v>-0.296379</v>
      </c>
      <c r="K1488" s="3" t="n">
        <v>1.47957</v>
      </c>
      <c r="L1488" s="3" t="n">
        <v>-0.631968</v>
      </c>
      <c r="M1488" s="3" t="n">
        <v>2.2102</v>
      </c>
      <c r="N1488" s="3" t="inlineStr">
        <is>
          <t>C4</t>
        </is>
      </c>
      <c r="O1488" s="3" t="inlineStr">
        <is>
          <t>no</t>
        </is>
      </c>
      <c r="P1488" s="3" t="inlineStr">
        <is>
          <t>no_compite</t>
        </is>
      </c>
      <c r="Q1488" s="3" t="inlineStr">
        <is>
          <t>lgbm_A_monotono</t>
        </is>
      </c>
      <c r="R1488" s="3" t="n">
        <v>75.3518</v>
      </c>
      <c r="S1488" s="3" t="inlineStr">
        <is>
          <t>contraste (R6): media interanual x T/4; nunca causal; s_f respecto a dY de M2/M6</t>
        </is>
      </c>
      <c r="T1488" s="3" t="inlineStr">
        <is>
          <t>output/v8/F5/atribucion_combinada.csv</t>
        </is>
      </c>
      <c r="U1488" s="2">
        <f>IF(R1488=0,"",F1488/R1488)</f>
        <v/>
      </c>
      <c r="V1488" s="2">
        <f>SUMIFS(F$2:F$1589,A$2:A$1589,A1488,C$2:C$1589,C1488,E$2:E$1589,E1488,Q$2:Q$1589,Q1488)</f>
        <v/>
      </c>
    </row>
    <row r="1489">
      <c r="A1489" s="3" t="inlineStr">
        <is>
          <t>compra</t>
        </is>
      </c>
      <c r="B1489" s="3" t="inlineStr">
        <is>
          <t>nacional</t>
        </is>
      </c>
      <c r="C1489" s="3" t="inlineStr">
        <is>
          <t>P2</t>
        </is>
      </c>
      <c r="D1489" s="3" t="inlineStr">
        <is>
          <t>demografia</t>
        </is>
      </c>
      <c r="E1489" s="3" t="inlineStr">
        <is>
          <t>shap</t>
        </is>
      </c>
      <c r="F1489" s="3" t="n">
        <v>-7.67707</v>
      </c>
      <c r="G1489" s="3" t="n"/>
      <c r="H1489" s="3" t="n"/>
      <c r="I1489" s="3" t="n">
        <v>0.174472</v>
      </c>
      <c r="J1489" s="3" t="n">
        <v>-11.8199</v>
      </c>
      <c r="K1489" s="3" t="n">
        <v>-3.57244</v>
      </c>
      <c r="L1489" s="3" t="n">
        <v>-17.498</v>
      </c>
      <c r="M1489" s="3" t="n">
        <v>-2.01142</v>
      </c>
      <c r="N1489" s="3" t="inlineStr">
        <is>
          <t>C4</t>
        </is>
      </c>
      <c r="O1489" s="3" t="inlineStr">
        <is>
          <t>si</t>
        </is>
      </c>
      <c r="P1489" s="3" t="inlineStr">
        <is>
          <t>no_vota</t>
        </is>
      </c>
      <c r="Q1489" s="3" t="inlineStr">
        <is>
          <t>lgbm_A_monotono</t>
        </is>
      </c>
      <c r="R1489" s="3" t="n">
        <v>-44.0018</v>
      </c>
      <c r="S1489" s="3" t="inlineStr">
        <is>
          <t>contraste (R6): media interanual x T/4; nunca causal; s_f respecto a dY de M2/M6</t>
        </is>
      </c>
      <c r="T1489" s="3" t="inlineStr">
        <is>
          <t>output/v8/F5/atribucion_combinada.csv</t>
        </is>
      </c>
      <c r="U1489" s="2">
        <f>IF(R1489=0,"",F1489/R1489)</f>
        <v/>
      </c>
      <c r="V1489" s="2">
        <f>SUMIFS(F$2:F$1589,A$2:A$1589,A1489,C$2:C$1589,C1489,E$2:E$1589,E1489,Q$2:Q$1589,Q1489)</f>
        <v/>
      </c>
    </row>
    <row r="1490">
      <c r="A1490" s="3" t="inlineStr">
        <is>
          <t>compra</t>
        </is>
      </c>
      <c r="B1490" s="3" t="inlineStr">
        <is>
          <t>nacional</t>
        </is>
      </c>
      <c r="C1490" s="3" t="inlineStr">
        <is>
          <t>P2</t>
        </is>
      </c>
      <c r="D1490" s="3" t="inlineStr">
        <is>
          <t>empleo_renta</t>
        </is>
      </c>
      <c r="E1490" s="3" t="inlineStr">
        <is>
          <t>shap</t>
        </is>
      </c>
      <c r="F1490" s="3" t="n">
        <v>-24.6533</v>
      </c>
      <c r="G1490" s="3" t="n"/>
      <c r="H1490" s="3" t="n"/>
      <c r="I1490" s="3" t="n">
        <v>0.56028</v>
      </c>
      <c r="J1490" s="3" t="n">
        <v>-28.8722</v>
      </c>
      <c r="K1490" s="3" t="n">
        <v>-12.1768</v>
      </c>
      <c r="L1490" s="3" t="n">
        <v>-32.4548</v>
      </c>
      <c r="M1490" s="3" t="n">
        <v>-7.69917</v>
      </c>
      <c r="N1490" s="3" t="inlineStr">
        <is>
          <t>C4</t>
        </is>
      </c>
      <c r="O1490" s="3" t="inlineStr">
        <is>
          <t>si</t>
        </is>
      </c>
      <c r="P1490" s="3" t="inlineStr">
        <is>
          <t>no_vota</t>
        </is>
      </c>
      <c r="Q1490" s="3" t="inlineStr">
        <is>
          <t>lgbm_A_monotono</t>
        </is>
      </c>
      <c r="R1490" s="3" t="n">
        <v>-44.0018</v>
      </c>
      <c r="S1490" s="3" t="inlineStr">
        <is>
          <t>contraste (R6): media interanual x T/4; nunca causal; s_f respecto a dY de M2/M6</t>
        </is>
      </c>
      <c r="T1490" s="3" t="inlineStr">
        <is>
          <t>output/v8/F5/atribucion_combinada.csv</t>
        </is>
      </c>
      <c r="U1490" s="2">
        <f>IF(R1490=0,"",F1490/R1490)</f>
        <v/>
      </c>
      <c r="V1490" s="2">
        <f>SUMIFS(F$2:F$1589,A$2:A$1589,A1490,C$2:C$1589,C1490,E$2:E$1589,E1490,Q$2:Q$1589,Q1490)</f>
        <v/>
      </c>
    </row>
    <row r="1491">
      <c r="A1491" s="3" t="inlineStr">
        <is>
          <t>compra</t>
        </is>
      </c>
      <c r="B1491" s="3" t="inlineStr">
        <is>
          <t>nacional</t>
        </is>
      </c>
      <c r="C1491" s="3" t="inlineStr">
        <is>
          <t>P2</t>
        </is>
      </c>
      <c r="D1491" s="3" t="inlineStr">
        <is>
          <t>credito_tipos</t>
        </is>
      </c>
      <c r="E1491" s="3" t="inlineStr">
        <is>
          <t>shap</t>
        </is>
      </c>
      <c r="F1491" s="3" t="n">
        <v>-1.15783</v>
      </c>
      <c r="G1491" s="3" t="n"/>
      <c r="H1491" s="3" t="n"/>
      <c r="I1491" s="3" t="n">
        <v>0.0263133</v>
      </c>
      <c r="J1491" s="3" t="n">
        <v>-3.14712</v>
      </c>
      <c r="K1491" s="3" t="n">
        <v>0.15876</v>
      </c>
      <c r="L1491" s="3" t="n">
        <v>-6.46167</v>
      </c>
      <c r="M1491" s="3" t="n">
        <v>0.900679</v>
      </c>
      <c r="N1491" s="3" t="inlineStr">
        <is>
          <t>C4</t>
        </is>
      </c>
      <c r="O1491" s="3" t="inlineStr">
        <is>
          <t>si</t>
        </is>
      </c>
      <c r="P1491" s="3" t="inlineStr">
        <is>
          <t>no_vota</t>
        </is>
      </c>
      <c r="Q1491" s="3" t="inlineStr">
        <is>
          <t>lgbm_A_monotono</t>
        </is>
      </c>
      <c r="R1491" s="3" t="n">
        <v>-44.0018</v>
      </c>
      <c r="S1491" s="3" t="inlineStr">
        <is>
          <t>contraste (R6): media interanual x T/4; nunca causal; s_f respecto a dY de M2/M6</t>
        </is>
      </c>
      <c r="T1491" s="3" t="inlineStr">
        <is>
          <t>output/v8/F5/atribucion_combinada.csv</t>
        </is>
      </c>
      <c r="U1491" s="2">
        <f>IF(R1491=0,"",F1491/R1491)</f>
        <v/>
      </c>
      <c r="V1491" s="2">
        <f>SUMIFS(F$2:F$1589,A$2:A$1589,A1491,C$2:C$1589,C1491,E$2:E$1589,E1491,Q$2:Q$1589,Q1491)</f>
        <v/>
      </c>
    </row>
    <row r="1492">
      <c r="A1492" s="3" t="inlineStr">
        <is>
          <t>compra</t>
        </is>
      </c>
      <c r="B1492" s="3" t="inlineStr">
        <is>
          <t>nacional</t>
        </is>
      </c>
      <c r="C1492" s="3" t="inlineStr">
        <is>
          <t>P2</t>
        </is>
      </c>
      <c r="D1492" s="3" t="inlineStr">
        <is>
          <t>oferta</t>
        </is>
      </c>
      <c r="E1492" s="3" t="inlineStr">
        <is>
          <t>shap</t>
        </is>
      </c>
      <c r="F1492" s="3" t="n">
        <v>-1.91811</v>
      </c>
      <c r="G1492" s="3" t="n"/>
      <c r="H1492" s="3" t="n"/>
      <c r="I1492" s="3" t="n">
        <v>0.0435917</v>
      </c>
      <c r="J1492" s="3" t="n">
        <v>-10.8628</v>
      </c>
      <c r="K1492" s="3" t="n">
        <v>-1.43815</v>
      </c>
      <c r="L1492" s="3" t="n">
        <v>-16.1816</v>
      </c>
      <c r="M1492" s="3" t="n">
        <v>-0.737401</v>
      </c>
      <c r="N1492" s="3" t="inlineStr">
        <is>
          <t>C4</t>
        </is>
      </c>
      <c r="O1492" s="3" t="inlineStr">
        <is>
          <t>si</t>
        </is>
      </c>
      <c r="P1492" s="3" t="inlineStr">
        <is>
          <t>no_vota</t>
        </is>
      </c>
      <c r="Q1492" s="3" t="inlineStr">
        <is>
          <t>lgbm_A_monotono</t>
        </is>
      </c>
      <c r="R1492" s="3" t="n">
        <v>-44.0018</v>
      </c>
      <c r="S1492" s="3" t="inlineStr">
        <is>
          <t>contraste (R6): media interanual x T/4; nunca causal; s_f respecto a dY de M2/M6</t>
        </is>
      </c>
      <c r="T1492" s="3" t="inlineStr">
        <is>
          <t>output/v8/F5/atribucion_combinada.csv</t>
        </is>
      </c>
      <c r="U1492" s="2">
        <f>IF(R1492=0,"",F1492/R1492)</f>
        <v/>
      </c>
      <c r="V1492" s="2">
        <f>SUMIFS(F$2:F$1589,A$2:A$1589,A1492,C$2:C$1589,C1492,E$2:E$1589,E1492,Q$2:Q$1589,Q1492)</f>
        <v/>
      </c>
    </row>
    <row r="1493">
      <c r="A1493" s="3" t="inlineStr">
        <is>
          <t>compra</t>
        </is>
      </c>
      <c r="B1493" s="3" t="inlineStr">
        <is>
          <t>nacional</t>
        </is>
      </c>
      <c r="C1493" s="3" t="inlineStr">
        <is>
          <t>P2</t>
        </is>
      </c>
      <c r="D1493" s="3" t="inlineStr">
        <is>
          <t>factor_europeo</t>
        </is>
      </c>
      <c r="E1493" s="3" t="inlineStr">
        <is>
          <t>shap</t>
        </is>
      </c>
      <c r="F1493" s="3" t="n">
        <v>-11.6014</v>
      </c>
      <c r="G1493" s="3" t="n"/>
      <c r="H1493" s="3" t="n"/>
      <c r="I1493" s="3" t="n">
        <v>0.263656</v>
      </c>
      <c r="J1493" s="3" t="n">
        <v>-13.2063</v>
      </c>
      <c r="K1493" s="3" t="n">
        <v>-3.39538</v>
      </c>
      <c r="L1493" s="3" t="n">
        <v>-18.3488</v>
      </c>
      <c r="M1493" s="3" t="n">
        <v>-1.95615</v>
      </c>
      <c r="N1493" s="3" t="inlineStr">
        <is>
          <t>C4</t>
        </is>
      </c>
      <c r="O1493" s="3" t="inlineStr">
        <is>
          <t>si</t>
        </is>
      </c>
      <c r="P1493" s="3" t="inlineStr">
        <is>
          <t>no_vota</t>
        </is>
      </c>
      <c r="Q1493" s="3" t="inlineStr">
        <is>
          <t>lgbm_A_monotono</t>
        </is>
      </c>
      <c r="R1493" s="3" t="n">
        <v>-44.0018</v>
      </c>
      <c r="S1493" s="3" t="inlineStr">
        <is>
          <t>contraste (R6): media interanual x T/4; nunca causal; s_f respecto a dY de M2/M6</t>
        </is>
      </c>
      <c r="T1493" s="3" t="inlineStr">
        <is>
          <t>output/v8/F5/atribucion_combinada.csv</t>
        </is>
      </c>
      <c r="U1493" s="2">
        <f>IF(R1493=0,"",F1493/R1493)</f>
        <v/>
      </c>
      <c r="V1493" s="2">
        <f>SUMIFS(F$2:F$1589,A$2:A$1589,A1493,C$2:C$1589,C1493,E$2:E$1589,E1493,Q$2:Q$1589,Q1493)</f>
        <v/>
      </c>
    </row>
    <row r="1494">
      <c r="A1494" s="3" t="inlineStr">
        <is>
          <t>compra</t>
        </is>
      </c>
      <c r="B1494" s="3" t="inlineStr">
        <is>
          <t>nacional</t>
        </is>
      </c>
      <c r="C1494" s="3" t="inlineStr">
        <is>
          <t>P2</t>
        </is>
      </c>
      <c r="D1494" s="3" t="inlineStr">
        <is>
          <t>residuo</t>
        </is>
      </c>
      <c r="E1494" s="3" t="inlineStr">
        <is>
          <t>shap</t>
        </is>
      </c>
      <c r="F1494" s="3" t="n">
        <v>-0.270143</v>
      </c>
      <c r="G1494" s="3" t="n"/>
      <c r="H1494" s="3" t="n"/>
      <c r="I1494" s="3" t="n">
        <v>0.00613936</v>
      </c>
      <c r="J1494" s="3" t="n">
        <v>-0.959151</v>
      </c>
      <c r="K1494" s="3" t="n">
        <v>0.186128</v>
      </c>
      <c r="L1494" s="3" t="n">
        <v>-1.96878</v>
      </c>
      <c r="M1494" s="3" t="n">
        <v>0.415314</v>
      </c>
      <c r="N1494" s="3" t="inlineStr">
        <is>
          <t>C4</t>
        </is>
      </c>
      <c r="O1494" s="3" t="inlineStr">
        <is>
          <t>no</t>
        </is>
      </c>
      <c r="P1494" s="3" t="inlineStr">
        <is>
          <t>no_compite</t>
        </is>
      </c>
      <c r="Q1494" s="3" t="inlineStr">
        <is>
          <t>lgbm_A_monotono</t>
        </is>
      </c>
      <c r="R1494" s="3" t="n">
        <v>-44.0018</v>
      </c>
      <c r="S1494" s="3" t="inlineStr">
        <is>
          <t>contraste (R6): media interanual x T/4; nunca causal; s_f respecto a dY de M2/M6</t>
        </is>
      </c>
      <c r="T1494" s="3" t="inlineStr">
        <is>
          <t>output/v8/F5/atribucion_combinada.csv</t>
        </is>
      </c>
      <c r="U1494" s="2">
        <f>IF(R1494=0,"",F1494/R1494)</f>
        <v/>
      </c>
      <c r="V1494" s="2">
        <f>SUMIFS(F$2:F$1589,A$2:A$1589,A1494,C$2:C$1589,C1494,E$2:E$1589,E1494,Q$2:Q$1589,Q1494)</f>
        <v/>
      </c>
    </row>
    <row r="1495">
      <c r="A1495" s="3" t="inlineStr">
        <is>
          <t>compra</t>
        </is>
      </c>
      <c r="B1495" s="3" t="inlineStr">
        <is>
          <t>nacional</t>
        </is>
      </c>
      <c r="C1495" s="3" t="inlineStr">
        <is>
          <t>P3</t>
        </is>
      </c>
      <c r="D1495" s="3" t="inlineStr">
        <is>
          <t>demografia</t>
        </is>
      </c>
      <c r="E1495" s="3" t="inlineStr">
        <is>
          <t>shap</t>
        </is>
      </c>
      <c r="F1495" s="3" t="n">
        <v>-4.87297</v>
      </c>
      <c r="G1495" s="3" t="n"/>
      <c r="H1495" s="3" t="n"/>
      <c r="I1495" s="3" t="n">
        <v>-0.5930569999999999</v>
      </c>
      <c r="J1495" s="3" t="n">
        <v>-8.285030000000001</v>
      </c>
      <c r="K1495" s="3" t="n">
        <v>0.620885</v>
      </c>
      <c r="L1495" s="3" t="n">
        <v>-13.0421</v>
      </c>
      <c r="M1495" s="3" t="n">
        <v>2.76688</v>
      </c>
      <c r="N1495" s="3" t="inlineStr">
        <is>
          <t>C4</t>
        </is>
      </c>
      <c r="O1495" s="3" t="inlineStr">
        <is>
          <t>si</t>
        </is>
      </c>
      <c r="P1495" s="3" t="inlineStr">
        <is>
          <t>no_vota</t>
        </is>
      </c>
      <c r="Q1495" s="3" t="inlineStr">
        <is>
          <t>lgbm_A_monotono</t>
        </is>
      </c>
      <c r="R1495" s="3" t="n">
        <v>8.216699999999999</v>
      </c>
      <c r="S1495" s="3" t="inlineStr">
        <is>
          <t>contraste (R6): media interanual x T/4; nunca causal; s_f respecto a dY de M2/M6</t>
        </is>
      </c>
      <c r="T1495" s="3" t="inlineStr">
        <is>
          <t>output/v8/F5/atribucion_combinada.csv</t>
        </is>
      </c>
      <c r="U1495" s="2">
        <f>IF(R1495=0,"",F1495/R1495)</f>
        <v/>
      </c>
      <c r="V1495" s="2">
        <f>SUMIFS(F$2:F$1589,A$2:A$1589,A1495,C$2:C$1589,C1495,E$2:E$1589,E1495,Q$2:Q$1589,Q1495)</f>
        <v/>
      </c>
    </row>
    <row r="1496">
      <c r="A1496" s="3" t="inlineStr">
        <is>
          <t>compra</t>
        </is>
      </c>
      <c r="B1496" s="3" t="inlineStr">
        <is>
          <t>nacional</t>
        </is>
      </c>
      <c r="C1496" s="3" t="inlineStr">
        <is>
          <t>P3</t>
        </is>
      </c>
      <c r="D1496" s="3" t="inlineStr">
        <is>
          <t>empleo_renta</t>
        </is>
      </c>
      <c r="E1496" s="3" t="inlineStr">
        <is>
          <t>shap</t>
        </is>
      </c>
      <c r="F1496" s="3" t="n">
        <v>8.12317</v>
      </c>
      <c r="G1496" s="3" t="n"/>
      <c r="H1496" s="3" t="n"/>
      <c r="I1496" s="3" t="n">
        <v>0.988618</v>
      </c>
      <c r="J1496" s="3" t="n">
        <v>3.9519</v>
      </c>
      <c r="K1496" s="3" t="n">
        <v>10.6595</v>
      </c>
      <c r="L1496" s="3" t="n">
        <v>1.81933</v>
      </c>
      <c r="M1496" s="3" t="n">
        <v>14.9228</v>
      </c>
      <c r="N1496" s="3" t="inlineStr">
        <is>
          <t>C4</t>
        </is>
      </c>
      <c r="O1496" s="3" t="inlineStr">
        <is>
          <t>si</t>
        </is>
      </c>
      <c r="P1496" s="3" t="inlineStr">
        <is>
          <t>no_vota</t>
        </is>
      </c>
      <c r="Q1496" s="3" t="inlineStr">
        <is>
          <t>lgbm_A_monotono</t>
        </is>
      </c>
      <c r="R1496" s="3" t="n">
        <v>8.216699999999999</v>
      </c>
      <c r="S1496" s="3" t="inlineStr">
        <is>
          <t>contraste (R6): media interanual x T/4; nunca causal; s_f respecto a dY de M2/M6</t>
        </is>
      </c>
      <c r="T1496" s="3" t="inlineStr">
        <is>
          <t>output/v8/F5/atribucion_combinada.csv</t>
        </is>
      </c>
      <c r="U1496" s="2">
        <f>IF(R1496=0,"",F1496/R1496)</f>
        <v/>
      </c>
      <c r="V1496" s="2">
        <f>SUMIFS(F$2:F$1589,A$2:A$1589,A1496,C$2:C$1589,C1496,E$2:E$1589,E1496,Q$2:Q$1589,Q1496)</f>
        <v/>
      </c>
    </row>
    <row r="1497">
      <c r="A1497" s="3" t="inlineStr">
        <is>
          <t>compra</t>
        </is>
      </c>
      <c r="B1497" s="3" t="inlineStr">
        <is>
          <t>nacional</t>
        </is>
      </c>
      <c r="C1497" s="3" t="inlineStr">
        <is>
          <t>P3</t>
        </is>
      </c>
      <c r="D1497" s="3" t="inlineStr">
        <is>
          <t>credito_tipos</t>
        </is>
      </c>
      <c r="E1497" s="3" t="inlineStr">
        <is>
          <t>shap</t>
        </is>
      </c>
      <c r="F1497" s="3" t="n">
        <v>-6.578</v>
      </c>
      <c r="G1497" s="3" t="n"/>
      <c r="H1497" s="3" t="n"/>
      <c r="I1497" s="3" t="n">
        <v>-0.800565</v>
      </c>
      <c r="J1497" s="3" t="n">
        <v>-7.35851</v>
      </c>
      <c r="K1497" s="3" t="n">
        <v>-1.51483</v>
      </c>
      <c r="L1497" s="3" t="n">
        <v>-8.76704</v>
      </c>
      <c r="M1497" s="3" t="n">
        <v>-0.409146</v>
      </c>
      <c r="N1497" s="3" t="inlineStr">
        <is>
          <t>C4</t>
        </is>
      </c>
      <c r="O1497" s="3" t="inlineStr">
        <is>
          <t>si</t>
        </is>
      </c>
      <c r="P1497" s="3" t="inlineStr">
        <is>
          <t>no_vota</t>
        </is>
      </c>
      <c r="Q1497" s="3" t="inlineStr">
        <is>
          <t>lgbm_A_monotono</t>
        </is>
      </c>
      <c r="R1497" s="3" t="n">
        <v>8.216699999999999</v>
      </c>
      <c r="S1497" s="3" t="inlineStr">
        <is>
          <t>contraste (R6): media interanual x T/4; nunca causal; s_f respecto a dY de M2/M6</t>
        </is>
      </c>
      <c r="T1497" s="3" t="inlineStr">
        <is>
          <t>output/v8/F5/atribucion_combinada.csv</t>
        </is>
      </c>
      <c r="U1497" s="2">
        <f>IF(R1497=0,"",F1497/R1497)</f>
        <v/>
      </c>
      <c r="V1497" s="2">
        <f>SUMIFS(F$2:F$1589,A$2:A$1589,A1497,C$2:C$1589,C1497,E$2:E$1589,E1497,Q$2:Q$1589,Q1497)</f>
        <v/>
      </c>
    </row>
    <row r="1498">
      <c r="A1498" s="3" t="inlineStr">
        <is>
          <t>compra</t>
        </is>
      </c>
      <c r="B1498" s="3" t="inlineStr">
        <is>
          <t>nacional</t>
        </is>
      </c>
      <c r="C1498" s="3" t="inlineStr">
        <is>
          <t>P3</t>
        </is>
      </c>
      <c r="D1498" s="3" t="inlineStr">
        <is>
          <t>oferta</t>
        </is>
      </c>
      <c r="E1498" s="3" t="inlineStr">
        <is>
          <t>shap</t>
        </is>
      </c>
      <c r="F1498" s="3" t="n">
        <v>1.8313</v>
      </c>
      <c r="G1498" s="3" t="n"/>
      <c r="H1498" s="3" t="n"/>
      <c r="I1498" s="3" t="n">
        <v>0.222876</v>
      </c>
      <c r="J1498" s="3" t="n">
        <v>0.48125</v>
      </c>
      <c r="K1498" s="3" t="n">
        <v>4.59642</v>
      </c>
      <c r="L1498" s="3" t="n">
        <v>-0.0843383</v>
      </c>
      <c r="M1498" s="3" t="n">
        <v>7.83122</v>
      </c>
      <c r="N1498" s="3" t="inlineStr">
        <is>
          <t>C4</t>
        </is>
      </c>
      <c r="O1498" s="3" t="inlineStr">
        <is>
          <t>si</t>
        </is>
      </c>
      <c r="P1498" s="3" t="inlineStr">
        <is>
          <t>no_vota</t>
        </is>
      </c>
      <c r="Q1498" s="3" t="inlineStr">
        <is>
          <t>lgbm_A_monotono</t>
        </is>
      </c>
      <c r="R1498" s="3" t="n">
        <v>8.216699999999999</v>
      </c>
      <c r="S1498" s="3" t="inlineStr">
        <is>
          <t>contraste (R6): media interanual x T/4; nunca causal; s_f respecto a dY de M2/M6</t>
        </is>
      </c>
      <c r="T1498" s="3" t="inlineStr">
        <is>
          <t>output/v8/F5/atribucion_combinada.csv</t>
        </is>
      </c>
      <c r="U1498" s="2">
        <f>IF(R1498=0,"",F1498/R1498)</f>
        <v/>
      </c>
      <c r="V1498" s="2">
        <f>SUMIFS(F$2:F$1589,A$2:A$1589,A1498,C$2:C$1589,C1498,E$2:E$1589,E1498,Q$2:Q$1589,Q1498)</f>
        <v/>
      </c>
    </row>
    <row r="1499">
      <c r="A1499" s="3" t="inlineStr">
        <is>
          <t>compra</t>
        </is>
      </c>
      <c r="B1499" s="3" t="inlineStr">
        <is>
          <t>nacional</t>
        </is>
      </c>
      <c r="C1499" s="3" t="inlineStr">
        <is>
          <t>P3</t>
        </is>
      </c>
      <c r="D1499" s="3" t="inlineStr">
        <is>
          <t>factor_europeo</t>
        </is>
      </c>
      <c r="E1499" s="3" t="inlineStr">
        <is>
          <t>shap</t>
        </is>
      </c>
      <c r="F1499" s="3" t="n">
        <v>3.05069</v>
      </c>
      <c r="G1499" s="3" t="n"/>
      <c r="H1499" s="3" t="n"/>
      <c r="I1499" s="3" t="n">
        <v>0.37128</v>
      </c>
      <c r="J1499" s="3" t="n">
        <v>0.447322</v>
      </c>
      <c r="K1499" s="3" t="n">
        <v>4.69559</v>
      </c>
      <c r="L1499" s="3" t="n">
        <v>-0.254145</v>
      </c>
      <c r="M1499" s="3" t="n">
        <v>7.92134</v>
      </c>
      <c r="N1499" s="3" t="inlineStr">
        <is>
          <t>C4</t>
        </is>
      </c>
      <c r="O1499" s="3" t="inlineStr">
        <is>
          <t>si</t>
        </is>
      </c>
      <c r="P1499" s="3" t="inlineStr">
        <is>
          <t>no_vota</t>
        </is>
      </c>
      <c r="Q1499" s="3" t="inlineStr">
        <is>
          <t>lgbm_A_monotono</t>
        </is>
      </c>
      <c r="R1499" s="3" t="n">
        <v>8.216699999999999</v>
      </c>
      <c r="S1499" s="3" t="inlineStr">
        <is>
          <t>contraste (R6): media interanual x T/4; nunca causal; s_f respecto a dY de M2/M6</t>
        </is>
      </c>
      <c r="T1499" s="3" t="inlineStr">
        <is>
          <t>output/v8/F5/atribucion_combinada.csv</t>
        </is>
      </c>
      <c r="U1499" s="2">
        <f>IF(R1499=0,"",F1499/R1499)</f>
        <v/>
      </c>
      <c r="V1499" s="2">
        <f>SUMIFS(F$2:F$1589,A$2:A$1589,A1499,C$2:C$1589,C1499,E$2:E$1589,E1499,Q$2:Q$1589,Q1499)</f>
        <v/>
      </c>
    </row>
    <row r="1500">
      <c r="A1500" s="3" t="inlineStr">
        <is>
          <t>compra</t>
        </is>
      </c>
      <c r="B1500" s="3" t="inlineStr">
        <is>
          <t>nacional</t>
        </is>
      </c>
      <c r="C1500" s="3" t="inlineStr">
        <is>
          <t>P3</t>
        </is>
      </c>
      <c r="D1500" s="3" t="inlineStr">
        <is>
          <t>residuo</t>
        </is>
      </c>
      <c r="E1500" s="3" t="inlineStr">
        <is>
          <t>shap</t>
        </is>
      </c>
      <c r="F1500" s="3" t="n">
        <v>0.259493</v>
      </c>
      <c r="G1500" s="3" t="n"/>
      <c r="H1500" s="3" t="n"/>
      <c r="I1500" s="3" t="n">
        <v>0.0315811</v>
      </c>
      <c r="J1500" s="3" t="n">
        <v>-0.120281</v>
      </c>
      <c r="K1500" s="3" t="n">
        <v>0.524411</v>
      </c>
      <c r="L1500" s="3" t="n">
        <v>-0.350471</v>
      </c>
      <c r="M1500" s="3" t="n">
        <v>0.752505</v>
      </c>
      <c r="N1500" s="3" t="inlineStr">
        <is>
          <t>C4</t>
        </is>
      </c>
      <c r="O1500" s="3" t="inlineStr">
        <is>
          <t>no</t>
        </is>
      </c>
      <c r="P1500" s="3" t="inlineStr">
        <is>
          <t>no_compite</t>
        </is>
      </c>
      <c r="Q1500" s="3" t="inlineStr">
        <is>
          <t>lgbm_A_monotono</t>
        </is>
      </c>
      <c r="R1500" s="3" t="n">
        <v>8.216699999999999</v>
      </c>
      <c r="S1500" s="3" t="inlineStr">
        <is>
          <t>contraste (R6): media interanual x T/4; nunca causal; s_f respecto a dY de M2/M6</t>
        </is>
      </c>
      <c r="T1500" s="3" t="inlineStr">
        <is>
          <t>output/v8/F5/atribucion_combinada.csv</t>
        </is>
      </c>
      <c r="U1500" s="2">
        <f>IF(R1500=0,"",F1500/R1500)</f>
        <v/>
      </c>
      <c r="V1500" s="2">
        <f>SUMIFS(F$2:F$1589,A$2:A$1589,A1500,C$2:C$1589,C1500,E$2:E$1589,E1500,Q$2:Q$1589,Q1500)</f>
        <v/>
      </c>
    </row>
    <row r="1501">
      <c r="A1501" s="3" t="inlineStr">
        <is>
          <t>compra</t>
        </is>
      </c>
      <c r="B1501" s="3" t="inlineStr">
        <is>
          <t>nacional</t>
        </is>
      </c>
      <c r="C1501" s="3" t="inlineStr">
        <is>
          <t>P4</t>
        </is>
      </c>
      <c r="D1501" s="3" t="inlineStr">
        <is>
          <t>demografia</t>
        </is>
      </c>
      <c r="E1501" s="3" t="inlineStr">
        <is>
          <t>shap</t>
        </is>
      </c>
      <c r="F1501" s="3" t="n">
        <v>-2.16104</v>
      </c>
      <c r="G1501" s="3" t="n"/>
      <c r="H1501" s="3" t="n"/>
      <c r="I1501" s="3" t="n">
        <v>0.396026</v>
      </c>
      <c r="J1501" s="3" t="n">
        <v>-3.40612</v>
      </c>
      <c r="K1501" s="3" t="n">
        <v>0.466736</v>
      </c>
      <c r="L1501" s="3" t="n">
        <v>-4.79498</v>
      </c>
      <c r="M1501" s="3" t="n">
        <v>1.44035</v>
      </c>
      <c r="N1501" s="3" t="inlineStr">
        <is>
          <t>C4</t>
        </is>
      </c>
      <c r="O1501" s="3" t="inlineStr">
        <is>
          <t>si</t>
        </is>
      </c>
      <c r="P1501" s="3" t="inlineStr">
        <is>
          <t>no_vota</t>
        </is>
      </c>
      <c r="Q1501" s="3" t="inlineStr">
        <is>
          <t>lgbm_A_monotono</t>
        </is>
      </c>
      <c r="R1501" s="3" t="n">
        <v>-5.45682</v>
      </c>
      <c r="S1501" s="3" t="inlineStr">
        <is>
          <t>contraste (R6): media interanual x T/4; nunca causal; s_f respecto a dY de M2/M6</t>
        </is>
      </c>
      <c r="T1501" s="3" t="inlineStr">
        <is>
          <t>output/v8/F5/atribucion_combinada.csv</t>
        </is>
      </c>
      <c r="U1501" s="2">
        <f>IF(R1501=0,"",F1501/R1501)</f>
        <v/>
      </c>
      <c r="V1501" s="2">
        <f>SUMIFS(F$2:F$1589,A$2:A$1589,A1501,C$2:C$1589,C1501,E$2:E$1589,E1501,Q$2:Q$1589,Q1501)</f>
        <v/>
      </c>
    </row>
    <row r="1502">
      <c r="A1502" s="3" t="inlineStr">
        <is>
          <t>compra</t>
        </is>
      </c>
      <c r="B1502" s="3" t="inlineStr">
        <is>
          <t>nacional</t>
        </is>
      </c>
      <c r="C1502" s="3" t="inlineStr">
        <is>
          <t>P4</t>
        </is>
      </c>
      <c r="D1502" s="3" t="inlineStr">
        <is>
          <t>empleo_renta</t>
        </is>
      </c>
      <c r="E1502" s="3" t="inlineStr">
        <is>
          <t>shap</t>
        </is>
      </c>
      <c r="F1502" s="3" t="n">
        <v>-3.2581</v>
      </c>
      <c r="G1502" s="3" t="n"/>
      <c r="H1502" s="3" t="n"/>
      <c r="I1502" s="3" t="n">
        <v>0.597069</v>
      </c>
      <c r="J1502" s="3" t="n">
        <v>-6.791</v>
      </c>
      <c r="K1502" s="3" t="n">
        <v>-0.854871</v>
      </c>
      <c r="L1502" s="3" t="n">
        <v>-9.340780000000001</v>
      </c>
      <c r="M1502" s="3" t="n">
        <v>1.20293</v>
      </c>
      <c r="N1502" s="3" t="inlineStr">
        <is>
          <t>C4</t>
        </is>
      </c>
      <c r="O1502" s="3" t="inlineStr">
        <is>
          <t>si</t>
        </is>
      </c>
      <c r="P1502" s="3" t="inlineStr">
        <is>
          <t>no_vota</t>
        </is>
      </c>
      <c r="Q1502" s="3" t="inlineStr">
        <is>
          <t>lgbm_A_monotono</t>
        </is>
      </c>
      <c r="R1502" s="3" t="n">
        <v>-5.45682</v>
      </c>
      <c r="S1502" s="3" t="inlineStr">
        <is>
          <t>contraste (R6): media interanual x T/4; nunca causal; s_f respecto a dY de M2/M6</t>
        </is>
      </c>
      <c r="T1502" s="3" t="inlineStr">
        <is>
          <t>output/v8/F5/atribucion_combinada.csv</t>
        </is>
      </c>
      <c r="U1502" s="2">
        <f>IF(R1502=0,"",F1502/R1502)</f>
        <v/>
      </c>
      <c r="V1502" s="2">
        <f>SUMIFS(F$2:F$1589,A$2:A$1589,A1502,C$2:C$1589,C1502,E$2:E$1589,E1502,Q$2:Q$1589,Q1502)</f>
        <v/>
      </c>
    </row>
    <row r="1503">
      <c r="A1503" s="3" t="inlineStr">
        <is>
          <t>compra</t>
        </is>
      </c>
      <c r="B1503" s="3" t="inlineStr">
        <is>
          <t>nacional</t>
        </is>
      </c>
      <c r="C1503" s="3" t="inlineStr">
        <is>
          <t>P4</t>
        </is>
      </c>
      <c r="D1503" s="3" t="inlineStr">
        <is>
          <t>credito_tipos</t>
        </is>
      </c>
      <c r="E1503" s="3" t="inlineStr">
        <is>
          <t>shap</t>
        </is>
      </c>
      <c r="F1503" s="3" t="n">
        <v>-1.14507</v>
      </c>
      <c r="G1503" s="3" t="n"/>
      <c r="H1503" s="3" t="n"/>
      <c r="I1503" s="3" t="n">
        <v>0.209841</v>
      </c>
      <c r="J1503" s="3" t="n">
        <v>-1.80707</v>
      </c>
      <c r="K1503" s="3" t="n">
        <v>-0.107045</v>
      </c>
      <c r="L1503" s="3" t="n">
        <v>-2.48894</v>
      </c>
      <c r="M1503" s="3" t="n">
        <v>0.274093</v>
      </c>
      <c r="N1503" s="3" t="inlineStr">
        <is>
          <t>C4</t>
        </is>
      </c>
      <c r="O1503" s="3" t="inlineStr">
        <is>
          <t>si</t>
        </is>
      </c>
      <c r="P1503" s="3" t="inlineStr">
        <is>
          <t>no_vota</t>
        </is>
      </c>
      <c r="Q1503" s="3" t="inlineStr">
        <is>
          <t>lgbm_A_monotono</t>
        </is>
      </c>
      <c r="R1503" s="3" t="n">
        <v>-5.45682</v>
      </c>
      <c r="S1503" s="3" t="inlineStr">
        <is>
          <t>contraste (R6): media interanual x T/4; nunca causal; s_f respecto a dY de M2/M6</t>
        </is>
      </c>
      <c r="T1503" s="3" t="inlineStr">
        <is>
          <t>output/v8/F5/atribucion_combinada.csv</t>
        </is>
      </c>
      <c r="U1503" s="2">
        <f>IF(R1503=0,"",F1503/R1503)</f>
        <v/>
      </c>
      <c r="V1503" s="2">
        <f>SUMIFS(F$2:F$1589,A$2:A$1589,A1503,C$2:C$1589,C1503,E$2:E$1589,E1503,Q$2:Q$1589,Q1503)</f>
        <v/>
      </c>
    </row>
    <row r="1504">
      <c r="A1504" s="3" t="inlineStr">
        <is>
          <t>compra</t>
        </is>
      </c>
      <c r="B1504" s="3" t="inlineStr">
        <is>
          <t>nacional</t>
        </is>
      </c>
      <c r="C1504" s="3" t="inlineStr">
        <is>
          <t>P4</t>
        </is>
      </c>
      <c r="D1504" s="3" t="inlineStr">
        <is>
          <t>oferta</t>
        </is>
      </c>
      <c r="E1504" s="3" t="inlineStr">
        <is>
          <t>shap</t>
        </is>
      </c>
      <c r="F1504" s="3" t="n">
        <v>-0.0430299</v>
      </c>
      <c r="G1504" s="3" t="n"/>
      <c r="H1504" s="3" t="n"/>
      <c r="I1504" s="3" t="n">
        <v>0.00788552</v>
      </c>
      <c r="J1504" s="3" t="n">
        <v>-0.647362</v>
      </c>
      <c r="K1504" s="3" t="n">
        <v>1.75577</v>
      </c>
      <c r="L1504" s="3" t="n">
        <v>-1.36986</v>
      </c>
      <c r="M1504" s="3" t="n">
        <v>2.85202</v>
      </c>
      <c r="N1504" s="3" t="inlineStr">
        <is>
          <t>C4</t>
        </is>
      </c>
      <c r="O1504" s="3" t="inlineStr">
        <is>
          <t>si</t>
        </is>
      </c>
      <c r="P1504" s="3" t="inlineStr">
        <is>
          <t>no_vota</t>
        </is>
      </c>
      <c r="Q1504" s="3" t="inlineStr">
        <is>
          <t>lgbm_A_monotono</t>
        </is>
      </c>
      <c r="R1504" s="3" t="n">
        <v>-5.45682</v>
      </c>
      <c r="S1504" s="3" t="inlineStr">
        <is>
          <t>contraste (R6): media interanual x T/4; nunca causal; s_f respecto a dY de M2/M6</t>
        </is>
      </c>
      <c r="T1504" s="3" t="inlineStr">
        <is>
          <t>output/v8/F5/atribucion_combinada.csv</t>
        </is>
      </c>
      <c r="U1504" s="2">
        <f>IF(R1504=0,"",F1504/R1504)</f>
        <v/>
      </c>
      <c r="V1504" s="2">
        <f>SUMIFS(F$2:F$1589,A$2:A$1589,A1504,C$2:C$1589,C1504,E$2:E$1589,E1504,Q$2:Q$1589,Q1504)</f>
        <v/>
      </c>
    </row>
    <row r="1505">
      <c r="A1505" s="3" t="inlineStr">
        <is>
          <t>compra</t>
        </is>
      </c>
      <c r="B1505" s="3" t="inlineStr">
        <is>
          <t>nacional</t>
        </is>
      </c>
      <c r="C1505" s="3" t="inlineStr">
        <is>
          <t>P4</t>
        </is>
      </c>
      <c r="D1505" s="3" t="inlineStr">
        <is>
          <t>factor_europeo</t>
        </is>
      </c>
      <c r="E1505" s="3" t="inlineStr">
        <is>
          <t>shap</t>
        </is>
      </c>
      <c r="F1505" s="3" t="n">
        <v>2.46644</v>
      </c>
      <c r="G1505" s="3" t="n"/>
      <c r="H1505" s="3" t="n"/>
      <c r="I1505" s="3" t="n">
        <v>-0.451992</v>
      </c>
      <c r="J1505" s="3" t="n">
        <v>0.928122</v>
      </c>
      <c r="K1505" s="3" t="n">
        <v>4.00578</v>
      </c>
      <c r="L1505" s="3" t="n">
        <v>0.410786</v>
      </c>
      <c r="M1505" s="3" t="n">
        <v>5.19487</v>
      </c>
      <c r="N1505" s="3" t="inlineStr">
        <is>
          <t>C4</t>
        </is>
      </c>
      <c r="O1505" s="3" t="inlineStr">
        <is>
          <t>si</t>
        </is>
      </c>
      <c r="P1505" s="3" t="inlineStr">
        <is>
          <t>no_vota</t>
        </is>
      </c>
      <c r="Q1505" s="3" t="inlineStr">
        <is>
          <t>lgbm_A_monotono</t>
        </is>
      </c>
      <c r="R1505" s="3" t="n">
        <v>-5.45682</v>
      </c>
      <c r="S1505" s="3" t="inlineStr">
        <is>
          <t>contraste (R6): media interanual x T/4; nunca causal; s_f respecto a dY de M2/M6</t>
        </is>
      </c>
      <c r="T1505" s="3" t="inlineStr">
        <is>
          <t>output/v8/F5/atribucion_combinada.csv</t>
        </is>
      </c>
      <c r="U1505" s="2">
        <f>IF(R1505=0,"",F1505/R1505)</f>
        <v/>
      </c>
      <c r="V1505" s="2">
        <f>SUMIFS(F$2:F$1589,A$2:A$1589,A1505,C$2:C$1589,C1505,E$2:E$1589,E1505,Q$2:Q$1589,Q1505)</f>
        <v/>
      </c>
    </row>
    <row r="1506">
      <c r="A1506" s="3" t="inlineStr">
        <is>
          <t>compra</t>
        </is>
      </c>
      <c r="B1506" s="3" t="inlineStr">
        <is>
          <t>nacional</t>
        </is>
      </c>
      <c r="C1506" s="3" t="inlineStr">
        <is>
          <t>P4</t>
        </is>
      </c>
      <c r="D1506" s="3" t="inlineStr">
        <is>
          <t>residuo</t>
        </is>
      </c>
      <c r="E1506" s="3" t="inlineStr">
        <is>
          <t>shap</t>
        </is>
      </c>
      <c r="F1506" s="3" t="n">
        <v>-0.120036</v>
      </c>
      <c r="G1506" s="3" t="n"/>
      <c r="H1506" s="3" t="n"/>
      <c r="I1506" s="3" t="n">
        <v>0.0219975</v>
      </c>
      <c r="J1506" s="3" t="n">
        <v>-0.546073</v>
      </c>
      <c r="K1506" s="3" t="n">
        <v>0.211032</v>
      </c>
      <c r="L1506" s="3" t="n">
        <v>-0.88519</v>
      </c>
      <c r="M1506" s="3" t="n">
        <v>0.497017</v>
      </c>
      <c r="N1506" s="3" t="inlineStr">
        <is>
          <t>C4</t>
        </is>
      </c>
      <c r="O1506" s="3" t="inlineStr">
        <is>
          <t>no</t>
        </is>
      </c>
      <c r="P1506" s="3" t="inlineStr">
        <is>
          <t>no_compite</t>
        </is>
      </c>
      <c r="Q1506" s="3" t="inlineStr">
        <is>
          <t>lgbm_A_monotono</t>
        </is>
      </c>
      <c r="R1506" s="3" t="n">
        <v>-5.45682</v>
      </c>
      <c r="S1506" s="3" t="inlineStr">
        <is>
          <t>contraste (R6): media interanual x T/4; nunca causal; s_f respecto a dY de M2/M6</t>
        </is>
      </c>
      <c r="T1506" s="3" t="inlineStr">
        <is>
          <t>output/v8/F5/atribucion_combinada.csv</t>
        </is>
      </c>
      <c r="U1506" s="2">
        <f>IF(R1506=0,"",F1506/R1506)</f>
        <v/>
      </c>
      <c r="V1506" s="2">
        <f>SUMIFS(F$2:F$1589,A$2:A$1589,A1506,C$2:C$1589,C1506,E$2:E$1589,E1506,Q$2:Q$1589,Q1506)</f>
        <v/>
      </c>
    </row>
    <row r="1507">
      <c r="A1507" s="3" t="inlineStr">
        <is>
          <t>compra</t>
        </is>
      </c>
      <c r="B1507" s="3" t="inlineStr">
        <is>
          <t>nacional</t>
        </is>
      </c>
      <c r="C1507" s="3" t="inlineStr">
        <is>
          <t>P5</t>
        </is>
      </c>
      <c r="D1507" s="3" t="inlineStr">
        <is>
          <t>demografia</t>
        </is>
      </c>
      <c r="E1507" s="3" t="inlineStr">
        <is>
          <t>shap</t>
        </is>
      </c>
      <c r="F1507" s="3" t="n">
        <v>1.75765</v>
      </c>
      <c r="G1507" s="3" t="n"/>
      <c r="H1507" s="3" t="n"/>
      <c r="I1507" s="3" t="n">
        <v>0.095419</v>
      </c>
      <c r="J1507" s="3" t="n">
        <v>-2.99083</v>
      </c>
      <c r="K1507" s="3" t="n">
        <v>3.67454</v>
      </c>
      <c r="L1507" s="3" t="n">
        <v>-6.44545</v>
      </c>
      <c r="M1507" s="3" t="n">
        <v>5.2497</v>
      </c>
      <c r="N1507" s="3" t="inlineStr">
        <is>
          <t>C4</t>
        </is>
      </c>
      <c r="O1507" s="3" t="inlineStr">
        <is>
          <t>si</t>
        </is>
      </c>
      <c r="P1507" s="3" t="inlineStr">
        <is>
          <t>no_vota</t>
        </is>
      </c>
      <c r="Q1507" s="3" t="inlineStr">
        <is>
          <t>lgbm_A_monotono</t>
        </is>
      </c>
      <c r="R1507" s="3" t="n">
        <v>18.4203</v>
      </c>
      <c r="S1507" s="3" t="inlineStr">
        <is>
          <t>contraste (R6): media interanual x T/4; nunca causal; s_f respecto a dY de M2/M6</t>
        </is>
      </c>
      <c r="T1507" s="3" t="inlineStr">
        <is>
          <t>output/v8/F5/atribucion_combinada.csv</t>
        </is>
      </c>
      <c r="U1507" s="2">
        <f>IF(R1507=0,"",F1507/R1507)</f>
        <v/>
      </c>
      <c r="V1507" s="2">
        <f>SUMIFS(F$2:F$1589,A$2:A$1589,A1507,C$2:C$1589,C1507,E$2:E$1589,E1507,Q$2:Q$1589,Q1507)</f>
        <v/>
      </c>
    </row>
    <row r="1508">
      <c r="A1508" s="3" t="inlineStr">
        <is>
          <t>compra</t>
        </is>
      </c>
      <c r="B1508" s="3" t="inlineStr">
        <is>
          <t>nacional</t>
        </is>
      </c>
      <c r="C1508" s="3" t="inlineStr">
        <is>
          <t>P5</t>
        </is>
      </c>
      <c r="D1508" s="3" t="inlineStr">
        <is>
          <t>empleo_renta</t>
        </is>
      </c>
      <c r="E1508" s="3" t="inlineStr">
        <is>
          <t>shap</t>
        </is>
      </c>
      <c r="F1508" s="3" t="n">
        <v>8.47289</v>
      </c>
      <c r="G1508" s="3" t="n"/>
      <c r="H1508" s="3" t="n"/>
      <c r="I1508" s="3" t="n">
        <v>0.459976</v>
      </c>
      <c r="J1508" s="3" t="n">
        <v>4.2827</v>
      </c>
      <c r="K1508" s="3" t="n">
        <v>11.9703</v>
      </c>
      <c r="L1508" s="3" t="n">
        <v>2.66254</v>
      </c>
      <c r="M1508" s="3" t="n">
        <v>15.7723</v>
      </c>
      <c r="N1508" s="3" t="inlineStr">
        <is>
          <t>C4</t>
        </is>
      </c>
      <c r="O1508" s="3" t="inlineStr">
        <is>
          <t>si</t>
        </is>
      </c>
      <c r="P1508" s="3" t="inlineStr">
        <is>
          <t>no_vota</t>
        </is>
      </c>
      <c r="Q1508" s="3" t="inlineStr">
        <is>
          <t>lgbm_A_monotono</t>
        </is>
      </c>
      <c r="R1508" s="3" t="n">
        <v>18.4203</v>
      </c>
      <c r="S1508" s="3" t="inlineStr">
        <is>
          <t>contraste (R6): media interanual x T/4; nunca causal; s_f respecto a dY de M2/M6</t>
        </is>
      </c>
      <c r="T1508" s="3" t="inlineStr">
        <is>
          <t>output/v8/F5/atribucion_combinada.csv</t>
        </is>
      </c>
      <c r="U1508" s="2">
        <f>IF(R1508=0,"",F1508/R1508)</f>
        <v/>
      </c>
      <c r="V1508" s="2">
        <f>SUMIFS(F$2:F$1589,A$2:A$1589,A1508,C$2:C$1589,C1508,E$2:E$1589,E1508,Q$2:Q$1589,Q1508)</f>
        <v/>
      </c>
    </row>
    <row r="1509">
      <c r="A1509" s="3" t="inlineStr">
        <is>
          <t>compra</t>
        </is>
      </c>
      <c r="B1509" s="3" t="inlineStr">
        <is>
          <t>nacional</t>
        </is>
      </c>
      <c r="C1509" s="3" t="inlineStr">
        <is>
          <t>P5</t>
        </is>
      </c>
      <c r="D1509" s="3" t="inlineStr">
        <is>
          <t>credito_tipos</t>
        </is>
      </c>
      <c r="E1509" s="3" t="inlineStr">
        <is>
          <t>shap</t>
        </is>
      </c>
      <c r="F1509" s="3" t="n">
        <v>-0.67743</v>
      </c>
      <c r="G1509" s="3" t="n"/>
      <c r="H1509" s="3" t="n"/>
      <c r="I1509" s="3" t="n">
        <v>-0.0367763</v>
      </c>
      <c r="J1509" s="3" t="n">
        <v>-1.68857</v>
      </c>
      <c r="K1509" s="3" t="n">
        <v>1.18132</v>
      </c>
      <c r="L1509" s="3" t="n">
        <v>-2.75726</v>
      </c>
      <c r="M1509" s="3" t="n">
        <v>2.6453</v>
      </c>
      <c r="N1509" s="3" t="inlineStr">
        <is>
          <t>C4</t>
        </is>
      </c>
      <c r="O1509" s="3" t="inlineStr">
        <is>
          <t>si</t>
        </is>
      </c>
      <c r="P1509" s="3" t="inlineStr">
        <is>
          <t>no_vota</t>
        </is>
      </c>
      <c r="Q1509" s="3" t="inlineStr">
        <is>
          <t>lgbm_A_monotono</t>
        </is>
      </c>
      <c r="R1509" s="3" t="n">
        <v>18.4203</v>
      </c>
      <c r="S1509" s="3" t="inlineStr">
        <is>
          <t>contraste (R6): media interanual x T/4; nunca causal; s_f respecto a dY de M2/M6</t>
        </is>
      </c>
      <c r="T1509" s="3" t="inlineStr">
        <is>
          <t>output/v8/F5/atribucion_combinada.csv</t>
        </is>
      </c>
      <c r="U1509" s="2">
        <f>IF(R1509=0,"",F1509/R1509)</f>
        <v/>
      </c>
      <c r="V1509" s="2">
        <f>SUMIFS(F$2:F$1589,A$2:A$1589,A1509,C$2:C$1589,C1509,E$2:E$1589,E1509,Q$2:Q$1589,Q1509)</f>
        <v/>
      </c>
    </row>
    <row r="1510">
      <c r="A1510" s="3" t="inlineStr">
        <is>
          <t>compra</t>
        </is>
      </c>
      <c r="B1510" s="3" t="inlineStr">
        <is>
          <t>nacional</t>
        </is>
      </c>
      <c r="C1510" s="3" t="inlineStr">
        <is>
          <t>P5</t>
        </is>
      </c>
      <c r="D1510" s="3" t="inlineStr">
        <is>
          <t>oferta</t>
        </is>
      </c>
      <c r="E1510" s="3" t="inlineStr">
        <is>
          <t>shap</t>
        </is>
      </c>
      <c r="F1510" s="3" t="n">
        <v>1.59391</v>
      </c>
      <c r="G1510" s="3" t="n"/>
      <c r="H1510" s="3" t="n"/>
      <c r="I1510" s="3" t="n">
        <v>0.08653039999999999</v>
      </c>
      <c r="J1510" s="3" t="n">
        <v>0.730492</v>
      </c>
      <c r="K1510" s="3" t="n">
        <v>4.00398</v>
      </c>
      <c r="L1510" s="3" t="n">
        <v>-0.105172</v>
      </c>
      <c r="M1510" s="3" t="n">
        <v>5.46294</v>
      </c>
      <c r="N1510" s="3" t="inlineStr">
        <is>
          <t>C4</t>
        </is>
      </c>
      <c r="O1510" s="3" t="inlineStr">
        <is>
          <t>si</t>
        </is>
      </c>
      <c r="P1510" s="3" t="inlineStr">
        <is>
          <t>no_vota</t>
        </is>
      </c>
      <c r="Q1510" s="3" t="inlineStr">
        <is>
          <t>lgbm_A_monotono</t>
        </is>
      </c>
      <c r="R1510" s="3" t="n">
        <v>18.4203</v>
      </c>
      <c r="S1510" s="3" t="inlineStr">
        <is>
          <t>contraste (R6): media interanual x T/4; nunca causal; s_f respecto a dY de M2/M6</t>
        </is>
      </c>
      <c r="T1510" s="3" t="inlineStr">
        <is>
          <t>output/v8/F5/atribucion_combinada.csv</t>
        </is>
      </c>
      <c r="U1510" s="2">
        <f>IF(R1510=0,"",F1510/R1510)</f>
        <v/>
      </c>
      <c r="V1510" s="2">
        <f>SUMIFS(F$2:F$1589,A$2:A$1589,A1510,C$2:C$1589,C1510,E$2:E$1589,E1510,Q$2:Q$1589,Q1510)</f>
        <v/>
      </c>
    </row>
    <row r="1511">
      <c r="A1511" s="3" t="inlineStr">
        <is>
          <t>compra</t>
        </is>
      </c>
      <c r="B1511" s="3" t="inlineStr">
        <is>
          <t>nacional</t>
        </is>
      </c>
      <c r="C1511" s="3" t="inlineStr">
        <is>
          <t>P5</t>
        </is>
      </c>
      <c r="D1511" s="3" t="inlineStr">
        <is>
          <t>factor_europeo</t>
        </is>
      </c>
      <c r="E1511" s="3" t="inlineStr">
        <is>
          <t>shap</t>
        </is>
      </c>
      <c r="F1511" s="3" t="n">
        <v>-2.30415</v>
      </c>
      <c r="G1511" s="3" t="n"/>
      <c r="H1511" s="3" t="n"/>
      <c r="I1511" s="3" t="n">
        <v>-0.125088</v>
      </c>
      <c r="J1511" s="3" t="n">
        <v>-2.82366</v>
      </c>
      <c r="K1511" s="3" t="n">
        <v>-0.0727275</v>
      </c>
      <c r="L1511" s="3" t="n">
        <v>-4.11978</v>
      </c>
      <c r="M1511" s="3" t="n">
        <v>2.00681</v>
      </c>
      <c r="N1511" s="3" t="inlineStr">
        <is>
          <t>C4</t>
        </is>
      </c>
      <c r="O1511" s="3" t="inlineStr">
        <is>
          <t>si</t>
        </is>
      </c>
      <c r="P1511" s="3" t="inlineStr">
        <is>
          <t>no_vota</t>
        </is>
      </c>
      <c r="Q1511" s="3" t="inlineStr">
        <is>
          <t>lgbm_A_monotono</t>
        </is>
      </c>
      <c r="R1511" s="3" t="n">
        <v>18.4203</v>
      </c>
      <c r="S1511" s="3" t="inlineStr">
        <is>
          <t>contraste (R6): media interanual x T/4; nunca causal; s_f respecto a dY de M2/M6</t>
        </is>
      </c>
      <c r="T1511" s="3" t="inlineStr">
        <is>
          <t>output/v8/F5/atribucion_combinada.csv</t>
        </is>
      </c>
      <c r="U1511" s="2">
        <f>IF(R1511=0,"",F1511/R1511)</f>
        <v/>
      </c>
      <c r="V1511" s="2">
        <f>SUMIFS(F$2:F$1589,A$2:A$1589,A1511,C$2:C$1589,C1511,E$2:E$1589,E1511,Q$2:Q$1589,Q1511)</f>
        <v/>
      </c>
    </row>
    <row r="1512">
      <c r="A1512" s="3" t="inlineStr">
        <is>
          <t>compra</t>
        </is>
      </c>
      <c r="B1512" s="3" t="inlineStr">
        <is>
          <t>nacional</t>
        </is>
      </c>
      <c r="C1512" s="3" t="inlineStr">
        <is>
          <t>P5</t>
        </is>
      </c>
      <c r="D1512" s="3" t="inlineStr">
        <is>
          <t>residuo</t>
        </is>
      </c>
      <c r="E1512" s="3" t="inlineStr">
        <is>
          <t>shap</t>
        </is>
      </c>
      <c r="F1512" s="3" t="n">
        <v>0.304093</v>
      </c>
      <c r="G1512" s="3" t="n"/>
      <c r="H1512" s="3" t="n"/>
      <c r="I1512" s="3" t="n">
        <v>0.0165086</v>
      </c>
      <c r="J1512" s="3" t="n">
        <v>-0.128638</v>
      </c>
      <c r="K1512" s="3" t="n">
        <v>0.560718</v>
      </c>
      <c r="L1512" s="3" t="n">
        <v>-0.484652</v>
      </c>
      <c r="M1512" s="3" t="n">
        <v>1.06462</v>
      </c>
      <c r="N1512" s="3" t="inlineStr">
        <is>
          <t>C4</t>
        </is>
      </c>
      <c r="O1512" s="3" t="inlineStr">
        <is>
          <t>no</t>
        </is>
      </c>
      <c r="P1512" s="3" t="inlineStr">
        <is>
          <t>no_compite</t>
        </is>
      </c>
      <c r="Q1512" s="3" t="inlineStr">
        <is>
          <t>lgbm_A_monotono</t>
        </is>
      </c>
      <c r="R1512" s="3" t="n">
        <v>18.4203</v>
      </c>
      <c r="S1512" s="3" t="inlineStr">
        <is>
          <t>contraste (R6): media interanual x T/4; nunca causal; s_f respecto a dY de M2/M6</t>
        </is>
      </c>
      <c r="T1512" s="3" t="inlineStr">
        <is>
          <t>output/v8/F5/atribucion_combinada.csv</t>
        </is>
      </c>
      <c r="U1512" s="2">
        <f>IF(R1512=0,"",F1512/R1512)</f>
        <v/>
      </c>
      <c r="V1512" s="2">
        <f>SUMIFS(F$2:F$1589,A$2:A$1589,A1512,C$2:C$1589,C1512,E$2:E$1589,E1512,Q$2:Q$1589,Q1512)</f>
        <v/>
      </c>
    </row>
    <row r="1513">
      <c r="A1513" s="3" t="inlineStr">
        <is>
          <t>compra</t>
        </is>
      </c>
      <c r="B1513" s="3" t="inlineStr">
        <is>
          <t>nacional</t>
        </is>
      </c>
      <c r="C1513" s="3" t="inlineStr">
        <is>
          <t>completo</t>
        </is>
      </c>
      <c r="D1513" s="3" t="inlineStr">
        <is>
          <t>demografia</t>
        </is>
      </c>
      <c r="E1513" s="3" t="inlineStr">
        <is>
          <t>shap</t>
        </is>
      </c>
      <c r="F1513" s="3" t="n">
        <v>-2.76108</v>
      </c>
      <c r="G1513" s="3" t="n"/>
      <c r="H1513" s="3" t="n"/>
      <c r="I1513" s="3" t="n"/>
      <c r="J1513" s="3" t="n">
        <v>-7.39048</v>
      </c>
      <c r="K1513" s="3" t="n">
        <v>2.37447</v>
      </c>
      <c r="L1513" s="3" t="n">
        <v>-15.0453</v>
      </c>
      <c r="M1513" s="3" t="n">
        <v>3.94665</v>
      </c>
      <c r="N1513" s="3" t="inlineStr">
        <is>
          <t>C4</t>
        </is>
      </c>
      <c r="O1513" s="3" t="inlineStr">
        <is>
          <t>si</t>
        </is>
      </c>
      <c r="P1513" s="3" t="inlineStr">
        <is>
          <t>no_vota</t>
        </is>
      </c>
      <c r="Q1513" s="3" t="inlineStr">
        <is>
          <t>lgbm_A_monotono</t>
        </is>
      </c>
      <c r="R1513" s="3" t="n"/>
      <c r="S1513" s="3" t="inlineStr">
        <is>
          <t>contraste (R6): media interanual x T/4; nunca causal; s_f respecto a dY de M2/M6</t>
        </is>
      </c>
      <c r="T1513" s="3" t="inlineStr">
        <is>
          <t>output/v8/F5/atribucion_combinada.csv</t>
        </is>
      </c>
      <c r="U1513" s="2">
        <f>IF(R1513=0,"",F1513/R1513)</f>
        <v/>
      </c>
      <c r="V1513" s="2">
        <f>SUMIFS(F$2:F$1589,A$2:A$1589,A1513,C$2:C$1589,C1513,E$2:E$1589,E1513,Q$2:Q$1589,Q1513)</f>
        <v/>
      </c>
    </row>
    <row r="1514">
      <c r="A1514" s="3" t="inlineStr">
        <is>
          <t>compra</t>
        </is>
      </c>
      <c r="B1514" s="3" t="inlineStr">
        <is>
          <t>nacional</t>
        </is>
      </c>
      <c r="C1514" s="3" t="inlineStr">
        <is>
          <t>completo</t>
        </is>
      </c>
      <c r="D1514" s="3" t="inlineStr">
        <is>
          <t>empleo_renta</t>
        </is>
      </c>
      <c r="E1514" s="3" t="inlineStr">
        <is>
          <t>shap</t>
        </is>
      </c>
      <c r="F1514" s="3" t="n">
        <v>0.879117</v>
      </c>
      <c r="G1514" s="3" t="n"/>
      <c r="H1514" s="3" t="n"/>
      <c r="I1514" s="3" t="n"/>
      <c r="J1514" s="3" t="n">
        <v>-5.04526</v>
      </c>
      <c r="K1514" s="3" t="n">
        <v>8.987769999999999</v>
      </c>
      <c r="L1514" s="3" t="n">
        <v>-9.16283</v>
      </c>
      <c r="M1514" s="3" t="n">
        <v>14.6591</v>
      </c>
      <c r="N1514" s="3" t="inlineStr">
        <is>
          <t>C4</t>
        </is>
      </c>
      <c r="O1514" s="3" t="inlineStr">
        <is>
          <t>si</t>
        </is>
      </c>
      <c r="P1514" s="3" t="inlineStr">
        <is>
          <t>no_vota</t>
        </is>
      </c>
      <c r="Q1514" s="3" t="inlineStr">
        <is>
          <t>lgbm_A_monotono</t>
        </is>
      </c>
      <c r="R1514" s="3" t="n"/>
      <c r="S1514" s="3" t="inlineStr">
        <is>
          <t>contraste (R6): media interanual x T/4; nunca causal; s_f respecto a dY de M2/M6</t>
        </is>
      </c>
      <c r="T1514" s="3" t="inlineStr">
        <is>
          <t>output/v8/F5/atribucion_combinada.csv</t>
        </is>
      </c>
      <c r="U1514" s="2">
        <f>IF(R1514=0,"",F1514/R1514)</f>
        <v/>
      </c>
      <c r="V1514" s="2">
        <f>SUMIFS(F$2:F$1589,A$2:A$1589,A1514,C$2:C$1589,C1514,E$2:E$1589,E1514,Q$2:Q$1589,Q1514)</f>
        <v/>
      </c>
    </row>
    <row r="1515">
      <c r="A1515" s="3" t="inlineStr">
        <is>
          <t>compra</t>
        </is>
      </c>
      <c r="B1515" s="3" t="inlineStr">
        <is>
          <t>nacional</t>
        </is>
      </c>
      <c r="C1515" s="3" t="inlineStr">
        <is>
          <t>completo</t>
        </is>
      </c>
      <c r="D1515" s="3" t="inlineStr">
        <is>
          <t>credito_tipos</t>
        </is>
      </c>
      <c r="E1515" s="3" t="inlineStr">
        <is>
          <t>shap</t>
        </is>
      </c>
      <c r="F1515" s="3" t="n">
        <v>-0.391637</v>
      </c>
      <c r="G1515" s="3" t="n"/>
      <c r="H1515" s="3" t="n"/>
      <c r="I1515" s="3" t="n"/>
      <c r="J1515" s="3" t="n">
        <v>-2.44009</v>
      </c>
      <c r="K1515" s="3" t="n">
        <v>4.44514</v>
      </c>
      <c r="L1515" s="3" t="n">
        <v>-5.33413</v>
      </c>
      <c r="M1515" s="3" t="n">
        <v>5.97857</v>
      </c>
      <c r="N1515" s="3" t="inlineStr">
        <is>
          <t>C4</t>
        </is>
      </c>
      <c r="O1515" s="3" t="inlineStr">
        <is>
          <t>si</t>
        </is>
      </c>
      <c r="P1515" s="3" t="inlineStr">
        <is>
          <t>no_vota</t>
        </is>
      </c>
      <c r="Q1515" s="3" t="inlineStr">
        <is>
          <t>lgbm_A_monotono</t>
        </is>
      </c>
      <c r="R1515" s="3" t="n"/>
      <c r="S1515" s="3" t="inlineStr">
        <is>
          <t>contraste (R6): media interanual x T/4; nunca causal; s_f respecto a dY de M2/M6</t>
        </is>
      </c>
      <c r="T1515" s="3" t="inlineStr">
        <is>
          <t>output/v8/F5/atribucion_combinada.csv</t>
        </is>
      </c>
      <c r="U1515" s="2">
        <f>IF(R1515=0,"",F1515/R1515)</f>
        <v/>
      </c>
      <c r="V1515" s="2">
        <f>SUMIFS(F$2:F$1589,A$2:A$1589,A1515,C$2:C$1589,C1515,E$2:E$1589,E1515,Q$2:Q$1589,Q1515)</f>
        <v/>
      </c>
    </row>
    <row r="1516">
      <c r="A1516" s="3" t="inlineStr">
        <is>
          <t>compra</t>
        </is>
      </c>
      <c r="B1516" s="3" t="inlineStr">
        <is>
          <t>nacional</t>
        </is>
      </c>
      <c r="C1516" s="3" t="inlineStr">
        <is>
          <t>completo</t>
        </is>
      </c>
      <c r="D1516" s="3" t="inlineStr">
        <is>
          <t>oferta</t>
        </is>
      </c>
      <c r="E1516" s="3" t="inlineStr">
        <is>
          <t>shap</t>
        </is>
      </c>
      <c r="F1516" s="3" t="n">
        <v>1.35167</v>
      </c>
      <c r="G1516" s="3" t="n"/>
      <c r="H1516" s="3" t="n"/>
      <c r="I1516" s="3" t="n"/>
      <c r="J1516" s="3" t="n">
        <v>-1.43577</v>
      </c>
      <c r="K1516" s="3" t="n">
        <v>3.55173</v>
      </c>
      <c r="L1516" s="3" t="n">
        <v>-3.05615</v>
      </c>
      <c r="M1516" s="3" t="n">
        <v>6.51418</v>
      </c>
      <c r="N1516" s="3" t="inlineStr">
        <is>
          <t>C4</t>
        </is>
      </c>
      <c r="O1516" s="3" t="inlineStr">
        <is>
          <t>si</t>
        </is>
      </c>
      <c r="P1516" s="3" t="inlineStr">
        <is>
          <t>no_vota</t>
        </is>
      </c>
      <c r="Q1516" s="3" t="inlineStr">
        <is>
          <t>lgbm_A_monotono</t>
        </is>
      </c>
      <c r="R1516" s="3" t="n"/>
      <c r="S1516" s="3" t="inlineStr">
        <is>
          <t>contraste (R6): media interanual x T/4; nunca causal; s_f respecto a dY de M2/M6</t>
        </is>
      </c>
      <c r="T1516" s="3" t="inlineStr">
        <is>
          <t>output/v8/F5/atribucion_combinada.csv</t>
        </is>
      </c>
      <c r="U1516" s="2">
        <f>IF(R1516=0,"",F1516/R1516)</f>
        <v/>
      </c>
      <c r="V1516" s="2">
        <f>SUMIFS(F$2:F$1589,A$2:A$1589,A1516,C$2:C$1589,C1516,E$2:E$1589,E1516,Q$2:Q$1589,Q1516)</f>
        <v/>
      </c>
    </row>
    <row r="1517">
      <c r="A1517" s="3" t="inlineStr">
        <is>
          <t>compra</t>
        </is>
      </c>
      <c r="B1517" s="3" t="inlineStr">
        <is>
          <t>nacional</t>
        </is>
      </c>
      <c r="C1517" s="3" t="inlineStr">
        <is>
          <t>completo</t>
        </is>
      </c>
      <c r="D1517" s="3" t="inlineStr">
        <is>
          <t>factor_europeo</t>
        </is>
      </c>
      <c r="E1517" s="3" t="inlineStr">
        <is>
          <t>shap</t>
        </is>
      </c>
      <c r="F1517" s="3" t="n">
        <v>-0.760276</v>
      </c>
      <c r="G1517" s="3" t="n"/>
      <c r="H1517" s="3" t="n"/>
      <c r="I1517" s="3" t="n"/>
      <c r="J1517" s="3" t="n">
        <v>-2.33138</v>
      </c>
      <c r="K1517" s="3" t="n">
        <v>4.20958</v>
      </c>
      <c r="L1517" s="3" t="n">
        <v>-5.02438</v>
      </c>
      <c r="M1517" s="3" t="n">
        <v>7.6164</v>
      </c>
      <c r="N1517" s="3" t="inlineStr">
        <is>
          <t>C4</t>
        </is>
      </c>
      <c r="O1517" s="3" t="inlineStr">
        <is>
          <t>si</t>
        </is>
      </c>
      <c r="P1517" s="3" t="inlineStr">
        <is>
          <t>no_vota</t>
        </is>
      </c>
      <c r="Q1517" s="3" t="inlineStr">
        <is>
          <t>lgbm_A_monotono</t>
        </is>
      </c>
      <c r="R1517" s="3" t="n"/>
      <c r="S1517" s="3" t="inlineStr">
        <is>
          <t>contraste (R6): media interanual x T/4; nunca causal; s_f respecto a dY de M2/M6</t>
        </is>
      </c>
      <c r="T1517" s="3" t="inlineStr">
        <is>
          <t>output/v8/F5/atribucion_combinada.csv</t>
        </is>
      </c>
      <c r="U1517" s="2">
        <f>IF(R1517=0,"",F1517/R1517)</f>
        <v/>
      </c>
      <c r="V1517" s="2">
        <f>SUMIFS(F$2:F$1589,A$2:A$1589,A1517,C$2:C$1589,C1517,E$2:E$1589,E1517,Q$2:Q$1589,Q1517)</f>
        <v/>
      </c>
    </row>
    <row r="1518">
      <c r="A1518" s="3" t="inlineStr">
        <is>
          <t>compra</t>
        </is>
      </c>
      <c r="B1518" s="3" t="inlineStr">
        <is>
          <t>nacional</t>
        </is>
      </c>
      <c r="C1518" s="3" t="inlineStr">
        <is>
          <t>completo</t>
        </is>
      </c>
      <c r="D1518" s="3" t="inlineStr">
        <is>
          <t>residuo</t>
        </is>
      </c>
      <c r="E1518" s="3" t="inlineStr">
        <is>
          <t>shap</t>
        </is>
      </c>
      <c r="F1518" s="3" t="n">
        <v>0.294488</v>
      </c>
      <c r="G1518" s="3" t="n"/>
      <c r="H1518" s="3" t="n"/>
      <c r="I1518" s="3" t="n"/>
      <c r="J1518" s="3" t="n">
        <v>-0.43847</v>
      </c>
      <c r="K1518" s="3" t="n">
        <v>1.08856</v>
      </c>
      <c r="L1518" s="3" t="n">
        <v>-0.801614</v>
      </c>
      <c r="M1518" s="3" t="n">
        <v>1.45291</v>
      </c>
      <c r="N1518" s="3" t="inlineStr">
        <is>
          <t>C4</t>
        </is>
      </c>
      <c r="O1518" s="3" t="inlineStr">
        <is>
          <t>no</t>
        </is>
      </c>
      <c r="P1518" s="3" t="inlineStr">
        <is>
          <t>no_compite</t>
        </is>
      </c>
      <c r="Q1518" s="3" t="inlineStr">
        <is>
          <t>lgbm_A_monotono</t>
        </is>
      </c>
      <c r="R1518" s="3" t="n"/>
      <c r="S1518" s="3" t="inlineStr">
        <is>
          <t>contraste (R6): media interanual x T/4; nunca causal; s_f respecto a dY de M2/M6</t>
        </is>
      </c>
      <c r="T1518" s="3" t="inlineStr">
        <is>
          <t>output/v8/F5/atribucion_combinada.csv</t>
        </is>
      </c>
      <c r="U1518" s="2">
        <f>IF(R1518=0,"",F1518/R1518)</f>
        <v/>
      </c>
      <c r="V1518" s="2">
        <f>SUMIFS(F$2:F$1589,A$2:A$1589,A1518,C$2:C$1589,C1518,E$2:E$1589,E1518,Q$2:Q$1589,Q1518)</f>
        <v/>
      </c>
    </row>
    <row r="1519">
      <c r="A1519" s="3" t="inlineStr">
        <is>
          <t>alquiler</t>
        </is>
      </c>
      <c r="B1519" s="3" t="inlineStr">
        <is>
          <t>ccaa_panel</t>
        </is>
      </c>
      <c r="C1519" s="3" t="inlineStr">
        <is>
          <t>P2</t>
        </is>
      </c>
      <c r="D1519" s="3" t="inlineStr">
        <is>
          <t>demografia</t>
        </is>
      </c>
      <c r="E1519" s="3" t="inlineStr">
        <is>
          <t>shap</t>
        </is>
      </c>
      <c r="F1519" s="3" t="n">
        <v>-0.0845216</v>
      </c>
      <c r="G1519" s="3" t="n"/>
      <c r="H1519" s="3" t="n"/>
      <c r="I1519" s="3" t="n"/>
      <c r="J1519" s="3" t="n">
        <v>-0.191679</v>
      </c>
      <c r="K1519" s="3" t="n">
        <v>-0.0165526</v>
      </c>
      <c r="L1519" s="3" t="n">
        <v>-0.262147</v>
      </c>
      <c r="M1519" s="3" t="n">
        <v>0.0330294</v>
      </c>
      <c r="N1519" s="3" t="inlineStr">
        <is>
          <t>C4</t>
        </is>
      </c>
      <c r="O1519" s="3" t="inlineStr">
        <is>
          <t>si</t>
        </is>
      </c>
      <c r="P1519" s="3" t="inlineStr">
        <is>
          <t>no_vota</t>
        </is>
      </c>
      <c r="Q1519" s="3" t="inlineStr">
        <is>
          <t>lgbm_A_monotono</t>
        </is>
      </c>
      <c r="R1519" s="3" t="n"/>
      <c r="S1519" s="3" t="inlineStr">
        <is>
          <t>contraste (R6): media interanual x T/4; nunca causal; s_f respecto a dY de M2/M6</t>
        </is>
      </c>
      <c r="T1519" s="3" t="inlineStr">
        <is>
          <t>output/v8/F5/atribucion_combinada.csv</t>
        </is>
      </c>
      <c r="U1519" s="2">
        <f>IF(R1519=0,"",F1519/R1519)</f>
        <v/>
      </c>
      <c r="V1519" s="2">
        <f>SUMIFS(F$2:F$1589,A$2:A$1589,A1519,C$2:C$1589,C1519,E$2:E$1589,E1519,Q$2:Q$1589,Q1519)</f>
        <v/>
      </c>
    </row>
    <row r="1520">
      <c r="A1520" s="3" t="inlineStr">
        <is>
          <t>alquiler</t>
        </is>
      </c>
      <c r="B1520" s="3" t="inlineStr">
        <is>
          <t>ccaa_panel</t>
        </is>
      </c>
      <c r="C1520" s="3" t="inlineStr">
        <is>
          <t>P2</t>
        </is>
      </c>
      <c r="D1520" s="3" t="inlineStr">
        <is>
          <t>empleo_renta</t>
        </is>
      </c>
      <c r="E1520" s="3" t="inlineStr">
        <is>
          <t>shap</t>
        </is>
      </c>
      <c r="F1520" s="3" t="n">
        <v>-0.469272</v>
      </c>
      <c r="G1520" s="3" t="n"/>
      <c r="H1520" s="3" t="n"/>
      <c r="I1520" s="3" t="n"/>
      <c r="J1520" s="3" t="n">
        <v>-0.93501</v>
      </c>
      <c r="K1520" s="3" t="n">
        <v>-0.115826</v>
      </c>
      <c r="L1520" s="3" t="n">
        <v>-1.23051</v>
      </c>
      <c r="M1520" s="3" t="n">
        <v>0.0806429</v>
      </c>
      <c r="N1520" s="3" t="inlineStr">
        <is>
          <t>C4</t>
        </is>
      </c>
      <c r="O1520" s="3" t="inlineStr">
        <is>
          <t>si</t>
        </is>
      </c>
      <c r="P1520" s="3" t="inlineStr">
        <is>
          <t>no_vota</t>
        </is>
      </c>
      <c r="Q1520" s="3" t="inlineStr">
        <is>
          <t>lgbm_A_monotono</t>
        </is>
      </c>
      <c r="R1520" s="3" t="n"/>
      <c r="S1520" s="3" t="inlineStr">
        <is>
          <t>contraste (R6): media interanual x T/4; nunca causal; s_f respecto a dY de M2/M6</t>
        </is>
      </c>
      <c r="T1520" s="3" t="inlineStr">
        <is>
          <t>output/v8/F5/atribucion_combinada.csv</t>
        </is>
      </c>
      <c r="U1520" s="2">
        <f>IF(R1520=0,"",F1520/R1520)</f>
        <v/>
      </c>
      <c r="V1520" s="2">
        <f>SUMIFS(F$2:F$1589,A$2:A$1589,A1520,C$2:C$1589,C1520,E$2:E$1589,E1520,Q$2:Q$1589,Q1520)</f>
        <v/>
      </c>
    </row>
    <row r="1521">
      <c r="A1521" s="3" t="inlineStr">
        <is>
          <t>alquiler</t>
        </is>
      </c>
      <c r="B1521" s="3" t="inlineStr">
        <is>
          <t>ccaa_panel</t>
        </is>
      </c>
      <c r="C1521" s="3" t="inlineStr">
        <is>
          <t>P2</t>
        </is>
      </c>
      <c r="D1521" s="3" t="inlineStr">
        <is>
          <t>credito_tipos</t>
        </is>
      </c>
      <c r="E1521" s="3" t="inlineStr">
        <is>
          <t>shap</t>
        </is>
      </c>
      <c r="F1521" s="3" t="n">
        <v>-0.08684649999999999</v>
      </c>
      <c r="G1521" s="3" t="n"/>
      <c r="H1521" s="3" t="n"/>
      <c r="I1521" s="3" t="n"/>
      <c r="J1521" s="3" t="n">
        <v>-0.283567</v>
      </c>
      <c r="K1521" s="3" t="n">
        <v>0.07120559999999999</v>
      </c>
      <c r="L1521" s="3" t="n">
        <v>-0.422481</v>
      </c>
      <c r="M1521" s="3" t="n">
        <v>0.184422</v>
      </c>
      <c r="N1521" s="3" t="inlineStr">
        <is>
          <t>C4</t>
        </is>
      </c>
      <c r="O1521" s="3" t="inlineStr">
        <is>
          <t>si</t>
        </is>
      </c>
      <c r="P1521" s="3" t="inlineStr">
        <is>
          <t>no_vota</t>
        </is>
      </c>
      <c r="Q1521" s="3" t="inlineStr">
        <is>
          <t>lgbm_A_monotono</t>
        </is>
      </c>
      <c r="R1521" s="3" t="n"/>
      <c r="S1521" s="3" t="inlineStr">
        <is>
          <t>contraste (R6): media interanual x T/4; nunca causal; s_f respecto a dY de M2/M6</t>
        </is>
      </c>
      <c r="T1521" s="3" t="inlineStr">
        <is>
          <t>output/v8/F5/atribucion_combinada.csv</t>
        </is>
      </c>
      <c r="U1521" s="2">
        <f>IF(R1521=0,"",F1521/R1521)</f>
        <v/>
      </c>
      <c r="V1521" s="2">
        <f>SUMIFS(F$2:F$1589,A$2:A$1589,A1521,C$2:C$1589,C1521,E$2:E$1589,E1521,Q$2:Q$1589,Q1521)</f>
        <v/>
      </c>
    </row>
    <row r="1522">
      <c r="A1522" s="3" t="inlineStr">
        <is>
          <t>alquiler</t>
        </is>
      </c>
      <c r="B1522" s="3" t="inlineStr">
        <is>
          <t>ccaa_panel</t>
        </is>
      </c>
      <c r="C1522" s="3" t="inlineStr">
        <is>
          <t>P2</t>
        </is>
      </c>
      <c r="D1522" s="3" t="inlineStr">
        <is>
          <t>oferta</t>
        </is>
      </c>
      <c r="E1522" s="3" t="inlineStr">
        <is>
          <t>shap</t>
        </is>
      </c>
      <c r="F1522" s="3" t="n">
        <v>0.0851454</v>
      </c>
      <c r="G1522" s="3" t="n"/>
      <c r="H1522" s="3" t="n"/>
      <c r="I1522" s="3" t="n"/>
      <c r="J1522" s="3" t="n">
        <v>-0.06819699999999999</v>
      </c>
      <c r="K1522" s="3" t="n">
        <v>0.144456</v>
      </c>
      <c r="L1522" s="3" t="n">
        <v>-0.149068</v>
      </c>
      <c r="M1522" s="3" t="n">
        <v>0.287751</v>
      </c>
      <c r="N1522" s="3" t="inlineStr">
        <is>
          <t>C4</t>
        </is>
      </c>
      <c r="O1522" s="3" t="inlineStr">
        <is>
          <t>si</t>
        </is>
      </c>
      <c r="P1522" s="3" t="inlineStr">
        <is>
          <t>no_vota</t>
        </is>
      </c>
      <c r="Q1522" s="3" t="inlineStr">
        <is>
          <t>lgbm_A_monotono</t>
        </is>
      </c>
      <c r="R1522" s="3" t="n"/>
      <c r="S1522" s="3" t="inlineStr">
        <is>
          <t>contraste (R6): media interanual x T/4; nunca causal; s_f respecto a dY de M2/M6</t>
        </is>
      </c>
      <c r="T1522" s="3" t="inlineStr">
        <is>
          <t>output/v8/F5/atribucion_combinada.csv</t>
        </is>
      </c>
      <c r="U1522" s="2">
        <f>IF(R1522=0,"",F1522/R1522)</f>
        <v/>
      </c>
      <c r="V1522" s="2">
        <f>SUMIFS(F$2:F$1589,A$2:A$1589,A1522,C$2:C$1589,C1522,E$2:E$1589,E1522,Q$2:Q$1589,Q1522)</f>
        <v/>
      </c>
    </row>
    <row r="1523">
      <c r="A1523" s="3" t="inlineStr">
        <is>
          <t>alquiler</t>
        </is>
      </c>
      <c r="B1523" s="3" t="inlineStr">
        <is>
          <t>ccaa_panel</t>
        </is>
      </c>
      <c r="C1523" s="3" t="inlineStr">
        <is>
          <t>P2</t>
        </is>
      </c>
      <c r="D1523" s="3" t="inlineStr">
        <is>
          <t>demanda_externa</t>
        </is>
      </c>
      <c r="E1523" s="3" t="inlineStr">
        <is>
          <t>shap</t>
        </is>
      </c>
      <c r="F1523" s="3" t="n">
        <v>0.241186</v>
      </c>
      <c r="G1523" s="3" t="n"/>
      <c r="H1523" s="3" t="n"/>
      <c r="I1523" s="3" t="n"/>
      <c r="J1523" s="3" t="n">
        <v>-0.0612679</v>
      </c>
      <c r="K1523" s="3" t="n">
        <v>0.286734</v>
      </c>
      <c r="L1523" s="3" t="n">
        <v>-0.171905</v>
      </c>
      <c r="M1523" s="3" t="n">
        <v>0.48914</v>
      </c>
      <c r="N1523" s="3" t="inlineStr">
        <is>
          <t>C4</t>
        </is>
      </c>
      <c r="O1523" s="3" t="inlineStr">
        <is>
          <t>si</t>
        </is>
      </c>
      <c r="P1523" s="3" t="inlineStr">
        <is>
          <t>no_vota</t>
        </is>
      </c>
      <c r="Q1523" s="3" t="inlineStr">
        <is>
          <t>lgbm_A_monotono</t>
        </is>
      </c>
      <c r="R1523" s="3" t="n"/>
      <c r="S1523" s="3" t="inlineStr">
        <is>
          <t>contraste (R6): media interanual x T/4; nunca causal; s_f respecto a dY de M2/M6</t>
        </is>
      </c>
      <c r="T1523" s="3" t="inlineStr">
        <is>
          <t>output/v8/F5/atribucion_combinada.csv</t>
        </is>
      </c>
      <c r="U1523" s="2">
        <f>IF(R1523=0,"",F1523/R1523)</f>
        <v/>
      </c>
      <c r="V1523" s="2">
        <f>SUMIFS(F$2:F$1589,A$2:A$1589,A1523,C$2:C$1589,C1523,E$2:E$1589,E1523,Q$2:Q$1589,Q1523)</f>
        <v/>
      </c>
    </row>
    <row r="1524">
      <c r="A1524" s="3" t="inlineStr">
        <is>
          <t>alquiler</t>
        </is>
      </c>
      <c r="B1524" s="3" t="inlineStr">
        <is>
          <t>ccaa_panel</t>
        </is>
      </c>
      <c r="C1524" s="3" t="inlineStr">
        <is>
          <t>P2</t>
        </is>
      </c>
      <c r="D1524" s="3" t="inlineStr">
        <is>
          <t>factor_europeo</t>
        </is>
      </c>
      <c r="E1524" s="3" t="inlineStr">
        <is>
          <t>shap</t>
        </is>
      </c>
      <c r="F1524" s="3" t="n">
        <v>0.8055290000000001</v>
      </c>
      <c r="G1524" s="3" t="n"/>
      <c r="H1524" s="3" t="n"/>
      <c r="I1524" s="3" t="n"/>
      <c r="J1524" s="3" t="n">
        <v>-2.19796</v>
      </c>
      <c r="K1524" s="3" t="n">
        <v>2.4825</v>
      </c>
      <c r="L1524" s="3" t="n">
        <v>-4.24587</v>
      </c>
      <c r="M1524" s="3" t="n">
        <v>4.28052</v>
      </c>
      <c r="N1524" s="3" t="inlineStr">
        <is>
          <t>C4</t>
        </is>
      </c>
      <c r="O1524" s="3" t="inlineStr">
        <is>
          <t>si</t>
        </is>
      </c>
      <c r="P1524" s="3" t="inlineStr">
        <is>
          <t>no_vota</t>
        </is>
      </c>
      <c r="Q1524" s="3" t="inlineStr">
        <is>
          <t>lgbm_A_monotono</t>
        </is>
      </c>
      <c r="R1524" s="3" t="n"/>
      <c r="S1524" s="3" t="inlineStr">
        <is>
          <t>contraste (R6): media interanual x T/4; nunca causal; s_f respecto a dY de M2/M6</t>
        </is>
      </c>
      <c r="T1524" s="3" t="inlineStr">
        <is>
          <t>output/v8/F5/atribucion_combinada.csv</t>
        </is>
      </c>
      <c r="U1524" s="2">
        <f>IF(R1524=0,"",F1524/R1524)</f>
        <v/>
      </c>
      <c r="V1524" s="2">
        <f>SUMIFS(F$2:F$1589,A$2:A$1589,A1524,C$2:C$1589,C1524,E$2:E$1589,E1524,Q$2:Q$1589,Q1524)</f>
        <v/>
      </c>
    </row>
    <row r="1525">
      <c r="A1525" s="3" t="inlineStr">
        <is>
          <t>alquiler</t>
        </is>
      </c>
      <c r="B1525" s="3" t="inlineStr">
        <is>
          <t>ccaa_panel</t>
        </is>
      </c>
      <c r="C1525" s="3" t="inlineStr">
        <is>
          <t>P2</t>
        </is>
      </c>
      <c r="D1525" s="3" t="inlineStr">
        <is>
          <t>residuo</t>
        </is>
      </c>
      <c r="E1525" s="3" t="inlineStr">
        <is>
          <t>shap</t>
        </is>
      </c>
      <c r="F1525" s="3" t="n">
        <v>-0.18043</v>
      </c>
      <c r="G1525" s="3" t="n"/>
      <c r="H1525" s="3" t="n"/>
      <c r="I1525" s="3" t="n"/>
      <c r="J1525" s="3" t="n">
        <v>-0.248138</v>
      </c>
      <c r="K1525" s="3" t="n">
        <v>0.0132434</v>
      </c>
      <c r="L1525" s="3" t="n">
        <v>-0.401526</v>
      </c>
      <c r="M1525" s="3" t="n">
        <v>0.0954734</v>
      </c>
      <c r="N1525" s="3" t="inlineStr">
        <is>
          <t>C4</t>
        </is>
      </c>
      <c r="O1525" s="3" t="inlineStr">
        <is>
          <t>no</t>
        </is>
      </c>
      <c r="P1525" s="3" t="inlineStr">
        <is>
          <t>no_compite</t>
        </is>
      </c>
      <c r="Q1525" s="3" t="inlineStr">
        <is>
          <t>lgbm_A_monotono</t>
        </is>
      </c>
      <c r="R1525" s="3" t="n"/>
      <c r="S1525" s="3" t="inlineStr">
        <is>
          <t>contraste (R6): media interanual x T/4; nunca causal; s_f respecto a dY de M2/M6</t>
        </is>
      </c>
      <c r="T1525" s="3" t="inlineStr">
        <is>
          <t>output/v8/F5/atribucion_combinada.csv</t>
        </is>
      </c>
      <c r="U1525" s="2">
        <f>IF(R1525=0,"",F1525/R1525)</f>
        <v/>
      </c>
      <c r="V1525" s="2">
        <f>SUMIFS(F$2:F$1589,A$2:A$1589,A1525,C$2:C$1589,C1525,E$2:E$1589,E1525,Q$2:Q$1589,Q1525)</f>
        <v/>
      </c>
    </row>
    <row r="1526">
      <c r="A1526" s="3" t="inlineStr">
        <is>
          <t>alquiler</t>
        </is>
      </c>
      <c r="B1526" s="3" t="inlineStr">
        <is>
          <t>ccaa_panel</t>
        </is>
      </c>
      <c r="C1526" s="3" t="inlineStr">
        <is>
          <t>P3</t>
        </is>
      </c>
      <c r="D1526" s="3" t="inlineStr">
        <is>
          <t>demografia</t>
        </is>
      </c>
      <c r="E1526" s="3" t="inlineStr">
        <is>
          <t>shap</t>
        </is>
      </c>
      <c r="F1526" s="3" t="n">
        <v>-0.192039</v>
      </c>
      <c r="G1526" s="3" t="n"/>
      <c r="H1526" s="3" t="n"/>
      <c r="I1526" s="3" t="n"/>
      <c r="J1526" s="3" t="n">
        <v>-0.244057</v>
      </c>
      <c r="K1526" s="3" t="n">
        <v>-0.0759949</v>
      </c>
      <c r="L1526" s="3" t="n">
        <v>-0.298961</v>
      </c>
      <c r="M1526" s="3" t="n">
        <v>-0.0284634</v>
      </c>
      <c r="N1526" s="3" t="inlineStr">
        <is>
          <t>C4</t>
        </is>
      </c>
      <c r="O1526" s="3" t="inlineStr">
        <is>
          <t>si</t>
        </is>
      </c>
      <c r="P1526" s="3" t="inlineStr">
        <is>
          <t>no_vota</t>
        </is>
      </c>
      <c r="Q1526" s="3" t="inlineStr">
        <is>
          <t>lgbm_A_monotono</t>
        </is>
      </c>
      <c r="R1526" s="3" t="n"/>
      <c r="S1526" s="3" t="inlineStr">
        <is>
          <t>contraste (R6): media interanual x T/4; nunca causal; s_f respecto a dY de M2/M6</t>
        </is>
      </c>
      <c r="T1526" s="3" t="inlineStr">
        <is>
          <t>output/v8/F5/atribucion_combinada.csv</t>
        </is>
      </c>
      <c r="U1526" s="2">
        <f>IF(R1526=0,"",F1526/R1526)</f>
        <v/>
      </c>
      <c r="V1526" s="2">
        <f>SUMIFS(F$2:F$1589,A$2:A$1589,A1526,C$2:C$1589,C1526,E$2:E$1589,E1526,Q$2:Q$1589,Q1526)</f>
        <v/>
      </c>
    </row>
    <row r="1527">
      <c r="A1527" s="3" t="inlineStr">
        <is>
          <t>alquiler</t>
        </is>
      </c>
      <c r="B1527" s="3" t="inlineStr">
        <is>
          <t>ccaa_panel</t>
        </is>
      </c>
      <c r="C1527" s="3" t="inlineStr">
        <is>
          <t>P3</t>
        </is>
      </c>
      <c r="D1527" s="3" t="inlineStr">
        <is>
          <t>empleo_renta</t>
        </is>
      </c>
      <c r="E1527" s="3" t="inlineStr">
        <is>
          <t>shap</t>
        </is>
      </c>
      <c r="F1527" s="3" t="n">
        <v>0.529845</v>
      </c>
      <c r="G1527" s="3" t="n"/>
      <c r="H1527" s="3" t="n"/>
      <c r="I1527" s="3" t="n"/>
      <c r="J1527" s="3" t="n">
        <v>0.288876</v>
      </c>
      <c r="K1527" s="3" t="n">
        <v>0.866416</v>
      </c>
      <c r="L1527" s="3" t="n">
        <v>0.163366</v>
      </c>
      <c r="M1527" s="3" t="n">
        <v>1.03806</v>
      </c>
      <c r="N1527" s="3" t="inlineStr">
        <is>
          <t>C4</t>
        </is>
      </c>
      <c r="O1527" s="3" t="inlineStr">
        <is>
          <t>si</t>
        </is>
      </c>
      <c r="P1527" s="3" t="inlineStr">
        <is>
          <t>no_vota</t>
        </is>
      </c>
      <c r="Q1527" s="3" t="inlineStr">
        <is>
          <t>lgbm_A_monotono</t>
        </is>
      </c>
      <c r="R1527" s="3" t="n"/>
      <c r="S1527" s="3" t="inlineStr">
        <is>
          <t>contraste (R6): media interanual x T/4; nunca causal; s_f respecto a dY de M2/M6</t>
        </is>
      </c>
      <c r="T1527" s="3" t="inlineStr">
        <is>
          <t>output/v8/F5/atribucion_combinada.csv</t>
        </is>
      </c>
      <c r="U1527" s="2">
        <f>IF(R1527=0,"",F1527/R1527)</f>
        <v/>
      </c>
      <c r="V1527" s="2">
        <f>SUMIFS(F$2:F$1589,A$2:A$1589,A1527,C$2:C$1589,C1527,E$2:E$1589,E1527,Q$2:Q$1589,Q1527)</f>
        <v/>
      </c>
    </row>
    <row r="1528">
      <c r="A1528" s="3" t="inlineStr">
        <is>
          <t>alquiler</t>
        </is>
      </c>
      <c r="B1528" s="3" t="inlineStr">
        <is>
          <t>ccaa_panel</t>
        </is>
      </c>
      <c r="C1528" s="3" t="inlineStr">
        <is>
          <t>P3</t>
        </is>
      </c>
      <c r="D1528" s="3" t="inlineStr">
        <is>
          <t>credito_tipos</t>
        </is>
      </c>
      <c r="E1528" s="3" t="inlineStr">
        <is>
          <t>shap</t>
        </is>
      </c>
      <c r="F1528" s="3" t="n">
        <v>0.118915</v>
      </c>
      <c r="G1528" s="3" t="n"/>
      <c r="H1528" s="3" t="n"/>
      <c r="I1528" s="3" t="n"/>
      <c r="J1528" s="3" t="n">
        <v>0.0124475</v>
      </c>
      <c r="K1528" s="3" t="n">
        <v>0.255858</v>
      </c>
      <c r="L1528" s="3" t="n">
        <v>-0.0445996</v>
      </c>
      <c r="M1528" s="3" t="n">
        <v>0.416234</v>
      </c>
      <c r="N1528" s="3" t="inlineStr">
        <is>
          <t>C4</t>
        </is>
      </c>
      <c r="O1528" s="3" t="inlineStr">
        <is>
          <t>si</t>
        </is>
      </c>
      <c r="P1528" s="3" t="inlineStr">
        <is>
          <t>no_vota</t>
        </is>
      </c>
      <c r="Q1528" s="3" t="inlineStr">
        <is>
          <t>lgbm_A_monotono</t>
        </is>
      </c>
      <c r="R1528" s="3" t="n"/>
      <c r="S1528" s="3" t="inlineStr">
        <is>
          <t>contraste (R6): media interanual x T/4; nunca causal; s_f respecto a dY de M2/M6</t>
        </is>
      </c>
      <c r="T1528" s="3" t="inlineStr">
        <is>
          <t>output/v8/F5/atribucion_combinada.csv</t>
        </is>
      </c>
      <c r="U1528" s="2">
        <f>IF(R1528=0,"",F1528/R1528)</f>
        <v/>
      </c>
      <c r="V1528" s="2">
        <f>SUMIFS(F$2:F$1589,A$2:A$1589,A1528,C$2:C$1589,C1528,E$2:E$1589,E1528,Q$2:Q$1589,Q1528)</f>
        <v/>
      </c>
    </row>
    <row r="1529">
      <c r="A1529" s="3" t="inlineStr">
        <is>
          <t>alquiler</t>
        </is>
      </c>
      <c r="B1529" s="3" t="inlineStr">
        <is>
          <t>ccaa_panel</t>
        </is>
      </c>
      <c r="C1529" s="3" t="inlineStr">
        <is>
          <t>P3</t>
        </is>
      </c>
      <c r="D1529" s="3" t="inlineStr">
        <is>
          <t>oferta</t>
        </is>
      </c>
      <c r="E1529" s="3" t="inlineStr">
        <is>
          <t>shap</t>
        </is>
      </c>
      <c r="F1529" s="3" t="n">
        <v>-0.09748809999999999</v>
      </c>
      <c r="G1529" s="3" t="n"/>
      <c r="H1529" s="3" t="n"/>
      <c r="I1529" s="3" t="n"/>
      <c r="J1529" s="3" t="n">
        <v>-0.118444</v>
      </c>
      <c r="K1529" s="3" t="n">
        <v>-0.00354262</v>
      </c>
      <c r="L1529" s="3" t="n">
        <v>-0.164241</v>
      </c>
      <c r="M1529" s="3" t="n">
        <v>0.0498381</v>
      </c>
      <c r="N1529" s="3" t="inlineStr">
        <is>
          <t>C4</t>
        </is>
      </c>
      <c r="O1529" s="3" t="inlineStr">
        <is>
          <t>si</t>
        </is>
      </c>
      <c r="P1529" s="3" t="inlineStr">
        <is>
          <t>no_vota</t>
        </is>
      </c>
      <c r="Q1529" s="3" t="inlineStr">
        <is>
          <t>lgbm_A_monotono</t>
        </is>
      </c>
      <c r="R1529" s="3" t="n"/>
      <c r="S1529" s="3" t="inlineStr">
        <is>
          <t>contraste (R6): media interanual x T/4; nunca causal; s_f respecto a dY de M2/M6</t>
        </is>
      </c>
      <c r="T1529" s="3" t="inlineStr">
        <is>
          <t>output/v8/F5/atribucion_combinada.csv</t>
        </is>
      </c>
      <c r="U1529" s="2">
        <f>IF(R1529=0,"",F1529/R1529)</f>
        <v/>
      </c>
      <c r="V1529" s="2">
        <f>SUMIFS(F$2:F$1589,A$2:A$1589,A1529,C$2:C$1589,C1529,E$2:E$1589,E1529,Q$2:Q$1589,Q1529)</f>
        <v/>
      </c>
    </row>
    <row r="1530">
      <c r="A1530" s="3" t="inlineStr">
        <is>
          <t>alquiler</t>
        </is>
      </c>
      <c r="B1530" s="3" t="inlineStr">
        <is>
          <t>ccaa_panel</t>
        </is>
      </c>
      <c r="C1530" s="3" t="inlineStr">
        <is>
          <t>P3</t>
        </is>
      </c>
      <c r="D1530" s="3" t="inlineStr">
        <is>
          <t>demanda_externa</t>
        </is>
      </c>
      <c r="E1530" s="3" t="inlineStr">
        <is>
          <t>shap</t>
        </is>
      </c>
      <c r="F1530" s="3" t="n">
        <v>-0.170875</v>
      </c>
      <c r="G1530" s="3" t="n"/>
      <c r="H1530" s="3" t="n"/>
      <c r="I1530" s="3" t="n"/>
      <c r="J1530" s="3" t="n">
        <v>-0.172802</v>
      </c>
      <c r="K1530" s="3" t="n">
        <v>0.0534461</v>
      </c>
      <c r="L1530" s="3" t="n">
        <v>-0.277469</v>
      </c>
      <c r="M1530" s="3" t="n">
        <v>0.110551</v>
      </c>
      <c r="N1530" s="3" t="inlineStr">
        <is>
          <t>C4</t>
        </is>
      </c>
      <c r="O1530" s="3" t="inlineStr">
        <is>
          <t>si</t>
        </is>
      </c>
      <c r="P1530" s="3" t="inlineStr">
        <is>
          <t>no_vota</t>
        </is>
      </c>
      <c r="Q1530" s="3" t="inlineStr">
        <is>
          <t>lgbm_A_monotono</t>
        </is>
      </c>
      <c r="R1530" s="3" t="n"/>
      <c r="S1530" s="3" t="inlineStr">
        <is>
          <t>contraste (R6): media interanual x T/4; nunca causal; s_f respecto a dY de M2/M6</t>
        </is>
      </c>
      <c r="T1530" s="3" t="inlineStr">
        <is>
          <t>output/v8/F5/atribucion_combinada.csv</t>
        </is>
      </c>
      <c r="U1530" s="2">
        <f>IF(R1530=0,"",F1530/R1530)</f>
        <v/>
      </c>
      <c r="V1530" s="2">
        <f>SUMIFS(F$2:F$1589,A$2:A$1589,A1530,C$2:C$1589,C1530,E$2:E$1589,E1530,Q$2:Q$1589,Q1530)</f>
        <v/>
      </c>
    </row>
    <row r="1531">
      <c r="A1531" s="3" t="inlineStr">
        <is>
          <t>alquiler</t>
        </is>
      </c>
      <c r="B1531" s="3" t="inlineStr">
        <is>
          <t>ccaa_panel</t>
        </is>
      </c>
      <c r="C1531" s="3" t="inlineStr">
        <is>
          <t>P3</t>
        </is>
      </c>
      <c r="D1531" s="3" t="inlineStr">
        <is>
          <t>factor_europeo</t>
        </is>
      </c>
      <c r="E1531" s="3" t="inlineStr">
        <is>
          <t>shap</t>
        </is>
      </c>
      <c r="F1531" s="3" t="n">
        <v>3.22882</v>
      </c>
      <c r="G1531" s="3" t="n"/>
      <c r="H1531" s="3" t="n"/>
      <c r="I1531" s="3" t="n"/>
      <c r="J1531" s="3" t="n">
        <v>1.79083</v>
      </c>
      <c r="K1531" s="3" t="n">
        <v>5.81748</v>
      </c>
      <c r="L1531" s="3" t="n">
        <v>0.594899</v>
      </c>
      <c r="M1531" s="3" t="n">
        <v>6.75652</v>
      </c>
      <c r="N1531" s="3" t="inlineStr">
        <is>
          <t>C4</t>
        </is>
      </c>
      <c r="O1531" s="3" t="inlineStr">
        <is>
          <t>si</t>
        </is>
      </c>
      <c r="P1531" s="3" t="inlineStr">
        <is>
          <t>no_vota</t>
        </is>
      </c>
      <c r="Q1531" s="3" t="inlineStr">
        <is>
          <t>lgbm_A_monotono</t>
        </is>
      </c>
      <c r="R1531" s="3" t="n"/>
      <c r="S1531" s="3" t="inlineStr">
        <is>
          <t>contraste (R6): media interanual x T/4; nunca causal; s_f respecto a dY de M2/M6</t>
        </is>
      </c>
      <c r="T1531" s="3" t="inlineStr">
        <is>
          <t>output/v8/F5/atribucion_combinada.csv</t>
        </is>
      </c>
      <c r="U1531" s="2">
        <f>IF(R1531=0,"",F1531/R1531)</f>
        <v/>
      </c>
      <c r="V1531" s="2">
        <f>SUMIFS(F$2:F$1589,A$2:A$1589,A1531,C$2:C$1589,C1531,E$2:E$1589,E1531,Q$2:Q$1589,Q1531)</f>
        <v/>
      </c>
    </row>
    <row r="1532">
      <c r="A1532" s="3" t="inlineStr">
        <is>
          <t>alquiler</t>
        </is>
      </c>
      <c r="B1532" s="3" t="inlineStr">
        <is>
          <t>ccaa_panel</t>
        </is>
      </c>
      <c r="C1532" s="3" t="inlineStr">
        <is>
          <t>P3</t>
        </is>
      </c>
      <c r="D1532" s="3" t="inlineStr">
        <is>
          <t>residuo</t>
        </is>
      </c>
      <c r="E1532" s="3" t="inlineStr">
        <is>
          <t>shap</t>
        </is>
      </c>
      <c r="F1532" s="3" t="n">
        <v>0.175237</v>
      </c>
      <c r="G1532" s="3" t="n"/>
      <c r="H1532" s="3" t="n"/>
      <c r="I1532" s="3" t="n"/>
      <c r="J1532" s="3" t="n">
        <v>-0.0219501</v>
      </c>
      <c r="K1532" s="3" t="n">
        <v>0.285401</v>
      </c>
      <c r="L1532" s="3" t="n">
        <v>-0.127223</v>
      </c>
      <c r="M1532" s="3" t="n">
        <v>0.395636</v>
      </c>
      <c r="N1532" s="3" t="inlineStr">
        <is>
          <t>C4</t>
        </is>
      </c>
      <c r="O1532" s="3" t="inlineStr">
        <is>
          <t>no</t>
        </is>
      </c>
      <c r="P1532" s="3" t="inlineStr">
        <is>
          <t>no_compite</t>
        </is>
      </c>
      <c r="Q1532" s="3" t="inlineStr">
        <is>
          <t>lgbm_A_monotono</t>
        </is>
      </c>
      <c r="R1532" s="3" t="n"/>
      <c r="S1532" s="3" t="inlineStr">
        <is>
          <t>contraste (R6): media interanual x T/4; nunca causal; s_f respecto a dY de M2/M6</t>
        </is>
      </c>
      <c r="T1532" s="3" t="inlineStr">
        <is>
          <t>output/v8/F5/atribucion_combinada.csv</t>
        </is>
      </c>
      <c r="U1532" s="2">
        <f>IF(R1532=0,"",F1532/R1532)</f>
        <v/>
      </c>
      <c r="V1532" s="2">
        <f>SUMIFS(F$2:F$1589,A$2:A$1589,A1532,C$2:C$1589,C1532,E$2:E$1589,E1532,Q$2:Q$1589,Q1532)</f>
        <v/>
      </c>
    </row>
    <row r="1533">
      <c r="A1533" s="3" t="inlineStr">
        <is>
          <t>alquiler</t>
        </is>
      </c>
      <c r="B1533" s="3" t="inlineStr">
        <is>
          <t>ccaa_panel</t>
        </is>
      </c>
      <c r="C1533" s="3" t="inlineStr">
        <is>
          <t>P4</t>
        </is>
      </c>
      <c r="D1533" s="3" t="inlineStr">
        <is>
          <t>demografia</t>
        </is>
      </c>
      <c r="E1533" s="3" t="inlineStr">
        <is>
          <t>shap</t>
        </is>
      </c>
      <c r="F1533" s="3" t="n">
        <v>-0.00638319</v>
      </c>
      <c r="G1533" s="3" t="n"/>
      <c r="H1533" s="3" t="n"/>
      <c r="I1533" s="3" t="n"/>
      <c r="J1533" s="3" t="n">
        <v>-0.028825</v>
      </c>
      <c r="K1533" s="3" t="n">
        <v>0.060373</v>
      </c>
      <c r="L1533" s="3" t="n">
        <v>-0.0592754</v>
      </c>
      <c r="M1533" s="3" t="n">
        <v>0.111827</v>
      </c>
      <c r="N1533" s="3" t="inlineStr">
        <is>
          <t>C4</t>
        </is>
      </c>
      <c r="O1533" s="3" t="inlineStr">
        <is>
          <t>si</t>
        </is>
      </c>
      <c r="P1533" s="3" t="inlineStr">
        <is>
          <t>no_vota</t>
        </is>
      </c>
      <c r="Q1533" s="3" t="inlineStr">
        <is>
          <t>lgbm_A_monotono</t>
        </is>
      </c>
      <c r="R1533" s="3" t="n"/>
      <c r="S1533" s="3" t="inlineStr">
        <is>
          <t>contraste (R6): media interanual x T/4; nunca causal; s_f respecto a dY de M2/M6</t>
        </is>
      </c>
      <c r="T1533" s="3" t="inlineStr">
        <is>
          <t>output/v8/F5/atribucion_combinada.csv</t>
        </is>
      </c>
      <c r="U1533" s="2">
        <f>IF(R1533=0,"",F1533/R1533)</f>
        <v/>
      </c>
      <c r="V1533" s="2">
        <f>SUMIFS(F$2:F$1589,A$2:A$1589,A1533,C$2:C$1589,C1533,E$2:E$1589,E1533,Q$2:Q$1589,Q1533)</f>
        <v/>
      </c>
    </row>
    <row r="1534">
      <c r="A1534" s="3" t="inlineStr">
        <is>
          <t>alquiler</t>
        </is>
      </c>
      <c r="B1534" s="3" t="inlineStr">
        <is>
          <t>ccaa_panel</t>
        </is>
      </c>
      <c r="C1534" s="3" t="inlineStr">
        <is>
          <t>P4</t>
        </is>
      </c>
      <c r="D1534" s="3" t="inlineStr">
        <is>
          <t>empleo_renta</t>
        </is>
      </c>
      <c r="E1534" s="3" t="inlineStr">
        <is>
          <t>shap</t>
        </is>
      </c>
      <c r="F1534" s="3" t="n">
        <v>-0.0699321</v>
      </c>
      <c r="G1534" s="3" t="n"/>
      <c r="H1534" s="3" t="n"/>
      <c r="I1534" s="3" t="n"/>
      <c r="J1534" s="3" t="n">
        <v>-0.229351</v>
      </c>
      <c r="K1534" s="3" t="n">
        <v>0.0385127</v>
      </c>
      <c r="L1534" s="3" t="n">
        <v>-0.318656</v>
      </c>
      <c r="M1534" s="3" t="n">
        <v>0.14192</v>
      </c>
      <c r="N1534" s="3" t="inlineStr">
        <is>
          <t>C4</t>
        </is>
      </c>
      <c r="O1534" s="3" t="inlineStr">
        <is>
          <t>si</t>
        </is>
      </c>
      <c r="P1534" s="3" t="inlineStr">
        <is>
          <t>no_vota</t>
        </is>
      </c>
      <c r="Q1534" s="3" t="inlineStr">
        <is>
          <t>lgbm_A_monotono</t>
        </is>
      </c>
      <c r="R1534" s="3" t="n"/>
      <c r="S1534" s="3" t="inlineStr">
        <is>
          <t>contraste (R6): media interanual x T/4; nunca causal; s_f respecto a dY de M2/M6</t>
        </is>
      </c>
      <c r="T1534" s="3" t="inlineStr">
        <is>
          <t>output/v8/F5/atribucion_combinada.csv</t>
        </is>
      </c>
      <c r="U1534" s="2">
        <f>IF(R1534=0,"",F1534/R1534)</f>
        <v/>
      </c>
      <c r="V1534" s="2">
        <f>SUMIFS(F$2:F$1589,A$2:A$1589,A1534,C$2:C$1589,C1534,E$2:E$1589,E1534,Q$2:Q$1589,Q1534)</f>
        <v/>
      </c>
    </row>
    <row r="1535">
      <c r="A1535" s="3" t="inlineStr">
        <is>
          <t>alquiler</t>
        </is>
      </c>
      <c r="B1535" s="3" t="inlineStr">
        <is>
          <t>ccaa_panel</t>
        </is>
      </c>
      <c r="C1535" s="3" t="inlineStr">
        <is>
          <t>P4</t>
        </is>
      </c>
      <c r="D1535" s="3" t="inlineStr">
        <is>
          <t>credito_tipos</t>
        </is>
      </c>
      <c r="E1535" s="3" t="inlineStr">
        <is>
          <t>shap</t>
        </is>
      </c>
      <c r="F1535" s="3" t="n">
        <v>0.0381076</v>
      </c>
      <c r="G1535" s="3" t="n"/>
      <c r="H1535" s="3" t="n"/>
      <c r="I1535" s="3" t="n"/>
      <c r="J1535" s="3" t="n">
        <v>-0.06656620000000001</v>
      </c>
      <c r="K1535" s="3" t="n">
        <v>0.0540921</v>
      </c>
      <c r="L1535" s="3" t="n">
        <v>-0.131403</v>
      </c>
      <c r="M1535" s="3" t="n">
        <v>0.09719419999999999</v>
      </c>
      <c r="N1535" s="3" t="inlineStr">
        <is>
          <t>C4</t>
        </is>
      </c>
      <c r="O1535" s="3" t="inlineStr">
        <is>
          <t>si</t>
        </is>
      </c>
      <c r="P1535" s="3" t="inlineStr">
        <is>
          <t>no_vota</t>
        </is>
      </c>
      <c r="Q1535" s="3" t="inlineStr">
        <is>
          <t>lgbm_A_monotono</t>
        </is>
      </c>
      <c r="R1535" s="3" t="n"/>
      <c r="S1535" s="3" t="inlineStr">
        <is>
          <t>contraste (R6): media interanual x T/4; nunca causal; s_f respecto a dY de M2/M6</t>
        </is>
      </c>
      <c r="T1535" s="3" t="inlineStr">
        <is>
          <t>output/v8/F5/atribucion_combinada.csv</t>
        </is>
      </c>
      <c r="U1535" s="2">
        <f>IF(R1535=0,"",F1535/R1535)</f>
        <v/>
      </c>
      <c r="V1535" s="2">
        <f>SUMIFS(F$2:F$1589,A$2:A$1589,A1535,C$2:C$1589,C1535,E$2:E$1589,E1535,Q$2:Q$1589,Q1535)</f>
        <v/>
      </c>
    </row>
    <row r="1536">
      <c r="A1536" s="3" t="inlineStr">
        <is>
          <t>alquiler</t>
        </is>
      </c>
      <c r="B1536" s="3" t="inlineStr">
        <is>
          <t>ccaa_panel</t>
        </is>
      </c>
      <c r="C1536" s="3" t="inlineStr">
        <is>
          <t>P4</t>
        </is>
      </c>
      <c r="D1536" s="3" t="inlineStr">
        <is>
          <t>oferta</t>
        </is>
      </c>
      <c r="E1536" s="3" t="inlineStr">
        <is>
          <t>shap</t>
        </is>
      </c>
      <c r="F1536" s="3" t="n">
        <v>-0.009830790000000001</v>
      </c>
      <c r="G1536" s="3" t="n"/>
      <c r="H1536" s="3" t="n"/>
      <c r="I1536" s="3" t="n"/>
      <c r="J1536" s="3" t="n">
        <v>-0.0254006</v>
      </c>
      <c r="K1536" s="3" t="n">
        <v>0.0312704</v>
      </c>
      <c r="L1536" s="3" t="n">
        <v>-0.0496718</v>
      </c>
      <c r="M1536" s="3" t="n">
        <v>0.0489662</v>
      </c>
      <c r="N1536" s="3" t="inlineStr">
        <is>
          <t>C4</t>
        </is>
      </c>
      <c r="O1536" s="3" t="inlineStr">
        <is>
          <t>si</t>
        </is>
      </c>
      <c r="P1536" s="3" t="inlineStr">
        <is>
          <t>no_vota</t>
        </is>
      </c>
      <c r="Q1536" s="3" t="inlineStr">
        <is>
          <t>lgbm_A_monotono</t>
        </is>
      </c>
      <c r="R1536" s="3" t="n"/>
      <c r="S1536" s="3" t="inlineStr">
        <is>
          <t>contraste (R6): media interanual x T/4; nunca causal; s_f respecto a dY de M2/M6</t>
        </is>
      </c>
      <c r="T1536" s="3" t="inlineStr">
        <is>
          <t>output/v8/F5/atribucion_combinada.csv</t>
        </is>
      </c>
      <c r="U1536" s="2">
        <f>IF(R1536=0,"",F1536/R1536)</f>
        <v/>
      </c>
      <c r="V1536" s="2">
        <f>SUMIFS(F$2:F$1589,A$2:A$1589,A1536,C$2:C$1589,C1536,E$2:E$1589,E1536,Q$2:Q$1589,Q1536)</f>
        <v/>
      </c>
    </row>
    <row r="1537">
      <c r="A1537" s="3" t="inlineStr">
        <is>
          <t>alquiler</t>
        </is>
      </c>
      <c r="B1537" s="3" t="inlineStr">
        <is>
          <t>ccaa_panel</t>
        </is>
      </c>
      <c r="C1537" s="3" t="inlineStr">
        <is>
          <t>P4</t>
        </is>
      </c>
      <c r="D1537" s="3" t="inlineStr">
        <is>
          <t>demanda_externa</t>
        </is>
      </c>
      <c r="E1537" s="3" t="inlineStr">
        <is>
          <t>shap</t>
        </is>
      </c>
      <c r="F1537" s="3" t="n">
        <v>0.0665458</v>
      </c>
      <c r="G1537" s="3" t="n"/>
      <c r="H1537" s="3" t="n"/>
      <c r="I1537" s="3" t="n"/>
      <c r="J1537" s="3" t="n">
        <v>-0.0539267</v>
      </c>
      <c r="K1537" s="3" t="n">
        <v>0.148827</v>
      </c>
      <c r="L1537" s="3" t="n">
        <v>-0.119026</v>
      </c>
      <c r="M1537" s="3" t="n">
        <v>0.282722</v>
      </c>
      <c r="N1537" s="3" t="inlineStr">
        <is>
          <t>C4</t>
        </is>
      </c>
      <c r="O1537" s="3" t="inlineStr">
        <is>
          <t>si</t>
        </is>
      </c>
      <c r="P1537" s="3" t="inlineStr">
        <is>
          <t>no_vota</t>
        </is>
      </c>
      <c r="Q1537" s="3" t="inlineStr">
        <is>
          <t>lgbm_A_monotono</t>
        </is>
      </c>
      <c r="R1537" s="3" t="n"/>
      <c r="S1537" s="3" t="inlineStr">
        <is>
          <t>contraste (R6): media interanual x T/4; nunca causal; s_f respecto a dY de M2/M6</t>
        </is>
      </c>
      <c r="T1537" s="3" t="inlineStr">
        <is>
          <t>output/v8/F5/atribucion_combinada.csv</t>
        </is>
      </c>
      <c r="U1537" s="2">
        <f>IF(R1537=0,"",F1537/R1537)</f>
        <v/>
      </c>
      <c r="V1537" s="2">
        <f>SUMIFS(F$2:F$1589,A$2:A$1589,A1537,C$2:C$1589,C1537,E$2:E$1589,E1537,Q$2:Q$1589,Q1537)</f>
        <v/>
      </c>
    </row>
    <row r="1538">
      <c r="A1538" s="3" t="inlineStr">
        <is>
          <t>alquiler</t>
        </is>
      </c>
      <c r="B1538" s="3" t="inlineStr">
        <is>
          <t>ccaa_panel</t>
        </is>
      </c>
      <c r="C1538" s="3" t="inlineStr">
        <is>
          <t>P4</t>
        </is>
      </c>
      <c r="D1538" s="3" t="inlineStr">
        <is>
          <t>factor_europeo</t>
        </is>
      </c>
      <c r="E1538" s="3" t="inlineStr">
        <is>
          <t>shap</t>
        </is>
      </c>
      <c r="F1538" s="3" t="n">
        <v>-2.67845</v>
      </c>
      <c r="G1538" s="3" t="n"/>
      <c r="H1538" s="3" t="n"/>
      <c r="I1538" s="3" t="n"/>
      <c r="J1538" s="3" t="n">
        <v>-5.24831</v>
      </c>
      <c r="K1538" s="3" t="n">
        <v>0.403841</v>
      </c>
      <c r="L1538" s="3" t="n">
        <v>-9.15653</v>
      </c>
      <c r="M1538" s="3" t="n">
        <v>3.61344</v>
      </c>
      <c r="N1538" s="3" t="inlineStr">
        <is>
          <t>C4</t>
        </is>
      </c>
      <c r="O1538" s="3" t="inlineStr">
        <is>
          <t>si</t>
        </is>
      </c>
      <c r="P1538" s="3" t="inlineStr">
        <is>
          <t>no_vota</t>
        </is>
      </c>
      <c r="Q1538" s="3" t="inlineStr">
        <is>
          <t>lgbm_A_monotono</t>
        </is>
      </c>
      <c r="R1538" s="3" t="n"/>
      <c r="S1538" s="3" t="inlineStr">
        <is>
          <t>contraste (R6): media interanual x T/4; nunca causal; s_f respecto a dY de M2/M6</t>
        </is>
      </c>
      <c r="T1538" s="3" t="inlineStr">
        <is>
          <t>output/v8/F5/atribucion_combinada.csv</t>
        </is>
      </c>
      <c r="U1538" s="2">
        <f>IF(R1538=0,"",F1538/R1538)</f>
        <v/>
      </c>
      <c r="V1538" s="2">
        <f>SUMIFS(F$2:F$1589,A$2:A$1589,A1538,C$2:C$1589,C1538,E$2:E$1589,E1538,Q$2:Q$1589,Q1538)</f>
        <v/>
      </c>
    </row>
    <row r="1539">
      <c r="A1539" s="3" t="inlineStr">
        <is>
          <t>alquiler</t>
        </is>
      </c>
      <c r="B1539" s="3" t="inlineStr">
        <is>
          <t>ccaa_panel</t>
        </is>
      </c>
      <c r="C1539" s="3" t="inlineStr">
        <is>
          <t>P4</t>
        </is>
      </c>
      <c r="D1539" s="3" t="inlineStr">
        <is>
          <t>residuo</t>
        </is>
      </c>
      <c r="E1539" s="3" t="inlineStr">
        <is>
          <t>shap</t>
        </is>
      </c>
      <c r="F1539" s="3" t="n">
        <v>0.177133</v>
      </c>
      <c r="G1539" s="3" t="n"/>
      <c r="H1539" s="3" t="n"/>
      <c r="I1539" s="3" t="n"/>
      <c r="J1539" s="3" t="n">
        <v>0.0348228</v>
      </c>
      <c r="K1539" s="3" t="n">
        <v>0.17684</v>
      </c>
      <c r="L1539" s="3" t="n">
        <v>-0.0294713</v>
      </c>
      <c r="M1539" s="3" t="n">
        <v>0.233317</v>
      </c>
      <c r="N1539" s="3" t="inlineStr">
        <is>
          <t>C4</t>
        </is>
      </c>
      <c r="O1539" s="3" t="inlineStr">
        <is>
          <t>no</t>
        </is>
      </c>
      <c r="P1539" s="3" t="inlineStr">
        <is>
          <t>no_compite</t>
        </is>
      </c>
      <c r="Q1539" s="3" t="inlineStr">
        <is>
          <t>lgbm_A_monotono</t>
        </is>
      </c>
      <c r="R1539" s="3" t="n"/>
      <c r="S1539" s="3" t="inlineStr">
        <is>
          <t>contraste (R6): media interanual x T/4; nunca causal; s_f respecto a dY de M2/M6</t>
        </is>
      </c>
      <c r="T1539" s="3" t="inlineStr">
        <is>
          <t>output/v8/F5/atribucion_combinada.csv</t>
        </is>
      </c>
      <c r="U1539" s="2">
        <f>IF(R1539=0,"",F1539/R1539)</f>
        <v/>
      </c>
      <c r="V1539" s="2">
        <f>SUMIFS(F$2:F$1589,A$2:A$1589,A1539,C$2:C$1589,C1539,E$2:E$1589,E1539,Q$2:Q$1589,Q1539)</f>
        <v/>
      </c>
    </row>
    <row r="1540">
      <c r="A1540" s="3" t="inlineStr">
        <is>
          <t>alquiler</t>
        </is>
      </c>
      <c r="B1540" s="3" t="inlineStr">
        <is>
          <t>ccaa_panel</t>
        </is>
      </c>
      <c r="C1540" s="3" t="inlineStr">
        <is>
          <t>P5</t>
        </is>
      </c>
      <c r="D1540" s="3" t="inlineStr">
        <is>
          <t>demografia</t>
        </is>
      </c>
      <c r="E1540" s="3" t="inlineStr">
        <is>
          <t>shap</t>
        </is>
      </c>
      <c r="F1540" s="3" t="n">
        <v>0.237886</v>
      </c>
      <c r="G1540" s="3" t="n"/>
      <c r="H1540" s="3" t="n"/>
      <c r="I1540" s="3" t="n"/>
      <c r="J1540" s="3" t="n">
        <v>0.179664</v>
      </c>
      <c r="K1540" s="3" t="n">
        <v>0.323385</v>
      </c>
      <c r="L1540" s="3" t="n">
        <v>0.152548</v>
      </c>
      <c r="M1540" s="3" t="n">
        <v>0.425692</v>
      </c>
      <c r="N1540" s="3" t="inlineStr">
        <is>
          <t>C4</t>
        </is>
      </c>
      <c r="O1540" s="3" t="inlineStr">
        <is>
          <t>si</t>
        </is>
      </c>
      <c r="P1540" s="3" t="inlineStr">
        <is>
          <t>no_vota</t>
        </is>
      </c>
      <c r="Q1540" s="3" t="inlineStr">
        <is>
          <t>lgbm_A_monotono</t>
        </is>
      </c>
      <c r="R1540" s="3" t="n"/>
      <c r="S1540" s="3" t="inlineStr">
        <is>
          <t>contraste (R6): media interanual x T/4; nunca causal; s_f respecto a dY de M2/M6</t>
        </is>
      </c>
      <c r="T1540" s="3" t="inlineStr">
        <is>
          <t>output/v8/F5/atribucion_combinada.csv</t>
        </is>
      </c>
      <c r="U1540" s="2">
        <f>IF(R1540=0,"",F1540/R1540)</f>
        <v/>
      </c>
      <c r="V1540" s="2">
        <f>SUMIFS(F$2:F$1589,A$2:A$1589,A1540,C$2:C$1589,C1540,E$2:E$1589,E1540,Q$2:Q$1589,Q1540)</f>
        <v/>
      </c>
    </row>
    <row r="1541">
      <c r="A1541" s="3" t="inlineStr">
        <is>
          <t>alquiler</t>
        </is>
      </c>
      <c r="B1541" s="3" t="inlineStr">
        <is>
          <t>ccaa_panel</t>
        </is>
      </c>
      <c r="C1541" s="3" t="inlineStr">
        <is>
          <t>P5</t>
        </is>
      </c>
      <c r="D1541" s="3" t="inlineStr">
        <is>
          <t>empleo_renta</t>
        </is>
      </c>
      <c r="E1541" s="3" t="inlineStr">
        <is>
          <t>shap</t>
        </is>
      </c>
      <c r="F1541" s="3" t="n">
        <v>0.073597</v>
      </c>
      <c r="G1541" s="3" t="n"/>
      <c r="H1541" s="3" t="n"/>
      <c r="I1541" s="3" t="n"/>
      <c r="J1541" s="3" t="n">
        <v>-0.339571</v>
      </c>
      <c r="K1541" s="3" t="n">
        <v>0.32938</v>
      </c>
      <c r="L1541" s="3" t="n">
        <v>-0.638476</v>
      </c>
      <c r="M1541" s="3" t="n">
        <v>0.551078</v>
      </c>
      <c r="N1541" s="3" t="inlineStr">
        <is>
          <t>C4</t>
        </is>
      </c>
      <c r="O1541" s="3" t="inlineStr">
        <is>
          <t>si</t>
        </is>
      </c>
      <c r="P1541" s="3" t="inlineStr">
        <is>
          <t>no_vota</t>
        </is>
      </c>
      <c r="Q1541" s="3" t="inlineStr">
        <is>
          <t>lgbm_A_monotono</t>
        </is>
      </c>
      <c r="R1541" s="3" t="n"/>
      <c r="S1541" s="3" t="inlineStr">
        <is>
          <t>contraste (R6): media interanual x T/4; nunca causal; s_f respecto a dY de M2/M6</t>
        </is>
      </c>
      <c r="T1541" s="3" t="inlineStr">
        <is>
          <t>output/v8/F5/atribucion_combinada.csv</t>
        </is>
      </c>
      <c r="U1541" s="2">
        <f>IF(R1541=0,"",F1541/R1541)</f>
        <v/>
      </c>
      <c r="V1541" s="2">
        <f>SUMIFS(F$2:F$1589,A$2:A$1589,A1541,C$2:C$1589,C1541,E$2:E$1589,E1541,Q$2:Q$1589,Q1541)</f>
        <v/>
      </c>
    </row>
    <row r="1542">
      <c r="A1542" s="3" t="inlineStr">
        <is>
          <t>alquiler</t>
        </is>
      </c>
      <c r="B1542" s="3" t="inlineStr">
        <is>
          <t>ccaa_panel</t>
        </is>
      </c>
      <c r="C1542" s="3" t="inlineStr">
        <is>
          <t>P5</t>
        </is>
      </c>
      <c r="D1542" s="3" t="inlineStr">
        <is>
          <t>credito_tipos</t>
        </is>
      </c>
      <c r="E1542" s="3" t="inlineStr">
        <is>
          <t>shap</t>
        </is>
      </c>
      <c r="F1542" s="3" t="n">
        <v>0.0497348</v>
      </c>
      <c r="G1542" s="3" t="n"/>
      <c r="H1542" s="3" t="n"/>
      <c r="I1542" s="3" t="n"/>
      <c r="J1542" s="3" t="n">
        <v>-0.0740073</v>
      </c>
      <c r="K1542" s="3" t="n">
        <v>0.07857459999999999</v>
      </c>
      <c r="L1542" s="3" t="n">
        <v>-0.140342</v>
      </c>
      <c r="M1542" s="3" t="n">
        <v>0.1573</v>
      </c>
      <c r="N1542" s="3" t="inlineStr">
        <is>
          <t>C4</t>
        </is>
      </c>
      <c r="O1542" s="3" t="inlineStr">
        <is>
          <t>si</t>
        </is>
      </c>
      <c r="P1542" s="3" t="inlineStr">
        <is>
          <t>no_vota</t>
        </is>
      </c>
      <c r="Q1542" s="3" t="inlineStr">
        <is>
          <t>lgbm_A_monotono</t>
        </is>
      </c>
      <c r="R1542" s="3" t="n"/>
      <c r="S1542" s="3" t="inlineStr">
        <is>
          <t>contraste (R6): media interanual x T/4; nunca causal; s_f respecto a dY de M2/M6</t>
        </is>
      </c>
      <c r="T1542" s="3" t="inlineStr">
        <is>
          <t>output/v8/F5/atribucion_combinada.csv</t>
        </is>
      </c>
      <c r="U1542" s="2">
        <f>IF(R1542=0,"",F1542/R1542)</f>
        <v/>
      </c>
      <c r="V1542" s="2">
        <f>SUMIFS(F$2:F$1589,A$2:A$1589,A1542,C$2:C$1589,C1542,E$2:E$1589,E1542,Q$2:Q$1589,Q1542)</f>
        <v/>
      </c>
    </row>
    <row r="1543">
      <c r="A1543" s="3" t="inlineStr">
        <is>
          <t>alquiler</t>
        </is>
      </c>
      <c r="B1543" s="3" t="inlineStr">
        <is>
          <t>ccaa_panel</t>
        </is>
      </c>
      <c r="C1543" s="3" t="inlineStr">
        <is>
          <t>P5</t>
        </is>
      </c>
      <c r="D1543" s="3" t="inlineStr">
        <is>
          <t>oferta</t>
        </is>
      </c>
      <c r="E1543" s="3" t="inlineStr">
        <is>
          <t>shap</t>
        </is>
      </c>
      <c r="F1543" s="3" t="n">
        <v>-0.0495843</v>
      </c>
      <c r="G1543" s="3" t="n"/>
      <c r="H1543" s="3" t="n"/>
      <c r="I1543" s="3" t="n"/>
      <c r="J1543" s="3" t="n">
        <v>-0.0711707</v>
      </c>
      <c r="K1543" s="3" t="n">
        <v>0.0147616</v>
      </c>
      <c r="L1543" s="3" t="n">
        <v>-0.113179</v>
      </c>
      <c r="M1543" s="3" t="n">
        <v>0.0363242</v>
      </c>
      <c r="N1543" s="3" t="inlineStr">
        <is>
          <t>C4</t>
        </is>
      </c>
      <c r="O1543" s="3" t="inlineStr">
        <is>
          <t>si</t>
        </is>
      </c>
      <c r="P1543" s="3" t="inlineStr">
        <is>
          <t>no_vota</t>
        </is>
      </c>
      <c r="Q1543" s="3" t="inlineStr">
        <is>
          <t>lgbm_A_monotono</t>
        </is>
      </c>
      <c r="R1543" s="3" t="n"/>
      <c r="S1543" s="3" t="inlineStr">
        <is>
          <t>contraste (R6): media interanual x T/4; nunca causal; s_f respecto a dY de M2/M6</t>
        </is>
      </c>
      <c r="T1543" s="3" t="inlineStr">
        <is>
          <t>output/v8/F5/atribucion_combinada.csv</t>
        </is>
      </c>
      <c r="U1543" s="2">
        <f>IF(R1543=0,"",F1543/R1543)</f>
        <v/>
      </c>
      <c r="V1543" s="2">
        <f>SUMIFS(F$2:F$1589,A$2:A$1589,A1543,C$2:C$1589,C1543,E$2:E$1589,E1543,Q$2:Q$1589,Q1543)</f>
        <v/>
      </c>
    </row>
    <row r="1544">
      <c r="A1544" s="3" t="inlineStr">
        <is>
          <t>alquiler</t>
        </is>
      </c>
      <c r="B1544" s="3" t="inlineStr">
        <is>
          <t>ccaa_panel</t>
        </is>
      </c>
      <c r="C1544" s="3" t="inlineStr">
        <is>
          <t>P5</t>
        </is>
      </c>
      <c r="D1544" s="3" t="inlineStr">
        <is>
          <t>demanda_externa</t>
        </is>
      </c>
      <c r="E1544" s="3" t="inlineStr">
        <is>
          <t>shap</t>
        </is>
      </c>
      <c r="F1544" s="3" t="n">
        <v>-0.217543</v>
      </c>
      <c r="G1544" s="3" t="n"/>
      <c r="H1544" s="3" t="n"/>
      <c r="I1544" s="3" t="n"/>
      <c r="J1544" s="3" t="n">
        <v>-0.211482</v>
      </c>
      <c r="K1544" s="3" t="n">
        <v>0.00574125</v>
      </c>
      <c r="L1544" s="3" t="n">
        <v>-0.327611</v>
      </c>
      <c r="M1544" s="3" t="n">
        <v>0.0647862</v>
      </c>
      <c r="N1544" s="3" t="inlineStr">
        <is>
          <t>C4</t>
        </is>
      </c>
      <c r="O1544" s="3" t="inlineStr">
        <is>
          <t>si</t>
        </is>
      </c>
      <c r="P1544" s="3" t="inlineStr">
        <is>
          <t>no_vota</t>
        </is>
      </c>
      <c r="Q1544" s="3" t="inlineStr">
        <is>
          <t>lgbm_A_monotono</t>
        </is>
      </c>
      <c r="R1544" s="3" t="n"/>
      <c r="S1544" s="3" t="inlineStr">
        <is>
          <t>contraste (R6): media interanual x T/4; nunca causal; s_f respecto a dY de M2/M6</t>
        </is>
      </c>
      <c r="T1544" s="3" t="inlineStr">
        <is>
          <t>output/v8/F5/atribucion_combinada.csv</t>
        </is>
      </c>
      <c r="U1544" s="2">
        <f>IF(R1544=0,"",F1544/R1544)</f>
        <v/>
      </c>
      <c r="V1544" s="2">
        <f>SUMIFS(F$2:F$1589,A$2:A$1589,A1544,C$2:C$1589,C1544,E$2:E$1589,E1544,Q$2:Q$1589,Q1544)</f>
        <v/>
      </c>
    </row>
    <row r="1545">
      <c r="A1545" s="3" t="inlineStr">
        <is>
          <t>alquiler</t>
        </is>
      </c>
      <c r="B1545" s="3" t="inlineStr">
        <is>
          <t>ccaa_panel</t>
        </is>
      </c>
      <c r="C1545" s="3" t="inlineStr">
        <is>
          <t>P5</t>
        </is>
      </c>
      <c r="D1545" s="3" t="inlineStr">
        <is>
          <t>factor_europeo</t>
        </is>
      </c>
      <c r="E1545" s="3" t="inlineStr">
        <is>
          <t>shap</t>
        </is>
      </c>
      <c r="F1545" s="3" t="n">
        <v>-1.75697</v>
      </c>
      <c r="G1545" s="3" t="n"/>
      <c r="H1545" s="3" t="n"/>
      <c r="I1545" s="3" t="n"/>
      <c r="J1545" s="3" t="n">
        <v>-3.63854</v>
      </c>
      <c r="K1545" s="3" t="n">
        <v>0.230181</v>
      </c>
      <c r="L1545" s="3" t="n">
        <v>-5.28746</v>
      </c>
      <c r="M1545" s="3" t="n">
        <v>1.73779</v>
      </c>
      <c r="N1545" s="3" t="inlineStr">
        <is>
          <t>C4</t>
        </is>
      </c>
      <c r="O1545" s="3" t="inlineStr">
        <is>
          <t>si</t>
        </is>
      </c>
      <c r="P1545" s="3" t="inlineStr">
        <is>
          <t>no_vota</t>
        </is>
      </c>
      <c r="Q1545" s="3" t="inlineStr">
        <is>
          <t>lgbm_A_monotono</t>
        </is>
      </c>
      <c r="R1545" s="3" t="n"/>
      <c r="S1545" s="3" t="inlineStr">
        <is>
          <t>contraste (R6): media interanual x T/4; nunca causal; s_f respecto a dY de M2/M6</t>
        </is>
      </c>
      <c r="T1545" s="3" t="inlineStr">
        <is>
          <t>output/v8/F5/atribucion_combinada.csv</t>
        </is>
      </c>
      <c r="U1545" s="2">
        <f>IF(R1545=0,"",F1545/R1545)</f>
        <v/>
      </c>
      <c r="V1545" s="2">
        <f>SUMIFS(F$2:F$1589,A$2:A$1589,A1545,C$2:C$1589,C1545,E$2:E$1589,E1545,Q$2:Q$1589,Q1545)</f>
        <v/>
      </c>
    </row>
    <row r="1546">
      <c r="A1546" s="3" t="inlineStr">
        <is>
          <t>alquiler</t>
        </is>
      </c>
      <c r="B1546" s="3" t="inlineStr">
        <is>
          <t>ccaa_panel</t>
        </is>
      </c>
      <c r="C1546" s="3" t="inlineStr">
        <is>
          <t>P5</t>
        </is>
      </c>
      <c r="D1546" s="3" t="inlineStr">
        <is>
          <t>residuo</t>
        </is>
      </c>
      <c r="E1546" s="3" t="inlineStr">
        <is>
          <t>shap</t>
        </is>
      </c>
      <c r="F1546" s="3" t="n">
        <v>-0.205441</v>
      </c>
      <c r="G1546" s="3" t="n"/>
      <c r="H1546" s="3" t="n"/>
      <c r="I1546" s="3" t="n"/>
      <c r="J1546" s="3" t="n">
        <v>-0.263492</v>
      </c>
      <c r="K1546" s="3" t="n">
        <v>0.0235195</v>
      </c>
      <c r="L1546" s="3" t="n">
        <v>-0.358305</v>
      </c>
      <c r="M1546" s="3" t="n">
        <v>0.115517</v>
      </c>
      <c r="N1546" s="3" t="inlineStr">
        <is>
          <t>C4</t>
        </is>
      </c>
      <c r="O1546" s="3" t="inlineStr">
        <is>
          <t>no</t>
        </is>
      </c>
      <c r="P1546" s="3" t="inlineStr">
        <is>
          <t>no_compite</t>
        </is>
      </c>
      <c r="Q1546" s="3" t="inlineStr">
        <is>
          <t>lgbm_A_monotono</t>
        </is>
      </c>
      <c r="R1546" s="3" t="n"/>
      <c r="S1546" s="3" t="inlineStr">
        <is>
          <t>contraste (R6): media interanual x T/4; nunca causal; s_f respecto a dY de M2/M6</t>
        </is>
      </c>
      <c r="T1546" s="3" t="inlineStr">
        <is>
          <t>output/v8/F5/atribucion_combinada.csv</t>
        </is>
      </c>
      <c r="U1546" s="2">
        <f>IF(R1546=0,"",F1546/R1546)</f>
        <v/>
      </c>
      <c r="V1546" s="2">
        <f>SUMIFS(F$2:F$1589,A$2:A$1589,A1546,C$2:C$1589,C1546,E$2:E$1589,E1546,Q$2:Q$1589,Q1546)</f>
        <v/>
      </c>
    </row>
    <row r="1547">
      <c r="A1547" s="3" t="inlineStr">
        <is>
          <t>alquiler</t>
        </is>
      </c>
      <c r="B1547" s="3" t="inlineStr">
        <is>
          <t>ccaa_panel</t>
        </is>
      </c>
      <c r="C1547" s="3" t="inlineStr">
        <is>
          <t>completo</t>
        </is>
      </c>
      <c r="D1547" s="3" t="inlineStr">
        <is>
          <t>demografia</t>
        </is>
      </c>
      <c r="E1547" s="3" t="inlineStr">
        <is>
          <t>shap</t>
        </is>
      </c>
      <c r="F1547" s="3" t="n">
        <v>-0.0450569</v>
      </c>
      <c r="G1547" s="3" t="n"/>
      <c r="H1547" s="3" t="n"/>
      <c r="I1547" s="3" t="n"/>
      <c r="J1547" s="3" t="n">
        <v>-0.123383</v>
      </c>
      <c r="K1547" s="3" t="n">
        <v>0.133052</v>
      </c>
      <c r="L1547" s="3" t="n">
        <v>-0.25688</v>
      </c>
      <c r="M1547" s="3" t="n">
        <v>0.221747</v>
      </c>
      <c r="N1547" s="3" t="inlineStr">
        <is>
          <t>C4</t>
        </is>
      </c>
      <c r="O1547" s="3" t="inlineStr">
        <is>
          <t>si</t>
        </is>
      </c>
      <c r="P1547" s="3" t="inlineStr">
        <is>
          <t>no_vota</t>
        </is>
      </c>
      <c r="Q1547" s="3" t="inlineStr">
        <is>
          <t>lgbm_A_monotono</t>
        </is>
      </c>
      <c r="R1547" s="3" t="n"/>
      <c r="S1547" s="3" t="inlineStr">
        <is>
          <t>contraste (R6): media interanual x T/4; nunca causal; s_f respecto a dY de M2/M6</t>
        </is>
      </c>
      <c r="T1547" s="3" t="inlineStr">
        <is>
          <t>output/v8/F5/atribucion_combinada.csv</t>
        </is>
      </c>
      <c r="U1547" s="2">
        <f>IF(R1547=0,"",F1547/R1547)</f>
        <v/>
      </c>
      <c r="V1547" s="2">
        <f>SUMIFS(F$2:F$1589,A$2:A$1589,A1547,C$2:C$1589,C1547,E$2:E$1589,E1547,Q$2:Q$1589,Q1547)</f>
        <v/>
      </c>
    </row>
    <row r="1548">
      <c r="A1548" s="3" t="inlineStr">
        <is>
          <t>alquiler</t>
        </is>
      </c>
      <c r="B1548" s="3" t="inlineStr">
        <is>
          <t>ccaa_panel</t>
        </is>
      </c>
      <c r="C1548" s="3" t="inlineStr">
        <is>
          <t>completo</t>
        </is>
      </c>
      <c r="D1548" s="3" t="inlineStr">
        <is>
          <t>empleo_renta</t>
        </is>
      </c>
      <c r="E1548" s="3" t="inlineStr">
        <is>
          <t>shap</t>
        </is>
      </c>
      <c r="F1548" s="3" t="n">
        <v>0.0642374</v>
      </c>
      <c r="G1548" s="3" t="n"/>
      <c r="H1548" s="3" t="n"/>
      <c r="I1548" s="3" t="n"/>
      <c r="J1548" s="3" t="n">
        <v>-0.445274</v>
      </c>
      <c r="K1548" s="3" t="n">
        <v>0.451551</v>
      </c>
      <c r="L1548" s="3" t="n">
        <v>-0.639662</v>
      </c>
      <c r="M1548" s="3" t="n">
        <v>0.914067</v>
      </c>
      <c r="N1548" s="3" t="inlineStr">
        <is>
          <t>C4</t>
        </is>
      </c>
      <c r="O1548" s="3" t="inlineStr">
        <is>
          <t>si</t>
        </is>
      </c>
      <c r="P1548" s="3" t="inlineStr">
        <is>
          <t>no_vota</t>
        </is>
      </c>
      <c r="Q1548" s="3" t="inlineStr">
        <is>
          <t>lgbm_A_monotono</t>
        </is>
      </c>
      <c r="R1548" s="3" t="n"/>
      <c r="S1548" s="3" t="inlineStr">
        <is>
          <t>contraste (R6): media interanual x T/4; nunca causal; s_f respecto a dY de M2/M6</t>
        </is>
      </c>
      <c r="T1548" s="3" t="inlineStr">
        <is>
          <t>output/v8/F5/atribucion_combinada.csv</t>
        </is>
      </c>
      <c r="U1548" s="2">
        <f>IF(R1548=0,"",F1548/R1548)</f>
        <v/>
      </c>
      <c r="V1548" s="2">
        <f>SUMIFS(F$2:F$1589,A$2:A$1589,A1548,C$2:C$1589,C1548,E$2:E$1589,E1548,Q$2:Q$1589,Q1548)</f>
        <v/>
      </c>
    </row>
    <row r="1549">
      <c r="A1549" s="3" t="inlineStr">
        <is>
          <t>alquiler</t>
        </is>
      </c>
      <c r="B1549" s="3" t="inlineStr">
        <is>
          <t>ccaa_panel</t>
        </is>
      </c>
      <c r="C1549" s="3" t="inlineStr">
        <is>
          <t>completo</t>
        </is>
      </c>
      <c r="D1549" s="3" t="inlineStr">
        <is>
          <t>credito_tipos</t>
        </is>
      </c>
      <c r="E1549" s="3" t="inlineStr">
        <is>
          <t>shap</t>
        </is>
      </c>
      <c r="F1549" s="3" t="n">
        <v>0.119911</v>
      </c>
      <c r="G1549" s="3" t="n"/>
      <c r="H1549" s="3" t="n"/>
      <c r="I1549" s="3" t="n"/>
      <c r="J1549" s="3" t="n">
        <v>-0.110007</v>
      </c>
      <c r="K1549" s="3" t="n">
        <v>0.181533</v>
      </c>
      <c r="L1549" s="3" t="n">
        <v>-0.224786</v>
      </c>
      <c r="M1549" s="3" t="n">
        <v>0.297051</v>
      </c>
      <c r="N1549" s="3" t="inlineStr">
        <is>
          <t>C4</t>
        </is>
      </c>
      <c r="O1549" s="3" t="inlineStr">
        <is>
          <t>si</t>
        </is>
      </c>
      <c r="P1549" s="3" t="inlineStr">
        <is>
          <t>no_vota</t>
        </is>
      </c>
      <c r="Q1549" s="3" t="inlineStr">
        <is>
          <t>lgbm_A_monotono</t>
        </is>
      </c>
      <c r="R1549" s="3" t="n"/>
      <c r="S1549" s="3" t="inlineStr">
        <is>
          <t>contraste (R6): media interanual x T/4; nunca causal; s_f respecto a dY de M2/M6</t>
        </is>
      </c>
      <c r="T1549" s="3" t="inlineStr">
        <is>
          <t>output/v8/F5/atribucion_combinada.csv</t>
        </is>
      </c>
      <c r="U1549" s="2">
        <f>IF(R1549=0,"",F1549/R1549)</f>
        <v/>
      </c>
      <c r="V1549" s="2">
        <f>SUMIFS(F$2:F$1589,A$2:A$1589,A1549,C$2:C$1589,C1549,E$2:E$1589,E1549,Q$2:Q$1589,Q1549)</f>
        <v/>
      </c>
    </row>
    <row r="1550">
      <c r="A1550" s="3" t="inlineStr">
        <is>
          <t>alquiler</t>
        </is>
      </c>
      <c r="B1550" s="3" t="inlineStr">
        <is>
          <t>ccaa_panel</t>
        </is>
      </c>
      <c r="C1550" s="3" t="inlineStr">
        <is>
          <t>completo</t>
        </is>
      </c>
      <c r="D1550" s="3" t="inlineStr">
        <is>
          <t>oferta</t>
        </is>
      </c>
      <c r="E1550" s="3" t="inlineStr">
        <is>
          <t>shap</t>
        </is>
      </c>
      <c r="F1550" s="3" t="n">
        <v>-0.0717578</v>
      </c>
      <c r="G1550" s="3" t="n"/>
      <c r="H1550" s="3" t="n"/>
      <c r="I1550" s="3" t="n"/>
      <c r="J1550" s="3" t="n">
        <v>-0.102288</v>
      </c>
      <c r="K1550" s="3" t="n">
        <v>0.0413029</v>
      </c>
      <c r="L1550" s="3" t="n">
        <v>-0.144541</v>
      </c>
      <c r="M1550" s="3" t="n">
        <v>0.0946359</v>
      </c>
      <c r="N1550" s="3" t="inlineStr">
        <is>
          <t>C4</t>
        </is>
      </c>
      <c r="O1550" s="3" t="inlineStr">
        <is>
          <t>si</t>
        </is>
      </c>
      <c r="P1550" s="3" t="inlineStr">
        <is>
          <t>no_vota</t>
        </is>
      </c>
      <c r="Q1550" s="3" t="inlineStr">
        <is>
          <t>lgbm_A_monotono</t>
        </is>
      </c>
      <c r="R1550" s="3" t="n"/>
      <c r="S1550" s="3" t="inlineStr">
        <is>
          <t>contraste (R6): media interanual x T/4; nunca causal; s_f respecto a dY de M2/M6</t>
        </is>
      </c>
      <c r="T1550" s="3" t="inlineStr">
        <is>
          <t>output/v8/F5/atribucion_combinada.csv</t>
        </is>
      </c>
      <c r="U1550" s="2">
        <f>IF(R1550=0,"",F1550/R1550)</f>
        <v/>
      </c>
      <c r="V1550" s="2">
        <f>SUMIFS(F$2:F$1589,A$2:A$1589,A1550,C$2:C$1589,C1550,E$2:E$1589,E1550,Q$2:Q$1589,Q1550)</f>
        <v/>
      </c>
    </row>
    <row r="1551">
      <c r="A1551" s="3" t="inlineStr">
        <is>
          <t>alquiler</t>
        </is>
      </c>
      <c r="B1551" s="3" t="inlineStr">
        <is>
          <t>ccaa_panel</t>
        </is>
      </c>
      <c r="C1551" s="3" t="inlineStr">
        <is>
          <t>completo</t>
        </is>
      </c>
      <c r="D1551" s="3" t="inlineStr">
        <is>
          <t>demanda_externa</t>
        </is>
      </c>
      <c r="E1551" s="3" t="inlineStr">
        <is>
          <t>shap</t>
        </is>
      </c>
      <c r="F1551" s="3" t="n">
        <v>-0.0806861</v>
      </c>
      <c r="G1551" s="3" t="n"/>
      <c r="H1551" s="3" t="n"/>
      <c r="I1551" s="3" t="n"/>
      <c r="J1551" s="3" t="n">
        <v>-0.132318</v>
      </c>
      <c r="K1551" s="3" t="n">
        <v>0.187525</v>
      </c>
      <c r="L1551" s="3" t="n">
        <v>-0.377783</v>
      </c>
      <c r="M1551" s="3" t="n">
        <v>0.328349</v>
      </c>
      <c r="N1551" s="3" t="inlineStr">
        <is>
          <t>C4</t>
        </is>
      </c>
      <c r="O1551" s="3" t="inlineStr">
        <is>
          <t>si</t>
        </is>
      </c>
      <c r="P1551" s="3" t="inlineStr">
        <is>
          <t>no_vota</t>
        </is>
      </c>
      <c r="Q1551" s="3" t="inlineStr">
        <is>
          <t>lgbm_A_monotono</t>
        </is>
      </c>
      <c r="R1551" s="3" t="n"/>
      <c r="S1551" s="3" t="inlineStr">
        <is>
          <t>contraste (R6): media interanual x T/4; nunca causal; s_f respecto a dY de M2/M6</t>
        </is>
      </c>
      <c r="T1551" s="3" t="inlineStr">
        <is>
          <t>output/v8/F5/atribucion_combinada.csv</t>
        </is>
      </c>
      <c r="U1551" s="2">
        <f>IF(R1551=0,"",F1551/R1551)</f>
        <v/>
      </c>
      <c r="V1551" s="2">
        <f>SUMIFS(F$2:F$1589,A$2:A$1589,A1551,C$2:C$1589,C1551,E$2:E$1589,E1551,Q$2:Q$1589,Q1551)</f>
        <v/>
      </c>
    </row>
    <row r="1552">
      <c r="A1552" s="3" t="inlineStr">
        <is>
          <t>alquiler</t>
        </is>
      </c>
      <c r="B1552" s="3" t="inlineStr">
        <is>
          <t>ccaa_panel</t>
        </is>
      </c>
      <c r="C1552" s="3" t="inlineStr">
        <is>
          <t>completo</t>
        </is>
      </c>
      <c r="D1552" s="3" t="inlineStr">
        <is>
          <t>factor_europeo</t>
        </is>
      </c>
      <c r="E1552" s="3" t="inlineStr">
        <is>
          <t>shap</t>
        </is>
      </c>
      <c r="F1552" s="3" t="n">
        <v>-0.401078</v>
      </c>
      <c r="G1552" s="3" t="n"/>
      <c r="H1552" s="3" t="n"/>
      <c r="I1552" s="3" t="n"/>
      <c r="J1552" s="3" t="n">
        <v>-2.78422</v>
      </c>
      <c r="K1552" s="3" t="n">
        <v>2.92493</v>
      </c>
      <c r="L1552" s="3" t="n">
        <v>-4.24981</v>
      </c>
      <c r="M1552" s="3" t="n">
        <v>6.65433</v>
      </c>
      <c r="N1552" s="3" t="inlineStr">
        <is>
          <t>C4</t>
        </is>
      </c>
      <c r="O1552" s="3" t="inlineStr">
        <is>
          <t>si</t>
        </is>
      </c>
      <c r="P1552" s="3" t="inlineStr">
        <is>
          <t>no_vota</t>
        </is>
      </c>
      <c r="Q1552" s="3" t="inlineStr">
        <is>
          <t>lgbm_A_monotono</t>
        </is>
      </c>
      <c r="R1552" s="3" t="n"/>
      <c r="S1552" s="3" t="inlineStr">
        <is>
          <t>contraste (R6): media interanual x T/4; nunca causal; s_f respecto a dY de M2/M6</t>
        </is>
      </c>
      <c r="T1552" s="3" t="inlineStr">
        <is>
          <t>output/v8/F5/atribucion_combinada.csv</t>
        </is>
      </c>
      <c r="U1552" s="2">
        <f>IF(R1552=0,"",F1552/R1552)</f>
        <v/>
      </c>
      <c r="V1552" s="2">
        <f>SUMIFS(F$2:F$1589,A$2:A$1589,A1552,C$2:C$1589,C1552,E$2:E$1589,E1552,Q$2:Q$1589,Q1552)</f>
        <v/>
      </c>
    </row>
    <row r="1553">
      <c r="A1553" s="3" t="inlineStr">
        <is>
          <t>alquiler</t>
        </is>
      </c>
      <c r="B1553" s="3" t="inlineStr">
        <is>
          <t>ccaa_panel</t>
        </is>
      </c>
      <c r="C1553" s="3" t="inlineStr">
        <is>
          <t>completo</t>
        </is>
      </c>
      <c r="D1553" s="3" t="inlineStr">
        <is>
          <t>residuo</t>
        </is>
      </c>
      <c r="E1553" s="3" t="inlineStr">
        <is>
          <t>shap</t>
        </is>
      </c>
      <c r="F1553" s="3" t="n">
        <v>-0.0334997</v>
      </c>
      <c r="G1553" s="3" t="n"/>
      <c r="H1553" s="3" t="n"/>
      <c r="I1553" s="3" t="n"/>
      <c r="J1553" s="3" t="n">
        <v>-0.192172</v>
      </c>
      <c r="K1553" s="3" t="n">
        <v>0.24408</v>
      </c>
      <c r="L1553" s="3" t="n">
        <v>-0.288914</v>
      </c>
      <c r="M1553" s="3" t="n">
        <v>0.338642</v>
      </c>
      <c r="N1553" s="3" t="inlineStr">
        <is>
          <t>C4</t>
        </is>
      </c>
      <c r="O1553" s="3" t="inlineStr">
        <is>
          <t>no</t>
        </is>
      </c>
      <c r="P1553" s="3" t="inlineStr">
        <is>
          <t>no_compite</t>
        </is>
      </c>
      <c r="Q1553" s="3" t="inlineStr">
        <is>
          <t>lgbm_A_monotono</t>
        </is>
      </c>
      <c r="R1553" s="3" t="n"/>
      <c r="S1553" s="3" t="inlineStr">
        <is>
          <t>contraste (R6): media interanual x T/4; nunca causal; s_f respecto a dY de M2/M6</t>
        </is>
      </c>
      <c r="T1553" s="3" t="inlineStr">
        <is>
          <t>output/v8/F5/atribucion_combinada.csv</t>
        </is>
      </c>
      <c r="U1553" s="2">
        <f>IF(R1553=0,"",F1553/R1553)</f>
        <v/>
      </c>
      <c r="V1553" s="2">
        <f>SUMIFS(F$2:F$1589,A$2:A$1589,A1553,C$2:C$1589,C1553,E$2:E$1589,E1553,Q$2:Q$1589,Q1553)</f>
        <v/>
      </c>
    </row>
    <row r="1554">
      <c r="A1554" s="3" t="inlineStr">
        <is>
          <t>alquiler</t>
        </is>
      </c>
      <c r="B1554" s="3" t="inlineStr">
        <is>
          <t>nacional</t>
        </is>
      </c>
      <c r="C1554" s="3" t="inlineStr">
        <is>
          <t>P1</t>
        </is>
      </c>
      <c r="D1554" s="3" t="inlineStr">
        <is>
          <t>demografia</t>
        </is>
      </c>
      <c r="E1554" s="3" t="inlineStr">
        <is>
          <t>shap</t>
        </is>
      </c>
      <c r="F1554" s="3" t="n">
        <v>3.3462</v>
      </c>
      <c r="G1554" s="3" t="n"/>
      <c r="H1554" s="3" t="n"/>
      <c r="I1554" s="3" t="n">
        <v>0.679369</v>
      </c>
      <c r="J1554" s="3" t="n">
        <v>1.21351</v>
      </c>
      <c r="K1554" s="3" t="n">
        <v>3.82509</v>
      </c>
      <c r="L1554" s="3" t="n">
        <v>0.596738</v>
      </c>
      <c r="M1554" s="3" t="n">
        <v>4.75967</v>
      </c>
      <c r="N1554" s="3" t="inlineStr">
        <is>
          <t>C4</t>
        </is>
      </c>
      <c r="O1554" s="3" t="inlineStr">
        <is>
          <t>si</t>
        </is>
      </c>
      <c r="P1554" s="3" t="inlineStr">
        <is>
          <t>no_vota</t>
        </is>
      </c>
      <c r="Q1554" s="3" t="inlineStr">
        <is>
          <t>lgbm_A_monotono</t>
        </is>
      </c>
      <c r="R1554" s="3" t="n">
        <v>4.92545</v>
      </c>
      <c r="S1554" s="3" t="inlineStr">
        <is>
          <t>contraste (R6): media interanual x T/4; nunca causal; s_f respecto a dY de M2/M6</t>
        </is>
      </c>
      <c r="T1554" s="3" t="inlineStr">
        <is>
          <t>output/v8/F5/atribucion_combinada.csv</t>
        </is>
      </c>
      <c r="U1554" s="2">
        <f>IF(R1554=0,"",F1554/R1554)</f>
        <v/>
      </c>
      <c r="V1554" s="2">
        <f>SUMIFS(F$2:F$1589,A$2:A$1589,A1554,C$2:C$1589,C1554,E$2:E$1589,E1554,Q$2:Q$1589,Q1554)</f>
        <v/>
      </c>
    </row>
    <row r="1555">
      <c r="A1555" s="3" t="inlineStr">
        <is>
          <t>alquiler</t>
        </is>
      </c>
      <c r="B1555" s="3" t="inlineStr">
        <is>
          <t>nacional</t>
        </is>
      </c>
      <c r="C1555" s="3" t="inlineStr">
        <is>
          <t>P1</t>
        </is>
      </c>
      <c r="D1555" s="3" t="inlineStr">
        <is>
          <t>empleo_renta</t>
        </is>
      </c>
      <c r="E1555" s="3" t="inlineStr">
        <is>
          <t>shap</t>
        </is>
      </c>
      <c r="F1555" s="3" t="n">
        <v>0.772258</v>
      </c>
      <c r="G1555" s="3" t="n"/>
      <c r="H1555" s="3" t="n"/>
      <c r="I1555" s="3" t="n">
        <v>0.156789</v>
      </c>
      <c r="J1555" s="3" t="n">
        <v>-0.54508</v>
      </c>
      <c r="K1555" s="3" t="n">
        <v>2.74258</v>
      </c>
      <c r="L1555" s="3" t="n">
        <v>-1.37888</v>
      </c>
      <c r="M1555" s="3" t="n">
        <v>4.33216</v>
      </c>
      <c r="N1555" s="3" t="inlineStr">
        <is>
          <t>C4</t>
        </is>
      </c>
      <c r="O1555" s="3" t="inlineStr">
        <is>
          <t>si</t>
        </is>
      </c>
      <c r="P1555" s="3" t="inlineStr">
        <is>
          <t>no_vota</t>
        </is>
      </c>
      <c r="Q1555" s="3" t="inlineStr">
        <is>
          <t>lgbm_A_monotono</t>
        </is>
      </c>
      <c r="R1555" s="3" t="n">
        <v>4.92545</v>
      </c>
      <c r="S1555" s="3" t="inlineStr">
        <is>
          <t>contraste (R6): media interanual x T/4; nunca causal; s_f respecto a dY de M2/M6</t>
        </is>
      </c>
      <c r="T1555" s="3" t="inlineStr">
        <is>
          <t>output/v8/F5/atribucion_combinada.csv</t>
        </is>
      </c>
      <c r="U1555" s="2">
        <f>IF(R1555=0,"",F1555/R1555)</f>
        <v/>
      </c>
      <c r="V1555" s="2">
        <f>SUMIFS(F$2:F$1589,A$2:A$1589,A1555,C$2:C$1589,C1555,E$2:E$1589,E1555,Q$2:Q$1589,Q1555)</f>
        <v/>
      </c>
    </row>
    <row r="1556">
      <c r="A1556" s="3" t="inlineStr">
        <is>
          <t>alquiler</t>
        </is>
      </c>
      <c r="B1556" s="3" t="inlineStr">
        <is>
          <t>nacional</t>
        </is>
      </c>
      <c r="C1556" s="3" t="inlineStr">
        <is>
          <t>P1</t>
        </is>
      </c>
      <c r="D1556" s="3" t="inlineStr">
        <is>
          <t>credito_tipos</t>
        </is>
      </c>
      <c r="E1556" s="3" t="inlineStr">
        <is>
          <t>shap</t>
        </is>
      </c>
      <c r="F1556" s="3" t="n">
        <v>1.88864</v>
      </c>
      <c r="G1556" s="3" t="n"/>
      <c r="H1556" s="3" t="n"/>
      <c r="I1556" s="3" t="n">
        <v>0.383445</v>
      </c>
      <c r="J1556" s="3" t="n">
        <v>0.9764080000000001</v>
      </c>
      <c r="K1556" s="3" t="n">
        <v>3.24298</v>
      </c>
      <c r="L1556" s="3" t="n">
        <v>0.489656</v>
      </c>
      <c r="M1556" s="3" t="n">
        <v>4.48503</v>
      </c>
      <c r="N1556" s="3" t="inlineStr">
        <is>
          <t>C4</t>
        </is>
      </c>
      <c r="O1556" s="3" t="inlineStr">
        <is>
          <t>si</t>
        </is>
      </c>
      <c r="P1556" s="3" t="inlineStr">
        <is>
          <t>no_vota</t>
        </is>
      </c>
      <c r="Q1556" s="3" t="inlineStr">
        <is>
          <t>lgbm_A_monotono</t>
        </is>
      </c>
      <c r="R1556" s="3" t="n">
        <v>4.92545</v>
      </c>
      <c r="S1556" s="3" t="inlineStr">
        <is>
          <t>contraste (R6): media interanual x T/4; nunca causal; s_f respecto a dY de M2/M6</t>
        </is>
      </c>
      <c r="T1556" s="3" t="inlineStr">
        <is>
          <t>output/v8/F5/atribucion_combinada.csv</t>
        </is>
      </c>
      <c r="U1556" s="2">
        <f>IF(R1556=0,"",F1556/R1556)</f>
        <v/>
      </c>
      <c r="V1556" s="2">
        <f>SUMIFS(F$2:F$1589,A$2:A$1589,A1556,C$2:C$1589,C1556,E$2:E$1589,E1556,Q$2:Q$1589,Q1556)</f>
        <v/>
      </c>
    </row>
    <row r="1557">
      <c r="A1557" s="3" t="inlineStr">
        <is>
          <t>alquiler</t>
        </is>
      </c>
      <c r="B1557" s="3" t="inlineStr">
        <is>
          <t>nacional</t>
        </is>
      </c>
      <c r="C1557" s="3" t="inlineStr">
        <is>
          <t>P1</t>
        </is>
      </c>
      <c r="D1557" s="3" t="inlineStr">
        <is>
          <t>oferta</t>
        </is>
      </c>
      <c r="E1557" s="3" t="inlineStr">
        <is>
          <t>shap</t>
        </is>
      </c>
      <c r="F1557" s="3" t="n">
        <v>-0.674532</v>
      </c>
      <c r="G1557" s="3" t="n"/>
      <c r="H1557" s="3" t="n"/>
      <c r="I1557" s="3" t="n">
        <v>-0.136948</v>
      </c>
      <c r="J1557" s="3" t="n">
        <v>-0.580738</v>
      </c>
      <c r="K1557" s="3" t="n">
        <v>0.377245</v>
      </c>
      <c r="L1557" s="3" t="n">
        <v>-1.05382</v>
      </c>
      <c r="M1557" s="3" t="n">
        <v>0.785457</v>
      </c>
      <c r="N1557" s="3" t="inlineStr">
        <is>
          <t>C4</t>
        </is>
      </c>
      <c r="O1557" s="3" t="inlineStr">
        <is>
          <t>si</t>
        </is>
      </c>
      <c r="P1557" s="3" t="inlineStr">
        <is>
          <t>no_vota</t>
        </is>
      </c>
      <c r="Q1557" s="3" t="inlineStr">
        <is>
          <t>lgbm_A_monotono</t>
        </is>
      </c>
      <c r="R1557" s="3" t="n">
        <v>4.92545</v>
      </c>
      <c r="S1557" s="3" t="inlineStr">
        <is>
          <t>contraste (R6): media interanual x T/4; nunca causal; s_f respecto a dY de M2/M6</t>
        </is>
      </c>
      <c r="T1557" s="3" t="inlineStr">
        <is>
          <t>output/v8/F5/atribucion_combinada.csv</t>
        </is>
      </c>
      <c r="U1557" s="2">
        <f>IF(R1557=0,"",F1557/R1557)</f>
        <v/>
      </c>
      <c r="V1557" s="2">
        <f>SUMIFS(F$2:F$1589,A$2:A$1589,A1557,C$2:C$1589,C1557,E$2:E$1589,E1557,Q$2:Q$1589,Q1557)</f>
        <v/>
      </c>
    </row>
    <row r="1558">
      <c r="A1558" s="3" t="inlineStr">
        <is>
          <t>alquiler</t>
        </is>
      </c>
      <c r="B1558" s="3" t="inlineStr">
        <is>
          <t>nacional</t>
        </is>
      </c>
      <c r="C1558" s="3" t="inlineStr">
        <is>
          <t>P1</t>
        </is>
      </c>
      <c r="D1558" s="3" t="inlineStr">
        <is>
          <t>factor_europeo</t>
        </is>
      </c>
      <c r="E1558" s="3" t="inlineStr">
        <is>
          <t>shap</t>
        </is>
      </c>
      <c r="F1558" s="3" t="n">
        <v>0.591472</v>
      </c>
      <c r="G1558" s="3" t="n"/>
      <c r="H1558" s="3" t="n"/>
      <c r="I1558" s="3" t="n">
        <v>0.120085</v>
      </c>
      <c r="J1558" s="3" t="n">
        <v>-0.264436</v>
      </c>
      <c r="K1558" s="3" t="n">
        <v>0.895414</v>
      </c>
      <c r="L1558" s="3" t="n">
        <v>-0.649003</v>
      </c>
      <c r="M1558" s="3" t="n">
        <v>1.60799</v>
      </c>
      <c r="N1558" s="3" t="inlineStr">
        <is>
          <t>C4</t>
        </is>
      </c>
      <c r="O1558" s="3" t="inlineStr">
        <is>
          <t>si</t>
        </is>
      </c>
      <c r="P1558" s="3" t="inlineStr">
        <is>
          <t>no_vota</t>
        </is>
      </c>
      <c r="Q1558" s="3" t="inlineStr">
        <is>
          <t>lgbm_A_monotono</t>
        </is>
      </c>
      <c r="R1558" s="3" t="n">
        <v>4.92545</v>
      </c>
      <c r="S1558" s="3" t="inlineStr">
        <is>
          <t>contraste (R6): media interanual x T/4; nunca causal; s_f respecto a dY de M2/M6</t>
        </is>
      </c>
      <c r="T1558" s="3" t="inlineStr">
        <is>
          <t>output/v8/F5/atribucion_combinada.csv</t>
        </is>
      </c>
      <c r="U1558" s="2">
        <f>IF(R1558=0,"",F1558/R1558)</f>
        <v/>
      </c>
      <c r="V1558" s="2">
        <f>SUMIFS(F$2:F$1589,A$2:A$1589,A1558,C$2:C$1589,C1558,E$2:E$1589,E1558,Q$2:Q$1589,Q1558)</f>
        <v/>
      </c>
    </row>
    <row r="1559">
      <c r="A1559" s="3" t="inlineStr">
        <is>
          <t>alquiler</t>
        </is>
      </c>
      <c r="B1559" s="3" t="inlineStr">
        <is>
          <t>nacional</t>
        </is>
      </c>
      <c r="C1559" s="3" t="inlineStr">
        <is>
          <t>P1</t>
        </is>
      </c>
      <c r="D1559" s="3" t="inlineStr">
        <is>
          <t>residuo</t>
        </is>
      </c>
      <c r="E1559" s="3" t="inlineStr">
        <is>
          <t>shap</t>
        </is>
      </c>
      <c r="F1559" s="3" t="n">
        <v>0.239597</v>
      </c>
      <c r="G1559" s="3" t="n"/>
      <c r="H1559" s="3" t="n"/>
      <c r="I1559" s="3" t="n">
        <v>0.0486447</v>
      </c>
      <c r="J1559" s="3" t="n">
        <v>-0.0194568</v>
      </c>
      <c r="K1559" s="3" t="n">
        <v>0.581636</v>
      </c>
      <c r="L1559" s="3" t="n">
        <v>-0.139078</v>
      </c>
      <c r="M1559" s="3" t="n">
        <v>1.08491</v>
      </c>
      <c r="N1559" s="3" t="inlineStr">
        <is>
          <t>C4</t>
        </is>
      </c>
      <c r="O1559" s="3" t="inlineStr">
        <is>
          <t>no</t>
        </is>
      </c>
      <c r="P1559" s="3" t="inlineStr">
        <is>
          <t>no_compite</t>
        </is>
      </c>
      <c r="Q1559" s="3" t="inlineStr">
        <is>
          <t>lgbm_A_monotono</t>
        </is>
      </c>
      <c r="R1559" s="3" t="n">
        <v>4.92545</v>
      </c>
      <c r="S1559" s="3" t="inlineStr">
        <is>
          <t>contraste (R6): media interanual x T/4; nunca causal; s_f respecto a dY de M2/M6</t>
        </is>
      </c>
      <c r="T1559" s="3" t="inlineStr">
        <is>
          <t>output/v8/F5/atribucion_combinada.csv</t>
        </is>
      </c>
      <c r="U1559" s="2">
        <f>IF(R1559=0,"",F1559/R1559)</f>
        <v/>
      </c>
      <c r="V1559" s="2">
        <f>SUMIFS(F$2:F$1589,A$2:A$1589,A1559,C$2:C$1589,C1559,E$2:E$1589,E1559,Q$2:Q$1589,Q1559)</f>
        <v/>
      </c>
    </row>
    <row r="1560">
      <c r="A1560" s="3" t="inlineStr">
        <is>
          <t>alquiler</t>
        </is>
      </c>
      <c r="B1560" s="3" t="inlineStr">
        <is>
          <t>nacional</t>
        </is>
      </c>
      <c r="C1560" s="3" t="inlineStr">
        <is>
          <t>P2</t>
        </is>
      </c>
      <c r="D1560" s="3" t="inlineStr">
        <is>
          <t>demografia</t>
        </is>
      </c>
      <c r="E1560" s="3" t="inlineStr">
        <is>
          <t>shap</t>
        </is>
      </c>
      <c r="F1560" s="3" t="n">
        <v>-1.85853</v>
      </c>
      <c r="G1560" s="3" t="n"/>
      <c r="H1560" s="3" t="n"/>
      <c r="I1560" s="3" t="n">
        <v>0.687615</v>
      </c>
      <c r="J1560" s="3" t="n">
        <v>-2.60234</v>
      </c>
      <c r="K1560" s="3" t="n">
        <v>-0.403163</v>
      </c>
      <c r="L1560" s="3" t="n">
        <v>-3.46829</v>
      </c>
      <c r="M1560" s="3" t="n">
        <v>0.136596</v>
      </c>
      <c r="N1560" s="3" t="inlineStr">
        <is>
          <t>C4</t>
        </is>
      </c>
      <c r="O1560" s="3" t="inlineStr">
        <is>
          <t>si</t>
        </is>
      </c>
      <c r="P1560" s="3" t="inlineStr">
        <is>
          <t>no_vota</t>
        </is>
      </c>
      <c r="Q1560" s="3" t="inlineStr">
        <is>
          <t>lgbm_A_monotono</t>
        </is>
      </c>
      <c r="R1560" s="3" t="n">
        <v>-2.70287</v>
      </c>
      <c r="S1560" s="3" t="inlineStr">
        <is>
          <t>contraste (R6): media interanual x T/4; nunca causal; s_f respecto a dY de M2/M6</t>
        </is>
      </c>
      <c r="T1560" s="3" t="inlineStr">
        <is>
          <t>output/v8/F5/atribucion_combinada.csv</t>
        </is>
      </c>
      <c r="U1560" s="2">
        <f>IF(R1560=0,"",F1560/R1560)</f>
        <v/>
      </c>
      <c r="V1560" s="2">
        <f>SUMIFS(F$2:F$1589,A$2:A$1589,A1560,C$2:C$1589,C1560,E$2:E$1589,E1560,Q$2:Q$1589,Q1560)</f>
        <v/>
      </c>
    </row>
    <row r="1561">
      <c r="A1561" s="3" t="inlineStr">
        <is>
          <t>alquiler</t>
        </is>
      </c>
      <c r="B1561" s="3" t="inlineStr">
        <is>
          <t>nacional</t>
        </is>
      </c>
      <c r="C1561" s="3" t="inlineStr">
        <is>
          <t>P2</t>
        </is>
      </c>
      <c r="D1561" s="3" t="inlineStr">
        <is>
          <t>empleo_renta</t>
        </is>
      </c>
      <c r="E1561" s="3" t="inlineStr">
        <is>
          <t>shap</t>
        </is>
      </c>
      <c r="F1561" s="3" t="n">
        <v>1.48414</v>
      </c>
      <c r="G1561" s="3" t="n"/>
      <c r="H1561" s="3" t="n"/>
      <c r="I1561" s="3" t="n">
        <v>-0.549096</v>
      </c>
      <c r="J1561" s="3" t="n">
        <v>-1.05746</v>
      </c>
      <c r="K1561" s="3" t="n">
        <v>2.99273</v>
      </c>
      <c r="L1561" s="3" t="n">
        <v>-2.07942</v>
      </c>
      <c r="M1561" s="3" t="n">
        <v>4.7345</v>
      </c>
      <c r="N1561" s="3" t="inlineStr">
        <is>
          <t>C4</t>
        </is>
      </c>
      <c r="O1561" s="3" t="inlineStr">
        <is>
          <t>si</t>
        </is>
      </c>
      <c r="P1561" s="3" t="inlineStr">
        <is>
          <t>no_vota</t>
        </is>
      </c>
      <c r="Q1561" s="3" t="inlineStr">
        <is>
          <t>lgbm_A_monotono</t>
        </is>
      </c>
      <c r="R1561" s="3" t="n">
        <v>-2.70287</v>
      </c>
      <c r="S1561" s="3" t="inlineStr">
        <is>
          <t>contraste (R6): media interanual x T/4; nunca causal; s_f respecto a dY de M2/M6</t>
        </is>
      </c>
      <c r="T1561" s="3" t="inlineStr">
        <is>
          <t>output/v8/F5/atribucion_combinada.csv</t>
        </is>
      </c>
      <c r="U1561" s="2">
        <f>IF(R1561=0,"",F1561/R1561)</f>
        <v/>
      </c>
      <c r="V1561" s="2">
        <f>SUMIFS(F$2:F$1589,A$2:A$1589,A1561,C$2:C$1589,C1561,E$2:E$1589,E1561,Q$2:Q$1589,Q1561)</f>
        <v/>
      </c>
    </row>
    <row r="1562">
      <c r="A1562" s="3" t="inlineStr">
        <is>
          <t>alquiler</t>
        </is>
      </c>
      <c r="B1562" s="3" t="inlineStr">
        <is>
          <t>nacional</t>
        </is>
      </c>
      <c r="C1562" s="3" t="inlineStr">
        <is>
          <t>P2</t>
        </is>
      </c>
      <c r="D1562" s="3" t="inlineStr">
        <is>
          <t>credito_tipos</t>
        </is>
      </c>
      <c r="E1562" s="3" t="inlineStr">
        <is>
          <t>shap</t>
        </is>
      </c>
      <c r="F1562" s="3" t="n">
        <v>-0.236917</v>
      </c>
      <c r="G1562" s="3" t="n"/>
      <c r="H1562" s="3" t="n"/>
      <c r="I1562" s="3" t="n">
        <v>0.08765390000000001</v>
      </c>
      <c r="J1562" s="3" t="n">
        <v>-0.6530899999999999</v>
      </c>
      <c r="K1562" s="3" t="n">
        <v>0.483902</v>
      </c>
      <c r="L1562" s="3" t="n">
        <v>-1.10384</v>
      </c>
      <c r="M1562" s="3" t="n">
        <v>0.939975</v>
      </c>
      <c r="N1562" s="3" t="inlineStr">
        <is>
          <t>C4</t>
        </is>
      </c>
      <c r="O1562" s="3" t="inlineStr">
        <is>
          <t>si</t>
        </is>
      </c>
      <c r="P1562" s="3" t="inlineStr">
        <is>
          <t>no_vota</t>
        </is>
      </c>
      <c r="Q1562" s="3" t="inlineStr">
        <is>
          <t>lgbm_A_monotono</t>
        </is>
      </c>
      <c r="R1562" s="3" t="n">
        <v>-2.70287</v>
      </c>
      <c r="S1562" s="3" t="inlineStr">
        <is>
          <t>contraste (R6): media interanual x T/4; nunca causal; s_f respecto a dY de M2/M6</t>
        </is>
      </c>
      <c r="T1562" s="3" t="inlineStr">
        <is>
          <t>output/v8/F5/atribucion_combinada.csv</t>
        </is>
      </c>
      <c r="U1562" s="2">
        <f>IF(R1562=0,"",F1562/R1562)</f>
        <v/>
      </c>
      <c r="V1562" s="2">
        <f>SUMIFS(F$2:F$1589,A$2:A$1589,A1562,C$2:C$1589,C1562,E$2:E$1589,E1562,Q$2:Q$1589,Q1562)</f>
        <v/>
      </c>
    </row>
    <row r="1563">
      <c r="A1563" s="3" t="inlineStr">
        <is>
          <t>alquiler</t>
        </is>
      </c>
      <c r="B1563" s="3" t="inlineStr">
        <is>
          <t>nacional</t>
        </is>
      </c>
      <c r="C1563" s="3" t="inlineStr">
        <is>
          <t>P2</t>
        </is>
      </c>
      <c r="D1563" s="3" t="inlineStr">
        <is>
          <t>oferta</t>
        </is>
      </c>
      <c r="E1563" s="3" t="inlineStr">
        <is>
          <t>shap</t>
        </is>
      </c>
      <c r="F1563" s="3" t="n">
        <v>0.915107</v>
      </c>
      <c r="G1563" s="3" t="n"/>
      <c r="H1563" s="3" t="n"/>
      <c r="I1563" s="3" t="n">
        <v>-0.338569</v>
      </c>
      <c r="J1563" s="3" t="n">
        <v>-0.169312</v>
      </c>
      <c r="K1563" s="3" t="n">
        <v>0.8976499999999999</v>
      </c>
      <c r="L1563" s="3" t="n">
        <v>-0.650629</v>
      </c>
      <c r="M1563" s="3" t="n">
        <v>1.21452</v>
      </c>
      <c r="N1563" s="3" t="inlineStr">
        <is>
          <t>C4</t>
        </is>
      </c>
      <c r="O1563" s="3" t="inlineStr">
        <is>
          <t>si</t>
        </is>
      </c>
      <c r="P1563" s="3" t="inlineStr">
        <is>
          <t>no_vota</t>
        </is>
      </c>
      <c r="Q1563" s="3" t="inlineStr">
        <is>
          <t>lgbm_A_monotono</t>
        </is>
      </c>
      <c r="R1563" s="3" t="n">
        <v>-2.70287</v>
      </c>
      <c r="S1563" s="3" t="inlineStr">
        <is>
          <t>contraste (R6): media interanual x T/4; nunca causal; s_f respecto a dY de M2/M6</t>
        </is>
      </c>
      <c r="T1563" s="3" t="inlineStr">
        <is>
          <t>output/v8/F5/atribucion_combinada.csv</t>
        </is>
      </c>
      <c r="U1563" s="2">
        <f>IF(R1563=0,"",F1563/R1563)</f>
        <v/>
      </c>
      <c r="V1563" s="2">
        <f>SUMIFS(F$2:F$1589,A$2:A$1589,A1563,C$2:C$1589,C1563,E$2:E$1589,E1563,Q$2:Q$1589,Q1563)</f>
        <v/>
      </c>
    </row>
    <row r="1564">
      <c r="A1564" s="3" t="inlineStr">
        <is>
          <t>alquiler</t>
        </is>
      </c>
      <c r="B1564" s="3" t="inlineStr">
        <is>
          <t>nacional</t>
        </is>
      </c>
      <c r="C1564" s="3" t="inlineStr">
        <is>
          <t>P2</t>
        </is>
      </c>
      <c r="D1564" s="3" t="inlineStr">
        <is>
          <t>factor_europeo</t>
        </is>
      </c>
      <c r="E1564" s="3" t="inlineStr">
        <is>
          <t>shap</t>
        </is>
      </c>
      <c r="F1564" s="3" t="n">
        <v>-0.487907</v>
      </c>
      <c r="G1564" s="3" t="n"/>
      <c r="H1564" s="3" t="n"/>
      <c r="I1564" s="3" t="n">
        <v>0.180514</v>
      </c>
      <c r="J1564" s="3" t="n">
        <v>-1.07204</v>
      </c>
      <c r="K1564" s="3" t="n">
        <v>0.247106</v>
      </c>
      <c r="L1564" s="3" t="n">
        <v>-1.82895</v>
      </c>
      <c r="M1564" s="3" t="n">
        <v>0.48221</v>
      </c>
      <c r="N1564" s="3" t="inlineStr">
        <is>
          <t>C4</t>
        </is>
      </c>
      <c r="O1564" s="3" t="inlineStr">
        <is>
          <t>si</t>
        </is>
      </c>
      <c r="P1564" s="3" t="inlineStr">
        <is>
          <t>no_vota</t>
        </is>
      </c>
      <c r="Q1564" s="3" t="inlineStr">
        <is>
          <t>lgbm_A_monotono</t>
        </is>
      </c>
      <c r="R1564" s="3" t="n">
        <v>-2.70287</v>
      </c>
      <c r="S1564" s="3" t="inlineStr">
        <is>
          <t>contraste (R6): media interanual x T/4; nunca causal; s_f respecto a dY de M2/M6</t>
        </is>
      </c>
      <c r="T1564" s="3" t="inlineStr">
        <is>
          <t>output/v8/F5/atribucion_combinada.csv</t>
        </is>
      </c>
      <c r="U1564" s="2">
        <f>IF(R1564=0,"",F1564/R1564)</f>
        <v/>
      </c>
      <c r="V1564" s="2">
        <f>SUMIFS(F$2:F$1589,A$2:A$1589,A1564,C$2:C$1589,C1564,E$2:E$1589,E1564,Q$2:Q$1589,Q1564)</f>
        <v/>
      </c>
    </row>
    <row r="1565">
      <c r="A1565" s="3" t="inlineStr">
        <is>
          <t>alquiler</t>
        </is>
      </c>
      <c r="B1565" s="3" t="inlineStr">
        <is>
          <t>nacional</t>
        </is>
      </c>
      <c r="C1565" s="3" t="inlineStr">
        <is>
          <t>P2</t>
        </is>
      </c>
      <c r="D1565" s="3" t="inlineStr">
        <is>
          <t>residuo</t>
        </is>
      </c>
      <c r="E1565" s="3" t="inlineStr">
        <is>
          <t>shap</t>
        </is>
      </c>
      <c r="F1565" s="3" t="n">
        <v>0.190515</v>
      </c>
      <c r="G1565" s="3" t="n"/>
      <c r="H1565" s="3" t="n"/>
      <c r="I1565" s="3" t="n">
        <v>-0.0704862</v>
      </c>
      <c r="J1565" s="3" t="n">
        <v>-0.0513479</v>
      </c>
      <c r="K1565" s="3" t="n">
        <v>0.521917</v>
      </c>
      <c r="L1565" s="3" t="n">
        <v>-0.17596</v>
      </c>
      <c r="M1565" s="3" t="n">
        <v>0.717432</v>
      </c>
      <c r="N1565" s="3" t="inlineStr">
        <is>
          <t>C4</t>
        </is>
      </c>
      <c r="O1565" s="3" t="inlineStr">
        <is>
          <t>no</t>
        </is>
      </c>
      <c r="P1565" s="3" t="inlineStr">
        <is>
          <t>no_compite</t>
        </is>
      </c>
      <c r="Q1565" s="3" t="inlineStr">
        <is>
          <t>lgbm_A_monotono</t>
        </is>
      </c>
      <c r="R1565" s="3" t="n">
        <v>-2.70287</v>
      </c>
      <c r="S1565" s="3" t="inlineStr">
        <is>
          <t>contraste (R6): media interanual x T/4; nunca causal; s_f respecto a dY de M2/M6</t>
        </is>
      </c>
      <c r="T1565" s="3" t="inlineStr">
        <is>
          <t>output/v8/F5/atribucion_combinada.csv</t>
        </is>
      </c>
      <c r="U1565" s="2">
        <f>IF(R1565=0,"",F1565/R1565)</f>
        <v/>
      </c>
      <c r="V1565" s="2">
        <f>SUMIFS(F$2:F$1589,A$2:A$1589,A1565,C$2:C$1589,C1565,E$2:E$1589,E1565,Q$2:Q$1589,Q1565)</f>
        <v/>
      </c>
    </row>
    <row r="1566">
      <c r="A1566" s="3" t="inlineStr">
        <is>
          <t>alquiler</t>
        </is>
      </c>
      <c r="B1566" s="3" t="inlineStr">
        <is>
          <t>nacional</t>
        </is>
      </c>
      <c r="C1566" s="3" t="inlineStr">
        <is>
          <t>P3</t>
        </is>
      </c>
      <c r="D1566" s="3" t="inlineStr">
        <is>
          <t>demografia</t>
        </is>
      </c>
      <c r="E1566" s="3" t="inlineStr">
        <is>
          <t>shap</t>
        </is>
      </c>
      <c r="F1566" s="3" t="n">
        <v>-1.28161</v>
      </c>
      <c r="G1566" s="3" t="n"/>
      <c r="H1566" s="3" t="n"/>
      <c r="I1566" s="3" t="n">
        <v>1.20983</v>
      </c>
      <c r="J1566" s="3" t="n">
        <v>-1.90467</v>
      </c>
      <c r="K1566" s="3" t="n">
        <v>0.00744939</v>
      </c>
      <c r="L1566" s="3" t="n">
        <v>-2.29373</v>
      </c>
      <c r="M1566" s="3" t="n">
        <v>0.523508</v>
      </c>
      <c r="N1566" s="3" t="inlineStr">
        <is>
          <t>C4</t>
        </is>
      </c>
      <c r="O1566" s="3" t="inlineStr">
        <is>
          <t>si</t>
        </is>
      </c>
      <c r="P1566" s="3" t="inlineStr">
        <is>
          <t>no_vota</t>
        </is>
      </c>
      <c r="Q1566" s="3" t="inlineStr">
        <is>
          <t>lgbm_A_monotono</t>
        </is>
      </c>
      <c r="R1566" s="3" t="n">
        <v>-1.05934</v>
      </c>
      <c r="S1566" s="3" t="inlineStr">
        <is>
          <t>contraste (R6): media interanual x T/4; nunca causal; s_f respecto a dY de M2/M6</t>
        </is>
      </c>
      <c r="T1566" s="3" t="inlineStr">
        <is>
          <t>output/v8/F5/atribucion_combinada.csv</t>
        </is>
      </c>
      <c r="U1566" s="2">
        <f>IF(R1566=0,"",F1566/R1566)</f>
        <v/>
      </c>
      <c r="V1566" s="2">
        <f>SUMIFS(F$2:F$1589,A$2:A$1589,A1566,C$2:C$1589,C1566,E$2:E$1589,E1566,Q$2:Q$1589,Q1566)</f>
        <v/>
      </c>
    </row>
    <row r="1567">
      <c r="A1567" s="3" t="inlineStr">
        <is>
          <t>alquiler</t>
        </is>
      </c>
      <c r="B1567" s="3" t="inlineStr">
        <is>
          <t>nacional</t>
        </is>
      </c>
      <c r="C1567" s="3" t="inlineStr">
        <is>
          <t>P3</t>
        </is>
      </c>
      <c r="D1567" s="3" t="inlineStr">
        <is>
          <t>empleo_renta</t>
        </is>
      </c>
      <c r="E1567" s="3" t="inlineStr">
        <is>
          <t>shap</t>
        </is>
      </c>
      <c r="F1567" s="3" t="n">
        <v>0.425292</v>
      </c>
      <c r="G1567" s="3" t="n"/>
      <c r="H1567" s="3" t="n"/>
      <c r="I1567" s="3" t="n">
        <v>-0.401471</v>
      </c>
      <c r="J1567" s="3" t="n">
        <v>-0.362015</v>
      </c>
      <c r="K1567" s="3" t="n">
        <v>2.75015</v>
      </c>
      <c r="L1567" s="3" t="n">
        <v>-1.0411</v>
      </c>
      <c r="M1567" s="3" t="n">
        <v>4.75233</v>
      </c>
      <c r="N1567" s="3" t="inlineStr">
        <is>
          <t>C4</t>
        </is>
      </c>
      <c r="O1567" s="3" t="inlineStr">
        <is>
          <t>si</t>
        </is>
      </c>
      <c r="P1567" s="3" t="inlineStr">
        <is>
          <t>no_vota</t>
        </is>
      </c>
      <c r="Q1567" s="3" t="inlineStr">
        <is>
          <t>lgbm_A_monotono</t>
        </is>
      </c>
      <c r="R1567" s="3" t="n">
        <v>-1.05934</v>
      </c>
      <c r="S1567" s="3" t="inlineStr">
        <is>
          <t>contraste (R6): media interanual x T/4; nunca causal; s_f respecto a dY de M2/M6</t>
        </is>
      </c>
      <c r="T1567" s="3" t="inlineStr">
        <is>
          <t>output/v8/F5/atribucion_combinada.csv</t>
        </is>
      </c>
      <c r="U1567" s="2">
        <f>IF(R1567=0,"",F1567/R1567)</f>
        <v/>
      </c>
      <c r="V1567" s="2">
        <f>SUMIFS(F$2:F$1589,A$2:A$1589,A1567,C$2:C$1589,C1567,E$2:E$1589,E1567,Q$2:Q$1589,Q1567)</f>
        <v/>
      </c>
    </row>
    <row r="1568">
      <c r="A1568" s="3" t="inlineStr">
        <is>
          <t>alquiler</t>
        </is>
      </c>
      <c r="B1568" s="3" t="inlineStr">
        <is>
          <t>nacional</t>
        </is>
      </c>
      <c r="C1568" s="3" t="inlineStr">
        <is>
          <t>P3</t>
        </is>
      </c>
      <c r="D1568" s="3" t="inlineStr">
        <is>
          <t>credito_tipos</t>
        </is>
      </c>
      <c r="E1568" s="3" t="inlineStr">
        <is>
          <t>shap</t>
        </is>
      </c>
      <c r="F1568" s="3" t="n">
        <v>0.184839</v>
      </c>
      <c r="G1568" s="3" t="n"/>
      <c r="H1568" s="3" t="n"/>
      <c r="I1568" s="3" t="n">
        <v>-0.174485</v>
      </c>
      <c r="J1568" s="3" t="n">
        <v>-1.33728</v>
      </c>
      <c r="K1568" s="3" t="n">
        <v>0.41179</v>
      </c>
      <c r="L1568" s="3" t="n">
        <v>-2.14194</v>
      </c>
      <c r="M1568" s="3" t="n">
        <v>0.906019</v>
      </c>
      <c r="N1568" s="3" t="inlineStr">
        <is>
          <t>C4</t>
        </is>
      </c>
      <c r="O1568" s="3" t="inlineStr">
        <is>
          <t>si</t>
        </is>
      </c>
      <c r="P1568" s="3" t="inlineStr">
        <is>
          <t>no_vota</t>
        </is>
      </c>
      <c r="Q1568" s="3" t="inlineStr">
        <is>
          <t>lgbm_A_monotono</t>
        </is>
      </c>
      <c r="R1568" s="3" t="n">
        <v>-1.05934</v>
      </c>
      <c r="S1568" s="3" t="inlineStr">
        <is>
          <t>contraste (R6): media interanual x T/4; nunca causal; s_f respecto a dY de M2/M6</t>
        </is>
      </c>
      <c r="T1568" s="3" t="inlineStr">
        <is>
          <t>output/v8/F5/atribucion_combinada.csv</t>
        </is>
      </c>
      <c r="U1568" s="2">
        <f>IF(R1568=0,"",F1568/R1568)</f>
        <v/>
      </c>
      <c r="V1568" s="2">
        <f>SUMIFS(F$2:F$1589,A$2:A$1589,A1568,C$2:C$1589,C1568,E$2:E$1589,E1568,Q$2:Q$1589,Q1568)</f>
        <v/>
      </c>
    </row>
    <row r="1569">
      <c r="A1569" s="3" t="inlineStr">
        <is>
          <t>alquiler</t>
        </is>
      </c>
      <c r="B1569" s="3" t="inlineStr">
        <is>
          <t>nacional</t>
        </is>
      </c>
      <c r="C1569" s="3" t="inlineStr">
        <is>
          <t>P3</t>
        </is>
      </c>
      <c r="D1569" s="3" t="inlineStr">
        <is>
          <t>oferta</t>
        </is>
      </c>
      <c r="E1569" s="3" t="inlineStr">
        <is>
          <t>shap</t>
        </is>
      </c>
      <c r="F1569" s="3" t="n">
        <v>1.27069</v>
      </c>
      <c r="G1569" s="3" t="n"/>
      <c r="H1569" s="3" t="n"/>
      <c r="I1569" s="3" t="n">
        <v>-1.19952</v>
      </c>
      <c r="J1569" s="3" t="n">
        <v>-0.139098</v>
      </c>
      <c r="K1569" s="3" t="n">
        <v>1.76171</v>
      </c>
      <c r="L1569" s="3" t="n">
        <v>-0.579457</v>
      </c>
      <c r="M1569" s="3" t="n">
        <v>2.43879</v>
      </c>
      <c r="N1569" s="3" t="inlineStr">
        <is>
          <t>C4</t>
        </is>
      </c>
      <c r="O1569" s="3" t="inlineStr">
        <is>
          <t>si</t>
        </is>
      </c>
      <c r="P1569" s="3" t="inlineStr">
        <is>
          <t>no_vota</t>
        </is>
      </c>
      <c r="Q1569" s="3" t="inlineStr">
        <is>
          <t>lgbm_A_monotono</t>
        </is>
      </c>
      <c r="R1569" s="3" t="n">
        <v>-1.05934</v>
      </c>
      <c r="S1569" s="3" t="inlineStr">
        <is>
          <t>contraste (R6): media interanual x T/4; nunca causal; s_f respecto a dY de M2/M6</t>
        </is>
      </c>
      <c r="T1569" s="3" t="inlineStr">
        <is>
          <t>output/v8/F5/atribucion_combinada.csv</t>
        </is>
      </c>
      <c r="U1569" s="2">
        <f>IF(R1569=0,"",F1569/R1569)</f>
        <v/>
      </c>
      <c r="V1569" s="2">
        <f>SUMIFS(F$2:F$1589,A$2:A$1589,A1569,C$2:C$1589,C1569,E$2:E$1589,E1569,Q$2:Q$1589,Q1569)</f>
        <v/>
      </c>
    </row>
    <row r="1570">
      <c r="A1570" s="3" t="inlineStr">
        <is>
          <t>alquiler</t>
        </is>
      </c>
      <c r="B1570" s="3" t="inlineStr">
        <is>
          <t>nacional</t>
        </is>
      </c>
      <c r="C1570" s="3" t="inlineStr">
        <is>
          <t>P3</t>
        </is>
      </c>
      <c r="D1570" s="3" t="inlineStr">
        <is>
          <t>factor_europeo</t>
        </is>
      </c>
      <c r="E1570" s="3" t="inlineStr">
        <is>
          <t>shap</t>
        </is>
      </c>
      <c r="F1570" s="3" t="n">
        <v>0.0579942</v>
      </c>
      <c r="G1570" s="3" t="n"/>
      <c r="H1570" s="3" t="n"/>
      <c r="I1570" s="3" t="n">
        <v>-0.0547459</v>
      </c>
      <c r="J1570" s="3" t="n">
        <v>-0.238099</v>
      </c>
      <c r="K1570" s="3" t="n">
        <v>0.628651</v>
      </c>
      <c r="L1570" s="3" t="n">
        <v>-0.465357</v>
      </c>
      <c r="M1570" s="3" t="n">
        <v>0.852008</v>
      </c>
      <c r="N1570" s="3" t="inlineStr">
        <is>
          <t>C4</t>
        </is>
      </c>
      <c r="O1570" s="3" t="inlineStr">
        <is>
          <t>si</t>
        </is>
      </c>
      <c r="P1570" s="3" t="inlineStr">
        <is>
          <t>no_vota</t>
        </is>
      </c>
      <c r="Q1570" s="3" t="inlineStr">
        <is>
          <t>lgbm_A_monotono</t>
        </is>
      </c>
      <c r="R1570" s="3" t="n">
        <v>-1.05934</v>
      </c>
      <c r="S1570" s="3" t="inlineStr">
        <is>
          <t>contraste (R6): media interanual x T/4; nunca causal; s_f respecto a dY de M2/M6</t>
        </is>
      </c>
      <c r="T1570" s="3" t="inlineStr">
        <is>
          <t>output/v8/F5/atribucion_combinada.csv</t>
        </is>
      </c>
      <c r="U1570" s="2">
        <f>IF(R1570=0,"",F1570/R1570)</f>
        <v/>
      </c>
      <c r="V1570" s="2">
        <f>SUMIFS(F$2:F$1589,A$2:A$1589,A1570,C$2:C$1589,C1570,E$2:E$1589,E1570,Q$2:Q$1589,Q1570)</f>
        <v/>
      </c>
    </row>
    <row r="1571">
      <c r="A1571" s="3" t="inlineStr">
        <is>
          <t>alquiler</t>
        </is>
      </c>
      <c r="B1571" s="3" t="inlineStr">
        <is>
          <t>nacional</t>
        </is>
      </c>
      <c r="C1571" s="3" t="inlineStr">
        <is>
          <t>P3</t>
        </is>
      </c>
      <c r="D1571" s="3" t="inlineStr">
        <is>
          <t>residuo</t>
        </is>
      </c>
      <c r="E1571" s="3" t="inlineStr">
        <is>
          <t>shap</t>
        </is>
      </c>
      <c r="F1571" s="3" t="n">
        <v>0.7203580000000001</v>
      </c>
      <c r="G1571" s="3" t="n"/>
      <c r="H1571" s="3" t="n"/>
      <c r="I1571" s="3" t="n">
        <v>-0.680009</v>
      </c>
      <c r="J1571" s="3" t="n">
        <v>0.198678</v>
      </c>
      <c r="K1571" s="3" t="n">
        <v>0.8237910000000001</v>
      </c>
      <c r="L1571" s="3" t="n">
        <v>0.016012</v>
      </c>
      <c r="M1571" s="3" t="n">
        <v>1.00636</v>
      </c>
      <c r="N1571" s="3" t="inlineStr">
        <is>
          <t>C4</t>
        </is>
      </c>
      <c r="O1571" s="3" t="inlineStr">
        <is>
          <t>no</t>
        </is>
      </c>
      <c r="P1571" s="3" t="inlineStr">
        <is>
          <t>no_compite</t>
        </is>
      </c>
      <c r="Q1571" s="3" t="inlineStr">
        <is>
          <t>lgbm_A_monotono</t>
        </is>
      </c>
      <c r="R1571" s="3" t="n">
        <v>-1.05934</v>
      </c>
      <c r="S1571" s="3" t="inlineStr">
        <is>
          <t>contraste (R6): media interanual x T/4; nunca causal; s_f respecto a dY de M2/M6</t>
        </is>
      </c>
      <c r="T1571" s="3" t="inlineStr">
        <is>
          <t>output/v8/F5/atribucion_combinada.csv</t>
        </is>
      </c>
      <c r="U1571" s="2">
        <f>IF(R1571=0,"",F1571/R1571)</f>
        <v/>
      </c>
      <c r="V1571" s="2">
        <f>SUMIFS(F$2:F$1589,A$2:A$1589,A1571,C$2:C$1589,C1571,E$2:E$1589,E1571,Q$2:Q$1589,Q1571)</f>
        <v/>
      </c>
    </row>
    <row r="1572">
      <c r="A1572" s="3" t="inlineStr">
        <is>
          <t>alquiler</t>
        </is>
      </c>
      <c r="B1572" s="3" t="inlineStr">
        <is>
          <t>nacional</t>
        </is>
      </c>
      <c r="C1572" s="3" t="inlineStr">
        <is>
          <t>P4</t>
        </is>
      </c>
      <c r="D1572" s="3" t="inlineStr">
        <is>
          <t>demografia</t>
        </is>
      </c>
      <c r="E1572" s="3" t="inlineStr">
        <is>
          <t>shap</t>
        </is>
      </c>
      <c r="F1572" s="3" t="n">
        <v>-0.965844</v>
      </c>
      <c r="G1572" s="3" t="n"/>
      <c r="H1572" s="3" t="n"/>
      <c r="I1572" s="3" t="n">
        <v>0.103375</v>
      </c>
      <c r="J1572" s="3" t="n">
        <v>-1.04097</v>
      </c>
      <c r="K1572" s="3" t="n">
        <v>0.256539</v>
      </c>
      <c r="L1572" s="3" t="n">
        <v>-1.51903</v>
      </c>
      <c r="M1572" s="3" t="n">
        <v>0.728201</v>
      </c>
      <c r="N1572" s="3" t="inlineStr">
        <is>
          <t>C4</t>
        </is>
      </c>
      <c r="O1572" s="3" t="inlineStr">
        <is>
          <t>si</t>
        </is>
      </c>
      <c r="P1572" s="3" t="inlineStr">
        <is>
          <t>no_vota</t>
        </is>
      </c>
      <c r="Q1572" s="3" t="inlineStr">
        <is>
          <t>lgbm_A_monotono</t>
        </is>
      </c>
      <c r="R1572" s="3" t="n">
        <v>-9.34309</v>
      </c>
      <c r="S1572" s="3" t="inlineStr">
        <is>
          <t>contraste (R6): media interanual x T/4; nunca causal; s_f respecto a dY de M2/M6</t>
        </is>
      </c>
      <c r="T1572" s="3" t="inlineStr">
        <is>
          <t>output/v8/F5/atribucion_combinada.csv</t>
        </is>
      </c>
      <c r="U1572" s="2">
        <f>IF(R1572=0,"",F1572/R1572)</f>
        <v/>
      </c>
      <c r="V1572" s="2">
        <f>SUMIFS(F$2:F$1589,A$2:A$1589,A1572,C$2:C$1589,C1572,E$2:E$1589,E1572,Q$2:Q$1589,Q1572)</f>
        <v/>
      </c>
    </row>
    <row r="1573">
      <c r="A1573" s="3" t="inlineStr">
        <is>
          <t>alquiler</t>
        </is>
      </c>
      <c r="B1573" s="3" t="inlineStr">
        <is>
          <t>nacional</t>
        </is>
      </c>
      <c r="C1573" s="3" t="inlineStr">
        <is>
          <t>P4</t>
        </is>
      </c>
      <c r="D1573" s="3" t="inlineStr">
        <is>
          <t>empleo_renta</t>
        </is>
      </c>
      <c r="E1573" s="3" t="inlineStr">
        <is>
          <t>shap</t>
        </is>
      </c>
      <c r="F1573" s="3" t="n">
        <v>-0.990167</v>
      </c>
      <c r="G1573" s="3" t="n"/>
      <c r="H1573" s="3" t="n"/>
      <c r="I1573" s="3" t="n">
        <v>0.105978</v>
      </c>
      <c r="J1573" s="3" t="n">
        <v>-2.91254</v>
      </c>
      <c r="K1573" s="3" t="n">
        <v>0.573755</v>
      </c>
      <c r="L1573" s="3" t="n">
        <v>-4.80327</v>
      </c>
      <c r="M1573" s="3" t="n">
        <v>1.3984</v>
      </c>
      <c r="N1573" s="3" t="inlineStr">
        <is>
          <t>C4</t>
        </is>
      </c>
      <c r="O1573" s="3" t="inlineStr">
        <is>
          <t>si</t>
        </is>
      </c>
      <c r="P1573" s="3" t="inlineStr">
        <is>
          <t>no_vota</t>
        </is>
      </c>
      <c r="Q1573" s="3" t="inlineStr">
        <is>
          <t>lgbm_A_monotono</t>
        </is>
      </c>
      <c r="R1573" s="3" t="n">
        <v>-9.34309</v>
      </c>
      <c r="S1573" s="3" t="inlineStr">
        <is>
          <t>contraste (R6): media interanual x T/4; nunca causal; s_f respecto a dY de M2/M6</t>
        </is>
      </c>
      <c r="T1573" s="3" t="inlineStr">
        <is>
          <t>output/v8/F5/atribucion_combinada.csv</t>
        </is>
      </c>
      <c r="U1573" s="2">
        <f>IF(R1573=0,"",F1573/R1573)</f>
        <v/>
      </c>
      <c r="V1573" s="2">
        <f>SUMIFS(F$2:F$1589,A$2:A$1589,A1573,C$2:C$1589,C1573,E$2:E$1589,E1573,Q$2:Q$1589,Q1573)</f>
        <v/>
      </c>
    </row>
    <row r="1574">
      <c r="A1574" s="3" t="inlineStr">
        <is>
          <t>alquiler</t>
        </is>
      </c>
      <c r="B1574" s="3" t="inlineStr">
        <is>
          <t>nacional</t>
        </is>
      </c>
      <c r="C1574" s="3" t="inlineStr">
        <is>
          <t>P4</t>
        </is>
      </c>
      <c r="D1574" s="3" t="inlineStr">
        <is>
          <t>credito_tipos</t>
        </is>
      </c>
      <c r="E1574" s="3" t="inlineStr">
        <is>
          <t>shap</t>
        </is>
      </c>
      <c r="F1574" s="3" t="n">
        <v>0.06921339999999999</v>
      </c>
      <c r="G1574" s="3" t="n"/>
      <c r="H1574" s="3" t="n"/>
      <c r="I1574" s="3" t="n">
        <v>-0.00740798</v>
      </c>
      <c r="J1574" s="3" t="n">
        <v>-0.5335760000000001</v>
      </c>
      <c r="K1574" s="3" t="n">
        <v>0.24473</v>
      </c>
      <c r="L1574" s="3" t="n">
        <v>-0.919376</v>
      </c>
      <c r="M1574" s="3" t="n">
        <v>0.432694</v>
      </c>
      <c r="N1574" s="3" t="inlineStr">
        <is>
          <t>C4</t>
        </is>
      </c>
      <c r="O1574" s="3" t="inlineStr">
        <is>
          <t>si</t>
        </is>
      </c>
      <c r="P1574" s="3" t="inlineStr">
        <is>
          <t>no_vota</t>
        </is>
      </c>
      <c r="Q1574" s="3" t="inlineStr">
        <is>
          <t>lgbm_A_monotono</t>
        </is>
      </c>
      <c r="R1574" s="3" t="n">
        <v>-9.34309</v>
      </c>
      <c r="S1574" s="3" t="inlineStr">
        <is>
          <t>contraste (R6): media interanual x T/4; nunca causal; s_f respecto a dY de M2/M6</t>
        </is>
      </c>
      <c r="T1574" s="3" t="inlineStr">
        <is>
          <t>output/v8/F5/atribucion_combinada.csv</t>
        </is>
      </c>
      <c r="U1574" s="2">
        <f>IF(R1574=0,"",F1574/R1574)</f>
        <v/>
      </c>
      <c r="V1574" s="2">
        <f>SUMIFS(F$2:F$1589,A$2:A$1589,A1574,C$2:C$1589,C1574,E$2:E$1589,E1574,Q$2:Q$1589,Q1574)</f>
        <v/>
      </c>
    </row>
    <row r="1575">
      <c r="A1575" s="3" t="inlineStr">
        <is>
          <t>alquiler</t>
        </is>
      </c>
      <c r="B1575" s="3" t="inlineStr">
        <is>
          <t>nacional</t>
        </is>
      </c>
      <c r="C1575" s="3" t="inlineStr">
        <is>
          <t>P4</t>
        </is>
      </c>
      <c r="D1575" s="3" t="inlineStr">
        <is>
          <t>oferta</t>
        </is>
      </c>
      <c r="E1575" s="3" t="inlineStr">
        <is>
          <t>shap</t>
        </is>
      </c>
      <c r="F1575" s="3" t="n">
        <v>-1.29871</v>
      </c>
      <c r="G1575" s="3" t="n"/>
      <c r="H1575" s="3" t="n"/>
      <c r="I1575" s="3" t="n">
        <v>0.139002</v>
      </c>
      <c r="J1575" s="3" t="n">
        <v>-1.50933</v>
      </c>
      <c r="K1575" s="3" t="n">
        <v>-0.238418</v>
      </c>
      <c r="L1575" s="3" t="n">
        <v>-2.369</v>
      </c>
      <c r="M1575" s="3" t="n">
        <v>-0.07329819999999999</v>
      </c>
      <c r="N1575" s="3" t="inlineStr">
        <is>
          <t>C4</t>
        </is>
      </c>
      <c r="O1575" s="3" t="inlineStr">
        <is>
          <t>si</t>
        </is>
      </c>
      <c r="P1575" s="3" t="inlineStr">
        <is>
          <t>no_vota</t>
        </is>
      </c>
      <c r="Q1575" s="3" t="inlineStr">
        <is>
          <t>lgbm_A_monotono</t>
        </is>
      </c>
      <c r="R1575" s="3" t="n">
        <v>-9.34309</v>
      </c>
      <c r="S1575" s="3" t="inlineStr">
        <is>
          <t>contraste (R6): media interanual x T/4; nunca causal; s_f respecto a dY de M2/M6</t>
        </is>
      </c>
      <c r="T1575" s="3" t="inlineStr">
        <is>
          <t>output/v8/F5/atribucion_combinada.csv</t>
        </is>
      </c>
      <c r="U1575" s="2">
        <f>IF(R1575=0,"",F1575/R1575)</f>
        <v/>
      </c>
      <c r="V1575" s="2">
        <f>SUMIFS(F$2:F$1589,A$2:A$1589,A1575,C$2:C$1589,C1575,E$2:E$1589,E1575,Q$2:Q$1589,Q1575)</f>
        <v/>
      </c>
    </row>
    <row r="1576">
      <c r="A1576" s="3" t="inlineStr">
        <is>
          <t>alquiler</t>
        </is>
      </c>
      <c r="B1576" s="3" t="inlineStr">
        <is>
          <t>nacional</t>
        </is>
      </c>
      <c r="C1576" s="3" t="inlineStr">
        <is>
          <t>P4</t>
        </is>
      </c>
      <c r="D1576" s="3" t="inlineStr">
        <is>
          <t>factor_europeo</t>
        </is>
      </c>
      <c r="E1576" s="3" t="inlineStr">
        <is>
          <t>shap</t>
        </is>
      </c>
      <c r="F1576" s="3" t="n">
        <v>0.0805336</v>
      </c>
      <c r="G1576" s="3" t="n"/>
      <c r="H1576" s="3" t="n"/>
      <c r="I1576" s="3" t="n">
        <v>-0.00861959</v>
      </c>
      <c r="J1576" s="3" t="n">
        <v>-0.411985</v>
      </c>
      <c r="K1576" s="3" t="n">
        <v>0.379039</v>
      </c>
      <c r="L1576" s="3" t="n">
        <v>-0.842616</v>
      </c>
      <c r="M1576" s="3" t="n">
        <v>0.7735880000000001</v>
      </c>
      <c r="N1576" s="3" t="inlineStr">
        <is>
          <t>C4</t>
        </is>
      </c>
      <c r="O1576" s="3" t="inlineStr">
        <is>
          <t>si</t>
        </is>
      </c>
      <c r="P1576" s="3" t="inlineStr">
        <is>
          <t>no_vota</t>
        </is>
      </c>
      <c r="Q1576" s="3" t="inlineStr">
        <is>
          <t>lgbm_A_monotono</t>
        </is>
      </c>
      <c r="R1576" s="3" t="n">
        <v>-9.34309</v>
      </c>
      <c r="S1576" s="3" t="inlineStr">
        <is>
          <t>contraste (R6): media interanual x T/4; nunca causal; s_f respecto a dY de M2/M6</t>
        </is>
      </c>
      <c r="T1576" s="3" t="inlineStr">
        <is>
          <t>output/v8/F5/atribucion_combinada.csv</t>
        </is>
      </c>
      <c r="U1576" s="2">
        <f>IF(R1576=0,"",F1576/R1576)</f>
        <v/>
      </c>
      <c r="V1576" s="2">
        <f>SUMIFS(F$2:F$1589,A$2:A$1589,A1576,C$2:C$1589,C1576,E$2:E$1589,E1576,Q$2:Q$1589,Q1576)</f>
        <v/>
      </c>
    </row>
    <row r="1577">
      <c r="A1577" s="3" t="inlineStr">
        <is>
          <t>alquiler</t>
        </is>
      </c>
      <c r="B1577" s="3" t="inlineStr">
        <is>
          <t>nacional</t>
        </is>
      </c>
      <c r="C1577" s="3" t="inlineStr">
        <is>
          <t>P4</t>
        </is>
      </c>
      <c r="D1577" s="3" t="inlineStr">
        <is>
          <t>residuo</t>
        </is>
      </c>
      <c r="E1577" s="3" t="inlineStr">
        <is>
          <t>shap</t>
        </is>
      </c>
      <c r="F1577" s="3" t="n">
        <v>-0.546421</v>
      </c>
      <c r="G1577" s="3" t="n"/>
      <c r="H1577" s="3" t="n"/>
      <c r="I1577" s="3" t="n">
        <v>0.0584839</v>
      </c>
      <c r="J1577" s="3" t="n">
        <v>-1.13525</v>
      </c>
      <c r="K1577" s="3" t="n">
        <v>0.0305772</v>
      </c>
      <c r="L1577" s="3" t="n">
        <v>-2.29555</v>
      </c>
      <c r="M1577" s="3" t="n">
        <v>0.303938</v>
      </c>
      <c r="N1577" s="3" t="inlineStr">
        <is>
          <t>C4</t>
        </is>
      </c>
      <c r="O1577" s="3" t="inlineStr">
        <is>
          <t>no</t>
        </is>
      </c>
      <c r="P1577" s="3" t="inlineStr">
        <is>
          <t>no_compite</t>
        </is>
      </c>
      <c r="Q1577" s="3" t="inlineStr">
        <is>
          <t>lgbm_A_monotono</t>
        </is>
      </c>
      <c r="R1577" s="3" t="n">
        <v>-9.34309</v>
      </c>
      <c r="S1577" s="3" t="inlineStr">
        <is>
          <t>contraste (R6): media interanual x T/4; nunca causal; s_f respecto a dY de M2/M6</t>
        </is>
      </c>
      <c r="T1577" s="3" t="inlineStr">
        <is>
          <t>output/v8/F5/atribucion_combinada.csv</t>
        </is>
      </c>
      <c r="U1577" s="2">
        <f>IF(R1577=0,"",F1577/R1577)</f>
        <v/>
      </c>
      <c r="V1577" s="2">
        <f>SUMIFS(F$2:F$1589,A$2:A$1589,A1577,C$2:C$1589,C1577,E$2:E$1589,E1577,Q$2:Q$1589,Q1577)</f>
        <v/>
      </c>
    </row>
    <row r="1578">
      <c r="A1578" s="3" t="inlineStr">
        <is>
          <t>alquiler</t>
        </is>
      </c>
      <c r="B1578" s="3" t="inlineStr">
        <is>
          <t>nacional</t>
        </is>
      </c>
      <c r="C1578" s="3" t="inlineStr">
        <is>
          <t>P5</t>
        </is>
      </c>
      <c r="D1578" s="3" t="inlineStr">
        <is>
          <t>demografia</t>
        </is>
      </c>
      <c r="E1578" s="3" t="inlineStr">
        <is>
          <t>shap</t>
        </is>
      </c>
      <c r="F1578" s="3" t="n">
        <v>0.0887131</v>
      </c>
      <c r="G1578" s="3" t="n"/>
      <c r="H1578" s="3" t="n"/>
      <c r="I1578" s="3" t="n">
        <v>-0.0480659</v>
      </c>
      <c r="J1578" s="3" t="n">
        <v>-0.373741</v>
      </c>
      <c r="K1578" s="3" t="n">
        <v>1.09987</v>
      </c>
      <c r="L1578" s="3" t="n">
        <v>-0.701694</v>
      </c>
      <c r="M1578" s="3" t="n">
        <v>1.8001</v>
      </c>
      <c r="N1578" s="3" t="inlineStr">
        <is>
          <t>C4</t>
        </is>
      </c>
      <c r="O1578" s="3" t="inlineStr">
        <is>
          <t>si</t>
        </is>
      </c>
      <c r="P1578" s="3" t="inlineStr">
        <is>
          <t>no_vota</t>
        </is>
      </c>
      <c r="Q1578" s="3" t="inlineStr">
        <is>
          <t>lgbm_A_monotono</t>
        </is>
      </c>
      <c r="R1578" s="3" t="n">
        <v>-1.84566</v>
      </c>
      <c r="S1578" s="3" t="inlineStr">
        <is>
          <t>contraste (R6): media interanual x T/4; nunca causal; s_f respecto a dY de M2/M6</t>
        </is>
      </c>
      <c r="T1578" s="3" t="inlineStr">
        <is>
          <t>output/v8/F5/atribucion_combinada.csv</t>
        </is>
      </c>
      <c r="U1578" s="2">
        <f>IF(R1578=0,"",F1578/R1578)</f>
        <v/>
      </c>
      <c r="V1578" s="2">
        <f>SUMIFS(F$2:F$1589,A$2:A$1589,A1578,C$2:C$1589,C1578,E$2:E$1589,E1578,Q$2:Q$1589,Q1578)</f>
        <v/>
      </c>
    </row>
    <row r="1579">
      <c r="A1579" s="3" t="inlineStr">
        <is>
          <t>alquiler</t>
        </is>
      </c>
      <c r="B1579" s="3" t="inlineStr">
        <is>
          <t>nacional</t>
        </is>
      </c>
      <c r="C1579" s="3" t="inlineStr">
        <is>
          <t>P5</t>
        </is>
      </c>
      <c r="D1579" s="3" t="inlineStr">
        <is>
          <t>empleo_renta</t>
        </is>
      </c>
      <c r="E1579" s="3" t="inlineStr">
        <is>
          <t>shap</t>
        </is>
      </c>
      <c r="F1579" s="3" t="n">
        <v>-1.03095</v>
      </c>
      <c r="G1579" s="3" t="n"/>
      <c r="H1579" s="3" t="n"/>
      <c r="I1579" s="3" t="n">
        <v>0.558582</v>
      </c>
      <c r="J1579" s="3" t="n">
        <v>-3.0309</v>
      </c>
      <c r="K1579" s="3" t="n">
        <v>0.102659</v>
      </c>
      <c r="L1579" s="3" t="n">
        <v>-4.75023</v>
      </c>
      <c r="M1579" s="3" t="n">
        <v>0.86447</v>
      </c>
      <c r="N1579" s="3" t="inlineStr">
        <is>
          <t>C4</t>
        </is>
      </c>
      <c r="O1579" s="3" t="inlineStr">
        <is>
          <t>si</t>
        </is>
      </c>
      <c r="P1579" s="3" t="inlineStr">
        <is>
          <t>no_vota</t>
        </is>
      </c>
      <c r="Q1579" s="3" t="inlineStr">
        <is>
          <t>lgbm_A_monotono</t>
        </is>
      </c>
      <c r="R1579" s="3" t="n">
        <v>-1.84566</v>
      </c>
      <c r="S1579" s="3" t="inlineStr">
        <is>
          <t>contraste (R6): media interanual x T/4; nunca causal; s_f respecto a dY de M2/M6</t>
        </is>
      </c>
      <c r="T1579" s="3" t="inlineStr">
        <is>
          <t>output/v8/F5/atribucion_combinada.csv</t>
        </is>
      </c>
      <c r="U1579" s="2">
        <f>IF(R1579=0,"",F1579/R1579)</f>
        <v/>
      </c>
      <c r="V1579" s="2">
        <f>SUMIFS(F$2:F$1589,A$2:A$1589,A1579,C$2:C$1589,C1579,E$2:E$1589,E1579,Q$2:Q$1589,Q1579)</f>
        <v/>
      </c>
    </row>
    <row r="1580">
      <c r="A1580" s="3" t="inlineStr">
        <is>
          <t>alquiler</t>
        </is>
      </c>
      <c r="B1580" s="3" t="inlineStr">
        <is>
          <t>nacional</t>
        </is>
      </c>
      <c r="C1580" s="3" t="inlineStr">
        <is>
          <t>P5</t>
        </is>
      </c>
      <c r="D1580" s="3" t="inlineStr">
        <is>
          <t>credito_tipos</t>
        </is>
      </c>
      <c r="E1580" s="3" t="inlineStr">
        <is>
          <t>shap</t>
        </is>
      </c>
      <c r="F1580" s="3" t="n">
        <v>-1.37788</v>
      </c>
      <c r="G1580" s="3" t="n"/>
      <c r="H1580" s="3" t="n"/>
      <c r="I1580" s="3" t="n">
        <v>0.746553</v>
      </c>
      <c r="J1580" s="3" t="n">
        <v>-2.71051</v>
      </c>
      <c r="K1580" s="3" t="n">
        <v>-0.5018550000000001</v>
      </c>
      <c r="L1580" s="3" t="n">
        <v>-3.81712</v>
      </c>
      <c r="M1580" s="3" t="n">
        <v>-0.192484</v>
      </c>
      <c r="N1580" s="3" t="inlineStr">
        <is>
          <t>C4</t>
        </is>
      </c>
      <c r="O1580" s="3" t="inlineStr">
        <is>
          <t>si</t>
        </is>
      </c>
      <c r="P1580" s="3" t="inlineStr">
        <is>
          <t>no_vota</t>
        </is>
      </c>
      <c r="Q1580" s="3" t="inlineStr">
        <is>
          <t>lgbm_A_monotono</t>
        </is>
      </c>
      <c r="R1580" s="3" t="n">
        <v>-1.84566</v>
      </c>
      <c r="S1580" s="3" t="inlineStr">
        <is>
          <t>contraste (R6): media interanual x T/4; nunca causal; s_f respecto a dY de M2/M6</t>
        </is>
      </c>
      <c r="T1580" s="3" t="inlineStr">
        <is>
          <t>output/v8/F5/atribucion_combinada.csv</t>
        </is>
      </c>
      <c r="U1580" s="2">
        <f>IF(R1580=0,"",F1580/R1580)</f>
        <v/>
      </c>
      <c r="V1580" s="2">
        <f>SUMIFS(F$2:F$1589,A$2:A$1589,A1580,C$2:C$1589,C1580,E$2:E$1589,E1580,Q$2:Q$1589,Q1580)</f>
        <v/>
      </c>
    </row>
    <row r="1581">
      <c r="A1581" s="3" t="inlineStr">
        <is>
          <t>alquiler</t>
        </is>
      </c>
      <c r="B1581" s="3" t="inlineStr">
        <is>
          <t>nacional</t>
        </is>
      </c>
      <c r="C1581" s="3" t="inlineStr">
        <is>
          <t>P5</t>
        </is>
      </c>
      <c r="D1581" s="3" t="inlineStr">
        <is>
          <t>oferta</t>
        </is>
      </c>
      <c r="E1581" s="3" t="inlineStr">
        <is>
          <t>shap</t>
        </is>
      </c>
      <c r="F1581" s="3" t="n">
        <v>-0.72504</v>
      </c>
      <c r="G1581" s="3" t="n"/>
      <c r="H1581" s="3" t="n"/>
      <c r="I1581" s="3" t="n">
        <v>0.392836</v>
      </c>
      <c r="J1581" s="3" t="n">
        <v>-1.06203</v>
      </c>
      <c r="K1581" s="3" t="n">
        <v>-0.243656</v>
      </c>
      <c r="L1581" s="3" t="n">
        <v>-1.35532</v>
      </c>
      <c r="M1581" s="3" t="n">
        <v>-0.031633</v>
      </c>
      <c r="N1581" s="3" t="inlineStr">
        <is>
          <t>C4</t>
        </is>
      </c>
      <c r="O1581" s="3" t="inlineStr">
        <is>
          <t>si</t>
        </is>
      </c>
      <c r="P1581" s="3" t="inlineStr">
        <is>
          <t>no_vota</t>
        </is>
      </c>
      <c r="Q1581" s="3" t="inlineStr">
        <is>
          <t>lgbm_A_monotono</t>
        </is>
      </c>
      <c r="R1581" s="3" t="n">
        <v>-1.84566</v>
      </c>
      <c r="S1581" s="3" t="inlineStr">
        <is>
          <t>contraste (R6): media interanual x T/4; nunca causal; s_f respecto a dY de M2/M6</t>
        </is>
      </c>
      <c r="T1581" s="3" t="inlineStr">
        <is>
          <t>output/v8/F5/atribucion_combinada.csv</t>
        </is>
      </c>
      <c r="U1581" s="2">
        <f>IF(R1581=0,"",F1581/R1581)</f>
        <v/>
      </c>
      <c r="V1581" s="2">
        <f>SUMIFS(F$2:F$1589,A$2:A$1589,A1581,C$2:C$1589,C1581,E$2:E$1589,E1581,Q$2:Q$1589,Q1581)</f>
        <v/>
      </c>
    </row>
    <row r="1582">
      <c r="A1582" s="3" t="inlineStr">
        <is>
          <t>alquiler</t>
        </is>
      </c>
      <c r="B1582" s="3" t="inlineStr">
        <is>
          <t>nacional</t>
        </is>
      </c>
      <c r="C1582" s="3" t="inlineStr">
        <is>
          <t>P5</t>
        </is>
      </c>
      <c r="D1582" s="3" t="inlineStr">
        <is>
          <t>factor_europeo</t>
        </is>
      </c>
      <c r="E1582" s="3" t="inlineStr">
        <is>
          <t>shap</t>
        </is>
      </c>
      <c r="F1582" s="3" t="n">
        <v>-0.29815</v>
      </c>
      <c r="G1582" s="3" t="n"/>
      <c r="H1582" s="3" t="n"/>
      <c r="I1582" s="3" t="n">
        <v>0.161541</v>
      </c>
      <c r="J1582" s="3" t="n">
        <v>-0.693249</v>
      </c>
      <c r="K1582" s="3" t="n">
        <v>0.0993561</v>
      </c>
      <c r="L1582" s="3" t="n">
        <v>-1.23943</v>
      </c>
      <c r="M1582" s="3" t="n">
        <v>0.21833</v>
      </c>
      <c r="N1582" s="3" t="inlineStr">
        <is>
          <t>C4</t>
        </is>
      </c>
      <c r="O1582" s="3" t="inlineStr">
        <is>
          <t>si</t>
        </is>
      </c>
      <c r="P1582" s="3" t="inlineStr">
        <is>
          <t>no_vota</t>
        </is>
      </c>
      <c r="Q1582" s="3" t="inlineStr">
        <is>
          <t>lgbm_A_monotono</t>
        </is>
      </c>
      <c r="R1582" s="3" t="n">
        <v>-1.84566</v>
      </c>
      <c r="S1582" s="3" t="inlineStr">
        <is>
          <t>contraste (R6): media interanual x T/4; nunca causal; s_f respecto a dY de M2/M6</t>
        </is>
      </c>
      <c r="T1582" s="3" t="inlineStr">
        <is>
          <t>output/v8/F5/atribucion_combinada.csv</t>
        </is>
      </c>
      <c r="U1582" s="2">
        <f>IF(R1582=0,"",F1582/R1582)</f>
        <v/>
      </c>
      <c r="V1582" s="2">
        <f>SUMIFS(F$2:F$1589,A$2:A$1589,A1582,C$2:C$1589,C1582,E$2:E$1589,E1582,Q$2:Q$1589,Q1582)</f>
        <v/>
      </c>
    </row>
    <row r="1583">
      <c r="A1583" s="3" t="inlineStr">
        <is>
          <t>alquiler</t>
        </is>
      </c>
      <c r="B1583" s="3" t="inlineStr">
        <is>
          <t>nacional</t>
        </is>
      </c>
      <c r="C1583" s="3" t="inlineStr">
        <is>
          <t>P5</t>
        </is>
      </c>
      <c r="D1583" s="3" t="inlineStr">
        <is>
          <t>residuo</t>
        </is>
      </c>
      <c r="E1583" s="3" t="inlineStr">
        <is>
          <t>shap</t>
        </is>
      </c>
      <c r="F1583" s="3" t="n">
        <v>-0.334918</v>
      </c>
      <c r="G1583" s="3" t="n"/>
      <c r="H1583" s="3" t="n"/>
      <c r="I1583" s="3" t="n">
        <v>0.181463</v>
      </c>
      <c r="J1583" s="3" t="n">
        <v>-0.922332</v>
      </c>
      <c r="K1583" s="3" t="n">
        <v>-0.0569044</v>
      </c>
      <c r="L1583" s="3" t="n">
        <v>-1.60049</v>
      </c>
      <c r="M1583" s="3" t="n">
        <v>0.119594</v>
      </c>
      <c r="N1583" s="3" t="inlineStr">
        <is>
          <t>C4</t>
        </is>
      </c>
      <c r="O1583" s="3" t="inlineStr">
        <is>
          <t>no</t>
        </is>
      </c>
      <c r="P1583" s="3" t="inlineStr">
        <is>
          <t>no_compite</t>
        </is>
      </c>
      <c r="Q1583" s="3" t="inlineStr">
        <is>
          <t>lgbm_A_monotono</t>
        </is>
      </c>
      <c r="R1583" s="3" t="n">
        <v>-1.84566</v>
      </c>
      <c r="S1583" s="3" t="inlineStr">
        <is>
          <t>contraste (R6): media interanual x T/4; nunca causal; s_f respecto a dY de M2/M6</t>
        </is>
      </c>
      <c r="T1583" s="3" t="inlineStr">
        <is>
          <t>output/v8/F5/atribucion_combinada.csv</t>
        </is>
      </c>
      <c r="U1583" s="2">
        <f>IF(R1583=0,"",F1583/R1583)</f>
        <v/>
      </c>
      <c r="V1583" s="2">
        <f>SUMIFS(F$2:F$1589,A$2:A$1589,A1583,C$2:C$1589,C1583,E$2:E$1589,E1583,Q$2:Q$1589,Q1583)</f>
        <v/>
      </c>
    </row>
    <row r="1584">
      <c r="A1584" s="3" t="inlineStr">
        <is>
          <t>alquiler</t>
        </is>
      </c>
      <c r="B1584" s="3" t="inlineStr">
        <is>
          <t>nacional</t>
        </is>
      </c>
      <c r="C1584" s="3" t="inlineStr">
        <is>
          <t>completo</t>
        </is>
      </c>
      <c r="D1584" s="3" t="inlineStr">
        <is>
          <t>demografia</t>
        </is>
      </c>
      <c r="E1584" s="3" t="inlineStr">
        <is>
          <t>shap</t>
        </is>
      </c>
      <c r="F1584" s="3" t="n">
        <v>-0.671083</v>
      </c>
      <c r="G1584" s="3" t="n"/>
      <c r="H1584" s="3" t="n"/>
      <c r="I1584" s="3" t="n"/>
      <c r="J1584" s="3" t="n">
        <v>-1.93048</v>
      </c>
      <c r="K1584" s="3" t="n">
        <v>0.9414709999999999</v>
      </c>
      <c r="L1584" s="3" t="n">
        <v>-2.95216</v>
      </c>
      <c r="M1584" s="3" t="n">
        <v>1.8375</v>
      </c>
      <c r="N1584" s="3" t="inlineStr">
        <is>
          <t>C4</t>
        </is>
      </c>
      <c r="O1584" s="3" t="inlineStr">
        <is>
          <t>si</t>
        </is>
      </c>
      <c r="P1584" s="3" t="inlineStr">
        <is>
          <t>no_vota</t>
        </is>
      </c>
      <c r="Q1584" s="3" t="inlineStr">
        <is>
          <t>lgbm_A_monotono</t>
        </is>
      </c>
      <c r="R1584" s="3" t="n"/>
      <c r="S1584" s="3" t="inlineStr">
        <is>
          <t>contraste (R6): media interanual x T/4; nunca causal; s_f respecto a dY de M2/M6</t>
        </is>
      </c>
      <c r="T1584" s="3" t="inlineStr">
        <is>
          <t>output/v8/F5/atribucion_combinada.csv</t>
        </is>
      </c>
      <c r="U1584" s="2">
        <f>IF(R1584=0,"",F1584/R1584)</f>
        <v/>
      </c>
      <c r="V1584" s="2">
        <f>SUMIFS(F$2:F$1589,A$2:A$1589,A1584,C$2:C$1589,C1584,E$2:E$1589,E1584,Q$2:Q$1589,Q1584)</f>
        <v/>
      </c>
    </row>
    <row r="1585">
      <c r="A1585" s="3" t="inlineStr">
        <is>
          <t>alquiler</t>
        </is>
      </c>
      <c r="B1585" s="3" t="inlineStr">
        <is>
          <t>nacional</t>
        </is>
      </c>
      <c r="C1585" s="3" t="inlineStr">
        <is>
          <t>completo</t>
        </is>
      </c>
      <c r="D1585" s="3" t="inlineStr">
        <is>
          <t>empleo_renta</t>
        </is>
      </c>
      <c r="E1585" s="3" t="inlineStr">
        <is>
          <t>shap</t>
        </is>
      </c>
      <c r="F1585" s="3" t="n">
        <v>0.660567</v>
      </c>
      <c r="G1585" s="3" t="n"/>
      <c r="H1585" s="3" t="n"/>
      <c r="I1585" s="3" t="n"/>
      <c r="J1585" s="3" t="n">
        <v>-1.80842</v>
      </c>
      <c r="K1585" s="3" t="n">
        <v>2.52485</v>
      </c>
      <c r="L1585" s="3" t="n">
        <v>-3.23643</v>
      </c>
      <c r="M1585" s="3" t="n">
        <v>4.48889</v>
      </c>
      <c r="N1585" s="3" t="inlineStr">
        <is>
          <t>C4</t>
        </is>
      </c>
      <c r="O1585" s="3" t="inlineStr">
        <is>
          <t>si</t>
        </is>
      </c>
      <c r="P1585" s="3" t="inlineStr">
        <is>
          <t>no_vota</t>
        </is>
      </c>
      <c r="Q1585" s="3" t="inlineStr">
        <is>
          <t>lgbm_A_monotono</t>
        </is>
      </c>
      <c r="R1585" s="3" t="n"/>
      <c r="S1585" s="3" t="inlineStr">
        <is>
          <t>contraste (R6): media interanual x T/4; nunca causal; s_f respecto a dY de M2/M6</t>
        </is>
      </c>
      <c r="T1585" s="3" t="inlineStr">
        <is>
          <t>output/v8/F5/atribucion_combinada.csv</t>
        </is>
      </c>
      <c r="U1585" s="2">
        <f>IF(R1585=0,"",F1585/R1585)</f>
        <v/>
      </c>
      <c r="V1585" s="2">
        <f>SUMIFS(F$2:F$1589,A$2:A$1589,A1585,C$2:C$1589,C1585,E$2:E$1589,E1585,Q$2:Q$1589,Q1585)</f>
        <v/>
      </c>
    </row>
    <row r="1586">
      <c r="A1586" s="3" t="inlineStr">
        <is>
          <t>alquiler</t>
        </is>
      </c>
      <c r="B1586" s="3" t="inlineStr">
        <is>
          <t>nacional</t>
        </is>
      </c>
      <c r="C1586" s="3" t="inlineStr">
        <is>
          <t>completo</t>
        </is>
      </c>
      <c r="D1586" s="3" t="inlineStr">
        <is>
          <t>credito_tipos</t>
        </is>
      </c>
      <c r="E1586" s="3" t="inlineStr">
        <is>
          <t>shap</t>
        </is>
      </c>
      <c r="F1586" s="3" t="n">
        <v>0.527895</v>
      </c>
      <c r="G1586" s="3" t="n"/>
      <c r="H1586" s="3" t="n"/>
      <c r="I1586" s="3" t="n"/>
      <c r="J1586" s="3" t="n">
        <v>-0.975119</v>
      </c>
      <c r="K1586" s="3" t="n">
        <v>0.980869</v>
      </c>
      <c r="L1586" s="3" t="n">
        <v>-1.73532</v>
      </c>
      <c r="M1586" s="3" t="n">
        <v>1.84754</v>
      </c>
      <c r="N1586" s="3" t="inlineStr">
        <is>
          <t>C4</t>
        </is>
      </c>
      <c r="O1586" s="3" t="inlineStr">
        <is>
          <t>si</t>
        </is>
      </c>
      <c r="P1586" s="3" t="inlineStr">
        <is>
          <t>no_vota</t>
        </is>
      </c>
      <c r="Q1586" s="3" t="inlineStr">
        <is>
          <t>lgbm_A_monotono</t>
        </is>
      </c>
      <c r="R1586" s="3" t="n"/>
      <c r="S1586" s="3" t="inlineStr">
        <is>
          <t>contraste (R6): media interanual x T/4; nunca causal; s_f respecto a dY de M2/M6</t>
        </is>
      </c>
      <c r="T1586" s="3" t="inlineStr">
        <is>
          <t>output/v8/F5/atribucion_combinada.csv</t>
        </is>
      </c>
      <c r="U1586" s="2">
        <f>IF(R1586=0,"",F1586/R1586)</f>
        <v/>
      </c>
      <c r="V1586" s="2">
        <f>SUMIFS(F$2:F$1589,A$2:A$1589,A1586,C$2:C$1589,C1586,E$2:E$1589,E1586,Q$2:Q$1589,Q1586)</f>
        <v/>
      </c>
    </row>
    <row r="1587">
      <c r="A1587" s="3" t="inlineStr">
        <is>
          <t>alquiler</t>
        </is>
      </c>
      <c r="B1587" s="3" t="inlineStr">
        <is>
          <t>nacional</t>
        </is>
      </c>
      <c r="C1587" s="3" t="inlineStr">
        <is>
          <t>completo</t>
        </is>
      </c>
      <c r="D1587" s="3" t="inlineStr">
        <is>
          <t>oferta</t>
        </is>
      </c>
      <c r="E1587" s="3" t="inlineStr">
        <is>
          <t>shap</t>
        </is>
      </c>
      <c r="F1587" s="3" t="n">
        <v>-0.512478</v>
      </c>
      <c r="G1587" s="3" t="n"/>
      <c r="H1587" s="3" t="n"/>
      <c r="I1587" s="3" t="n"/>
      <c r="J1587" s="3" t="n">
        <v>-1.1355</v>
      </c>
      <c r="K1587" s="3" t="n">
        <v>0.55044</v>
      </c>
      <c r="L1587" s="3" t="n">
        <v>-1.84875</v>
      </c>
      <c r="M1587" s="3" t="n">
        <v>1.24705</v>
      </c>
      <c r="N1587" s="3" t="inlineStr">
        <is>
          <t>C4</t>
        </is>
      </c>
      <c r="O1587" s="3" t="inlineStr">
        <is>
          <t>si</t>
        </is>
      </c>
      <c r="P1587" s="3" t="inlineStr">
        <is>
          <t>no_vota</t>
        </is>
      </c>
      <c r="Q1587" s="3" t="inlineStr">
        <is>
          <t>lgbm_A_monotono</t>
        </is>
      </c>
      <c r="R1587" s="3" t="n"/>
      <c r="S1587" s="3" t="inlineStr">
        <is>
          <t>contraste (R6): media interanual x T/4; nunca causal; s_f respecto a dY de M2/M6</t>
        </is>
      </c>
      <c r="T1587" s="3" t="inlineStr">
        <is>
          <t>output/v8/F5/atribucion_combinada.csv</t>
        </is>
      </c>
      <c r="U1587" s="2">
        <f>IF(R1587=0,"",F1587/R1587)</f>
        <v/>
      </c>
      <c r="V1587" s="2">
        <f>SUMIFS(F$2:F$1589,A$2:A$1589,A1587,C$2:C$1589,C1587,E$2:E$1589,E1587,Q$2:Q$1589,Q1587)</f>
        <v/>
      </c>
    </row>
    <row r="1588">
      <c r="A1588" s="3" t="inlineStr">
        <is>
          <t>alquiler</t>
        </is>
      </c>
      <c r="B1588" s="3" t="inlineStr">
        <is>
          <t>nacional</t>
        </is>
      </c>
      <c r="C1588" s="3" t="inlineStr">
        <is>
          <t>completo</t>
        </is>
      </c>
      <c r="D1588" s="3" t="inlineStr">
        <is>
          <t>factor_europeo</t>
        </is>
      </c>
      <c r="E1588" s="3" t="inlineStr">
        <is>
          <t>shap</t>
        </is>
      </c>
      <c r="F1588" s="3" t="n">
        <v>-0.0560562</v>
      </c>
      <c r="G1588" s="3" t="n"/>
      <c r="H1588" s="3" t="n"/>
      <c r="I1588" s="3" t="n"/>
      <c r="J1588" s="3" t="n">
        <v>-0.602</v>
      </c>
      <c r="K1588" s="3" t="n">
        <v>0.22282</v>
      </c>
      <c r="L1588" s="3" t="n">
        <v>-1.16594</v>
      </c>
      <c r="M1588" s="3" t="n">
        <v>0.554027</v>
      </c>
      <c r="N1588" s="3" t="inlineStr">
        <is>
          <t>C4</t>
        </is>
      </c>
      <c r="O1588" s="3" t="inlineStr">
        <is>
          <t>si</t>
        </is>
      </c>
      <c r="P1588" s="3" t="inlineStr">
        <is>
          <t>no_vota</t>
        </is>
      </c>
      <c r="Q1588" s="3" t="inlineStr">
        <is>
          <t>lgbm_A_monotono</t>
        </is>
      </c>
      <c r="R1588" s="3" t="n"/>
      <c r="S1588" s="3" t="inlineStr">
        <is>
          <t>contraste (R6): media interanual x T/4; nunca causal; s_f respecto a dY de M2/M6</t>
        </is>
      </c>
      <c r="T1588" s="3" t="inlineStr">
        <is>
          <t>output/v8/F5/atribucion_combinada.csv</t>
        </is>
      </c>
      <c r="U1588" s="2">
        <f>IF(R1588=0,"",F1588/R1588)</f>
        <v/>
      </c>
      <c r="V1588" s="2">
        <f>SUMIFS(F$2:F$1589,A$2:A$1589,A1588,C$2:C$1589,C1588,E$2:E$1589,E1588,Q$2:Q$1589,Q1588)</f>
        <v/>
      </c>
    </row>
    <row r="1589">
      <c r="A1589" s="3" t="inlineStr">
        <is>
          <t>alquiler</t>
        </is>
      </c>
      <c r="B1589" s="3" t="inlineStr">
        <is>
          <t>nacional</t>
        </is>
      </c>
      <c r="C1589" s="3" t="inlineStr">
        <is>
          <t>completo</t>
        </is>
      </c>
      <c r="D1589" s="3" t="inlineStr">
        <is>
          <t>residuo</t>
        </is>
      </c>
      <c r="E1589" s="3" t="inlineStr">
        <is>
          <t>shap</t>
        </is>
      </c>
      <c r="F1589" s="3" t="n">
        <v>0.269131</v>
      </c>
      <c r="G1589" s="3" t="n"/>
      <c r="H1589" s="3" t="n"/>
      <c r="I1589" s="3" t="n"/>
      <c r="J1589" s="3" t="n">
        <v>-0.455896</v>
      </c>
      <c r="K1589" s="3" t="n">
        <v>0.518751</v>
      </c>
      <c r="L1589" s="3" t="n">
        <v>-0.709094</v>
      </c>
      <c r="M1589" s="3" t="n">
        <v>0.7730629999999999</v>
      </c>
      <c r="N1589" s="3" t="inlineStr">
        <is>
          <t>C4</t>
        </is>
      </c>
      <c r="O1589" s="3" t="inlineStr">
        <is>
          <t>no</t>
        </is>
      </c>
      <c r="P1589" s="3" t="inlineStr">
        <is>
          <t>no_compite</t>
        </is>
      </c>
      <c r="Q1589" s="3" t="inlineStr">
        <is>
          <t>lgbm_A_monotono</t>
        </is>
      </c>
      <c r="R1589" s="3" t="n"/>
      <c r="S1589" s="3" t="inlineStr">
        <is>
          <t>contraste (R6): media interanual x T/4; nunca causal; s_f respecto a dY de M2/M6</t>
        </is>
      </c>
      <c r="T1589" s="3" t="inlineStr">
        <is>
          <t>output/v8/F5/atribucion_combinada.csv</t>
        </is>
      </c>
      <c r="U1589" s="2">
        <f>IF(R1589=0,"",F1589/R1589)</f>
        <v/>
      </c>
      <c r="V1589" s="2">
        <f>SUMIFS(F$2:F$1589,A$2:A$1589,A1589,C$2:C$1589,C1589,E$2:E$1589,E1589,Q$2:Q$1589,Q1589)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2" customWidth="1" min="4" max="4"/>
    <col width="17" customWidth="1" min="5" max="5"/>
    <col width="18" customWidth="1" min="6" max="6"/>
    <col width="11" customWidth="1" min="7" max="7"/>
    <col width="9" customWidth="1" min="8" max="8"/>
    <col width="11" customWidth="1" min="9" max="9"/>
    <col width="9" customWidth="1" min="10" max="10"/>
    <col width="12" customWidth="1" min="11" max="11"/>
    <col width="16" customWidth="1" min="12" max="12"/>
    <col width="18" customWidth="1" min="13" max="13"/>
    <col width="11" customWidth="1" min="14" max="14"/>
    <col width="26" customWidth="1" min="15" max="15"/>
    <col width="12" customWidth="1" min="16" max="16"/>
    <col width="19" customWidth="1" min="17" max="17"/>
    <col width="11" customWidth="1" min="18" max="18"/>
    <col width="45" customWidth="1" min="19" max="19"/>
    <col width="26" customWidth="1" min="20" max="20"/>
    <col width="24" customWidth="1" min="21" max="21"/>
  </cols>
  <sheetData>
    <row r="1">
      <c r="A1" s="5" t="inlineStr">
        <is>
          <t>mercado</t>
        </is>
      </c>
      <c r="B1" s="5" t="inlineStr">
        <is>
          <t>periodo</t>
        </is>
      </c>
      <c r="C1" s="5" t="inlineStr">
        <is>
          <t>factor</t>
        </is>
      </c>
      <c r="D1" s="5" t="inlineStr">
        <is>
          <t>delta_y_pp</t>
        </is>
      </c>
      <c r="E1" s="5" t="inlineStr">
        <is>
          <t>rank_svar_media</t>
        </is>
      </c>
      <c r="F1" s="5" t="inlineStr">
        <is>
          <t>media_c_signo_pp</t>
        </is>
      </c>
      <c r="G1" s="5" t="inlineStr">
        <is>
          <t>b68_lo</t>
        </is>
      </c>
      <c r="H1" s="5" t="inlineStr">
        <is>
          <t>b68_hi</t>
        </is>
      </c>
      <c r="I1" s="5" t="inlineStr">
        <is>
          <t>b90_lo</t>
        </is>
      </c>
      <c r="J1" s="5" t="inlineStr">
        <is>
          <t>b90_hi</t>
        </is>
      </c>
      <c r="K1" s="5" t="inlineStr">
        <is>
          <t>prob_mayor</t>
        </is>
      </c>
      <c r="L1" s="5" t="inlineStr">
        <is>
          <t>rank_svar_prob</t>
        </is>
      </c>
      <c r="M1" s="5" t="inlineStr">
        <is>
          <t>rango_dominancia</t>
        </is>
      </c>
      <c r="N1" s="5" t="inlineStr">
        <is>
          <t>cuota_lmg</t>
        </is>
      </c>
      <c r="O1" s="5" t="inlineStr">
        <is>
          <t>signo_parcial_dominancia</t>
        </is>
      </c>
      <c r="P1" s="5" t="inlineStr">
        <is>
          <t>rango_shap</t>
        </is>
      </c>
      <c r="Q1" s="5" t="inlineStr">
        <is>
          <t>prob_primero_shap</t>
        </is>
      </c>
      <c r="R1" s="5" t="inlineStr">
        <is>
          <t>impreciso</t>
        </is>
      </c>
      <c r="S1" s="5" t="inlineStr">
        <is>
          <t>nota</t>
        </is>
      </c>
      <c r="T1" s="5" t="inlineStr">
        <is>
          <t>fuente</t>
        </is>
      </c>
      <c r="U1" s="5" t="inlineStr">
        <is>
          <t>resultado_s9 (vínculo)</t>
        </is>
      </c>
    </row>
    <row r="2">
      <c r="A2" s="3" t="inlineStr">
        <is>
          <t>compra</t>
        </is>
      </c>
      <c r="B2" s="3" t="inlineStr">
        <is>
          <t>P1</t>
        </is>
      </c>
      <c r="C2" s="3" t="inlineStr">
        <is>
          <t>credito_tipos</t>
        </is>
      </c>
      <c r="D2" s="3" t="n">
        <v>75.3518</v>
      </c>
      <c r="E2" s="3" t="n">
        <v>3</v>
      </c>
      <c r="F2" s="3" t="n">
        <v>3.02994</v>
      </c>
      <c r="G2" s="3" t="n">
        <v>-7.19032</v>
      </c>
      <c r="H2" s="3" t="n">
        <v>14.0114</v>
      </c>
      <c r="I2" s="3" t="n">
        <v>-15.8623</v>
      </c>
      <c r="J2" s="3" t="n">
        <v>31.4975</v>
      </c>
      <c r="K2" s="3" t="n">
        <v>0.108908</v>
      </c>
      <c r="L2" s="3" t="n">
        <v>3</v>
      </c>
      <c r="M2" s="3" t="n">
        <v>1</v>
      </c>
      <c r="N2" s="3" t="n">
        <v>0.64</v>
      </c>
      <c r="O2" s="3" t="inlineStr">
        <is>
          <t>-</t>
        </is>
      </c>
      <c r="P2" s="3" t="n">
        <v>3</v>
      </c>
      <c r="Q2" s="3" t="n">
        <v>0.170854</v>
      </c>
      <c r="R2" s="3" t="inlineStr">
        <is>
          <t>no</t>
        </is>
      </c>
      <c r="S2" s="3" t="inlineStr">
        <is>
          <t xml:space="preserve">svar_hd: C3s condicionada a los supuestos; dominancia y SHAP: contraste C4, nunca causal. </t>
        </is>
      </c>
      <c r="T2" s="3" t="inlineStr">
        <is>
          <t>output/v8/F5/ranking.csv</t>
        </is>
      </c>
      <c r="U2" s="4">
        <f>Votos_s9!L2</f>
        <v/>
      </c>
    </row>
    <row r="3">
      <c r="A3" s="3" t="inlineStr">
        <is>
          <t>compra</t>
        </is>
      </c>
      <c r="B3" s="3" t="inlineStr">
        <is>
          <t>P1</t>
        </is>
      </c>
      <c r="C3" s="3" t="inlineStr">
        <is>
          <t>demografia</t>
        </is>
      </c>
      <c r="D3" s="3" t="n">
        <v>75.3518</v>
      </c>
      <c r="E3" s="3" t="n">
        <v>2</v>
      </c>
      <c r="F3" s="3" t="n">
        <v>8.940189999999999</v>
      </c>
      <c r="G3" s="3" t="n">
        <v>-4.98915</v>
      </c>
      <c r="H3" s="3" t="n">
        <v>24.7777</v>
      </c>
      <c r="I3" s="3" t="n">
        <v>-15.5745</v>
      </c>
      <c r="J3" s="3" t="n">
        <v>46.9727</v>
      </c>
      <c r="K3" s="3" t="n">
        <v>0.17454</v>
      </c>
      <c r="L3" s="3" t="n">
        <v>2</v>
      </c>
      <c r="M3" s="3" t="n">
        <v>2</v>
      </c>
      <c r="N3" s="3" t="n">
        <v>0.28</v>
      </c>
      <c r="O3" s="3" t="inlineStr">
        <is>
          <t>-</t>
        </is>
      </c>
      <c r="P3" s="3" t="n">
        <v>2</v>
      </c>
      <c r="Q3" s="3" t="n">
        <v>0.256281</v>
      </c>
      <c r="R3" s="3" t="inlineStr">
        <is>
          <t>no</t>
        </is>
      </c>
      <c r="S3" s="3" t="inlineStr">
        <is>
          <t xml:space="preserve">svar_hd: C3s condicionada a los supuestos; dominancia y SHAP: contraste C4, nunca causal. </t>
        </is>
      </c>
      <c r="T3" s="3" t="inlineStr">
        <is>
          <t>output/v8/F5/ranking.csv</t>
        </is>
      </c>
      <c r="U3" s="4">
        <f>Votos_s9!L2</f>
        <v/>
      </c>
    </row>
    <row r="4">
      <c r="A4" s="3" t="inlineStr">
        <is>
          <t>compra</t>
        </is>
      </c>
      <c r="B4" s="3" t="inlineStr">
        <is>
          <t>P1</t>
        </is>
      </c>
      <c r="C4" s="3" t="inlineStr">
        <is>
          <t>empleo_renta</t>
        </is>
      </c>
      <c r="D4" s="3" t="n">
        <v>75.3518</v>
      </c>
      <c r="E4" s="3" t="n">
        <v>1</v>
      </c>
      <c r="F4" s="3" t="n">
        <v>31.8224</v>
      </c>
      <c r="G4" s="3" t="n">
        <v>8.99901</v>
      </c>
      <c r="H4" s="3" t="n">
        <v>54.649</v>
      </c>
      <c r="I4" s="3" t="n">
        <v>-1.8311</v>
      </c>
      <c r="J4" s="3" t="n">
        <v>72.9259</v>
      </c>
      <c r="K4" s="3" t="n">
        <v>0.716553</v>
      </c>
      <c r="L4" s="3" t="n">
        <v>1</v>
      </c>
      <c r="M4" s="3" t="n">
        <v>3</v>
      </c>
      <c r="N4" s="3" t="n">
        <v>0.05</v>
      </c>
      <c r="O4" s="3" t="inlineStr">
        <is>
          <t>-</t>
        </is>
      </c>
      <c r="P4" s="3" t="n">
        <v>1</v>
      </c>
      <c r="Q4" s="3" t="n">
        <v>0.512563</v>
      </c>
      <c r="R4" s="3" t="inlineStr">
        <is>
          <t>no</t>
        </is>
      </c>
      <c r="S4" s="3" t="inlineStr">
        <is>
          <t xml:space="preserve">svar_hd: C3s condicionada a los supuestos; dominancia y SHAP: contraste C4, nunca causal. </t>
        </is>
      </c>
      <c r="T4" s="3" t="inlineStr">
        <is>
          <t>output/v8/F5/ranking.csv</t>
        </is>
      </c>
      <c r="U4" s="4">
        <f>Votos_s9!L2</f>
        <v/>
      </c>
    </row>
    <row r="5">
      <c r="A5" s="3" t="inlineStr">
        <is>
          <t>compra</t>
        </is>
      </c>
      <c r="B5" s="3" t="inlineStr">
        <is>
          <t>P1</t>
        </is>
      </c>
      <c r="C5" s="3" t="inlineStr">
        <is>
          <t>oferta</t>
        </is>
      </c>
      <c r="D5" s="3" t="n">
        <v>75.3518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>
        <v>4</v>
      </c>
      <c r="N5" s="3" t="n">
        <v>0.03</v>
      </c>
      <c r="O5" s="3" t="inlineStr">
        <is>
          <t>-</t>
        </is>
      </c>
      <c r="P5" s="3" t="n">
        <v>4</v>
      </c>
      <c r="Q5" s="3" t="n">
        <v>0</v>
      </c>
      <c r="R5" s="3" t="inlineStr">
        <is>
          <t>no</t>
        </is>
      </c>
      <c r="S5" s="3" t="inlineStr">
        <is>
          <t xml:space="preserve">svar_hd: C3s condicionada a los supuestos; dominancia y SHAP: contraste C4, nunca causal. </t>
        </is>
      </c>
      <c r="T5" s="3" t="inlineStr">
        <is>
          <t>output/v8/F5/ranking.csv</t>
        </is>
      </c>
      <c r="U5" s="4">
        <f>Votos_s9!L2</f>
        <v/>
      </c>
    </row>
    <row r="6">
      <c r="A6" s="3" t="inlineStr">
        <is>
          <t>compra</t>
        </is>
      </c>
      <c r="B6" s="3" t="inlineStr">
        <is>
          <t>P1</t>
        </is>
      </c>
      <c r="C6" s="3" t="inlineStr">
        <is>
          <t>factor_europeo</t>
        </is>
      </c>
      <c r="D6" s="3" t="n">
        <v>75.3518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>
        <v>4</v>
      </c>
      <c r="Q6" s="3" t="n">
        <v>0.0603015</v>
      </c>
      <c r="R6" s="3" t="inlineStr">
        <is>
          <t>no</t>
        </is>
      </c>
      <c r="S6" s="3" t="inlineStr">
        <is>
          <t xml:space="preserve">svar_hd: C3s condicionada a los supuestos; dominancia y SHAP: contraste C4, nunca causal. </t>
        </is>
      </c>
      <c r="T6" s="3" t="inlineStr">
        <is>
          <t>output/v8/F5/ranking.csv</t>
        </is>
      </c>
      <c r="U6" s="4">
        <f>Votos_s9!L2</f>
        <v/>
      </c>
    </row>
    <row r="7">
      <c r="A7" s="3" t="inlineStr">
        <is>
          <t>compra</t>
        </is>
      </c>
      <c r="B7" s="3" t="inlineStr">
        <is>
          <t>P2</t>
        </is>
      </c>
      <c r="C7" s="3" t="inlineStr">
        <is>
          <t>credito_tipos</t>
        </is>
      </c>
      <c r="D7" s="3" t="n">
        <v>-44.0018</v>
      </c>
      <c r="E7" s="3" t="n">
        <v>2</v>
      </c>
      <c r="F7" s="3" t="n">
        <v>8.59653</v>
      </c>
      <c r="G7" s="3" t="n">
        <v>-0.542165</v>
      </c>
      <c r="H7" s="3" t="n">
        <v>18.8749</v>
      </c>
      <c r="I7" s="3" t="n">
        <v>-5.23205</v>
      </c>
      <c r="J7" s="3" t="n">
        <v>32.8942</v>
      </c>
      <c r="K7" s="3" t="n">
        <v>0.225698</v>
      </c>
      <c r="L7" s="3" t="n">
        <v>2</v>
      </c>
      <c r="M7" s="3" t="n">
        <v>1</v>
      </c>
      <c r="N7" s="3" t="n">
        <v>0.38</v>
      </c>
      <c r="O7" s="3" t="inlineStr">
        <is>
          <t>+</t>
        </is>
      </c>
      <c r="P7" s="3" t="n">
        <v>5</v>
      </c>
      <c r="Q7" s="3" t="n">
        <v>0</v>
      </c>
      <c r="R7" s="3" t="inlineStr">
        <is>
          <t>no</t>
        </is>
      </c>
      <c r="S7" s="3" t="inlineStr">
        <is>
          <t>svar_hd: C3s condicionada a los supuestos; dominancia y SHAP: contraste C4, nunca causal. ranking incierto (P(f*) &lt; 0,5)</t>
        </is>
      </c>
      <c r="T7" s="3" t="inlineStr">
        <is>
          <t>output/v8/F5/ranking.csv</t>
        </is>
      </c>
      <c r="U7" s="4">
        <f>Votos_s9!L3</f>
        <v/>
      </c>
    </row>
    <row r="8">
      <c r="A8" s="3" t="inlineStr">
        <is>
          <t>compra</t>
        </is>
      </c>
      <c r="B8" s="3" t="inlineStr">
        <is>
          <t>P2</t>
        </is>
      </c>
      <c r="C8" s="3" t="inlineStr">
        <is>
          <t>demanda_vivienda</t>
        </is>
      </c>
      <c r="D8" s="3" t="n">
        <v>-44.0018</v>
      </c>
      <c r="E8" s="3" t="n">
        <v>3</v>
      </c>
      <c r="F8" s="3" t="n">
        <v>7.40779</v>
      </c>
      <c r="G8" s="3" t="n">
        <v>-1.99552</v>
      </c>
      <c r="H8" s="3" t="n">
        <v>17.8842</v>
      </c>
      <c r="I8" s="3" t="n">
        <v>-6.11398</v>
      </c>
      <c r="J8" s="3" t="n">
        <v>34.0416</v>
      </c>
      <c r="K8" s="3" t="n">
        <v>0.21663</v>
      </c>
      <c r="L8" s="3" t="n">
        <v>3</v>
      </c>
      <c r="M8" s="3" t="n"/>
      <c r="N8" s="3" t="n"/>
      <c r="O8" s="3" t="n"/>
      <c r="P8" s="3" t="n"/>
      <c r="Q8" s="3" t="n"/>
      <c r="R8" s="3" t="inlineStr">
        <is>
          <t>no</t>
        </is>
      </c>
      <c r="S8" s="3" t="inlineStr">
        <is>
          <t>svar_hd: C3s condicionada a los supuestos; dominancia y SHAP: contraste C4, nunca causal. ranking incierto (P(f*) &lt; 0,5)</t>
        </is>
      </c>
      <c r="T8" s="3" t="inlineStr">
        <is>
          <t>output/v8/F5/ranking.csv</t>
        </is>
      </c>
      <c r="U8" s="4">
        <f>Votos_s9!L3</f>
        <v/>
      </c>
    </row>
    <row r="9">
      <c r="A9" s="3" t="inlineStr">
        <is>
          <t>compra</t>
        </is>
      </c>
      <c r="B9" s="3" t="inlineStr">
        <is>
          <t>P2</t>
        </is>
      </c>
      <c r="C9" s="3" t="inlineStr">
        <is>
          <t>demografia</t>
        </is>
      </c>
      <c r="D9" s="3" t="n">
        <v>-44.0018</v>
      </c>
      <c r="E9" s="3" t="n">
        <v>5</v>
      </c>
      <c r="F9" s="3" t="n">
        <v>2.93343</v>
      </c>
      <c r="G9" s="3" t="n">
        <v>-4.04962</v>
      </c>
      <c r="H9" s="3" t="n">
        <v>10.7148</v>
      </c>
      <c r="I9" s="3" t="n">
        <v>-11.0989</v>
      </c>
      <c r="J9" s="3" t="n">
        <v>20.6099</v>
      </c>
      <c r="K9" s="3" t="n">
        <v>0.104884</v>
      </c>
      <c r="L9" s="3" t="n">
        <v>5</v>
      </c>
      <c r="M9" s="3" t="n">
        <v>4</v>
      </c>
      <c r="N9" s="3" t="n">
        <v>0.07000000000000001</v>
      </c>
      <c r="O9" s="3" t="inlineStr">
        <is>
          <t>-</t>
        </is>
      </c>
      <c r="P9" s="3" t="n">
        <v>3</v>
      </c>
      <c r="Q9" s="3" t="n">
        <v>0.07000000000000001</v>
      </c>
      <c r="R9" s="3" t="inlineStr">
        <is>
          <t>no</t>
        </is>
      </c>
      <c r="S9" s="3" t="inlineStr">
        <is>
          <t>svar_hd: C3s condicionada a los supuestos; dominancia y SHAP: contraste C4, nunca causal. ranking incierto (P(f*) &lt; 0,5)</t>
        </is>
      </c>
      <c r="T9" s="3" t="inlineStr">
        <is>
          <t>output/v8/F5/ranking.csv</t>
        </is>
      </c>
      <c r="U9" s="4">
        <f>Votos_s9!L3</f>
        <v/>
      </c>
    </row>
    <row r="10">
      <c r="A10" s="3" t="inlineStr">
        <is>
          <t>compra</t>
        </is>
      </c>
      <c r="B10" s="3" t="inlineStr">
        <is>
          <t>P2</t>
        </is>
      </c>
      <c r="C10" s="3" t="inlineStr">
        <is>
          <t>empleo_renta</t>
        </is>
      </c>
      <c r="D10" s="3" t="n">
        <v>-44.0018</v>
      </c>
      <c r="E10" s="3" t="n">
        <v>1</v>
      </c>
      <c r="F10" s="3" t="n">
        <v>10.6353</v>
      </c>
      <c r="G10" s="3" t="n">
        <v>-0.660395</v>
      </c>
      <c r="H10" s="3" t="n">
        <v>23.5243</v>
      </c>
      <c r="I10" s="3" t="n">
        <v>-7.26832</v>
      </c>
      <c r="J10" s="3" t="n">
        <v>38.8394</v>
      </c>
      <c r="K10" s="3" t="n">
        <v>0.31773</v>
      </c>
      <c r="L10" s="3" t="n">
        <v>1</v>
      </c>
      <c r="M10" s="3" t="n">
        <v>3</v>
      </c>
      <c r="N10" s="3" t="n">
        <v>0.22</v>
      </c>
      <c r="O10" s="3" t="inlineStr">
        <is>
          <t>-</t>
        </is>
      </c>
      <c r="P10" s="3" t="n">
        <v>1</v>
      </c>
      <c r="Q10" s="3" t="n">
        <v>0.75</v>
      </c>
      <c r="R10" s="3" t="inlineStr">
        <is>
          <t>no</t>
        </is>
      </c>
      <c r="S10" s="3" t="inlineStr">
        <is>
          <t>svar_hd: C3s condicionada a los supuestos; dominancia y SHAP: contraste C4, nunca causal. ranking incierto (P(f*) &lt; 0,5)</t>
        </is>
      </c>
      <c r="T10" s="3" t="inlineStr">
        <is>
          <t>output/v8/F5/ranking.csv</t>
        </is>
      </c>
      <c r="U10" s="4">
        <f>Votos_s9!L3</f>
        <v/>
      </c>
    </row>
    <row r="11">
      <c r="A11" s="3" t="inlineStr">
        <is>
          <t>compra</t>
        </is>
      </c>
      <c r="B11" s="3" t="inlineStr">
        <is>
          <t>P2</t>
        </is>
      </c>
      <c r="C11" s="3" t="inlineStr">
        <is>
          <t>oferta</t>
        </is>
      </c>
      <c r="D11" s="3" t="n">
        <v>-44.0018</v>
      </c>
      <c r="E11" s="3" t="n">
        <v>4</v>
      </c>
      <c r="F11" s="3" t="n">
        <v>4.81136</v>
      </c>
      <c r="G11" s="3" t="n">
        <v>-2.48894</v>
      </c>
      <c r="H11" s="3" t="n">
        <v>13.2992</v>
      </c>
      <c r="I11" s="3" t="n">
        <v>-7.58723</v>
      </c>
      <c r="J11" s="3" t="n">
        <v>25.0249</v>
      </c>
      <c r="K11" s="3" t="n">
        <v>0.135058</v>
      </c>
      <c r="L11" s="3" t="n">
        <v>4</v>
      </c>
      <c r="M11" s="3" t="n">
        <v>6</v>
      </c>
      <c r="N11" s="3" t="n">
        <v>0.01</v>
      </c>
      <c r="O11" s="3" t="inlineStr">
        <is>
          <t>-</t>
        </is>
      </c>
      <c r="P11" s="3" t="n">
        <v>4</v>
      </c>
      <c r="Q11" s="3" t="n">
        <v>0.075</v>
      </c>
      <c r="R11" s="3" t="inlineStr">
        <is>
          <t>no</t>
        </is>
      </c>
      <c r="S11" s="3" t="inlineStr">
        <is>
          <t>svar_hd: C3s condicionada a los supuestos; dominancia y SHAP: contraste C4, nunca causal. ranking incierto (P(f*) &lt; 0,5)</t>
        </is>
      </c>
      <c r="T11" s="3" t="inlineStr">
        <is>
          <t>output/v8/F5/ranking.csv</t>
        </is>
      </c>
      <c r="U11" s="4">
        <f>Votos_s9!L3</f>
        <v/>
      </c>
    </row>
    <row r="12">
      <c r="A12" s="3" t="inlineStr">
        <is>
          <t>compra</t>
        </is>
      </c>
      <c r="B12" s="3" t="inlineStr">
        <is>
          <t>P2</t>
        </is>
      </c>
      <c r="C12" s="3" t="inlineStr">
        <is>
          <t>factor_europeo</t>
        </is>
      </c>
      <c r="D12" s="3" t="n">
        <v>-44.0018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>
        <v>2</v>
      </c>
      <c r="N12" s="3" t="n">
        <v>0.25</v>
      </c>
      <c r="O12" s="3" t="inlineStr">
        <is>
          <t>-</t>
        </is>
      </c>
      <c r="P12" s="3" t="n">
        <v>3</v>
      </c>
      <c r="Q12" s="3" t="n">
        <v>0.105</v>
      </c>
      <c r="R12" s="3" t="inlineStr">
        <is>
          <t>no</t>
        </is>
      </c>
      <c r="S12" s="3" t="inlineStr">
        <is>
          <t>svar_hd: C3s condicionada a los supuestos; dominancia y SHAP: contraste C4, nunca causal. ranking incierto (P(f*) &lt; 0,5)</t>
        </is>
      </c>
      <c r="T12" s="3" t="inlineStr">
        <is>
          <t>output/v8/F5/ranking.csv</t>
        </is>
      </c>
      <c r="U12" s="4">
        <f>Votos_s9!L3</f>
        <v/>
      </c>
    </row>
    <row r="13">
      <c r="A13" s="3" t="inlineStr">
        <is>
          <t>compra</t>
        </is>
      </c>
      <c r="B13" s="3" t="inlineStr">
        <is>
          <t>P2</t>
        </is>
      </c>
      <c r="C13" s="3" t="inlineStr">
        <is>
          <t>demanda_externa</t>
        </is>
      </c>
      <c r="D13" s="3" t="n">
        <v>-44.0018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>
        <v>5</v>
      </c>
      <c r="N13" s="3" t="n">
        <v>0.07000000000000001</v>
      </c>
      <c r="O13" s="3" t="inlineStr">
        <is>
          <t>-</t>
        </is>
      </c>
      <c r="P13" s="3" t="n"/>
      <c r="Q13" s="3" t="n"/>
      <c r="R13" s="3" t="inlineStr">
        <is>
          <t>no</t>
        </is>
      </c>
      <c r="S13" s="3" t="inlineStr">
        <is>
          <t>svar_hd: C3s condicionada a los supuestos; dominancia y SHAP: contraste C4, nunca causal. ranking incierto (P(f*) &lt; 0,5)</t>
        </is>
      </c>
      <c r="T13" s="3" t="inlineStr">
        <is>
          <t>output/v8/F5/ranking.csv</t>
        </is>
      </c>
      <c r="U13" s="4">
        <f>Votos_s9!L3</f>
        <v/>
      </c>
    </row>
    <row r="14">
      <c r="A14" s="3" t="inlineStr">
        <is>
          <t>compra</t>
        </is>
      </c>
      <c r="B14" s="3" t="inlineStr">
        <is>
          <t>P3</t>
        </is>
      </c>
      <c r="C14" s="3" t="inlineStr">
        <is>
          <t>credito_tipos</t>
        </is>
      </c>
      <c r="D14" s="3" t="n">
        <v>8.216699999999999</v>
      </c>
      <c r="E14" s="3" t="n">
        <v>5</v>
      </c>
      <c r="F14" s="3" t="n">
        <v>-1.55002</v>
      </c>
      <c r="G14" s="3" t="n">
        <v>-9.78341</v>
      </c>
      <c r="H14" s="3" t="n">
        <v>7.07096</v>
      </c>
      <c r="I14" s="3" t="n">
        <v>-17.7135</v>
      </c>
      <c r="J14" s="3" t="n">
        <v>18.4172</v>
      </c>
      <c r="K14" s="3" t="n">
        <v>0.136418</v>
      </c>
      <c r="L14" s="3" t="n">
        <v>4</v>
      </c>
      <c r="M14" s="3" t="n">
        <v>5</v>
      </c>
      <c r="N14" s="3" t="n">
        <v>0.06</v>
      </c>
      <c r="O14" s="3" t="inlineStr">
        <is>
          <t>+</t>
        </is>
      </c>
      <c r="P14" s="3" t="n">
        <v>3</v>
      </c>
      <c r="Q14" s="3" t="n">
        <v>0.05</v>
      </c>
      <c r="R14" s="3" t="inlineStr">
        <is>
          <t>no</t>
        </is>
      </c>
      <c r="S14" s="3" t="inlineStr">
        <is>
          <t>svar_hd: C3s condicionada a los supuestos; dominancia y SHAP: contraste C4, nunca causal. ranking incierto (P(f*) &lt; 0,5)</t>
        </is>
      </c>
      <c r="T14" s="3" t="inlineStr">
        <is>
          <t>output/v8/F5/ranking.csv</t>
        </is>
      </c>
      <c r="U14" s="4">
        <f>Votos_s9!L4</f>
        <v/>
      </c>
    </row>
    <row r="15">
      <c r="A15" s="3" t="inlineStr">
        <is>
          <t>compra</t>
        </is>
      </c>
      <c r="B15" s="3" t="inlineStr">
        <is>
          <t>P3</t>
        </is>
      </c>
      <c r="C15" s="3" t="inlineStr">
        <is>
          <t>demanda_vivienda</t>
        </is>
      </c>
      <c r="D15" s="3" t="n">
        <v>8.216699999999999</v>
      </c>
      <c r="E15" s="3" t="n">
        <v>4</v>
      </c>
      <c r="F15" s="3" t="n">
        <v>-0.411954</v>
      </c>
      <c r="G15" s="3" t="n">
        <v>-7.20665</v>
      </c>
      <c r="H15" s="3" t="n">
        <v>8.99381</v>
      </c>
      <c r="I15" s="3" t="n">
        <v>-18.366</v>
      </c>
      <c r="J15" s="3" t="n">
        <v>17.6965</v>
      </c>
      <c r="K15" s="3" t="n">
        <v>0.170776</v>
      </c>
      <c r="L15" s="3" t="n">
        <v>2</v>
      </c>
      <c r="M15" s="3" t="n"/>
      <c r="N15" s="3" t="n"/>
      <c r="O15" s="3" t="n"/>
      <c r="P15" s="3" t="n"/>
      <c r="Q15" s="3" t="n"/>
      <c r="R15" s="3" t="inlineStr">
        <is>
          <t>no</t>
        </is>
      </c>
      <c r="S15" s="3" t="inlineStr">
        <is>
          <t>svar_hd: C3s condicionada a los supuestos; dominancia y SHAP: contraste C4, nunca causal. ranking incierto (P(f*) &lt; 0,5)</t>
        </is>
      </c>
      <c r="T15" s="3" t="inlineStr">
        <is>
          <t>output/v8/F5/ranking.csv</t>
        </is>
      </c>
      <c r="U15" s="4">
        <f>Votos_s9!L4</f>
        <v/>
      </c>
    </row>
    <row r="16">
      <c r="A16" s="3" t="inlineStr">
        <is>
          <t>compra</t>
        </is>
      </c>
      <c r="B16" s="3" t="inlineStr">
        <is>
          <t>P3</t>
        </is>
      </c>
      <c r="C16" s="3" t="inlineStr">
        <is>
          <t>demografia</t>
        </is>
      </c>
      <c r="D16" s="3" t="n">
        <v>8.216699999999999</v>
      </c>
      <c r="E16" s="3" t="n">
        <v>3</v>
      </c>
      <c r="F16" s="3" t="n">
        <v>0.141604</v>
      </c>
      <c r="G16" s="3" t="n">
        <v>-6.57831</v>
      </c>
      <c r="H16" s="3" t="n">
        <v>6.81486</v>
      </c>
      <c r="I16" s="3" t="n">
        <v>-13.9672</v>
      </c>
      <c r="J16" s="3" t="n">
        <v>17.345</v>
      </c>
      <c r="K16" s="3" t="n">
        <v>0.136285</v>
      </c>
      <c r="L16" s="3" t="n">
        <v>5</v>
      </c>
      <c r="M16" s="3" t="n">
        <v>3</v>
      </c>
      <c r="N16" s="3" t="n">
        <v>0.24</v>
      </c>
      <c r="O16" s="3" t="inlineStr">
        <is>
          <t>+</t>
        </is>
      </c>
      <c r="P16" s="3" t="n">
        <v>4</v>
      </c>
      <c r="Q16" s="3" t="n">
        <v>0.13</v>
      </c>
      <c r="R16" s="3" t="inlineStr">
        <is>
          <t>no</t>
        </is>
      </c>
      <c r="S16" s="3" t="inlineStr">
        <is>
          <t>svar_hd: C3s condicionada a los supuestos; dominancia y SHAP: contraste C4, nunca causal. ranking incierto (P(f*) &lt; 0,5)</t>
        </is>
      </c>
      <c r="T16" s="3" t="inlineStr">
        <is>
          <t>output/v8/F5/ranking.csv</t>
        </is>
      </c>
      <c r="U16" s="4">
        <f>Votos_s9!L4</f>
        <v/>
      </c>
    </row>
    <row r="17">
      <c r="A17" s="3" t="inlineStr">
        <is>
          <t>compra</t>
        </is>
      </c>
      <c r="B17" s="3" t="inlineStr">
        <is>
          <t>P3</t>
        </is>
      </c>
      <c r="C17" s="3" t="inlineStr">
        <is>
          <t>empleo_renta</t>
        </is>
      </c>
      <c r="D17" s="3" t="n">
        <v>8.216699999999999</v>
      </c>
      <c r="E17" s="3" t="n">
        <v>1</v>
      </c>
      <c r="F17" s="3" t="n">
        <v>7.72218</v>
      </c>
      <c r="G17" s="3" t="n">
        <v>-3.46639</v>
      </c>
      <c r="H17" s="3" t="n">
        <v>18.2318</v>
      </c>
      <c r="I17" s="3" t="n">
        <v>-15.2388</v>
      </c>
      <c r="J17" s="3" t="n">
        <v>31.2052</v>
      </c>
      <c r="K17" s="3" t="n">
        <v>0.407665</v>
      </c>
      <c r="L17" s="3" t="n">
        <v>1</v>
      </c>
      <c r="M17" s="3" t="n">
        <v>1</v>
      </c>
      <c r="N17" s="3" t="n">
        <v>0.29</v>
      </c>
      <c r="O17" s="3" t="inlineStr">
        <is>
          <t>+</t>
        </is>
      </c>
      <c r="P17" s="3" t="n">
        <v>1</v>
      </c>
      <c r="Q17" s="3" t="n">
        <v>0.68</v>
      </c>
      <c r="R17" s="3" t="inlineStr">
        <is>
          <t>no</t>
        </is>
      </c>
      <c r="S17" s="3" t="inlineStr">
        <is>
          <t>svar_hd: C3s condicionada a los supuestos; dominancia y SHAP: contraste C4, nunca causal. ranking incierto (P(f*) &lt; 0,5)</t>
        </is>
      </c>
      <c r="T17" s="3" t="inlineStr">
        <is>
          <t>output/v8/F5/ranking.csv</t>
        </is>
      </c>
      <c r="U17" s="4">
        <f>Votos_s9!L4</f>
        <v/>
      </c>
    </row>
    <row r="18">
      <c r="A18" s="3" t="inlineStr">
        <is>
          <t>compra</t>
        </is>
      </c>
      <c r="B18" s="3" t="inlineStr">
        <is>
          <t>P3</t>
        </is>
      </c>
      <c r="C18" s="3" t="inlineStr">
        <is>
          <t>oferta</t>
        </is>
      </c>
      <c r="D18" s="3" t="n">
        <v>8.216699999999999</v>
      </c>
      <c r="E18" s="3" t="n">
        <v>2</v>
      </c>
      <c r="F18" s="3" t="n">
        <v>0.380583</v>
      </c>
      <c r="G18" s="3" t="n">
        <v>-7.29269</v>
      </c>
      <c r="H18" s="3" t="n">
        <v>8.02427</v>
      </c>
      <c r="I18" s="3" t="n">
        <v>-16.8044</v>
      </c>
      <c r="J18" s="3" t="n">
        <v>18.9594</v>
      </c>
      <c r="K18" s="3" t="n">
        <v>0.148856</v>
      </c>
      <c r="L18" s="3" t="n">
        <v>3</v>
      </c>
      <c r="M18" s="3" t="n">
        <v>6</v>
      </c>
      <c r="N18" s="3" t="n">
        <v>0.04</v>
      </c>
      <c r="O18" s="3" t="inlineStr">
        <is>
          <t>-</t>
        </is>
      </c>
      <c r="P18" s="3" t="n">
        <v>4</v>
      </c>
      <c r="Q18" s="3" t="n">
        <v>0.06</v>
      </c>
      <c r="R18" s="3" t="inlineStr">
        <is>
          <t>no</t>
        </is>
      </c>
      <c r="S18" s="3" t="inlineStr">
        <is>
          <t>svar_hd: C3s condicionada a los supuestos; dominancia y SHAP: contraste C4, nunca causal. ranking incierto (P(f*) &lt; 0,5)</t>
        </is>
      </c>
      <c r="T18" s="3" t="inlineStr">
        <is>
          <t>output/v8/F5/ranking.csv</t>
        </is>
      </c>
      <c r="U18" s="4">
        <f>Votos_s9!L4</f>
        <v/>
      </c>
    </row>
    <row r="19">
      <c r="A19" s="3" t="inlineStr">
        <is>
          <t>compra</t>
        </is>
      </c>
      <c r="B19" s="3" t="inlineStr">
        <is>
          <t>P3</t>
        </is>
      </c>
      <c r="C19" s="3" t="inlineStr">
        <is>
          <t>factor_europeo</t>
        </is>
      </c>
      <c r="D19" s="3" t="n">
        <v>8.216699999999999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>
        <v>2</v>
      </c>
      <c r="N19" s="3" t="n">
        <v>0.28</v>
      </c>
      <c r="O19" s="3" t="inlineStr">
        <is>
          <t>+</t>
        </is>
      </c>
      <c r="P19" s="3" t="n">
        <v>4</v>
      </c>
      <c r="Q19" s="3" t="n">
        <v>0.08</v>
      </c>
      <c r="R19" s="3" t="inlineStr">
        <is>
          <t>no</t>
        </is>
      </c>
      <c r="S19" s="3" t="inlineStr">
        <is>
          <t>svar_hd: C3s condicionada a los supuestos; dominancia y SHAP: contraste C4, nunca causal. ranking incierto (P(f*) &lt; 0,5)</t>
        </is>
      </c>
      <c r="T19" s="3" t="inlineStr">
        <is>
          <t>output/v8/F5/ranking.csv</t>
        </is>
      </c>
      <c r="U19" s="4">
        <f>Votos_s9!L4</f>
        <v/>
      </c>
    </row>
    <row r="20">
      <c r="A20" s="3" t="inlineStr">
        <is>
          <t>compra</t>
        </is>
      </c>
      <c r="B20" s="3" t="inlineStr">
        <is>
          <t>P3</t>
        </is>
      </c>
      <c r="C20" s="3" t="inlineStr">
        <is>
          <t>demanda_externa</t>
        </is>
      </c>
      <c r="D20" s="3" t="n">
        <v>8.216699999999999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>
        <v>4</v>
      </c>
      <c r="N20" s="3" t="n">
        <v>0.09</v>
      </c>
      <c r="O20" s="3" t="inlineStr">
        <is>
          <t>+</t>
        </is>
      </c>
      <c r="P20" s="3" t="n"/>
      <c r="Q20" s="3" t="n"/>
      <c r="R20" s="3" t="inlineStr">
        <is>
          <t>no</t>
        </is>
      </c>
      <c r="S20" s="3" t="inlineStr">
        <is>
          <t>svar_hd: C3s condicionada a los supuestos; dominancia y SHAP: contraste C4, nunca causal. ranking incierto (P(f*) &lt; 0,5)</t>
        </is>
      </c>
      <c r="T20" s="3" t="inlineStr">
        <is>
          <t>output/v8/F5/ranking.csv</t>
        </is>
      </c>
      <c r="U20" s="4">
        <f>Votos_s9!L4</f>
        <v/>
      </c>
    </row>
    <row r="21">
      <c r="A21" s="3" t="inlineStr">
        <is>
          <t>compra</t>
        </is>
      </c>
      <c r="B21" s="3" t="inlineStr">
        <is>
          <t>P4</t>
        </is>
      </c>
      <c r="C21" s="3" t="inlineStr">
        <is>
          <t>credito_tipos</t>
        </is>
      </c>
      <c r="D21" s="3" t="n">
        <v>-5.45682</v>
      </c>
      <c r="E21" s="3" t="n">
        <v>2</v>
      </c>
      <c r="F21" s="3" t="n">
        <v>1.29208</v>
      </c>
      <c r="G21" s="3" t="n">
        <v>-4.43588</v>
      </c>
      <c r="H21" s="3" t="n">
        <v>4.72305</v>
      </c>
      <c r="I21" s="3" t="n">
        <v>-9.202959999999999</v>
      </c>
      <c r="J21" s="3" t="n">
        <v>10.0285</v>
      </c>
      <c r="K21" s="3" t="n">
        <v>0.169313</v>
      </c>
      <c r="L21" s="3" t="n">
        <v>4</v>
      </c>
      <c r="M21" s="3" t="n">
        <v>1</v>
      </c>
      <c r="N21" s="3" t="n">
        <v>0.59</v>
      </c>
      <c r="O21" s="3" t="inlineStr">
        <is>
          <t>-</t>
        </is>
      </c>
      <c r="P21" s="3" t="n">
        <v>4</v>
      </c>
      <c r="Q21" s="3" t="n">
        <v>0</v>
      </c>
      <c r="R21" s="3" t="inlineStr">
        <is>
          <t>sí</t>
        </is>
      </c>
      <c r="S21" s="3" t="inlineStr">
        <is>
          <t>svar_hd: C3s condicionada a los supuestos; dominancia y SHAP: contraste C4, nunca causal. ranking incierto (media y P(f*) discrepan); ranking incierto (P(f*) &lt; 0,5)</t>
        </is>
      </c>
      <c r="T21" s="3" t="inlineStr">
        <is>
          <t>output/v8/F5/ranking.csv</t>
        </is>
      </c>
      <c r="U21" s="4">
        <f>Votos_s9!L5</f>
        <v/>
      </c>
    </row>
    <row r="22">
      <c r="A22" s="3" t="inlineStr">
        <is>
          <t>compra</t>
        </is>
      </c>
      <c r="B22" s="3" t="inlineStr">
        <is>
          <t>P4</t>
        </is>
      </c>
      <c r="C22" s="3" t="inlineStr">
        <is>
          <t>demanda_vivienda</t>
        </is>
      </c>
      <c r="D22" s="3" t="n">
        <v>-5.45682</v>
      </c>
      <c r="E22" s="3" t="n">
        <v>1</v>
      </c>
      <c r="F22" s="3" t="n">
        <v>2.61446</v>
      </c>
      <c r="G22" s="3" t="n">
        <v>-2.42139</v>
      </c>
      <c r="H22" s="3" t="n">
        <v>6.00271</v>
      </c>
      <c r="I22" s="3" t="n">
        <v>-6.04984</v>
      </c>
      <c r="J22" s="3" t="n">
        <v>12.3484</v>
      </c>
      <c r="K22" s="3" t="n">
        <v>0.238417</v>
      </c>
      <c r="L22" s="3" t="n">
        <v>2</v>
      </c>
      <c r="M22" s="3" t="n"/>
      <c r="N22" s="3" t="n"/>
      <c r="O22" s="3" t="n"/>
      <c r="P22" s="3" t="n"/>
      <c r="Q22" s="3" t="n"/>
      <c r="R22" s="3" t="inlineStr">
        <is>
          <t>sí</t>
        </is>
      </c>
      <c r="S22" s="3" t="inlineStr">
        <is>
          <t>svar_hd: C3s condicionada a los supuestos; dominancia y SHAP: contraste C4, nunca causal. ranking incierto (media y P(f*) discrepan); ranking incierto (P(f*) &lt; 0,5)</t>
        </is>
      </c>
      <c r="T22" s="3" t="inlineStr">
        <is>
          <t>output/v8/F5/ranking.csv</t>
        </is>
      </c>
      <c r="U22" s="4">
        <f>Votos_s9!L5</f>
        <v/>
      </c>
    </row>
    <row r="23">
      <c r="A23" s="3" t="inlineStr">
        <is>
          <t>compra</t>
        </is>
      </c>
      <c r="B23" s="3" t="inlineStr">
        <is>
          <t>P4</t>
        </is>
      </c>
      <c r="C23" s="3" t="inlineStr">
        <is>
          <t>demografia</t>
        </is>
      </c>
      <c r="D23" s="3" t="n">
        <v>-5.45682</v>
      </c>
      <c r="E23" s="3" t="n">
        <v>4</v>
      </c>
      <c r="F23" s="3" t="n">
        <v>0.273356</v>
      </c>
      <c r="G23" s="3" t="n">
        <v>-3.3891</v>
      </c>
      <c r="H23" s="3" t="n">
        <v>3.99072</v>
      </c>
      <c r="I23" s="3" t="n">
        <v>-7.06439</v>
      </c>
      <c r="J23" s="3" t="n">
        <v>8.238300000000001</v>
      </c>
      <c r="K23" s="3" t="n">
        <v>0.148217</v>
      </c>
      <c r="L23" s="3" t="n">
        <v>5</v>
      </c>
      <c r="M23" s="3" t="n">
        <v>2</v>
      </c>
      <c r="N23" s="3" t="n">
        <v>0.29</v>
      </c>
      <c r="O23" s="3" t="inlineStr">
        <is>
          <t>-</t>
        </is>
      </c>
      <c r="P23" s="3" t="n">
        <v>3</v>
      </c>
      <c r="Q23" s="3" t="n">
        <v>0.14359</v>
      </c>
      <c r="R23" s="3" t="inlineStr">
        <is>
          <t>sí</t>
        </is>
      </c>
      <c r="S23" s="3" t="inlineStr">
        <is>
          <t>svar_hd: C3s condicionada a los supuestos; dominancia y SHAP: contraste C4, nunca causal. ranking incierto (media y P(f*) discrepan); ranking incierto (P(f*) &lt; 0,5)</t>
        </is>
      </c>
      <c r="T23" s="3" t="inlineStr">
        <is>
          <t>output/v8/F5/ranking.csv</t>
        </is>
      </c>
      <c r="U23" s="4">
        <f>Votos_s9!L5</f>
        <v/>
      </c>
    </row>
    <row r="24">
      <c r="A24" s="3" t="inlineStr">
        <is>
          <t>compra</t>
        </is>
      </c>
      <c r="B24" s="3" t="inlineStr">
        <is>
          <t>P4</t>
        </is>
      </c>
      <c r="C24" s="3" t="inlineStr">
        <is>
          <t>empleo_renta</t>
        </is>
      </c>
      <c r="D24" s="3" t="n">
        <v>-5.45682</v>
      </c>
      <c r="E24" s="3" t="n">
        <v>5</v>
      </c>
      <c r="F24" s="3" t="n">
        <v>-0.27266</v>
      </c>
      <c r="G24" s="3" t="n">
        <v>-4.66018</v>
      </c>
      <c r="H24" s="3" t="n">
        <v>7.08693</v>
      </c>
      <c r="I24" s="3" t="n">
        <v>-10.1891</v>
      </c>
      <c r="J24" s="3" t="n">
        <v>13.2385</v>
      </c>
      <c r="K24" s="3" t="n">
        <v>0.259322</v>
      </c>
      <c r="L24" s="3" t="n">
        <v>1</v>
      </c>
      <c r="M24" s="3" t="n">
        <v>3</v>
      </c>
      <c r="N24" s="3" t="n">
        <v>0.12</v>
      </c>
      <c r="O24" s="3" t="inlineStr">
        <is>
          <t>-</t>
        </is>
      </c>
      <c r="P24" s="3" t="n">
        <v>1</v>
      </c>
      <c r="Q24" s="3" t="n">
        <v>0.728205</v>
      </c>
      <c r="R24" s="3" t="inlineStr">
        <is>
          <t>sí</t>
        </is>
      </c>
      <c r="S24" s="3" t="inlineStr">
        <is>
          <t>svar_hd: C3s condicionada a los supuestos; dominancia y SHAP: contraste C4, nunca causal. ranking incierto (media y P(f*) discrepan); ranking incierto (P(f*) &lt; 0,5)</t>
        </is>
      </c>
      <c r="T24" s="3" t="inlineStr">
        <is>
          <t>output/v8/F5/ranking.csv</t>
        </is>
      </c>
      <c r="U24" s="4">
        <f>Votos_s9!L5</f>
        <v/>
      </c>
    </row>
    <row r="25">
      <c r="A25" s="3" t="inlineStr">
        <is>
          <t>compra</t>
        </is>
      </c>
      <c r="B25" s="3" t="inlineStr">
        <is>
          <t>P4</t>
        </is>
      </c>
      <c r="C25" s="3" t="inlineStr">
        <is>
          <t>oferta</t>
        </is>
      </c>
      <c r="D25" s="3" t="n">
        <v>-5.45682</v>
      </c>
      <c r="E25" s="3" t="n">
        <v>3</v>
      </c>
      <c r="F25" s="3" t="n">
        <v>0.7970429999999999</v>
      </c>
      <c r="G25" s="3" t="n">
        <v>-3.31995</v>
      </c>
      <c r="H25" s="3" t="n">
        <v>4.7538</v>
      </c>
      <c r="I25" s="3" t="n">
        <v>-7.51088</v>
      </c>
      <c r="J25" s="3" t="n">
        <v>9.996270000000001</v>
      </c>
      <c r="K25" s="3" t="n">
        <v>0.184732</v>
      </c>
      <c r="L25" s="3" t="n">
        <v>3</v>
      </c>
      <c r="M25" s="3" t="n"/>
      <c r="N25" s="3" t="n"/>
      <c r="O25" s="3" t="n"/>
      <c r="P25" s="3" t="n">
        <v>4</v>
      </c>
      <c r="Q25" s="3" t="n">
        <v>0.0102564</v>
      </c>
      <c r="R25" s="3" t="inlineStr">
        <is>
          <t>sí</t>
        </is>
      </c>
      <c r="S25" s="3" t="inlineStr">
        <is>
          <t>svar_hd: C3s condicionada a los supuestos; dominancia y SHAP: contraste C4, nunca causal. ranking incierto (media y P(f*) discrepan); ranking incierto (P(f*) &lt; 0,5)</t>
        </is>
      </c>
      <c r="T25" s="3" t="inlineStr">
        <is>
          <t>output/v8/F5/ranking.csv</t>
        </is>
      </c>
      <c r="U25" s="4">
        <f>Votos_s9!L5</f>
        <v/>
      </c>
    </row>
    <row r="26">
      <c r="A26" s="3" t="inlineStr">
        <is>
          <t>compra</t>
        </is>
      </c>
      <c r="B26" s="3" t="inlineStr">
        <is>
          <t>P4</t>
        </is>
      </c>
      <c r="C26" s="3" t="inlineStr">
        <is>
          <t>factor_europeo</t>
        </is>
      </c>
      <c r="D26" s="3" t="n">
        <v>-5.45682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>
        <v>3</v>
      </c>
      <c r="Q26" s="3" t="n">
        <v>0.117949</v>
      </c>
      <c r="R26" s="3" t="inlineStr">
        <is>
          <t>sí</t>
        </is>
      </c>
      <c r="S26" s="3" t="inlineStr">
        <is>
          <t>svar_hd: C3s condicionada a los supuestos; dominancia y SHAP: contraste C4, nunca causal. ranking incierto (media y P(f*) discrepan); ranking incierto (P(f*) &lt; 0,5)</t>
        </is>
      </c>
      <c r="T26" s="3" t="inlineStr">
        <is>
          <t>output/v8/F5/ranking.csv</t>
        </is>
      </c>
      <c r="U26" s="4">
        <f>Votos_s9!L5</f>
        <v/>
      </c>
    </row>
    <row r="27">
      <c r="A27" s="3" t="inlineStr">
        <is>
          <t>compra</t>
        </is>
      </c>
      <c r="B27" s="3" t="inlineStr">
        <is>
          <t>P5</t>
        </is>
      </c>
      <c r="C27" s="3" t="inlineStr">
        <is>
          <t>credito_tipos</t>
        </is>
      </c>
      <c r="D27" s="3" t="n">
        <v>18.4203</v>
      </c>
      <c r="E27" s="3" t="n">
        <v>5</v>
      </c>
      <c r="F27" s="3" t="n">
        <v>-0.469355</v>
      </c>
      <c r="G27" s="3" t="n">
        <v>-2.81899</v>
      </c>
      <c r="H27" s="3" t="n">
        <v>12.7731</v>
      </c>
      <c r="I27" s="3" t="n">
        <v>-9.851699999999999</v>
      </c>
      <c r="J27" s="3" t="n">
        <v>20.6693</v>
      </c>
      <c r="K27" s="3" t="n">
        <v>0.296623</v>
      </c>
      <c r="L27" s="3" t="n">
        <v>1</v>
      </c>
      <c r="M27" s="3" t="n">
        <v>4</v>
      </c>
      <c r="N27" s="3" t="n">
        <v>0.11</v>
      </c>
      <c r="O27" s="3" t="inlineStr">
        <is>
          <t>+</t>
        </is>
      </c>
      <c r="P27" s="3" t="n">
        <v>4</v>
      </c>
      <c r="Q27" s="3" t="n">
        <v>0.0358974</v>
      </c>
      <c r="R27" s="3" t="inlineStr">
        <is>
          <t>no</t>
        </is>
      </c>
      <c r="S27" s="3" t="inlineStr">
        <is>
          <t>svar_hd: C3s condicionada a los supuestos; dominancia y SHAP: contraste C4, nunca causal. ranking incierto (media y P(f*) discrepan); ranking incierto (P(f*) &lt; 0,5)</t>
        </is>
      </c>
      <c r="T27" s="3" t="inlineStr">
        <is>
          <t>output/v8/F5/ranking.csv</t>
        </is>
      </c>
      <c r="U27" s="4">
        <f>Votos_s9!L6</f>
        <v/>
      </c>
    </row>
    <row r="28">
      <c r="A28" s="3" t="inlineStr">
        <is>
          <t>compra</t>
        </is>
      </c>
      <c r="B28" s="3" t="inlineStr">
        <is>
          <t>P5</t>
        </is>
      </c>
      <c r="C28" s="3" t="inlineStr">
        <is>
          <t>demanda_vivienda</t>
        </is>
      </c>
      <c r="D28" s="3" t="n">
        <v>18.4203</v>
      </c>
      <c r="E28" s="3" t="n">
        <v>4</v>
      </c>
      <c r="F28" s="3" t="n">
        <v>-0.30196</v>
      </c>
      <c r="G28" s="3" t="n">
        <v>-2.86541</v>
      </c>
      <c r="H28" s="3" t="n">
        <v>10.9817</v>
      </c>
      <c r="I28" s="3" t="n">
        <v>-10.7762</v>
      </c>
      <c r="J28" s="3" t="n">
        <v>19.5331</v>
      </c>
      <c r="K28" s="3" t="n">
        <v>0.231689</v>
      </c>
      <c r="L28" s="3" t="n">
        <v>2</v>
      </c>
      <c r="M28" s="3" t="n"/>
      <c r="N28" s="3" t="n"/>
      <c r="O28" s="3" t="n"/>
      <c r="P28" s="3" t="n"/>
      <c r="Q28" s="3" t="n"/>
      <c r="R28" s="3" t="inlineStr">
        <is>
          <t>no</t>
        </is>
      </c>
      <c r="S28" s="3" t="inlineStr">
        <is>
          <t>svar_hd: C3s condicionada a los supuestos; dominancia y SHAP: contraste C4, nunca causal. ranking incierto (media y P(f*) discrepan); ranking incierto (P(f*) &lt; 0,5)</t>
        </is>
      </c>
      <c r="T28" s="3" t="inlineStr">
        <is>
          <t>output/v8/F5/ranking.csv</t>
        </is>
      </c>
      <c r="U28" s="4">
        <f>Votos_s9!L6</f>
        <v/>
      </c>
    </row>
    <row r="29">
      <c r="A29" s="3" t="inlineStr">
        <is>
          <t>compra</t>
        </is>
      </c>
      <c r="B29" s="3" t="inlineStr">
        <is>
          <t>P5</t>
        </is>
      </c>
      <c r="C29" s="3" t="inlineStr">
        <is>
          <t>demografia</t>
        </is>
      </c>
      <c r="D29" s="3" t="n">
        <v>18.4203</v>
      </c>
      <c r="E29" s="3" t="n">
        <v>3</v>
      </c>
      <c r="F29" s="3" t="n">
        <v>0.647324</v>
      </c>
      <c r="G29" s="3" t="n">
        <v>-4.07861</v>
      </c>
      <c r="H29" s="3" t="n">
        <v>5.79265</v>
      </c>
      <c r="I29" s="3" t="n">
        <v>-9.01505</v>
      </c>
      <c r="J29" s="3" t="n">
        <v>13.4324</v>
      </c>
      <c r="K29" s="3" t="n">
        <v>0.0989587</v>
      </c>
      <c r="L29" s="3" t="n">
        <v>5</v>
      </c>
      <c r="M29" s="3" t="n">
        <v>5</v>
      </c>
      <c r="N29" s="3" t="n">
        <v>0.08</v>
      </c>
      <c r="O29" s="3" t="inlineStr">
        <is>
          <t>+</t>
        </is>
      </c>
      <c r="P29" s="3" t="n">
        <v>3</v>
      </c>
      <c r="Q29" s="3" t="n">
        <v>0.09230770000000001</v>
      </c>
      <c r="R29" s="3" t="inlineStr">
        <is>
          <t>no</t>
        </is>
      </c>
      <c r="S29" s="3" t="inlineStr">
        <is>
          <t>svar_hd: C3s condicionada a los supuestos; dominancia y SHAP: contraste C4, nunca causal. ranking incierto (media y P(f*) discrepan); ranking incierto (P(f*) &lt; 0,5)</t>
        </is>
      </c>
      <c r="T29" s="3" t="inlineStr">
        <is>
          <t>output/v8/F5/ranking.csv</t>
        </is>
      </c>
      <c r="U29" s="4">
        <f>Votos_s9!L6</f>
        <v/>
      </c>
    </row>
    <row r="30">
      <c r="A30" s="3" t="inlineStr">
        <is>
          <t>compra</t>
        </is>
      </c>
      <c r="B30" s="3" t="inlineStr">
        <is>
          <t>P5</t>
        </is>
      </c>
      <c r="C30" s="3" t="inlineStr">
        <is>
          <t>empleo_renta</t>
        </is>
      </c>
      <c r="D30" s="3" t="n">
        <v>18.4203</v>
      </c>
      <c r="E30" s="3" t="n">
        <v>1</v>
      </c>
      <c r="F30" s="3" t="n">
        <v>7.15724</v>
      </c>
      <c r="G30" s="3" t="n">
        <v>-4.70611</v>
      </c>
      <c r="H30" s="3" t="n">
        <v>11.1947</v>
      </c>
      <c r="I30" s="3" t="n">
        <v>-10.7761</v>
      </c>
      <c r="J30" s="3" t="n">
        <v>22.7129</v>
      </c>
      <c r="K30" s="3" t="n">
        <v>0.203338</v>
      </c>
      <c r="L30" s="3" t="n">
        <v>3</v>
      </c>
      <c r="M30" s="3" t="n">
        <v>3</v>
      </c>
      <c r="N30" s="3" t="n">
        <v>0.13</v>
      </c>
      <c r="O30" s="3" t="inlineStr">
        <is>
          <t>-</t>
        </is>
      </c>
      <c r="P30" s="3" t="n">
        <v>1</v>
      </c>
      <c r="Q30" s="3" t="n">
        <v>0.805128</v>
      </c>
      <c r="R30" s="3" t="inlineStr">
        <is>
          <t>no</t>
        </is>
      </c>
      <c r="S30" s="3" t="inlineStr">
        <is>
          <t>svar_hd: C3s condicionada a los supuestos; dominancia y SHAP: contraste C4, nunca causal. ranking incierto (media y P(f*) discrepan); ranking incierto (P(f*) &lt; 0,5)</t>
        </is>
      </c>
      <c r="T30" s="3" t="inlineStr">
        <is>
          <t>output/v8/F5/ranking.csv</t>
        </is>
      </c>
      <c r="U30" s="4">
        <f>Votos_s9!L6</f>
        <v/>
      </c>
    </row>
    <row r="31">
      <c r="A31" s="3" t="inlineStr">
        <is>
          <t>compra</t>
        </is>
      </c>
      <c r="B31" s="3" t="inlineStr">
        <is>
          <t>P5</t>
        </is>
      </c>
      <c r="C31" s="3" t="inlineStr">
        <is>
          <t>oferta</t>
        </is>
      </c>
      <c r="D31" s="3" t="n">
        <v>18.4203</v>
      </c>
      <c r="E31" s="3" t="n">
        <v>2</v>
      </c>
      <c r="F31" s="3" t="n">
        <v>1.87093</v>
      </c>
      <c r="G31" s="3" t="n">
        <v>-3.25013</v>
      </c>
      <c r="H31" s="3" t="n">
        <v>9.02896</v>
      </c>
      <c r="I31" s="3" t="n">
        <v>-10.0527</v>
      </c>
      <c r="J31" s="3" t="n">
        <v>16.9023</v>
      </c>
      <c r="K31" s="3" t="n">
        <v>0.16939</v>
      </c>
      <c r="L31" s="3" t="n">
        <v>4</v>
      </c>
      <c r="M31" s="3" t="n">
        <v>7</v>
      </c>
      <c r="N31" s="3" t="n">
        <v>0</v>
      </c>
      <c r="O31" s="3" t="inlineStr">
        <is>
          <t>-</t>
        </is>
      </c>
      <c r="P31" s="3" t="n">
        <v>4</v>
      </c>
      <c r="Q31" s="3" t="n">
        <v>0.00512821</v>
      </c>
      <c r="R31" s="3" t="inlineStr">
        <is>
          <t>no</t>
        </is>
      </c>
      <c r="S31" s="3" t="inlineStr">
        <is>
          <t>svar_hd: C3s condicionada a los supuestos; dominancia y SHAP: contraste C4, nunca causal. ranking incierto (media y P(f*) discrepan); ranking incierto (P(f*) &lt; 0,5)</t>
        </is>
      </c>
      <c r="T31" s="3" t="inlineStr">
        <is>
          <t>output/v8/F5/ranking.csv</t>
        </is>
      </c>
      <c r="U31" s="4">
        <f>Votos_s9!L6</f>
        <v/>
      </c>
    </row>
    <row r="32">
      <c r="A32" s="3" t="inlineStr">
        <is>
          <t>compra</t>
        </is>
      </c>
      <c r="B32" s="3" t="inlineStr">
        <is>
          <t>P5</t>
        </is>
      </c>
      <c r="C32" s="3" t="inlineStr">
        <is>
          <t>factor_europeo</t>
        </is>
      </c>
      <c r="D32" s="3" t="n">
        <v>18.4203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>
        <v>1</v>
      </c>
      <c r="N32" s="3" t="n">
        <v>0.32</v>
      </c>
      <c r="O32" s="3" t="inlineStr">
        <is>
          <t>-</t>
        </is>
      </c>
      <c r="P32" s="3" t="n">
        <v>3</v>
      </c>
      <c r="Q32" s="3" t="n">
        <v>0.0615385</v>
      </c>
      <c r="R32" s="3" t="inlineStr">
        <is>
          <t>no</t>
        </is>
      </c>
      <c r="S32" s="3" t="inlineStr">
        <is>
          <t>svar_hd: C3s condicionada a los supuestos; dominancia y SHAP: contraste C4, nunca causal. ranking incierto (media y P(f*) discrepan); ranking incierto (P(f*) &lt; 0,5)</t>
        </is>
      </c>
      <c r="T32" s="3" t="inlineStr">
        <is>
          <t>output/v8/F5/ranking.csv</t>
        </is>
      </c>
      <c r="U32" s="4">
        <f>Votos_s9!L6</f>
        <v/>
      </c>
    </row>
    <row r="33">
      <c r="A33" s="3" t="inlineStr">
        <is>
          <t>compra</t>
        </is>
      </c>
      <c r="B33" s="3" t="inlineStr">
        <is>
          <t>P5</t>
        </is>
      </c>
      <c r="C33" s="3" t="inlineStr">
        <is>
          <t>turismo</t>
        </is>
      </c>
      <c r="D33" s="3" t="n">
        <v>18.4203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>
        <v>2</v>
      </c>
      <c r="N33" s="3" t="n">
        <v>0.29</v>
      </c>
      <c r="O33" s="3" t="inlineStr">
        <is>
          <t>-</t>
        </is>
      </c>
      <c r="P33" s="3" t="n"/>
      <c r="Q33" s="3" t="n"/>
      <c r="R33" s="3" t="inlineStr">
        <is>
          <t>no</t>
        </is>
      </c>
      <c r="S33" s="3" t="inlineStr">
        <is>
          <t>svar_hd: C3s condicionada a los supuestos; dominancia y SHAP: contraste C4, nunca causal. ranking incierto (media y P(f*) discrepan); ranking incierto (P(f*) &lt; 0,5)</t>
        </is>
      </c>
      <c r="T33" s="3" t="inlineStr">
        <is>
          <t>output/v8/F5/ranking.csv</t>
        </is>
      </c>
      <c r="U33" s="4">
        <f>Votos_s9!L6</f>
        <v/>
      </c>
    </row>
    <row r="34">
      <c r="A34" s="3" t="inlineStr">
        <is>
          <t>compra</t>
        </is>
      </c>
      <c r="B34" s="3" t="inlineStr">
        <is>
          <t>P5</t>
        </is>
      </c>
      <c r="C34" s="3" t="inlineStr">
        <is>
          <t>demanda_externa</t>
        </is>
      </c>
      <c r="D34" s="3" t="n">
        <v>18.4203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>
        <v>6</v>
      </c>
      <c r="N34" s="3" t="n">
        <v>0.06</v>
      </c>
      <c r="O34" s="3" t="inlineStr">
        <is>
          <t>-</t>
        </is>
      </c>
      <c r="P34" s="3" t="n"/>
      <c r="Q34" s="3" t="n"/>
      <c r="R34" s="3" t="inlineStr">
        <is>
          <t>no</t>
        </is>
      </c>
      <c r="S34" s="3" t="inlineStr">
        <is>
          <t>svar_hd: C3s condicionada a los supuestos; dominancia y SHAP: contraste C4, nunca causal. ranking incierto (media y P(f*) discrepan); ranking incierto (P(f*) &lt; 0,5)</t>
        </is>
      </c>
      <c r="T34" s="3" t="inlineStr">
        <is>
          <t>output/v8/F5/ranking.csv</t>
        </is>
      </c>
      <c r="U34" s="4">
        <f>Votos_s9!L6</f>
        <v/>
      </c>
    </row>
    <row r="35">
      <c r="A35" s="3" t="inlineStr">
        <is>
          <t>alquiler</t>
        </is>
      </c>
      <c r="B35" s="3" t="inlineStr">
        <is>
          <t>P1</t>
        </is>
      </c>
      <c r="C35" s="3" t="inlineStr">
        <is>
          <t>credito_tipos</t>
        </is>
      </c>
      <c r="D35" s="3" t="n">
        <v>4.92545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>
        <v>1</v>
      </c>
      <c r="N35" s="3" t="n">
        <v>0.68</v>
      </c>
      <c r="O35" s="3" t="inlineStr">
        <is>
          <t>-</t>
        </is>
      </c>
      <c r="P35" s="3" t="n">
        <v>2</v>
      </c>
      <c r="Q35" s="3" t="n">
        <v>0.296482</v>
      </c>
      <c r="R35" s="3" t="inlineStr">
        <is>
          <t>sí</t>
        </is>
      </c>
      <c r="S35" s="3" t="inlineStr">
        <is>
          <t>svar_hd: C3s condicionada a los supuestos; dominancia y SHAP: contraste C4, nunca causal.  Sin svar_hd en esta celda: solo contraste.</t>
        </is>
      </c>
      <c r="T35" s="3" t="inlineStr">
        <is>
          <t>output/v8/F5/ranking.csv</t>
        </is>
      </c>
      <c r="U35" s="4">
        <f>Votos_s9!L7</f>
        <v/>
      </c>
    </row>
    <row r="36">
      <c r="A36" s="3" t="inlineStr">
        <is>
          <t>alquiler</t>
        </is>
      </c>
      <c r="B36" s="3" t="inlineStr">
        <is>
          <t>P1</t>
        </is>
      </c>
      <c r="C36" s="3" t="inlineStr">
        <is>
          <t>factor_europeo</t>
        </is>
      </c>
      <c r="D36" s="3" t="n">
        <v>4.92545</v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>
        <v>2</v>
      </c>
      <c r="N36" s="3" t="n">
        <v>0.14</v>
      </c>
      <c r="O36" s="3" t="inlineStr">
        <is>
          <t>+</t>
        </is>
      </c>
      <c r="P36" s="3" t="n">
        <v>5</v>
      </c>
      <c r="Q36" s="3" t="n">
        <v>0.0251256</v>
      </c>
      <c r="R36" s="3" t="inlineStr">
        <is>
          <t>sí</t>
        </is>
      </c>
      <c r="S36" s="3" t="inlineStr">
        <is>
          <t>svar_hd: C3s condicionada a los supuestos; dominancia y SHAP: contraste C4, nunca causal.  Sin svar_hd en esta celda: solo contraste.</t>
        </is>
      </c>
      <c r="T36" s="3" t="inlineStr">
        <is>
          <t>output/v8/F5/ranking.csv</t>
        </is>
      </c>
      <c r="U36" s="4">
        <f>Votos_s9!L7</f>
        <v/>
      </c>
    </row>
    <row r="37">
      <c r="A37" s="3" t="inlineStr">
        <is>
          <t>alquiler</t>
        </is>
      </c>
      <c r="B37" s="3" t="inlineStr">
        <is>
          <t>P1</t>
        </is>
      </c>
      <c r="C37" s="3" t="inlineStr">
        <is>
          <t>empleo_renta</t>
        </is>
      </c>
      <c r="D37" s="3" t="n">
        <v>4.92545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>
        <v>3</v>
      </c>
      <c r="N37" s="3" t="n">
        <v>0.07000000000000001</v>
      </c>
      <c r="O37" s="3" t="inlineStr">
        <is>
          <t>-</t>
        </is>
      </c>
      <c r="P37" s="3" t="n">
        <v>2</v>
      </c>
      <c r="Q37" s="3" t="n">
        <v>0.231156</v>
      </c>
      <c r="R37" s="3" t="inlineStr">
        <is>
          <t>sí</t>
        </is>
      </c>
      <c r="S37" s="3" t="inlineStr">
        <is>
          <t>svar_hd: C3s condicionada a los supuestos; dominancia y SHAP: contraste C4, nunca causal.  Sin svar_hd en esta celda: solo contraste.</t>
        </is>
      </c>
      <c r="T37" s="3" t="inlineStr">
        <is>
          <t>output/v8/F5/ranking.csv</t>
        </is>
      </c>
      <c r="U37" s="4">
        <f>Votos_s9!L7</f>
        <v/>
      </c>
    </row>
    <row r="38">
      <c r="A38" s="3" t="inlineStr">
        <is>
          <t>alquiler</t>
        </is>
      </c>
      <c r="B38" s="3" t="inlineStr">
        <is>
          <t>P1</t>
        </is>
      </c>
      <c r="C38" s="3" t="inlineStr">
        <is>
          <t>oferta</t>
        </is>
      </c>
      <c r="D38" s="3" t="n">
        <v>4.92545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>
        <v>4</v>
      </c>
      <c r="N38" s="3" t="n">
        <v>0.06</v>
      </c>
      <c r="O38" s="3" t="inlineStr">
        <is>
          <t>-</t>
        </is>
      </c>
      <c r="P38" s="3" t="n">
        <v>4</v>
      </c>
      <c r="Q38" s="3" t="n">
        <v>0.0100503</v>
      </c>
      <c r="R38" s="3" t="inlineStr">
        <is>
          <t>sí</t>
        </is>
      </c>
      <c r="S38" s="3" t="inlineStr">
        <is>
          <t>svar_hd: C3s condicionada a los supuestos; dominancia y SHAP: contraste C4, nunca causal.  Sin svar_hd en esta celda: solo contraste.</t>
        </is>
      </c>
      <c r="T38" s="3" t="inlineStr">
        <is>
          <t>output/v8/F5/ranking.csv</t>
        </is>
      </c>
      <c r="U38" s="4">
        <f>Votos_s9!L7</f>
        <v/>
      </c>
    </row>
    <row r="39">
      <c r="A39" s="3" t="inlineStr">
        <is>
          <t>alquiler</t>
        </is>
      </c>
      <c r="B39" s="3" t="inlineStr">
        <is>
          <t>P1</t>
        </is>
      </c>
      <c r="C39" s="3" t="inlineStr">
        <is>
          <t>demografia</t>
        </is>
      </c>
      <c r="D39" s="3" t="n">
        <v>4.92545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>
        <v>5</v>
      </c>
      <c r="N39" s="3" t="n">
        <v>0.05</v>
      </c>
      <c r="O39" s="3" t="inlineStr">
        <is>
          <t>-</t>
        </is>
      </c>
      <c r="P39" s="3" t="n">
        <v>2</v>
      </c>
      <c r="Q39" s="3" t="n">
        <v>0.437186</v>
      </c>
      <c r="R39" s="3" t="inlineStr">
        <is>
          <t>sí</t>
        </is>
      </c>
      <c r="S39" s="3" t="inlineStr">
        <is>
          <t>svar_hd: C3s condicionada a los supuestos; dominancia y SHAP: contraste C4, nunca causal.  Sin svar_hd en esta celda: solo contraste.</t>
        </is>
      </c>
      <c r="T39" s="3" t="inlineStr">
        <is>
          <t>output/v8/F5/ranking.csv</t>
        </is>
      </c>
      <c r="U39" s="4">
        <f>Votos_s9!L7</f>
        <v/>
      </c>
    </row>
    <row r="40">
      <c r="A40" s="3" t="inlineStr">
        <is>
          <t>alquiler</t>
        </is>
      </c>
      <c r="B40" s="3" t="inlineStr">
        <is>
          <t>P2</t>
        </is>
      </c>
      <c r="C40" s="3" t="inlineStr">
        <is>
          <t>credito_tipos</t>
        </is>
      </c>
      <c r="D40" s="3" t="n">
        <v>-2.70287</v>
      </c>
      <c r="E40" s="3" t="n">
        <v>4</v>
      </c>
      <c r="F40" s="3" t="n">
        <v>-0.256492</v>
      </c>
      <c r="G40" s="3" t="n">
        <v>-2.13438</v>
      </c>
      <c r="H40" s="3" t="n">
        <v>1.46143</v>
      </c>
      <c r="I40" s="3" t="n">
        <v>-3.60475</v>
      </c>
      <c r="J40" s="3" t="n">
        <v>3.27061</v>
      </c>
      <c r="K40" s="3" t="n">
        <v>0.111814</v>
      </c>
      <c r="L40" s="3" t="n">
        <v>5</v>
      </c>
      <c r="M40" s="3" t="n">
        <v>1</v>
      </c>
      <c r="N40" s="3" t="n">
        <v>0.47</v>
      </c>
      <c r="O40" s="3" t="inlineStr">
        <is>
          <t>+</t>
        </is>
      </c>
      <c r="P40" s="3" t="n">
        <v>3</v>
      </c>
      <c r="Q40" s="3" t="n">
        <v>0.045</v>
      </c>
      <c r="R40" s="3" t="inlineStr">
        <is>
          <t>no</t>
        </is>
      </c>
      <c r="S40" s="3" t="inlineStr">
        <is>
          <t>svar_hd: C3s condicionada a los supuestos; dominancia y SHAP: contraste C4, nunca causal. ranking incierto (P(f*) &lt; 0,5)</t>
        </is>
      </c>
      <c r="T40" s="3" t="inlineStr">
        <is>
          <t>output/v8/F5/ranking.csv</t>
        </is>
      </c>
      <c r="U40" s="4">
        <f>Votos_s9!L8</f>
        <v/>
      </c>
    </row>
    <row r="41">
      <c r="A41" s="3" t="inlineStr">
        <is>
          <t>alquiler</t>
        </is>
      </c>
      <c r="B41" s="3" t="inlineStr">
        <is>
          <t>P2</t>
        </is>
      </c>
      <c r="C41" s="3" t="inlineStr">
        <is>
          <t>demanda_vivienda</t>
        </is>
      </c>
      <c r="D41" s="3" t="n">
        <v>-2.70287</v>
      </c>
      <c r="E41" s="3" t="n">
        <v>2</v>
      </c>
      <c r="F41" s="3" t="n">
        <v>0.322677</v>
      </c>
      <c r="G41" s="3" t="n">
        <v>-1.84846</v>
      </c>
      <c r="H41" s="3" t="n">
        <v>2.31858</v>
      </c>
      <c r="I41" s="3" t="n">
        <v>-3.32224</v>
      </c>
      <c r="J41" s="3" t="n">
        <v>5.04512</v>
      </c>
      <c r="K41" s="3" t="n">
        <v>0.175156</v>
      </c>
      <c r="L41" s="3" t="n">
        <v>3</v>
      </c>
      <c r="M41" s="3" t="n"/>
      <c r="N41" s="3" t="n"/>
      <c r="O41" s="3" t="n"/>
      <c r="P41" s="3" t="n"/>
      <c r="Q41" s="3" t="n"/>
      <c r="R41" s="3" t="inlineStr">
        <is>
          <t>no</t>
        </is>
      </c>
      <c r="S41" s="3" t="inlineStr">
        <is>
          <t>svar_hd: C3s condicionada a los supuestos; dominancia y SHAP: contraste C4, nunca causal. ranking incierto (P(f*) &lt; 0,5)</t>
        </is>
      </c>
      <c r="T41" s="3" t="inlineStr">
        <is>
          <t>output/v8/F5/ranking.csv</t>
        </is>
      </c>
      <c r="U41" s="4">
        <f>Votos_s9!L8</f>
        <v/>
      </c>
    </row>
    <row r="42">
      <c r="A42" s="3" t="inlineStr">
        <is>
          <t>alquiler</t>
        </is>
      </c>
      <c r="B42" s="3" t="inlineStr">
        <is>
          <t>P2</t>
        </is>
      </c>
      <c r="C42" s="3" t="inlineStr">
        <is>
          <t>demografia</t>
        </is>
      </c>
      <c r="D42" s="3" t="n">
        <v>-2.70287</v>
      </c>
      <c r="E42" s="3" t="n">
        <v>5</v>
      </c>
      <c r="F42" s="3" t="n">
        <v>-0.32773</v>
      </c>
      <c r="G42" s="3" t="n">
        <v>-2.70734</v>
      </c>
      <c r="H42" s="3" t="n">
        <v>1.85844</v>
      </c>
      <c r="I42" s="3" t="n">
        <v>-4.85592</v>
      </c>
      <c r="J42" s="3" t="n">
        <v>4.60495</v>
      </c>
      <c r="K42" s="3" t="n">
        <v>0.143583</v>
      </c>
      <c r="L42" s="3" t="n">
        <v>4</v>
      </c>
      <c r="M42" s="3" t="n">
        <v>2</v>
      </c>
      <c r="N42" s="3" t="n">
        <v>0.27</v>
      </c>
      <c r="O42" s="3" t="inlineStr">
        <is>
          <t>+</t>
        </is>
      </c>
      <c r="P42" s="3" t="n">
        <v>2</v>
      </c>
      <c r="Q42" s="3" t="n">
        <v>0.405</v>
      </c>
      <c r="R42" s="3" t="inlineStr">
        <is>
          <t>no</t>
        </is>
      </c>
      <c r="S42" s="3" t="inlineStr">
        <is>
          <t>svar_hd: C3s condicionada a los supuestos; dominancia y SHAP: contraste C4, nunca causal. ranking incierto (P(f*) &lt; 0,5)</t>
        </is>
      </c>
      <c r="T42" s="3" t="inlineStr">
        <is>
          <t>output/v8/F5/ranking.csv</t>
        </is>
      </c>
      <c r="U42" s="4">
        <f>Votos_s9!L8</f>
        <v/>
      </c>
    </row>
    <row r="43">
      <c r="A43" s="3" t="inlineStr">
        <is>
          <t>alquiler</t>
        </is>
      </c>
      <c r="B43" s="3" t="inlineStr">
        <is>
          <t>P2</t>
        </is>
      </c>
      <c r="C43" s="3" t="inlineStr">
        <is>
          <t>empleo_renta</t>
        </is>
      </c>
      <c r="D43" s="3" t="n">
        <v>-2.70287</v>
      </c>
      <c r="E43" s="3" t="n">
        <v>1</v>
      </c>
      <c r="F43" s="3" t="n">
        <v>1.66423</v>
      </c>
      <c r="G43" s="3" t="n">
        <v>-0.828869</v>
      </c>
      <c r="H43" s="3" t="n">
        <v>4.2967</v>
      </c>
      <c r="I43" s="3" t="n">
        <v>-2.67143</v>
      </c>
      <c r="J43" s="3" t="n">
        <v>6.87178</v>
      </c>
      <c r="K43" s="3" t="n">
        <v>0.388093</v>
      </c>
      <c r="L43" s="3" t="n">
        <v>1</v>
      </c>
      <c r="M43" s="3" t="n">
        <v>4</v>
      </c>
      <c r="N43" s="3" t="n">
        <v>0.1</v>
      </c>
      <c r="O43" s="3" t="inlineStr">
        <is>
          <t>-</t>
        </is>
      </c>
      <c r="P43" s="3" t="n">
        <v>1</v>
      </c>
      <c r="Q43" s="3" t="n">
        <v>0.535</v>
      </c>
      <c r="R43" s="3" t="inlineStr">
        <is>
          <t>no</t>
        </is>
      </c>
      <c r="S43" s="3" t="inlineStr">
        <is>
          <t>svar_hd: C3s condicionada a los supuestos; dominancia y SHAP: contraste C4, nunca causal. ranking incierto (P(f*) &lt; 0,5)</t>
        </is>
      </c>
      <c r="T43" s="3" t="inlineStr">
        <is>
          <t>output/v8/F5/ranking.csv</t>
        </is>
      </c>
      <c r="U43" s="4">
        <f>Votos_s9!L8</f>
        <v/>
      </c>
    </row>
    <row r="44">
      <c r="A44" s="3" t="inlineStr">
        <is>
          <t>alquiler</t>
        </is>
      </c>
      <c r="B44" s="3" t="inlineStr">
        <is>
          <t>P2</t>
        </is>
      </c>
      <c r="C44" s="3" t="inlineStr">
        <is>
          <t>oferta</t>
        </is>
      </c>
      <c r="D44" s="3" t="n">
        <v>-2.70287</v>
      </c>
      <c r="E44" s="3" t="n">
        <v>3</v>
      </c>
      <c r="F44" s="3" t="n">
        <v>0.0582198</v>
      </c>
      <c r="G44" s="3" t="n">
        <v>-1.91331</v>
      </c>
      <c r="H44" s="3" t="n">
        <v>1.96612</v>
      </c>
      <c r="I44" s="3" t="n">
        <v>-3.66702</v>
      </c>
      <c r="J44" s="3" t="n">
        <v>3.92079</v>
      </c>
      <c r="K44" s="3" t="n">
        <v>0.181355</v>
      </c>
      <c r="L44" s="3" t="n">
        <v>2</v>
      </c>
      <c r="M44" s="3" t="n">
        <v>6</v>
      </c>
      <c r="N44" s="3" t="n">
        <v>0.02</v>
      </c>
      <c r="O44" s="3" t="inlineStr">
        <is>
          <t>+</t>
        </is>
      </c>
      <c r="P44" s="3" t="n">
        <v>4</v>
      </c>
      <c r="Q44" s="3" t="n">
        <v>0</v>
      </c>
      <c r="R44" s="3" t="inlineStr">
        <is>
          <t>no</t>
        </is>
      </c>
      <c r="S44" s="3" t="inlineStr">
        <is>
          <t>svar_hd: C3s condicionada a los supuestos; dominancia y SHAP: contraste C4, nunca causal. ranking incierto (P(f*) &lt; 0,5)</t>
        </is>
      </c>
      <c r="T44" s="3" t="inlineStr">
        <is>
          <t>output/v8/F5/ranking.csv</t>
        </is>
      </c>
      <c r="U44" s="4">
        <f>Votos_s9!L8</f>
        <v/>
      </c>
    </row>
    <row r="45">
      <c r="A45" s="3" t="inlineStr">
        <is>
          <t>alquiler</t>
        </is>
      </c>
      <c r="B45" s="3" t="inlineStr">
        <is>
          <t>P2</t>
        </is>
      </c>
      <c r="C45" s="3" t="inlineStr">
        <is>
          <t>demanda_externa</t>
        </is>
      </c>
      <c r="D45" s="3" t="n">
        <v>-2.70287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>
        <v>3</v>
      </c>
      <c r="N45" s="3" t="n">
        <v>0.1</v>
      </c>
      <c r="O45" s="3" t="inlineStr">
        <is>
          <t>+</t>
        </is>
      </c>
      <c r="P45" s="3" t="n"/>
      <c r="Q45" s="3" t="n"/>
      <c r="R45" s="3" t="inlineStr">
        <is>
          <t>no</t>
        </is>
      </c>
      <c r="S45" s="3" t="inlineStr">
        <is>
          <t>svar_hd: C3s condicionada a los supuestos; dominancia y SHAP: contraste C4, nunca causal. ranking incierto (P(f*) &lt; 0,5)</t>
        </is>
      </c>
      <c r="T45" s="3" t="inlineStr">
        <is>
          <t>output/v8/F5/ranking.csv</t>
        </is>
      </c>
      <c r="U45" s="4">
        <f>Votos_s9!L8</f>
        <v/>
      </c>
    </row>
    <row r="46">
      <c r="A46" s="3" t="inlineStr">
        <is>
          <t>alquiler</t>
        </is>
      </c>
      <c r="B46" s="3" t="inlineStr">
        <is>
          <t>P2</t>
        </is>
      </c>
      <c r="C46" s="3" t="inlineStr">
        <is>
          <t>factor_europeo</t>
        </is>
      </c>
      <c r="D46" s="3" t="n">
        <v>-2.70287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>
        <v>5</v>
      </c>
      <c r="N46" s="3" t="n">
        <v>0.03</v>
      </c>
      <c r="O46" s="3" t="inlineStr">
        <is>
          <t>-</t>
        </is>
      </c>
      <c r="P46" s="3" t="n">
        <v>5</v>
      </c>
      <c r="Q46" s="3" t="n">
        <v>0.015</v>
      </c>
      <c r="R46" s="3" t="inlineStr">
        <is>
          <t>no</t>
        </is>
      </c>
      <c r="S46" s="3" t="inlineStr">
        <is>
          <t>svar_hd: C3s condicionada a los supuestos; dominancia y SHAP: contraste C4, nunca causal. ranking incierto (P(f*) &lt; 0,5)</t>
        </is>
      </c>
      <c r="T46" s="3" t="inlineStr">
        <is>
          <t>output/v8/F5/ranking.csv</t>
        </is>
      </c>
      <c r="U46" s="4">
        <f>Votos_s9!L8</f>
        <v/>
      </c>
    </row>
    <row r="47">
      <c r="A47" s="3" t="inlineStr">
        <is>
          <t>alquiler</t>
        </is>
      </c>
      <c r="B47" s="3" t="inlineStr">
        <is>
          <t>P3</t>
        </is>
      </c>
      <c r="C47" s="3" t="inlineStr">
        <is>
          <t>credito_tipos</t>
        </is>
      </c>
      <c r="D47" s="3" t="n">
        <v>-1.05934</v>
      </c>
      <c r="E47" s="3" t="n">
        <v>2</v>
      </c>
      <c r="F47" s="3" t="n">
        <v>-0.236546</v>
      </c>
      <c r="G47" s="3" t="n">
        <v>-2.67511</v>
      </c>
      <c r="H47" s="3" t="n">
        <v>1.73676</v>
      </c>
      <c r="I47" s="3" t="n">
        <v>-4.76226</v>
      </c>
      <c r="J47" s="3" t="n">
        <v>3.61419</v>
      </c>
      <c r="K47" s="3" t="n">
        <v>0.220116</v>
      </c>
      <c r="L47" s="3" t="n">
        <v>2</v>
      </c>
      <c r="M47" s="3" t="n">
        <v>1</v>
      </c>
      <c r="N47" s="3" t="n">
        <v>0.58</v>
      </c>
      <c r="O47" s="3" t="inlineStr">
        <is>
          <t>+</t>
        </is>
      </c>
      <c r="P47" s="3" t="n">
        <v>4</v>
      </c>
      <c r="Q47" s="3" t="n">
        <v>0.05</v>
      </c>
      <c r="R47" s="3" t="inlineStr">
        <is>
          <t>no</t>
        </is>
      </c>
      <c r="S47" s="3" t="inlineStr">
        <is>
          <t>svar_hd: C3s condicionada a los supuestos; dominancia y SHAP: contraste C4, nunca causal. ranking incierto (P(f*) &lt; 0,5)</t>
        </is>
      </c>
      <c r="T47" s="3" t="inlineStr">
        <is>
          <t>output/v8/F5/ranking.csv</t>
        </is>
      </c>
      <c r="U47" s="4">
        <f>Votos_s9!L9</f>
        <v/>
      </c>
    </row>
    <row r="48">
      <c r="A48" s="3" t="inlineStr">
        <is>
          <t>alquiler</t>
        </is>
      </c>
      <c r="B48" s="3" t="inlineStr">
        <is>
          <t>P3</t>
        </is>
      </c>
      <c r="C48" s="3" t="inlineStr">
        <is>
          <t>demanda_vivienda</t>
        </is>
      </c>
      <c r="D48" s="3" t="n">
        <v>-1.05934</v>
      </c>
      <c r="E48" s="3" t="n">
        <v>3</v>
      </c>
      <c r="F48" s="3" t="n">
        <v>-0.664649</v>
      </c>
      <c r="G48" s="3" t="n">
        <v>-2.90177</v>
      </c>
      <c r="H48" s="3" t="n">
        <v>1.35807</v>
      </c>
      <c r="I48" s="3" t="n">
        <v>-5.4391</v>
      </c>
      <c r="J48" s="3" t="n">
        <v>3.28344</v>
      </c>
      <c r="K48" s="3" t="n">
        <v>0.150141</v>
      </c>
      <c r="L48" s="3" t="n">
        <v>4</v>
      </c>
      <c r="M48" s="3" t="n"/>
      <c r="N48" s="3" t="n"/>
      <c r="O48" s="3" t="n"/>
      <c r="P48" s="3" t="n"/>
      <c r="Q48" s="3" t="n"/>
      <c r="R48" s="3" t="inlineStr">
        <is>
          <t>no</t>
        </is>
      </c>
      <c r="S48" s="3" t="inlineStr">
        <is>
          <t>svar_hd: C3s condicionada a los supuestos; dominancia y SHAP: contraste C4, nunca causal. ranking incierto (P(f*) &lt; 0,5)</t>
        </is>
      </c>
      <c r="T48" s="3" t="inlineStr">
        <is>
          <t>output/v8/F5/ranking.csv</t>
        </is>
      </c>
      <c r="U48" s="4">
        <f>Votos_s9!L9</f>
        <v/>
      </c>
    </row>
    <row r="49">
      <c r="A49" s="3" t="inlineStr">
        <is>
          <t>alquiler</t>
        </is>
      </c>
      <c r="B49" s="3" t="inlineStr">
        <is>
          <t>P3</t>
        </is>
      </c>
      <c r="C49" s="3" t="inlineStr">
        <is>
          <t>demografia</t>
        </is>
      </c>
      <c r="D49" s="3" t="n">
        <v>-1.05934</v>
      </c>
      <c r="E49" s="3" t="n">
        <v>1</v>
      </c>
      <c r="F49" s="3" t="n">
        <v>0.00369706</v>
      </c>
      <c r="G49" s="3" t="n">
        <v>-2.7423</v>
      </c>
      <c r="H49" s="3" t="n">
        <v>2.94812</v>
      </c>
      <c r="I49" s="3" t="n">
        <v>-5.4995</v>
      </c>
      <c r="J49" s="3" t="n">
        <v>5.51631</v>
      </c>
      <c r="K49" s="3" t="n">
        <v>0.325824</v>
      </c>
      <c r="L49" s="3" t="n">
        <v>1</v>
      </c>
      <c r="M49" s="3" t="n">
        <v>2</v>
      </c>
      <c r="N49" s="3" t="n">
        <v>0.22</v>
      </c>
      <c r="O49" s="3" t="inlineStr">
        <is>
          <t>+</t>
        </is>
      </c>
      <c r="P49" s="3" t="n">
        <v>2</v>
      </c>
      <c r="Q49" s="3" t="n">
        <v>0.27</v>
      </c>
      <c r="R49" s="3" t="inlineStr">
        <is>
          <t>no</t>
        </is>
      </c>
      <c r="S49" s="3" t="inlineStr">
        <is>
          <t>svar_hd: C3s condicionada a los supuestos; dominancia y SHAP: contraste C4, nunca causal. ranking incierto (P(f*) &lt; 0,5)</t>
        </is>
      </c>
      <c r="T49" s="3" t="inlineStr">
        <is>
          <t>output/v8/F5/ranking.csv</t>
        </is>
      </c>
      <c r="U49" s="4">
        <f>Votos_s9!L9</f>
        <v/>
      </c>
    </row>
    <row r="50">
      <c r="A50" s="3" t="inlineStr">
        <is>
          <t>alquiler</t>
        </is>
      </c>
      <c r="B50" s="3" t="inlineStr">
        <is>
          <t>P3</t>
        </is>
      </c>
      <c r="C50" s="3" t="inlineStr">
        <is>
          <t>empleo_renta</t>
        </is>
      </c>
      <c r="D50" s="3" t="n">
        <v>-1.05934</v>
      </c>
      <c r="E50" s="3" t="n">
        <v>5</v>
      </c>
      <c r="F50" s="3" t="n">
        <v>-1.73311</v>
      </c>
      <c r="G50" s="3" t="n">
        <v>-4.79832</v>
      </c>
      <c r="H50" s="3" t="n">
        <v>1.12179</v>
      </c>
      <c r="I50" s="3" t="n">
        <v>-8.007860000000001</v>
      </c>
      <c r="J50" s="3" t="n">
        <v>3.59785</v>
      </c>
      <c r="K50" s="3" t="n">
        <v>0.147358</v>
      </c>
      <c r="L50" s="3" t="n">
        <v>5</v>
      </c>
      <c r="M50" s="3" t="n">
        <v>6</v>
      </c>
      <c r="N50" s="3" t="n">
        <v>0.01</v>
      </c>
      <c r="O50" s="3" t="inlineStr">
        <is>
          <t>+</t>
        </is>
      </c>
      <c r="P50" s="3" t="n">
        <v>1</v>
      </c>
      <c r="Q50" s="3" t="n">
        <v>0.65</v>
      </c>
      <c r="R50" s="3" t="inlineStr">
        <is>
          <t>no</t>
        </is>
      </c>
      <c r="S50" s="3" t="inlineStr">
        <is>
          <t>svar_hd: C3s condicionada a los supuestos; dominancia y SHAP: contraste C4, nunca causal. ranking incierto (P(f*) &lt; 0,5)</t>
        </is>
      </c>
      <c r="T50" s="3" t="inlineStr">
        <is>
          <t>output/v8/F5/ranking.csv</t>
        </is>
      </c>
      <c r="U50" s="4">
        <f>Votos_s9!L9</f>
        <v/>
      </c>
    </row>
    <row r="51">
      <c r="A51" s="3" t="inlineStr">
        <is>
          <t>alquiler</t>
        </is>
      </c>
      <c r="B51" s="3" t="inlineStr">
        <is>
          <t>P3</t>
        </is>
      </c>
      <c r="C51" s="3" t="inlineStr">
        <is>
          <t>oferta</t>
        </is>
      </c>
      <c r="D51" s="3" t="n">
        <v>-1.05934</v>
      </c>
      <c r="E51" s="3" t="n">
        <v>4</v>
      </c>
      <c r="F51" s="3" t="n">
        <v>-0.871418</v>
      </c>
      <c r="G51" s="3" t="n">
        <v>-3.22046</v>
      </c>
      <c r="H51" s="3" t="n">
        <v>1.08042</v>
      </c>
      <c r="I51" s="3" t="n">
        <v>-5.95354</v>
      </c>
      <c r="J51" s="3" t="n">
        <v>2.77199</v>
      </c>
      <c r="K51" s="3" t="n">
        <v>0.156562</v>
      </c>
      <c r="L51" s="3" t="n">
        <v>3</v>
      </c>
      <c r="M51" s="3" t="n">
        <v>5</v>
      </c>
      <c r="N51" s="3" t="n">
        <v>0.05</v>
      </c>
      <c r="O51" s="3" t="inlineStr">
        <is>
          <t>+</t>
        </is>
      </c>
      <c r="P51" s="3" t="n">
        <v>3</v>
      </c>
      <c r="Q51" s="3" t="n">
        <v>0.015</v>
      </c>
      <c r="R51" s="3" t="inlineStr">
        <is>
          <t>no</t>
        </is>
      </c>
      <c r="S51" s="3" t="inlineStr">
        <is>
          <t>svar_hd: C3s condicionada a los supuestos; dominancia y SHAP: contraste C4, nunca causal. ranking incierto (P(f*) &lt; 0,5)</t>
        </is>
      </c>
      <c r="T51" s="3" t="inlineStr">
        <is>
          <t>output/v8/F5/ranking.csv</t>
        </is>
      </c>
      <c r="U51" s="4">
        <f>Votos_s9!L9</f>
        <v/>
      </c>
    </row>
    <row r="52">
      <c r="A52" s="3" t="inlineStr">
        <is>
          <t>alquiler</t>
        </is>
      </c>
      <c r="B52" s="3" t="inlineStr">
        <is>
          <t>P3</t>
        </is>
      </c>
      <c r="C52" s="3" t="inlineStr">
        <is>
          <t>demanda_externa</t>
        </is>
      </c>
      <c r="D52" s="3" t="n">
        <v>-1.05934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>
        <v>3</v>
      </c>
      <c r="N52" s="3" t="n">
        <v>0.08</v>
      </c>
      <c r="O52" s="3" t="inlineStr">
        <is>
          <t>-</t>
        </is>
      </c>
      <c r="P52" s="3" t="n"/>
      <c r="Q52" s="3" t="n"/>
      <c r="R52" s="3" t="inlineStr">
        <is>
          <t>no</t>
        </is>
      </c>
      <c r="S52" s="3" t="inlineStr">
        <is>
          <t>svar_hd: C3s condicionada a los supuestos; dominancia y SHAP: contraste C4, nunca causal. ranking incierto (P(f*) &lt; 0,5)</t>
        </is>
      </c>
      <c r="T52" s="3" t="inlineStr">
        <is>
          <t>output/v8/F5/ranking.csv</t>
        </is>
      </c>
      <c r="U52" s="4">
        <f>Votos_s9!L9</f>
        <v/>
      </c>
    </row>
    <row r="53">
      <c r="A53" s="3" t="inlineStr">
        <is>
          <t>alquiler</t>
        </is>
      </c>
      <c r="B53" s="3" t="inlineStr">
        <is>
          <t>P3</t>
        </is>
      </c>
      <c r="C53" s="3" t="inlineStr">
        <is>
          <t>factor_europeo</t>
        </is>
      </c>
      <c r="D53" s="3" t="n">
        <v>-1.05934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>
        <v>4</v>
      </c>
      <c r="N53" s="3" t="n">
        <v>0.06</v>
      </c>
      <c r="O53" s="3" t="inlineStr">
        <is>
          <t>+</t>
        </is>
      </c>
      <c r="P53" s="3" t="n">
        <v>5</v>
      </c>
      <c r="Q53" s="3" t="n">
        <v>0.015</v>
      </c>
      <c r="R53" s="3" t="inlineStr">
        <is>
          <t>no</t>
        </is>
      </c>
      <c r="S53" s="3" t="inlineStr">
        <is>
          <t>svar_hd: C3s condicionada a los supuestos; dominancia y SHAP: contraste C4, nunca causal. ranking incierto (P(f*) &lt; 0,5)</t>
        </is>
      </c>
      <c r="T53" s="3" t="inlineStr">
        <is>
          <t>output/v8/F5/ranking.csv</t>
        </is>
      </c>
      <c r="U53" s="4">
        <f>Votos_s9!L9</f>
        <v/>
      </c>
    </row>
    <row r="54">
      <c r="A54" s="3" t="inlineStr">
        <is>
          <t>alquiler</t>
        </is>
      </c>
      <c r="B54" s="3" t="inlineStr">
        <is>
          <t>P4</t>
        </is>
      </c>
      <c r="C54" s="3" t="inlineStr">
        <is>
          <t>credito_tipos</t>
        </is>
      </c>
      <c r="D54" s="3" t="n">
        <v>-9.34309</v>
      </c>
      <c r="E54" s="3" t="n">
        <v>3</v>
      </c>
      <c r="F54" s="3" t="n">
        <v>1.45148</v>
      </c>
      <c r="G54" s="3" t="n">
        <v>-0.304975</v>
      </c>
      <c r="H54" s="3" t="n">
        <v>3.18121</v>
      </c>
      <c r="I54" s="3" t="n">
        <v>-1.07221</v>
      </c>
      <c r="J54" s="3" t="n">
        <v>5.16332</v>
      </c>
      <c r="K54" s="3" t="n">
        <v>0.230159</v>
      </c>
      <c r="L54" s="3" t="n">
        <v>2</v>
      </c>
      <c r="M54" s="3" t="n">
        <v>1</v>
      </c>
      <c r="N54" s="3" t="n">
        <v>0.7</v>
      </c>
      <c r="O54" s="3" t="inlineStr">
        <is>
          <t>-</t>
        </is>
      </c>
      <c r="P54" s="3" t="n">
        <v>4</v>
      </c>
      <c r="Q54" s="3" t="n">
        <v>0.0205128</v>
      </c>
      <c r="R54" s="3" t="inlineStr">
        <is>
          <t>sí</t>
        </is>
      </c>
      <c r="S54" s="3" t="inlineStr">
        <is>
          <t>svar_hd: C3s condicionada a los supuestos; dominancia y SHAP: contraste C4, nunca causal. ranking incierto (media y P(f*) discrepan); ranking incierto (P(f*) &lt; 0,5)</t>
        </is>
      </c>
      <c r="T54" s="3" t="inlineStr">
        <is>
          <t>output/v8/F5/ranking.csv</t>
        </is>
      </c>
      <c r="U54" s="4">
        <f>Votos_s9!L10</f>
        <v/>
      </c>
    </row>
    <row r="55">
      <c r="A55" s="3" t="inlineStr">
        <is>
          <t>alquiler</t>
        </is>
      </c>
      <c r="B55" s="3" t="inlineStr">
        <is>
          <t>P4</t>
        </is>
      </c>
      <c r="C55" s="3" t="inlineStr">
        <is>
          <t>demanda_vivienda</t>
        </is>
      </c>
      <c r="D55" s="3" t="n">
        <v>-9.34309</v>
      </c>
      <c r="E55" s="3" t="n">
        <v>2</v>
      </c>
      <c r="F55" s="3" t="n">
        <v>1.57472</v>
      </c>
      <c r="G55" s="3" t="n">
        <v>-0.12356</v>
      </c>
      <c r="H55" s="3" t="n">
        <v>3.24114</v>
      </c>
      <c r="I55" s="3" t="n">
        <v>-0.860196</v>
      </c>
      <c r="J55" s="3" t="n">
        <v>5.10846</v>
      </c>
      <c r="K55" s="3" t="n">
        <v>0.244831</v>
      </c>
      <c r="L55" s="3" t="n">
        <v>1</v>
      </c>
      <c r="M55" s="3" t="n"/>
      <c r="N55" s="3" t="n"/>
      <c r="O55" s="3" t="n"/>
      <c r="P55" s="3" t="n"/>
      <c r="Q55" s="3" t="n"/>
      <c r="R55" s="3" t="inlineStr">
        <is>
          <t>sí</t>
        </is>
      </c>
      <c r="S55" s="3" t="inlineStr">
        <is>
          <t>svar_hd: C3s condicionada a los supuestos; dominancia y SHAP: contraste C4, nunca causal. ranking incierto (media y P(f*) discrepan); ranking incierto (P(f*) &lt; 0,5)</t>
        </is>
      </c>
      <c r="T55" s="3" t="inlineStr">
        <is>
          <t>output/v8/F5/ranking.csv</t>
        </is>
      </c>
      <c r="U55" s="4">
        <f>Votos_s9!L10</f>
        <v/>
      </c>
    </row>
    <row r="56">
      <c r="A56" s="3" t="inlineStr">
        <is>
          <t>alquiler</t>
        </is>
      </c>
      <c r="B56" s="3" t="inlineStr">
        <is>
          <t>P4</t>
        </is>
      </c>
      <c r="C56" s="3" t="inlineStr">
        <is>
          <t>demografia</t>
        </is>
      </c>
      <c r="D56" s="3" t="n">
        <v>-9.34309</v>
      </c>
      <c r="E56" s="3" t="n">
        <v>5</v>
      </c>
      <c r="F56" s="3" t="n">
        <v>0.7374540000000001</v>
      </c>
      <c r="G56" s="3" t="n">
        <v>-0.653901</v>
      </c>
      <c r="H56" s="3" t="n">
        <v>2.32453</v>
      </c>
      <c r="I56" s="3" t="n">
        <v>-1.86846</v>
      </c>
      <c r="J56" s="3" t="n">
        <v>4.1289</v>
      </c>
      <c r="K56" s="3" t="n">
        <v>0.128168</v>
      </c>
      <c r="L56" s="3" t="n">
        <v>5</v>
      </c>
      <c r="M56" s="3" t="n">
        <v>3</v>
      </c>
      <c r="N56" s="3" t="n">
        <v>0.05</v>
      </c>
      <c r="O56" s="3" t="inlineStr">
        <is>
          <t>+</t>
        </is>
      </c>
      <c r="P56" s="3" t="n">
        <v>2</v>
      </c>
      <c r="Q56" s="3" t="n">
        <v>0.215385</v>
      </c>
      <c r="R56" s="3" t="inlineStr">
        <is>
          <t>sí</t>
        </is>
      </c>
      <c r="S56" s="3" t="inlineStr">
        <is>
          <t>svar_hd: C3s condicionada a los supuestos; dominancia y SHAP: contraste C4, nunca causal. ranking incierto (media y P(f*) discrepan); ranking incierto (P(f*) &lt; 0,5)</t>
        </is>
      </c>
      <c r="T56" s="3" t="inlineStr">
        <is>
          <t>output/v8/F5/ranking.csv</t>
        </is>
      </c>
      <c r="U56" s="4">
        <f>Votos_s9!L10</f>
        <v/>
      </c>
    </row>
    <row r="57">
      <c r="A57" s="3" t="inlineStr">
        <is>
          <t>alquiler</t>
        </is>
      </c>
      <c r="B57" s="3" t="inlineStr">
        <is>
          <t>P4</t>
        </is>
      </c>
      <c r="C57" s="3" t="inlineStr">
        <is>
          <t>empleo_renta</t>
        </is>
      </c>
      <c r="D57" s="3" t="n">
        <v>-9.34309</v>
      </c>
      <c r="E57" s="3" t="n">
        <v>4</v>
      </c>
      <c r="F57" s="3" t="n">
        <v>0.810733</v>
      </c>
      <c r="G57" s="3" t="n">
        <v>-0.641337</v>
      </c>
      <c r="H57" s="3" t="n">
        <v>2.83154</v>
      </c>
      <c r="I57" s="3" t="n">
        <v>-1.61318</v>
      </c>
      <c r="J57" s="3" t="n">
        <v>4.24928</v>
      </c>
      <c r="K57" s="3" t="n">
        <v>0.170004</v>
      </c>
      <c r="L57" s="3" t="n">
        <v>4</v>
      </c>
      <c r="M57" s="3" t="n">
        <v>2</v>
      </c>
      <c r="N57" s="3" t="n">
        <v>0.25</v>
      </c>
      <c r="O57" s="3" t="inlineStr">
        <is>
          <t>-</t>
        </is>
      </c>
      <c r="P57" s="3" t="n">
        <v>1</v>
      </c>
      <c r="Q57" s="3" t="n">
        <v>0.702564</v>
      </c>
      <c r="R57" s="3" t="inlineStr">
        <is>
          <t>sí</t>
        </is>
      </c>
      <c r="S57" s="3" t="inlineStr">
        <is>
          <t>svar_hd: C3s condicionada a los supuestos; dominancia y SHAP: contraste C4, nunca causal. ranking incierto (media y P(f*) discrepan); ranking incierto (P(f*) &lt; 0,5)</t>
        </is>
      </c>
      <c r="T57" s="3" t="inlineStr">
        <is>
          <t>output/v8/F5/ranking.csv</t>
        </is>
      </c>
      <c r="U57" s="4">
        <f>Votos_s9!L10</f>
        <v/>
      </c>
    </row>
    <row r="58">
      <c r="A58" s="3" t="inlineStr">
        <is>
          <t>alquiler</t>
        </is>
      </c>
      <c r="B58" s="3" t="inlineStr">
        <is>
          <t>P4</t>
        </is>
      </c>
      <c r="C58" s="3" t="inlineStr">
        <is>
          <t>oferta</t>
        </is>
      </c>
      <c r="D58" s="3" t="n">
        <v>-9.34309</v>
      </c>
      <c r="E58" s="3" t="n">
        <v>1</v>
      </c>
      <c r="F58" s="3" t="n">
        <v>1.60744</v>
      </c>
      <c r="G58" s="3" t="n">
        <v>-0.103771</v>
      </c>
      <c r="H58" s="3" t="n">
        <v>3.57098</v>
      </c>
      <c r="I58" s="3" t="n">
        <v>-0.798864</v>
      </c>
      <c r="J58" s="3" t="n">
        <v>5.25663</v>
      </c>
      <c r="K58" s="3" t="n">
        <v>0.226838</v>
      </c>
      <c r="L58" s="3" t="n">
        <v>3</v>
      </c>
      <c r="M58" s="3" t="n"/>
      <c r="N58" s="3" t="n"/>
      <c r="O58" s="3" t="n"/>
      <c r="P58" s="3" t="n">
        <v>3</v>
      </c>
      <c r="Q58" s="3" t="n">
        <v>0.0410256</v>
      </c>
      <c r="R58" s="3" t="inlineStr">
        <is>
          <t>sí</t>
        </is>
      </c>
      <c r="S58" s="3" t="inlineStr">
        <is>
          <t>svar_hd: C3s condicionada a los supuestos; dominancia y SHAP: contraste C4, nunca causal. ranking incierto (media y P(f*) discrepan); ranking incierto (P(f*) &lt; 0,5)</t>
        </is>
      </c>
      <c r="T58" s="3" t="inlineStr">
        <is>
          <t>output/v8/F5/ranking.csv</t>
        </is>
      </c>
      <c r="U58" s="4">
        <f>Votos_s9!L10</f>
        <v/>
      </c>
    </row>
    <row r="59">
      <c r="A59" s="3" t="inlineStr">
        <is>
          <t>alquiler</t>
        </is>
      </c>
      <c r="B59" s="3" t="inlineStr">
        <is>
          <t>P4</t>
        </is>
      </c>
      <c r="C59" s="3" t="inlineStr">
        <is>
          <t>factor_europeo</t>
        </is>
      </c>
      <c r="D59" s="3" t="n">
        <v>-9.34309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>
        <v>5</v>
      </c>
      <c r="Q59" s="3" t="n">
        <v>0.0205128</v>
      </c>
      <c r="R59" s="3" t="inlineStr">
        <is>
          <t>sí</t>
        </is>
      </c>
      <c r="S59" s="3" t="inlineStr">
        <is>
          <t>svar_hd: C3s condicionada a los supuestos; dominancia y SHAP: contraste C4, nunca causal. ranking incierto (media y P(f*) discrepan); ranking incierto (P(f*) &lt; 0,5)</t>
        </is>
      </c>
      <c r="T59" s="3" t="inlineStr">
        <is>
          <t>output/v8/F5/ranking.csv</t>
        </is>
      </c>
      <c r="U59" s="4">
        <f>Votos_s9!L10</f>
        <v/>
      </c>
    </row>
    <row r="60">
      <c r="A60" s="3" t="inlineStr">
        <is>
          <t>alquiler</t>
        </is>
      </c>
      <c r="B60" s="3" t="inlineStr">
        <is>
          <t>P5</t>
        </is>
      </c>
      <c r="C60" s="3" t="inlineStr">
        <is>
          <t>credito_tipos</t>
        </is>
      </c>
      <c r="D60" s="3" t="n">
        <v>-1.84566</v>
      </c>
      <c r="E60" s="3" t="n">
        <v>1</v>
      </c>
      <c r="F60" s="3" t="n">
        <v>0.501669</v>
      </c>
      <c r="G60" s="3" t="n">
        <v>-2.34347</v>
      </c>
      <c r="H60" s="3" t="n">
        <v>2.57326</v>
      </c>
      <c r="I60" s="3" t="n">
        <v>-4.27741</v>
      </c>
      <c r="J60" s="3" t="n">
        <v>4.33116</v>
      </c>
      <c r="K60" s="3" t="n">
        <v>0.257239</v>
      </c>
      <c r="L60" s="3" t="n">
        <v>1</v>
      </c>
      <c r="M60" s="3" t="n">
        <v>1</v>
      </c>
      <c r="N60" s="3" t="n">
        <v>0.31</v>
      </c>
      <c r="O60" s="3" t="inlineStr">
        <is>
          <t>-</t>
        </is>
      </c>
      <c r="P60" s="3" t="n">
        <v>2</v>
      </c>
      <c r="Q60" s="3" t="n">
        <v>0.192893</v>
      </c>
      <c r="R60" s="3" t="inlineStr">
        <is>
          <t>no</t>
        </is>
      </c>
      <c r="S60" s="3" t="inlineStr">
        <is>
          <t>svar_hd: C3s condicionada a los supuestos; dominancia y SHAP: contraste C4, nunca causal. ranking incierto (P(f*) &lt; 0,5)</t>
        </is>
      </c>
      <c r="T60" s="3" t="inlineStr">
        <is>
          <t>output/v8/F5/ranking.csv</t>
        </is>
      </c>
      <c r="U60" s="4">
        <f>Votos_s9!L11</f>
        <v/>
      </c>
    </row>
    <row r="61">
      <c r="A61" s="3" t="inlineStr">
        <is>
          <t>alquiler</t>
        </is>
      </c>
      <c r="B61" s="3" t="inlineStr">
        <is>
          <t>P5</t>
        </is>
      </c>
      <c r="C61" s="3" t="inlineStr">
        <is>
          <t>demanda_vivienda</t>
        </is>
      </c>
      <c r="D61" s="3" t="n">
        <v>-1.84566</v>
      </c>
      <c r="E61" s="3" t="n">
        <v>2</v>
      </c>
      <c r="F61" s="3" t="n">
        <v>0.298746</v>
      </c>
      <c r="G61" s="3" t="n">
        <v>-1.99287</v>
      </c>
      <c r="H61" s="3" t="n">
        <v>2.01307</v>
      </c>
      <c r="I61" s="3" t="n">
        <v>-4.10841</v>
      </c>
      <c r="J61" s="3" t="n">
        <v>4.28596</v>
      </c>
      <c r="K61" s="3" t="n">
        <v>0.21712</v>
      </c>
      <c r="L61" s="3" t="n">
        <v>2</v>
      </c>
      <c r="M61" s="3" t="n"/>
      <c r="N61" s="3" t="n"/>
      <c r="O61" s="3" t="n"/>
      <c r="P61" s="3" t="n"/>
      <c r="Q61" s="3" t="n"/>
      <c r="R61" s="3" t="inlineStr">
        <is>
          <t>no</t>
        </is>
      </c>
      <c r="S61" s="3" t="inlineStr">
        <is>
          <t>svar_hd: C3s condicionada a los supuestos; dominancia y SHAP: contraste C4, nunca causal. ranking incierto (P(f*) &lt; 0,5)</t>
        </is>
      </c>
      <c r="T61" s="3" t="inlineStr">
        <is>
          <t>output/v8/F5/ranking.csv</t>
        </is>
      </c>
      <c r="U61" s="4">
        <f>Votos_s9!L11</f>
        <v/>
      </c>
    </row>
    <row r="62">
      <c r="A62" s="3" t="inlineStr">
        <is>
          <t>alquiler</t>
        </is>
      </c>
      <c r="B62" s="3" t="inlineStr">
        <is>
          <t>P5</t>
        </is>
      </c>
      <c r="C62" s="3" t="inlineStr">
        <is>
          <t>demografia</t>
        </is>
      </c>
      <c r="D62" s="3" t="n">
        <v>-1.84566</v>
      </c>
      <c r="E62" s="3" t="n">
        <v>3</v>
      </c>
      <c r="F62" s="3" t="n">
        <v>-0.0739278</v>
      </c>
      <c r="G62" s="3" t="n">
        <v>-2.13245</v>
      </c>
      <c r="H62" s="3" t="n">
        <v>1.91917</v>
      </c>
      <c r="I62" s="3" t="n">
        <v>-4.10015</v>
      </c>
      <c r="J62" s="3" t="n">
        <v>3.73809</v>
      </c>
      <c r="K62" s="3" t="n">
        <v>0.174054</v>
      </c>
      <c r="L62" s="3" t="n">
        <v>4</v>
      </c>
      <c r="M62" s="3" t="n">
        <v>6</v>
      </c>
      <c r="N62" s="3" t="n">
        <v>0.03</v>
      </c>
      <c r="O62" s="3" t="inlineStr">
        <is>
          <t>+</t>
        </is>
      </c>
      <c r="P62" s="3" t="n">
        <v>4</v>
      </c>
      <c r="Q62" s="3" t="n">
        <v>0.0609137</v>
      </c>
      <c r="R62" s="3" t="inlineStr">
        <is>
          <t>no</t>
        </is>
      </c>
      <c r="S62" s="3" t="inlineStr">
        <is>
          <t>svar_hd: C3s condicionada a los supuestos; dominancia y SHAP: contraste C4, nunca causal. ranking incierto (P(f*) &lt; 0,5)</t>
        </is>
      </c>
      <c r="T62" s="3" t="inlineStr">
        <is>
          <t>output/v8/F5/ranking.csv</t>
        </is>
      </c>
      <c r="U62" s="4">
        <f>Votos_s9!L11</f>
        <v/>
      </c>
    </row>
    <row r="63">
      <c r="A63" s="3" t="inlineStr">
        <is>
          <t>alquiler</t>
        </is>
      </c>
      <c r="B63" s="3" t="inlineStr">
        <is>
          <t>P5</t>
        </is>
      </c>
      <c r="C63" s="3" t="inlineStr">
        <is>
          <t>empleo_renta</t>
        </is>
      </c>
      <c r="D63" s="3" t="n">
        <v>-1.84566</v>
      </c>
      <c r="E63" s="3" t="n">
        <v>5</v>
      </c>
      <c r="F63" s="3" t="n">
        <v>-0.471616</v>
      </c>
      <c r="G63" s="3" t="n">
        <v>-2.10312</v>
      </c>
      <c r="H63" s="3" t="n">
        <v>1.87245</v>
      </c>
      <c r="I63" s="3" t="n">
        <v>-3.90377</v>
      </c>
      <c r="J63" s="3" t="n">
        <v>3.41242</v>
      </c>
      <c r="K63" s="3" t="n">
        <v>0.179128</v>
      </c>
      <c r="L63" s="3" t="n">
        <v>3</v>
      </c>
      <c r="M63" s="3" t="n">
        <v>3</v>
      </c>
      <c r="N63" s="3" t="n">
        <v>0.18</v>
      </c>
      <c r="O63" s="3" t="inlineStr">
        <is>
          <t>-</t>
        </is>
      </c>
      <c r="P63" s="3" t="n">
        <v>1</v>
      </c>
      <c r="Q63" s="3" t="n">
        <v>0.685279</v>
      </c>
      <c r="R63" s="3" t="inlineStr">
        <is>
          <t>no</t>
        </is>
      </c>
      <c r="S63" s="3" t="inlineStr">
        <is>
          <t>svar_hd: C3s condicionada a los supuestos; dominancia y SHAP: contraste C4, nunca causal. ranking incierto (P(f*) &lt; 0,5)</t>
        </is>
      </c>
      <c r="T63" s="3" t="inlineStr">
        <is>
          <t>output/v8/F5/ranking.csv</t>
        </is>
      </c>
      <c r="U63" s="4">
        <f>Votos_s9!L11</f>
        <v/>
      </c>
    </row>
    <row r="64">
      <c r="A64" s="3" t="inlineStr">
        <is>
          <t>alquiler</t>
        </is>
      </c>
      <c r="B64" s="3" t="inlineStr">
        <is>
          <t>P5</t>
        </is>
      </c>
      <c r="C64" s="3" t="inlineStr">
        <is>
          <t>oferta</t>
        </is>
      </c>
      <c r="D64" s="3" t="n">
        <v>-1.84566</v>
      </c>
      <c r="E64" s="3" t="n">
        <v>4</v>
      </c>
      <c r="F64" s="3" t="n">
        <v>-0.365414</v>
      </c>
      <c r="G64" s="3" t="n">
        <v>-2.59775</v>
      </c>
      <c r="H64" s="3" t="n">
        <v>1.75133</v>
      </c>
      <c r="I64" s="3" t="n">
        <v>-4.56606</v>
      </c>
      <c r="J64" s="3" t="n">
        <v>3.38467</v>
      </c>
      <c r="K64" s="3" t="n">
        <v>0.172459</v>
      </c>
      <c r="L64" s="3" t="n">
        <v>5</v>
      </c>
      <c r="M64" s="3" t="n">
        <v>7</v>
      </c>
      <c r="N64" s="3" t="n">
        <v>0.02</v>
      </c>
      <c r="O64" s="3" t="inlineStr">
        <is>
          <t>+</t>
        </is>
      </c>
      <c r="P64" s="3" t="n">
        <v>3</v>
      </c>
      <c r="Q64" s="3" t="n">
        <v>0.0304569</v>
      </c>
      <c r="R64" s="3" t="inlineStr">
        <is>
          <t>no</t>
        </is>
      </c>
      <c r="S64" s="3" t="inlineStr">
        <is>
          <t>svar_hd: C3s condicionada a los supuestos; dominancia y SHAP: contraste C4, nunca causal. ranking incierto (P(f*) &lt; 0,5)</t>
        </is>
      </c>
      <c r="T64" s="3" t="inlineStr">
        <is>
          <t>output/v8/F5/ranking.csv</t>
        </is>
      </c>
      <c r="U64" s="4">
        <f>Votos_s9!L11</f>
        <v/>
      </c>
    </row>
    <row r="65">
      <c r="A65" s="3" t="inlineStr">
        <is>
          <t>alquiler</t>
        </is>
      </c>
      <c r="B65" s="3" t="inlineStr">
        <is>
          <t>P5</t>
        </is>
      </c>
      <c r="C65" s="3" t="inlineStr">
        <is>
          <t>turismo</t>
        </is>
      </c>
      <c r="D65" s="3" t="n">
        <v>-1.84566</v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>
        <v>2</v>
      </c>
      <c r="N65" s="3" t="n">
        <v>0.3</v>
      </c>
      <c r="O65" s="3" t="inlineStr">
        <is>
          <t>-</t>
        </is>
      </c>
      <c r="P65" s="3" t="n"/>
      <c r="Q65" s="3" t="n"/>
      <c r="R65" s="3" t="inlineStr">
        <is>
          <t>no</t>
        </is>
      </c>
      <c r="S65" s="3" t="inlineStr">
        <is>
          <t>svar_hd: C3s condicionada a los supuestos; dominancia y SHAP: contraste C4, nunca causal. ranking incierto (P(f*) &lt; 0,5)</t>
        </is>
      </c>
      <c r="T65" s="3" t="inlineStr">
        <is>
          <t>output/v8/F5/ranking.csv</t>
        </is>
      </c>
      <c r="U65" s="4">
        <f>Votos_s9!L11</f>
        <v/>
      </c>
    </row>
    <row r="66">
      <c r="A66" s="3" t="inlineStr">
        <is>
          <t>alquiler</t>
        </is>
      </c>
      <c r="B66" s="3" t="inlineStr">
        <is>
          <t>P5</t>
        </is>
      </c>
      <c r="C66" s="3" t="inlineStr">
        <is>
          <t>factor_europeo</t>
        </is>
      </c>
      <c r="D66" s="3" t="n">
        <v>-1.84566</v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>
        <v>4</v>
      </c>
      <c r="N66" s="3" t="n">
        <v>0.09</v>
      </c>
      <c r="O66" s="3" t="inlineStr">
        <is>
          <t>-</t>
        </is>
      </c>
      <c r="P66" s="3" t="n">
        <v>5</v>
      </c>
      <c r="Q66" s="3" t="n">
        <v>0.0304569</v>
      </c>
      <c r="R66" s="3" t="inlineStr">
        <is>
          <t>no</t>
        </is>
      </c>
      <c r="S66" s="3" t="inlineStr">
        <is>
          <t>svar_hd: C3s condicionada a los supuestos; dominancia y SHAP: contraste C4, nunca causal. ranking incierto (P(f*) &lt; 0,5)</t>
        </is>
      </c>
      <c r="T66" s="3" t="inlineStr">
        <is>
          <t>output/v8/F5/ranking.csv</t>
        </is>
      </c>
      <c r="U66" s="4">
        <f>Votos_s9!L11</f>
        <v/>
      </c>
    </row>
    <row r="67">
      <c r="A67" s="3" t="inlineStr">
        <is>
          <t>alquiler</t>
        </is>
      </c>
      <c r="B67" s="3" t="inlineStr">
        <is>
          <t>P5</t>
        </is>
      </c>
      <c r="C67" s="3" t="inlineStr">
        <is>
          <t>demanda_externa</t>
        </is>
      </c>
      <c r="D67" s="3" t="n">
        <v>-1.84566</v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>
        <v>5</v>
      </c>
      <c r="N67" s="3" t="n">
        <v>0.06</v>
      </c>
      <c r="O67" s="3" t="inlineStr">
        <is>
          <t>-</t>
        </is>
      </c>
      <c r="P67" s="3" t="n"/>
      <c r="Q67" s="3" t="n"/>
      <c r="R67" s="3" t="inlineStr">
        <is>
          <t>no</t>
        </is>
      </c>
      <c r="S67" s="3" t="inlineStr">
        <is>
          <t>svar_hd: C3s condicionada a los supuestos; dominancia y SHAP: contraste C4, nunca causal. ranking incierto (P(f*) &lt; 0,5)</t>
        </is>
      </c>
      <c r="T67" s="3" t="inlineStr">
        <is>
          <t>output/v8/F5/ranking.csv</t>
        </is>
      </c>
      <c r="U67" s="4">
        <f>Votos_s9!L11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24" customWidth="1" min="4" max="4"/>
    <col width="22" customWidth="1" min="5" max="5"/>
    <col width="20" customWidth="1" min="6" max="6"/>
    <col width="20" customWidth="1" min="7" max="7"/>
    <col width="24" customWidth="1" min="8" max="8"/>
    <col width="22" customWidth="1" min="9" max="9"/>
    <col width="38" customWidth="1" min="10" max="10"/>
    <col width="24" customWidth="1" min="11" max="11"/>
  </cols>
  <sheetData>
    <row r="1">
      <c r="A1" s="5" t="inlineStr">
        <is>
          <t>mercado</t>
        </is>
      </c>
      <c r="B1" s="5" t="inlineStr">
        <is>
          <t>modelo</t>
        </is>
      </c>
      <c r="C1" s="5" t="inlineStr">
        <is>
          <t>tipo</t>
        </is>
      </c>
      <c r="D1" s="5" t="inlineStr">
        <is>
          <t>rmse_pp</t>
        </is>
      </c>
      <c r="E1" s="5" t="inlineStr">
        <is>
          <t>n_test</t>
        </is>
      </c>
      <c r="F1" s="5" t="inlineStr">
        <is>
          <t>evaluable</t>
        </is>
      </c>
      <c r="G1" s="5" t="inlineStr">
        <is>
          <t>mejor_que_exigente</t>
        </is>
      </c>
      <c r="H1" s="5" t="inlineStr">
        <is>
          <t>p_holm_vs_ar4</t>
        </is>
      </c>
      <c r="I1" s="5" t="inlineStr">
        <is>
          <t>p_holm_vs_exigente</t>
        </is>
      </c>
      <c r="J1" s="5" t="inlineStr">
        <is>
          <t>fuente</t>
        </is>
      </c>
      <c r="K1" s="5" t="inlineStr">
        <is>
          <t>ratio_rmse_vs_ar4_calc</t>
        </is>
      </c>
    </row>
    <row r="2">
      <c r="A2" s="3" t="inlineStr">
        <is>
          <t>compra</t>
        </is>
      </c>
      <c r="B2" s="3" t="inlineStr">
        <is>
          <t>ar4</t>
        </is>
      </c>
      <c r="C2" s="3" t="inlineStr">
        <is>
          <t>base</t>
        </is>
      </c>
      <c r="D2" s="3" t="n">
        <v>1.17566</v>
      </c>
      <c r="E2" s="3" t="n">
        <v>40</v>
      </c>
      <c r="F2" s="3" t="inlineStr">
        <is>
          <t>si</t>
        </is>
      </c>
      <c r="G2" s="3" t="inlineStr">
        <is>
          <t>no</t>
        </is>
      </c>
      <c r="H2" s="3" t="n"/>
      <c r="I2" s="3" t="n"/>
      <c r="J2" s="3" t="inlineStr">
        <is>
          <t>output/v8/F5/fuera_muestra_comun.csv</t>
        </is>
      </c>
      <c r="K2" s="2">
        <f>D2/D2</f>
        <v/>
      </c>
    </row>
    <row r="3">
      <c r="A3" s="3" t="inlineStr">
        <is>
          <t>compra</t>
        </is>
      </c>
      <c r="B3" s="3" t="inlineStr">
        <is>
          <t>ecm_v1</t>
        </is>
      </c>
      <c r="C3" s="3" t="inlineStr">
        <is>
          <t>base</t>
        </is>
      </c>
      <c r="D3" s="3" t="n">
        <v>2.61697</v>
      </c>
      <c r="E3" s="3" t="n">
        <v>40</v>
      </c>
      <c r="F3" s="3" t="inlineStr">
        <is>
          <t>si</t>
        </is>
      </c>
      <c r="G3" s="3" t="inlineStr">
        <is>
          <t>no</t>
        </is>
      </c>
      <c r="H3" s="3" t="n">
        <v>0.0123343</v>
      </c>
      <c r="I3" s="3" t="n">
        <v>0.0123343</v>
      </c>
      <c r="J3" s="3" t="inlineStr">
        <is>
          <t>output/v8/F5/fuera_muestra_comun.csv</t>
        </is>
      </c>
      <c r="K3" s="2">
        <f>D3/D2</f>
        <v/>
      </c>
    </row>
    <row r="4">
      <c r="A4" s="3" t="inlineStr">
        <is>
          <t>compra</t>
        </is>
      </c>
      <c r="B4" s="3" t="inlineStr">
        <is>
          <t>ar_fc</t>
        </is>
      </c>
      <c r="C4" s="3" t="inlineStr">
        <is>
          <t>base</t>
        </is>
      </c>
      <c r="D4" s="3" t="n">
        <v>1.27348</v>
      </c>
      <c r="E4" s="3" t="n">
        <v>40</v>
      </c>
      <c r="F4" s="3" t="inlineStr">
        <is>
          <t>si</t>
        </is>
      </c>
      <c r="G4" s="3" t="inlineStr">
        <is>
          <t>no</t>
        </is>
      </c>
      <c r="H4" s="3" t="n">
        <v>0.131506</v>
      </c>
      <c r="I4" s="3" t="n">
        <v>0.131506</v>
      </c>
      <c r="J4" s="3" t="inlineStr">
        <is>
          <t>output/v8/F5/fuera_muestra_comun.csv</t>
        </is>
      </c>
      <c r="K4" s="2">
        <f>D4/D2</f>
        <v/>
      </c>
    </row>
    <row r="5">
      <c r="A5" s="3" t="inlineStr">
        <is>
          <t>compra</t>
        </is>
      </c>
      <c r="B5" s="3" t="inlineStr">
        <is>
          <t>bvar_m2</t>
        </is>
      </c>
      <c r="C5" s="3" t="inlineStr">
        <is>
          <t>candidato</t>
        </is>
      </c>
      <c r="D5" s="3" t="n">
        <v>1.37361</v>
      </c>
      <c r="E5" s="3" t="n">
        <v>40</v>
      </c>
      <c r="F5" s="3" t="inlineStr">
        <is>
          <t>si</t>
        </is>
      </c>
      <c r="G5" s="3" t="inlineStr">
        <is>
          <t>no</t>
        </is>
      </c>
      <c r="H5" s="3" t="n">
        <v>0.131506</v>
      </c>
      <c r="I5" s="3" t="n">
        <v>0.131506</v>
      </c>
      <c r="J5" s="3" t="inlineStr">
        <is>
          <t>output/v8/F5/fuera_muestra_comun.csv</t>
        </is>
      </c>
      <c r="K5" s="2">
        <f>D5/D2</f>
        <v/>
      </c>
    </row>
    <row r="6">
      <c r="A6" s="3" t="inlineStr">
        <is>
          <t>alquiler</t>
        </is>
      </c>
      <c r="B6" s="3" t="inlineStr">
        <is>
          <t>ar4</t>
        </is>
      </c>
      <c r="C6" s="3" t="inlineStr">
        <is>
          <t>base</t>
        </is>
      </c>
      <c r="D6" s="3" t="n">
        <v>0.803395</v>
      </c>
      <c r="E6" s="3" t="n">
        <v>40</v>
      </c>
      <c r="F6" s="3" t="inlineStr">
        <is>
          <t>si</t>
        </is>
      </c>
      <c r="G6" s="3" t="inlineStr">
        <is>
          <t>no</t>
        </is>
      </c>
      <c r="H6" s="3" t="n"/>
      <c r="I6" s="3" t="n"/>
      <c r="J6" s="3" t="inlineStr">
        <is>
          <t>output/v8/F5/fuera_muestra_comun.csv</t>
        </is>
      </c>
      <c r="K6" s="2">
        <f>D6/D6</f>
        <v/>
      </c>
    </row>
    <row r="7">
      <c r="A7" s="3" t="inlineStr">
        <is>
          <t>alquiler</t>
        </is>
      </c>
      <c r="B7" s="3" t="inlineStr">
        <is>
          <t>ecm_v1</t>
        </is>
      </c>
      <c r="C7" s="3" t="inlineStr">
        <is>
          <t>base</t>
        </is>
      </c>
      <c r="D7" s="3" t="n">
        <v>1.69155</v>
      </c>
      <c r="E7" s="3" t="n">
        <v>40</v>
      </c>
      <c r="F7" s="3" t="inlineStr">
        <is>
          <t>si</t>
        </is>
      </c>
      <c r="G7" s="3" t="inlineStr">
        <is>
          <t>no</t>
        </is>
      </c>
      <c r="H7" s="3" t="n">
        <v>0.000450274</v>
      </c>
      <c r="I7" s="3" t="n">
        <v>0.000450274</v>
      </c>
      <c r="J7" s="3" t="inlineStr">
        <is>
          <t>output/v8/F5/fuera_muestra_comun.csv</t>
        </is>
      </c>
      <c r="K7" s="2">
        <f>D7/D6</f>
        <v/>
      </c>
    </row>
    <row r="8">
      <c r="A8" s="3" t="inlineStr">
        <is>
          <t>alquiler</t>
        </is>
      </c>
      <c r="B8" s="3" t="inlineStr">
        <is>
          <t>ar_fc</t>
        </is>
      </c>
      <c r="C8" s="3" t="inlineStr">
        <is>
          <t>base</t>
        </is>
      </c>
      <c r="D8" s="3" t="n">
        <v>0.831795</v>
      </c>
      <c r="E8" s="3" t="n">
        <v>40</v>
      </c>
      <c r="F8" s="3" t="inlineStr">
        <is>
          <t>si</t>
        </is>
      </c>
      <c r="G8" s="3" t="inlineStr">
        <is>
          <t>no</t>
        </is>
      </c>
      <c r="H8" s="3" t="n">
        <v>0.595535</v>
      </c>
      <c r="I8" s="3" t="n">
        <v>0.595535</v>
      </c>
      <c r="J8" s="3" t="inlineStr">
        <is>
          <t>output/v8/F5/fuera_muestra_comun.csv</t>
        </is>
      </c>
      <c r="K8" s="2">
        <f>D8/D6</f>
        <v/>
      </c>
    </row>
    <row r="9">
      <c r="A9" s="3" t="inlineStr">
        <is>
          <t>alquiler</t>
        </is>
      </c>
      <c r="B9" s="3" t="inlineStr">
        <is>
          <t>bvar_m2</t>
        </is>
      </c>
      <c r="C9" s="3" t="inlineStr">
        <is>
          <t>candidato</t>
        </is>
      </c>
      <c r="D9" s="3" t="n">
        <v>0.975851</v>
      </c>
      <c r="E9" s="3" t="n">
        <v>40</v>
      </c>
      <c r="F9" s="3" t="inlineStr">
        <is>
          <t>si</t>
        </is>
      </c>
      <c r="G9" s="3" t="inlineStr">
        <is>
          <t>no</t>
        </is>
      </c>
      <c r="H9" s="3" t="n">
        <v>0.126603</v>
      </c>
      <c r="I9" s="3" t="n">
        <v>0.126603</v>
      </c>
      <c r="J9" s="3" t="inlineStr">
        <is>
          <t>output/v8/F5/fuera_muestra_comun.csv</t>
        </is>
      </c>
      <c r="K9" s="2">
        <f>D9/D6</f>
        <v/>
      </c>
    </row>
    <row r="10"/>
    <row r="11"/>
    <row r="12">
      <c r="A12" s="5" t="inlineStr">
        <is>
          <t>Error fuera de muestra por módulo (bloques con embargo; muestras propias de cada módulo)</t>
        </is>
      </c>
    </row>
    <row r="13">
      <c r="A13" s="5" t="inlineStr">
        <is>
          <t>modulo</t>
        </is>
      </c>
      <c r="B13" s="5" t="inlineStr">
        <is>
          <t>mercado</t>
        </is>
      </c>
      <c r="C13" s="5" t="inlineStr">
        <is>
          <t>ambito</t>
        </is>
      </c>
      <c r="D13" s="5" t="inlineStr">
        <is>
          <t>muestra</t>
        </is>
      </c>
      <c r="E13" s="5" t="inlineStr">
        <is>
          <t>modelo</t>
        </is>
      </c>
      <c r="F13" s="5" t="inlineStr">
        <is>
          <t>rmse</t>
        </is>
      </c>
      <c r="G13" s="5" t="inlineStr">
        <is>
          <t>rmse_ar4</t>
        </is>
      </c>
      <c r="H13" s="5" t="inlineStr">
        <is>
          <t>p_dm_vs_ar4</t>
        </is>
      </c>
      <c r="I13" s="5" t="inlineStr">
        <is>
          <t>metodo_p</t>
        </is>
      </c>
      <c r="J13" s="5" t="inlineStr">
        <is>
          <t>fuente</t>
        </is>
      </c>
      <c r="K13" s="5" t="inlineStr">
        <is>
          <t>ratio_rmse_vs_ar4_calc</t>
        </is>
      </c>
    </row>
    <row r="14">
      <c r="A14" s="3" t="inlineStr">
        <is>
          <t>M0</t>
        </is>
      </c>
      <c r="B14" s="3" t="inlineStr">
        <is>
          <t>compra</t>
        </is>
      </c>
      <c r="C14" s="3" t="inlineStr">
        <is>
          <t>nacional</t>
        </is>
      </c>
      <c r="D14" s="3" t="inlineStr">
        <is>
          <t>1998Q3..2026Q2</t>
        </is>
      </c>
      <c r="E14" s="3" t="inlineStr">
        <is>
          <t>AR4</t>
        </is>
      </c>
      <c r="F14" s="3" t="n">
        <v>1.216435928195345</v>
      </c>
      <c r="G14" s="3" t="n">
        <v>1.216435928195345</v>
      </c>
      <c r="H14" s="3" t="n"/>
      <c r="I14" s="3" t="inlineStr">
        <is>
          <t>sin ajustar (DM-HLN)</t>
        </is>
      </c>
      <c r="J14" s="3" t="inlineStr">
        <is>
          <t>output/v8/M0/resultado.json</t>
        </is>
      </c>
      <c r="K14" s="2">
        <f>F14/G14</f>
        <v/>
      </c>
    </row>
    <row r="15">
      <c r="A15" s="3" t="inlineStr">
        <is>
          <t>M0</t>
        </is>
      </c>
      <c r="B15" s="3" t="inlineStr">
        <is>
          <t>compra</t>
        </is>
      </c>
      <c r="C15" s="3" t="inlineStr">
        <is>
          <t>nacional</t>
        </is>
      </c>
      <c r="D15" s="3" t="inlineStr">
        <is>
          <t>1998Q3..2026Q2</t>
        </is>
      </c>
      <c r="E15" s="3" t="inlineStr">
        <is>
          <t>AR4+X_comun</t>
        </is>
      </c>
      <c r="F15" s="3" t="n">
        <v>1.486484450890057</v>
      </c>
      <c r="G15" s="3" t="n">
        <v>1.216435928195345</v>
      </c>
      <c r="H15" s="3" t="n">
        <v>6.798165416802818e-05</v>
      </c>
      <c r="I15" s="3" t="inlineStr">
        <is>
          <t>sin ajustar (DM-HLN)</t>
        </is>
      </c>
      <c r="J15" s="3" t="inlineStr">
        <is>
          <t>output/v8/M0/resultado.json</t>
        </is>
      </c>
      <c r="K15" s="2">
        <f>F15/G15</f>
        <v/>
      </c>
    </row>
    <row r="16">
      <c r="A16" s="3" t="inlineStr">
        <is>
          <t>M0</t>
        </is>
      </c>
      <c r="B16" s="3" t="inlineStr">
        <is>
          <t>compra</t>
        </is>
      </c>
      <c r="C16" s="3" t="inlineStr">
        <is>
          <t>nacional</t>
        </is>
      </c>
      <c r="D16" s="3" t="inlineStr">
        <is>
          <t>1998Q3..2026Q2</t>
        </is>
      </c>
      <c r="E16" s="3" t="inlineStr">
        <is>
          <t>AR1+X_por_periodo</t>
        </is>
      </c>
      <c r="F16" s="3" t="n">
        <v>1.80244434189806</v>
      </c>
      <c r="G16" s="3" t="n">
        <v>1.216435928195345</v>
      </c>
      <c r="H16" s="3" t="n">
        <v>8.536784838858498e-07</v>
      </c>
      <c r="I16" s="3" t="inlineStr">
        <is>
          <t>sin ajustar (DM-HLN)</t>
        </is>
      </c>
      <c r="J16" s="3" t="inlineStr">
        <is>
          <t>output/v8/M0/resultado.json</t>
        </is>
      </c>
      <c r="K16" s="2">
        <f>F16/G16</f>
        <v/>
      </c>
    </row>
    <row r="17">
      <c r="A17" s="3" t="inlineStr">
        <is>
          <t>M0</t>
        </is>
      </c>
      <c r="B17" s="3" t="inlineStr">
        <is>
          <t>alquiler</t>
        </is>
      </c>
      <c r="C17" s="3" t="inlineStr">
        <is>
          <t>nacional</t>
        </is>
      </c>
      <c r="D17" s="3" t="inlineStr">
        <is>
          <t>2004Q1..2026Q2</t>
        </is>
      </c>
      <c r="E17" s="3" t="inlineStr">
        <is>
          <t>AR4</t>
        </is>
      </c>
      <c r="F17" s="3" t="n">
        <v>0.8000051159290653</v>
      </c>
      <c r="G17" s="3" t="n">
        <v>0.8000051159290653</v>
      </c>
      <c r="H17" s="3" t="n"/>
      <c r="I17" s="3" t="inlineStr">
        <is>
          <t>sin ajustar (DM-HLN)</t>
        </is>
      </c>
      <c r="J17" s="3" t="inlineStr">
        <is>
          <t>output/v8/M0/resultado.json</t>
        </is>
      </c>
      <c r="K17" s="2">
        <f>F17/G17</f>
        <v/>
      </c>
    </row>
    <row r="18">
      <c r="A18" s="3" t="inlineStr">
        <is>
          <t>M0</t>
        </is>
      </c>
      <c r="B18" s="3" t="inlineStr">
        <is>
          <t>alquiler</t>
        </is>
      </c>
      <c r="C18" s="3" t="inlineStr">
        <is>
          <t>nacional</t>
        </is>
      </c>
      <c r="D18" s="3" t="inlineStr">
        <is>
          <t>2004Q1..2026Q2</t>
        </is>
      </c>
      <c r="E18" s="3" t="inlineStr">
        <is>
          <t>AR4+X_comun</t>
        </is>
      </c>
      <c r="F18" s="3" t="n">
        <v>1.762459500771169</v>
      </c>
      <c r="G18" s="3" t="n">
        <v>0.8000051159290653</v>
      </c>
      <c r="H18" s="3" t="n">
        <v>0.0003605053757010108</v>
      </c>
      <c r="I18" s="3" t="inlineStr">
        <is>
          <t>sin ajustar (DM-HLN)</t>
        </is>
      </c>
      <c r="J18" s="3" t="inlineStr">
        <is>
          <t>output/v8/M0/resultado.json</t>
        </is>
      </c>
      <c r="K18" s="2">
        <f>F18/G18</f>
        <v/>
      </c>
    </row>
    <row r="19">
      <c r="A19" s="3" t="inlineStr">
        <is>
          <t>M0</t>
        </is>
      </c>
      <c r="B19" s="3" t="inlineStr">
        <is>
          <t>alquiler</t>
        </is>
      </c>
      <c r="C19" s="3" t="inlineStr">
        <is>
          <t>nacional</t>
        </is>
      </c>
      <c r="D19" s="3" t="inlineStr">
        <is>
          <t>2004Q1..2026Q2</t>
        </is>
      </c>
      <c r="E19" s="3" t="inlineStr">
        <is>
          <t>AR1+X_por_periodo</t>
        </is>
      </c>
      <c r="F19" s="3" t="n">
        <v>1.814609563008635</v>
      </c>
      <c r="G19" s="3" t="n">
        <v>0.8000051159290653</v>
      </c>
      <c r="H19" s="3" t="n">
        <v>7.29845450174214e-05</v>
      </c>
      <c r="I19" s="3" t="inlineStr">
        <is>
          <t>sin ajustar (DM-HLN)</t>
        </is>
      </c>
      <c r="J19" s="3" t="inlineStr">
        <is>
          <t>output/v8/M0/resultado.json</t>
        </is>
      </c>
      <c r="K19" s="2">
        <f>F19/G19</f>
        <v/>
      </c>
    </row>
    <row r="20">
      <c r="A20" s="3" t="inlineStr">
        <is>
          <t>M4</t>
        </is>
      </c>
      <c r="B20" s="3" t="inlineStr">
        <is>
          <t>compra</t>
        </is>
      </c>
      <c r="C20" s="3" t="inlineStr">
        <is>
          <t>nacional</t>
        </is>
      </c>
      <c r="D20" s="3" t="inlineStr">
        <is>
          <t>1998Q1..2026Q2 (n=113)</t>
        </is>
      </c>
      <c r="E20" s="3" t="inlineStr">
        <is>
          <t>C1_sin_rupturas_AR4</t>
        </is>
      </c>
      <c r="F20" s="3" t="n">
        <v>1.282657344285396</v>
      </c>
      <c r="G20" s="3" t="n">
        <v>1.282657344285396</v>
      </c>
      <c r="H20" s="3" t="n"/>
      <c r="I20" s="3" t="inlineStr">
        <is>
          <t>BH (DM-HLN)</t>
        </is>
      </c>
      <c r="J20" s="3" t="inlineStr">
        <is>
          <t>output/v8/M4/fuera_muestra.csv</t>
        </is>
      </c>
      <c r="K20" s="2">
        <f>F20/G20</f>
        <v/>
      </c>
    </row>
    <row r="21">
      <c r="A21" s="3" t="inlineStr">
        <is>
          <t>M4</t>
        </is>
      </c>
      <c r="B21" s="3" t="inlineStr">
        <is>
          <t>compra</t>
        </is>
      </c>
      <c r="C21" s="3" t="inlineStr">
        <is>
          <t>nacional</t>
        </is>
      </c>
      <c r="D21" s="3" t="inlineStr">
        <is>
          <t>1998Q1..2026Q2 (n=113)</t>
        </is>
      </c>
      <c r="E21" s="3" t="inlineStr">
        <is>
          <t>C1_sin_rupturas_SR</t>
        </is>
      </c>
      <c r="F21" s="3" t="n">
        <v>1.694107685124454</v>
      </c>
      <c r="G21" s="3" t="n">
        <v>1.282657344285396</v>
      </c>
      <c r="H21" s="3" t="n">
        <v>0.2636127520063238</v>
      </c>
      <c r="I21" s="3" t="inlineStr">
        <is>
          <t>BH (DM-HLN)</t>
        </is>
      </c>
      <c r="J21" s="3" t="inlineStr">
        <is>
          <t>output/v8/M4/fuera_muestra.csv</t>
        </is>
      </c>
      <c r="K21" s="2">
        <f>F21/G21</f>
        <v/>
      </c>
    </row>
    <row r="22">
      <c r="A22" s="3" t="inlineStr">
        <is>
          <t>M4</t>
        </is>
      </c>
      <c r="B22" s="3" t="inlineStr">
        <is>
          <t>compra</t>
        </is>
      </c>
      <c r="C22" s="3" t="inlineStr">
        <is>
          <t>nacional</t>
        </is>
      </c>
      <c r="D22" s="3" t="inlineStr">
        <is>
          <t>1998Q1..2026Q2 (n=113)</t>
        </is>
      </c>
      <c r="E22" s="3" t="inlineStr">
        <is>
          <t>C1_sin_rupturas_ECM</t>
        </is>
      </c>
      <c r="F22" s="3" t="n">
        <v>1.406901735398583</v>
      </c>
      <c r="G22" s="3" t="n">
        <v>1.282657344285396</v>
      </c>
      <c r="H22" s="3" t="n">
        <v>0.3129870818991961</v>
      </c>
      <c r="I22" s="3" t="inlineStr">
        <is>
          <t>BH (DM-HLN)</t>
        </is>
      </c>
      <c r="J22" s="3" t="inlineStr">
        <is>
          <t>output/v8/M4/fuera_muestra.csv</t>
        </is>
      </c>
      <c r="K22" s="2">
        <f>F22/G22</f>
        <v/>
      </c>
    </row>
    <row r="23">
      <c r="A23" s="3" t="inlineStr">
        <is>
          <t>M4</t>
        </is>
      </c>
      <c r="B23" s="3" t="inlineStr">
        <is>
          <t>compra</t>
        </is>
      </c>
      <c r="C23" s="3" t="inlineStr">
        <is>
          <t>nacional</t>
        </is>
      </c>
      <c r="D23" s="3" t="inlineStr">
        <is>
          <t>1998Q1..2026Q2 (n=113)</t>
        </is>
      </c>
      <c r="E23" s="3" t="inlineStr">
        <is>
          <t>C2_sin_rupturas_AR4</t>
        </is>
      </c>
      <c r="F23" s="3" t="n">
        <v>1.282657344285396</v>
      </c>
      <c r="G23" s="3" t="n">
        <v>1.282657344285396</v>
      </c>
      <c r="H23" s="3" t="n"/>
      <c r="I23" s="3" t="inlineStr">
        <is>
          <t>BH (DM-HLN)</t>
        </is>
      </c>
      <c r="J23" s="3" t="inlineStr">
        <is>
          <t>output/v8/M4/fuera_muestra.csv</t>
        </is>
      </c>
      <c r="K23" s="2">
        <f>F23/G23</f>
        <v/>
      </c>
    </row>
    <row r="24">
      <c r="A24" s="3" t="inlineStr">
        <is>
          <t>M4</t>
        </is>
      </c>
      <c r="B24" s="3" t="inlineStr">
        <is>
          <t>compra</t>
        </is>
      </c>
      <c r="C24" s="3" t="inlineStr">
        <is>
          <t>nacional</t>
        </is>
      </c>
      <c r="D24" s="3" t="inlineStr">
        <is>
          <t>1998Q1..2026Q2 (n=113)</t>
        </is>
      </c>
      <c r="E24" s="3" t="inlineStr">
        <is>
          <t>C2_sin_rupturas_SR</t>
        </is>
      </c>
      <c r="F24" s="3" t="n">
        <v>1.455870588255063</v>
      </c>
      <c r="G24" s="3" t="n">
        <v>1.282657344285396</v>
      </c>
      <c r="H24" s="3" t="n">
        <v>0.0870806132862699</v>
      </c>
      <c r="I24" s="3" t="inlineStr">
        <is>
          <t>BH (DM-HLN)</t>
        </is>
      </c>
      <c r="J24" s="3" t="inlineStr">
        <is>
          <t>output/v8/M4/fuera_muestra.csv</t>
        </is>
      </c>
      <c r="K24" s="2">
        <f>F24/G24</f>
        <v/>
      </c>
    </row>
    <row r="25">
      <c r="A25" s="3" t="inlineStr">
        <is>
          <t>M4</t>
        </is>
      </c>
      <c r="B25" s="3" t="inlineStr">
        <is>
          <t>compra</t>
        </is>
      </c>
      <c r="C25" s="3" t="inlineStr">
        <is>
          <t>nacional</t>
        </is>
      </c>
      <c r="D25" s="3" t="inlineStr">
        <is>
          <t>1998Q1..2026Q2 (n=113)</t>
        </is>
      </c>
      <c r="E25" s="3" t="inlineStr">
        <is>
          <t>C2_sin_rupturas_ECM</t>
        </is>
      </c>
      <c r="F25" s="3" t="n">
        <v>1.408676629015891</v>
      </c>
      <c r="G25" s="3" t="n">
        <v>1.282657344285396</v>
      </c>
      <c r="H25" s="3" t="n">
        <v>0.3129870818991961</v>
      </c>
      <c r="I25" s="3" t="inlineStr">
        <is>
          <t>BH (DM-HLN)</t>
        </is>
      </c>
      <c r="J25" s="3" t="inlineStr">
        <is>
          <t>output/v8/M4/fuera_muestra.csv</t>
        </is>
      </c>
      <c r="K25" s="2">
        <f>F25/G25</f>
        <v/>
      </c>
    </row>
    <row r="26">
      <c r="A26" s="3" t="inlineStr">
        <is>
          <t>M4</t>
        </is>
      </c>
      <c r="B26" s="3" t="inlineStr">
        <is>
          <t>compra</t>
        </is>
      </c>
      <c r="C26" s="3" t="inlineStr">
        <is>
          <t>nacional</t>
        </is>
      </c>
      <c r="D26" s="3" t="inlineStr">
        <is>
          <t>1998Q1..2026Q2 (n=113)</t>
        </is>
      </c>
      <c r="E26" s="3" t="inlineStr">
        <is>
          <t>C3_sin_rupturas_AR4</t>
        </is>
      </c>
      <c r="F26" s="3" t="n">
        <v>1.282657344285396</v>
      </c>
      <c r="G26" s="3" t="n">
        <v>1.282657344285396</v>
      </c>
      <c r="H26" s="3" t="n"/>
      <c r="I26" s="3" t="inlineStr">
        <is>
          <t>BH (DM-HLN)</t>
        </is>
      </c>
      <c r="J26" s="3" t="inlineStr">
        <is>
          <t>output/v8/M4/fuera_muestra.csv</t>
        </is>
      </c>
      <c r="K26" s="2">
        <f>F26/G26</f>
        <v/>
      </c>
    </row>
    <row r="27">
      <c r="A27" s="3" t="inlineStr">
        <is>
          <t>M4</t>
        </is>
      </c>
      <c r="B27" s="3" t="inlineStr">
        <is>
          <t>compra</t>
        </is>
      </c>
      <c r="C27" s="3" t="inlineStr">
        <is>
          <t>nacional</t>
        </is>
      </c>
      <c r="D27" s="3" t="inlineStr">
        <is>
          <t>1998Q1..2026Q2 (n=113)</t>
        </is>
      </c>
      <c r="E27" s="3" t="inlineStr">
        <is>
          <t>C3_sin_rupturas_SR</t>
        </is>
      </c>
      <c r="F27" s="3" t="n">
        <v>1.53665489277856</v>
      </c>
      <c r="G27" s="3" t="n">
        <v>1.282657344285396</v>
      </c>
      <c r="H27" s="3" t="n">
        <v>0.0016708244443994</v>
      </c>
      <c r="I27" s="3" t="inlineStr">
        <is>
          <t>BH (DM-HLN)</t>
        </is>
      </c>
      <c r="J27" s="3" t="inlineStr">
        <is>
          <t>output/v8/M4/fuera_muestra.csv</t>
        </is>
      </c>
      <c r="K27" s="2">
        <f>F27/G27</f>
        <v/>
      </c>
    </row>
    <row r="28">
      <c r="A28" s="3" t="inlineStr">
        <is>
          <t>M4</t>
        </is>
      </c>
      <c r="B28" s="3" t="inlineStr">
        <is>
          <t>compra</t>
        </is>
      </c>
      <c r="C28" s="3" t="inlineStr">
        <is>
          <t>nacional</t>
        </is>
      </c>
      <c r="D28" s="3" t="inlineStr">
        <is>
          <t>1998Q1..2026Q2 (n=113)</t>
        </is>
      </c>
      <c r="E28" s="3" t="inlineStr">
        <is>
          <t>C3_sin_rupturas_ECM</t>
        </is>
      </c>
      <c r="F28" s="3" t="n">
        <v>1.536192785515005</v>
      </c>
      <c r="G28" s="3" t="n">
        <v>1.282657344285396</v>
      </c>
      <c r="H28" s="3" t="n">
        <v>0.0039178248965596</v>
      </c>
      <c r="I28" s="3" t="inlineStr">
        <is>
          <t>BH (DM-HLN)</t>
        </is>
      </c>
      <c r="J28" s="3" t="inlineStr">
        <is>
          <t>output/v8/M4/fuera_muestra.csv</t>
        </is>
      </c>
      <c r="K28" s="2">
        <f>F28/G28</f>
        <v/>
      </c>
    </row>
    <row r="29">
      <c r="A29" s="3" t="inlineStr">
        <is>
          <t>M4</t>
        </is>
      </c>
      <c r="B29" s="3" t="inlineStr">
        <is>
          <t>compra</t>
        </is>
      </c>
      <c r="C29" s="3" t="inlineStr">
        <is>
          <t>nacional</t>
        </is>
      </c>
      <c r="D29" s="3" t="inlineStr">
        <is>
          <t>1998Q1..2026Q2 (n=113)</t>
        </is>
      </c>
      <c r="E29" s="3" t="inlineStr">
        <is>
          <t>C4_sin_rupturas_AR4</t>
        </is>
      </c>
      <c r="F29" s="3" t="n">
        <v>1.282657344285396</v>
      </c>
      <c r="G29" s="3" t="n">
        <v>1.282657344285396</v>
      </c>
      <c r="H29" s="3" t="n"/>
      <c r="I29" s="3" t="inlineStr">
        <is>
          <t>BH (DM-HLN)</t>
        </is>
      </c>
      <c r="J29" s="3" t="inlineStr">
        <is>
          <t>output/v8/M4/fuera_muestra.csv</t>
        </is>
      </c>
      <c r="K29" s="2">
        <f>F29/G29</f>
        <v/>
      </c>
    </row>
    <row r="30">
      <c r="A30" s="3" t="inlineStr">
        <is>
          <t>M4</t>
        </is>
      </c>
      <c r="B30" s="3" t="inlineStr">
        <is>
          <t>compra</t>
        </is>
      </c>
      <c r="C30" s="3" t="inlineStr">
        <is>
          <t>nacional</t>
        </is>
      </c>
      <c r="D30" s="3" t="inlineStr">
        <is>
          <t>1998Q1..2026Q2 (n=113)</t>
        </is>
      </c>
      <c r="E30" s="3" t="inlineStr">
        <is>
          <t>C4_sin_rupturas_SR</t>
        </is>
      </c>
      <c r="F30" s="3" t="n">
        <v>1.52723270336401</v>
      </c>
      <c r="G30" s="3" t="n">
        <v>1.282657344285396</v>
      </c>
      <c r="H30" s="3" t="n">
        <v>0.0015131711103655</v>
      </c>
      <c r="I30" s="3" t="inlineStr">
        <is>
          <t>BH (DM-HLN)</t>
        </is>
      </c>
      <c r="J30" s="3" t="inlineStr">
        <is>
          <t>output/v8/M4/fuera_muestra.csv</t>
        </is>
      </c>
      <c r="K30" s="2">
        <f>F30/G30</f>
        <v/>
      </c>
    </row>
    <row r="31">
      <c r="A31" s="3" t="inlineStr">
        <is>
          <t>M4</t>
        </is>
      </c>
      <c r="B31" s="3" t="inlineStr">
        <is>
          <t>compra</t>
        </is>
      </c>
      <c r="C31" s="3" t="inlineStr">
        <is>
          <t>nacional</t>
        </is>
      </c>
      <c r="D31" s="3" t="inlineStr">
        <is>
          <t>1998Q1..2026Q2 (n=113)</t>
        </is>
      </c>
      <c r="E31" s="3" t="inlineStr">
        <is>
          <t>C4_sin_rupturas_ECM</t>
        </is>
      </c>
      <c r="F31" s="3" t="n">
        <v>2.652436757382752</v>
      </c>
      <c r="G31" s="3" t="n">
        <v>1.282657344285396</v>
      </c>
      <c r="H31" s="3" t="n">
        <v>0.00224178884842</v>
      </c>
      <c r="I31" s="3" t="inlineStr">
        <is>
          <t>BH (DM-HLN)</t>
        </is>
      </c>
      <c r="J31" s="3" t="inlineStr">
        <is>
          <t>output/v8/M4/fuera_muestra.csv</t>
        </is>
      </c>
      <c r="K31" s="2">
        <f>F31/G31</f>
        <v/>
      </c>
    </row>
    <row r="32">
      <c r="A32" s="3" t="inlineStr">
        <is>
          <t>M4</t>
        </is>
      </c>
      <c r="B32" s="3" t="inlineStr">
        <is>
          <t>alquiler</t>
        </is>
      </c>
      <c r="C32" s="3" t="inlineStr">
        <is>
          <t>nacional</t>
        </is>
      </c>
      <c r="D32" s="3" t="inlineStr">
        <is>
          <t>2003Q2..2026Q2 (n=92)</t>
        </is>
      </c>
      <c r="E32" s="3" t="inlineStr">
        <is>
          <t>A1_sin_rupturas_AR4</t>
        </is>
      </c>
      <c r="F32" s="3" t="n">
        <v>0.7255234886744043</v>
      </c>
      <c r="G32" s="3" t="n">
        <v>0.7255234886744043</v>
      </c>
      <c r="H32" s="3" t="n"/>
      <c r="I32" s="3" t="inlineStr">
        <is>
          <t>BH (DM-HLN)</t>
        </is>
      </c>
      <c r="J32" s="3" t="inlineStr">
        <is>
          <t>output/v8/M4/fuera_muestra.csv</t>
        </is>
      </c>
      <c r="K32" s="2">
        <f>F32/G32</f>
        <v/>
      </c>
    </row>
    <row r="33">
      <c r="A33" s="3" t="inlineStr">
        <is>
          <t>M4</t>
        </is>
      </c>
      <c r="B33" s="3" t="inlineStr">
        <is>
          <t>alquiler</t>
        </is>
      </c>
      <c r="C33" s="3" t="inlineStr">
        <is>
          <t>nacional</t>
        </is>
      </c>
      <c r="D33" s="3" t="inlineStr">
        <is>
          <t>2003Q2..2026Q2 (n=92)</t>
        </is>
      </c>
      <c r="E33" s="3" t="inlineStr">
        <is>
          <t>A1_sin_rupturas_SR</t>
        </is>
      </c>
      <c r="F33" s="3" t="n">
        <v>0.7222634901065659</v>
      </c>
      <c r="G33" s="3" t="n">
        <v>0.7255234886744043</v>
      </c>
      <c r="H33" s="3" t="n">
        <v>0.9905954706853588</v>
      </c>
      <c r="I33" s="3" t="inlineStr">
        <is>
          <t>BH (DM-HLN)</t>
        </is>
      </c>
      <c r="J33" s="3" t="inlineStr">
        <is>
          <t>output/v8/M4/fuera_muestra.csv</t>
        </is>
      </c>
      <c r="K33" s="2">
        <f>F33/G33</f>
        <v/>
      </c>
    </row>
    <row r="34">
      <c r="A34" s="3" t="inlineStr">
        <is>
          <t>M4</t>
        </is>
      </c>
      <c r="B34" s="3" t="inlineStr">
        <is>
          <t>alquiler</t>
        </is>
      </c>
      <c r="C34" s="3" t="inlineStr">
        <is>
          <t>nacional</t>
        </is>
      </c>
      <c r="D34" s="3" t="inlineStr">
        <is>
          <t>2003Q2..2026Q2 (n=92)</t>
        </is>
      </c>
      <c r="E34" s="3" t="inlineStr">
        <is>
          <t>A1_sin_rupturas_ECM</t>
        </is>
      </c>
      <c r="F34" s="3" t="n">
        <v>0.7495836706361751</v>
      </c>
      <c r="G34" s="3" t="n">
        <v>0.7255234886744043</v>
      </c>
      <c r="H34" s="3" t="n">
        <v>0.3348227208624855</v>
      </c>
      <c r="I34" s="3" t="inlineStr">
        <is>
          <t>BH (DM-HLN)</t>
        </is>
      </c>
      <c r="J34" s="3" t="inlineStr">
        <is>
          <t>output/v8/M4/fuera_muestra.csv</t>
        </is>
      </c>
      <c r="K34" s="2">
        <f>F34/G34</f>
        <v/>
      </c>
    </row>
    <row r="35">
      <c r="A35" s="3" t="inlineStr">
        <is>
          <t>M4</t>
        </is>
      </c>
      <c r="B35" s="3" t="inlineStr">
        <is>
          <t>alquiler</t>
        </is>
      </c>
      <c r="C35" s="3" t="inlineStr">
        <is>
          <t>nacional</t>
        </is>
      </c>
      <c r="D35" s="3" t="inlineStr">
        <is>
          <t>2003Q2..2026Q2 (n=92)</t>
        </is>
      </c>
      <c r="E35" s="3" t="inlineStr">
        <is>
          <t>A2_sin_rupturas_AR4</t>
        </is>
      </c>
      <c r="F35" s="3" t="n">
        <v>0.7255234886744043</v>
      </c>
      <c r="G35" s="3" t="n">
        <v>0.7255234886744043</v>
      </c>
      <c r="H35" s="3" t="n"/>
      <c r="I35" s="3" t="inlineStr">
        <is>
          <t>BH (DM-HLN)</t>
        </is>
      </c>
      <c r="J35" s="3" t="inlineStr">
        <is>
          <t>output/v8/M4/fuera_muestra.csv</t>
        </is>
      </c>
      <c r="K35" s="2">
        <f>F35/G35</f>
        <v/>
      </c>
    </row>
    <row r="36">
      <c r="A36" s="3" t="inlineStr">
        <is>
          <t>M4</t>
        </is>
      </c>
      <c r="B36" s="3" t="inlineStr">
        <is>
          <t>alquiler</t>
        </is>
      </c>
      <c r="C36" s="3" t="inlineStr">
        <is>
          <t>nacional</t>
        </is>
      </c>
      <c r="D36" s="3" t="inlineStr">
        <is>
          <t>2003Q2..2026Q2 (n=92)</t>
        </is>
      </c>
      <c r="E36" s="3" t="inlineStr">
        <is>
          <t>A2_sin_rupturas_SR</t>
        </is>
      </c>
      <c r="F36" s="3" t="n">
        <v>0.7050417307583805</v>
      </c>
      <c r="G36" s="3" t="n">
        <v>0.7255234886744043</v>
      </c>
      <c r="H36" s="3" t="n">
        <v>0.7749932622698197</v>
      </c>
      <c r="I36" s="3" t="inlineStr">
        <is>
          <t>BH (DM-HLN)</t>
        </is>
      </c>
      <c r="J36" s="3" t="inlineStr">
        <is>
          <t>output/v8/M4/fuera_muestra.csv</t>
        </is>
      </c>
      <c r="K36" s="2">
        <f>F36/G36</f>
        <v/>
      </c>
    </row>
    <row r="37">
      <c r="A37" s="3" t="inlineStr">
        <is>
          <t>M4</t>
        </is>
      </c>
      <c r="B37" s="3" t="inlineStr">
        <is>
          <t>alquiler</t>
        </is>
      </c>
      <c r="C37" s="3" t="inlineStr">
        <is>
          <t>nacional</t>
        </is>
      </c>
      <c r="D37" s="3" t="inlineStr">
        <is>
          <t>2003Q2..2026Q2 (n=92)</t>
        </is>
      </c>
      <c r="E37" s="3" t="inlineStr">
        <is>
          <t>A2_sin_rupturas_ECM</t>
        </is>
      </c>
      <c r="F37" s="3" t="n">
        <v>2.462524403565669</v>
      </c>
      <c r="G37" s="3" t="n">
        <v>0.7255234886744043</v>
      </c>
      <c r="H37" s="3" t="n">
        <v>0.0003778039749063</v>
      </c>
      <c r="I37" s="3" t="inlineStr">
        <is>
          <t>BH (DM-HLN)</t>
        </is>
      </c>
      <c r="J37" s="3" t="inlineStr">
        <is>
          <t>output/v8/M4/fuera_muestra.csv</t>
        </is>
      </c>
      <c r="K37" s="2">
        <f>F37/G37</f>
        <v/>
      </c>
    </row>
    <row r="38">
      <c r="A38" s="3" t="inlineStr">
        <is>
          <t>M4</t>
        </is>
      </c>
      <c r="B38" s="3" t="inlineStr">
        <is>
          <t>alquiler</t>
        </is>
      </c>
      <c r="C38" s="3" t="inlineStr">
        <is>
          <t>nacional</t>
        </is>
      </c>
      <c r="D38" s="3" t="inlineStr">
        <is>
          <t>2003Q2..2026Q2 (n=92)</t>
        </is>
      </c>
      <c r="E38" s="3" t="inlineStr">
        <is>
          <t>A2b_sin_rupturas_AR4</t>
        </is>
      </c>
      <c r="F38" s="3" t="n">
        <v>0.7255234886744043</v>
      </c>
      <c r="G38" s="3" t="n">
        <v>0.7255234886744043</v>
      </c>
      <c r="H38" s="3" t="n"/>
      <c r="I38" s="3" t="inlineStr">
        <is>
          <t>BH (DM-HLN)</t>
        </is>
      </c>
      <c r="J38" s="3" t="inlineStr">
        <is>
          <t>output/v8/M4/fuera_muestra.csv</t>
        </is>
      </c>
      <c r="K38" s="2">
        <f>F38/G38</f>
        <v/>
      </c>
    </row>
    <row r="39">
      <c r="A39" s="3" t="inlineStr">
        <is>
          <t>M4</t>
        </is>
      </c>
      <c r="B39" s="3" t="inlineStr">
        <is>
          <t>alquiler</t>
        </is>
      </c>
      <c r="C39" s="3" t="inlineStr">
        <is>
          <t>nacional</t>
        </is>
      </c>
      <c r="D39" s="3" t="inlineStr">
        <is>
          <t>2003Q2..2026Q2 (n=92)</t>
        </is>
      </c>
      <c r="E39" s="3" t="inlineStr">
        <is>
          <t>A2b_sin_rupturas_SR</t>
        </is>
      </c>
      <c r="F39" s="3" t="n">
        <v>0.7441964522382284</v>
      </c>
      <c r="G39" s="3" t="n">
        <v>0.7255234886744043</v>
      </c>
      <c r="H39" s="3" t="n">
        <v>0.8534787829768518</v>
      </c>
      <c r="I39" s="3" t="inlineStr">
        <is>
          <t>BH (DM-HLN)</t>
        </is>
      </c>
      <c r="J39" s="3" t="inlineStr">
        <is>
          <t>output/v8/M4/fuera_muestra.csv</t>
        </is>
      </c>
      <c r="K39" s="2">
        <f>F39/G39</f>
        <v/>
      </c>
    </row>
    <row r="40">
      <c r="A40" s="3" t="inlineStr">
        <is>
          <t>M4</t>
        </is>
      </c>
      <c r="B40" s="3" t="inlineStr">
        <is>
          <t>alquiler</t>
        </is>
      </c>
      <c r="C40" s="3" t="inlineStr">
        <is>
          <t>nacional</t>
        </is>
      </c>
      <c r="D40" s="3" t="inlineStr">
        <is>
          <t>2003Q2..2026Q2 (n=92)</t>
        </is>
      </c>
      <c r="E40" s="3" t="inlineStr">
        <is>
          <t>A2b_sin_rupturas_ECM</t>
        </is>
      </c>
      <c r="F40" s="3" t="n">
        <v>1.067067368674436</v>
      </c>
      <c r="G40" s="3" t="n">
        <v>0.7255234886744043</v>
      </c>
      <c r="H40" s="3" t="n">
        <v>0.0004424429962546</v>
      </c>
      <c r="I40" s="3" t="inlineStr">
        <is>
          <t>BH (DM-HLN)</t>
        </is>
      </c>
      <c r="J40" s="3" t="inlineStr">
        <is>
          <t>output/v8/M4/fuera_muestra.csv</t>
        </is>
      </c>
      <c r="K40" s="2">
        <f>F40/G40</f>
        <v/>
      </c>
    </row>
    <row r="41">
      <c r="A41" s="3" t="inlineStr">
        <is>
          <t>M4</t>
        </is>
      </c>
      <c r="B41" s="3" t="inlineStr">
        <is>
          <t>alquiler</t>
        </is>
      </c>
      <c r="C41" s="3" t="inlineStr">
        <is>
          <t>nacional</t>
        </is>
      </c>
      <c r="D41" s="3" t="inlineStr">
        <is>
          <t>2003Q2..2026Q2 (n=92)</t>
        </is>
      </c>
      <c r="E41" s="3" t="inlineStr">
        <is>
          <t>A3_sin_rupturas_AR4</t>
        </is>
      </c>
      <c r="F41" s="3" t="n">
        <v>0.7255234886744043</v>
      </c>
      <c r="G41" s="3" t="n">
        <v>0.7255234886744043</v>
      </c>
      <c r="H41" s="3" t="n"/>
      <c r="I41" s="3" t="inlineStr">
        <is>
          <t>BH (DM-HLN)</t>
        </is>
      </c>
      <c r="J41" s="3" t="inlineStr">
        <is>
          <t>output/v8/M4/fuera_muestra.csv</t>
        </is>
      </c>
      <c r="K41" s="2">
        <f>F41/G41</f>
        <v/>
      </c>
    </row>
    <row r="42">
      <c r="A42" s="3" t="inlineStr">
        <is>
          <t>M4</t>
        </is>
      </c>
      <c r="B42" s="3" t="inlineStr">
        <is>
          <t>alquiler</t>
        </is>
      </c>
      <c r="C42" s="3" t="inlineStr">
        <is>
          <t>nacional</t>
        </is>
      </c>
      <c r="D42" s="3" t="inlineStr">
        <is>
          <t>2003Q2..2026Q2 (n=92)</t>
        </is>
      </c>
      <c r="E42" s="3" t="inlineStr">
        <is>
          <t>A3_sin_rupturas_SR</t>
        </is>
      </c>
      <c r="F42" s="3" t="n">
        <v>0.8130352010453529</v>
      </c>
      <c r="G42" s="3" t="n">
        <v>0.7255234886744043</v>
      </c>
      <c r="H42" s="3" t="n">
        <v>0.0870806132862699</v>
      </c>
      <c r="I42" s="3" t="inlineStr">
        <is>
          <t>BH (DM-HLN)</t>
        </is>
      </c>
      <c r="J42" s="3" t="inlineStr">
        <is>
          <t>output/v8/M4/fuera_muestra.csv</t>
        </is>
      </c>
      <c r="K42" s="2">
        <f>F42/G42</f>
        <v/>
      </c>
    </row>
    <row r="43">
      <c r="A43" s="3" t="inlineStr">
        <is>
          <t>M4</t>
        </is>
      </c>
      <c r="B43" s="3" t="inlineStr">
        <is>
          <t>alquiler</t>
        </is>
      </c>
      <c r="C43" s="3" t="inlineStr">
        <is>
          <t>nacional</t>
        </is>
      </c>
      <c r="D43" s="3" t="inlineStr">
        <is>
          <t>2003Q2..2026Q2 (n=92)</t>
        </is>
      </c>
      <c r="E43" s="3" t="inlineStr">
        <is>
          <t>A3_sin_rupturas_ECM</t>
        </is>
      </c>
      <c r="F43" s="3" t="n">
        <v>2.668865382273826</v>
      </c>
      <c r="G43" s="3" t="n">
        <v>0.7255234886744043</v>
      </c>
      <c r="H43" s="3" t="n">
        <v>0.0003778039749063</v>
      </c>
      <c r="I43" s="3" t="inlineStr">
        <is>
          <t>BH (DM-HLN)</t>
        </is>
      </c>
      <c r="J43" s="3" t="inlineStr">
        <is>
          <t>output/v8/M4/fuera_muestra.csv</t>
        </is>
      </c>
      <c r="K43" s="2">
        <f>F43/G43</f>
        <v/>
      </c>
    </row>
    <row r="44">
      <c r="A44" s="3" t="inlineStr">
        <is>
          <t>M4</t>
        </is>
      </c>
      <c r="B44" s="3" t="inlineStr">
        <is>
          <t>alquiler</t>
        </is>
      </c>
      <c r="C44" s="3" t="inlineStr">
        <is>
          <t>nacional</t>
        </is>
      </c>
      <c r="D44" s="3" t="inlineStr">
        <is>
          <t>2003Q2..2026Q2 (n=92)</t>
        </is>
      </c>
      <c r="E44" s="3" t="inlineStr">
        <is>
          <t>A4_sin_rupturas_AR4</t>
        </is>
      </c>
      <c r="F44" s="3" t="n">
        <v>0.7255234886744043</v>
      </c>
      <c r="G44" s="3" t="n">
        <v>0.7255234886744043</v>
      </c>
      <c r="H44" s="3" t="n"/>
      <c r="I44" s="3" t="inlineStr">
        <is>
          <t>BH (DM-HLN)</t>
        </is>
      </c>
      <c r="J44" s="3" t="inlineStr">
        <is>
          <t>output/v8/M4/fuera_muestra.csv</t>
        </is>
      </c>
      <c r="K44" s="2">
        <f>F44/G44</f>
        <v/>
      </c>
    </row>
    <row r="45">
      <c r="A45" s="3" t="inlineStr">
        <is>
          <t>M4</t>
        </is>
      </c>
      <c r="B45" s="3" t="inlineStr">
        <is>
          <t>alquiler</t>
        </is>
      </c>
      <c r="C45" s="3" t="inlineStr">
        <is>
          <t>nacional</t>
        </is>
      </c>
      <c r="D45" s="3" t="inlineStr">
        <is>
          <t>2003Q2..2026Q2 (n=92)</t>
        </is>
      </c>
      <c r="E45" s="3" t="inlineStr">
        <is>
          <t>A4_sin_rupturas_SR</t>
        </is>
      </c>
      <c r="F45" s="3" t="n">
        <v>0.7253216296594136</v>
      </c>
      <c r="G45" s="3" t="n">
        <v>0.7255234886744043</v>
      </c>
      <c r="H45" s="3" t="n">
        <v>0.9953939223211166</v>
      </c>
      <c r="I45" s="3" t="inlineStr">
        <is>
          <t>BH (DM-HLN)</t>
        </is>
      </c>
      <c r="J45" s="3" t="inlineStr">
        <is>
          <t>output/v8/M4/fuera_muestra.csv</t>
        </is>
      </c>
      <c r="K45" s="2">
        <f>F45/G45</f>
        <v/>
      </c>
    </row>
    <row r="46">
      <c r="A46" s="3" t="inlineStr">
        <is>
          <t>M4</t>
        </is>
      </c>
      <c r="B46" s="3" t="inlineStr">
        <is>
          <t>alquiler</t>
        </is>
      </c>
      <c r="C46" s="3" t="inlineStr">
        <is>
          <t>nacional</t>
        </is>
      </c>
      <c r="D46" s="3" t="inlineStr">
        <is>
          <t>2003Q2..2026Q2 (n=92)</t>
        </is>
      </c>
      <c r="E46" s="3" t="inlineStr">
        <is>
          <t>A4_sin_rupturas_ECM</t>
        </is>
      </c>
      <c r="F46" s="3" t="n">
        <v>2.796476880419172</v>
      </c>
      <c r="G46" s="3" t="n">
        <v>0.7255234886744043</v>
      </c>
      <c r="H46" s="3" t="n">
        <v>0.00224178884842</v>
      </c>
      <c r="I46" s="3" t="inlineStr">
        <is>
          <t>BH (DM-HLN)</t>
        </is>
      </c>
      <c r="J46" s="3" t="inlineStr">
        <is>
          <t>output/v8/M4/fuera_muestra.csv</t>
        </is>
      </c>
      <c r="K46" s="2">
        <f>F46/G46</f>
        <v/>
      </c>
    </row>
    <row r="47">
      <c r="A47" s="3" t="inlineStr">
        <is>
          <t>M6</t>
        </is>
      </c>
      <c r="B47" s="3" t="inlineStr">
        <is>
          <t>compra</t>
        </is>
      </c>
      <c r="C47" s="3" t="inlineStr">
        <is>
          <t>nacional</t>
        </is>
      </c>
      <c r="D47" s="3" t="inlineStr">
        <is>
          <t>completo (n_oos=40)</t>
        </is>
      </c>
      <c r="E47" s="3" t="inlineStr">
        <is>
          <t>ar4</t>
        </is>
      </c>
      <c r="F47" s="3" t="n">
        <v>1.038200002847813</v>
      </c>
      <c r="G47" s="3" t="n">
        <v>1.038200002847813</v>
      </c>
      <c r="H47" s="3" t="n"/>
      <c r="I47" s="3" t="inlineStr">
        <is>
          <t>Holm (DM-HLN)</t>
        </is>
      </c>
      <c r="J47" s="3" t="inlineStr">
        <is>
          <t>output/v8/M6/fuera_muestra.csv</t>
        </is>
      </c>
      <c r="K47" s="2">
        <f>F47/G47</f>
        <v/>
      </c>
    </row>
    <row r="48">
      <c r="A48" s="3" t="inlineStr">
        <is>
          <t>M6</t>
        </is>
      </c>
      <c r="B48" s="3" t="inlineStr">
        <is>
          <t>compra</t>
        </is>
      </c>
      <c r="C48" s="3" t="inlineStr">
        <is>
          <t>nacional</t>
        </is>
      </c>
      <c r="D48" s="3" t="inlineStr">
        <is>
          <t>completo (n_oos=40)</t>
        </is>
      </c>
      <c r="E48" s="3" t="inlineStr">
        <is>
          <t>ecm_v1</t>
        </is>
      </c>
      <c r="F48" s="3" t="n">
        <v>3.107873937895618</v>
      </c>
      <c r="G48" s="3" t="n">
        <v>1.038200002847813</v>
      </c>
      <c r="H48" s="3" t="n">
        <v>0.3479827865352799</v>
      </c>
      <c r="I48" s="3" t="inlineStr">
        <is>
          <t>Holm (DM-HLN)</t>
        </is>
      </c>
      <c r="J48" s="3" t="inlineStr">
        <is>
          <t>output/v8/M6/fuera_muestra.csv</t>
        </is>
      </c>
      <c r="K48" s="2">
        <f>F48/G48</f>
        <v/>
      </c>
    </row>
    <row r="49">
      <c r="A49" s="3" t="inlineStr">
        <is>
          <t>M6</t>
        </is>
      </c>
      <c r="B49" s="3" t="inlineStr">
        <is>
          <t>compra</t>
        </is>
      </c>
      <c r="C49" s="3" t="inlineStr">
        <is>
          <t>nacional</t>
        </is>
      </c>
      <c r="D49" s="3" t="inlineStr">
        <is>
          <t>completo (n_oos=40)</t>
        </is>
      </c>
      <c r="E49" s="3" t="inlineStr">
        <is>
          <t>ols_factores</t>
        </is>
      </c>
      <c r="F49" s="3" t="n">
        <v>2.829694228318761</v>
      </c>
      <c r="G49" s="3" t="n">
        <v>1.038200002847813</v>
      </c>
      <c r="H49" s="3" t="n">
        <v>0.1880626246776985</v>
      </c>
      <c r="I49" s="3" t="inlineStr">
        <is>
          <t>Holm (DM-HLN)</t>
        </is>
      </c>
      <c r="J49" s="3" t="inlineStr">
        <is>
          <t>output/v8/M6/fuera_muestra.csv</t>
        </is>
      </c>
      <c r="K49" s="2">
        <f>F49/G49</f>
        <v/>
      </c>
    </row>
    <row r="50">
      <c r="A50" s="3" t="inlineStr">
        <is>
          <t>M6</t>
        </is>
      </c>
      <c r="B50" s="3" t="inlineStr">
        <is>
          <t>compra</t>
        </is>
      </c>
      <c r="C50" s="3" t="inlineStr">
        <is>
          <t>nacional</t>
        </is>
      </c>
      <c r="D50" s="3" t="inlineStr">
        <is>
          <t>completo (n_oos=40)</t>
        </is>
      </c>
      <c r="E50" s="3" t="inlineStr">
        <is>
          <t>ridge</t>
        </is>
      </c>
      <c r="F50" s="3" t="n">
        <v>2.866295972362746</v>
      </c>
      <c r="G50" s="3" t="n">
        <v>1.038200002847813</v>
      </c>
      <c r="H50" s="3" t="n">
        <v>0.3224168344535214</v>
      </c>
      <c r="I50" s="3" t="inlineStr">
        <is>
          <t>Holm (DM-HLN)</t>
        </is>
      </c>
      <c r="J50" s="3" t="inlineStr">
        <is>
          <t>output/v8/M6/fuera_muestra.csv</t>
        </is>
      </c>
      <c r="K50" s="2">
        <f>F50/G50</f>
        <v/>
      </c>
    </row>
    <row r="51">
      <c r="A51" s="3" t="inlineStr">
        <is>
          <t>M6</t>
        </is>
      </c>
      <c r="B51" s="3" t="inlineStr">
        <is>
          <t>compra</t>
        </is>
      </c>
      <c r="C51" s="3" t="inlineStr">
        <is>
          <t>nacional</t>
        </is>
      </c>
      <c r="D51" s="3" t="inlineStr">
        <is>
          <t>completo (n_oos=40)</t>
        </is>
      </c>
      <c r="E51" s="3" t="inlineStr">
        <is>
          <t>enet</t>
        </is>
      </c>
      <c r="F51" s="3" t="n">
        <v>1.467161060953763</v>
      </c>
      <c r="G51" s="3" t="n">
        <v>1.038200002847813</v>
      </c>
      <c r="H51" s="3" t="n">
        <v>0.0283379594236466</v>
      </c>
      <c r="I51" s="3" t="inlineStr">
        <is>
          <t>Holm (DM-HLN)</t>
        </is>
      </c>
      <c r="J51" s="3" t="inlineStr">
        <is>
          <t>output/v8/M6/fuera_muestra.csv</t>
        </is>
      </c>
      <c r="K51" s="2">
        <f>F51/G51</f>
        <v/>
      </c>
    </row>
    <row r="52">
      <c r="A52" s="3" t="inlineStr">
        <is>
          <t>M6</t>
        </is>
      </c>
      <c r="B52" s="3" t="inlineStr">
        <is>
          <t>alquiler</t>
        </is>
      </c>
      <c r="C52" s="3" t="inlineStr">
        <is>
          <t>nacional</t>
        </is>
      </c>
      <c r="D52" s="3" t="inlineStr">
        <is>
          <t>completo (n_oos=40)</t>
        </is>
      </c>
      <c r="E52" s="3" t="inlineStr">
        <is>
          <t>ar4</t>
        </is>
      </c>
      <c r="F52" s="3" t="n">
        <v>0.8044245635443951</v>
      </c>
      <c r="G52" s="3" t="n">
        <v>0.8044245635443951</v>
      </c>
      <c r="H52" s="3" t="n"/>
      <c r="I52" s="3" t="inlineStr">
        <is>
          <t>Holm (DM-HLN)</t>
        </is>
      </c>
      <c r="J52" s="3" t="inlineStr">
        <is>
          <t>output/v8/M6/fuera_muestra.csv</t>
        </is>
      </c>
      <c r="K52" s="2">
        <f>F52/G52</f>
        <v/>
      </c>
    </row>
    <row r="53">
      <c r="A53" s="3" t="inlineStr">
        <is>
          <t>M6</t>
        </is>
      </c>
      <c r="B53" s="3" t="inlineStr">
        <is>
          <t>alquiler</t>
        </is>
      </c>
      <c r="C53" s="3" t="inlineStr">
        <is>
          <t>nacional</t>
        </is>
      </c>
      <c r="D53" s="3" t="inlineStr">
        <is>
          <t>completo (n_oos=40)</t>
        </is>
      </c>
      <c r="E53" s="3" t="inlineStr">
        <is>
          <t>ecm_v1</t>
        </is>
      </c>
      <c r="F53" s="3" t="n">
        <v>2.373836650134331</v>
      </c>
      <c r="G53" s="3" t="n">
        <v>0.8044245635443951</v>
      </c>
      <c r="H53" s="3" t="n">
        <v>0.0126970524738665</v>
      </c>
      <c r="I53" s="3" t="inlineStr">
        <is>
          <t>Holm (DM-HLN)</t>
        </is>
      </c>
      <c r="J53" s="3" t="inlineStr">
        <is>
          <t>output/v8/M6/fuera_muestra.csv</t>
        </is>
      </c>
      <c r="K53" s="2">
        <f>F53/G53</f>
        <v/>
      </c>
    </row>
    <row r="54">
      <c r="A54" s="3" t="inlineStr">
        <is>
          <t>M6</t>
        </is>
      </c>
      <c r="B54" s="3" t="inlineStr">
        <is>
          <t>alquiler</t>
        </is>
      </c>
      <c r="C54" s="3" t="inlineStr">
        <is>
          <t>nacional</t>
        </is>
      </c>
      <c r="D54" s="3" t="inlineStr">
        <is>
          <t>completo (n_oos=40)</t>
        </is>
      </c>
      <c r="E54" s="3" t="inlineStr">
        <is>
          <t>ols_factores</t>
        </is>
      </c>
      <c r="F54" s="3" t="n">
        <v>3.839305088565193</v>
      </c>
      <c r="G54" s="3" t="n">
        <v>0.8044245635443951</v>
      </c>
      <c r="H54" s="3" t="n">
        <v>0.5374020510460407</v>
      </c>
      <c r="I54" s="3" t="inlineStr">
        <is>
          <t>Holm (DM-HLN)</t>
        </is>
      </c>
      <c r="J54" s="3" t="inlineStr">
        <is>
          <t>output/v8/M6/fuera_muestra.csv</t>
        </is>
      </c>
      <c r="K54" s="2">
        <f>F54/G54</f>
        <v/>
      </c>
    </row>
    <row r="55">
      <c r="A55" s="3" t="inlineStr">
        <is>
          <t>M6</t>
        </is>
      </c>
      <c r="B55" s="3" t="inlineStr">
        <is>
          <t>alquiler</t>
        </is>
      </c>
      <c r="C55" s="3" t="inlineStr">
        <is>
          <t>nacional</t>
        </is>
      </c>
      <c r="D55" s="3" t="inlineStr">
        <is>
          <t>completo (n_oos=40)</t>
        </is>
      </c>
      <c r="E55" s="3" t="inlineStr">
        <is>
          <t>ridge</t>
        </is>
      </c>
      <c r="F55" s="3" t="n">
        <v>1.722400571353724</v>
      </c>
      <c r="G55" s="3" t="n">
        <v>0.8044245635443951</v>
      </c>
      <c r="H55" s="3" t="n">
        <v>0.5374020510460407</v>
      </c>
      <c r="I55" s="3" t="inlineStr">
        <is>
          <t>Holm (DM-HLN)</t>
        </is>
      </c>
      <c r="J55" s="3" t="inlineStr">
        <is>
          <t>output/v8/M6/fuera_muestra.csv</t>
        </is>
      </c>
      <c r="K55" s="2">
        <f>F55/G55</f>
        <v/>
      </c>
    </row>
    <row r="56">
      <c r="A56" s="3" t="inlineStr">
        <is>
          <t>M6</t>
        </is>
      </c>
      <c r="B56" s="3" t="inlineStr">
        <is>
          <t>alquiler</t>
        </is>
      </c>
      <c r="C56" s="3" t="inlineStr">
        <is>
          <t>nacional</t>
        </is>
      </c>
      <c r="D56" s="3" t="inlineStr">
        <is>
          <t>completo (n_oos=40)</t>
        </is>
      </c>
      <c r="E56" s="3" t="inlineStr">
        <is>
          <t>enet</t>
        </is>
      </c>
      <c r="F56" s="3" t="n">
        <v>1.631073438555479</v>
      </c>
      <c r="G56" s="3" t="n">
        <v>0.8044245635443951</v>
      </c>
      <c r="H56" s="3" t="n">
        <v>0.5374020510460407</v>
      </c>
      <c r="I56" s="3" t="inlineStr">
        <is>
          <t>Holm (DM-HLN)</t>
        </is>
      </c>
      <c r="J56" s="3" t="inlineStr">
        <is>
          <t>output/v8/M6/fuera_muestra.csv</t>
        </is>
      </c>
      <c r="K56" s="2">
        <f>F56/G56</f>
        <v/>
      </c>
    </row>
    <row r="57">
      <c r="A57" s="3" t="inlineStr">
        <is>
          <t>M9</t>
        </is>
      </c>
      <c r="B57" s="3" t="inlineStr">
        <is>
          <t>compra</t>
        </is>
      </c>
      <c r="C57" s="3" t="inlineStr">
        <is>
          <t>ccaa_panel</t>
        </is>
      </c>
      <c r="D57" s="3" t="inlineStr">
        <is>
          <t>n_test=680</t>
        </is>
      </c>
      <c r="E57" s="3" t="inlineStr">
        <is>
          <t>ar4</t>
        </is>
      </c>
      <c r="F57" s="3" t="n">
        <v>2.471049626848107</v>
      </c>
      <c r="G57" s="3" t="n">
        <v>2.471049626848107</v>
      </c>
      <c r="H57" s="3" t="n"/>
      <c r="I57" s="3" t="inlineStr">
        <is>
          <t>BH (DM-HLN)</t>
        </is>
      </c>
      <c r="J57" s="3" t="inlineStr">
        <is>
          <t>output/v8/M9/oos.csv</t>
        </is>
      </c>
      <c r="K57" s="2">
        <f>F57/G57</f>
        <v/>
      </c>
    </row>
    <row r="58">
      <c r="A58" s="3" t="inlineStr">
        <is>
          <t>M9</t>
        </is>
      </c>
      <c r="B58" s="3" t="inlineStr">
        <is>
          <t>compra</t>
        </is>
      </c>
      <c r="C58" s="3" t="inlineStr">
        <is>
          <t>ccaa_panel</t>
        </is>
      </c>
      <c r="D58" s="3" t="inlineStr">
        <is>
          <t>n_test=680</t>
        </is>
      </c>
      <c r="E58" s="3" t="inlineStr">
        <is>
          <t>ar4_fc</t>
        </is>
      </c>
      <c r="F58" s="3" t="n">
        <v>2.141306962430878</v>
      </c>
      <c r="G58" s="3" t="n">
        <v>2.471049626848107</v>
      </c>
      <c r="H58" s="3" t="n">
        <v>0.0106516812710522</v>
      </c>
      <c r="I58" s="3" t="inlineStr">
        <is>
          <t>BH (DM-HLN)</t>
        </is>
      </c>
      <c r="J58" s="3" t="inlineStr">
        <is>
          <t>output/v8/M9/oos.csv</t>
        </is>
      </c>
      <c r="K58" s="2">
        <f>F58/G58</f>
        <v/>
      </c>
    </row>
    <row r="59">
      <c r="A59" s="3" t="inlineStr">
        <is>
          <t>M9</t>
        </is>
      </c>
      <c r="B59" s="3" t="inlineStr">
        <is>
          <t>compra</t>
        </is>
      </c>
      <c r="C59" s="3" t="inlineStr">
        <is>
          <t>ccaa_panel</t>
        </is>
      </c>
      <c r="D59" s="3" t="inlineStr">
        <is>
          <t>n_test=680</t>
        </is>
      </c>
      <c r="E59" s="3" t="inlineStr">
        <is>
          <t>lgbm_fam_Am</t>
        </is>
      </c>
      <c r="F59" s="3" t="n">
        <v>5.753557918671465</v>
      </c>
      <c r="G59" s="3" t="n">
        <v>2.471049626848107</v>
      </c>
      <c r="H59" s="3" t="n">
        <v>0.0051029443500067</v>
      </c>
      <c r="I59" s="3" t="inlineStr">
        <is>
          <t>BH (DM-HLN)</t>
        </is>
      </c>
      <c r="J59" s="3" t="inlineStr">
        <is>
          <t>output/v8/M9/oos.csv</t>
        </is>
      </c>
      <c r="K59" s="2">
        <f>F59/G59</f>
        <v/>
      </c>
    </row>
    <row r="60">
      <c r="A60" s="3" t="inlineStr">
        <is>
          <t>M9</t>
        </is>
      </c>
      <c r="B60" s="3" t="inlineStr">
        <is>
          <t>compra</t>
        </is>
      </c>
      <c r="C60" s="3" t="inlineStr">
        <is>
          <t>ccaa_panel</t>
        </is>
      </c>
      <c r="D60" s="3" t="inlineStr">
        <is>
          <t>n_test=680</t>
        </is>
      </c>
      <c r="E60" s="3" t="inlineStr">
        <is>
          <t>lgbm_ar_Am</t>
        </is>
      </c>
      <c r="F60" s="3" t="n">
        <v>3.064162098654093</v>
      </c>
      <c r="G60" s="3" t="n">
        <v>2.471049626848107</v>
      </c>
      <c r="H60" s="3" t="n">
        <v>0.0896666996217088</v>
      </c>
      <c r="I60" s="3" t="inlineStr">
        <is>
          <t>BH (DM-HLN)</t>
        </is>
      </c>
      <c r="J60" s="3" t="inlineStr">
        <is>
          <t>output/v8/M9/oos.csv</t>
        </is>
      </c>
      <c r="K60" s="2">
        <f>F60/G60</f>
        <v/>
      </c>
    </row>
    <row r="61">
      <c r="A61" s="3" t="inlineStr">
        <is>
          <t>M9</t>
        </is>
      </c>
      <c r="B61" s="3" t="inlineStr">
        <is>
          <t>compra</t>
        </is>
      </c>
      <c r="C61" s="3" t="inlineStr">
        <is>
          <t>ccaa_panel</t>
        </is>
      </c>
      <c r="D61" s="3" t="inlineStr">
        <is>
          <t>n_test=680</t>
        </is>
      </c>
      <c r="E61" s="3" t="inlineStr">
        <is>
          <t>lgbm_fam_An</t>
        </is>
      </c>
      <c r="F61" s="3" t="n">
        <v>5.985750193559271</v>
      </c>
      <c r="G61" s="3" t="n">
        <v>2.471049626848107</v>
      </c>
      <c r="H61" s="3" t="n">
        <v>0.0060293066987408</v>
      </c>
      <c r="I61" s="3" t="inlineStr">
        <is>
          <t>BH (DM-HLN)</t>
        </is>
      </c>
      <c r="J61" s="3" t="inlineStr">
        <is>
          <t>output/v8/M9/oos.csv</t>
        </is>
      </c>
      <c r="K61" s="2">
        <f>F61/G61</f>
        <v/>
      </c>
    </row>
    <row r="62">
      <c r="A62" s="3" t="inlineStr">
        <is>
          <t>M9</t>
        </is>
      </c>
      <c r="B62" s="3" t="inlineStr">
        <is>
          <t>compra</t>
        </is>
      </c>
      <c r="C62" s="3" t="inlineStr">
        <is>
          <t>ccaa_panel</t>
        </is>
      </c>
      <c r="D62" s="3" t="inlineStr">
        <is>
          <t>n_test=680</t>
        </is>
      </c>
      <c r="E62" s="3" t="inlineStr">
        <is>
          <t>lgbm_ar_An</t>
        </is>
      </c>
      <c r="F62" s="3" t="n">
        <v>3.186126546880304</v>
      </c>
      <c r="G62" s="3" t="n">
        <v>2.471049626848107</v>
      </c>
      <c r="H62" s="3" t="n">
        <v>0.0535178722719703</v>
      </c>
      <c r="I62" s="3" t="inlineStr">
        <is>
          <t>BH (DM-HLN)</t>
        </is>
      </c>
      <c r="J62" s="3" t="inlineStr">
        <is>
          <t>output/v8/M9/oos.csv</t>
        </is>
      </c>
      <c r="K62" s="2">
        <f>F62/G62</f>
        <v/>
      </c>
    </row>
    <row r="63">
      <c r="A63" s="3" t="inlineStr">
        <is>
          <t>M9</t>
        </is>
      </c>
      <c r="B63" s="3" t="inlineStr">
        <is>
          <t>compra</t>
        </is>
      </c>
      <c r="C63" s="3" t="inlineStr">
        <is>
          <t>ccaa_panel</t>
        </is>
      </c>
      <c r="D63" s="3" t="inlineStr">
        <is>
          <t>n_test=680</t>
        </is>
      </c>
      <c r="E63" s="3" t="inlineStr">
        <is>
          <t>lgbm_fam_Bm</t>
        </is>
      </c>
      <c r="F63" s="3" t="n">
        <v>5.585713657825719</v>
      </c>
      <c r="G63" s="3" t="n">
        <v>2.471049626848107</v>
      </c>
      <c r="H63" s="3" t="n">
        <v>0.0060293066987408</v>
      </c>
      <c r="I63" s="3" t="inlineStr">
        <is>
          <t>BH (DM-HLN)</t>
        </is>
      </c>
      <c r="J63" s="3" t="inlineStr">
        <is>
          <t>output/v8/M9/oos.csv</t>
        </is>
      </c>
      <c r="K63" s="2">
        <f>F63/G63</f>
        <v/>
      </c>
    </row>
    <row r="64">
      <c r="A64" s="3" t="inlineStr">
        <is>
          <t>M9</t>
        </is>
      </c>
      <c r="B64" s="3" t="inlineStr">
        <is>
          <t>compra</t>
        </is>
      </c>
      <c r="C64" s="3" t="inlineStr">
        <is>
          <t>ccaa_panel</t>
        </is>
      </c>
      <c r="D64" s="3" t="inlineStr">
        <is>
          <t>n_test=680</t>
        </is>
      </c>
      <c r="E64" s="3" t="inlineStr">
        <is>
          <t>lgbm_ar_Bm</t>
        </is>
      </c>
      <c r="F64" s="3" t="n">
        <v>3.007059854536988</v>
      </c>
      <c r="G64" s="3" t="n">
        <v>2.471049626848107</v>
      </c>
      <c r="H64" s="3" t="n">
        <v>0.1450214925270201</v>
      </c>
      <c r="I64" s="3" t="inlineStr">
        <is>
          <t>BH (DM-HLN)</t>
        </is>
      </c>
      <c r="J64" s="3" t="inlineStr">
        <is>
          <t>output/v8/M9/oos.csv</t>
        </is>
      </c>
      <c r="K64" s="2">
        <f>F64/G64</f>
        <v/>
      </c>
    </row>
    <row r="65">
      <c r="A65" s="3" t="inlineStr">
        <is>
          <t>M9</t>
        </is>
      </c>
      <c r="B65" s="3" t="inlineStr">
        <is>
          <t>compra</t>
        </is>
      </c>
      <c r="C65" s="3" t="inlineStr">
        <is>
          <t>ccaa_panel</t>
        </is>
      </c>
      <c r="D65" s="3" t="inlineStr">
        <is>
          <t>n_test=680</t>
        </is>
      </c>
      <c r="E65" s="3" t="inlineStr">
        <is>
          <t>lgbm_fam_Bn</t>
        </is>
      </c>
      <c r="F65" s="3" t="n">
        <v>5.687549304614294</v>
      </c>
      <c r="G65" s="3" t="n">
        <v>2.471049626848107</v>
      </c>
      <c r="H65" s="3" t="n">
        <v>0.0060293066987408</v>
      </c>
      <c r="I65" s="3" t="inlineStr">
        <is>
          <t>BH (DM-HLN)</t>
        </is>
      </c>
      <c r="J65" s="3" t="inlineStr">
        <is>
          <t>output/v8/M9/oos.csv</t>
        </is>
      </c>
      <c r="K65" s="2">
        <f>F65/G65</f>
        <v/>
      </c>
    </row>
    <row r="66">
      <c r="A66" s="3" t="inlineStr">
        <is>
          <t>M9</t>
        </is>
      </c>
      <c r="B66" s="3" t="inlineStr">
        <is>
          <t>compra</t>
        </is>
      </c>
      <c r="C66" s="3" t="inlineStr">
        <is>
          <t>ccaa_panel</t>
        </is>
      </c>
      <c r="D66" s="3" t="inlineStr">
        <is>
          <t>n_test=680</t>
        </is>
      </c>
      <c r="E66" s="3" t="inlineStr">
        <is>
          <t>lgbm_ar_Bn</t>
        </is>
      </c>
      <c r="F66" s="3" t="n">
        <v>3.067152988133154</v>
      </c>
      <c r="G66" s="3" t="n">
        <v>2.471049626848107</v>
      </c>
      <c r="H66" s="3" t="n">
        <v>0.1346290232932886</v>
      </c>
      <c r="I66" s="3" t="inlineStr">
        <is>
          <t>BH (DM-HLN)</t>
        </is>
      </c>
      <c r="J66" s="3" t="inlineStr">
        <is>
          <t>output/v8/M9/oos.csv</t>
        </is>
      </c>
      <c r="K66" s="2">
        <f>F66/G66</f>
        <v/>
      </c>
    </row>
    <row r="67">
      <c r="A67" s="3" t="inlineStr">
        <is>
          <t>M9</t>
        </is>
      </c>
      <c r="B67" s="3" t="inlineStr">
        <is>
          <t>compra</t>
        </is>
      </c>
      <c r="C67" s="3" t="inlineStr">
        <is>
          <t>ccaa_panel</t>
        </is>
      </c>
      <c r="D67" s="3" t="inlineStr">
        <is>
          <t>n_test=680</t>
        </is>
      </c>
      <c r="E67" s="3" t="inlineStr">
        <is>
          <t>gam_fam_alfa10</t>
        </is>
      </c>
      <c r="F67" s="3" t="n">
        <v>5.51534626856322</v>
      </c>
      <c r="G67" s="3" t="n">
        <v>2.471049626848107</v>
      </c>
      <c r="H67" s="3" t="n">
        <v>0.0060293066987408</v>
      </c>
      <c r="I67" s="3" t="inlineStr">
        <is>
          <t>BH (DM-HLN)</t>
        </is>
      </c>
      <c r="J67" s="3" t="inlineStr">
        <is>
          <t>output/v8/M9/oos.csv</t>
        </is>
      </c>
      <c r="K67" s="2">
        <f>F67/G67</f>
        <v/>
      </c>
    </row>
    <row r="68">
      <c r="A68" s="3" t="inlineStr">
        <is>
          <t>M9</t>
        </is>
      </c>
      <c r="B68" s="3" t="inlineStr">
        <is>
          <t>compra</t>
        </is>
      </c>
      <c r="C68" s="3" t="inlineStr">
        <is>
          <t>ccaa_panel</t>
        </is>
      </c>
      <c r="D68" s="3" t="inlineStr">
        <is>
          <t>n_test=680</t>
        </is>
      </c>
      <c r="E68" s="3" t="inlineStr">
        <is>
          <t>gam_ar_alfa10</t>
        </is>
      </c>
      <c r="F68" s="3" t="n">
        <v>2.557214347995804</v>
      </c>
      <c r="G68" s="3" t="n">
        <v>2.471049626848107</v>
      </c>
      <c r="H68" s="3" t="n">
        <v>0.6097691168098816</v>
      </c>
      <c r="I68" s="3" t="inlineStr">
        <is>
          <t>BH (DM-HLN)</t>
        </is>
      </c>
      <c r="J68" s="3" t="inlineStr">
        <is>
          <t>output/v8/M9/oos.csv</t>
        </is>
      </c>
      <c r="K68" s="2">
        <f>F68/G68</f>
        <v/>
      </c>
    </row>
    <row r="69">
      <c r="A69" s="3" t="inlineStr">
        <is>
          <t>M9</t>
        </is>
      </c>
      <c r="B69" s="3" t="inlineStr">
        <is>
          <t>compra</t>
        </is>
      </c>
      <c r="C69" s="3" t="inlineStr">
        <is>
          <t>ccaa_panel</t>
        </is>
      </c>
      <c r="D69" s="3" t="inlineStr">
        <is>
          <t>n_test=680</t>
        </is>
      </c>
      <c r="E69" s="3" t="inlineStr">
        <is>
          <t>gam_fam_alfa100</t>
        </is>
      </c>
      <c r="F69" s="3" t="n">
        <v>5.095441419720896</v>
      </c>
      <c r="G69" s="3" t="n">
        <v>2.471049626848107</v>
      </c>
      <c r="H69" s="3" t="n">
        <v>0.0188491147392176</v>
      </c>
      <c r="I69" s="3" t="inlineStr">
        <is>
          <t>BH (DM-HLN)</t>
        </is>
      </c>
      <c r="J69" s="3" t="inlineStr">
        <is>
          <t>output/v8/M9/oos.csv</t>
        </is>
      </c>
      <c r="K69" s="2">
        <f>F69/G69</f>
        <v/>
      </c>
    </row>
    <row r="70">
      <c r="A70" s="3" t="inlineStr">
        <is>
          <t>M9</t>
        </is>
      </c>
      <c r="B70" s="3" t="inlineStr">
        <is>
          <t>compra</t>
        </is>
      </c>
      <c r="C70" s="3" t="inlineStr">
        <is>
          <t>ccaa_panel</t>
        </is>
      </c>
      <c r="D70" s="3" t="inlineStr">
        <is>
          <t>n_test=680</t>
        </is>
      </c>
      <c r="E70" s="3" t="inlineStr">
        <is>
          <t>gam_ar_alfa100</t>
        </is>
      </c>
      <c r="F70" s="3" t="n">
        <v>2.461652285839551</v>
      </c>
      <c r="G70" s="3" t="n">
        <v>2.471049626848107</v>
      </c>
      <c r="H70" s="3" t="n">
        <v>0.9451370654031352</v>
      </c>
      <c r="I70" s="3" t="inlineStr">
        <is>
          <t>BH (DM-HLN)</t>
        </is>
      </c>
      <c r="J70" s="3" t="inlineStr">
        <is>
          <t>output/v8/M9/oos.csv</t>
        </is>
      </c>
      <c r="K70" s="2">
        <f>F70/G70</f>
        <v/>
      </c>
    </row>
    <row r="71">
      <c r="A71" s="3" t="inlineStr">
        <is>
          <t>M9</t>
        </is>
      </c>
      <c r="B71" s="3" t="inlineStr">
        <is>
          <t>compra</t>
        </is>
      </c>
      <c r="C71" s="3" t="inlineStr">
        <is>
          <t>nacional</t>
        </is>
      </c>
      <c r="D71" s="3" t="inlineStr">
        <is>
          <t>n_test=40</t>
        </is>
      </c>
      <c r="E71" s="3" t="inlineStr">
        <is>
          <t>ar4</t>
        </is>
      </c>
      <c r="F71" s="3" t="n">
        <v>1.090942226730966</v>
      </c>
      <c r="G71" s="3" t="n">
        <v>1.090942226730966</v>
      </c>
      <c r="H71" s="3" t="n"/>
      <c r="I71" s="3" t="inlineStr">
        <is>
          <t>BH (DM-HLN)</t>
        </is>
      </c>
      <c r="J71" s="3" t="inlineStr">
        <is>
          <t>output/v8/M9/oos.csv</t>
        </is>
      </c>
      <c r="K71" s="2">
        <f>F71/G71</f>
        <v/>
      </c>
    </row>
    <row r="72">
      <c r="A72" s="3" t="inlineStr">
        <is>
          <t>M9</t>
        </is>
      </c>
      <c r="B72" s="3" t="inlineStr">
        <is>
          <t>compra</t>
        </is>
      </c>
      <c r="C72" s="3" t="inlineStr">
        <is>
          <t>nacional</t>
        </is>
      </c>
      <c r="D72" s="3" t="inlineStr">
        <is>
          <t>n_test=40</t>
        </is>
      </c>
      <c r="E72" s="3" t="inlineStr">
        <is>
          <t>ecm_v1</t>
        </is>
      </c>
      <c r="F72" s="3" t="n">
        <v>2.757442425167889</v>
      </c>
      <c r="G72" s="3" t="n">
        <v>1.090942226730966</v>
      </c>
      <c r="H72" s="3" t="n">
        <v>0.3100983935801784</v>
      </c>
      <c r="I72" s="3" t="inlineStr">
        <is>
          <t>BH (DM-HLN)</t>
        </is>
      </c>
      <c r="J72" s="3" t="inlineStr">
        <is>
          <t>output/v8/M9/oos.csv</t>
        </is>
      </c>
      <c r="K72" s="2">
        <f>F72/G72</f>
        <v/>
      </c>
    </row>
    <row r="73">
      <c r="A73" s="3" t="inlineStr">
        <is>
          <t>M9</t>
        </is>
      </c>
      <c r="B73" s="3" t="inlineStr">
        <is>
          <t>compra</t>
        </is>
      </c>
      <c r="C73" s="3" t="inlineStr">
        <is>
          <t>nacional</t>
        </is>
      </c>
      <c r="D73" s="3" t="inlineStr">
        <is>
          <t>n_test=40</t>
        </is>
      </c>
      <c r="E73" s="3" t="inlineStr">
        <is>
          <t>lgbm_fam_Am</t>
        </is>
      </c>
      <c r="F73" s="3" t="n">
        <v>4.814423683870613</v>
      </c>
      <c r="G73" s="3" t="n">
        <v>1.090942226730966</v>
      </c>
      <c r="H73" s="3" t="n">
        <v>0.0188491147392176</v>
      </c>
      <c r="I73" s="3" t="inlineStr">
        <is>
          <t>BH (DM-HLN)</t>
        </is>
      </c>
      <c r="J73" s="3" t="inlineStr">
        <is>
          <t>output/v8/M9/oos.csv</t>
        </is>
      </c>
      <c r="K73" s="2">
        <f>F73/G73</f>
        <v/>
      </c>
    </row>
    <row r="74">
      <c r="A74" s="3" t="inlineStr">
        <is>
          <t>M9</t>
        </is>
      </c>
      <c r="B74" s="3" t="inlineStr">
        <is>
          <t>compra</t>
        </is>
      </c>
      <c r="C74" s="3" t="inlineStr">
        <is>
          <t>nacional</t>
        </is>
      </c>
      <c r="D74" s="3" t="inlineStr">
        <is>
          <t>n_test=40</t>
        </is>
      </c>
      <c r="E74" s="3" t="inlineStr">
        <is>
          <t>lgbm_ar_Am</t>
        </is>
      </c>
      <c r="F74" s="3" t="n">
        <v>2.617421840170794</v>
      </c>
      <c r="G74" s="3" t="n">
        <v>1.090942226730966</v>
      </c>
      <c r="H74" s="3" t="n">
        <v>0.0025411044905878</v>
      </c>
      <c r="I74" s="3" t="inlineStr">
        <is>
          <t>BH (DM-HLN)</t>
        </is>
      </c>
      <c r="J74" s="3" t="inlineStr">
        <is>
          <t>output/v8/M9/oos.csv</t>
        </is>
      </c>
      <c r="K74" s="2">
        <f>F74/G74</f>
        <v/>
      </c>
    </row>
    <row r="75">
      <c r="A75" s="3" t="inlineStr">
        <is>
          <t>M9</t>
        </is>
      </c>
      <c r="B75" s="3" t="inlineStr">
        <is>
          <t>compra</t>
        </is>
      </c>
      <c r="C75" s="3" t="inlineStr">
        <is>
          <t>nacional</t>
        </is>
      </c>
      <c r="D75" s="3" t="inlineStr">
        <is>
          <t>n_test=40</t>
        </is>
      </c>
      <c r="E75" s="3" t="inlineStr">
        <is>
          <t>lgbm_fam_An</t>
        </is>
      </c>
      <c r="F75" s="3" t="n">
        <v>4.866038212066619</v>
      </c>
      <c r="G75" s="3" t="n">
        <v>1.090942226730966</v>
      </c>
      <c r="H75" s="3" t="n">
        <v>0.0153817973490892</v>
      </c>
      <c r="I75" s="3" t="inlineStr">
        <is>
          <t>BH (DM-HLN)</t>
        </is>
      </c>
      <c r="J75" s="3" t="inlineStr">
        <is>
          <t>output/v8/M9/oos.csv</t>
        </is>
      </c>
      <c r="K75" s="2">
        <f>F75/G75</f>
        <v/>
      </c>
    </row>
    <row r="76">
      <c r="A76" s="3" t="inlineStr">
        <is>
          <t>M9</t>
        </is>
      </c>
      <c r="B76" s="3" t="inlineStr">
        <is>
          <t>compra</t>
        </is>
      </c>
      <c r="C76" s="3" t="inlineStr">
        <is>
          <t>nacional</t>
        </is>
      </c>
      <c r="D76" s="3" t="inlineStr">
        <is>
          <t>n_test=40</t>
        </is>
      </c>
      <c r="E76" s="3" t="inlineStr">
        <is>
          <t>lgbm_ar_An</t>
        </is>
      </c>
      <c r="F76" s="3" t="n">
        <v>2.8296136573857</v>
      </c>
      <c r="G76" s="3" t="n">
        <v>1.090942226730966</v>
      </c>
      <c r="H76" s="3" t="n">
        <v>0.0001774470884178</v>
      </c>
      <c r="I76" s="3" t="inlineStr">
        <is>
          <t>BH (DM-HLN)</t>
        </is>
      </c>
      <c r="J76" s="3" t="inlineStr">
        <is>
          <t>output/v8/M9/oos.csv</t>
        </is>
      </c>
      <c r="K76" s="2">
        <f>F76/G76</f>
        <v/>
      </c>
    </row>
    <row r="77">
      <c r="A77" s="3" t="inlineStr">
        <is>
          <t>M9</t>
        </is>
      </c>
      <c r="B77" s="3" t="inlineStr">
        <is>
          <t>compra</t>
        </is>
      </c>
      <c r="C77" s="3" t="inlineStr">
        <is>
          <t>nacional</t>
        </is>
      </c>
      <c r="D77" s="3" t="inlineStr">
        <is>
          <t>n_test=40</t>
        </is>
      </c>
      <c r="E77" s="3" t="inlineStr">
        <is>
          <t>lgbm_fam_Bm</t>
        </is>
      </c>
      <c r="F77" s="3" t="n">
        <v>4.552148098571299</v>
      </c>
      <c r="G77" s="3" t="n">
        <v>1.090942226730966</v>
      </c>
      <c r="H77" s="3" t="n">
        <v>0.0188491147392176</v>
      </c>
      <c r="I77" s="3" t="inlineStr">
        <is>
          <t>BH (DM-HLN)</t>
        </is>
      </c>
      <c r="J77" s="3" t="inlineStr">
        <is>
          <t>output/v8/M9/oos.csv</t>
        </is>
      </c>
      <c r="K77" s="2">
        <f>F77/G77</f>
        <v/>
      </c>
    </row>
    <row r="78">
      <c r="A78" s="3" t="inlineStr">
        <is>
          <t>M9</t>
        </is>
      </c>
      <c r="B78" s="3" t="inlineStr">
        <is>
          <t>compra</t>
        </is>
      </c>
      <c r="C78" s="3" t="inlineStr">
        <is>
          <t>nacional</t>
        </is>
      </c>
      <c r="D78" s="3" t="inlineStr">
        <is>
          <t>n_test=40</t>
        </is>
      </c>
      <c r="E78" s="3" t="inlineStr">
        <is>
          <t>lgbm_ar_Bm</t>
        </is>
      </c>
      <c r="F78" s="3" t="n">
        <v>2.766804274469228</v>
      </c>
      <c r="G78" s="3" t="n">
        <v>1.090942226730966</v>
      </c>
      <c r="H78" s="3" t="n">
        <v>0.0001774470884178</v>
      </c>
      <c r="I78" s="3" t="inlineStr">
        <is>
          <t>BH (DM-HLN)</t>
        </is>
      </c>
      <c r="J78" s="3" t="inlineStr">
        <is>
          <t>output/v8/M9/oos.csv</t>
        </is>
      </c>
      <c r="K78" s="2">
        <f>F78/G78</f>
        <v/>
      </c>
    </row>
    <row r="79">
      <c r="A79" s="3" t="inlineStr">
        <is>
          <t>M9</t>
        </is>
      </c>
      <c r="B79" s="3" t="inlineStr">
        <is>
          <t>compra</t>
        </is>
      </c>
      <c r="C79" s="3" t="inlineStr">
        <is>
          <t>nacional</t>
        </is>
      </c>
      <c r="D79" s="3" t="inlineStr">
        <is>
          <t>n_test=40</t>
        </is>
      </c>
      <c r="E79" s="3" t="inlineStr">
        <is>
          <t>lgbm_fam_Bn</t>
        </is>
      </c>
      <c r="F79" s="3" t="n">
        <v>4.642015088105439</v>
      </c>
      <c r="G79" s="3" t="n">
        <v>1.090942226730966</v>
      </c>
      <c r="H79" s="3" t="n">
        <v>0.015121279281496</v>
      </c>
      <c r="I79" s="3" t="inlineStr">
        <is>
          <t>BH (DM-HLN)</t>
        </is>
      </c>
      <c r="J79" s="3" t="inlineStr">
        <is>
          <t>output/v8/M9/oos.csv</t>
        </is>
      </c>
      <c r="K79" s="2">
        <f>F79/G79</f>
        <v/>
      </c>
    </row>
    <row r="80">
      <c r="A80" s="3" t="inlineStr">
        <is>
          <t>M9</t>
        </is>
      </c>
      <c r="B80" s="3" t="inlineStr">
        <is>
          <t>compra</t>
        </is>
      </c>
      <c r="C80" s="3" t="inlineStr">
        <is>
          <t>nacional</t>
        </is>
      </c>
      <c r="D80" s="3" t="inlineStr">
        <is>
          <t>n_test=40</t>
        </is>
      </c>
      <c r="E80" s="3" t="inlineStr">
        <is>
          <t>lgbm_ar_Bn</t>
        </is>
      </c>
      <c r="F80" s="3" t="n">
        <v>2.890061069789513</v>
      </c>
      <c r="G80" s="3" t="n">
        <v>1.090942226730966</v>
      </c>
      <c r="H80" s="3" t="n">
        <v>8.914957698330363e-05</v>
      </c>
      <c r="I80" s="3" t="inlineStr">
        <is>
          <t>BH (DM-HLN)</t>
        </is>
      </c>
      <c r="J80" s="3" t="inlineStr">
        <is>
          <t>output/v8/M9/oos.csv</t>
        </is>
      </c>
      <c r="K80" s="2">
        <f>F80/G80</f>
        <v/>
      </c>
    </row>
    <row r="81">
      <c r="A81" s="3" t="inlineStr">
        <is>
          <t>M9</t>
        </is>
      </c>
      <c r="B81" s="3" t="inlineStr">
        <is>
          <t>compra</t>
        </is>
      </c>
      <c r="C81" s="3" t="inlineStr">
        <is>
          <t>nacional</t>
        </is>
      </c>
      <c r="D81" s="3" t="inlineStr">
        <is>
          <t>n_test=40</t>
        </is>
      </c>
      <c r="E81" s="3" t="inlineStr">
        <is>
          <t>gam_fam_alfa10</t>
        </is>
      </c>
      <c r="F81" s="3" t="n">
        <v>6.560602144335725</v>
      </c>
      <c r="G81" s="3" t="n">
        <v>1.090942226730966</v>
      </c>
      <c r="H81" s="3" t="n">
        <v>0.0066465142862088</v>
      </c>
      <c r="I81" s="3" t="inlineStr">
        <is>
          <t>BH (DM-HLN)</t>
        </is>
      </c>
      <c r="J81" s="3" t="inlineStr">
        <is>
          <t>output/v8/M9/oos.csv</t>
        </is>
      </c>
      <c r="K81" s="2">
        <f>F81/G81</f>
        <v/>
      </c>
    </row>
    <row r="82">
      <c r="A82" s="3" t="inlineStr">
        <is>
          <t>M9</t>
        </is>
      </c>
      <c r="B82" s="3" t="inlineStr">
        <is>
          <t>compra</t>
        </is>
      </c>
      <c r="C82" s="3" t="inlineStr">
        <is>
          <t>nacional</t>
        </is>
      </c>
      <c r="D82" s="3" t="inlineStr">
        <is>
          <t>n_test=40</t>
        </is>
      </c>
      <c r="E82" s="3" t="inlineStr">
        <is>
          <t>gam_ar_alfa10</t>
        </is>
      </c>
      <c r="F82" s="3" t="n">
        <v>2.332984872623025</v>
      </c>
      <c r="G82" s="3" t="n">
        <v>1.090942226730966</v>
      </c>
      <c r="H82" s="3" t="n">
        <v>0.0051029443500067</v>
      </c>
      <c r="I82" s="3" t="inlineStr">
        <is>
          <t>BH (DM-HLN)</t>
        </is>
      </c>
      <c r="J82" s="3" t="inlineStr">
        <is>
          <t>output/v8/M9/oos.csv</t>
        </is>
      </c>
      <c r="K82" s="2">
        <f>F82/G82</f>
        <v/>
      </c>
    </row>
    <row r="83">
      <c r="A83" s="3" t="inlineStr">
        <is>
          <t>M9</t>
        </is>
      </c>
      <c r="B83" s="3" t="inlineStr">
        <is>
          <t>compra</t>
        </is>
      </c>
      <c r="C83" s="3" t="inlineStr">
        <is>
          <t>nacional</t>
        </is>
      </c>
      <c r="D83" s="3" t="inlineStr">
        <is>
          <t>n_test=40</t>
        </is>
      </c>
      <c r="E83" s="3" t="inlineStr">
        <is>
          <t>gam_fam_alfa100</t>
        </is>
      </c>
      <c r="F83" s="3" t="n">
        <v>6.507987972706916</v>
      </c>
      <c r="G83" s="3" t="n">
        <v>1.090942226730966</v>
      </c>
      <c r="H83" s="3" t="n">
        <v>0.009079205326032701</v>
      </c>
      <c r="I83" s="3" t="inlineStr">
        <is>
          <t>BH (DM-HLN)</t>
        </is>
      </c>
      <c r="J83" s="3" t="inlineStr">
        <is>
          <t>output/v8/M9/oos.csv</t>
        </is>
      </c>
      <c r="K83" s="2">
        <f>F83/G83</f>
        <v/>
      </c>
    </row>
    <row r="84">
      <c r="A84" s="3" t="inlineStr">
        <is>
          <t>M9</t>
        </is>
      </c>
      <c r="B84" s="3" t="inlineStr">
        <is>
          <t>compra</t>
        </is>
      </c>
      <c r="C84" s="3" t="inlineStr">
        <is>
          <t>nacional</t>
        </is>
      </c>
      <c r="D84" s="3" t="inlineStr">
        <is>
          <t>n_test=40</t>
        </is>
      </c>
      <c r="E84" s="3" t="inlineStr">
        <is>
          <t>gam_ar_alfa100</t>
        </is>
      </c>
      <c r="F84" s="3" t="n">
        <v>2.24108034728346</v>
      </c>
      <c r="G84" s="3" t="n">
        <v>1.090942226730966</v>
      </c>
      <c r="H84" s="3" t="n">
        <v>0.0066465142862088</v>
      </c>
      <c r="I84" s="3" t="inlineStr">
        <is>
          <t>BH (DM-HLN)</t>
        </is>
      </c>
      <c r="J84" s="3" t="inlineStr">
        <is>
          <t>output/v8/M9/oos.csv</t>
        </is>
      </c>
      <c r="K84" s="2">
        <f>F84/G84</f>
        <v/>
      </c>
    </row>
    <row r="85">
      <c r="A85" s="3" t="inlineStr">
        <is>
          <t>M9</t>
        </is>
      </c>
      <c r="B85" s="3" t="inlineStr">
        <is>
          <t>alquiler</t>
        </is>
      </c>
      <c r="C85" s="3" t="inlineStr">
        <is>
          <t>ccaa_panel</t>
        </is>
      </c>
      <c r="D85" s="3" t="inlineStr">
        <is>
          <t>n_test=680</t>
        </is>
      </c>
      <c r="E85" s="3" t="inlineStr">
        <is>
          <t>ar4</t>
        </is>
      </c>
      <c r="F85" s="3" t="n">
        <v>0.9308052064901776</v>
      </c>
      <c r="G85" s="3" t="n">
        <v>0.9308052064901776</v>
      </c>
      <c r="H85" s="3" t="n"/>
      <c r="I85" s="3" t="inlineStr">
        <is>
          <t>BH (DM-HLN)</t>
        </is>
      </c>
      <c r="J85" s="3" t="inlineStr">
        <is>
          <t>output/v8/M9/oos.csv</t>
        </is>
      </c>
      <c r="K85" s="2">
        <f>F85/G85</f>
        <v/>
      </c>
    </row>
    <row r="86">
      <c r="A86" s="3" t="inlineStr">
        <is>
          <t>M9</t>
        </is>
      </c>
      <c r="B86" s="3" t="inlineStr">
        <is>
          <t>alquiler</t>
        </is>
      </c>
      <c r="C86" s="3" t="inlineStr">
        <is>
          <t>ccaa_panel</t>
        </is>
      </c>
      <c r="D86" s="3" t="inlineStr">
        <is>
          <t>n_test=680</t>
        </is>
      </c>
      <c r="E86" s="3" t="inlineStr">
        <is>
          <t>ar4_fc</t>
        </is>
      </c>
      <c r="F86" s="3" t="n">
        <v>0.9339590142272256</v>
      </c>
      <c r="G86" s="3" t="n">
        <v>0.9308052064901776</v>
      </c>
      <c r="H86" s="3" t="n">
        <v>0.5558953084165583</v>
      </c>
      <c r="I86" s="3" t="inlineStr">
        <is>
          <t>BH (DM-HLN)</t>
        </is>
      </c>
      <c r="J86" s="3" t="inlineStr">
        <is>
          <t>output/v8/M9/oos.csv</t>
        </is>
      </c>
      <c r="K86" s="2">
        <f>F86/G86</f>
        <v/>
      </c>
    </row>
    <row r="87">
      <c r="A87" s="3" t="inlineStr">
        <is>
          <t>M9</t>
        </is>
      </c>
      <c r="B87" s="3" t="inlineStr">
        <is>
          <t>alquiler</t>
        </is>
      </c>
      <c r="C87" s="3" t="inlineStr">
        <is>
          <t>ccaa_panel</t>
        </is>
      </c>
      <c r="D87" s="3" t="inlineStr">
        <is>
          <t>n_test=680</t>
        </is>
      </c>
      <c r="E87" s="3" t="inlineStr">
        <is>
          <t>lgbm_fam_Am</t>
        </is>
      </c>
      <c r="F87" s="3" t="n">
        <v>2.313235580112044</v>
      </c>
      <c r="G87" s="3" t="n">
        <v>0.9308052064901776</v>
      </c>
      <c r="H87" s="3" t="n">
        <v>0.1346290232932886</v>
      </c>
      <c r="I87" s="3" t="inlineStr">
        <is>
          <t>BH (DM-HLN)</t>
        </is>
      </c>
      <c r="J87" s="3" t="inlineStr">
        <is>
          <t>output/v8/M9/oos.csv</t>
        </is>
      </c>
      <c r="K87" s="2">
        <f>F87/G87</f>
        <v/>
      </c>
    </row>
    <row r="88">
      <c r="A88" s="3" t="inlineStr">
        <is>
          <t>M9</t>
        </is>
      </c>
      <c r="B88" s="3" t="inlineStr">
        <is>
          <t>alquiler</t>
        </is>
      </c>
      <c r="C88" s="3" t="inlineStr">
        <is>
          <t>ccaa_panel</t>
        </is>
      </c>
      <c r="D88" s="3" t="inlineStr">
        <is>
          <t>n_test=680</t>
        </is>
      </c>
      <c r="E88" s="3" t="inlineStr">
        <is>
          <t>lgbm_ar_Am</t>
        </is>
      </c>
      <c r="F88" s="3" t="n">
        <v>1.566385211693819</v>
      </c>
      <c r="G88" s="3" t="n">
        <v>0.9308052064901776</v>
      </c>
      <c r="H88" s="3" t="n">
        <v>0.1450214925270201</v>
      </c>
      <c r="I88" s="3" t="inlineStr">
        <is>
          <t>BH (DM-HLN)</t>
        </is>
      </c>
      <c r="J88" s="3" t="inlineStr">
        <is>
          <t>output/v8/M9/oos.csv</t>
        </is>
      </c>
      <c r="K88" s="2">
        <f>F88/G88</f>
        <v/>
      </c>
    </row>
    <row r="89">
      <c r="A89" s="3" t="inlineStr">
        <is>
          <t>M9</t>
        </is>
      </c>
      <c r="B89" s="3" t="inlineStr">
        <is>
          <t>alquiler</t>
        </is>
      </c>
      <c r="C89" s="3" t="inlineStr">
        <is>
          <t>ccaa_panel</t>
        </is>
      </c>
      <c r="D89" s="3" t="inlineStr">
        <is>
          <t>n_test=680</t>
        </is>
      </c>
      <c r="E89" s="3" t="inlineStr">
        <is>
          <t>lgbm_fam_An</t>
        </is>
      </c>
      <c r="F89" s="3" t="n">
        <v>2.300685160809615</v>
      </c>
      <c r="G89" s="3" t="n">
        <v>0.9308052064901776</v>
      </c>
      <c r="H89" s="3" t="n">
        <v>0.1346290232932886</v>
      </c>
      <c r="I89" s="3" t="inlineStr">
        <is>
          <t>BH (DM-HLN)</t>
        </is>
      </c>
      <c r="J89" s="3" t="inlineStr">
        <is>
          <t>output/v8/M9/oos.csv</t>
        </is>
      </c>
      <c r="K89" s="2">
        <f>F89/G89</f>
        <v/>
      </c>
    </row>
    <row r="90">
      <c r="A90" s="3" t="inlineStr">
        <is>
          <t>M9</t>
        </is>
      </c>
      <c r="B90" s="3" t="inlineStr">
        <is>
          <t>alquiler</t>
        </is>
      </c>
      <c r="C90" s="3" t="inlineStr">
        <is>
          <t>ccaa_panel</t>
        </is>
      </c>
      <c r="D90" s="3" t="inlineStr">
        <is>
          <t>n_test=680</t>
        </is>
      </c>
      <c r="E90" s="3" t="inlineStr">
        <is>
          <t>lgbm_ar_An</t>
        </is>
      </c>
      <c r="F90" s="3" t="n">
        <v>1.65910811138805</v>
      </c>
      <c r="G90" s="3" t="n">
        <v>0.9308052064901776</v>
      </c>
      <c r="H90" s="3" t="n">
        <v>0.1346290232932886</v>
      </c>
      <c r="I90" s="3" t="inlineStr">
        <is>
          <t>BH (DM-HLN)</t>
        </is>
      </c>
      <c r="J90" s="3" t="inlineStr">
        <is>
          <t>output/v8/M9/oos.csv</t>
        </is>
      </c>
      <c r="K90" s="2">
        <f>F90/G90</f>
        <v/>
      </c>
    </row>
    <row r="91">
      <c r="A91" s="3" t="inlineStr">
        <is>
          <t>M9</t>
        </is>
      </c>
      <c r="B91" s="3" t="inlineStr">
        <is>
          <t>alquiler</t>
        </is>
      </c>
      <c r="C91" s="3" t="inlineStr">
        <is>
          <t>ccaa_panel</t>
        </is>
      </c>
      <c r="D91" s="3" t="inlineStr">
        <is>
          <t>n_test=680</t>
        </is>
      </c>
      <c r="E91" s="3" t="inlineStr">
        <is>
          <t>lgbm_fam_Bm</t>
        </is>
      </c>
      <c r="F91" s="3" t="n">
        <v>2.307518716094167</v>
      </c>
      <c r="G91" s="3" t="n">
        <v>0.9308052064901776</v>
      </c>
      <c r="H91" s="3" t="n">
        <v>0.1346290232932886</v>
      </c>
      <c r="I91" s="3" t="inlineStr">
        <is>
          <t>BH (DM-HLN)</t>
        </is>
      </c>
      <c r="J91" s="3" t="inlineStr">
        <is>
          <t>output/v8/M9/oos.csv</t>
        </is>
      </c>
      <c r="K91" s="2">
        <f>F91/G91</f>
        <v/>
      </c>
    </row>
    <row r="92">
      <c r="A92" s="3" t="inlineStr">
        <is>
          <t>M9</t>
        </is>
      </c>
      <c r="B92" s="3" t="inlineStr">
        <is>
          <t>alquiler</t>
        </is>
      </c>
      <c r="C92" s="3" t="inlineStr">
        <is>
          <t>ccaa_panel</t>
        </is>
      </c>
      <c r="D92" s="3" t="inlineStr">
        <is>
          <t>n_test=680</t>
        </is>
      </c>
      <c r="E92" s="3" t="inlineStr">
        <is>
          <t>lgbm_ar_Bm</t>
        </is>
      </c>
      <c r="F92" s="3" t="n">
        <v>1.497793409446535</v>
      </c>
      <c r="G92" s="3" t="n">
        <v>0.9308052064901776</v>
      </c>
      <c r="H92" s="3" t="n">
        <v>0.1518377926709525</v>
      </c>
      <c r="I92" s="3" t="inlineStr">
        <is>
          <t>BH (DM-HLN)</t>
        </is>
      </c>
      <c r="J92" s="3" t="inlineStr">
        <is>
          <t>output/v8/M9/oos.csv</t>
        </is>
      </c>
      <c r="K92" s="2">
        <f>F92/G92</f>
        <v/>
      </c>
    </row>
    <row r="93">
      <c r="A93" s="3" t="inlineStr">
        <is>
          <t>M9</t>
        </is>
      </c>
      <c r="B93" s="3" t="inlineStr">
        <is>
          <t>alquiler</t>
        </is>
      </c>
      <c r="C93" s="3" t="inlineStr">
        <is>
          <t>ccaa_panel</t>
        </is>
      </c>
      <c r="D93" s="3" t="inlineStr">
        <is>
          <t>n_test=680</t>
        </is>
      </c>
      <c r="E93" s="3" t="inlineStr">
        <is>
          <t>lgbm_fam_Bn</t>
        </is>
      </c>
      <c r="F93" s="3" t="n">
        <v>2.232926689581489</v>
      </c>
      <c r="G93" s="3" t="n">
        <v>0.9308052064901776</v>
      </c>
      <c r="H93" s="3" t="n">
        <v>0.1346290232932886</v>
      </c>
      <c r="I93" s="3" t="inlineStr">
        <is>
          <t>BH (DM-HLN)</t>
        </is>
      </c>
      <c r="J93" s="3" t="inlineStr">
        <is>
          <t>output/v8/M9/oos.csv</t>
        </is>
      </c>
      <c r="K93" s="2">
        <f>F93/G93</f>
        <v/>
      </c>
    </row>
    <row r="94">
      <c r="A94" s="3" t="inlineStr">
        <is>
          <t>M9</t>
        </is>
      </c>
      <c r="B94" s="3" t="inlineStr">
        <is>
          <t>alquiler</t>
        </is>
      </c>
      <c r="C94" s="3" t="inlineStr">
        <is>
          <t>ccaa_panel</t>
        </is>
      </c>
      <c r="D94" s="3" t="inlineStr">
        <is>
          <t>n_test=680</t>
        </is>
      </c>
      <c r="E94" s="3" t="inlineStr">
        <is>
          <t>lgbm_ar_Bn</t>
        </is>
      </c>
      <c r="F94" s="3" t="n">
        <v>1.578154703900707</v>
      </c>
      <c r="G94" s="3" t="n">
        <v>0.9308052064901776</v>
      </c>
      <c r="H94" s="3" t="n">
        <v>0.1346290232932886</v>
      </c>
      <c r="I94" s="3" t="inlineStr">
        <is>
          <t>BH (DM-HLN)</t>
        </is>
      </c>
      <c r="J94" s="3" t="inlineStr">
        <is>
          <t>output/v8/M9/oos.csv</t>
        </is>
      </c>
      <c r="K94" s="2">
        <f>F94/G94</f>
        <v/>
      </c>
    </row>
    <row r="95">
      <c r="A95" s="3" t="inlineStr">
        <is>
          <t>M9</t>
        </is>
      </c>
      <c r="B95" s="3" t="inlineStr">
        <is>
          <t>alquiler</t>
        </is>
      </c>
      <c r="C95" s="3" t="inlineStr">
        <is>
          <t>ccaa_panel</t>
        </is>
      </c>
      <c r="D95" s="3" t="inlineStr">
        <is>
          <t>n_test=680</t>
        </is>
      </c>
      <c r="E95" s="3" t="inlineStr">
        <is>
          <t>gam_fam_alfa10</t>
        </is>
      </c>
      <c r="F95" s="3" t="n">
        <v>2.423402155665191</v>
      </c>
      <c r="G95" s="3" t="n">
        <v>0.9308052064901776</v>
      </c>
      <c r="H95" s="3" t="n">
        <v>0.1619122943676293</v>
      </c>
      <c r="I95" s="3" t="inlineStr">
        <is>
          <t>BH (DM-HLN)</t>
        </is>
      </c>
      <c r="J95" s="3" t="inlineStr">
        <is>
          <t>output/v8/M9/oos.csv</t>
        </is>
      </c>
      <c r="K95" s="2">
        <f>F95/G95</f>
        <v/>
      </c>
    </row>
    <row r="96">
      <c r="A96" s="3" t="inlineStr">
        <is>
          <t>M9</t>
        </is>
      </c>
      <c r="B96" s="3" t="inlineStr">
        <is>
          <t>alquiler</t>
        </is>
      </c>
      <c r="C96" s="3" t="inlineStr">
        <is>
          <t>ccaa_panel</t>
        </is>
      </c>
      <c r="D96" s="3" t="inlineStr">
        <is>
          <t>n_test=680</t>
        </is>
      </c>
      <c r="E96" s="3" t="inlineStr">
        <is>
          <t>gam_ar_alfa10</t>
        </is>
      </c>
      <c r="F96" s="3" t="n">
        <v>1.108048397934729</v>
      </c>
      <c r="G96" s="3" t="n">
        <v>0.9308052064901776</v>
      </c>
      <c r="H96" s="3" t="n">
        <v>0.1346290232932886</v>
      </c>
      <c r="I96" s="3" t="inlineStr">
        <is>
          <t>BH (DM-HLN)</t>
        </is>
      </c>
      <c r="J96" s="3" t="inlineStr">
        <is>
          <t>output/v8/M9/oos.csv</t>
        </is>
      </c>
      <c r="K96" s="2">
        <f>F96/G96</f>
        <v/>
      </c>
    </row>
    <row r="97">
      <c r="A97" s="3" t="inlineStr">
        <is>
          <t>M9</t>
        </is>
      </c>
      <c r="B97" s="3" t="inlineStr">
        <is>
          <t>alquiler</t>
        </is>
      </c>
      <c r="C97" s="3" t="inlineStr">
        <is>
          <t>ccaa_panel</t>
        </is>
      </c>
      <c r="D97" s="3" t="inlineStr">
        <is>
          <t>n_test=680</t>
        </is>
      </c>
      <c r="E97" s="3" t="inlineStr">
        <is>
          <t>gam_fam_alfa100</t>
        </is>
      </c>
      <c r="F97" s="3" t="n">
        <v>2.268617811483764</v>
      </c>
      <c r="G97" s="3" t="n">
        <v>0.9308052064901776</v>
      </c>
      <c r="H97" s="3" t="n">
        <v>0.1450214925270201</v>
      </c>
      <c r="I97" s="3" t="inlineStr">
        <is>
          <t>BH (DM-HLN)</t>
        </is>
      </c>
      <c r="J97" s="3" t="inlineStr">
        <is>
          <t>output/v8/M9/oos.csv</t>
        </is>
      </c>
      <c r="K97" s="2">
        <f>F97/G97</f>
        <v/>
      </c>
    </row>
    <row r="98">
      <c r="A98" s="3" t="inlineStr">
        <is>
          <t>M9</t>
        </is>
      </c>
      <c r="B98" s="3" t="inlineStr">
        <is>
          <t>alquiler</t>
        </is>
      </c>
      <c r="C98" s="3" t="inlineStr">
        <is>
          <t>ccaa_panel</t>
        </is>
      </c>
      <c r="D98" s="3" t="inlineStr">
        <is>
          <t>n_test=680</t>
        </is>
      </c>
      <c r="E98" s="3" t="inlineStr">
        <is>
          <t>gam_ar_alfa100</t>
        </is>
      </c>
      <c r="F98" s="3" t="n">
        <v>1.05887865428908</v>
      </c>
      <c r="G98" s="3" t="n">
        <v>0.9308052064901776</v>
      </c>
      <c r="H98" s="3" t="n">
        <v>0.1346290232932886</v>
      </c>
      <c r="I98" s="3" t="inlineStr">
        <is>
          <t>BH (DM-HLN)</t>
        </is>
      </c>
      <c r="J98" s="3" t="inlineStr">
        <is>
          <t>output/v8/M9/oos.csv</t>
        </is>
      </c>
      <c r="K98" s="2">
        <f>F98/G98</f>
        <v/>
      </c>
    </row>
    <row r="99">
      <c r="A99" s="3" t="inlineStr">
        <is>
          <t>M9</t>
        </is>
      </c>
      <c r="B99" s="3" t="inlineStr">
        <is>
          <t>alquiler</t>
        </is>
      </c>
      <c r="C99" s="3" t="inlineStr">
        <is>
          <t>nacional</t>
        </is>
      </c>
      <c r="D99" s="3" t="inlineStr">
        <is>
          <t>n_test=40</t>
        </is>
      </c>
      <c r="E99" s="3" t="inlineStr">
        <is>
          <t>ar4</t>
        </is>
      </c>
      <c r="F99" s="3" t="n">
        <v>0.9468801374922892</v>
      </c>
      <c r="G99" s="3" t="n">
        <v>0.9468801374922892</v>
      </c>
      <c r="H99" s="3" t="n"/>
      <c r="I99" s="3" t="inlineStr">
        <is>
          <t>BH (DM-HLN)</t>
        </is>
      </c>
      <c r="J99" s="3" t="inlineStr">
        <is>
          <t>output/v8/M9/oos.csv</t>
        </is>
      </c>
      <c r="K99" s="2">
        <f>F99/G99</f>
        <v/>
      </c>
    </row>
    <row r="100">
      <c r="A100" s="3" t="inlineStr">
        <is>
          <t>M9</t>
        </is>
      </c>
      <c r="B100" s="3" t="inlineStr">
        <is>
          <t>alquiler</t>
        </is>
      </c>
      <c r="C100" s="3" t="inlineStr">
        <is>
          <t>nacional</t>
        </is>
      </c>
      <c r="D100" s="3" t="inlineStr">
        <is>
          <t>n_test=40</t>
        </is>
      </c>
      <c r="E100" s="3" t="inlineStr">
        <is>
          <t>ecm_v1</t>
        </is>
      </c>
      <c r="F100" s="3" t="n">
        <v>1.62057539736172</v>
      </c>
      <c r="G100" s="3" t="n">
        <v>0.9468801374922892</v>
      </c>
      <c r="H100" s="3" t="n">
        <v>0.0655115987168107</v>
      </c>
      <c r="I100" s="3" t="inlineStr">
        <is>
          <t>BH (DM-HLN)</t>
        </is>
      </c>
      <c r="J100" s="3" t="inlineStr">
        <is>
          <t>output/v8/M9/oos.csv</t>
        </is>
      </c>
      <c r="K100" s="2">
        <f>F100/G100</f>
        <v/>
      </c>
    </row>
    <row r="101">
      <c r="A101" s="3" t="inlineStr">
        <is>
          <t>M9</t>
        </is>
      </c>
      <c r="B101" s="3" t="inlineStr">
        <is>
          <t>alquiler</t>
        </is>
      </c>
      <c r="C101" s="3" t="inlineStr">
        <is>
          <t>nacional</t>
        </is>
      </c>
      <c r="D101" s="3" t="inlineStr">
        <is>
          <t>n_test=40</t>
        </is>
      </c>
      <c r="E101" s="3" t="inlineStr">
        <is>
          <t>lgbm_fam_Am</t>
        </is>
      </c>
      <c r="F101" s="3" t="n">
        <v>2.819252272712619</v>
      </c>
      <c r="G101" s="3" t="n">
        <v>0.9468801374922892</v>
      </c>
      <c r="H101" s="3" t="n">
        <v>0.1346290232932886</v>
      </c>
      <c r="I101" s="3" t="inlineStr">
        <is>
          <t>BH (DM-HLN)</t>
        </is>
      </c>
      <c r="J101" s="3" t="inlineStr">
        <is>
          <t>output/v8/M9/oos.csv</t>
        </is>
      </c>
      <c r="K101" s="2">
        <f>F101/G101</f>
        <v/>
      </c>
    </row>
    <row r="102">
      <c r="A102" s="3" t="inlineStr">
        <is>
          <t>M9</t>
        </is>
      </c>
      <c r="B102" s="3" t="inlineStr">
        <is>
          <t>alquiler</t>
        </is>
      </c>
      <c r="C102" s="3" t="inlineStr">
        <is>
          <t>nacional</t>
        </is>
      </c>
      <c r="D102" s="3" t="inlineStr">
        <is>
          <t>n_test=40</t>
        </is>
      </c>
      <c r="E102" s="3" t="inlineStr">
        <is>
          <t>lgbm_ar_Am</t>
        </is>
      </c>
      <c r="F102" s="3" t="n">
        <v>2.464448162401228</v>
      </c>
      <c r="G102" s="3" t="n">
        <v>0.9468801374922892</v>
      </c>
      <c r="H102" s="3" t="n">
        <v>0.1450214925270201</v>
      </c>
      <c r="I102" s="3" t="inlineStr">
        <is>
          <t>BH (DM-HLN)</t>
        </is>
      </c>
      <c r="J102" s="3" t="inlineStr">
        <is>
          <t>output/v8/M9/oos.csv</t>
        </is>
      </c>
      <c r="K102" s="2">
        <f>F102/G102</f>
        <v/>
      </c>
    </row>
    <row r="103">
      <c r="A103" s="3" t="inlineStr">
        <is>
          <t>M9</t>
        </is>
      </c>
      <c r="B103" s="3" t="inlineStr">
        <is>
          <t>alquiler</t>
        </is>
      </c>
      <c r="C103" s="3" t="inlineStr">
        <is>
          <t>nacional</t>
        </is>
      </c>
      <c r="D103" s="3" t="inlineStr">
        <is>
          <t>n_test=40</t>
        </is>
      </c>
      <c r="E103" s="3" t="inlineStr">
        <is>
          <t>lgbm_fam_An</t>
        </is>
      </c>
      <c r="F103" s="3" t="n">
        <v>2.793428978312889</v>
      </c>
      <c r="G103" s="3" t="n">
        <v>0.9468801374922892</v>
      </c>
      <c r="H103" s="3" t="n">
        <v>0.1346290232932886</v>
      </c>
      <c r="I103" s="3" t="inlineStr">
        <is>
          <t>BH (DM-HLN)</t>
        </is>
      </c>
      <c r="J103" s="3" t="inlineStr">
        <is>
          <t>output/v8/M9/oos.csv</t>
        </is>
      </c>
      <c r="K103" s="2">
        <f>F103/G103</f>
        <v/>
      </c>
    </row>
    <row r="104">
      <c r="A104" s="3" t="inlineStr">
        <is>
          <t>M9</t>
        </is>
      </c>
      <c r="B104" s="3" t="inlineStr">
        <is>
          <t>alquiler</t>
        </is>
      </c>
      <c r="C104" s="3" t="inlineStr">
        <is>
          <t>nacional</t>
        </is>
      </c>
      <c r="D104" s="3" t="inlineStr">
        <is>
          <t>n_test=40</t>
        </is>
      </c>
      <c r="E104" s="3" t="inlineStr">
        <is>
          <t>lgbm_ar_An</t>
        </is>
      </c>
      <c r="F104" s="3" t="n">
        <v>2.483523468052866</v>
      </c>
      <c r="G104" s="3" t="n">
        <v>0.9468801374922892</v>
      </c>
      <c r="H104" s="3" t="n">
        <v>0.1450214925270201</v>
      </c>
      <c r="I104" s="3" t="inlineStr">
        <is>
          <t>BH (DM-HLN)</t>
        </is>
      </c>
      <c r="J104" s="3" t="inlineStr">
        <is>
          <t>output/v8/M9/oos.csv</t>
        </is>
      </c>
      <c r="K104" s="2">
        <f>F104/G104</f>
        <v/>
      </c>
    </row>
    <row r="105">
      <c r="A105" s="3" t="inlineStr">
        <is>
          <t>M9</t>
        </is>
      </c>
      <c r="B105" s="3" t="inlineStr">
        <is>
          <t>alquiler</t>
        </is>
      </c>
      <c r="C105" s="3" t="inlineStr">
        <is>
          <t>nacional</t>
        </is>
      </c>
      <c r="D105" s="3" t="inlineStr">
        <is>
          <t>n_test=40</t>
        </is>
      </c>
      <c r="E105" s="3" t="inlineStr">
        <is>
          <t>lgbm_fam_Bm</t>
        </is>
      </c>
      <c r="F105" s="3" t="n">
        <v>2.818137450335479</v>
      </c>
      <c r="G105" s="3" t="n">
        <v>0.9468801374922892</v>
      </c>
      <c r="H105" s="3" t="n">
        <v>0.1346290232932886</v>
      </c>
      <c r="I105" s="3" t="inlineStr">
        <is>
          <t>BH (DM-HLN)</t>
        </is>
      </c>
      <c r="J105" s="3" t="inlineStr">
        <is>
          <t>output/v8/M9/oos.csv</t>
        </is>
      </c>
      <c r="K105" s="2">
        <f>F105/G105</f>
        <v/>
      </c>
    </row>
    <row r="106">
      <c r="A106" s="3" t="inlineStr">
        <is>
          <t>M9</t>
        </is>
      </c>
      <c r="B106" s="3" t="inlineStr">
        <is>
          <t>alquiler</t>
        </is>
      </c>
      <c r="C106" s="3" t="inlineStr">
        <is>
          <t>nacional</t>
        </is>
      </c>
      <c r="D106" s="3" t="inlineStr">
        <is>
          <t>n_test=40</t>
        </is>
      </c>
      <c r="E106" s="3" t="inlineStr">
        <is>
          <t>lgbm_ar_Bm</t>
        </is>
      </c>
      <c r="F106" s="3" t="n">
        <v>2.487690525646352</v>
      </c>
      <c r="G106" s="3" t="n">
        <v>0.9468801374922892</v>
      </c>
      <c r="H106" s="3" t="n">
        <v>0.1450214925270201</v>
      </c>
      <c r="I106" s="3" t="inlineStr">
        <is>
          <t>BH (DM-HLN)</t>
        </is>
      </c>
      <c r="J106" s="3" t="inlineStr">
        <is>
          <t>output/v8/M9/oos.csv</t>
        </is>
      </c>
      <c r="K106" s="2">
        <f>F106/G106</f>
        <v/>
      </c>
    </row>
    <row r="107">
      <c r="A107" s="3" t="inlineStr">
        <is>
          <t>M9</t>
        </is>
      </c>
      <c r="B107" s="3" t="inlineStr">
        <is>
          <t>alquiler</t>
        </is>
      </c>
      <c r="C107" s="3" t="inlineStr">
        <is>
          <t>nacional</t>
        </is>
      </c>
      <c r="D107" s="3" t="inlineStr">
        <is>
          <t>n_test=40</t>
        </is>
      </c>
      <c r="E107" s="3" t="inlineStr">
        <is>
          <t>lgbm_fam_Bn</t>
        </is>
      </c>
      <c r="F107" s="3" t="n">
        <v>2.784749401128932</v>
      </c>
      <c r="G107" s="3" t="n">
        <v>0.9468801374922892</v>
      </c>
      <c r="H107" s="3" t="n">
        <v>0.1346290232932886</v>
      </c>
      <c r="I107" s="3" t="inlineStr">
        <is>
          <t>BH (DM-HLN)</t>
        </is>
      </c>
      <c r="J107" s="3" t="inlineStr">
        <is>
          <t>output/v8/M9/oos.csv</t>
        </is>
      </c>
      <c r="K107" s="2">
        <f>F107/G107</f>
        <v/>
      </c>
    </row>
    <row r="108">
      <c r="A108" s="3" t="inlineStr">
        <is>
          <t>M9</t>
        </is>
      </c>
      <c r="B108" s="3" t="inlineStr">
        <is>
          <t>alquiler</t>
        </is>
      </c>
      <c r="C108" s="3" t="inlineStr">
        <is>
          <t>nacional</t>
        </is>
      </c>
      <c r="D108" s="3" t="inlineStr">
        <is>
          <t>n_test=40</t>
        </is>
      </c>
      <c r="E108" s="3" t="inlineStr">
        <is>
          <t>lgbm_ar_Bn</t>
        </is>
      </c>
      <c r="F108" s="3" t="n">
        <v>2.480889523711049</v>
      </c>
      <c r="G108" s="3" t="n">
        <v>0.9468801374922892</v>
      </c>
      <c r="H108" s="3" t="n">
        <v>0.1450214925270201</v>
      </c>
      <c r="I108" s="3" t="inlineStr">
        <is>
          <t>BH (DM-HLN)</t>
        </is>
      </c>
      <c r="J108" s="3" t="inlineStr">
        <is>
          <t>output/v8/M9/oos.csv</t>
        </is>
      </c>
      <c r="K108" s="2">
        <f>F108/G108</f>
        <v/>
      </c>
    </row>
    <row r="109">
      <c r="A109" s="3" t="inlineStr">
        <is>
          <t>M9</t>
        </is>
      </c>
      <c r="B109" s="3" t="inlineStr">
        <is>
          <t>alquiler</t>
        </is>
      </c>
      <c r="C109" s="3" t="inlineStr">
        <is>
          <t>nacional</t>
        </is>
      </c>
      <c r="D109" s="3" t="inlineStr">
        <is>
          <t>n_test=40</t>
        </is>
      </c>
      <c r="E109" s="3" t="inlineStr">
        <is>
          <t>gam_fam_alfa10</t>
        </is>
      </c>
      <c r="F109" s="3" t="n">
        <v>2.702622677907188</v>
      </c>
      <c r="G109" s="3" t="n">
        <v>0.9468801374922892</v>
      </c>
      <c r="H109" s="3" t="n">
        <v>0.1346290232932886</v>
      </c>
      <c r="I109" s="3" t="inlineStr">
        <is>
          <t>BH (DM-HLN)</t>
        </is>
      </c>
      <c r="J109" s="3" t="inlineStr">
        <is>
          <t>output/v8/M9/oos.csv</t>
        </is>
      </c>
      <c r="K109" s="2">
        <f>F109/G109</f>
        <v/>
      </c>
    </row>
    <row r="110">
      <c r="A110" s="3" t="inlineStr">
        <is>
          <t>M9</t>
        </is>
      </c>
      <c r="B110" s="3" t="inlineStr">
        <is>
          <t>alquiler</t>
        </is>
      </c>
      <c r="C110" s="3" t="inlineStr">
        <is>
          <t>nacional</t>
        </is>
      </c>
      <c r="D110" s="3" t="inlineStr">
        <is>
          <t>n_test=40</t>
        </is>
      </c>
      <c r="E110" s="3" t="inlineStr">
        <is>
          <t>gam_ar_alfa10</t>
        </is>
      </c>
      <c r="F110" s="3" t="n">
        <v>1.839202989994758</v>
      </c>
      <c r="G110" s="3" t="n">
        <v>0.9468801374922892</v>
      </c>
      <c r="H110" s="3" t="n">
        <v>0.0060293066987408</v>
      </c>
      <c r="I110" s="3" t="inlineStr">
        <is>
          <t>BH (DM-HLN)</t>
        </is>
      </c>
      <c r="J110" s="3" t="inlineStr">
        <is>
          <t>output/v8/M9/oos.csv</t>
        </is>
      </c>
      <c r="K110" s="2">
        <f>F110/G110</f>
        <v/>
      </c>
    </row>
    <row r="111">
      <c r="A111" s="3" t="inlineStr">
        <is>
          <t>M9</t>
        </is>
      </c>
      <c r="B111" s="3" t="inlineStr">
        <is>
          <t>alquiler</t>
        </is>
      </c>
      <c r="C111" s="3" t="inlineStr">
        <is>
          <t>nacional</t>
        </is>
      </c>
      <c r="D111" s="3" t="inlineStr">
        <is>
          <t>n_test=40</t>
        </is>
      </c>
      <c r="E111" s="3" t="inlineStr">
        <is>
          <t>gam_fam_alfa100</t>
        </is>
      </c>
      <c r="F111" s="3" t="n">
        <v>2.569020760407346</v>
      </c>
      <c r="G111" s="3" t="n">
        <v>0.9468801374922892</v>
      </c>
      <c r="H111" s="3" t="n">
        <v>0.1346290232932886</v>
      </c>
      <c r="I111" s="3" t="inlineStr">
        <is>
          <t>BH (DM-HLN)</t>
        </is>
      </c>
      <c r="J111" s="3" t="inlineStr">
        <is>
          <t>output/v8/M9/oos.csv</t>
        </is>
      </c>
      <c r="K111" s="2">
        <f>F111/G111</f>
        <v/>
      </c>
    </row>
    <row r="112">
      <c r="A112" s="3" t="inlineStr">
        <is>
          <t>M9</t>
        </is>
      </c>
      <c r="B112" s="3" t="inlineStr">
        <is>
          <t>alquiler</t>
        </is>
      </c>
      <c r="C112" s="3" t="inlineStr">
        <is>
          <t>nacional</t>
        </is>
      </c>
      <c r="D112" s="3" t="inlineStr">
        <is>
          <t>n_test=40</t>
        </is>
      </c>
      <c r="E112" s="3" t="inlineStr">
        <is>
          <t>gam_ar_alfa100</t>
        </is>
      </c>
      <c r="F112" s="3" t="n">
        <v>1.73235333855848</v>
      </c>
      <c r="G112" s="3" t="n">
        <v>0.9468801374922892</v>
      </c>
      <c r="H112" s="3" t="n">
        <v>0.0060293066987408</v>
      </c>
      <c r="I112" s="3" t="inlineStr">
        <is>
          <t>BH (DM-HLN)</t>
        </is>
      </c>
      <c r="J112" s="3" t="inlineStr">
        <is>
          <t>output/v8/M9/oos.csv</t>
        </is>
      </c>
      <c r="K112" s="2">
        <f>F112/G112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9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7" customWidth="1" min="4" max="4"/>
    <col width="19" customWidth="1" min="5" max="5"/>
    <col width="21" customWidth="1" min="6" max="6"/>
    <col width="17" customWidth="1" min="7" max="7"/>
    <col width="14" customWidth="1" min="8" max="8"/>
    <col width="14" customWidth="1" min="9" max="9"/>
    <col width="13" customWidth="1" min="10" max="10"/>
    <col width="22" customWidth="1" min="11" max="11"/>
    <col width="14" customWidth="1" min="12" max="12"/>
    <col width="9" customWidth="1" min="13" max="13"/>
    <col width="45" customWidth="1" min="14" max="14"/>
    <col width="45" customWidth="1" min="15" max="15"/>
    <col width="35" customWidth="1" min="16" max="16"/>
  </cols>
  <sheetData>
    <row r="1">
      <c r="A1" s="5" t="inlineStr">
        <is>
          <t>mercado</t>
        </is>
      </c>
      <c r="B1" s="5" t="inlineStr">
        <is>
          <t>ambito</t>
        </is>
      </c>
      <c r="C1" s="5" t="inlineStr">
        <is>
          <t>periodo</t>
        </is>
      </c>
      <c r="D1" s="5" t="inlineStr">
        <is>
          <t>factor</t>
        </is>
      </c>
      <c r="E1" s="5" t="inlineStr">
        <is>
          <t>metodo</t>
        </is>
      </c>
      <c r="F1" s="5" t="inlineStr">
        <is>
          <t>variante</t>
        </is>
      </c>
      <c r="G1" s="5" t="inlineStr">
        <is>
          <t>contribucion_pp</t>
        </is>
      </c>
      <c r="H1" s="5" t="inlineStr">
        <is>
          <t>pct_total</t>
        </is>
      </c>
      <c r="I1" s="5" t="inlineStr">
        <is>
          <t>b68_lo</t>
        </is>
      </c>
      <c r="J1" s="5" t="inlineStr">
        <is>
          <t>b68_hi</t>
        </is>
      </c>
      <c r="K1" s="5" t="inlineStr">
        <is>
          <t>delta_y_implicita_pp</t>
        </is>
      </c>
      <c r="L1" s="5" t="inlineStr">
        <is>
          <t>rank_c_signo</t>
        </is>
      </c>
      <c r="M1" s="5" t="inlineStr">
        <is>
          <t>compite</t>
        </is>
      </c>
      <c r="N1" s="5" t="inlineStr">
        <is>
          <t>designacion</t>
        </is>
      </c>
      <c r="O1" s="5" t="inlineStr">
        <is>
          <t>nota</t>
        </is>
      </c>
      <c r="P1" s="5" t="inlineStr">
        <is>
          <t>fuente</t>
        </is>
      </c>
    </row>
    <row r="2">
      <c r="A2" s="3" t="inlineStr">
        <is>
          <t>alquiler</t>
        </is>
      </c>
      <c r="B2" s="3" t="inlineStr">
        <is>
          <t>ccaa:01</t>
        </is>
      </c>
      <c r="C2" s="3" t="inlineStr">
        <is>
          <t>P2</t>
        </is>
      </c>
      <c r="D2" s="3" t="inlineStr">
        <is>
          <t>factor_comun</t>
        </is>
      </c>
      <c r="E2" s="3" t="inlineStr">
        <is>
          <t>regional_ccaa_ols</t>
        </is>
      </c>
      <c r="F2" s="3" t="inlineStr">
        <is>
          <t>ols_solo_factor</t>
        </is>
      </c>
      <c r="G2" s="3" t="n">
        <v>-3.55904</v>
      </c>
      <c r="H2" s="3" t="n">
        <v>157.163</v>
      </c>
      <c r="I2" s="3" t="n">
        <v>-7.72994</v>
      </c>
      <c r="J2" s="3" t="n">
        <v>0.781566</v>
      </c>
      <c r="K2" s="3" t="n">
        <v>-2.59207</v>
      </c>
      <c r="L2" s="3" t="n"/>
      <c r="M2" s="3" t="inlineStr">
        <is>
          <t>no</t>
        </is>
      </c>
      <c r="N2" s="3" t="inlineStr">
        <is>
          <t>no designado (contraste C4: no hay svar_hd regional)</t>
        </is>
      </c>
      <c r="O2" s="3" t="inlineStr">
        <is>
          <t>CCAA: ranking por c_f·sign(dY) del panel FE (M8); asociacion, sin lectura causal; el factor comun es un resumen de comovimiento (pendiente ~1 mecanica, J23)</t>
        </is>
      </c>
      <c r="P2" s="3" t="inlineStr">
        <is>
          <t>output/v8/F5/regional_ranking.csv</t>
        </is>
      </c>
    </row>
    <row r="3">
      <c r="A3" s="3" t="inlineStr">
        <is>
          <t>alquiler</t>
        </is>
      </c>
      <c r="B3" s="3" t="inlineStr">
        <is>
          <t>ccaa:01</t>
        </is>
      </c>
      <c r="C3" s="3" t="inlineStr">
        <is>
          <t>P2</t>
        </is>
      </c>
      <c r="D3" s="3" t="inlineStr">
        <is>
          <t>residuo</t>
        </is>
      </c>
      <c r="E3" s="3" t="inlineStr">
        <is>
          <t>regional_ccaa_ols</t>
        </is>
      </c>
      <c r="F3" s="3" t="inlineStr">
        <is>
          <t>ols_solo_factor</t>
        </is>
      </c>
      <c r="G3" s="3" t="n">
        <v>1.29449</v>
      </c>
      <c r="H3" s="3" t="n">
        <v>-57.1631</v>
      </c>
      <c r="I3" s="3" t="n"/>
      <c r="J3" s="3" t="n"/>
      <c r="K3" s="3" t="n">
        <v>-2.59207</v>
      </c>
      <c r="L3" s="3" t="n"/>
      <c r="M3" s="3" t="inlineStr">
        <is>
          <t>no</t>
        </is>
      </c>
      <c r="N3" s="3" t="inlineStr">
        <is>
          <t>no designado (contraste C4: no hay svar_hd regional)</t>
        </is>
      </c>
      <c r="O3" s="3" t="inlineStr">
        <is>
          <t>CCAA: ranking por c_f·sign(dY) del panel FE (M8); asociacion, sin lectura causal; el factor comun es un resumen de comovimiento (pendiente ~1 mecanica, J23)</t>
        </is>
      </c>
      <c r="P3" s="3" t="inlineStr">
        <is>
          <t>output/v8/F5/regional_ranking.csv</t>
        </is>
      </c>
    </row>
    <row r="4">
      <c r="A4" s="3" t="inlineStr">
        <is>
          <t>alquiler</t>
        </is>
      </c>
      <c r="B4" s="3" t="inlineStr">
        <is>
          <t>ccaa:01</t>
        </is>
      </c>
      <c r="C4" s="3" t="inlineStr">
        <is>
          <t>P2</t>
        </is>
      </c>
      <c r="D4" s="3" t="inlineStr">
        <is>
          <t>factor_comun</t>
        </is>
      </c>
      <c r="E4" s="3" t="inlineStr">
        <is>
          <t>regional_panel</t>
        </is>
      </c>
      <c r="F4" s="3" t="inlineStr">
        <is>
          <t>panel_covariables</t>
        </is>
      </c>
      <c r="G4" s="3" t="n">
        <v>-3.50963</v>
      </c>
      <c r="H4" s="3" t="n">
        <v>135.398</v>
      </c>
      <c r="I4" s="3" t="n">
        <v>-7.73728</v>
      </c>
      <c r="J4" s="3" t="n">
        <v>0.660335</v>
      </c>
      <c r="K4" s="3" t="n">
        <v>-2.59207</v>
      </c>
      <c r="L4" s="3" t="n"/>
      <c r="M4" s="3" t="inlineStr">
        <is>
          <t>no</t>
        </is>
      </c>
      <c r="N4" s="3" t="inlineStr">
        <is>
          <t>no designado (contraste C4: no hay svar_hd regional)</t>
        </is>
      </c>
      <c r="O4" s="3" t="inlineStr">
        <is>
          <t>CCAA: ranking por c_f·sign(dY) del panel FE (M8); asociacion, sin lectura causal; el factor comun es un resumen de comovimiento (pendiente ~1 mecanica, J23)</t>
        </is>
      </c>
      <c r="P4" s="3" t="inlineStr">
        <is>
          <t>output/v8/F5/regional_ranking.csv</t>
        </is>
      </c>
    </row>
    <row r="5">
      <c r="A5" s="3" t="inlineStr">
        <is>
          <t>alquiler</t>
        </is>
      </c>
      <c r="B5" s="3" t="inlineStr">
        <is>
          <t>ccaa:01</t>
        </is>
      </c>
      <c r="C5" s="3" t="inlineStr">
        <is>
          <t>P2</t>
        </is>
      </c>
      <c r="D5" s="3" t="inlineStr">
        <is>
          <t>empleo_renta</t>
        </is>
      </c>
      <c r="E5" s="3" t="inlineStr">
        <is>
          <t>regional_panel</t>
        </is>
      </c>
      <c r="F5" s="3" t="inlineStr">
        <is>
          <t>panel_covariables</t>
        </is>
      </c>
      <c r="G5" s="3" t="n">
        <v>0.0454272</v>
      </c>
      <c r="H5" s="3" t="n">
        <v>-1.75254</v>
      </c>
      <c r="I5" s="3" t="n">
        <v>-0.374367</v>
      </c>
      <c r="J5" s="3" t="n">
        <v>0.627229</v>
      </c>
      <c r="K5" s="3" t="n">
        <v>-2.59207</v>
      </c>
      <c r="L5" s="3" t="n">
        <v>2</v>
      </c>
      <c r="M5" s="3" t="inlineStr">
        <is>
          <t>si</t>
        </is>
      </c>
      <c r="N5" s="3" t="inlineStr">
        <is>
          <t>no designado (contraste C4: no hay svar_hd regional)</t>
        </is>
      </c>
      <c r="O5" s="3" t="inlineStr">
        <is>
          <t>CCAA: ranking por c_f·sign(dY) del panel FE (M8); asociacion, sin lectura causal; el factor comun es un resumen de comovimiento (pendiente ~1 mecanica, J23)</t>
        </is>
      </c>
      <c r="P5" s="3" t="inlineStr">
        <is>
          <t>output/v8/F5/regional_ranking.csv</t>
        </is>
      </c>
    </row>
    <row r="6">
      <c r="A6" s="3" t="inlineStr">
        <is>
          <t>alquiler</t>
        </is>
      </c>
      <c r="B6" s="3" t="inlineStr">
        <is>
          <t>ccaa:01</t>
        </is>
      </c>
      <c r="C6" s="3" t="inlineStr">
        <is>
          <t>P2</t>
        </is>
      </c>
      <c r="D6" s="3" t="inlineStr">
        <is>
          <t>demografia</t>
        </is>
      </c>
      <c r="E6" s="3" t="inlineStr">
        <is>
          <t>regional_panel</t>
        </is>
      </c>
      <c r="F6" s="3" t="inlineStr">
        <is>
          <t>panel_covariables</t>
        </is>
      </c>
      <c r="G6" s="3" t="n">
        <v>0.918412</v>
      </c>
      <c r="H6" s="3" t="n">
        <v>-35.4316</v>
      </c>
      <c r="I6" s="3" t="n">
        <v>0.686297</v>
      </c>
      <c r="J6" s="3" t="n">
        <v>1.333</v>
      </c>
      <c r="K6" s="3" t="n">
        <v>-2.59207</v>
      </c>
      <c r="L6" s="3" t="n">
        <v>4</v>
      </c>
      <c r="M6" s="3" t="inlineStr">
        <is>
          <t>si</t>
        </is>
      </c>
      <c r="N6" s="3" t="inlineStr">
        <is>
          <t>no designado (contraste C4: no hay svar_hd regional)</t>
        </is>
      </c>
      <c r="O6" s="3" t="inlineStr">
        <is>
          <t>CCAA: ranking por c_f·sign(dY) del panel FE (M8); asociacion, sin lectura causal; el factor comun es un resumen de comovimiento (pendiente ~1 mecanica, J23)</t>
        </is>
      </c>
      <c r="P6" s="3" t="inlineStr">
        <is>
          <t>output/v8/F5/regional_ranking.csv</t>
        </is>
      </c>
    </row>
    <row r="7">
      <c r="A7" s="3" t="inlineStr">
        <is>
          <t>alquiler</t>
        </is>
      </c>
      <c r="B7" s="3" t="inlineStr">
        <is>
          <t>ccaa:01</t>
        </is>
      </c>
      <c r="C7" s="3" t="inlineStr">
        <is>
          <t>P2</t>
        </is>
      </c>
      <c r="D7" s="3" t="inlineStr">
        <is>
          <t>oferta</t>
        </is>
      </c>
      <c r="E7" s="3" t="inlineStr">
        <is>
          <t>regional_panel</t>
        </is>
      </c>
      <c r="F7" s="3" t="inlineStr">
        <is>
          <t>panel_covariables</t>
        </is>
      </c>
      <c r="G7" s="3" t="n">
        <v>0.285299</v>
      </c>
      <c r="H7" s="3" t="n">
        <v>-11.0066</v>
      </c>
      <c r="I7" s="3" t="n">
        <v>0.0373704</v>
      </c>
      <c r="J7" s="3" t="n">
        <v>0.546445</v>
      </c>
      <c r="K7" s="3" t="n">
        <v>-2.59207</v>
      </c>
      <c r="L7" s="3" t="n">
        <v>3</v>
      </c>
      <c r="M7" s="3" t="inlineStr">
        <is>
          <t>si</t>
        </is>
      </c>
      <c r="N7" s="3" t="inlineStr">
        <is>
          <t>no designado (contraste C4: no hay svar_hd regional)</t>
        </is>
      </c>
      <c r="O7" s="3" t="inlineStr">
        <is>
          <t>CCAA: ranking por c_f·sign(dY) del panel FE (M8); asociacion, sin lectura causal; el factor comun es un resumen de comovimiento (pendiente ~1 mecanica, J23)</t>
        </is>
      </c>
      <c r="P7" s="3" t="inlineStr">
        <is>
          <t>output/v8/F5/regional_ranking.csv</t>
        </is>
      </c>
    </row>
    <row r="8">
      <c r="A8" s="3" t="inlineStr">
        <is>
          <t>alquiler</t>
        </is>
      </c>
      <c r="B8" s="3" t="inlineStr">
        <is>
          <t>ccaa:01</t>
        </is>
      </c>
      <c r="C8" s="3" t="inlineStr">
        <is>
          <t>P2</t>
        </is>
      </c>
      <c r="D8" s="3" t="inlineStr">
        <is>
          <t>demanda_externa</t>
        </is>
      </c>
      <c r="E8" s="3" t="inlineStr">
        <is>
          <t>regional_panel</t>
        </is>
      </c>
      <c r="F8" s="3" t="inlineStr">
        <is>
          <t>panel_covariables</t>
        </is>
      </c>
      <c r="G8" s="3" t="n">
        <v>0.0397178</v>
      </c>
      <c r="H8" s="3" t="n">
        <v>-1.53228</v>
      </c>
      <c r="I8" s="3" t="n">
        <v>-0.00264922</v>
      </c>
      <c r="J8" s="3" t="n">
        <v>0.0491875</v>
      </c>
      <c r="K8" s="3" t="n">
        <v>-2.59207</v>
      </c>
      <c r="L8" s="3" t="n">
        <v>1</v>
      </c>
      <c r="M8" s="3" t="inlineStr">
        <is>
          <t>si</t>
        </is>
      </c>
      <c r="N8" s="3" t="inlineStr">
        <is>
          <t>no designado (contraste C4: no hay svar_hd regional)</t>
        </is>
      </c>
      <c r="O8" s="3" t="inlineStr">
        <is>
          <t>CCAA: ranking por c_f·sign(dY) del panel FE (M8); asociacion, sin lectura causal; el factor comun es un resumen de comovimiento (pendiente ~1 mecanica, J23)</t>
        </is>
      </c>
      <c r="P8" s="3" t="inlineStr">
        <is>
          <t>output/v8/F5/regional_ranking.csv</t>
        </is>
      </c>
    </row>
    <row r="9">
      <c r="A9" s="3" t="inlineStr">
        <is>
          <t>alquiler</t>
        </is>
      </c>
      <c r="B9" s="3" t="inlineStr">
        <is>
          <t>ccaa:01</t>
        </is>
      </c>
      <c r="C9" s="3" t="inlineStr">
        <is>
          <t>P2</t>
        </is>
      </c>
      <c r="D9" s="3" t="inlineStr">
        <is>
          <t>residuo</t>
        </is>
      </c>
      <c r="E9" s="3" t="inlineStr">
        <is>
          <t>regional_panel</t>
        </is>
      </c>
      <c r="F9" s="3" t="inlineStr">
        <is>
          <t>panel_covariables</t>
        </is>
      </c>
      <c r="G9" s="3" t="n">
        <v>-0.371302</v>
      </c>
      <c r="H9" s="3" t="n">
        <v>14.3245</v>
      </c>
      <c r="I9" s="3" t="n">
        <v>-1.24927</v>
      </c>
      <c r="J9" s="3" t="n">
        <v>0.230081</v>
      </c>
      <c r="K9" s="3" t="n">
        <v>-2.59207</v>
      </c>
      <c r="L9" s="3" t="n"/>
      <c r="M9" s="3" t="inlineStr">
        <is>
          <t>no</t>
        </is>
      </c>
      <c r="N9" s="3" t="inlineStr">
        <is>
          <t>no designado (contraste C4: no hay svar_hd regional)</t>
        </is>
      </c>
      <c r="O9" s="3" t="inlineStr">
        <is>
          <t>CCAA: ranking por c_f·sign(dY) del panel FE (M8); asociacion, sin lectura causal; el factor comun es un resumen de comovimiento (pendiente ~1 mecanica, J23)</t>
        </is>
      </c>
      <c r="P9" s="3" t="inlineStr">
        <is>
          <t>output/v8/F5/regional_ranking.csv</t>
        </is>
      </c>
    </row>
    <row r="10">
      <c r="A10" s="3" t="inlineStr">
        <is>
          <t>alquiler</t>
        </is>
      </c>
      <c r="B10" s="3" t="inlineStr">
        <is>
          <t>ccaa:01</t>
        </is>
      </c>
      <c r="C10" s="3" t="inlineStr">
        <is>
          <t>P3</t>
        </is>
      </c>
      <c r="D10" s="3" t="inlineStr">
        <is>
          <t>factor_comun</t>
        </is>
      </c>
      <c r="E10" s="3" t="inlineStr">
        <is>
          <t>regional_ccaa_ols</t>
        </is>
      </c>
      <c r="F10" s="3" t="inlineStr">
        <is>
          <t>ols_solo_factor</t>
        </is>
      </c>
      <c r="G10" s="3" t="n">
        <v>-2.70797</v>
      </c>
      <c r="H10" s="3" t="n">
        <v>119.626</v>
      </c>
      <c r="I10" s="3" t="n">
        <v>-4.18432</v>
      </c>
      <c r="J10" s="3" t="n">
        <v>-1.237</v>
      </c>
      <c r="K10" s="3" t="n">
        <v>-1.84167</v>
      </c>
      <c r="L10" s="3" t="n"/>
      <c r="M10" s="3" t="inlineStr">
        <is>
          <t>no</t>
        </is>
      </c>
      <c r="N10" s="3" t="inlineStr">
        <is>
          <t>no designado (contraste C4: no hay svar_hd regional)</t>
        </is>
      </c>
      <c r="O10" s="3" t="inlineStr">
        <is>
          <t>CCAA: ranking por c_f·sign(dY) del panel FE (M8); asociacion, sin lectura causal; el factor comun es un resumen de comovimiento (pendiente ~1 mecanica, J23)</t>
        </is>
      </c>
      <c r="P10" s="3" t="inlineStr">
        <is>
          <t>output/v8/F5/regional_ranking.csv</t>
        </is>
      </c>
    </row>
    <row r="11">
      <c r="A11" s="3" t="inlineStr">
        <is>
          <t>alquiler</t>
        </is>
      </c>
      <c r="B11" s="3" t="inlineStr">
        <is>
          <t>ccaa:01</t>
        </is>
      </c>
      <c r="C11" s="3" t="inlineStr">
        <is>
          <t>P3</t>
        </is>
      </c>
      <c r="D11" s="3" t="inlineStr">
        <is>
          <t>residuo</t>
        </is>
      </c>
      <c r="E11" s="3" t="inlineStr">
        <is>
          <t>regional_ccaa_ols</t>
        </is>
      </c>
      <c r="F11" s="3" t="inlineStr">
        <is>
          <t>ols_solo_factor</t>
        </is>
      </c>
      <c r="G11" s="3" t="n">
        <v>0.44428</v>
      </c>
      <c r="H11" s="3" t="n">
        <v>-19.6264</v>
      </c>
      <c r="I11" s="3" t="n"/>
      <c r="J11" s="3" t="n"/>
      <c r="K11" s="3" t="n">
        <v>-1.84167</v>
      </c>
      <c r="L11" s="3" t="n"/>
      <c r="M11" s="3" t="inlineStr">
        <is>
          <t>no</t>
        </is>
      </c>
      <c r="N11" s="3" t="inlineStr">
        <is>
          <t>no designado (contraste C4: no hay svar_hd regional)</t>
        </is>
      </c>
      <c r="O11" s="3" t="inlineStr">
        <is>
          <t>CCAA: ranking por c_f·sign(dY) del panel FE (M8); asociacion, sin lectura causal; el factor comun es un resumen de comovimiento (pendiente ~1 mecanica, J23)</t>
        </is>
      </c>
      <c r="P11" s="3" t="inlineStr">
        <is>
          <t>output/v8/F5/regional_ranking.csv</t>
        </is>
      </c>
    </row>
    <row r="12">
      <c r="A12" s="3" t="inlineStr">
        <is>
          <t>alquiler</t>
        </is>
      </c>
      <c r="B12" s="3" t="inlineStr">
        <is>
          <t>ccaa:01</t>
        </is>
      </c>
      <c r="C12" s="3" t="inlineStr">
        <is>
          <t>P3</t>
        </is>
      </c>
      <c r="D12" s="3" t="inlineStr">
        <is>
          <t>factor_comun</t>
        </is>
      </c>
      <c r="E12" s="3" t="inlineStr">
        <is>
          <t>regional_panel</t>
        </is>
      </c>
      <c r="F12" s="3" t="inlineStr">
        <is>
          <t>panel_covariables</t>
        </is>
      </c>
      <c r="G12" s="3" t="n">
        <v>-1.89168</v>
      </c>
      <c r="H12" s="3" t="n">
        <v>102.715</v>
      </c>
      <c r="I12" s="3" t="n">
        <v>-3.03018</v>
      </c>
      <c r="J12" s="3" t="n">
        <v>-0.7753910000000001</v>
      </c>
      <c r="K12" s="3" t="n">
        <v>-1.84167</v>
      </c>
      <c r="L12" s="3" t="n"/>
      <c r="M12" s="3" t="inlineStr">
        <is>
          <t>no</t>
        </is>
      </c>
      <c r="N12" s="3" t="inlineStr">
        <is>
          <t>no designado (contraste C4: no hay svar_hd regional)</t>
        </is>
      </c>
      <c r="O12" s="3" t="inlineStr">
        <is>
          <t>CCAA: ranking por c_f·sign(dY) del panel FE (M8); asociacion, sin lectura causal; el factor comun es un resumen de comovimiento (pendiente ~1 mecanica, J23)</t>
        </is>
      </c>
      <c r="P12" s="3" t="inlineStr">
        <is>
          <t>output/v8/F5/regional_ranking.csv</t>
        </is>
      </c>
    </row>
    <row r="13">
      <c r="A13" s="3" t="inlineStr">
        <is>
          <t>alquiler</t>
        </is>
      </c>
      <c r="B13" s="3" t="inlineStr">
        <is>
          <t>ccaa:01</t>
        </is>
      </c>
      <c r="C13" s="3" t="inlineStr">
        <is>
          <t>P3</t>
        </is>
      </c>
      <c r="D13" s="3" t="inlineStr">
        <is>
          <t>empleo_renta</t>
        </is>
      </c>
      <c r="E13" s="3" t="inlineStr">
        <is>
          <t>regional_panel</t>
        </is>
      </c>
      <c r="F13" s="3" t="inlineStr">
        <is>
          <t>panel_covariables</t>
        </is>
      </c>
      <c r="G13" s="3" t="n">
        <v>0.335208</v>
      </c>
      <c r="H13" s="3" t="n">
        <v>-18.2012</v>
      </c>
      <c r="I13" s="3" t="n">
        <v>0.106512</v>
      </c>
      <c r="J13" s="3" t="n">
        <v>0.50263</v>
      </c>
      <c r="K13" s="3" t="n">
        <v>-1.84167</v>
      </c>
      <c r="L13" s="3" t="n">
        <v>3</v>
      </c>
      <c r="M13" s="3" t="inlineStr">
        <is>
          <t>si</t>
        </is>
      </c>
      <c r="N13" s="3" t="inlineStr">
        <is>
          <t>no designado (contraste C4: no hay svar_hd regional)</t>
        </is>
      </c>
      <c r="O13" s="3" t="inlineStr">
        <is>
          <t>CCAA: ranking por c_f·sign(dY) del panel FE (M8); asociacion, sin lectura causal; el factor comun es un resumen de comovimiento (pendiente ~1 mecanica, J23)</t>
        </is>
      </c>
      <c r="P13" s="3" t="inlineStr">
        <is>
          <t>output/v8/F5/regional_ranking.csv</t>
        </is>
      </c>
    </row>
    <row r="14">
      <c r="A14" s="3" t="inlineStr">
        <is>
          <t>alquiler</t>
        </is>
      </c>
      <c r="B14" s="3" t="inlineStr">
        <is>
          <t>ccaa:01</t>
        </is>
      </c>
      <c r="C14" s="3" t="inlineStr">
        <is>
          <t>P3</t>
        </is>
      </c>
      <c r="D14" s="3" t="inlineStr">
        <is>
          <t>demografia</t>
        </is>
      </c>
      <c r="E14" s="3" t="inlineStr">
        <is>
          <t>regional_panel</t>
        </is>
      </c>
      <c r="F14" s="3" t="inlineStr">
        <is>
          <t>panel_covariables</t>
        </is>
      </c>
      <c r="G14" s="3" t="n">
        <v>0.393359</v>
      </c>
      <c r="H14" s="3" t="n">
        <v>-21.3588</v>
      </c>
      <c r="I14" s="3" t="n">
        <v>0.255928</v>
      </c>
      <c r="J14" s="3" t="n">
        <v>0.549214</v>
      </c>
      <c r="K14" s="3" t="n">
        <v>-1.84167</v>
      </c>
      <c r="L14" s="3" t="n">
        <v>4</v>
      </c>
      <c r="M14" s="3" t="inlineStr">
        <is>
          <t>si</t>
        </is>
      </c>
      <c r="N14" s="3" t="inlineStr">
        <is>
          <t>no designado (contraste C4: no hay svar_hd regional)</t>
        </is>
      </c>
      <c r="O14" s="3" t="inlineStr">
        <is>
          <t>CCAA: ranking por c_f·sign(dY) del panel FE (M8); asociacion, sin lectura causal; el factor comun es un resumen de comovimiento (pendiente ~1 mecanica, J23)</t>
        </is>
      </c>
      <c r="P14" s="3" t="inlineStr">
        <is>
          <t>output/v8/F5/regional_ranking.csv</t>
        </is>
      </c>
    </row>
    <row r="15">
      <c r="A15" s="3" t="inlineStr">
        <is>
          <t>alquiler</t>
        </is>
      </c>
      <c r="B15" s="3" t="inlineStr">
        <is>
          <t>ccaa:01</t>
        </is>
      </c>
      <c r="C15" s="3" t="inlineStr">
        <is>
          <t>P3</t>
        </is>
      </c>
      <c r="D15" s="3" t="inlineStr">
        <is>
          <t>oferta</t>
        </is>
      </c>
      <c r="E15" s="3" t="inlineStr">
        <is>
          <t>regional_panel</t>
        </is>
      </c>
      <c r="F15" s="3" t="inlineStr">
        <is>
          <t>panel_covariables</t>
        </is>
      </c>
      <c r="G15" s="3" t="n">
        <v>0.0555071</v>
      </c>
      <c r="H15" s="3" t="n">
        <v>-3.01395</v>
      </c>
      <c r="I15" s="3" t="n">
        <v>-0.0151578</v>
      </c>
      <c r="J15" s="3" t="n">
        <v>0.184195</v>
      </c>
      <c r="K15" s="3" t="n">
        <v>-1.84167</v>
      </c>
      <c r="L15" s="3" t="n">
        <v>1</v>
      </c>
      <c r="M15" s="3" t="inlineStr">
        <is>
          <t>si</t>
        </is>
      </c>
      <c r="N15" s="3" t="inlineStr">
        <is>
          <t>no designado (contraste C4: no hay svar_hd regional)</t>
        </is>
      </c>
      <c r="O15" s="3" t="inlineStr">
        <is>
          <t>CCAA: ranking por c_f·sign(dY) del panel FE (M8); asociacion, sin lectura causal; el factor comun es un resumen de comovimiento (pendiente ~1 mecanica, J23)</t>
        </is>
      </c>
      <c r="P15" s="3" t="inlineStr">
        <is>
          <t>output/v8/F5/regional_ranking.csv</t>
        </is>
      </c>
    </row>
    <row r="16">
      <c r="A16" s="3" t="inlineStr">
        <is>
          <t>alquiler</t>
        </is>
      </c>
      <c r="B16" s="3" t="inlineStr">
        <is>
          <t>ccaa:01</t>
        </is>
      </c>
      <c r="C16" s="3" t="inlineStr">
        <is>
          <t>P3</t>
        </is>
      </c>
      <c r="D16" s="3" t="inlineStr">
        <is>
          <t>demanda_externa</t>
        </is>
      </c>
      <c r="E16" s="3" t="inlineStr">
        <is>
          <t>regional_panel</t>
        </is>
      </c>
      <c r="F16" s="3" t="inlineStr">
        <is>
          <t>panel_covariables</t>
        </is>
      </c>
      <c r="G16" s="3" t="n">
        <v>0.0880398</v>
      </c>
      <c r="H16" s="3" t="n">
        <v>-4.78042</v>
      </c>
      <c r="I16" s="3" t="n">
        <v>0.029592</v>
      </c>
      <c r="J16" s="3" t="n">
        <v>0.159682</v>
      </c>
      <c r="K16" s="3" t="n">
        <v>-1.84167</v>
      </c>
      <c r="L16" s="3" t="n">
        <v>2</v>
      </c>
      <c r="M16" s="3" t="inlineStr">
        <is>
          <t>si</t>
        </is>
      </c>
      <c r="N16" s="3" t="inlineStr">
        <is>
          <t>no designado (contraste C4: no hay svar_hd regional)</t>
        </is>
      </c>
      <c r="O16" s="3" t="inlineStr">
        <is>
          <t>CCAA: ranking por c_f·sign(dY) del panel FE (M8); asociacion, sin lectura causal; el factor comun es un resumen de comovimiento (pendiente ~1 mecanica, J23)</t>
        </is>
      </c>
      <c r="P16" s="3" t="inlineStr">
        <is>
          <t>output/v8/F5/regional_ranking.csv</t>
        </is>
      </c>
    </row>
    <row r="17">
      <c r="A17" s="3" t="inlineStr">
        <is>
          <t>alquiler</t>
        </is>
      </c>
      <c r="B17" s="3" t="inlineStr">
        <is>
          <t>ccaa:01</t>
        </is>
      </c>
      <c r="C17" s="3" t="inlineStr">
        <is>
          <t>P3</t>
        </is>
      </c>
      <c r="D17" s="3" t="inlineStr">
        <is>
          <t>residuo</t>
        </is>
      </c>
      <c r="E17" s="3" t="inlineStr">
        <is>
          <t>regional_panel</t>
        </is>
      </c>
      <c r="F17" s="3" t="inlineStr">
        <is>
          <t>panel_covariables</t>
        </is>
      </c>
      <c r="G17" s="3" t="n">
        <v>-0.8221039999999999</v>
      </c>
      <c r="H17" s="3" t="n">
        <v>44.639</v>
      </c>
      <c r="I17" s="3" t="n">
        <v>-1.11646</v>
      </c>
      <c r="J17" s="3" t="n">
        <v>-0.484788</v>
      </c>
      <c r="K17" s="3" t="n">
        <v>-1.84167</v>
      </c>
      <c r="L17" s="3" t="n"/>
      <c r="M17" s="3" t="inlineStr">
        <is>
          <t>no</t>
        </is>
      </c>
      <c r="N17" s="3" t="inlineStr">
        <is>
          <t>no designado (contraste C4: no hay svar_hd regional)</t>
        </is>
      </c>
      <c r="O17" s="3" t="inlineStr">
        <is>
          <t>CCAA: ranking por c_f·sign(dY) del panel FE (M8); asociacion, sin lectura causal; el factor comun es un resumen de comovimiento (pendiente ~1 mecanica, J23)</t>
        </is>
      </c>
      <c r="P17" s="3" t="inlineStr">
        <is>
          <t>output/v8/F5/regional_ranking.csv</t>
        </is>
      </c>
    </row>
    <row r="18">
      <c r="A18" s="3" t="inlineStr">
        <is>
          <t>alquiler</t>
        </is>
      </c>
      <c r="B18" s="3" t="inlineStr">
        <is>
          <t>ccaa:01</t>
        </is>
      </c>
      <c r="C18" s="3" t="inlineStr">
        <is>
          <t>P4</t>
        </is>
      </c>
      <c r="D18" s="3" t="inlineStr">
        <is>
          <t>factor_comun</t>
        </is>
      </c>
      <c r="E18" s="3" t="inlineStr">
        <is>
          <t>regional_ccaa_ols</t>
        </is>
      </c>
      <c r="F18" s="3" t="inlineStr">
        <is>
          <t>ols_solo_factor</t>
        </is>
      </c>
      <c r="G18" s="3" t="n">
        <v>-4.93996</v>
      </c>
      <c r="H18" s="3" t="n">
        <v>102.87</v>
      </c>
      <c r="I18" s="3" t="n">
        <v>-8.07968</v>
      </c>
      <c r="J18" s="3" t="n">
        <v>-1.56532</v>
      </c>
      <c r="K18" s="3" t="n">
        <v>-4.80214</v>
      </c>
      <c r="L18" s="3" t="n"/>
      <c r="M18" s="3" t="inlineStr">
        <is>
          <t>no</t>
        </is>
      </c>
      <c r="N18" s="3" t="inlineStr">
        <is>
          <t>no designado (contraste C4: no hay svar_hd regional)</t>
        </is>
      </c>
      <c r="O18" s="3" t="inlineStr">
        <is>
          <t>CCAA: ranking por c_f·sign(dY) del panel FE (M8); asociacion, sin lectura causal; el factor comun es un resumen de comovimiento (pendiente ~1 mecanica, J23)</t>
        </is>
      </c>
      <c r="P18" s="3" t="inlineStr">
        <is>
          <t>output/v8/F5/regional_ranking.csv</t>
        </is>
      </c>
    </row>
    <row r="19">
      <c r="A19" s="3" t="inlineStr">
        <is>
          <t>alquiler</t>
        </is>
      </c>
      <c r="B19" s="3" t="inlineStr">
        <is>
          <t>ccaa:01</t>
        </is>
      </c>
      <c r="C19" s="3" t="inlineStr">
        <is>
          <t>P4</t>
        </is>
      </c>
      <c r="D19" s="3" t="inlineStr">
        <is>
          <t>residuo</t>
        </is>
      </c>
      <c r="E19" s="3" t="inlineStr">
        <is>
          <t>regional_ccaa_ols</t>
        </is>
      </c>
      <c r="F19" s="3" t="inlineStr">
        <is>
          <t>ols_solo_factor</t>
        </is>
      </c>
      <c r="G19" s="3" t="n">
        <v>0.137818</v>
      </c>
      <c r="H19" s="3" t="n">
        <v>-2.86993</v>
      </c>
      <c r="I19" s="3" t="n"/>
      <c r="J19" s="3" t="n"/>
      <c r="K19" s="3" t="n">
        <v>-4.80214</v>
      </c>
      <c r="L19" s="3" t="n"/>
      <c r="M19" s="3" t="inlineStr">
        <is>
          <t>no</t>
        </is>
      </c>
      <c r="N19" s="3" t="inlineStr">
        <is>
          <t>no designado (contraste C4: no hay svar_hd regional)</t>
        </is>
      </c>
      <c r="O19" s="3" t="inlineStr">
        <is>
          <t>CCAA: ranking por c_f·sign(dY) del panel FE (M8); asociacion, sin lectura causal; el factor comun es un resumen de comovimiento (pendiente ~1 mecanica, J23)</t>
        </is>
      </c>
      <c r="P19" s="3" t="inlineStr">
        <is>
          <t>output/v8/F5/regional_ranking.csv</t>
        </is>
      </c>
    </row>
    <row r="20">
      <c r="A20" s="3" t="inlineStr">
        <is>
          <t>alquiler</t>
        </is>
      </c>
      <c r="B20" s="3" t="inlineStr">
        <is>
          <t>ccaa:01</t>
        </is>
      </c>
      <c r="C20" s="3" t="inlineStr">
        <is>
          <t>P4</t>
        </is>
      </c>
      <c r="D20" s="3" t="inlineStr">
        <is>
          <t>factor_comun</t>
        </is>
      </c>
      <c r="E20" s="3" t="inlineStr">
        <is>
          <t>regional_panel</t>
        </is>
      </c>
      <c r="F20" s="3" t="inlineStr">
        <is>
          <t>panel_covariables</t>
        </is>
      </c>
      <c r="G20" s="3" t="n">
        <v>-4.82785</v>
      </c>
      <c r="H20" s="3" t="n">
        <v>100.535</v>
      </c>
      <c r="I20" s="3" t="n">
        <v>-8.01083</v>
      </c>
      <c r="J20" s="3" t="n">
        <v>-1.73403</v>
      </c>
      <c r="K20" s="3" t="n">
        <v>-4.80214</v>
      </c>
      <c r="L20" s="3" t="n"/>
      <c r="M20" s="3" t="inlineStr">
        <is>
          <t>no</t>
        </is>
      </c>
      <c r="N20" s="3" t="inlineStr">
        <is>
          <t>no designado (contraste C4: no hay svar_hd regional)</t>
        </is>
      </c>
      <c r="O20" s="3" t="inlineStr">
        <is>
          <t>CCAA: ranking por c_f·sign(dY) del panel FE (M8); asociacion, sin lectura causal; el factor comun es un resumen de comovimiento (pendiente ~1 mecanica, J23)</t>
        </is>
      </c>
      <c r="P20" s="3" t="inlineStr">
        <is>
          <t>output/v8/F5/regional_ranking.csv</t>
        </is>
      </c>
    </row>
    <row r="21">
      <c r="A21" s="3" t="inlineStr">
        <is>
          <t>alquiler</t>
        </is>
      </c>
      <c r="B21" s="3" t="inlineStr">
        <is>
          <t>ccaa:01</t>
        </is>
      </c>
      <c r="C21" s="3" t="inlineStr">
        <is>
          <t>P4</t>
        </is>
      </c>
      <c r="D21" s="3" t="inlineStr">
        <is>
          <t>empleo_renta</t>
        </is>
      </c>
      <c r="E21" s="3" t="inlineStr">
        <is>
          <t>regional_panel</t>
        </is>
      </c>
      <c r="F21" s="3" t="inlineStr">
        <is>
          <t>panel_covariables</t>
        </is>
      </c>
      <c r="G21" s="3" t="n">
        <v>0.0395733</v>
      </c>
      <c r="H21" s="3" t="n">
        <v>-0.824076</v>
      </c>
      <c r="I21" s="3" t="n">
        <v>-0.0497992</v>
      </c>
      <c r="J21" s="3" t="n">
        <v>0.0634463</v>
      </c>
      <c r="K21" s="3" t="n">
        <v>-4.80214</v>
      </c>
      <c r="L21" s="3" t="n">
        <v>3</v>
      </c>
      <c r="M21" s="3" t="inlineStr">
        <is>
          <t>si</t>
        </is>
      </c>
      <c r="N21" s="3" t="inlineStr">
        <is>
          <t>no designado (contraste C4: no hay svar_hd regional)</t>
        </is>
      </c>
      <c r="O21" s="3" t="inlineStr">
        <is>
          <t>CCAA: ranking por c_f·sign(dY) del panel FE (M8); asociacion, sin lectura causal; el factor comun es un resumen de comovimiento (pendiente ~1 mecanica, J23)</t>
        </is>
      </c>
      <c r="P21" s="3" t="inlineStr">
        <is>
          <t>output/v8/F5/regional_ranking.csv</t>
        </is>
      </c>
    </row>
    <row r="22">
      <c r="A22" s="3" t="inlineStr">
        <is>
          <t>alquiler</t>
        </is>
      </c>
      <c r="B22" s="3" t="inlineStr">
        <is>
          <t>ccaa:01</t>
        </is>
      </c>
      <c r="C22" s="3" t="inlineStr">
        <is>
          <t>P4</t>
        </is>
      </c>
      <c r="D22" s="3" t="inlineStr">
        <is>
          <t>demografia</t>
        </is>
      </c>
      <c r="E22" s="3" t="inlineStr">
        <is>
          <t>regional_panel</t>
        </is>
      </c>
      <c r="F22" s="3" t="inlineStr">
        <is>
          <t>panel_covariables</t>
        </is>
      </c>
      <c r="G22" s="3" t="n">
        <v>0.35277</v>
      </c>
      <c r="H22" s="3" t="n">
        <v>-7.34611</v>
      </c>
      <c r="I22" s="3" t="n">
        <v>0.222016</v>
      </c>
      <c r="J22" s="3" t="n">
        <v>0.486372</v>
      </c>
      <c r="K22" s="3" t="n">
        <v>-4.80214</v>
      </c>
      <c r="L22" s="3" t="n">
        <v>4</v>
      </c>
      <c r="M22" s="3" t="inlineStr">
        <is>
          <t>si</t>
        </is>
      </c>
      <c r="N22" s="3" t="inlineStr">
        <is>
          <t>no designado (contraste C4: no hay svar_hd regional)</t>
        </is>
      </c>
      <c r="O22" s="3" t="inlineStr">
        <is>
          <t>CCAA: ranking por c_f·sign(dY) del panel FE (M8); asociacion, sin lectura causal; el factor comun es un resumen de comovimiento (pendiente ~1 mecanica, J23)</t>
        </is>
      </c>
      <c r="P22" s="3" t="inlineStr">
        <is>
          <t>output/v8/F5/regional_ranking.csv</t>
        </is>
      </c>
    </row>
    <row r="23">
      <c r="A23" s="3" t="inlineStr">
        <is>
          <t>alquiler</t>
        </is>
      </c>
      <c r="B23" s="3" t="inlineStr">
        <is>
          <t>ccaa:01</t>
        </is>
      </c>
      <c r="C23" s="3" t="inlineStr">
        <is>
          <t>P4</t>
        </is>
      </c>
      <c r="D23" s="3" t="inlineStr">
        <is>
          <t>oferta</t>
        </is>
      </c>
      <c r="E23" s="3" t="inlineStr">
        <is>
          <t>regional_panel</t>
        </is>
      </c>
      <c r="F23" s="3" t="inlineStr">
        <is>
          <t>panel_covariables</t>
        </is>
      </c>
      <c r="G23" s="3" t="n">
        <v>0.00203751</v>
      </c>
      <c r="H23" s="3" t="n">
        <v>-0.0424292</v>
      </c>
      <c r="I23" s="3" t="n">
        <v>-0.0155916</v>
      </c>
      <c r="J23" s="3" t="n">
        <v>0.035273</v>
      </c>
      <c r="K23" s="3" t="n">
        <v>-4.80214</v>
      </c>
      <c r="L23" s="3" t="n">
        <v>1</v>
      </c>
      <c r="M23" s="3" t="inlineStr">
        <is>
          <t>si</t>
        </is>
      </c>
      <c r="N23" s="3" t="inlineStr">
        <is>
          <t>no designado (contraste C4: no hay svar_hd regional)</t>
        </is>
      </c>
      <c r="O23" s="3" t="inlineStr">
        <is>
          <t>CCAA: ranking por c_f·sign(dY) del panel FE (M8); asociacion, sin lectura causal; el factor comun es un resumen de comovimiento (pendiente ~1 mecanica, J23)</t>
        </is>
      </c>
      <c r="P23" s="3" t="inlineStr">
        <is>
          <t>output/v8/F5/regional_ranking.csv</t>
        </is>
      </c>
    </row>
    <row r="24">
      <c r="A24" s="3" t="inlineStr">
        <is>
          <t>alquiler</t>
        </is>
      </c>
      <c r="B24" s="3" t="inlineStr">
        <is>
          <t>ccaa:01</t>
        </is>
      </c>
      <c r="C24" s="3" t="inlineStr">
        <is>
          <t>P4</t>
        </is>
      </c>
      <c r="D24" s="3" t="inlineStr">
        <is>
          <t>demanda_externa</t>
        </is>
      </c>
      <c r="E24" s="3" t="inlineStr">
        <is>
          <t>regional_panel</t>
        </is>
      </c>
      <c r="F24" s="3" t="inlineStr">
        <is>
          <t>panel_covariables</t>
        </is>
      </c>
      <c r="G24" s="3" t="n">
        <v>0.00895513</v>
      </c>
      <c r="H24" s="3" t="n">
        <v>-0.186482</v>
      </c>
      <c r="I24" s="3" t="n">
        <v>-0.0420864</v>
      </c>
      <c r="J24" s="3" t="n">
        <v>0.0270526</v>
      </c>
      <c r="K24" s="3" t="n">
        <v>-4.80214</v>
      </c>
      <c r="L24" s="3" t="n">
        <v>2</v>
      </c>
      <c r="M24" s="3" t="inlineStr">
        <is>
          <t>si</t>
        </is>
      </c>
      <c r="N24" s="3" t="inlineStr">
        <is>
          <t>no designado (contraste C4: no hay svar_hd regional)</t>
        </is>
      </c>
      <c r="O24" s="3" t="inlineStr">
        <is>
          <t>CCAA: ranking por c_f·sign(dY) del panel FE (M8); asociacion, sin lectura causal; el factor comun es un resumen de comovimiento (pendiente ~1 mecanica, J23)</t>
        </is>
      </c>
      <c r="P24" s="3" t="inlineStr">
        <is>
          <t>output/v8/F5/regional_ranking.csv</t>
        </is>
      </c>
    </row>
    <row r="25">
      <c r="A25" s="3" t="inlineStr">
        <is>
          <t>alquiler</t>
        </is>
      </c>
      <c r="B25" s="3" t="inlineStr">
        <is>
          <t>ccaa:01</t>
        </is>
      </c>
      <c r="C25" s="3" t="inlineStr">
        <is>
          <t>P4</t>
        </is>
      </c>
      <c r="D25" s="3" t="inlineStr">
        <is>
          <t>residuo</t>
        </is>
      </c>
      <c r="E25" s="3" t="inlineStr">
        <is>
          <t>regional_panel</t>
        </is>
      </c>
      <c r="F25" s="3" t="inlineStr">
        <is>
          <t>panel_covariables</t>
        </is>
      </c>
      <c r="G25" s="3" t="n">
        <v>-0.377629</v>
      </c>
      <c r="H25" s="3" t="n">
        <v>7.86376</v>
      </c>
      <c r="I25" s="3" t="n">
        <v>-0.71118</v>
      </c>
      <c r="J25" s="3" t="n">
        <v>-0.0940054</v>
      </c>
      <c r="K25" s="3" t="n">
        <v>-4.80214</v>
      </c>
      <c r="L25" s="3" t="n"/>
      <c r="M25" s="3" t="inlineStr">
        <is>
          <t>no</t>
        </is>
      </c>
      <c r="N25" s="3" t="inlineStr">
        <is>
          <t>no designado (contraste C4: no hay svar_hd regional)</t>
        </is>
      </c>
      <c r="O25" s="3" t="inlineStr">
        <is>
          <t>CCAA: ranking por c_f·sign(dY) del panel FE (M8); asociacion, sin lectura causal; el factor comun es un resumen de comovimiento (pendiente ~1 mecanica, J23)</t>
        </is>
      </c>
      <c r="P25" s="3" t="inlineStr">
        <is>
          <t>output/v8/F5/regional_ranking.csv</t>
        </is>
      </c>
    </row>
    <row r="26">
      <c r="A26" s="3" t="inlineStr">
        <is>
          <t>alquiler</t>
        </is>
      </c>
      <c r="B26" s="3" t="inlineStr">
        <is>
          <t>ccaa:01</t>
        </is>
      </c>
      <c r="C26" s="3" t="inlineStr">
        <is>
          <t>P5</t>
        </is>
      </c>
      <c r="D26" s="3" t="inlineStr">
        <is>
          <t>factor_comun</t>
        </is>
      </c>
      <c r="E26" s="3" t="inlineStr">
        <is>
          <t>regional_ccaa_ols</t>
        </is>
      </c>
      <c r="F26" s="3" t="inlineStr">
        <is>
          <t>ols_solo_factor</t>
        </is>
      </c>
      <c r="G26" s="3" t="n">
        <v>-6.11657</v>
      </c>
      <c r="H26" s="3" t="n">
        <v>141.087</v>
      </c>
      <c r="I26" s="3" t="n">
        <v>-9.12608</v>
      </c>
      <c r="J26" s="3" t="n">
        <v>-2.74643</v>
      </c>
      <c r="K26" s="3" t="n">
        <v>-4.56992</v>
      </c>
      <c r="L26" s="3" t="n"/>
      <c r="M26" s="3" t="inlineStr">
        <is>
          <t>no</t>
        </is>
      </c>
      <c r="N26" s="3" t="inlineStr">
        <is>
          <t>no designado (contraste C4: no hay svar_hd regional)</t>
        </is>
      </c>
      <c r="O26" s="3" t="inlineStr">
        <is>
          <t>CCAA: ranking por c_f·sign(dY) del panel FE (M8); asociacion, sin lectura causal; el factor comun es un resumen de comovimiento (pendiente ~1 mecanica, J23)</t>
        </is>
      </c>
      <c r="P26" s="3" t="inlineStr">
        <is>
          <t>output/v8/F5/regional_ranking.csv</t>
        </is>
      </c>
    </row>
    <row r="27">
      <c r="A27" s="3" t="inlineStr">
        <is>
          <t>alquiler</t>
        </is>
      </c>
      <c r="B27" s="3" t="inlineStr">
        <is>
          <t>ccaa:01</t>
        </is>
      </c>
      <c r="C27" s="3" t="inlineStr">
        <is>
          <t>P5</t>
        </is>
      </c>
      <c r="D27" s="3" t="inlineStr">
        <is>
          <t>residuo</t>
        </is>
      </c>
      <c r="E27" s="3" t="inlineStr">
        <is>
          <t>regional_ccaa_ols</t>
        </is>
      </c>
      <c r="F27" s="3" t="inlineStr">
        <is>
          <t>ols_solo_factor</t>
        </is>
      </c>
      <c r="G27" s="3" t="n">
        <v>1.78126</v>
      </c>
      <c r="H27" s="3" t="n">
        <v>-41.0871</v>
      </c>
      <c r="I27" s="3" t="n"/>
      <c r="J27" s="3" t="n"/>
      <c r="K27" s="3" t="n">
        <v>-4.56992</v>
      </c>
      <c r="L27" s="3" t="n"/>
      <c r="M27" s="3" t="inlineStr">
        <is>
          <t>no</t>
        </is>
      </c>
      <c r="N27" s="3" t="inlineStr">
        <is>
          <t>no designado (contraste C4: no hay svar_hd regional)</t>
        </is>
      </c>
      <c r="O27" s="3" t="inlineStr">
        <is>
          <t>CCAA: ranking por c_f·sign(dY) del panel FE (M8); asociacion, sin lectura causal; el factor comun es un resumen de comovimiento (pendiente ~1 mecanica, J23)</t>
        </is>
      </c>
      <c r="P27" s="3" t="inlineStr">
        <is>
          <t>output/v8/F5/regional_ranking.csv</t>
        </is>
      </c>
    </row>
    <row r="28">
      <c r="A28" s="3" t="inlineStr">
        <is>
          <t>alquiler</t>
        </is>
      </c>
      <c r="B28" s="3" t="inlineStr">
        <is>
          <t>ccaa:01</t>
        </is>
      </c>
      <c r="C28" s="3" t="inlineStr">
        <is>
          <t>P5</t>
        </is>
      </c>
      <c r="D28" s="3" t="inlineStr">
        <is>
          <t>factor_comun</t>
        </is>
      </c>
      <c r="E28" s="3" t="inlineStr">
        <is>
          <t>regional_panel</t>
        </is>
      </c>
      <c r="F28" s="3" t="inlineStr">
        <is>
          <t>panel_covariables</t>
        </is>
      </c>
      <c r="G28" s="3" t="n">
        <v>-5.47353</v>
      </c>
      <c r="H28" s="3" t="n">
        <v>119.773</v>
      </c>
      <c r="I28" s="3" t="n">
        <v>-7.50057</v>
      </c>
      <c r="J28" s="3" t="n">
        <v>-3.0519</v>
      </c>
      <c r="K28" s="3" t="n">
        <v>-4.56992</v>
      </c>
      <c r="L28" s="3" t="n"/>
      <c r="M28" s="3" t="inlineStr">
        <is>
          <t>no</t>
        </is>
      </c>
      <c r="N28" s="3" t="inlineStr">
        <is>
          <t>no designado (contraste C4: no hay svar_hd regional)</t>
        </is>
      </c>
      <c r="O28" s="3" t="inlineStr">
        <is>
          <t>CCAA: ranking por c_f·sign(dY) del panel FE (M8); asociacion, sin lectura causal; el factor comun es un resumen de comovimiento (pendiente ~1 mecanica, J23)</t>
        </is>
      </c>
      <c r="P28" s="3" t="inlineStr">
        <is>
          <t>output/v8/F5/regional_ranking.csv</t>
        </is>
      </c>
    </row>
    <row r="29">
      <c r="A29" s="3" t="inlineStr">
        <is>
          <t>alquiler</t>
        </is>
      </c>
      <c r="B29" s="3" t="inlineStr">
        <is>
          <t>ccaa:01</t>
        </is>
      </c>
      <c r="C29" s="3" t="inlineStr">
        <is>
          <t>P5</t>
        </is>
      </c>
      <c r="D29" s="3" t="inlineStr">
        <is>
          <t>empleo_renta</t>
        </is>
      </c>
      <c r="E29" s="3" t="inlineStr">
        <is>
          <t>regional_panel</t>
        </is>
      </c>
      <c r="F29" s="3" t="inlineStr">
        <is>
          <t>panel_covariables</t>
        </is>
      </c>
      <c r="G29" s="3" t="n">
        <v>-0.105901</v>
      </c>
      <c r="H29" s="3" t="n">
        <v>2.31735</v>
      </c>
      <c r="I29" s="3" t="n">
        <v>-0.192563</v>
      </c>
      <c r="J29" s="3" t="n">
        <v>-0.0405687</v>
      </c>
      <c r="K29" s="3" t="n">
        <v>-4.56992</v>
      </c>
      <c r="L29" s="3" t="n">
        <v>1</v>
      </c>
      <c r="M29" s="3" t="inlineStr">
        <is>
          <t>si</t>
        </is>
      </c>
      <c r="N29" s="3" t="inlineStr">
        <is>
          <t>no designado (contraste C4: no hay svar_hd regional)</t>
        </is>
      </c>
      <c r="O29" s="3" t="inlineStr">
        <is>
          <t>CCAA: ranking por c_f·sign(dY) del panel FE (M8); asociacion, sin lectura causal; el factor comun es un resumen de comovimiento (pendiente ~1 mecanica, J23)</t>
        </is>
      </c>
      <c r="P29" s="3" t="inlineStr">
        <is>
          <t>output/v8/F5/regional_ranking.csv</t>
        </is>
      </c>
    </row>
    <row r="30">
      <c r="A30" s="3" t="inlineStr">
        <is>
          <t>alquiler</t>
        </is>
      </c>
      <c r="B30" s="3" t="inlineStr">
        <is>
          <t>ccaa:01</t>
        </is>
      </c>
      <c r="C30" s="3" t="inlineStr">
        <is>
          <t>P5</t>
        </is>
      </c>
      <c r="D30" s="3" t="inlineStr">
        <is>
          <t>demografia</t>
        </is>
      </c>
      <c r="E30" s="3" t="inlineStr">
        <is>
          <t>regional_panel</t>
        </is>
      </c>
      <c r="F30" s="3" t="inlineStr">
        <is>
          <t>panel_covariables</t>
        </is>
      </c>
      <c r="G30" s="3" t="n">
        <v>0.399998</v>
      </c>
      <c r="H30" s="3" t="n">
        <v>-8.752829999999999</v>
      </c>
      <c r="I30" s="3" t="n">
        <v>0.0716286</v>
      </c>
      <c r="J30" s="3" t="n">
        <v>0.8489409999999999</v>
      </c>
      <c r="K30" s="3" t="n">
        <v>-4.56992</v>
      </c>
      <c r="L30" s="3" t="n">
        <v>4</v>
      </c>
      <c r="M30" s="3" t="inlineStr">
        <is>
          <t>si</t>
        </is>
      </c>
      <c r="N30" s="3" t="inlineStr">
        <is>
          <t>no designado (contraste C4: no hay svar_hd regional)</t>
        </is>
      </c>
      <c r="O30" s="3" t="inlineStr">
        <is>
          <t>CCAA: ranking por c_f·sign(dY) del panel FE (M8); asociacion, sin lectura causal; el factor comun es un resumen de comovimiento (pendiente ~1 mecanica, J23)</t>
        </is>
      </c>
      <c r="P30" s="3" t="inlineStr">
        <is>
          <t>output/v8/F5/regional_ranking.csv</t>
        </is>
      </c>
    </row>
    <row r="31">
      <c r="A31" s="3" t="inlineStr">
        <is>
          <t>alquiler</t>
        </is>
      </c>
      <c r="B31" s="3" t="inlineStr">
        <is>
          <t>ccaa:01</t>
        </is>
      </c>
      <c r="C31" s="3" t="inlineStr">
        <is>
          <t>P5</t>
        </is>
      </c>
      <c r="D31" s="3" t="inlineStr">
        <is>
          <t>oferta</t>
        </is>
      </c>
      <c r="E31" s="3" t="inlineStr">
        <is>
          <t>regional_panel</t>
        </is>
      </c>
      <c r="F31" s="3" t="inlineStr">
        <is>
          <t>panel_covariables</t>
        </is>
      </c>
      <c r="G31" s="3" t="n">
        <v>-0.00768543</v>
      </c>
      <c r="H31" s="3" t="n">
        <v>0.168174</v>
      </c>
      <c r="I31" s="3" t="n">
        <v>-0.0229863</v>
      </c>
      <c r="J31" s="3" t="n">
        <v>0.003541</v>
      </c>
      <c r="K31" s="3" t="n">
        <v>-4.56992</v>
      </c>
      <c r="L31" s="3" t="n">
        <v>2</v>
      </c>
      <c r="M31" s="3" t="inlineStr">
        <is>
          <t>si</t>
        </is>
      </c>
      <c r="N31" s="3" t="inlineStr">
        <is>
          <t>no designado (contraste C4: no hay svar_hd regional)</t>
        </is>
      </c>
      <c r="O31" s="3" t="inlineStr">
        <is>
          <t>CCAA: ranking por c_f·sign(dY) del panel FE (M8); asociacion, sin lectura causal; el factor comun es un resumen de comovimiento (pendiente ~1 mecanica, J23)</t>
        </is>
      </c>
      <c r="P31" s="3" t="inlineStr">
        <is>
          <t>output/v8/F5/regional_ranking.csv</t>
        </is>
      </c>
    </row>
    <row r="32">
      <c r="A32" s="3" t="inlineStr">
        <is>
          <t>alquiler</t>
        </is>
      </c>
      <c r="B32" s="3" t="inlineStr">
        <is>
          <t>ccaa:01</t>
        </is>
      </c>
      <c r="C32" s="3" t="inlineStr">
        <is>
          <t>P5</t>
        </is>
      </c>
      <c r="D32" s="3" t="inlineStr">
        <is>
          <t>demanda_externa</t>
        </is>
      </c>
      <c r="E32" s="3" t="inlineStr">
        <is>
          <t>regional_panel</t>
        </is>
      </c>
      <c r="F32" s="3" t="inlineStr">
        <is>
          <t>panel_covariables</t>
        </is>
      </c>
      <c r="G32" s="3" t="n">
        <v>0.0220067</v>
      </c>
      <c r="H32" s="3" t="n">
        <v>-0.481554</v>
      </c>
      <c r="I32" s="3" t="n">
        <v>-0.0110548</v>
      </c>
      <c r="J32" s="3" t="n">
        <v>0.06415120000000001</v>
      </c>
      <c r="K32" s="3" t="n">
        <v>-4.56992</v>
      </c>
      <c r="L32" s="3" t="n">
        <v>3</v>
      </c>
      <c r="M32" s="3" t="inlineStr">
        <is>
          <t>si</t>
        </is>
      </c>
      <c r="N32" s="3" t="inlineStr">
        <is>
          <t>no designado (contraste C4: no hay svar_hd regional)</t>
        </is>
      </c>
      <c r="O32" s="3" t="inlineStr">
        <is>
          <t>CCAA: ranking por c_f·sign(dY) del panel FE (M8); asociacion, sin lectura causal; el factor comun es un resumen de comovimiento (pendiente ~1 mecanica, J23)</t>
        </is>
      </c>
      <c r="P32" s="3" t="inlineStr">
        <is>
          <t>output/v8/F5/regional_ranking.csv</t>
        </is>
      </c>
    </row>
    <row r="33">
      <c r="A33" s="3" t="inlineStr">
        <is>
          <t>alquiler</t>
        </is>
      </c>
      <c r="B33" s="3" t="inlineStr">
        <is>
          <t>ccaa:01</t>
        </is>
      </c>
      <c r="C33" s="3" t="inlineStr">
        <is>
          <t>P5</t>
        </is>
      </c>
      <c r="D33" s="3" t="inlineStr">
        <is>
          <t>residuo</t>
        </is>
      </c>
      <c r="E33" s="3" t="inlineStr">
        <is>
          <t>regional_panel</t>
        </is>
      </c>
      <c r="F33" s="3" t="inlineStr">
        <is>
          <t>panel_covariables</t>
        </is>
      </c>
      <c r="G33" s="3" t="n">
        <v>0.595189</v>
      </c>
      <c r="H33" s="3" t="n">
        <v>-13.024</v>
      </c>
      <c r="I33" s="3" t="n">
        <v>0.166417</v>
      </c>
      <c r="J33" s="3" t="n">
        <v>0.941758</v>
      </c>
      <c r="K33" s="3" t="n">
        <v>-4.56992</v>
      </c>
      <c r="L33" s="3" t="n"/>
      <c r="M33" s="3" t="inlineStr">
        <is>
          <t>no</t>
        </is>
      </c>
      <c r="N33" s="3" t="inlineStr">
        <is>
          <t>no designado (contraste C4: no hay svar_hd regional)</t>
        </is>
      </c>
      <c r="O33" s="3" t="inlineStr">
        <is>
          <t>CCAA: ranking por c_f·sign(dY) del panel FE (M8); asociacion, sin lectura causal; el factor comun es un resumen de comovimiento (pendiente ~1 mecanica, J23)</t>
        </is>
      </c>
      <c r="P33" s="3" t="inlineStr">
        <is>
          <t>output/v8/F5/regional_ranking.csv</t>
        </is>
      </c>
    </row>
    <row r="34">
      <c r="A34" s="3" t="inlineStr">
        <is>
          <t>alquiler</t>
        </is>
      </c>
      <c r="B34" s="3" t="inlineStr">
        <is>
          <t>ccaa:02</t>
        </is>
      </c>
      <c r="C34" s="3" t="inlineStr">
        <is>
          <t>P2</t>
        </is>
      </c>
      <c r="D34" s="3" t="inlineStr">
        <is>
          <t>factor_comun</t>
        </is>
      </c>
      <c r="E34" s="3" t="inlineStr">
        <is>
          <t>regional_ccaa_ols</t>
        </is>
      </c>
      <c r="F34" s="3" t="inlineStr">
        <is>
          <t>ols_solo_factor</t>
        </is>
      </c>
      <c r="G34" s="3" t="n">
        <v>-4.25675</v>
      </c>
      <c r="H34" s="3" t="n">
        <v>316.275</v>
      </c>
      <c r="I34" s="3" t="n">
        <v>-9.8317</v>
      </c>
      <c r="J34" s="3" t="n">
        <v>1.4756</v>
      </c>
      <c r="K34" s="3" t="n">
        <v>-2.48888</v>
      </c>
      <c r="L34" s="3" t="n"/>
      <c r="M34" s="3" t="inlineStr">
        <is>
          <t>no</t>
        </is>
      </c>
      <c r="N34" s="3" t="inlineStr">
        <is>
          <t>no designado (contraste C4: no hay svar_hd regional)</t>
        </is>
      </c>
      <c r="O34" s="3" t="inlineStr">
        <is>
          <t>CCAA: ranking por c_f·sign(dY) del panel FE (M8); asociacion, sin lectura causal; el factor comun es un resumen de comovimiento (pendiente ~1 mecanica, J23)</t>
        </is>
      </c>
      <c r="P34" s="3" t="inlineStr">
        <is>
          <t>output/v8/F5/regional_ranking.csv</t>
        </is>
      </c>
    </row>
    <row r="35">
      <c r="A35" s="3" t="inlineStr">
        <is>
          <t>alquiler</t>
        </is>
      </c>
      <c r="B35" s="3" t="inlineStr">
        <is>
          <t>ccaa:02</t>
        </is>
      </c>
      <c r="C35" s="3" t="inlineStr">
        <is>
          <t>P2</t>
        </is>
      </c>
      <c r="D35" s="3" t="inlineStr">
        <is>
          <t>residuo</t>
        </is>
      </c>
      <c r="E35" s="3" t="inlineStr">
        <is>
          <t>regional_ccaa_ols</t>
        </is>
      </c>
      <c r="F35" s="3" t="inlineStr">
        <is>
          <t>ols_solo_factor</t>
        </is>
      </c>
      <c r="G35" s="3" t="n">
        <v>2.91084</v>
      </c>
      <c r="H35" s="3" t="n">
        <v>-216.275</v>
      </c>
      <c r="I35" s="3" t="n"/>
      <c r="J35" s="3" t="n"/>
      <c r="K35" s="3" t="n">
        <v>-2.48888</v>
      </c>
      <c r="L35" s="3" t="n"/>
      <c r="M35" s="3" t="inlineStr">
        <is>
          <t>no</t>
        </is>
      </c>
      <c r="N35" s="3" t="inlineStr">
        <is>
          <t>no designado (contraste C4: no hay svar_hd regional)</t>
        </is>
      </c>
      <c r="O35" s="3" t="inlineStr">
        <is>
          <t>CCAA: ranking por c_f·sign(dY) del panel FE (M8); asociacion, sin lectura causal; el factor comun es un resumen de comovimiento (pendiente ~1 mecanica, J23)</t>
        </is>
      </c>
      <c r="P35" s="3" t="inlineStr">
        <is>
          <t>output/v8/F5/regional_ranking.csv</t>
        </is>
      </c>
    </row>
    <row r="36">
      <c r="A36" s="3" t="inlineStr">
        <is>
          <t>alquiler</t>
        </is>
      </c>
      <c r="B36" s="3" t="inlineStr">
        <is>
          <t>ccaa:02</t>
        </is>
      </c>
      <c r="C36" s="3" t="inlineStr">
        <is>
          <t>P2</t>
        </is>
      </c>
      <c r="D36" s="3" t="inlineStr">
        <is>
          <t>factor_comun</t>
        </is>
      </c>
      <c r="E36" s="3" t="inlineStr">
        <is>
          <t>regional_panel</t>
        </is>
      </c>
      <c r="F36" s="3" t="inlineStr">
        <is>
          <t>panel_covariables</t>
        </is>
      </c>
      <c r="G36" s="3" t="n">
        <v>-3.50963</v>
      </c>
      <c r="H36" s="3" t="n">
        <v>141.012</v>
      </c>
      <c r="I36" s="3" t="n">
        <v>-7.73728</v>
      </c>
      <c r="J36" s="3" t="n">
        <v>0.660335</v>
      </c>
      <c r="K36" s="3" t="n">
        <v>-2.48888</v>
      </c>
      <c r="L36" s="3" t="n"/>
      <c r="M36" s="3" t="inlineStr">
        <is>
          <t>no</t>
        </is>
      </c>
      <c r="N36" s="3" t="inlineStr">
        <is>
          <t>no designado (contraste C4: no hay svar_hd regional)</t>
        </is>
      </c>
      <c r="O36" s="3" t="inlineStr">
        <is>
          <t>CCAA: ranking por c_f·sign(dY) del panel FE (M8); asociacion, sin lectura causal; el factor comun es un resumen de comovimiento (pendiente ~1 mecanica, J23)</t>
        </is>
      </c>
      <c r="P36" s="3" t="inlineStr">
        <is>
          <t>output/v8/F5/regional_ranking.csv</t>
        </is>
      </c>
    </row>
    <row r="37">
      <c r="A37" s="3" t="inlineStr">
        <is>
          <t>alquiler</t>
        </is>
      </c>
      <c r="B37" s="3" t="inlineStr">
        <is>
          <t>ccaa:02</t>
        </is>
      </c>
      <c r="C37" s="3" t="inlineStr">
        <is>
          <t>P2</t>
        </is>
      </c>
      <c r="D37" s="3" t="inlineStr">
        <is>
          <t>empleo_renta</t>
        </is>
      </c>
      <c r="E37" s="3" t="inlineStr">
        <is>
          <t>regional_panel</t>
        </is>
      </c>
      <c r="F37" s="3" t="inlineStr">
        <is>
          <t>panel_covariables</t>
        </is>
      </c>
      <c r="G37" s="3" t="n">
        <v>0.0975263</v>
      </c>
      <c r="H37" s="3" t="n">
        <v>-3.91848</v>
      </c>
      <c r="I37" s="3" t="n">
        <v>-0.302046</v>
      </c>
      <c r="J37" s="3" t="n">
        <v>0.5071059999999999</v>
      </c>
      <c r="K37" s="3" t="n">
        <v>-2.48888</v>
      </c>
      <c r="L37" s="3" t="n">
        <v>2</v>
      </c>
      <c r="M37" s="3" t="inlineStr">
        <is>
          <t>si</t>
        </is>
      </c>
      <c r="N37" s="3" t="inlineStr">
        <is>
          <t>no designado (contraste C4: no hay svar_hd regional)</t>
        </is>
      </c>
      <c r="O37" s="3" t="inlineStr">
        <is>
          <t>CCAA: ranking por c_f·sign(dY) del panel FE (M8); asociacion, sin lectura causal; el factor comun es un resumen de comovimiento (pendiente ~1 mecanica, J23)</t>
        </is>
      </c>
      <c r="P37" s="3" t="inlineStr">
        <is>
          <t>output/v8/F5/regional_ranking.csv</t>
        </is>
      </c>
    </row>
    <row r="38">
      <c r="A38" s="3" t="inlineStr">
        <is>
          <t>alquiler</t>
        </is>
      </c>
      <c r="B38" s="3" t="inlineStr">
        <is>
          <t>ccaa:02</t>
        </is>
      </c>
      <c r="C38" s="3" t="inlineStr">
        <is>
          <t>P2</t>
        </is>
      </c>
      <c r="D38" s="3" t="inlineStr">
        <is>
          <t>demografia</t>
        </is>
      </c>
      <c r="E38" s="3" t="inlineStr">
        <is>
          <t>regional_panel</t>
        </is>
      </c>
      <c r="F38" s="3" t="inlineStr">
        <is>
          <t>panel_covariables</t>
        </is>
      </c>
      <c r="G38" s="3" t="n">
        <v>0.192693</v>
      </c>
      <c r="H38" s="3" t="n">
        <v>-7.74214</v>
      </c>
      <c r="I38" s="3" t="n">
        <v>0.0851059</v>
      </c>
      <c r="J38" s="3" t="n">
        <v>0.401946</v>
      </c>
      <c r="K38" s="3" t="n">
        <v>-2.48888</v>
      </c>
      <c r="L38" s="3" t="n">
        <v>3</v>
      </c>
      <c r="M38" s="3" t="inlineStr">
        <is>
          <t>si</t>
        </is>
      </c>
      <c r="N38" s="3" t="inlineStr">
        <is>
          <t>no designado (contraste C4: no hay svar_hd regional)</t>
        </is>
      </c>
      <c r="O38" s="3" t="inlineStr">
        <is>
          <t>CCAA: ranking por c_f·sign(dY) del panel FE (M8); asociacion, sin lectura causal; el factor comun es un resumen de comovimiento (pendiente ~1 mecanica, J23)</t>
        </is>
      </c>
      <c r="P38" s="3" t="inlineStr">
        <is>
          <t>output/v8/F5/regional_ranking.csv</t>
        </is>
      </c>
    </row>
    <row r="39">
      <c r="A39" s="3" t="inlineStr">
        <is>
          <t>alquiler</t>
        </is>
      </c>
      <c r="B39" s="3" t="inlineStr">
        <is>
          <t>ccaa:02</t>
        </is>
      </c>
      <c r="C39" s="3" t="inlineStr">
        <is>
          <t>P2</t>
        </is>
      </c>
      <c r="D39" s="3" t="inlineStr">
        <is>
          <t>oferta</t>
        </is>
      </c>
      <c r="E39" s="3" t="inlineStr">
        <is>
          <t>regional_panel</t>
        </is>
      </c>
      <c r="F39" s="3" t="inlineStr">
        <is>
          <t>panel_covariables</t>
        </is>
      </c>
      <c r="G39" s="3" t="n">
        <v>0.230205</v>
      </c>
      <c r="H39" s="3" t="n">
        <v>-9.24935</v>
      </c>
      <c r="I39" s="3" t="n">
        <v>0.0205534</v>
      </c>
      <c r="J39" s="3" t="n">
        <v>0.466456</v>
      </c>
      <c r="K39" s="3" t="n">
        <v>-2.48888</v>
      </c>
      <c r="L39" s="3" t="n">
        <v>4</v>
      </c>
      <c r="M39" s="3" t="inlineStr">
        <is>
          <t>si</t>
        </is>
      </c>
      <c r="N39" s="3" t="inlineStr">
        <is>
          <t>no designado (contraste C4: no hay svar_hd regional)</t>
        </is>
      </c>
      <c r="O39" s="3" t="inlineStr">
        <is>
          <t>CCAA: ranking por c_f·sign(dY) del panel FE (M8); asociacion, sin lectura causal; el factor comun es un resumen de comovimiento (pendiente ~1 mecanica, J23)</t>
        </is>
      </c>
      <c r="P39" s="3" t="inlineStr">
        <is>
          <t>output/v8/F5/regional_ranking.csv</t>
        </is>
      </c>
    </row>
    <row r="40">
      <c r="A40" s="3" t="inlineStr">
        <is>
          <t>alquiler</t>
        </is>
      </c>
      <c r="B40" s="3" t="inlineStr">
        <is>
          <t>ccaa:02</t>
        </is>
      </c>
      <c r="C40" s="3" t="inlineStr">
        <is>
          <t>P2</t>
        </is>
      </c>
      <c r="D40" s="3" t="inlineStr">
        <is>
          <t>demanda_externa</t>
        </is>
      </c>
      <c r="E40" s="3" t="inlineStr">
        <is>
          <t>regional_panel</t>
        </is>
      </c>
      <c r="F40" s="3" t="inlineStr">
        <is>
          <t>panel_covariables</t>
        </is>
      </c>
      <c r="G40" s="3" t="n">
        <v>-0.0158823</v>
      </c>
      <c r="H40" s="3" t="n">
        <v>0.638131</v>
      </c>
      <c r="I40" s="3" t="n">
        <v>-0.0574158</v>
      </c>
      <c r="J40" s="3" t="n">
        <v>0.126611</v>
      </c>
      <c r="K40" s="3" t="n">
        <v>-2.48888</v>
      </c>
      <c r="L40" s="3" t="n">
        <v>1</v>
      </c>
      <c r="M40" s="3" t="inlineStr">
        <is>
          <t>si</t>
        </is>
      </c>
      <c r="N40" s="3" t="inlineStr">
        <is>
          <t>no designado (contraste C4: no hay svar_hd regional)</t>
        </is>
      </c>
      <c r="O40" s="3" t="inlineStr">
        <is>
          <t>CCAA: ranking por c_f·sign(dY) del panel FE (M8); asociacion, sin lectura causal; el factor comun es un resumen de comovimiento (pendiente ~1 mecanica, J23)</t>
        </is>
      </c>
      <c r="P40" s="3" t="inlineStr">
        <is>
          <t>output/v8/F5/regional_ranking.csv</t>
        </is>
      </c>
    </row>
    <row r="41">
      <c r="A41" s="3" t="inlineStr">
        <is>
          <t>alquiler</t>
        </is>
      </c>
      <c r="B41" s="3" t="inlineStr">
        <is>
          <t>ccaa:02</t>
        </is>
      </c>
      <c r="C41" s="3" t="inlineStr">
        <is>
          <t>P2</t>
        </is>
      </c>
      <c r="D41" s="3" t="inlineStr">
        <is>
          <t>residuo</t>
        </is>
      </c>
      <c r="E41" s="3" t="inlineStr">
        <is>
          <t>regional_panel</t>
        </is>
      </c>
      <c r="F41" s="3" t="inlineStr">
        <is>
          <t>panel_covariables</t>
        </is>
      </c>
      <c r="G41" s="3" t="n">
        <v>0.516203</v>
      </c>
      <c r="H41" s="3" t="n">
        <v>-20.7404</v>
      </c>
      <c r="I41" s="3" t="n">
        <v>-0.843866</v>
      </c>
      <c r="J41" s="3" t="n">
        <v>1.65682</v>
      </c>
      <c r="K41" s="3" t="n">
        <v>-2.48888</v>
      </c>
      <c r="L41" s="3" t="n"/>
      <c r="M41" s="3" t="inlineStr">
        <is>
          <t>no</t>
        </is>
      </c>
      <c r="N41" s="3" t="inlineStr">
        <is>
          <t>no designado (contraste C4: no hay svar_hd regional)</t>
        </is>
      </c>
      <c r="O41" s="3" t="inlineStr">
        <is>
          <t>CCAA: ranking por c_f·sign(dY) del panel FE (M8); asociacion, sin lectura causal; el factor comun es un resumen de comovimiento (pendiente ~1 mecanica, J23)</t>
        </is>
      </c>
      <c r="P41" s="3" t="inlineStr">
        <is>
          <t>output/v8/F5/regional_ranking.csv</t>
        </is>
      </c>
    </row>
    <row r="42">
      <c r="A42" s="3" t="inlineStr">
        <is>
          <t>alquiler</t>
        </is>
      </c>
      <c r="B42" s="3" t="inlineStr">
        <is>
          <t>ccaa:02</t>
        </is>
      </c>
      <c r="C42" s="3" t="inlineStr">
        <is>
          <t>P3</t>
        </is>
      </c>
      <c r="D42" s="3" t="inlineStr">
        <is>
          <t>factor_comun</t>
        </is>
      </c>
      <c r="E42" s="3" t="inlineStr">
        <is>
          <t>regional_ccaa_ols</t>
        </is>
      </c>
      <c r="F42" s="3" t="inlineStr">
        <is>
          <t>ols_solo_factor</t>
        </is>
      </c>
      <c r="G42" s="3" t="n">
        <v>-2.31863</v>
      </c>
      <c r="H42" s="3" t="n">
        <v>117.153</v>
      </c>
      <c r="I42" s="3" t="n">
        <v>-3.83477</v>
      </c>
      <c r="J42" s="3" t="n">
        <v>-0.793393</v>
      </c>
      <c r="K42" s="3" t="n">
        <v>-1.53176</v>
      </c>
      <c r="L42" s="3" t="n"/>
      <c r="M42" s="3" t="inlineStr">
        <is>
          <t>no</t>
        </is>
      </c>
      <c r="N42" s="3" t="inlineStr">
        <is>
          <t>no designado (contraste C4: no hay svar_hd regional)</t>
        </is>
      </c>
      <c r="O42" s="3" t="inlineStr">
        <is>
          <t>CCAA: ranking por c_f·sign(dY) del panel FE (M8); asociacion, sin lectura causal; el factor comun es un resumen de comovimiento (pendiente ~1 mecanica, J23)</t>
        </is>
      </c>
      <c r="P42" s="3" t="inlineStr">
        <is>
          <t>output/v8/F5/regional_ranking.csv</t>
        </is>
      </c>
    </row>
    <row r="43">
      <c r="A43" s="3" t="inlineStr">
        <is>
          <t>alquiler</t>
        </is>
      </c>
      <c r="B43" s="3" t="inlineStr">
        <is>
          <t>ccaa:02</t>
        </is>
      </c>
      <c r="C43" s="3" t="inlineStr">
        <is>
          <t>P3</t>
        </is>
      </c>
      <c r="D43" s="3" t="inlineStr">
        <is>
          <t>residuo</t>
        </is>
      </c>
      <c r="E43" s="3" t="inlineStr">
        <is>
          <t>regional_ccaa_ols</t>
        </is>
      </c>
      <c r="F43" s="3" t="inlineStr">
        <is>
          <t>ols_solo_factor</t>
        </is>
      </c>
      <c r="G43" s="3" t="n">
        <v>0.339491</v>
      </c>
      <c r="H43" s="3" t="n">
        <v>-17.1534</v>
      </c>
      <c r="I43" s="3" t="n"/>
      <c r="J43" s="3" t="n"/>
      <c r="K43" s="3" t="n">
        <v>-1.53176</v>
      </c>
      <c r="L43" s="3" t="n"/>
      <c r="M43" s="3" t="inlineStr">
        <is>
          <t>no</t>
        </is>
      </c>
      <c r="N43" s="3" t="inlineStr">
        <is>
          <t>no designado (contraste C4: no hay svar_hd regional)</t>
        </is>
      </c>
      <c r="O43" s="3" t="inlineStr">
        <is>
          <t>CCAA: ranking por c_f·sign(dY) del panel FE (M8); asociacion, sin lectura causal; el factor comun es un resumen de comovimiento (pendiente ~1 mecanica, J23)</t>
        </is>
      </c>
      <c r="P43" s="3" t="inlineStr">
        <is>
          <t>output/v8/F5/regional_ranking.csv</t>
        </is>
      </c>
    </row>
    <row r="44">
      <c r="A44" s="3" t="inlineStr">
        <is>
          <t>alquiler</t>
        </is>
      </c>
      <c r="B44" s="3" t="inlineStr">
        <is>
          <t>ccaa:02</t>
        </is>
      </c>
      <c r="C44" s="3" t="inlineStr">
        <is>
          <t>P3</t>
        </is>
      </c>
      <c r="D44" s="3" t="inlineStr">
        <is>
          <t>factor_comun</t>
        </is>
      </c>
      <c r="E44" s="3" t="inlineStr">
        <is>
          <t>regional_panel</t>
        </is>
      </c>
      <c r="F44" s="3" t="inlineStr">
        <is>
          <t>panel_covariables</t>
        </is>
      </c>
      <c r="G44" s="3" t="n">
        <v>-1.89168</v>
      </c>
      <c r="H44" s="3" t="n">
        <v>123.497</v>
      </c>
      <c r="I44" s="3" t="n">
        <v>-3.03018</v>
      </c>
      <c r="J44" s="3" t="n">
        <v>-0.7753910000000001</v>
      </c>
      <c r="K44" s="3" t="n">
        <v>-1.53176</v>
      </c>
      <c r="L44" s="3" t="n"/>
      <c r="M44" s="3" t="inlineStr">
        <is>
          <t>no</t>
        </is>
      </c>
      <c r="N44" s="3" t="inlineStr">
        <is>
          <t>no designado (contraste C4: no hay svar_hd regional)</t>
        </is>
      </c>
      <c r="O44" s="3" t="inlineStr">
        <is>
          <t>CCAA: ranking por c_f·sign(dY) del panel FE (M8); asociacion, sin lectura causal; el factor comun es un resumen de comovimiento (pendiente ~1 mecanica, J23)</t>
        </is>
      </c>
      <c r="P44" s="3" t="inlineStr">
        <is>
          <t>output/v8/F5/regional_ranking.csv</t>
        </is>
      </c>
    </row>
    <row r="45">
      <c r="A45" s="3" t="inlineStr">
        <is>
          <t>alquiler</t>
        </is>
      </c>
      <c r="B45" s="3" t="inlineStr">
        <is>
          <t>ccaa:02</t>
        </is>
      </c>
      <c r="C45" s="3" t="inlineStr">
        <is>
          <t>P3</t>
        </is>
      </c>
      <c r="D45" s="3" t="inlineStr">
        <is>
          <t>empleo_renta</t>
        </is>
      </c>
      <c r="E45" s="3" t="inlineStr">
        <is>
          <t>regional_panel</t>
        </is>
      </c>
      <c r="F45" s="3" t="inlineStr">
        <is>
          <t>panel_covariables</t>
        </is>
      </c>
      <c r="G45" s="3" t="n">
        <v>0.189537</v>
      </c>
      <c r="H45" s="3" t="n">
        <v>-12.3738</v>
      </c>
      <c r="I45" s="3" t="n">
        <v>-0.0710075</v>
      </c>
      <c r="J45" s="3" t="n">
        <v>0.349307</v>
      </c>
      <c r="K45" s="3" t="n">
        <v>-1.53176</v>
      </c>
      <c r="L45" s="3" t="n">
        <v>4</v>
      </c>
      <c r="M45" s="3" t="inlineStr">
        <is>
          <t>si</t>
        </is>
      </c>
      <c r="N45" s="3" t="inlineStr">
        <is>
          <t>no designado (contraste C4: no hay svar_hd regional)</t>
        </is>
      </c>
      <c r="O45" s="3" t="inlineStr">
        <is>
          <t>CCAA: ranking por c_f·sign(dY) del panel FE (M8); asociacion, sin lectura causal; el factor comun es un resumen de comovimiento (pendiente ~1 mecanica, J23)</t>
        </is>
      </c>
      <c r="P45" s="3" t="inlineStr">
        <is>
          <t>output/v8/F5/regional_ranking.csv</t>
        </is>
      </c>
    </row>
    <row r="46">
      <c r="A46" s="3" t="inlineStr">
        <is>
          <t>alquiler</t>
        </is>
      </c>
      <c r="B46" s="3" t="inlineStr">
        <is>
          <t>ccaa:02</t>
        </is>
      </c>
      <c r="C46" s="3" t="inlineStr">
        <is>
          <t>P3</t>
        </is>
      </c>
      <c r="D46" s="3" t="inlineStr">
        <is>
          <t>demografia</t>
        </is>
      </c>
      <c r="E46" s="3" t="inlineStr">
        <is>
          <t>regional_panel</t>
        </is>
      </c>
      <c r="F46" s="3" t="inlineStr">
        <is>
          <t>panel_covariables</t>
        </is>
      </c>
      <c r="G46" s="3" t="n">
        <v>-0.490843</v>
      </c>
      <c r="H46" s="3" t="n">
        <v>32.0443</v>
      </c>
      <c r="I46" s="3" t="n">
        <v>-0.845627</v>
      </c>
      <c r="J46" s="3" t="n">
        <v>-0.188812</v>
      </c>
      <c r="K46" s="3" t="n">
        <v>-1.53176</v>
      </c>
      <c r="L46" s="3" t="n">
        <v>1</v>
      </c>
      <c r="M46" s="3" t="inlineStr">
        <is>
          <t>si</t>
        </is>
      </c>
      <c r="N46" s="3" t="inlineStr">
        <is>
          <t>no designado (contraste C4: no hay svar_hd regional)</t>
        </is>
      </c>
      <c r="O46" s="3" t="inlineStr">
        <is>
          <t>CCAA: ranking por c_f·sign(dY) del panel FE (M8); asociacion, sin lectura causal; el factor comun es un resumen de comovimiento (pendiente ~1 mecanica, J23)</t>
        </is>
      </c>
      <c r="P46" s="3" t="inlineStr">
        <is>
          <t>output/v8/F5/regional_ranking.csv</t>
        </is>
      </c>
    </row>
    <row r="47">
      <c r="A47" s="3" t="inlineStr">
        <is>
          <t>alquiler</t>
        </is>
      </c>
      <c r="B47" s="3" t="inlineStr">
        <is>
          <t>ccaa:02</t>
        </is>
      </c>
      <c r="C47" s="3" t="inlineStr">
        <is>
          <t>P3</t>
        </is>
      </c>
      <c r="D47" s="3" t="inlineStr">
        <is>
          <t>oferta</t>
        </is>
      </c>
      <c r="E47" s="3" t="inlineStr">
        <is>
          <t>regional_panel</t>
        </is>
      </c>
      <c r="F47" s="3" t="inlineStr">
        <is>
          <t>panel_covariables</t>
        </is>
      </c>
      <c r="G47" s="3" t="n">
        <v>0.0178619</v>
      </c>
      <c r="H47" s="3" t="n">
        <v>-1.1661</v>
      </c>
      <c r="I47" s="3" t="n">
        <v>-0.00549991</v>
      </c>
      <c r="J47" s="3" t="n">
        <v>0.0855407</v>
      </c>
      <c r="K47" s="3" t="n">
        <v>-1.53176</v>
      </c>
      <c r="L47" s="3" t="n">
        <v>2</v>
      </c>
      <c r="M47" s="3" t="inlineStr">
        <is>
          <t>si</t>
        </is>
      </c>
      <c r="N47" s="3" t="inlineStr">
        <is>
          <t>no designado (contraste C4: no hay svar_hd regional)</t>
        </is>
      </c>
      <c r="O47" s="3" t="inlineStr">
        <is>
          <t>CCAA: ranking por c_f·sign(dY) del panel FE (M8); asociacion, sin lectura causal; el factor comun es un resumen de comovimiento (pendiente ~1 mecanica, J23)</t>
        </is>
      </c>
      <c r="P47" s="3" t="inlineStr">
        <is>
          <t>output/v8/F5/regional_ranking.csv</t>
        </is>
      </c>
    </row>
    <row r="48">
      <c r="A48" s="3" t="inlineStr">
        <is>
          <t>alquiler</t>
        </is>
      </c>
      <c r="B48" s="3" t="inlineStr">
        <is>
          <t>ccaa:02</t>
        </is>
      </c>
      <c r="C48" s="3" t="inlineStr">
        <is>
          <t>P3</t>
        </is>
      </c>
      <c r="D48" s="3" t="inlineStr">
        <is>
          <t>demanda_externa</t>
        </is>
      </c>
      <c r="E48" s="3" t="inlineStr">
        <is>
          <t>regional_panel</t>
        </is>
      </c>
      <c r="F48" s="3" t="inlineStr">
        <is>
          <t>panel_covariables</t>
        </is>
      </c>
      <c r="G48" s="3" t="n">
        <v>0.135612</v>
      </c>
      <c r="H48" s="3" t="n">
        <v>-8.853300000000001</v>
      </c>
      <c r="I48" s="3" t="n">
        <v>0.0358363</v>
      </c>
      <c r="J48" s="3" t="n">
        <v>0.254329</v>
      </c>
      <c r="K48" s="3" t="n">
        <v>-1.53176</v>
      </c>
      <c r="L48" s="3" t="n">
        <v>3</v>
      </c>
      <c r="M48" s="3" t="inlineStr">
        <is>
          <t>si</t>
        </is>
      </c>
      <c r="N48" s="3" t="inlineStr">
        <is>
          <t>no designado (contraste C4: no hay svar_hd regional)</t>
        </is>
      </c>
      <c r="O48" s="3" t="inlineStr">
        <is>
          <t>CCAA: ranking por c_f·sign(dY) del panel FE (M8); asociacion, sin lectura causal; el factor comun es un resumen de comovimiento (pendiente ~1 mecanica, J23)</t>
        </is>
      </c>
      <c r="P48" s="3" t="inlineStr">
        <is>
          <t>output/v8/F5/regional_ranking.csv</t>
        </is>
      </c>
    </row>
    <row r="49">
      <c r="A49" s="3" t="inlineStr">
        <is>
          <t>alquiler</t>
        </is>
      </c>
      <c r="B49" s="3" t="inlineStr">
        <is>
          <t>ccaa:02</t>
        </is>
      </c>
      <c r="C49" s="3" t="inlineStr">
        <is>
          <t>P3</t>
        </is>
      </c>
      <c r="D49" s="3" t="inlineStr">
        <is>
          <t>residuo</t>
        </is>
      </c>
      <c r="E49" s="3" t="inlineStr">
        <is>
          <t>regional_panel</t>
        </is>
      </c>
      <c r="F49" s="3" t="inlineStr">
        <is>
          <t>panel_covariables</t>
        </is>
      </c>
      <c r="G49" s="3" t="n">
        <v>0.507751</v>
      </c>
      <c r="H49" s="3" t="n">
        <v>-33.1481</v>
      </c>
      <c r="I49" s="3" t="n">
        <v>-0.114158</v>
      </c>
      <c r="J49" s="3" t="n">
        <v>1.41942</v>
      </c>
      <c r="K49" s="3" t="n">
        <v>-1.53176</v>
      </c>
      <c r="L49" s="3" t="n"/>
      <c r="M49" s="3" t="inlineStr">
        <is>
          <t>no</t>
        </is>
      </c>
      <c r="N49" s="3" t="inlineStr">
        <is>
          <t>no designado (contraste C4: no hay svar_hd regional)</t>
        </is>
      </c>
      <c r="O49" s="3" t="inlineStr">
        <is>
          <t>CCAA: ranking por c_f·sign(dY) del panel FE (M8); asociacion, sin lectura causal; el factor comun es un resumen de comovimiento (pendiente ~1 mecanica, J23)</t>
        </is>
      </c>
      <c r="P49" s="3" t="inlineStr">
        <is>
          <t>output/v8/F5/regional_ranking.csv</t>
        </is>
      </c>
    </row>
    <row r="50">
      <c r="A50" s="3" t="inlineStr">
        <is>
          <t>alquiler</t>
        </is>
      </c>
      <c r="B50" s="3" t="inlineStr">
        <is>
          <t>ccaa:02</t>
        </is>
      </c>
      <c r="C50" s="3" t="inlineStr">
        <is>
          <t>P4</t>
        </is>
      </c>
      <c r="D50" s="3" t="inlineStr">
        <is>
          <t>factor_comun</t>
        </is>
      </c>
      <c r="E50" s="3" t="inlineStr">
        <is>
          <t>regional_ccaa_ols</t>
        </is>
      </c>
      <c r="F50" s="3" t="inlineStr">
        <is>
          <t>ols_solo_factor</t>
        </is>
      </c>
      <c r="G50" s="3" t="n">
        <v>-4.93408</v>
      </c>
      <c r="H50" s="3" t="n">
        <v>105.26</v>
      </c>
      <c r="I50" s="3" t="n">
        <v>-8.172739999999999</v>
      </c>
      <c r="J50" s="3" t="n">
        <v>-1.71342</v>
      </c>
      <c r="K50" s="3" t="n">
        <v>-4.68751</v>
      </c>
      <c r="L50" s="3" t="n"/>
      <c r="M50" s="3" t="inlineStr">
        <is>
          <t>no</t>
        </is>
      </c>
      <c r="N50" s="3" t="inlineStr">
        <is>
          <t>no designado (contraste C4: no hay svar_hd regional)</t>
        </is>
      </c>
      <c r="O50" s="3" t="inlineStr">
        <is>
          <t>CCAA: ranking por c_f·sign(dY) del panel FE (M8); asociacion, sin lectura causal; el factor comun es un resumen de comovimiento (pendiente ~1 mecanica, J23)</t>
        </is>
      </c>
      <c r="P50" s="3" t="inlineStr">
        <is>
          <t>output/v8/F5/regional_ranking.csv</t>
        </is>
      </c>
    </row>
    <row r="51">
      <c r="A51" s="3" t="inlineStr">
        <is>
          <t>alquiler</t>
        </is>
      </c>
      <c r="B51" s="3" t="inlineStr">
        <is>
          <t>ccaa:02</t>
        </is>
      </c>
      <c r="C51" s="3" t="inlineStr">
        <is>
          <t>P4</t>
        </is>
      </c>
      <c r="D51" s="3" t="inlineStr">
        <is>
          <t>residuo</t>
        </is>
      </c>
      <c r="E51" s="3" t="inlineStr">
        <is>
          <t>regional_ccaa_ols</t>
        </is>
      </c>
      <c r="F51" s="3" t="inlineStr">
        <is>
          <t>ols_solo_factor</t>
        </is>
      </c>
      <c r="G51" s="3" t="n">
        <v>0.246573</v>
      </c>
      <c r="H51" s="3" t="n">
        <v>-5.26022</v>
      </c>
      <c r="I51" s="3" t="n"/>
      <c r="J51" s="3" t="n"/>
      <c r="K51" s="3" t="n">
        <v>-4.68751</v>
      </c>
      <c r="L51" s="3" t="n"/>
      <c r="M51" s="3" t="inlineStr">
        <is>
          <t>no</t>
        </is>
      </c>
      <c r="N51" s="3" t="inlineStr">
        <is>
          <t>no designado (contraste C4: no hay svar_hd regional)</t>
        </is>
      </c>
      <c r="O51" s="3" t="inlineStr">
        <is>
          <t>CCAA: ranking por c_f·sign(dY) del panel FE (M8); asociacion, sin lectura causal; el factor comun es un resumen de comovimiento (pendiente ~1 mecanica, J23)</t>
        </is>
      </c>
      <c r="P51" s="3" t="inlineStr">
        <is>
          <t>output/v8/F5/regional_ranking.csv</t>
        </is>
      </c>
    </row>
    <row r="52">
      <c r="A52" s="3" t="inlineStr">
        <is>
          <t>alquiler</t>
        </is>
      </c>
      <c r="B52" s="3" t="inlineStr">
        <is>
          <t>ccaa:02</t>
        </is>
      </c>
      <c r="C52" s="3" t="inlineStr">
        <is>
          <t>P4</t>
        </is>
      </c>
      <c r="D52" s="3" t="inlineStr">
        <is>
          <t>factor_comun</t>
        </is>
      </c>
      <c r="E52" s="3" t="inlineStr">
        <is>
          <t>regional_panel</t>
        </is>
      </c>
      <c r="F52" s="3" t="inlineStr">
        <is>
          <t>panel_covariables</t>
        </is>
      </c>
      <c r="G52" s="3" t="n">
        <v>-4.82785</v>
      </c>
      <c r="H52" s="3" t="n">
        <v>102.994</v>
      </c>
      <c r="I52" s="3" t="n">
        <v>-8.01083</v>
      </c>
      <c r="J52" s="3" t="n">
        <v>-1.73403</v>
      </c>
      <c r="K52" s="3" t="n">
        <v>-4.68751</v>
      </c>
      <c r="L52" s="3" t="n"/>
      <c r="M52" s="3" t="inlineStr">
        <is>
          <t>no</t>
        </is>
      </c>
      <c r="N52" s="3" t="inlineStr">
        <is>
          <t>no designado (contraste C4: no hay svar_hd regional)</t>
        </is>
      </c>
      <c r="O52" s="3" t="inlineStr">
        <is>
          <t>CCAA: ranking por c_f·sign(dY) del panel FE (M8); asociacion, sin lectura causal; el factor comun es un resumen de comovimiento (pendiente ~1 mecanica, J23)</t>
        </is>
      </c>
      <c r="P52" s="3" t="inlineStr">
        <is>
          <t>output/v8/F5/regional_ranking.csv</t>
        </is>
      </c>
    </row>
    <row r="53">
      <c r="A53" s="3" t="inlineStr">
        <is>
          <t>alquiler</t>
        </is>
      </c>
      <c r="B53" s="3" t="inlineStr">
        <is>
          <t>ccaa:02</t>
        </is>
      </c>
      <c r="C53" s="3" t="inlineStr">
        <is>
          <t>P4</t>
        </is>
      </c>
      <c r="D53" s="3" t="inlineStr">
        <is>
          <t>empleo_renta</t>
        </is>
      </c>
      <c r="E53" s="3" t="inlineStr">
        <is>
          <t>regional_panel</t>
        </is>
      </c>
      <c r="F53" s="3" t="inlineStr">
        <is>
          <t>panel_covariables</t>
        </is>
      </c>
      <c r="G53" s="3" t="n">
        <v>0.0233518</v>
      </c>
      <c r="H53" s="3" t="n">
        <v>-0.49817</v>
      </c>
      <c r="I53" s="3" t="n">
        <v>-0.0685017</v>
      </c>
      <c r="J53" s="3" t="n">
        <v>0.0400601</v>
      </c>
      <c r="K53" s="3" t="n">
        <v>-4.68751</v>
      </c>
      <c r="L53" s="3" t="n">
        <v>3</v>
      </c>
      <c r="M53" s="3" t="inlineStr">
        <is>
          <t>si</t>
        </is>
      </c>
      <c r="N53" s="3" t="inlineStr">
        <is>
          <t>no designado (contraste C4: no hay svar_hd regional)</t>
        </is>
      </c>
      <c r="O53" s="3" t="inlineStr">
        <is>
          <t>CCAA: ranking por c_f·sign(dY) del panel FE (M8); asociacion, sin lectura causal; el factor comun es un resumen de comovimiento (pendiente ~1 mecanica, J23)</t>
        </is>
      </c>
      <c r="P53" s="3" t="inlineStr">
        <is>
          <t>output/v8/F5/regional_ranking.csv</t>
        </is>
      </c>
    </row>
    <row r="54">
      <c r="A54" s="3" t="inlineStr">
        <is>
          <t>alquiler</t>
        </is>
      </c>
      <c r="B54" s="3" t="inlineStr">
        <is>
          <t>ccaa:02</t>
        </is>
      </c>
      <c r="C54" s="3" t="inlineStr">
        <is>
          <t>P4</t>
        </is>
      </c>
      <c r="D54" s="3" t="inlineStr">
        <is>
          <t>demografia</t>
        </is>
      </c>
      <c r="E54" s="3" t="inlineStr">
        <is>
          <t>regional_panel</t>
        </is>
      </c>
      <c r="F54" s="3" t="inlineStr">
        <is>
          <t>panel_covariables</t>
        </is>
      </c>
      <c r="G54" s="3" t="n">
        <v>0.22794</v>
      </c>
      <c r="H54" s="3" t="n">
        <v>-4.86271</v>
      </c>
      <c r="I54" s="3" t="n">
        <v>0.08177130000000001</v>
      </c>
      <c r="J54" s="3" t="n">
        <v>0.451973</v>
      </c>
      <c r="K54" s="3" t="n">
        <v>-4.68751</v>
      </c>
      <c r="L54" s="3" t="n">
        <v>4</v>
      </c>
      <c r="M54" s="3" t="inlineStr">
        <is>
          <t>si</t>
        </is>
      </c>
      <c r="N54" s="3" t="inlineStr">
        <is>
          <t>no designado (contraste C4: no hay svar_hd regional)</t>
        </is>
      </c>
      <c r="O54" s="3" t="inlineStr">
        <is>
          <t>CCAA: ranking por c_f·sign(dY) del panel FE (M8); asociacion, sin lectura causal; el factor comun es un resumen de comovimiento (pendiente ~1 mecanica, J23)</t>
        </is>
      </c>
      <c r="P54" s="3" t="inlineStr">
        <is>
          <t>output/v8/F5/regional_ranking.csv</t>
        </is>
      </c>
    </row>
    <row r="55">
      <c r="A55" s="3" t="inlineStr">
        <is>
          <t>alquiler</t>
        </is>
      </c>
      <c r="B55" s="3" t="inlineStr">
        <is>
          <t>ccaa:02</t>
        </is>
      </c>
      <c r="C55" s="3" t="inlineStr">
        <is>
          <t>P4</t>
        </is>
      </c>
      <c r="D55" s="3" t="inlineStr">
        <is>
          <t>oferta</t>
        </is>
      </c>
      <c r="E55" s="3" t="inlineStr">
        <is>
          <t>regional_panel</t>
        </is>
      </c>
      <c r="F55" s="3" t="inlineStr">
        <is>
          <t>panel_covariables</t>
        </is>
      </c>
      <c r="G55" s="3" t="n">
        <v>-0.00184116</v>
      </c>
      <c r="H55" s="3" t="n">
        <v>0.0392779</v>
      </c>
      <c r="I55" s="3" t="n">
        <v>-0.0158086</v>
      </c>
      <c r="J55" s="3" t="n">
        <v>0.0122654</v>
      </c>
      <c r="K55" s="3" t="n">
        <v>-4.68751</v>
      </c>
      <c r="L55" s="3" t="n">
        <v>1</v>
      </c>
      <c r="M55" s="3" t="inlineStr">
        <is>
          <t>si</t>
        </is>
      </c>
      <c r="N55" s="3" t="inlineStr">
        <is>
          <t>no designado (contraste C4: no hay svar_hd regional)</t>
        </is>
      </c>
      <c r="O55" s="3" t="inlineStr">
        <is>
          <t>CCAA: ranking por c_f·sign(dY) del panel FE (M8); asociacion, sin lectura causal; el factor comun es un resumen de comovimiento (pendiente ~1 mecanica, J23)</t>
        </is>
      </c>
      <c r="P55" s="3" t="inlineStr">
        <is>
          <t>output/v8/F5/regional_ranking.csv</t>
        </is>
      </c>
    </row>
    <row r="56">
      <c r="A56" s="3" t="inlineStr">
        <is>
          <t>alquiler</t>
        </is>
      </c>
      <c r="B56" s="3" t="inlineStr">
        <is>
          <t>ccaa:02</t>
        </is>
      </c>
      <c r="C56" s="3" t="inlineStr">
        <is>
          <t>P4</t>
        </is>
      </c>
      <c r="D56" s="3" t="inlineStr">
        <is>
          <t>demanda_externa</t>
        </is>
      </c>
      <c r="E56" s="3" t="inlineStr">
        <is>
          <t>regional_panel</t>
        </is>
      </c>
      <c r="F56" s="3" t="inlineStr">
        <is>
          <t>panel_covariables</t>
        </is>
      </c>
      <c r="G56" s="3" t="n">
        <v>0.00771963</v>
      </c>
      <c r="H56" s="3" t="n">
        <v>-0.164685</v>
      </c>
      <c r="I56" s="3" t="n">
        <v>-0.0373116</v>
      </c>
      <c r="J56" s="3" t="n">
        <v>0.0210506</v>
      </c>
      <c r="K56" s="3" t="n">
        <v>-4.68751</v>
      </c>
      <c r="L56" s="3" t="n">
        <v>2</v>
      </c>
      <c r="M56" s="3" t="inlineStr">
        <is>
          <t>si</t>
        </is>
      </c>
      <c r="N56" s="3" t="inlineStr">
        <is>
          <t>no designado (contraste C4: no hay svar_hd regional)</t>
        </is>
      </c>
      <c r="O56" s="3" t="inlineStr">
        <is>
          <t>CCAA: ranking por c_f·sign(dY) del panel FE (M8); asociacion, sin lectura causal; el factor comun es un resumen de comovimiento (pendiente ~1 mecanica, J23)</t>
        </is>
      </c>
      <c r="P56" s="3" t="inlineStr">
        <is>
          <t>output/v8/F5/regional_ranking.csv</t>
        </is>
      </c>
    </row>
    <row r="57">
      <c r="A57" s="3" t="inlineStr">
        <is>
          <t>alquiler</t>
        </is>
      </c>
      <c r="B57" s="3" t="inlineStr">
        <is>
          <t>ccaa:02</t>
        </is>
      </c>
      <c r="C57" s="3" t="inlineStr">
        <is>
          <t>P4</t>
        </is>
      </c>
      <c r="D57" s="3" t="inlineStr">
        <is>
          <t>residuo</t>
        </is>
      </c>
      <c r="E57" s="3" t="inlineStr">
        <is>
          <t>regional_panel</t>
        </is>
      </c>
      <c r="F57" s="3" t="inlineStr">
        <is>
          <t>panel_covariables</t>
        </is>
      </c>
      <c r="G57" s="3" t="n">
        <v>-0.116833</v>
      </c>
      <c r="H57" s="3" t="n">
        <v>2.49242</v>
      </c>
      <c r="I57" s="3" t="n">
        <v>-0.472235</v>
      </c>
      <c r="J57" s="3" t="n">
        <v>0.237701</v>
      </c>
      <c r="K57" s="3" t="n">
        <v>-4.68751</v>
      </c>
      <c r="L57" s="3" t="n"/>
      <c r="M57" s="3" t="inlineStr">
        <is>
          <t>no</t>
        </is>
      </c>
      <c r="N57" s="3" t="inlineStr">
        <is>
          <t>no designado (contraste C4: no hay svar_hd regional)</t>
        </is>
      </c>
      <c r="O57" s="3" t="inlineStr">
        <is>
          <t>CCAA: ranking por c_f·sign(dY) del panel FE (M8); asociacion, sin lectura causal; el factor comun es un resumen de comovimiento (pendiente ~1 mecanica, J23)</t>
        </is>
      </c>
      <c r="P57" s="3" t="inlineStr">
        <is>
          <t>output/v8/F5/regional_ranking.csv</t>
        </is>
      </c>
    </row>
    <row r="58">
      <c r="A58" s="3" t="inlineStr">
        <is>
          <t>alquiler</t>
        </is>
      </c>
      <c r="B58" s="3" t="inlineStr">
        <is>
          <t>ccaa:02</t>
        </is>
      </c>
      <c r="C58" s="3" t="inlineStr">
        <is>
          <t>P5</t>
        </is>
      </c>
      <c r="D58" s="3" t="inlineStr">
        <is>
          <t>factor_comun</t>
        </is>
      </c>
      <c r="E58" s="3" t="inlineStr">
        <is>
          <t>regional_ccaa_ols</t>
        </is>
      </c>
      <c r="F58" s="3" t="inlineStr">
        <is>
          <t>ols_solo_factor</t>
        </is>
      </c>
      <c r="G58" s="3" t="n">
        <v>-5.60962</v>
      </c>
      <c r="H58" s="3" t="n">
        <v>109.34</v>
      </c>
      <c r="I58" s="3" t="n">
        <v>-8.489750000000001</v>
      </c>
      <c r="J58" s="3" t="n">
        <v>-2.99305</v>
      </c>
      <c r="K58" s="3" t="n">
        <v>-5.01531</v>
      </c>
      <c r="L58" s="3" t="n"/>
      <c r="M58" s="3" t="inlineStr">
        <is>
          <t>no</t>
        </is>
      </c>
      <c r="N58" s="3" t="inlineStr">
        <is>
          <t>no designado (contraste C4: no hay svar_hd regional)</t>
        </is>
      </c>
      <c r="O58" s="3" t="inlineStr">
        <is>
          <t>CCAA: ranking por c_f·sign(dY) del panel FE (M8); asociacion, sin lectura causal; el factor comun es un resumen de comovimiento (pendiente ~1 mecanica, J23)</t>
        </is>
      </c>
      <c r="P58" s="3" t="inlineStr">
        <is>
          <t>output/v8/F5/regional_ranking.csv</t>
        </is>
      </c>
    </row>
    <row r="59">
      <c r="A59" s="3" t="inlineStr">
        <is>
          <t>alquiler</t>
        </is>
      </c>
      <c r="B59" s="3" t="inlineStr">
        <is>
          <t>ccaa:02</t>
        </is>
      </c>
      <c r="C59" s="3" t="inlineStr">
        <is>
          <t>P5</t>
        </is>
      </c>
      <c r="D59" s="3" t="inlineStr">
        <is>
          <t>residuo</t>
        </is>
      </c>
      <c r="E59" s="3" t="inlineStr">
        <is>
          <t>regional_ccaa_ols</t>
        </is>
      </c>
      <c r="F59" s="3" t="inlineStr">
        <is>
          <t>ols_solo_factor</t>
        </is>
      </c>
      <c r="G59" s="3" t="n">
        <v>0.479197</v>
      </c>
      <c r="H59" s="3" t="n">
        <v>-9.34029</v>
      </c>
      <c r="I59" s="3" t="n"/>
      <c r="J59" s="3" t="n"/>
      <c r="K59" s="3" t="n">
        <v>-5.01531</v>
      </c>
      <c r="L59" s="3" t="n"/>
      <c r="M59" s="3" t="inlineStr">
        <is>
          <t>no</t>
        </is>
      </c>
      <c r="N59" s="3" t="inlineStr">
        <is>
          <t>no designado (contraste C4: no hay svar_hd regional)</t>
        </is>
      </c>
      <c r="O59" s="3" t="inlineStr">
        <is>
          <t>CCAA: ranking por c_f·sign(dY) del panel FE (M8); asociacion, sin lectura causal; el factor comun es un resumen de comovimiento (pendiente ~1 mecanica, J23)</t>
        </is>
      </c>
      <c r="P59" s="3" t="inlineStr">
        <is>
          <t>output/v8/F5/regional_ranking.csv</t>
        </is>
      </c>
    </row>
    <row r="60">
      <c r="A60" s="3" t="inlineStr">
        <is>
          <t>alquiler</t>
        </is>
      </c>
      <c r="B60" s="3" t="inlineStr">
        <is>
          <t>ccaa:02</t>
        </is>
      </c>
      <c r="C60" s="3" t="inlineStr">
        <is>
          <t>P5</t>
        </is>
      </c>
      <c r="D60" s="3" t="inlineStr">
        <is>
          <t>factor_comun</t>
        </is>
      </c>
      <c r="E60" s="3" t="inlineStr">
        <is>
          <t>regional_panel</t>
        </is>
      </c>
      <c r="F60" s="3" t="inlineStr">
        <is>
          <t>panel_covariables</t>
        </is>
      </c>
      <c r="G60" s="3" t="n">
        <v>-5.47353</v>
      </c>
      <c r="H60" s="3" t="n">
        <v>109.136</v>
      </c>
      <c r="I60" s="3" t="n">
        <v>-7.50057</v>
      </c>
      <c r="J60" s="3" t="n">
        <v>-3.0519</v>
      </c>
      <c r="K60" s="3" t="n">
        <v>-5.01531</v>
      </c>
      <c r="L60" s="3" t="n"/>
      <c r="M60" s="3" t="inlineStr">
        <is>
          <t>no</t>
        </is>
      </c>
      <c r="N60" s="3" t="inlineStr">
        <is>
          <t>no designado (contraste C4: no hay svar_hd regional)</t>
        </is>
      </c>
      <c r="O60" s="3" t="inlineStr">
        <is>
          <t>CCAA: ranking por c_f·sign(dY) del panel FE (M8); asociacion, sin lectura causal; el factor comun es un resumen de comovimiento (pendiente ~1 mecanica, J23)</t>
        </is>
      </c>
      <c r="P60" s="3" t="inlineStr">
        <is>
          <t>output/v8/F5/regional_ranking.csv</t>
        </is>
      </c>
    </row>
    <row r="61">
      <c r="A61" s="3" t="inlineStr">
        <is>
          <t>alquiler</t>
        </is>
      </c>
      <c r="B61" s="3" t="inlineStr">
        <is>
          <t>ccaa:02</t>
        </is>
      </c>
      <c r="C61" s="3" t="inlineStr">
        <is>
          <t>P5</t>
        </is>
      </c>
      <c r="D61" s="3" t="inlineStr">
        <is>
          <t>empleo_renta</t>
        </is>
      </c>
      <c r="E61" s="3" t="inlineStr">
        <is>
          <t>regional_panel</t>
        </is>
      </c>
      <c r="F61" s="3" t="inlineStr">
        <is>
          <t>panel_covariables</t>
        </is>
      </c>
      <c r="G61" s="3" t="n">
        <v>-0.0613172</v>
      </c>
      <c r="H61" s="3" t="n">
        <v>1.2226</v>
      </c>
      <c r="I61" s="3" t="n">
        <v>-0.07970670000000001</v>
      </c>
      <c r="J61" s="3" t="n">
        <v>-0.0345218</v>
      </c>
      <c r="K61" s="3" t="n">
        <v>-5.01531</v>
      </c>
      <c r="L61" s="3" t="n">
        <v>1</v>
      </c>
      <c r="M61" s="3" t="inlineStr">
        <is>
          <t>si</t>
        </is>
      </c>
      <c r="N61" s="3" t="inlineStr">
        <is>
          <t>no designado (contraste C4: no hay svar_hd regional)</t>
        </is>
      </c>
      <c r="O61" s="3" t="inlineStr">
        <is>
          <t>CCAA: ranking por c_f·sign(dY) del panel FE (M8); asociacion, sin lectura causal; el factor comun es un resumen de comovimiento (pendiente ~1 mecanica, J23)</t>
        </is>
      </c>
      <c r="P61" s="3" t="inlineStr">
        <is>
          <t>output/v8/F5/regional_ranking.csv</t>
        </is>
      </c>
    </row>
    <row r="62">
      <c r="A62" s="3" t="inlineStr">
        <is>
          <t>alquiler</t>
        </is>
      </c>
      <c r="B62" s="3" t="inlineStr">
        <is>
          <t>ccaa:02</t>
        </is>
      </c>
      <c r="C62" s="3" t="inlineStr">
        <is>
          <t>P5</t>
        </is>
      </c>
      <c r="D62" s="3" t="inlineStr">
        <is>
          <t>demografia</t>
        </is>
      </c>
      <c r="E62" s="3" t="inlineStr">
        <is>
          <t>regional_panel</t>
        </is>
      </c>
      <c r="F62" s="3" t="inlineStr">
        <is>
          <t>panel_covariables</t>
        </is>
      </c>
      <c r="G62" s="3" t="n">
        <v>0.426157</v>
      </c>
      <c r="H62" s="3" t="n">
        <v>-8.49713</v>
      </c>
      <c r="I62" s="3" t="n">
        <v>0.0698868</v>
      </c>
      <c r="J62" s="3" t="n">
        <v>0.918602</v>
      </c>
      <c r="K62" s="3" t="n">
        <v>-5.01531</v>
      </c>
      <c r="L62" s="3" t="n">
        <v>4</v>
      </c>
      <c r="M62" s="3" t="inlineStr">
        <is>
          <t>si</t>
        </is>
      </c>
      <c r="N62" s="3" t="inlineStr">
        <is>
          <t>no designado (contraste C4: no hay svar_hd regional)</t>
        </is>
      </c>
      <c r="O62" s="3" t="inlineStr">
        <is>
          <t>CCAA: ranking por c_f·sign(dY) del panel FE (M8); asociacion, sin lectura causal; el factor comun es un resumen de comovimiento (pendiente ~1 mecanica, J23)</t>
        </is>
      </c>
      <c r="P62" s="3" t="inlineStr">
        <is>
          <t>output/v8/F5/regional_ranking.csv</t>
        </is>
      </c>
    </row>
    <row r="63">
      <c r="A63" s="3" t="inlineStr">
        <is>
          <t>alquiler</t>
        </is>
      </c>
      <c r="B63" s="3" t="inlineStr">
        <is>
          <t>ccaa:02</t>
        </is>
      </c>
      <c r="C63" s="3" t="inlineStr">
        <is>
          <t>P5</t>
        </is>
      </c>
      <c r="D63" s="3" t="inlineStr">
        <is>
          <t>oferta</t>
        </is>
      </c>
      <c r="E63" s="3" t="inlineStr">
        <is>
          <t>regional_panel</t>
        </is>
      </c>
      <c r="F63" s="3" t="inlineStr">
        <is>
          <t>panel_covariables</t>
        </is>
      </c>
      <c r="G63" s="3" t="n">
        <v>-0.00701579</v>
      </c>
      <c r="H63" s="3" t="n">
        <v>0.139888</v>
      </c>
      <c r="I63" s="3" t="n">
        <v>-0.0202813</v>
      </c>
      <c r="J63" s="3" t="n">
        <v>0.0134226</v>
      </c>
      <c r="K63" s="3" t="n">
        <v>-5.01531</v>
      </c>
      <c r="L63" s="3" t="n">
        <v>2</v>
      </c>
      <c r="M63" s="3" t="inlineStr">
        <is>
          <t>si</t>
        </is>
      </c>
      <c r="N63" s="3" t="inlineStr">
        <is>
          <t>no designado (contraste C4: no hay svar_hd regional)</t>
        </is>
      </c>
      <c r="O63" s="3" t="inlineStr">
        <is>
          <t>CCAA: ranking por c_f·sign(dY) del panel FE (M8); asociacion, sin lectura causal; el factor comun es un resumen de comovimiento (pendiente ~1 mecanica, J23)</t>
        </is>
      </c>
      <c r="P63" s="3" t="inlineStr">
        <is>
          <t>output/v8/F5/regional_ranking.csv</t>
        </is>
      </c>
    </row>
    <row r="64">
      <c r="A64" s="3" t="inlineStr">
        <is>
          <t>alquiler</t>
        </is>
      </c>
      <c r="B64" s="3" t="inlineStr">
        <is>
          <t>ccaa:02</t>
        </is>
      </c>
      <c r="C64" s="3" t="inlineStr">
        <is>
          <t>P5</t>
        </is>
      </c>
      <c r="D64" s="3" t="inlineStr">
        <is>
          <t>demanda_externa</t>
        </is>
      </c>
      <c r="E64" s="3" t="inlineStr">
        <is>
          <t>regional_panel</t>
        </is>
      </c>
      <c r="F64" s="3" t="inlineStr">
        <is>
          <t>panel_covariables</t>
        </is>
      </c>
      <c r="G64" s="3" t="n">
        <v>0.0189501</v>
      </c>
      <c r="H64" s="3" t="n">
        <v>-0.377846</v>
      </c>
      <c r="I64" s="3" t="n">
        <v>-0.00986045</v>
      </c>
      <c r="J64" s="3" t="n">
        <v>0.0664848</v>
      </c>
      <c r="K64" s="3" t="n">
        <v>-5.01531</v>
      </c>
      <c r="L64" s="3" t="n">
        <v>3</v>
      </c>
      <c r="M64" s="3" t="inlineStr">
        <is>
          <t>si</t>
        </is>
      </c>
      <c r="N64" s="3" t="inlineStr">
        <is>
          <t>no designado (contraste C4: no hay svar_hd regional)</t>
        </is>
      </c>
      <c r="O64" s="3" t="inlineStr">
        <is>
          <t>CCAA: ranking por c_f·sign(dY) del panel FE (M8); asociacion, sin lectura causal; el factor comun es un resumen de comovimiento (pendiente ~1 mecanica, J23)</t>
        </is>
      </c>
      <c r="P64" s="3" t="inlineStr">
        <is>
          <t>output/v8/F5/regional_ranking.csv</t>
        </is>
      </c>
    </row>
    <row r="65">
      <c r="A65" s="3" t="inlineStr">
        <is>
          <t>alquiler</t>
        </is>
      </c>
      <c r="B65" s="3" t="inlineStr">
        <is>
          <t>ccaa:02</t>
        </is>
      </c>
      <c r="C65" s="3" t="inlineStr">
        <is>
          <t>P5</t>
        </is>
      </c>
      <c r="D65" s="3" t="inlineStr">
        <is>
          <t>residuo</t>
        </is>
      </c>
      <c r="E65" s="3" t="inlineStr">
        <is>
          <t>regional_panel</t>
        </is>
      </c>
      <c r="F65" s="3" t="inlineStr">
        <is>
          <t>panel_covariables</t>
        </is>
      </c>
      <c r="G65" s="3" t="n">
        <v>0.08144750000000001</v>
      </c>
      <c r="H65" s="3" t="n">
        <v>-1.62398</v>
      </c>
      <c r="I65" s="3" t="n">
        <v>-0.437688</v>
      </c>
      <c r="J65" s="3" t="n">
        <v>0.532525</v>
      </c>
      <c r="K65" s="3" t="n">
        <v>-5.01531</v>
      </c>
      <c r="L65" s="3" t="n"/>
      <c r="M65" s="3" t="inlineStr">
        <is>
          <t>no</t>
        </is>
      </c>
      <c r="N65" s="3" t="inlineStr">
        <is>
          <t>no designado (contraste C4: no hay svar_hd regional)</t>
        </is>
      </c>
      <c r="O65" s="3" t="inlineStr">
        <is>
          <t>CCAA: ranking por c_f·sign(dY) del panel FE (M8); asociacion, sin lectura causal; el factor comun es un resumen de comovimiento (pendiente ~1 mecanica, J23)</t>
        </is>
      </c>
      <c r="P65" s="3" t="inlineStr">
        <is>
          <t>output/v8/F5/regional_ranking.csv</t>
        </is>
      </c>
    </row>
    <row r="66">
      <c r="A66" s="3" t="inlineStr">
        <is>
          <t>alquiler</t>
        </is>
      </c>
      <c r="B66" s="3" t="inlineStr">
        <is>
          <t>ccaa:03</t>
        </is>
      </c>
      <c r="C66" s="3" t="inlineStr">
        <is>
          <t>P2</t>
        </is>
      </c>
      <c r="D66" s="3" t="inlineStr">
        <is>
          <t>factor_comun</t>
        </is>
      </c>
      <c r="E66" s="3" t="inlineStr">
        <is>
          <t>regional_ccaa_ols</t>
        </is>
      </c>
      <c r="F66" s="3" t="inlineStr">
        <is>
          <t>ols_solo_factor</t>
        </is>
      </c>
      <c r="G66" s="3" t="n">
        <v>-3.28982</v>
      </c>
      <c r="H66" s="3" t="n">
        <v>235.507</v>
      </c>
      <c r="I66" s="3" t="n">
        <v>-7.79295</v>
      </c>
      <c r="J66" s="3" t="n">
        <v>0.653533</v>
      </c>
      <c r="K66" s="3" t="n">
        <v>-1.41567</v>
      </c>
      <c r="L66" s="3" t="n"/>
      <c r="M66" s="3" t="inlineStr">
        <is>
          <t>no</t>
        </is>
      </c>
      <c r="N66" s="3" t="inlineStr">
        <is>
          <t>no designado (contraste C4: no hay svar_hd regional)</t>
        </is>
      </c>
      <c r="O66" s="3" t="inlineStr">
        <is>
          <t>CCAA: ranking por c_f·sign(dY) del panel FE (M8); asociacion, sin lectura causal; el factor comun es un resumen de comovimiento (pendiente ~1 mecanica, J23)</t>
        </is>
      </c>
      <c r="P66" s="3" t="inlineStr">
        <is>
          <t>output/v8/F5/regional_ranking.csv</t>
        </is>
      </c>
    </row>
    <row r="67">
      <c r="A67" s="3" t="inlineStr">
        <is>
          <t>alquiler</t>
        </is>
      </c>
      <c r="B67" s="3" t="inlineStr">
        <is>
          <t>ccaa:03</t>
        </is>
      </c>
      <c r="C67" s="3" t="inlineStr">
        <is>
          <t>P2</t>
        </is>
      </c>
      <c r="D67" s="3" t="inlineStr">
        <is>
          <t>residuo</t>
        </is>
      </c>
      <c r="E67" s="3" t="inlineStr">
        <is>
          <t>regional_ccaa_ols</t>
        </is>
      </c>
      <c r="F67" s="3" t="inlineStr">
        <is>
          <t>ols_solo_factor</t>
        </is>
      </c>
      <c r="G67" s="3" t="n">
        <v>1.89291</v>
      </c>
      <c r="H67" s="3" t="n">
        <v>-135.507</v>
      </c>
      <c r="I67" s="3" t="n"/>
      <c r="J67" s="3" t="n"/>
      <c r="K67" s="3" t="n">
        <v>-1.41567</v>
      </c>
      <c r="L67" s="3" t="n"/>
      <c r="M67" s="3" t="inlineStr">
        <is>
          <t>no</t>
        </is>
      </c>
      <c r="N67" s="3" t="inlineStr">
        <is>
          <t>no designado (contraste C4: no hay svar_hd regional)</t>
        </is>
      </c>
      <c r="O67" s="3" t="inlineStr">
        <is>
          <t>CCAA: ranking por c_f·sign(dY) del panel FE (M8); asociacion, sin lectura causal; el factor comun es un resumen de comovimiento (pendiente ~1 mecanica, J23)</t>
        </is>
      </c>
      <c r="P67" s="3" t="inlineStr">
        <is>
          <t>output/v8/F5/regional_ranking.csv</t>
        </is>
      </c>
    </row>
    <row r="68">
      <c r="A68" s="3" t="inlineStr">
        <is>
          <t>alquiler</t>
        </is>
      </c>
      <c r="B68" s="3" t="inlineStr">
        <is>
          <t>ccaa:03</t>
        </is>
      </c>
      <c r="C68" s="3" t="inlineStr">
        <is>
          <t>P2</t>
        </is>
      </c>
      <c r="D68" s="3" t="inlineStr">
        <is>
          <t>factor_comun</t>
        </is>
      </c>
      <c r="E68" s="3" t="inlineStr">
        <is>
          <t>regional_panel</t>
        </is>
      </c>
      <c r="F68" s="3" t="inlineStr">
        <is>
          <t>panel_covariables</t>
        </is>
      </c>
      <c r="G68" s="3" t="n">
        <v>-3.50963</v>
      </c>
      <c r="H68" s="3" t="n">
        <v>247.913</v>
      </c>
      <c r="I68" s="3" t="n">
        <v>-7.73728</v>
      </c>
      <c r="J68" s="3" t="n">
        <v>0.660335</v>
      </c>
      <c r="K68" s="3" t="n">
        <v>-1.41567</v>
      </c>
      <c r="L68" s="3" t="n"/>
      <c r="M68" s="3" t="inlineStr">
        <is>
          <t>no</t>
        </is>
      </c>
      <c r="N68" s="3" t="inlineStr">
        <is>
          <t>no designado (contraste C4: no hay svar_hd regional)</t>
        </is>
      </c>
      <c r="O68" s="3" t="inlineStr">
        <is>
          <t>CCAA: ranking por c_f·sign(dY) del panel FE (M8); asociacion, sin lectura causal; el factor comun es un resumen de comovimiento (pendiente ~1 mecanica, J23)</t>
        </is>
      </c>
      <c r="P68" s="3" t="inlineStr">
        <is>
          <t>output/v8/F5/regional_ranking.csv</t>
        </is>
      </c>
    </row>
    <row r="69">
      <c r="A69" s="3" t="inlineStr">
        <is>
          <t>alquiler</t>
        </is>
      </c>
      <c r="B69" s="3" t="inlineStr">
        <is>
          <t>ccaa:03</t>
        </is>
      </c>
      <c r="C69" s="3" t="inlineStr">
        <is>
          <t>P2</t>
        </is>
      </c>
      <c r="D69" s="3" t="inlineStr">
        <is>
          <t>empleo_renta</t>
        </is>
      </c>
      <c r="E69" s="3" t="inlineStr">
        <is>
          <t>regional_panel</t>
        </is>
      </c>
      <c r="F69" s="3" t="inlineStr">
        <is>
          <t>panel_covariables</t>
        </is>
      </c>
      <c r="G69" s="3" t="n">
        <v>0.100802</v>
      </c>
      <c r="H69" s="3" t="n">
        <v>-7.12046</v>
      </c>
      <c r="I69" s="3" t="n">
        <v>-0.283696</v>
      </c>
      <c r="J69" s="3" t="n">
        <v>0.6392139999999999</v>
      </c>
      <c r="K69" s="3" t="n">
        <v>-1.41567</v>
      </c>
      <c r="L69" s="3" t="n">
        <v>3</v>
      </c>
      <c r="M69" s="3" t="inlineStr">
        <is>
          <t>si</t>
        </is>
      </c>
      <c r="N69" s="3" t="inlineStr">
        <is>
          <t>no designado (contraste C4: no hay svar_hd regional)</t>
        </is>
      </c>
      <c r="O69" s="3" t="inlineStr">
        <is>
          <t>CCAA: ranking por c_f·sign(dY) del panel FE (M8); asociacion, sin lectura causal; el factor comun es un resumen de comovimiento (pendiente ~1 mecanica, J23)</t>
        </is>
      </c>
      <c r="P69" s="3" t="inlineStr">
        <is>
          <t>output/v8/F5/regional_ranking.csv</t>
        </is>
      </c>
    </row>
    <row r="70">
      <c r="A70" s="3" t="inlineStr">
        <is>
          <t>alquiler</t>
        </is>
      </c>
      <c r="B70" s="3" t="inlineStr">
        <is>
          <t>ccaa:03</t>
        </is>
      </c>
      <c r="C70" s="3" t="inlineStr">
        <is>
          <t>P2</t>
        </is>
      </c>
      <c r="D70" s="3" t="inlineStr">
        <is>
          <t>demografia</t>
        </is>
      </c>
      <c r="E70" s="3" t="inlineStr">
        <is>
          <t>regional_panel</t>
        </is>
      </c>
      <c r="F70" s="3" t="inlineStr">
        <is>
          <t>panel_covariables</t>
        </is>
      </c>
      <c r="G70" s="3" t="n">
        <v>-0.855844</v>
      </c>
      <c r="H70" s="3" t="n">
        <v>60.455</v>
      </c>
      <c r="I70" s="3" t="n">
        <v>-1.13459</v>
      </c>
      <c r="J70" s="3" t="n">
        <v>-0.586354</v>
      </c>
      <c r="K70" s="3" t="n">
        <v>-1.41567</v>
      </c>
      <c r="L70" s="3" t="n">
        <v>1</v>
      </c>
      <c r="M70" s="3" t="inlineStr">
        <is>
          <t>si</t>
        </is>
      </c>
      <c r="N70" s="3" t="inlineStr">
        <is>
          <t>no designado (contraste C4: no hay svar_hd regional)</t>
        </is>
      </c>
      <c r="O70" s="3" t="inlineStr">
        <is>
          <t>CCAA: ranking por c_f·sign(dY) del panel FE (M8); asociacion, sin lectura causal; el factor comun es un resumen de comovimiento (pendiente ~1 mecanica, J23)</t>
        </is>
      </c>
      <c r="P70" s="3" t="inlineStr">
        <is>
          <t>output/v8/F5/regional_ranking.csv</t>
        </is>
      </c>
    </row>
    <row r="71">
      <c r="A71" s="3" t="inlineStr">
        <is>
          <t>alquiler</t>
        </is>
      </c>
      <c r="B71" s="3" t="inlineStr">
        <is>
          <t>ccaa:03</t>
        </is>
      </c>
      <c r="C71" s="3" t="inlineStr">
        <is>
          <t>P2</t>
        </is>
      </c>
      <c r="D71" s="3" t="inlineStr">
        <is>
          <t>oferta</t>
        </is>
      </c>
      <c r="E71" s="3" t="inlineStr">
        <is>
          <t>regional_panel</t>
        </is>
      </c>
      <c r="F71" s="3" t="inlineStr">
        <is>
          <t>panel_covariables</t>
        </is>
      </c>
      <c r="G71" s="3" t="n">
        <v>0.39695</v>
      </c>
      <c r="H71" s="3" t="n">
        <v>-28.0397</v>
      </c>
      <c r="I71" s="3" t="n">
        <v>0.06727279999999999</v>
      </c>
      <c r="J71" s="3" t="n">
        <v>0.649497</v>
      </c>
      <c r="K71" s="3" t="n">
        <v>-1.41567</v>
      </c>
      <c r="L71" s="3" t="n">
        <v>4</v>
      </c>
      <c r="M71" s="3" t="inlineStr">
        <is>
          <t>si</t>
        </is>
      </c>
      <c r="N71" s="3" t="inlineStr">
        <is>
          <t>no designado (contraste C4: no hay svar_hd regional)</t>
        </is>
      </c>
      <c r="O71" s="3" t="inlineStr">
        <is>
          <t>CCAA: ranking por c_f·sign(dY) del panel FE (M8); asociacion, sin lectura causal; el factor comun es un resumen de comovimiento (pendiente ~1 mecanica, J23)</t>
        </is>
      </c>
      <c r="P71" s="3" t="inlineStr">
        <is>
          <t>output/v8/F5/regional_ranking.csv</t>
        </is>
      </c>
    </row>
    <row r="72">
      <c r="A72" s="3" t="inlineStr">
        <is>
          <t>alquiler</t>
        </is>
      </c>
      <c r="B72" s="3" t="inlineStr">
        <is>
          <t>ccaa:03</t>
        </is>
      </c>
      <c r="C72" s="3" t="inlineStr">
        <is>
          <t>P2</t>
        </is>
      </c>
      <c r="D72" s="3" t="inlineStr">
        <is>
          <t>demanda_externa</t>
        </is>
      </c>
      <c r="E72" s="3" t="inlineStr">
        <is>
          <t>regional_panel</t>
        </is>
      </c>
      <c r="F72" s="3" t="inlineStr">
        <is>
          <t>panel_covariables</t>
        </is>
      </c>
      <c r="G72" s="3" t="n">
        <v>-0.0513205</v>
      </c>
      <c r="H72" s="3" t="n">
        <v>3.62517</v>
      </c>
      <c r="I72" s="3" t="n">
        <v>-0.0855249</v>
      </c>
      <c r="J72" s="3" t="n">
        <v>0.129968</v>
      </c>
      <c r="K72" s="3" t="n">
        <v>-1.41567</v>
      </c>
      <c r="L72" s="3" t="n">
        <v>2</v>
      </c>
      <c r="M72" s="3" t="inlineStr">
        <is>
          <t>si</t>
        </is>
      </c>
      <c r="N72" s="3" t="inlineStr">
        <is>
          <t>no designado (contraste C4: no hay svar_hd regional)</t>
        </is>
      </c>
      <c r="O72" s="3" t="inlineStr">
        <is>
          <t>CCAA: ranking por c_f·sign(dY) del panel FE (M8); asociacion, sin lectura causal; el factor comun es un resumen de comovimiento (pendiente ~1 mecanica, J23)</t>
        </is>
      </c>
      <c r="P72" s="3" t="inlineStr">
        <is>
          <t>output/v8/F5/regional_ranking.csv</t>
        </is>
      </c>
    </row>
    <row r="73">
      <c r="A73" s="3" t="inlineStr">
        <is>
          <t>alquiler</t>
        </is>
      </c>
      <c r="B73" s="3" t="inlineStr">
        <is>
          <t>ccaa:03</t>
        </is>
      </c>
      <c r="C73" s="3" t="inlineStr">
        <is>
          <t>P2</t>
        </is>
      </c>
      <c r="D73" s="3" t="inlineStr">
        <is>
          <t>residuo</t>
        </is>
      </c>
      <c r="E73" s="3" t="inlineStr">
        <is>
          <t>regional_panel</t>
        </is>
      </c>
      <c r="F73" s="3" t="inlineStr">
        <is>
          <t>panel_covariables</t>
        </is>
      </c>
      <c r="G73" s="3" t="n">
        <v>2.50337</v>
      </c>
      <c r="H73" s="3" t="n">
        <v>-176.833</v>
      </c>
      <c r="I73" s="3" t="n">
        <v>1.59901</v>
      </c>
      <c r="J73" s="3" t="n">
        <v>3.22968</v>
      </c>
      <c r="K73" s="3" t="n">
        <v>-1.41567</v>
      </c>
      <c r="L73" s="3" t="n"/>
      <c r="M73" s="3" t="inlineStr">
        <is>
          <t>no</t>
        </is>
      </c>
      <c r="N73" s="3" t="inlineStr">
        <is>
          <t>no designado (contraste C4: no hay svar_hd regional)</t>
        </is>
      </c>
      <c r="O73" s="3" t="inlineStr">
        <is>
          <t>CCAA: ranking por c_f·sign(dY) del panel FE (M8); asociacion, sin lectura causal; el factor comun es un resumen de comovimiento (pendiente ~1 mecanica, J23)</t>
        </is>
      </c>
      <c r="P73" s="3" t="inlineStr">
        <is>
          <t>output/v8/F5/regional_ranking.csv</t>
        </is>
      </c>
    </row>
    <row r="74">
      <c r="A74" s="3" t="inlineStr">
        <is>
          <t>alquiler</t>
        </is>
      </c>
      <c r="B74" s="3" t="inlineStr">
        <is>
          <t>ccaa:03</t>
        </is>
      </c>
      <c r="C74" s="3" t="inlineStr">
        <is>
          <t>P3</t>
        </is>
      </c>
      <c r="D74" s="3" t="inlineStr">
        <is>
          <t>factor_comun</t>
        </is>
      </c>
      <c r="E74" s="3" t="inlineStr">
        <is>
          <t>regional_ccaa_ols</t>
        </is>
      </c>
      <c r="F74" s="3" t="inlineStr">
        <is>
          <t>ols_solo_factor</t>
        </is>
      </c>
      <c r="G74" s="3" t="n">
        <v>-1.97187</v>
      </c>
      <c r="H74" s="3" t="n">
        <v>140.358</v>
      </c>
      <c r="I74" s="3" t="n">
        <v>-3.25937</v>
      </c>
      <c r="J74" s="3" t="n">
        <v>-0.599308</v>
      </c>
      <c r="K74" s="3" t="n">
        <v>-0.970153</v>
      </c>
      <c r="L74" s="3" t="n"/>
      <c r="M74" s="3" t="inlineStr">
        <is>
          <t>no</t>
        </is>
      </c>
      <c r="N74" s="3" t="inlineStr">
        <is>
          <t>no designado (contraste C4: no hay svar_hd regional)</t>
        </is>
      </c>
      <c r="O74" s="3" t="inlineStr">
        <is>
          <t>CCAA: ranking por c_f·sign(dY) del panel FE (M8); asociacion, sin lectura causal; el factor comun es un resumen de comovimiento (pendiente ~1 mecanica, J23)</t>
        </is>
      </c>
      <c r="P74" s="3" t="inlineStr">
        <is>
          <t>output/v8/F5/regional_ranking.csv</t>
        </is>
      </c>
    </row>
    <row r="75">
      <c r="A75" s="3" t="inlineStr">
        <is>
          <t>alquiler</t>
        </is>
      </c>
      <c r="B75" s="3" t="inlineStr">
        <is>
          <t>ccaa:03</t>
        </is>
      </c>
      <c r="C75" s="3" t="inlineStr">
        <is>
          <t>P3</t>
        </is>
      </c>
      <c r="D75" s="3" t="inlineStr">
        <is>
          <t>residuo</t>
        </is>
      </c>
      <c r="E75" s="3" t="inlineStr">
        <is>
          <t>regional_ccaa_ols</t>
        </is>
      </c>
      <c r="F75" s="3" t="inlineStr">
        <is>
          <t>ols_solo_factor</t>
        </is>
      </c>
      <c r="G75" s="3" t="n">
        <v>0.566983</v>
      </c>
      <c r="H75" s="3" t="n">
        <v>-40.3579</v>
      </c>
      <c r="I75" s="3" t="n"/>
      <c r="J75" s="3" t="n"/>
      <c r="K75" s="3" t="n">
        <v>-0.970153</v>
      </c>
      <c r="L75" s="3" t="n"/>
      <c r="M75" s="3" t="inlineStr">
        <is>
          <t>no</t>
        </is>
      </c>
      <c r="N75" s="3" t="inlineStr">
        <is>
          <t>no designado (contraste C4: no hay svar_hd regional)</t>
        </is>
      </c>
      <c r="O75" s="3" t="inlineStr">
        <is>
          <t>CCAA: ranking por c_f·sign(dY) del panel FE (M8); asociacion, sin lectura causal; el factor comun es un resumen de comovimiento (pendiente ~1 mecanica, J23)</t>
        </is>
      </c>
      <c r="P75" s="3" t="inlineStr">
        <is>
          <t>output/v8/F5/regional_ranking.csv</t>
        </is>
      </c>
    </row>
    <row r="76">
      <c r="A76" s="3" t="inlineStr">
        <is>
          <t>alquiler</t>
        </is>
      </c>
      <c r="B76" s="3" t="inlineStr">
        <is>
          <t>ccaa:03</t>
        </is>
      </c>
      <c r="C76" s="3" t="inlineStr">
        <is>
          <t>P3</t>
        </is>
      </c>
      <c r="D76" s="3" t="inlineStr">
        <is>
          <t>factor_comun</t>
        </is>
      </c>
      <c r="E76" s="3" t="inlineStr">
        <is>
          <t>regional_panel</t>
        </is>
      </c>
      <c r="F76" s="3" t="inlineStr">
        <is>
          <t>panel_covariables</t>
        </is>
      </c>
      <c r="G76" s="3" t="n">
        <v>-1.89168</v>
      </c>
      <c r="H76" s="3" t="n">
        <v>194.988</v>
      </c>
      <c r="I76" s="3" t="n">
        <v>-3.03018</v>
      </c>
      <c r="J76" s="3" t="n">
        <v>-0.7753910000000001</v>
      </c>
      <c r="K76" s="3" t="n">
        <v>-0.970153</v>
      </c>
      <c r="L76" s="3" t="n"/>
      <c r="M76" s="3" t="inlineStr">
        <is>
          <t>no</t>
        </is>
      </c>
      <c r="N76" s="3" t="inlineStr">
        <is>
          <t>no designado (contraste C4: no hay svar_hd regional)</t>
        </is>
      </c>
      <c r="O76" s="3" t="inlineStr">
        <is>
          <t>CCAA: ranking por c_f·sign(dY) del panel FE (M8); asociacion, sin lectura causal; el factor comun es un resumen de comovimiento (pendiente ~1 mecanica, J23)</t>
        </is>
      </c>
      <c r="P76" s="3" t="inlineStr">
        <is>
          <t>output/v8/F5/regional_ranking.csv</t>
        </is>
      </c>
    </row>
    <row r="77">
      <c r="A77" s="3" t="inlineStr">
        <is>
          <t>alquiler</t>
        </is>
      </c>
      <c r="B77" s="3" t="inlineStr">
        <is>
          <t>ccaa:03</t>
        </is>
      </c>
      <c r="C77" s="3" t="inlineStr">
        <is>
          <t>P3</t>
        </is>
      </c>
      <c r="D77" s="3" t="inlineStr">
        <is>
          <t>empleo_renta</t>
        </is>
      </c>
      <c r="E77" s="3" t="inlineStr">
        <is>
          <t>regional_panel</t>
        </is>
      </c>
      <c r="F77" s="3" t="inlineStr">
        <is>
          <t>panel_covariables</t>
        </is>
      </c>
      <c r="G77" s="3" t="n">
        <v>-0.141382</v>
      </c>
      <c r="H77" s="3" t="n">
        <v>14.5732</v>
      </c>
      <c r="I77" s="3" t="n">
        <v>-0.371273</v>
      </c>
      <c r="J77" s="3" t="n">
        <v>0.0147382</v>
      </c>
      <c r="K77" s="3" t="n">
        <v>-0.970153</v>
      </c>
      <c r="L77" s="3" t="n">
        <v>2</v>
      </c>
      <c r="M77" s="3" t="inlineStr">
        <is>
          <t>si</t>
        </is>
      </c>
      <c r="N77" s="3" t="inlineStr">
        <is>
          <t>no designado (contraste C4: no hay svar_hd regional)</t>
        </is>
      </c>
      <c r="O77" s="3" t="inlineStr">
        <is>
          <t>CCAA: ranking por c_f·sign(dY) del panel FE (M8); asociacion, sin lectura causal; el factor comun es un resumen de comovimiento (pendiente ~1 mecanica, J23)</t>
        </is>
      </c>
      <c r="P77" s="3" t="inlineStr">
        <is>
          <t>output/v8/F5/regional_ranking.csv</t>
        </is>
      </c>
    </row>
    <row r="78">
      <c r="A78" s="3" t="inlineStr">
        <is>
          <t>alquiler</t>
        </is>
      </c>
      <c r="B78" s="3" t="inlineStr">
        <is>
          <t>ccaa:03</t>
        </is>
      </c>
      <c r="C78" s="3" t="inlineStr">
        <is>
          <t>P3</t>
        </is>
      </c>
      <c r="D78" s="3" t="inlineStr">
        <is>
          <t>demografia</t>
        </is>
      </c>
      <c r="E78" s="3" t="inlineStr">
        <is>
          <t>regional_panel</t>
        </is>
      </c>
      <c r="F78" s="3" t="inlineStr">
        <is>
          <t>panel_covariables</t>
        </is>
      </c>
      <c r="G78" s="3" t="n">
        <v>-2.7707</v>
      </c>
      <c r="H78" s="3" t="n">
        <v>285.594</v>
      </c>
      <c r="I78" s="3" t="n">
        <v>-3.34987</v>
      </c>
      <c r="J78" s="3" t="n">
        <v>-2.33545</v>
      </c>
      <c r="K78" s="3" t="n">
        <v>-0.970153</v>
      </c>
      <c r="L78" s="3" t="n">
        <v>1</v>
      </c>
      <c r="M78" s="3" t="inlineStr">
        <is>
          <t>si</t>
        </is>
      </c>
      <c r="N78" s="3" t="inlineStr">
        <is>
          <t>no designado (contraste C4: no hay svar_hd regional)</t>
        </is>
      </c>
      <c r="O78" s="3" t="inlineStr">
        <is>
          <t>CCAA: ranking por c_f·sign(dY) del panel FE (M8); asociacion, sin lectura causal; el factor comun es un resumen de comovimiento (pendiente ~1 mecanica, J23)</t>
        </is>
      </c>
      <c r="P78" s="3" t="inlineStr">
        <is>
          <t>output/v8/F5/regional_ranking.csv</t>
        </is>
      </c>
    </row>
    <row r="79">
      <c r="A79" s="3" t="inlineStr">
        <is>
          <t>alquiler</t>
        </is>
      </c>
      <c r="B79" s="3" t="inlineStr">
        <is>
          <t>ccaa:03</t>
        </is>
      </c>
      <c r="C79" s="3" t="inlineStr">
        <is>
          <t>P3</t>
        </is>
      </c>
      <c r="D79" s="3" t="inlineStr">
        <is>
          <t>oferta</t>
        </is>
      </c>
      <c r="E79" s="3" t="inlineStr">
        <is>
          <t>regional_panel</t>
        </is>
      </c>
      <c r="F79" s="3" t="inlineStr">
        <is>
          <t>panel_covariables</t>
        </is>
      </c>
      <c r="G79" s="3" t="n">
        <v>0.0597998</v>
      </c>
      <c r="H79" s="3" t="n">
        <v>-6.16396</v>
      </c>
      <c r="I79" s="3" t="n">
        <v>-0.0197191</v>
      </c>
      <c r="J79" s="3" t="n">
        <v>0.185573</v>
      </c>
      <c r="K79" s="3" t="n">
        <v>-0.970153</v>
      </c>
      <c r="L79" s="3" t="n">
        <v>3</v>
      </c>
      <c r="M79" s="3" t="inlineStr">
        <is>
          <t>si</t>
        </is>
      </c>
      <c r="N79" s="3" t="inlineStr">
        <is>
          <t>no designado (contraste C4: no hay svar_hd regional)</t>
        </is>
      </c>
      <c r="O79" s="3" t="inlineStr">
        <is>
          <t>CCAA: ranking por c_f·sign(dY) del panel FE (M8); asociacion, sin lectura causal; el factor comun es un resumen de comovimiento (pendiente ~1 mecanica, J23)</t>
        </is>
      </c>
      <c r="P79" s="3" t="inlineStr">
        <is>
          <t>output/v8/F5/regional_ranking.csv</t>
        </is>
      </c>
    </row>
    <row r="80">
      <c r="A80" s="3" t="inlineStr">
        <is>
          <t>alquiler</t>
        </is>
      </c>
      <c r="B80" s="3" t="inlineStr">
        <is>
          <t>ccaa:03</t>
        </is>
      </c>
      <c r="C80" s="3" t="inlineStr">
        <is>
          <t>P3</t>
        </is>
      </c>
      <c r="D80" s="3" t="inlineStr">
        <is>
          <t>demanda_externa</t>
        </is>
      </c>
      <c r="E80" s="3" t="inlineStr">
        <is>
          <t>regional_panel</t>
        </is>
      </c>
      <c r="F80" s="3" t="inlineStr">
        <is>
          <t>panel_covariables</t>
        </is>
      </c>
      <c r="G80" s="3" t="n">
        <v>0.151322</v>
      </c>
      <c r="H80" s="3" t="n">
        <v>-15.5978</v>
      </c>
      <c r="I80" s="3" t="n">
        <v>0.0554935</v>
      </c>
      <c r="J80" s="3" t="n">
        <v>0.249665</v>
      </c>
      <c r="K80" s="3" t="n">
        <v>-0.970153</v>
      </c>
      <c r="L80" s="3" t="n">
        <v>4</v>
      </c>
      <c r="M80" s="3" t="inlineStr">
        <is>
          <t>si</t>
        </is>
      </c>
      <c r="N80" s="3" t="inlineStr">
        <is>
          <t>no designado (contraste C4: no hay svar_hd regional)</t>
        </is>
      </c>
      <c r="O80" s="3" t="inlineStr">
        <is>
          <t>CCAA: ranking por c_f·sign(dY) del panel FE (M8); asociacion, sin lectura causal; el factor comun es un resumen de comovimiento (pendiente ~1 mecanica, J23)</t>
        </is>
      </c>
      <c r="P80" s="3" t="inlineStr">
        <is>
          <t>output/v8/F5/regional_ranking.csv</t>
        </is>
      </c>
    </row>
    <row r="81">
      <c r="A81" s="3" t="inlineStr">
        <is>
          <t>alquiler</t>
        </is>
      </c>
      <c r="B81" s="3" t="inlineStr">
        <is>
          <t>ccaa:03</t>
        </is>
      </c>
      <c r="C81" s="3" t="inlineStr">
        <is>
          <t>P3</t>
        </is>
      </c>
      <c r="D81" s="3" t="inlineStr">
        <is>
          <t>residuo</t>
        </is>
      </c>
      <c r="E81" s="3" t="inlineStr">
        <is>
          <t>regional_panel</t>
        </is>
      </c>
      <c r="F81" s="3" t="inlineStr">
        <is>
          <t>panel_covariables</t>
        </is>
      </c>
      <c r="G81" s="3" t="n">
        <v>3.62249</v>
      </c>
      <c r="H81" s="3" t="n">
        <v>-373.394</v>
      </c>
      <c r="I81" s="3" t="n">
        <v>2.91545</v>
      </c>
      <c r="J81" s="3" t="n">
        <v>4.56974</v>
      </c>
      <c r="K81" s="3" t="n">
        <v>-0.970153</v>
      </c>
      <c r="L81" s="3" t="n"/>
      <c r="M81" s="3" t="inlineStr">
        <is>
          <t>no</t>
        </is>
      </c>
      <c r="N81" s="3" t="inlineStr">
        <is>
          <t>no designado (contraste C4: no hay svar_hd regional)</t>
        </is>
      </c>
      <c r="O81" s="3" t="inlineStr">
        <is>
          <t>CCAA: ranking por c_f·sign(dY) del panel FE (M8); asociacion, sin lectura causal; el factor comun es un resumen de comovimiento (pendiente ~1 mecanica, J23)</t>
        </is>
      </c>
      <c r="P81" s="3" t="inlineStr">
        <is>
          <t>output/v8/F5/regional_ranking.csv</t>
        </is>
      </c>
    </row>
    <row r="82">
      <c r="A82" s="3" t="inlineStr">
        <is>
          <t>alquiler</t>
        </is>
      </c>
      <c r="B82" s="3" t="inlineStr">
        <is>
          <t>ccaa:03</t>
        </is>
      </c>
      <c r="C82" s="3" t="inlineStr">
        <is>
          <t>P4</t>
        </is>
      </c>
      <c r="D82" s="3" t="inlineStr">
        <is>
          <t>factor_comun</t>
        </is>
      </c>
      <c r="E82" s="3" t="inlineStr">
        <is>
          <t>regional_ccaa_ols</t>
        </is>
      </c>
      <c r="F82" s="3" t="inlineStr">
        <is>
          <t>ols_solo_factor</t>
        </is>
      </c>
      <c r="G82" s="3" t="n">
        <v>-4.62465</v>
      </c>
      <c r="H82" s="3" t="n">
        <v>88.12520000000001</v>
      </c>
      <c r="I82" s="3" t="n">
        <v>-8.128629999999999</v>
      </c>
      <c r="J82" s="3" t="n">
        <v>-1.52337</v>
      </c>
      <c r="K82" s="3" t="n">
        <v>-5.24782</v>
      </c>
      <c r="L82" s="3" t="n"/>
      <c r="M82" s="3" t="inlineStr">
        <is>
          <t>no</t>
        </is>
      </c>
      <c r="N82" s="3" t="inlineStr">
        <is>
          <t>no designado (contraste C4: no hay svar_hd regional)</t>
        </is>
      </c>
      <c r="O82" s="3" t="inlineStr">
        <is>
          <t>CCAA: ranking por c_f·sign(dY) del panel FE (M8); asociacion, sin lectura causal; el factor comun es un resumen de comovimiento (pendiente ~1 mecanica, J23)</t>
        </is>
      </c>
      <c r="P82" s="3" t="inlineStr">
        <is>
          <t>output/v8/F5/regional_ranking.csv</t>
        </is>
      </c>
    </row>
    <row r="83">
      <c r="A83" s="3" t="inlineStr">
        <is>
          <t>alquiler</t>
        </is>
      </c>
      <c r="B83" s="3" t="inlineStr">
        <is>
          <t>ccaa:03</t>
        </is>
      </c>
      <c r="C83" s="3" t="inlineStr">
        <is>
          <t>P4</t>
        </is>
      </c>
      <c r="D83" s="3" t="inlineStr">
        <is>
          <t>residuo</t>
        </is>
      </c>
      <c r="E83" s="3" t="inlineStr">
        <is>
          <t>regional_ccaa_ols</t>
        </is>
      </c>
      <c r="F83" s="3" t="inlineStr">
        <is>
          <t>ols_solo_factor</t>
        </is>
      </c>
      <c r="G83" s="3" t="n">
        <v>-0.6231680000000001</v>
      </c>
      <c r="H83" s="3" t="n">
        <v>11.8748</v>
      </c>
      <c r="I83" s="3" t="n"/>
      <c r="J83" s="3" t="n"/>
      <c r="K83" s="3" t="n">
        <v>-5.24782</v>
      </c>
      <c r="L83" s="3" t="n"/>
      <c r="M83" s="3" t="inlineStr">
        <is>
          <t>no</t>
        </is>
      </c>
      <c r="N83" s="3" t="inlineStr">
        <is>
          <t>no designado (contraste C4: no hay svar_hd regional)</t>
        </is>
      </c>
      <c r="O83" s="3" t="inlineStr">
        <is>
          <t>CCAA: ranking por c_f·sign(dY) del panel FE (M8); asociacion, sin lectura causal; el factor comun es un resumen de comovimiento (pendiente ~1 mecanica, J23)</t>
        </is>
      </c>
      <c r="P83" s="3" t="inlineStr">
        <is>
          <t>output/v8/F5/regional_ranking.csv</t>
        </is>
      </c>
    </row>
    <row r="84">
      <c r="A84" s="3" t="inlineStr">
        <is>
          <t>alquiler</t>
        </is>
      </c>
      <c r="B84" s="3" t="inlineStr">
        <is>
          <t>ccaa:03</t>
        </is>
      </c>
      <c r="C84" s="3" t="inlineStr">
        <is>
          <t>P4</t>
        </is>
      </c>
      <c r="D84" s="3" t="inlineStr">
        <is>
          <t>factor_comun</t>
        </is>
      </c>
      <c r="E84" s="3" t="inlineStr">
        <is>
          <t>regional_panel</t>
        </is>
      </c>
      <c r="F84" s="3" t="inlineStr">
        <is>
          <t>panel_covariables</t>
        </is>
      </c>
      <c r="G84" s="3" t="n">
        <v>-4.82785</v>
      </c>
      <c r="H84" s="3" t="n">
        <v>91.99720000000001</v>
      </c>
      <c r="I84" s="3" t="n">
        <v>-8.01083</v>
      </c>
      <c r="J84" s="3" t="n">
        <v>-1.73403</v>
      </c>
      <c r="K84" s="3" t="n">
        <v>-5.24782</v>
      </c>
      <c r="L84" s="3" t="n"/>
      <c r="M84" s="3" t="inlineStr">
        <is>
          <t>no</t>
        </is>
      </c>
      <c r="N84" s="3" t="inlineStr">
        <is>
          <t>no designado (contraste C4: no hay svar_hd regional)</t>
        </is>
      </c>
      <c r="O84" s="3" t="inlineStr">
        <is>
          <t>CCAA: ranking por c_f·sign(dY) del panel FE (M8); asociacion, sin lectura causal; el factor comun es un resumen de comovimiento (pendiente ~1 mecanica, J23)</t>
        </is>
      </c>
      <c r="P84" s="3" t="inlineStr">
        <is>
          <t>output/v8/F5/regional_ranking.csv</t>
        </is>
      </c>
    </row>
    <row r="85">
      <c r="A85" s="3" t="inlineStr">
        <is>
          <t>alquiler</t>
        </is>
      </c>
      <c r="B85" s="3" t="inlineStr">
        <is>
          <t>ccaa:03</t>
        </is>
      </c>
      <c r="C85" s="3" t="inlineStr">
        <is>
          <t>P4</t>
        </is>
      </c>
      <c r="D85" s="3" t="inlineStr">
        <is>
          <t>empleo_renta</t>
        </is>
      </c>
      <c r="E85" s="3" t="inlineStr">
        <is>
          <t>regional_panel</t>
        </is>
      </c>
      <c r="F85" s="3" t="inlineStr">
        <is>
          <t>panel_covariables</t>
        </is>
      </c>
      <c r="G85" s="3" t="n">
        <v>0.0236927</v>
      </c>
      <c r="H85" s="3" t="n">
        <v>-0.451478</v>
      </c>
      <c r="I85" s="3" t="n">
        <v>-0.07084020000000001</v>
      </c>
      <c r="J85" s="3" t="n">
        <v>0.0565395</v>
      </c>
      <c r="K85" s="3" t="n">
        <v>-5.24782</v>
      </c>
      <c r="L85" s="3" t="n">
        <v>3</v>
      </c>
      <c r="M85" s="3" t="inlineStr">
        <is>
          <t>si</t>
        </is>
      </c>
      <c r="N85" s="3" t="inlineStr">
        <is>
          <t>no designado (contraste C4: no hay svar_hd regional)</t>
        </is>
      </c>
      <c r="O85" s="3" t="inlineStr">
        <is>
          <t>CCAA: ranking por c_f·sign(dY) del panel FE (M8); asociacion, sin lectura causal; el factor comun es un resumen de comovimiento (pendiente ~1 mecanica, J23)</t>
        </is>
      </c>
      <c r="P85" s="3" t="inlineStr">
        <is>
          <t>output/v8/F5/regional_ranking.csv</t>
        </is>
      </c>
    </row>
    <row r="86">
      <c r="A86" s="3" t="inlineStr">
        <is>
          <t>alquiler</t>
        </is>
      </c>
      <c r="B86" s="3" t="inlineStr">
        <is>
          <t>ccaa:03</t>
        </is>
      </c>
      <c r="C86" s="3" t="inlineStr">
        <is>
          <t>P4</t>
        </is>
      </c>
      <c r="D86" s="3" t="inlineStr">
        <is>
          <t>demografia</t>
        </is>
      </c>
      <c r="E86" s="3" t="inlineStr">
        <is>
          <t>regional_panel</t>
        </is>
      </c>
      <c r="F86" s="3" t="inlineStr">
        <is>
          <t>panel_covariables</t>
        </is>
      </c>
      <c r="G86" s="3" t="n">
        <v>0.515747</v>
      </c>
      <c r="H86" s="3" t="n">
        <v>-9.82785</v>
      </c>
      <c r="I86" s="3" t="n">
        <v>-0.217233</v>
      </c>
      <c r="J86" s="3" t="n">
        <v>1.73846</v>
      </c>
      <c r="K86" s="3" t="n">
        <v>-5.24782</v>
      </c>
      <c r="L86" s="3" t="n">
        <v>4</v>
      </c>
      <c r="M86" s="3" t="inlineStr">
        <is>
          <t>si</t>
        </is>
      </c>
      <c r="N86" s="3" t="inlineStr">
        <is>
          <t>no designado (contraste C4: no hay svar_hd regional)</t>
        </is>
      </c>
      <c r="O86" s="3" t="inlineStr">
        <is>
          <t>CCAA: ranking por c_f·sign(dY) del panel FE (M8); asociacion, sin lectura causal; el factor comun es un resumen de comovimiento (pendiente ~1 mecanica, J23)</t>
        </is>
      </c>
      <c r="P86" s="3" t="inlineStr">
        <is>
          <t>output/v8/F5/regional_ranking.csv</t>
        </is>
      </c>
    </row>
    <row r="87">
      <c r="A87" s="3" t="inlineStr">
        <is>
          <t>alquiler</t>
        </is>
      </c>
      <c r="B87" s="3" t="inlineStr">
        <is>
          <t>ccaa:03</t>
        </is>
      </c>
      <c r="C87" s="3" t="inlineStr">
        <is>
          <t>P4</t>
        </is>
      </c>
      <c r="D87" s="3" t="inlineStr">
        <is>
          <t>oferta</t>
        </is>
      </c>
      <c r="E87" s="3" t="inlineStr">
        <is>
          <t>regional_panel</t>
        </is>
      </c>
      <c r="F87" s="3" t="inlineStr">
        <is>
          <t>panel_covariables</t>
        </is>
      </c>
      <c r="G87" s="3" t="n">
        <v>0.00567333</v>
      </c>
      <c r="H87" s="3" t="n">
        <v>-0.108108</v>
      </c>
      <c r="I87" s="3" t="n">
        <v>-0.0272095</v>
      </c>
      <c r="J87" s="3" t="n">
        <v>0.0330779</v>
      </c>
      <c r="K87" s="3" t="n">
        <v>-5.24782</v>
      </c>
      <c r="L87" s="3" t="n">
        <v>1</v>
      </c>
      <c r="M87" s="3" t="inlineStr">
        <is>
          <t>si</t>
        </is>
      </c>
      <c r="N87" s="3" t="inlineStr">
        <is>
          <t>no designado (contraste C4: no hay svar_hd regional)</t>
        </is>
      </c>
      <c r="O87" s="3" t="inlineStr">
        <is>
          <t>CCAA: ranking por c_f·sign(dY) del panel FE (M8); asociacion, sin lectura causal; el factor comun es un resumen de comovimiento (pendiente ~1 mecanica, J23)</t>
        </is>
      </c>
      <c r="P87" s="3" t="inlineStr">
        <is>
          <t>output/v8/F5/regional_ranking.csv</t>
        </is>
      </c>
    </row>
    <row r="88">
      <c r="A88" s="3" t="inlineStr">
        <is>
          <t>alquiler</t>
        </is>
      </c>
      <c r="B88" s="3" t="inlineStr">
        <is>
          <t>ccaa:03</t>
        </is>
      </c>
      <c r="C88" s="3" t="inlineStr">
        <is>
          <t>P4</t>
        </is>
      </c>
      <c r="D88" s="3" t="inlineStr">
        <is>
          <t>demanda_externa</t>
        </is>
      </c>
      <c r="E88" s="3" t="inlineStr">
        <is>
          <t>regional_panel</t>
        </is>
      </c>
      <c r="F88" s="3" t="inlineStr">
        <is>
          <t>panel_covariables</t>
        </is>
      </c>
      <c r="G88" s="3" t="n">
        <v>0.0119624</v>
      </c>
      <c r="H88" s="3" t="n">
        <v>-0.227949</v>
      </c>
      <c r="I88" s="3" t="n">
        <v>-0.0537829</v>
      </c>
      <c r="J88" s="3" t="n">
        <v>0.0339762</v>
      </c>
      <c r="K88" s="3" t="n">
        <v>-5.24782</v>
      </c>
      <c r="L88" s="3" t="n">
        <v>2</v>
      </c>
      <c r="M88" s="3" t="inlineStr">
        <is>
          <t>si</t>
        </is>
      </c>
      <c r="N88" s="3" t="inlineStr">
        <is>
          <t>no designado (contraste C4: no hay svar_hd regional)</t>
        </is>
      </c>
      <c r="O88" s="3" t="inlineStr">
        <is>
          <t>CCAA: ranking por c_f·sign(dY) del panel FE (M8); asociacion, sin lectura causal; el factor comun es un resumen de comovimiento (pendiente ~1 mecanica, J23)</t>
        </is>
      </c>
      <c r="P88" s="3" t="inlineStr">
        <is>
          <t>output/v8/F5/regional_ranking.csv</t>
        </is>
      </c>
    </row>
    <row r="89">
      <c r="A89" s="3" t="inlineStr">
        <is>
          <t>alquiler</t>
        </is>
      </c>
      <c r="B89" s="3" t="inlineStr">
        <is>
          <t>ccaa:03</t>
        </is>
      </c>
      <c r="C89" s="3" t="inlineStr">
        <is>
          <t>P4</t>
        </is>
      </c>
      <c r="D89" s="3" t="inlineStr">
        <is>
          <t>residuo</t>
        </is>
      </c>
      <c r="E89" s="3" t="inlineStr">
        <is>
          <t>regional_panel</t>
        </is>
      </c>
      <c r="F89" s="3" t="inlineStr">
        <is>
          <t>panel_covariables</t>
        </is>
      </c>
      <c r="G89" s="3" t="n">
        <v>-0.977046</v>
      </c>
      <c r="H89" s="3" t="n">
        <v>18.6181</v>
      </c>
      <c r="I89" s="3" t="n">
        <v>-2.3195</v>
      </c>
      <c r="J89" s="3" t="n">
        <v>-0.0580995</v>
      </c>
      <c r="K89" s="3" t="n">
        <v>-5.24782</v>
      </c>
      <c r="L89" s="3" t="n"/>
      <c r="M89" s="3" t="inlineStr">
        <is>
          <t>no</t>
        </is>
      </c>
      <c r="N89" s="3" t="inlineStr">
        <is>
          <t>no designado (contraste C4: no hay svar_hd regional)</t>
        </is>
      </c>
      <c r="O89" s="3" t="inlineStr">
        <is>
          <t>CCAA: ranking por c_f·sign(dY) del panel FE (M8); asociacion, sin lectura causal; el factor comun es un resumen de comovimiento (pendiente ~1 mecanica, J23)</t>
        </is>
      </c>
      <c r="P89" s="3" t="inlineStr">
        <is>
          <t>output/v8/F5/regional_ranking.csv</t>
        </is>
      </c>
    </row>
    <row r="90">
      <c r="A90" s="3" t="inlineStr">
        <is>
          <t>alquiler</t>
        </is>
      </c>
      <c r="B90" s="3" t="inlineStr">
        <is>
          <t>ccaa:03</t>
        </is>
      </c>
      <c r="C90" s="3" t="inlineStr">
        <is>
          <t>P5</t>
        </is>
      </c>
      <c r="D90" s="3" t="inlineStr">
        <is>
          <t>factor_comun</t>
        </is>
      </c>
      <c r="E90" s="3" t="inlineStr">
        <is>
          <t>regional_ccaa_ols</t>
        </is>
      </c>
      <c r="F90" s="3" t="inlineStr">
        <is>
          <t>ols_solo_factor</t>
        </is>
      </c>
      <c r="G90" s="3" t="n">
        <v>-5.64827</v>
      </c>
      <c r="H90" s="3" t="n">
        <v>79.2388</v>
      </c>
      <c r="I90" s="3" t="n">
        <v>-8.05466</v>
      </c>
      <c r="J90" s="3" t="n">
        <v>-3.27808</v>
      </c>
      <c r="K90" s="3" t="n">
        <v>-6.59449</v>
      </c>
      <c r="L90" s="3" t="n"/>
      <c r="M90" s="3" t="inlineStr">
        <is>
          <t>no</t>
        </is>
      </c>
      <c r="N90" s="3" t="inlineStr">
        <is>
          <t>no designado (contraste C4: no hay svar_hd regional)</t>
        </is>
      </c>
      <c r="O90" s="3" t="inlineStr">
        <is>
          <t>CCAA: ranking por c_f·sign(dY) del panel FE (M8); asociacion, sin lectura causal; el factor comun es un resumen de comovimiento (pendiente ~1 mecanica, J23)</t>
        </is>
      </c>
      <c r="P90" s="3" t="inlineStr">
        <is>
          <t>output/v8/F5/regional_ranking.csv</t>
        </is>
      </c>
    </row>
    <row r="91">
      <c r="A91" s="3" t="inlineStr">
        <is>
          <t>alquiler</t>
        </is>
      </c>
      <c r="B91" s="3" t="inlineStr">
        <is>
          <t>ccaa:03</t>
        </is>
      </c>
      <c r="C91" s="3" t="inlineStr">
        <is>
          <t>P5</t>
        </is>
      </c>
      <c r="D91" s="3" t="inlineStr">
        <is>
          <t>residuo</t>
        </is>
      </c>
      <c r="E91" s="3" t="inlineStr">
        <is>
          <t>regional_ccaa_ols</t>
        </is>
      </c>
      <c r="F91" s="3" t="inlineStr">
        <is>
          <t>ols_solo_factor</t>
        </is>
      </c>
      <c r="G91" s="3" t="n">
        <v>-1.47989</v>
      </c>
      <c r="H91" s="3" t="n">
        <v>20.7612</v>
      </c>
      <c r="I91" s="3" t="n"/>
      <c r="J91" s="3" t="n"/>
      <c r="K91" s="3" t="n">
        <v>-6.59449</v>
      </c>
      <c r="L91" s="3" t="n"/>
      <c r="M91" s="3" t="inlineStr">
        <is>
          <t>no</t>
        </is>
      </c>
      <c r="N91" s="3" t="inlineStr">
        <is>
          <t>no designado (contraste C4: no hay svar_hd regional)</t>
        </is>
      </c>
      <c r="O91" s="3" t="inlineStr">
        <is>
          <t>CCAA: ranking por c_f·sign(dY) del panel FE (M8); asociacion, sin lectura causal; el factor comun es un resumen de comovimiento (pendiente ~1 mecanica, J23)</t>
        </is>
      </c>
      <c r="P91" s="3" t="inlineStr">
        <is>
          <t>output/v8/F5/regional_ranking.csv</t>
        </is>
      </c>
    </row>
    <row r="92">
      <c r="A92" s="3" t="inlineStr">
        <is>
          <t>alquiler</t>
        </is>
      </c>
      <c r="B92" s="3" t="inlineStr">
        <is>
          <t>ccaa:03</t>
        </is>
      </c>
      <c r="C92" s="3" t="inlineStr">
        <is>
          <t>P5</t>
        </is>
      </c>
      <c r="D92" s="3" t="inlineStr">
        <is>
          <t>factor_comun</t>
        </is>
      </c>
      <c r="E92" s="3" t="inlineStr">
        <is>
          <t>regional_panel</t>
        </is>
      </c>
      <c r="F92" s="3" t="inlineStr">
        <is>
          <t>panel_covariables</t>
        </is>
      </c>
      <c r="G92" s="3" t="n">
        <v>-5.47353</v>
      </c>
      <c r="H92" s="3" t="n">
        <v>83.00149999999999</v>
      </c>
      <c r="I92" s="3" t="n">
        <v>-7.50057</v>
      </c>
      <c r="J92" s="3" t="n">
        <v>-3.0519</v>
      </c>
      <c r="K92" s="3" t="n">
        <v>-6.59449</v>
      </c>
      <c r="L92" s="3" t="n"/>
      <c r="M92" s="3" t="inlineStr">
        <is>
          <t>no</t>
        </is>
      </c>
      <c r="N92" s="3" t="inlineStr">
        <is>
          <t>no designado (contraste C4: no hay svar_hd regional)</t>
        </is>
      </c>
      <c r="O92" s="3" t="inlineStr">
        <is>
          <t>CCAA: ranking por c_f·sign(dY) del panel FE (M8); asociacion, sin lectura causal; el factor comun es un resumen de comovimiento (pendiente ~1 mecanica, J23)</t>
        </is>
      </c>
      <c r="P92" s="3" t="inlineStr">
        <is>
          <t>output/v8/F5/regional_ranking.csv</t>
        </is>
      </c>
    </row>
    <row r="93">
      <c r="A93" s="3" t="inlineStr">
        <is>
          <t>alquiler</t>
        </is>
      </c>
      <c r="B93" s="3" t="inlineStr">
        <is>
          <t>ccaa:03</t>
        </is>
      </c>
      <c r="C93" s="3" t="inlineStr">
        <is>
          <t>P5</t>
        </is>
      </c>
      <c r="D93" s="3" t="inlineStr">
        <is>
          <t>empleo_renta</t>
        </is>
      </c>
      <c r="E93" s="3" t="inlineStr">
        <is>
          <t>regional_panel</t>
        </is>
      </c>
      <c r="F93" s="3" t="inlineStr">
        <is>
          <t>panel_covariables</t>
        </is>
      </c>
      <c r="G93" s="3" t="n">
        <v>-0.145624</v>
      </c>
      <c r="H93" s="3" t="n">
        <v>2.20826</v>
      </c>
      <c r="I93" s="3" t="n">
        <v>-0.200243</v>
      </c>
      <c r="J93" s="3" t="n">
        <v>-0.0595245</v>
      </c>
      <c r="K93" s="3" t="n">
        <v>-6.59449</v>
      </c>
      <c r="L93" s="3" t="n">
        <v>1</v>
      </c>
      <c r="M93" s="3" t="inlineStr">
        <is>
          <t>si</t>
        </is>
      </c>
      <c r="N93" s="3" t="inlineStr">
        <is>
          <t>no designado (contraste C4: no hay svar_hd regional)</t>
        </is>
      </c>
      <c r="O93" s="3" t="inlineStr">
        <is>
          <t>CCAA: ranking por c_f·sign(dY) del panel FE (M8); asociacion, sin lectura causal; el factor comun es un resumen de comovimiento (pendiente ~1 mecanica, J23)</t>
        </is>
      </c>
      <c r="P93" s="3" t="inlineStr">
        <is>
          <t>output/v8/F5/regional_ranking.csv</t>
        </is>
      </c>
    </row>
    <row r="94">
      <c r="A94" s="3" t="inlineStr">
        <is>
          <t>alquiler</t>
        </is>
      </c>
      <c r="B94" s="3" t="inlineStr">
        <is>
          <t>ccaa:03</t>
        </is>
      </c>
      <c r="C94" s="3" t="inlineStr">
        <is>
          <t>P5</t>
        </is>
      </c>
      <c r="D94" s="3" t="inlineStr">
        <is>
          <t>demografia</t>
        </is>
      </c>
      <c r="E94" s="3" t="inlineStr">
        <is>
          <t>regional_panel</t>
        </is>
      </c>
      <c r="F94" s="3" t="inlineStr">
        <is>
          <t>panel_covariables</t>
        </is>
      </c>
      <c r="G94" s="3" t="n">
        <v>0.605222</v>
      </c>
      <c r="H94" s="3" t="n">
        <v>-9.17769</v>
      </c>
      <c r="I94" s="3" t="n">
        <v>-0.270635</v>
      </c>
      <c r="J94" s="3" t="n">
        <v>1.47443</v>
      </c>
      <c r="K94" s="3" t="n">
        <v>-6.59449</v>
      </c>
      <c r="L94" s="3" t="n">
        <v>4</v>
      </c>
      <c r="M94" s="3" t="inlineStr">
        <is>
          <t>si</t>
        </is>
      </c>
      <c r="N94" s="3" t="inlineStr">
        <is>
          <t>no designado (contraste C4: no hay svar_hd regional)</t>
        </is>
      </c>
      <c r="O94" s="3" t="inlineStr">
        <is>
          <t>CCAA: ranking por c_f·sign(dY) del panel FE (M8); asociacion, sin lectura causal; el factor comun es un resumen de comovimiento (pendiente ~1 mecanica, J23)</t>
        </is>
      </c>
      <c r="P94" s="3" t="inlineStr">
        <is>
          <t>output/v8/F5/regional_ranking.csv</t>
        </is>
      </c>
    </row>
    <row r="95">
      <c r="A95" s="3" t="inlineStr">
        <is>
          <t>alquiler</t>
        </is>
      </c>
      <c r="B95" s="3" t="inlineStr">
        <is>
          <t>ccaa:03</t>
        </is>
      </c>
      <c r="C95" s="3" t="inlineStr">
        <is>
          <t>P5</t>
        </is>
      </c>
      <c r="D95" s="3" t="inlineStr">
        <is>
          <t>oferta</t>
        </is>
      </c>
      <c r="E95" s="3" t="inlineStr">
        <is>
          <t>regional_panel</t>
        </is>
      </c>
      <c r="F95" s="3" t="inlineStr">
        <is>
          <t>panel_covariables</t>
        </is>
      </c>
      <c r="G95" s="3" t="n">
        <v>0.00130503</v>
      </c>
      <c r="H95" s="3" t="n">
        <v>-0.0197896</v>
      </c>
      <c r="I95" s="3" t="n">
        <v>-0.0145708</v>
      </c>
      <c r="J95" s="3" t="n">
        <v>0.004722</v>
      </c>
      <c r="K95" s="3" t="n">
        <v>-6.59449</v>
      </c>
      <c r="L95" s="3" t="n">
        <v>2</v>
      </c>
      <c r="M95" s="3" t="inlineStr">
        <is>
          <t>si</t>
        </is>
      </c>
      <c r="N95" s="3" t="inlineStr">
        <is>
          <t>no designado (contraste C4: no hay svar_hd regional)</t>
        </is>
      </c>
      <c r="O95" s="3" t="inlineStr">
        <is>
          <t>CCAA: ranking por c_f·sign(dY) del panel FE (M8); asociacion, sin lectura causal; el factor comun es un resumen de comovimiento (pendiente ~1 mecanica, J23)</t>
        </is>
      </c>
      <c r="P95" s="3" t="inlineStr">
        <is>
          <t>output/v8/F5/regional_ranking.csv</t>
        </is>
      </c>
    </row>
    <row r="96">
      <c r="A96" s="3" t="inlineStr">
        <is>
          <t>alquiler</t>
        </is>
      </c>
      <c r="B96" s="3" t="inlineStr">
        <is>
          <t>ccaa:03</t>
        </is>
      </c>
      <c r="C96" s="3" t="inlineStr">
        <is>
          <t>P5</t>
        </is>
      </c>
      <c r="D96" s="3" t="inlineStr">
        <is>
          <t>demanda_externa</t>
        </is>
      </c>
      <c r="E96" s="3" t="inlineStr">
        <is>
          <t>regional_panel</t>
        </is>
      </c>
      <c r="F96" s="3" t="inlineStr">
        <is>
          <t>panel_covariables</t>
        </is>
      </c>
      <c r="G96" s="3" t="n">
        <v>0.254993</v>
      </c>
      <c r="H96" s="3" t="n">
        <v>-3.86675</v>
      </c>
      <c r="I96" s="3" t="n">
        <v>0.0943756</v>
      </c>
      <c r="J96" s="3" t="n">
        <v>0.399339</v>
      </c>
      <c r="K96" s="3" t="n">
        <v>-6.59449</v>
      </c>
      <c r="L96" s="3" t="n">
        <v>3</v>
      </c>
      <c r="M96" s="3" t="inlineStr">
        <is>
          <t>si</t>
        </is>
      </c>
      <c r="N96" s="3" t="inlineStr">
        <is>
          <t>no designado (contraste C4: no hay svar_hd regional)</t>
        </is>
      </c>
      <c r="O96" s="3" t="inlineStr">
        <is>
          <t>CCAA: ranking por c_f·sign(dY) del panel FE (M8); asociacion, sin lectura causal; el factor comun es un resumen de comovimiento (pendiente ~1 mecanica, J23)</t>
        </is>
      </c>
      <c r="P96" s="3" t="inlineStr">
        <is>
          <t>output/v8/F5/regional_ranking.csv</t>
        </is>
      </c>
    </row>
    <row r="97">
      <c r="A97" s="3" t="inlineStr">
        <is>
          <t>alquiler</t>
        </is>
      </c>
      <c r="B97" s="3" t="inlineStr">
        <is>
          <t>ccaa:03</t>
        </is>
      </c>
      <c r="C97" s="3" t="inlineStr">
        <is>
          <t>P5</t>
        </is>
      </c>
      <c r="D97" s="3" t="inlineStr">
        <is>
          <t>residuo</t>
        </is>
      </c>
      <c r="E97" s="3" t="inlineStr">
        <is>
          <t>regional_panel</t>
        </is>
      </c>
      <c r="F97" s="3" t="inlineStr">
        <is>
          <t>panel_covariables</t>
        </is>
      </c>
      <c r="G97" s="3" t="n">
        <v>-1.83686</v>
      </c>
      <c r="H97" s="3" t="n">
        <v>27.8544</v>
      </c>
      <c r="I97" s="3" t="n">
        <v>-2.79763</v>
      </c>
      <c r="J97" s="3" t="n">
        <v>-1.01818</v>
      </c>
      <c r="K97" s="3" t="n">
        <v>-6.59449</v>
      </c>
      <c r="L97" s="3" t="n"/>
      <c r="M97" s="3" t="inlineStr">
        <is>
          <t>no</t>
        </is>
      </c>
      <c r="N97" s="3" t="inlineStr">
        <is>
          <t>no designado (contraste C4: no hay svar_hd regional)</t>
        </is>
      </c>
      <c r="O97" s="3" t="inlineStr">
        <is>
          <t>CCAA: ranking por c_f·sign(dY) del panel FE (M8); asociacion, sin lectura causal; el factor comun es un resumen de comovimiento (pendiente ~1 mecanica, J23)</t>
        </is>
      </c>
      <c r="P97" s="3" t="inlineStr">
        <is>
          <t>output/v8/F5/regional_ranking.csv</t>
        </is>
      </c>
    </row>
    <row r="98">
      <c r="A98" s="3" t="inlineStr">
        <is>
          <t>alquiler</t>
        </is>
      </c>
      <c r="B98" s="3" t="inlineStr">
        <is>
          <t>ccaa:04</t>
        </is>
      </c>
      <c r="C98" s="3" t="inlineStr">
        <is>
          <t>P2</t>
        </is>
      </c>
      <c r="D98" s="3" t="inlineStr">
        <is>
          <t>factor_comun</t>
        </is>
      </c>
      <c r="E98" s="3" t="inlineStr">
        <is>
          <t>regional_ccaa_ols</t>
        </is>
      </c>
      <c r="F98" s="3" t="inlineStr">
        <is>
          <t>ols_solo_factor</t>
        </is>
      </c>
      <c r="G98" s="3" t="n">
        <v>-3.21473</v>
      </c>
      <c r="H98" s="3" t="n">
        <v>134.791</v>
      </c>
      <c r="I98" s="3" t="n">
        <v>-7.5664</v>
      </c>
      <c r="J98" s="3" t="n">
        <v>0.365108</v>
      </c>
      <c r="K98" s="3" t="n">
        <v>-2.52115</v>
      </c>
      <c r="L98" s="3" t="n"/>
      <c r="M98" s="3" t="inlineStr">
        <is>
          <t>no</t>
        </is>
      </c>
      <c r="N98" s="3" t="inlineStr">
        <is>
          <t>no designado (contraste C4: no hay svar_hd regional)</t>
        </is>
      </c>
      <c r="O98" s="3" t="inlineStr">
        <is>
          <t>CCAA: ranking por c_f·sign(dY) del panel FE (M8); asociacion, sin lectura causal; el factor comun es un resumen de comovimiento (pendiente ~1 mecanica, J23)</t>
        </is>
      </c>
      <c r="P98" s="3" t="inlineStr">
        <is>
          <t>output/v8/F5/regional_ranking.csv</t>
        </is>
      </c>
    </row>
    <row r="99">
      <c r="A99" s="3" t="inlineStr">
        <is>
          <t>alquiler</t>
        </is>
      </c>
      <c r="B99" s="3" t="inlineStr">
        <is>
          <t>ccaa:04</t>
        </is>
      </c>
      <c r="C99" s="3" t="inlineStr">
        <is>
          <t>P2</t>
        </is>
      </c>
      <c r="D99" s="3" t="inlineStr">
        <is>
          <t>residuo</t>
        </is>
      </c>
      <c r="E99" s="3" t="inlineStr">
        <is>
          <t>regional_ccaa_ols</t>
        </is>
      </c>
      <c r="F99" s="3" t="inlineStr">
        <is>
          <t>ols_solo_factor</t>
        </is>
      </c>
      <c r="G99" s="3" t="n">
        <v>0.829752</v>
      </c>
      <c r="H99" s="3" t="n">
        <v>-34.7907</v>
      </c>
      <c r="I99" s="3" t="n"/>
      <c r="J99" s="3" t="n"/>
      <c r="K99" s="3" t="n">
        <v>-2.52115</v>
      </c>
      <c r="L99" s="3" t="n"/>
      <c r="M99" s="3" t="inlineStr">
        <is>
          <t>no</t>
        </is>
      </c>
      <c r="N99" s="3" t="inlineStr">
        <is>
          <t>no designado (contraste C4: no hay svar_hd regional)</t>
        </is>
      </c>
      <c r="O99" s="3" t="inlineStr">
        <is>
          <t>CCAA: ranking por c_f·sign(dY) del panel FE (M8); asociacion, sin lectura causal; el factor comun es un resumen de comovimiento (pendiente ~1 mecanica, J23)</t>
        </is>
      </c>
      <c r="P99" s="3" t="inlineStr">
        <is>
          <t>output/v8/F5/regional_ranking.csv</t>
        </is>
      </c>
    </row>
    <row r="100">
      <c r="A100" s="3" t="inlineStr">
        <is>
          <t>alquiler</t>
        </is>
      </c>
      <c r="B100" s="3" t="inlineStr">
        <is>
          <t>ccaa:04</t>
        </is>
      </c>
      <c r="C100" s="3" t="inlineStr">
        <is>
          <t>P2</t>
        </is>
      </c>
      <c r="D100" s="3" t="inlineStr">
        <is>
          <t>factor_comun</t>
        </is>
      </c>
      <c r="E100" s="3" t="inlineStr">
        <is>
          <t>regional_panel</t>
        </is>
      </c>
      <c r="F100" s="3" t="inlineStr">
        <is>
          <t>panel_covariables</t>
        </is>
      </c>
      <c r="G100" s="3" t="n">
        <v>-3.50963</v>
      </c>
      <c r="H100" s="3" t="n">
        <v>139.207</v>
      </c>
      <c r="I100" s="3" t="n">
        <v>-7.73728</v>
      </c>
      <c r="J100" s="3" t="n">
        <v>0.660335</v>
      </c>
      <c r="K100" s="3" t="n">
        <v>-2.52115</v>
      </c>
      <c r="L100" s="3" t="n"/>
      <c r="M100" s="3" t="inlineStr">
        <is>
          <t>no</t>
        </is>
      </c>
      <c r="N100" s="3" t="inlineStr">
        <is>
          <t>no designado (contraste C4: no hay svar_hd regional)</t>
        </is>
      </c>
      <c r="O100" s="3" t="inlineStr">
        <is>
          <t>CCAA: ranking por c_f·sign(dY) del panel FE (M8); asociacion, sin lectura causal; el factor comun es un resumen de comovimiento (pendiente ~1 mecanica, J23)</t>
        </is>
      </c>
      <c r="P100" s="3" t="inlineStr">
        <is>
          <t>output/v8/F5/regional_ranking.csv</t>
        </is>
      </c>
    </row>
    <row r="101">
      <c r="A101" s="3" t="inlineStr">
        <is>
          <t>alquiler</t>
        </is>
      </c>
      <c r="B101" s="3" t="inlineStr">
        <is>
          <t>ccaa:04</t>
        </is>
      </c>
      <c r="C101" s="3" t="inlineStr">
        <is>
          <t>P2</t>
        </is>
      </c>
      <c r="D101" s="3" t="inlineStr">
        <is>
          <t>empleo_renta</t>
        </is>
      </c>
      <c r="E101" s="3" t="inlineStr">
        <is>
          <t>regional_panel</t>
        </is>
      </c>
      <c r="F101" s="3" t="inlineStr">
        <is>
          <t>panel_covariables</t>
        </is>
      </c>
      <c r="G101" s="3" t="n">
        <v>-0.06633650000000001</v>
      </c>
      <c r="H101" s="3" t="n">
        <v>2.6312</v>
      </c>
      <c r="I101" s="3" t="n">
        <v>-0.311861</v>
      </c>
      <c r="J101" s="3" t="n">
        <v>0.271629</v>
      </c>
      <c r="K101" s="3" t="n">
        <v>-2.52115</v>
      </c>
      <c r="L101" s="3" t="n">
        <v>1</v>
      </c>
      <c r="M101" s="3" t="inlineStr">
        <is>
          <t>si</t>
        </is>
      </c>
      <c r="N101" s="3" t="inlineStr">
        <is>
          <t>no designado (contraste C4: no hay svar_hd regional)</t>
        </is>
      </c>
      <c r="O101" s="3" t="inlineStr">
        <is>
          <t>CCAA: ranking por c_f·sign(dY) del panel FE (M8); asociacion, sin lectura causal; el factor comun es un resumen de comovimiento (pendiente ~1 mecanica, J23)</t>
        </is>
      </c>
      <c r="P101" s="3" t="inlineStr">
        <is>
          <t>output/v8/F5/regional_ranking.csv</t>
        </is>
      </c>
    </row>
    <row r="102">
      <c r="A102" s="3" t="inlineStr">
        <is>
          <t>alquiler</t>
        </is>
      </c>
      <c r="B102" s="3" t="inlineStr">
        <is>
          <t>ccaa:04</t>
        </is>
      </c>
      <c r="C102" s="3" t="inlineStr">
        <is>
          <t>P2</t>
        </is>
      </c>
      <c r="D102" s="3" t="inlineStr">
        <is>
          <t>demografia</t>
        </is>
      </c>
      <c r="E102" s="3" t="inlineStr">
        <is>
          <t>regional_panel</t>
        </is>
      </c>
      <c r="F102" s="3" t="inlineStr">
        <is>
          <t>panel_covariables</t>
        </is>
      </c>
      <c r="G102" s="3" t="n">
        <v>2.18669</v>
      </c>
      <c r="H102" s="3" t="n">
        <v>-86.73390000000001</v>
      </c>
      <c r="I102" s="3" t="n">
        <v>1.77863</v>
      </c>
      <c r="J102" s="3" t="n">
        <v>3.07497</v>
      </c>
      <c r="K102" s="3" t="n">
        <v>-2.52115</v>
      </c>
      <c r="L102" s="3" t="n">
        <v>4</v>
      </c>
      <c r="M102" s="3" t="inlineStr">
        <is>
          <t>si</t>
        </is>
      </c>
      <c r="N102" s="3" t="inlineStr">
        <is>
          <t>no designado (contraste C4: no hay svar_hd regional)</t>
        </is>
      </c>
      <c r="O102" s="3" t="inlineStr">
        <is>
          <t>CCAA: ranking por c_f·sign(dY) del panel FE (M8); asociacion, sin lectura causal; el factor comun es un resumen de comovimiento (pendiente ~1 mecanica, J23)</t>
        </is>
      </c>
      <c r="P102" s="3" t="inlineStr">
        <is>
          <t>output/v8/F5/regional_ranking.csv</t>
        </is>
      </c>
    </row>
    <row r="103">
      <c r="A103" s="3" t="inlineStr">
        <is>
          <t>alquiler</t>
        </is>
      </c>
      <c r="B103" s="3" t="inlineStr">
        <is>
          <t>ccaa:04</t>
        </is>
      </c>
      <c r="C103" s="3" t="inlineStr">
        <is>
          <t>P2</t>
        </is>
      </c>
      <c r="D103" s="3" t="inlineStr">
        <is>
          <t>oferta</t>
        </is>
      </c>
      <c r="E103" s="3" t="inlineStr">
        <is>
          <t>regional_panel</t>
        </is>
      </c>
      <c r="F103" s="3" t="inlineStr">
        <is>
          <t>panel_covariables</t>
        </is>
      </c>
      <c r="G103" s="3" t="n">
        <v>0.231747</v>
      </c>
      <c r="H103" s="3" t="n">
        <v>-9.192130000000001</v>
      </c>
      <c r="I103" s="3" t="n">
        <v>0.0267406</v>
      </c>
      <c r="J103" s="3" t="n">
        <v>0.460219</v>
      </c>
      <c r="K103" s="3" t="n">
        <v>-2.52115</v>
      </c>
      <c r="L103" s="3" t="n">
        <v>3</v>
      </c>
      <c r="M103" s="3" t="inlineStr">
        <is>
          <t>si</t>
        </is>
      </c>
      <c r="N103" s="3" t="inlineStr">
        <is>
          <t>no designado (contraste C4: no hay svar_hd regional)</t>
        </is>
      </c>
      <c r="O103" s="3" t="inlineStr">
        <is>
          <t>CCAA: ranking por c_f·sign(dY) del panel FE (M8); asociacion, sin lectura causal; el factor comun es un resumen de comovimiento (pendiente ~1 mecanica, J23)</t>
        </is>
      </c>
      <c r="P103" s="3" t="inlineStr">
        <is>
          <t>output/v8/F5/regional_ranking.csv</t>
        </is>
      </c>
    </row>
    <row r="104">
      <c r="A104" s="3" t="inlineStr">
        <is>
          <t>alquiler</t>
        </is>
      </c>
      <c r="B104" s="3" t="inlineStr">
        <is>
          <t>ccaa:04</t>
        </is>
      </c>
      <c r="C104" s="3" t="inlineStr">
        <is>
          <t>P2</t>
        </is>
      </c>
      <c r="D104" s="3" t="inlineStr">
        <is>
          <t>demanda_externa</t>
        </is>
      </c>
      <c r="E104" s="3" t="inlineStr">
        <is>
          <t>regional_panel</t>
        </is>
      </c>
      <c r="F104" s="3" t="inlineStr">
        <is>
          <t>panel_covariables</t>
        </is>
      </c>
      <c r="G104" s="3" t="n">
        <v>0.0801158</v>
      </c>
      <c r="H104" s="3" t="n">
        <v>-3.17775</v>
      </c>
      <c r="I104" s="3" t="n">
        <v>0.000259206</v>
      </c>
      <c r="J104" s="3" t="n">
        <v>0.143093</v>
      </c>
      <c r="K104" s="3" t="n">
        <v>-2.52115</v>
      </c>
      <c r="L104" s="3" t="n">
        <v>2</v>
      </c>
      <c r="M104" s="3" t="inlineStr">
        <is>
          <t>si</t>
        </is>
      </c>
      <c r="N104" s="3" t="inlineStr">
        <is>
          <t>no designado (contraste C4: no hay svar_hd regional)</t>
        </is>
      </c>
      <c r="O104" s="3" t="inlineStr">
        <is>
          <t>CCAA: ranking por c_f·sign(dY) del panel FE (M8); asociacion, sin lectura causal; el factor comun es un resumen de comovimiento (pendiente ~1 mecanica, J23)</t>
        </is>
      </c>
      <c r="P104" s="3" t="inlineStr">
        <is>
          <t>output/v8/F5/regional_ranking.csv</t>
        </is>
      </c>
    </row>
    <row r="105">
      <c r="A105" s="3" t="inlineStr">
        <is>
          <t>alquiler</t>
        </is>
      </c>
      <c r="B105" s="3" t="inlineStr">
        <is>
          <t>ccaa:04</t>
        </is>
      </c>
      <c r="C105" s="3" t="inlineStr">
        <is>
          <t>P2</t>
        </is>
      </c>
      <c r="D105" s="3" t="inlineStr">
        <is>
          <t>residuo</t>
        </is>
      </c>
      <c r="E105" s="3" t="inlineStr">
        <is>
          <t>regional_panel</t>
        </is>
      </c>
      <c r="F105" s="3" t="inlineStr">
        <is>
          <t>panel_covariables</t>
        </is>
      </c>
      <c r="G105" s="3" t="n">
        <v>-1.44374</v>
      </c>
      <c r="H105" s="3" t="n">
        <v>57.2651</v>
      </c>
      <c r="I105" s="3" t="n">
        <v>-2.38658</v>
      </c>
      <c r="J105" s="3" t="n">
        <v>-0.898242</v>
      </c>
      <c r="K105" s="3" t="n">
        <v>-2.52115</v>
      </c>
      <c r="L105" s="3" t="n"/>
      <c r="M105" s="3" t="inlineStr">
        <is>
          <t>no</t>
        </is>
      </c>
      <c r="N105" s="3" t="inlineStr">
        <is>
          <t>no designado (contraste C4: no hay svar_hd regional)</t>
        </is>
      </c>
      <c r="O105" s="3" t="inlineStr">
        <is>
          <t>CCAA: ranking por c_f·sign(dY) del panel FE (M8); asociacion, sin lectura causal; el factor comun es un resumen de comovimiento (pendiente ~1 mecanica, J23)</t>
        </is>
      </c>
      <c r="P105" s="3" t="inlineStr">
        <is>
          <t>output/v8/F5/regional_ranking.csv</t>
        </is>
      </c>
    </row>
    <row r="106">
      <c r="A106" s="3" t="inlineStr">
        <is>
          <t>alquiler</t>
        </is>
      </c>
      <c r="B106" s="3" t="inlineStr">
        <is>
          <t>ccaa:04</t>
        </is>
      </c>
      <c r="C106" s="3" t="inlineStr">
        <is>
          <t>P3</t>
        </is>
      </c>
      <c r="D106" s="3" t="inlineStr">
        <is>
          <t>factor_comun</t>
        </is>
      </c>
      <c r="E106" s="3" t="inlineStr">
        <is>
          <t>regional_ccaa_ols</t>
        </is>
      </c>
      <c r="F106" s="3" t="inlineStr">
        <is>
          <t>ols_solo_factor</t>
        </is>
      </c>
      <c r="G106" s="3" t="n">
        <v>-2.18504</v>
      </c>
      <c r="H106" s="3" t="n">
        <v>-109.446</v>
      </c>
      <c r="I106" s="3" t="n">
        <v>-3.84479</v>
      </c>
      <c r="J106" s="3" t="n">
        <v>-0.681966</v>
      </c>
      <c r="K106" s="3" t="n">
        <v>1.80842</v>
      </c>
      <c r="L106" s="3" t="n"/>
      <c r="M106" s="3" t="inlineStr">
        <is>
          <t>no</t>
        </is>
      </c>
      <c r="N106" s="3" t="inlineStr">
        <is>
          <t>no designado (contraste C4: no hay svar_hd regional)</t>
        </is>
      </c>
      <c r="O106" s="3" t="inlineStr">
        <is>
          <t>CCAA: ranking por c_f·sign(dY) del panel FE (M8); asociacion, sin lectura causal; el factor comun es un resumen de comovimiento (pendiente ~1 mecanica, J23)</t>
        </is>
      </c>
      <c r="P106" s="3" t="inlineStr">
        <is>
          <t>output/v8/F5/regional_ranking.csv</t>
        </is>
      </c>
    </row>
    <row r="107">
      <c r="A107" s="3" t="inlineStr">
        <is>
          <t>alquiler</t>
        </is>
      </c>
      <c r="B107" s="3" t="inlineStr">
        <is>
          <t>ccaa:04</t>
        </is>
      </c>
      <c r="C107" s="3" t="inlineStr">
        <is>
          <t>P3</t>
        </is>
      </c>
      <c r="D107" s="3" t="inlineStr">
        <is>
          <t>residuo</t>
        </is>
      </c>
      <c r="E107" s="3" t="inlineStr">
        <is>
          <t>regional_ccaa_ols</t>
        </is>
      </c>
      <c r="F107" s="3" t="inlineStr">
        <is>
          <t>ols_solo_factor</t>
        </is>
      </c>
      <c r="G107" s="3" t="n">
        <v>4.1815</v>
      </c>
      <c r="H107" s="3" t="n">
        <v>209.446</v>
      </c>
      <c r="I107" s="3" t="n"/>
      <c r="J107" s="3" t="n"/>
      <c r="K107" s="3" t="n">
        <v>1.80842</v>
      </c>
      <c r="L107" s="3" t="n"/>
      <c r="M107" s="3" t="inlineStr">
        <is>
          <t>no</t>
        </is>
      </c>
      <c r="N107" s="3" t="inlineStr">
        <is>
          <t>no designado (contraste C4: no hay svar_hd regional)</t>
        </is>
      </c>
      <c r="O107" s="3" t="inlineStr">
        <is>
          <t>CCAA: ranking por c_f·sign(dY) del panel FE (M8); asociacion, sin lectura causal; el factor comun es un resumen de comovimiento (pendiente ~1 mecanica, J23)</t>
        </is>
      </c>
      <c r="P107" s="3" t="inlineStr">
        <is>
          <t>output/v8/F5/regional_ranking.csv</t>
        </is>
      </c>
    </row>
    <row r="108">
      <c r="A108" s="3" t="inlineStr">
        <is>
          <t>alquiler</t>
        </is>
      </c>
      <c r="B108" s="3" t="inlineStr">
        <is>
          <t>ccaa:04</t>
        </is>
      </c>
      <c r="C108" s="3" t="inlineStr">
        <is>
          <t>P3</t>
        </is>
      </c>
      <c r="D108" s="3" t="inlineStr">
        <is>
          <t>factor_comun</t>
        </is>
      </c>
      <c r="E108" s="3" t="inlineStr">
        <is>
          <t>regional_panel</t>
        </is>
      </c>
      <c r="F108" s="3" t="inlineStr">
        <is>
          <t>panel_covariables</t>
        </is>
      </c>
      <c r="G108" s="3" t="n">
        <v>-1.89168</v>
      </c>
      <c r="H108" s="3" t="n">
        <v>-104.604</v>
      </c>
      <c r="I108" s="3" t="n">
        <v>-3.03018</v>
      </c>
      <c r="J108" s="3" t="n">
        <v>-0.7753910000000001</v>
      </c>
      <c r="K108" s="3" t="n">
        <v>1.80842</v>
      </c>
      <c r="L108" s="3" t="n"/>
      <c r="M108" s="3" t="inlineStr">
        <is>
          <t>no</t>
        </is>
      </c>
      <c r="N108" s="3" t="inlineStr">
        <is>
          <t>no designado (contraste C4: no hay svar_hd regional)</t>
        </is>
      </c>
      <c r="O108" s="3" t="inlineStr">
        <is>
          <t>CCAA: ranking por c_f·sign(dY) del panel FE (M8); asociacion, sin lectura causal; el factor comun es un resumen de comovimiento (pendiente ~1 mecanica, J23)</t>
        </is>
      </c>
      <c r="P108" s="3" t="inlineStr">
        <is>
          <t>output/v8/F5/regional_ranking.csv</t>
        </is>
      </c>
    </row>
    <row r="109">
      <c r="A109" s="3" t="inlineStr">
        <is>
          <t>alquiler</t>
        </is>
      </c>
      <c r="B109" s="3" t="inlineStr">
        <is>
          <t>ccaa:04</t>
        </is>
      </c>
      <c r="C109" s="3" t="inlineStr">
        <is>
          <t>P3</t>
        </is>
      </c>
      <c r="D109" s="3" t="inlineStr">
        <is>
          <t>empleo_renta</t>
        </is>
      </c>
      <c r="E109" s="3" t="inlineStr">
        <is>
          <t>regional_panel</t>
        </is>
      </c>
      <c r="F109" s="3" t="inlineStr">
        <is>
          <t>panel_covariables</t>
        </is>
      </c>
      <c r="G109" s="3" t="n">
        <v>0.406736</v>
      </c>
      <c r="H109" s="3" t="n">
        <v>22.4912</v>
      </c>
      <c r="I109" s="3" t="n">
        <v>0.144241</v>
      </c>
      <c r="J109" s="3" t="n">
        <v>0.555369</v>
      </c>
      <c r="K109" s="3" t="n">
        <v>1.80842</v>
      </c>
      <c r="L109" s="3" t="n">
        <v>2</v>
      </c>
      <c r="M109" s="3" t="inlineStr">
        <is>
          <t>si</t>
        </is>
      </c>
      <c r="N109" s="3" t="inlineStr">
        <is>
          <t>no designado (contraste C4: no hay svar_hd regional)</t>
        </is>
      </c>
      <c r="O109" s="3" t="inlineStr">
        <is>
          <t>CCAA: ranking por c_f·sign(dY) del panel FE (M8); asociacion, sin lectura causal; el factor comun es un resumen de comovimiento (pendiente ~1 mecanica, J23)</t>
        </is>
      </c>
      <c r="P109" s="3" t="inlineStr">
        <is>
          <t>output/v8/F5/regional_ranking.csv</t>
        </is>
      </c>
    </row>
    <row r="110">
      <c r="A110" s="3" t="inlineStr">
        <is>
          <t>alquiler</t>
        </is>
      </c>
      <c r="B110" s="3" t="inlineStr">
        <is>
          <t>ccaa:04</t>
        </is>
      </c>
      <c r="C110" s="3" t="inlineStr">
        <is>
          <t>P3</t>
        </is>
      </c>
      <c r="D110" s="3" t="inlineStr">
        <is>
          <t>demografia</t>
        </is>
      </c>
      <c r="E110" s="3" t="inlineStr">
        <is>
          <t>regional_panel</t>
        </is>
      </c>
      <c r="F110" s="3" t="inlineStr">
        <is>
          <t>panel_covariables</t>
        </is>
      </c>
      <c r="G110" s="3" t="n">
        <v>3.93472</v>
      </c>
      <c r="H110" s="3" t="n">
        <v>217.577</v>
      </c>
      <c r="I110" s="3" t="n">
        <v>3.19243</v>
      </c>
      <c r="J110" s="3" t="n">
        <v>4.7429</v>
      </c>
      <c r="K110" s="3" t="n">
        <v>1.80842</v>
      </c>
      <c r="L110" s="3" t="n">
        <v>1</v>
      </c>
      <c r="M110" s="3" t="inlineStr">
        <is>
          <t>si</t>
        </is>
      </c>
      <c r="N110" s="3" t="inlineStr">
        <is>
          <t>no designado (contraste C4: no hay svar_hd regional)</t>
        </is>
      </c>
      <c r="O110" s="3" t="inlineStr">
        <is>
          <t>CCAA: ranking por c_f·sign(dY) del panel FE (M8); asociacion, sin lectura causal; el factor comun es un resumen de comovimiento (pendiente ~1 mecanica, J23)</t>
        </is>
      </c>
      <c r="P110" s="3" t="inlineStr">
        <is>
          <t>output/v8/F5/regional_ranking.csv</t>
        </is>
      </c>
    </row>
    <row r="111">
      <c r="A111" s="3" t="inlineStr">
        <is>
          <t>alquiler</t>
        </is>
      </c>
      <c r="B111" s="3" t="inlineStr">
        <is>
          <t>ccaa:04</t>
        </is>
      </c>
      <c r="C111" s="3" t="inlineStr">
        <is>
          <t>P3</t>
        </is>
      </c>
      <c r="D111" s="3" t="inlineStr">
        <is>
          <t>oferta</t>
        </is>
      </c>
      <c r="E111" s="3" t="inlineStr">
        <is>
          <t>regional_panel</t>
        </is>
      </c>
      <c r="F111" s="3" t="inlineStr">
        <is>
          <t>panel_covariables</t>
        </is>
      </c>
      <c r="G111" s="3" t="n">
        <v>0.0432276</v>
      </c>
      <c r="H111" s="3" t="n">
        <v>2.39035</v>
      </c>
      <c r="I111" s="3" t="n">
        <v>-0.008352969999999999</v>
      </c>
      <c r="J111" s="3" t="n">
        <v>0.130738</v>
      </c>
      <c r="K111" s="3" t="n">
        <v>1.80842</v>
      </c>
      <c r="L111" s="3" t="n">
        <v>4</v>
      </c>
      <c r="M111" s="3" t="inlineStr">
        <is>
          <t>si</t>
        </is>
      </c>
      <c r="N111" s="3" t="inlineStr">
        <is>
          <t>no designado (contraste C4: no hay svar_hd regional)</t>
        </is>
      </c>
      <c r="O111" s="3" t="inlineStr">
        <is>
          <t>CCAA: ranking por c_f·sign(dY) del panel FE (M8); asociacion, sin lectura causal; el factor comun es un resumen de comovimiento (pendiente ~1 mecanica, J23)</t>
        </is>
      </c>
      <c r="P111" s="3" t="inlineStr">
        <is>
          <t>output/v8/F5/regional_ranking.csv</t>
        </is>
      </c>
    </row>
    <row r="112">
      <c r="A112" s="3" t="inlineStr">
        <is>
          <t>alquiler</t>
        </is>
      </c>
      <c r="B112" s="3" t="inlineStr">
        <is>
          <t>ccaa:04</t>
        </is>
      </c>
      <c r="C112" s="3" t="inlineStr">
        <is>
          <t>P3</t>
        </is>
      </c>
      <c r="D112" s="3" t="inlineStr">
        <is>
          <t>demanda_externa</t>
        </is>
      </c>
      <c r="E112" s="3" t="inlineStr">
        <is>
          <t>regional_panel</t>
        </is>
      </c>
      <c r="F112" s="3" t="inlineStr">
        <is>
          <t>panel_covariables</t>
        </is>
      </c>
      <c r="G112" s="3" t="n">
        <v>0.0709988</v>
      </c>
      <c r="H112" s="3" t="n">
        <v>3.926</v>
      </c>
      <c r="I112" s="3" t="n">
        <v>0.00278063</v>
      </c>
      <c r="J112" s="3" t="n">
        <v>0.160008</v>
      </c>
      <c r="K112" s="3" t="n">
        <v>1.80842</v>
      </c>
      <c r="L112" s="3" t="n">
        <v>3</v>
      </c>
      <c r="M112" s="3" t="inlineStr">
        <is>
          <t>si</t>
        </is>
      </c>
      <c r="N112" s="3" t="inlineStr">
        <is>
          <t>no designado (contraste C4: no hay svar_hd regional)</t>
        </is>
      </c>
      <c r="O112" s="3" t="inlineStr">
        <is>
          <t>CCAA: ranking por c_f·sign(dY) del panel FE (M8); asociacion, sin lectura causal; el factor comun es un resumen de comovimiento (pendiente ~1 mecanica, J23)</t>
        </is>
      </c>
      <c r="P112" s="3" t="inlineStr">
        <is>
          <t>output/v8/F5/regional_ranking.csv</t>
        </is>
      </c>
    </row>
    <row r="113">
      <c r="A113" s="3" t="inlineStr">
        <is>
          <t>alquiler</t>
        </is>
      </c>
      <c r="B113" s="3" t="inlineStr">
        <is>
          <t>ccaa:04</t>
        </is>
      </c>
      <c r="C113" s="3" t="inlineStr">
        <is>
          <t>P3</t>
        </is>
      </c>
      <c r="D113" s="3" t="inlineStr">
        <is>
          <t>residuo</t>
        </is>
      </c>
      <c r="E113" s="3" t="inlineStr">
        <is>
          <t>regional_panel</t>
        </is>
      </c>
      <c r="F113" s="3" t="inlineStr">
        <is>
          <t>panel_covariables</t>
        </is>
      </c>
      <c r="G113" s="3" t="n">
        <v>-0.755571</v>
      </c>
      <c r="H113" s="3" t="n">
        <v>-41.7806</v>
      </c>
      <c r="I113" s="3" t="n">
        <v>-1.33346</v>
      </c>
      <c r="J113" s="3" t="n">
        <v>-0.19253</v>
      </c>
      <c r="K113" s="3" t="n">
        <v>1.80842</v>
      </c>
      <c r="L113" s="3" t="n"/>
      <c r="M113" s="3" t="inlineStr">
        <is>
          <t>no</t>
        </is>
      </c>
      <c r="N113" s="3" t="inlineStr">
        <is>
          <t>no designado (contraste C4: no hay svar_hd regional)</t>
        </is>
      </c>
      <c r="O113" s="3" t="inlineStr">
        <is>
          <t>CCAA: ranking por c_f·sign(dY) del panel FE (M8); asociacion, sin lectura causal; el factor comun es un resumen de comovimiento (pendiente ~1 mecanica, J23)</t>
        </is>
      </c>
      <c r="P113" s="3" t="inlineStr">
        <is>
          <t>output/v8/F5/regional_ranking.csv</t>
        </is>
      </c>
    </row>
    <row r="114">
      <c r="A114" s="3" t="inlineStr">
        <is>
          <t>alquiler</t>
        </is>
      </c>
      <c r="B114" s="3" t="inlineStr">
        <is>
          <t>ccaa:04</t>
        </is>
      </c>
      <c r="C114" s="3" t="inlineStr">
        <is>
          <t>P4</t>
        </is>
      </c>
      <c r="D114" s="3" t="inlineStr">
        <is>
          <t>factor_comun</t>
        </is>
      </c>
      <c r="E114" s="3" t="inlineStr">
        <is>
          <t>regional_ccaa_ols</t>
        </is>
      </c>
      <c r="F114" s="3" t="inlineStr">
        <is>
          <t>ols_solo_factor</t>
        </is>
      </c>
      <c r="G114" s="3" t="n">
        <v>-3.97643</v>
      </c>
      <c r="H114" s="3" t="n">
        <v>80.73950000000001</v>
      </c>
      <c r="I114" s="3" t="n">
        <v>-7.05035</v>
      </c>
      <c r="J114" s="3" t="n">
        <v>-1.07707</v>
      </c>
      <c r="K114" s="3" t="n">
        <v>-4.92501</v>
      </c>
      <c r="L114" s="3" t="n"/>
      <c r="M114" s="3" t="inlineStr">
        <is>
          <t>no</t>
        </is>
      </c>
      <c r="N114" s="3" t="inlineStr">
        <is>
          <t>no designado (contraste C4: no hay svar_hd regional)</t>
        </is>
      </c>
      <c r="O114" s="3" t="inlineStr">
        <is>
          <t>CCAA: ranking por c_f·sign(dY) del panel FE (M8); asociacion, sin lectura causal; el factor comun es un resumen de comovimiento (pendiente ~1 mecanica, J23)</t>
        </is>
      </c>
      <c r="P114" s="3" t="inlineStr">
        <is>
          <t>output/v8/F5/regional_ranking.csv</t>
        </is>
      </c>
    </row>
    <row r="115">
      <c r="A115" s="3" t="inlineStr">
        <is>
          <t>alquiler</t>
        </is>
      </c>
      <c r="B115" s="3" t="inlineStr">
        <is>
          <t>ccaa:04</t>
        </is>
      </c>
      <c r="C115" s="3" t="inlineStr">
        <is>
          <t>P4</t>
        </is>
      </c>
      <c r="D115" s="3" t="inlineStr">
        <is>
          <t>residuo</t>
        </is>
      </c>
      <c r="E115" s="3" t="inlineStr">
        <is>
          <t>regional_ccaa_ols</t>
        </is>
      </c>
      <c r="F115" s="3" t="inlineStr">
        <is>
          <t>ols_solo_factor</t>
        </is>
      </c>
      <c r="G115" s="3" t="n">
        <v>-0.948583</v>
      </c>
      <c r="H115" s="3" t="n">
        <v>19.2605</v>
      </c>
      <c r="I115" s="3" t="n"/>
      <c r="J115" s="3" t="n"/>
      <c r="K115" s="3" t="n">
        <v>-4.92501</v>
      </c>
      <c r="L115" s="3" t="n"/>
      <c r="M115" s="3" t="inlineStr">
        <is>
          <t>no</t>
        </is>
      </c>
      <c r="N115" s="3" t="inlineStr">
        <is>
          <t>no designado (contraste C4: no hay svar_hd regional)</t>
        </is>
      </c>
      <c r="O115" s="3" t="inlineStr">
        <is>
          <t>CCAA: ranking por c_f·sign(dY) del panel FE (M8); asociacion, sin lectura causal; el factor comun es un resumen de comovimiento (pendiente ~1 mecanica, J23)</t>
        </is>
      </c>
      <c r="P115" s="3" t="inlineStr">
        <is>
          <t>output/v8/F5/regional_ranking.csv</t>
        </is>
      </c>
    </row>
    <row r="116">
      <c r="A116" s="3" t="inlineStr">
        <is>
          <t>alquiler</t>
        </is>
      </c>
      <c r="B116" s="3" t="inlineStr">
        <is>
          <t>ccaa:04</t>
        </is>
      </c>
      <c r="C116" s="3" t="inlineStr">
        <is>
          <t>P4</t>
        </is>
      </c>
      <c r="D116" s="3" t="inlineStr">
        <is>
          <t>factor_comun</t>
        </is>
      </c>
      <c r="E116" s="3" t="inlineStr">
        <is>
          <t>regional_panel</t>
        </is>
      </c>
      <c r="F116" s="3" t="inlineStr">
        <is>
          <t>panel_covariables</t>
        </is>
      </c>
      <c r="G116" s="3" t="n">
        <v>-4.82785</v>
      </c>
      <c r="H116" s="3" t="n">
        <v>98.0271</v>
      </c>
      <c r="I116" s="3" t="n">
        <v>-8.01083</v>
      </c>
      <c r="J116" s="3" t="n">
        <v>-1.73403</v>
      </c>
      <c r="K116" s="3" t="n">
        <v>-4.92501</v>
      </c>
      <c r="L116" s="3" t="n"/>
      <c r="M116" s="3" t="inlineStr">
        <is>
          <t>no</t>
        </is>
      </c>
      <c r="N116" s="3" t="inlineStr">
        <is>
          <t>no designado (contraste C4: no hay svar_hd regional)</t>
        </is>
      </c>
      <c r="O116" s="3" t="inlineStr">
        <is>
          <t>CCAA: ranking por c_f·sign(dY) del panel FE (M8); asociacion, sin lectura causal; el factor comun es un resumen de comovimiento (pendiente ~1 mecanica, J23)</t>
        </is>
      </c>
      <c r="P116" s="3" t="inlineStr">
        <is>
          <t>output/v8/F5/regional_ranking.csv</t>
        </is>
      </c>
    </row>
    <row r="117">
      <c r="A117" s="3" t="inlineStr">
        <is>
          <t>alquiler</t>
        </is>
      </c>
      <c r="B117" s="3" t="inlineStr">
        <is>
          <t>ccaa:04</t>
        </is>
      </c>
      <c r="C117" s="3" t="inlineStr">
        <is>
          <t>P4</t>
        </is>
      </c>
      <c r="D117" s="3" t="inlineStr">
        <is>
          <t>empleo_renta</t>
        </is>
      </c>
      <c r="E117" s="3" t="inlineStr">
        <is>
          <t>regional_panel</t>
        </is>
      </c>
      <c r="F117" s="3" t="inlineStr">
        <is>
          <t>panel_covariables</t>
        </is>
      </c>
      <c r="G117" s="3" t="n">
        <v>-0.021054</v>
      </c>
      <c r="H117" s="3" t="n">
        <v>0.427491</v>
      </c>
      <c r="I117" s="3" t="n">
        <v>-0.170158</v>
      </c>
      <c r="J117" s="3" t="n">
        <v>0.00741527</v>
      </c>
      <c r="K117" s="3" t="n">
        <v>-4.92501</v>
      </c>
      <c r="L117" s="3" t="n">
        <v>1</v>
      </c>
      <c r="M117" s="3" t="inlineStr">
        <is>
          <t>si</t>
        </is>
      </c>
      <c r="N117" s="3" t="inlineStr">
        <is>
          <t>no designado (contraste C4: no hay svar_hd regional)</t>
        </is>
      </c>
      <c r="O117" s="3" t="inlineStr">
        <is>
          <t>CCAA: ranking por c_f·sign(dY) del panel FE (M8); asociacion, sin lectura causal; el factor comun es un resumen de comovimiento (pendiente ~1 mecanica, J23)</t>
        </is>
      </c>
      <c r="P117" s="3" t="inlineStr">
        <is>
          <t>output/v8/F5/regional_ranking.csv</t>
        </is>
      </c>
    </row>
    <row r="118">
      <c r="A118" s="3" t="inlineStr">
        <is>
          <t>alquiler</t>
        </is>
      </c>
      <c r="B118" s="3" t="inlineStr">
        <is>
          <t>ccaa:04</t>
        </is>
      </c>
      <c r="C118" s="3" t="inlineStr">
        <is>
          <t>P4</t>
        </is>
      </c>
      <c r="D118" s="3" t="inlineStr">
        <is>
          <t>demografia</t>
        </is>
      </c>
      <c r="E118" s="3" t="inlineStr">
        <is>
          <t>regional_panel</t>
        </is>
      </c>
      <c r="F118" s="3" t="inlineStr">
        <is>
          <t>panel_covariables</t>
        </is>
      </c>
      <c r="G118" s="3" t="n">
        <v>0.0867816</v>
      </c>
      <c r="H118" s="3" t="n">
        <v>-1.76206</v>
      </c>
      <c r="I118" s="3" t="n">
        <v>-0.470762</v>
      </c>
      <c r="J118" s="3" t="n">
        <v>0.38639</v>
      </c>
      <c r="K118" s="3" t="n">
        <v>-4.92501</v>
      </c>
      <c r="L118" s="3" t="n">
        <v>4</v>
      </c>
      <c r="M118" s="3" t="inlineStr">
        <is>
          <t>si</t>
        </is>
      </c>
      <c r="N118" s="3" t="inlineStr">
        <is>
          <t>no designado (contraste C4: no hay svar_hd regional)</t>
        </is>
      </c>
      <c r="O118" s="3" t="inlineStr">
        <is>
          <t>CCAA: ranking por c_f·sign(dY) del panel FE (M8); asociacion, sin lectura causal; el factor comun es un resumen de comovimiento (pendiente ~1 mecanica, J23)</t>
        </is>
      </c>
      <c r="P118" s="3" t="inlineStr">
        <is>
          <t>output/v8/F5/regional_ranking.csv</t>
        </is>
      </c>
    </row>
    <row r="119">
      <c r="A119" s="3" t="inlineStr">
        <is>
          <t>alquiler</t>
        </is>
      </c>
      <c r="B119" s="3" t="inlineStr">
        <is>
          <t>ccaa:04</t>
        </is>
      </c>
      <c r="C119" s="3" t="inlineStr">
        <is>
          <t>P4</t>
        </is>
      </c>
      <c r="D119" s="3" t="inlineStr">
        <is>
          <t>oferta</t>
        </is>
      </c>
      <c r="E119" s="3" t="inlineStr">
        <is>
          <t>regional_panel</t>
        </is>
      </c>
      <c r="F119" s="3" t="inlineStr">
        <is>
          <t>panel_covariables</t>
        </is>
      </c>
      <c r="G119" s="3" t="n">
        <v>-0.000774998</v>
      </c>
      <c r="H119" s="3" t="n">
        <v>0.015736</v>
      </c>
      <c r="I119" s="3" t="n">
        <v>-0.0120294</v>
      </c>
      <c r="J119" s="3" t="n">
        <v>0.0109289</v>
      </c>
      <c r="K119" s="3" t="n">
        <v>-4.92501</v>
      </c>
      <c r="L119" s="3" t="n">
        <v>2</v>
      </c>
      <c r="M119" s="3" t="inlineStr">
        <is>
          <t>si</t>
        </is>
      </c>
      <c r="N119" s="3" t="inlineStr">
        <is>
          <t>no designado (contraste C4: no hay svar_hd regional)</t>
        </is>
      </c>
      <c r="O119" s="3" t="inlineStr">
        <is>
          <t>CCAA: ranking por c_f·sign(dY) del panel FE (M8); asociacion, sin lectura causal; el factor comun es un resumen de comovimiento (pendiente ~1 mecanica, J23)</t>
        </is>
      </c>
      <c r="P119" s="3" t="inlineStr">
        <is>
          <t>output/v8/F5/regional_ranking.csv</t>
        </is>
      </c>
    </row>
    <row r="120">
      <c r="A120" s="3" t="inlineStr">
        <is>
          <t>alquiler</t>
        </is>
      </c>
      <c r="B120" s="3" t="inlineStr">
        <is>
          <t>ccaa:04</t>
        </is>
      </c>
      <c r="C120" s="3" t="inlineStr">
        <is>
          <t>P4</t>
        </is>
      </c>
      <c r="D120" s="3" t="inlineStr">
        <is>
          <t>demanda_externa</t>
        </is>
      </c>
      <c r="E120" s="3" t="inlineStr">
        <is>
          <t>regional_panel</t>
        </is>
      </c>
      <c r="F120" s="3" t="inlineStr">
        <is>
          <t>panel_covariables</t>
        </is>
      </c>
      <c r="G120" s="3" t="n">
        <v>0.00336043</v>
      </c>
      <c r="H120" s="3" t="n">
        <v>-0.068232</v>
      </c>
      <c r="I120" s="3" t="n">
        <v>-0.0633639</v>
      </c>
      <c r="J120" s="3" t="n">
        <v>0.0177536</v>
      </c>
      <c r="K120" s="3" t="n">
        <v>-4.92501</v>
      </c>
      <c r="L120" s="3" t="n">
        <v>3</v>
      </c>
      <c r="M120" s="3" t="inlineStr">
        <is>
          <t>si</t>
        </is>
      </c>
      <c r="N120" s="3" t="inlineStr">
        <is>
          <t>no designado (contraste C4: no hay svar_hd regional)</t>
        </is>
      </c>
      <c r="O120" s="3" t="inlineStr">
        <is>
          <t>CCAA: ranking por c_f·sign(dY) del panel FE (M8); asociacion, sin lectura causal; el factor comun es un resumen de comovimiento (pendiente ~1 mecanica, J23)</t>
        </is>
      </c>
      <c r="P120" s="3" t="inlineStr">
        <is>
          <t>output/v8/F5/regional_ranking.csv</t>
        </is>
      </c>
    </row>
    <row r="121">
      <c r="A121" s="3" t="inlineStr">
        <is>
          <t>alquiler</t>
        </is>
      </c>
      <c r="B121" s="3" t="inlineStr">
        <is>
          <t>ccaa:04</t>
        </is>
      </c>
      <c r="C121" s="3" t="inlineStr">
        <is>
          <t>P4</t>
        </is>
      </c>
      <c r="D121" s="3" t="inlineStr">
        <is>
          <t>residuo</t>
        </is>
      </c>
      <c r="E121" s="3" t="inlineStr">
        <is>
          <t>regional_panel</t>
        </is>
      </c>
      <c r="F121" s="3" t="inlineStr">
        <is>
          <t>panel_covariables</t>
        </is>
      </c>
      <c r="G121" s="3" t="n">
        <v>-0.165477</v>
      </c>
      <c r="H121" s="3" t="n">
        <v>3.35994</v>
      </c>
      <c r="I121" s="3" t="n">
        <v>-0.913469</v>
      </c>
      <c r="J121" s="3" t="n">
        <v>0.790617</v>
      </c>
      <c r="K121" s="3" t="n">
        <v>-4.92501</v>
      </c>
      <c r="L121" s="3" t="n"/>
      <c r="M121" s="3" t="inlineStr">
        <is>
          <t>no</t>
        </is>
      </c>
      <c r="N121" s="3" t="inlineStr">
        <is>
          <t>no designado (contraste C4: no hay svar_hd regional)</t>
        </is>
      </c>
      <c r="O121" s="3" t="inlineStr">
        <is>
          <t>CCAA: ranking por c_f·sign(dY) del panel FE (M8); asociacion, sin lectura causal; el factor comun es un resumen de comovimiento (pendiente ~1 mecanica, J23)</t>
        </is>
      </c>
      <c r="P121" s="3" t="inlineStr">
        <is>
          <t>output/v8/F5/regional_ranking.csv</t>
        </is>
      </c>
    </row>
    <row r="122">
      <c r="A122" s="3" t="inlineStr">
        <is>
          <t>alquiler</t>
        </is>
      </c>
      <c r="B122" s="3" t="inlineStr">
        <is>
          <t>ccaa:04</t>
        </is>
      </c>
      <c r="C122" s="3" t="inlineStr">
        <is>
          <t>P5</t>
        </is>
      </c>
      <c r="D122" s="3" t="inlineStr">
        <is>
          <t>factor_comun</t>
        </is>
      </c>
      <c r="E122" s="3" t="inlineStr">
        <is>
          <t>regional_ccaa_ols</t>
        </is>
      </c>
      <c r="F122" s="3" t="inlineStr">
        <is>
          <t>ols_solo_factor</t>
        </is>
      </c>
      <c r="G122" s="3" t="n">
        <v>-6.41566</v>
      </c>
      <c r="H122" s="3" t="n">
        <v>173.852</v>
      </c>
      <c r="I122" s="3" t="n">
        <v>-9.057779999999999</v>
      </c>
      <c r="J122" s="3" t="n">
        <v>-3.44961</v>
      </c>
      <c r="K122" s="3" t="n">
        <v>-4.37375</v>
      </c>
      <c r="L122" s="3" t="n"/>
      <c r="M122" s="3" t="inlineStr">
        <is>
          <t>no</t>
        </is>
      </c>
      <c r="N122" s="3" t="inlineStr">
        <is>
          <t>no designado (contraste C4: no hay svar_hd regional)</t>
        </is>
      </c>
      <c r="O122" s="3" t="inlineStr">
        <is>
          <t>CCAA: ranking por c_f·sign(dY) del panel FE (M8); asociacion, sin lectura causal; el factor comun es un resumen de comovimiento (pendiente ~1 mecanica, J23)</t>
        </is>
      </c>
      <c r="P122" s="3" t="inlineStr">
        <is>
          <t>output/v8/F5/regional_ranking.csv</t>
        </is>
      </c>
    </row>
    <row r="123">
      <c r="A123" s="3" t="inlineStr">
        <is>
          <t>alquiler</t>
        </is>
      </c>
      <c r="B123" s="3" t="inlineStr">
        <is>
          <t>ccaa:04</t>
        </is>
      </c>
      <c r="C123" s="3" t="inlineStr">
        <is>
          <t>P5</t>
        </is>
      </c>
      <c r="D123" s="3" t="inlineStr">
        <is>
          <t>residuo</t>
        </is>
      </c>
      <c r="E123" s="3" t="inlineStr">
        <is>
          <t>regional_ccaa_ols</t>
        </is>
      </c>
      <c r="F123" s="3" t="inlineStr">
        <is>
          <t>ols_solo_factor</t>
        </is>
      </c>
      <c r="G123" s="3" t="n">
        <v>2.72537</v>
      </c>
      <c r="H123" s="3" t="n">
        <v>-73.8523</v>
      </c>
      <c r="I123" s="3" t="n"/>
      <c r="J123" s="3" t="n"/>
      <c r="K123" s="3" t="n">
        <v>-4.37375</v>
      </c>
      <c r="L123" s="3" t="n"/>
      <c r="M123" s="3" t="inlineStr">
        <is>
          <t>no</t>
        </is>
      </c>
      <c r="N123" s="3" t="inlineStr">
        <is>
          <t>no designado (contraste C4: no hay svar_hd regional)</t>
        </is>
      </c>
      <c r="O123" s="3" t="inlineStr">
        <is>
          <t>CCAA: ranking por c_f·sign(dY) del panel FE (M8); asociacion, sin lectura causal; el factor comun es un resumen de comovimiento (pendiente ~1 mecanica, J23)</t>
        </is>
      </c>
      <c r="P123" s="3" t="inlineStr">
        <is>
          <t>output/v8/F5/regional_ranking.csv</t>
        </is>
      </c>
    </row>
    <row r="124">
      <c r="A124" s="3" t="inlineStr">
        <is>
          <t>alquiler</t>
        </is>
      </c>
      <c r="B124" s="3" t="inlineStr">
        <is>
          <t>ccaa:04</t>
        </is>
      </c>
      <c r="C124" s="3" t="inlineStr">
        <is>
          <t>P5</t>
        </is>
      </c>
      <c r="D124" s="3" t="inlineStr">
        <is>
          <t>factor_comun</t>
        </is>
      </c>
      <c r="E124" s="3" t="inlineStr">
        <is>
          <t>regional_panel</t>
        </is>
      </c>
      <c r="F124" s="3" t="inlineStr">
        <is>
          <t>panel_covariables</t>
        </is>
      </c>
      <c r="G124" s="3" t="n">
        <v>-5.47353</v>
      </c>
      <c r="H124" s="3" t="n">
        <v>125.145</v>
      </c>
      <c r="I124" s="3" t="n">
        <v>-7.50057</v>
      </c>
      <c r="J124" s="3" t="n">
        <v>-3.0519</v>
      </c>
      <c r="K124" s="3" t="n">
        <v>-4.37375</v>
      </c>
      <c r="L124" s="3" t="n"/>
      <c r="M124" s="3" t="inlineStr">
        <is>
          <t>no</t>
        </is>
      </c>
      <c r="N124" s="3" t="inlineStr">
        <is>
          <t>no designado (contraste C4: no hay svar_hd regional)</t>
        </is>
      </c>
      <c r="O124" s="3" t="inlineStr">
        <is>
          <t>CCAA: ranking por c_f·sign(dY) del panel FE (M8); asociacion, sin lectura causal; el factor comun es un resumen de comovimiento (pendiente ~1 mecanica, J23)</t>
        </is>
      </c>
      <c r="P124" s="3" t="inlineStr">
        <is>
          <t>output/v8/F5/regional_ranking.csv</t>
        </is>
      </c>
    </row>
    <row r="125">
      <c r="A125" s="3" t="inlineStr">
        <is>
          <t>alquiler</t>
        </is>
      </c>
      <c r="B125" s="3" t="inlineStr">
        <is>
          <t>ccaa:04</t>
        </is>
      </c>
      <c r="C125" s="3" t="inlineStr">
        <is>
          <t>P5</t>
        </is>
      </c>
      <c r="D125" s="3" t="inlineStr">
        <is>
          <t>empleo_renta</t>
        </is>
      </c>
      <c r="E125" s="3" t="inlineStr">
        <is>
          <t>regional_panel</t>
        </is>
      </c>
      <c r="F125" s="3" t="inlineStr">
        <is>
          <t>panel_covariables</t>
        </is>
      </c>
      <c r="G125" s="3" t="n">
        <v>-0.157949</v>
      </c>
      <c r="H125" s="3" t="n">
        <v>3.6113</v>
      </c>
      <c r="I125" s="3" t="n">
        <v>-0.270705</v>
      </c>
      <c r="J125" s="3" t="n">
        <v>-0.09764200000000001</v>
      </c>
      <c r="K125" s="3" t="n">
        <v>-4.37375</v>
      </c>
      <c r="L125" s="3" t="n">
        <v>1</v>
      </c>
      <c r="M125" s="3" t="inlineStr">
        <is>
          <t>si</t>
        </is>
      </c>
      <c r="N125" s="3" t="inlineStr">
        <is>
          <t>no designado (contraste C4: no hay svar_hd regional)</t>
        </is>
      </c>
      <c r="O125" s="3" t="inlineStr">
        <is>
          <t>CCAA: ranking por c_f·sign(dY) del panel FE (M8); asociacion, sin lectura causal; el factor comun es un resumen de comovimiento (pendiente ~1 mecanica, J23)</t>
        </is>
      </c>
      <c r="P125" s="3" t="inlineStr">
        <is>
          <t>output/v8/F5/regional_ranking.csv</t>
        </is>
      </c>
    </row>
    <row r="126">
      <c r="A126" s="3" t="inlineStr">
        <is>
          <t>alquiler</t>
        </is>
      </c>
      <c r="B126" s="3" t="inlineStr">
        <is>
          <t>ccaa:04</t>
        </is>
      </c>
      <c r="C126" s="3" t="inlineStr">
        <is>
          <t>P5</t>
        </is>
      </c>
      <c r="D126" s="3" t="inlineStr">
        <is>
          <t>demografia</t>
        </is>
      </c>
      <c r="E126" s="3" t="inlineStr">
        <is>
          <t>regional_panel</t>
        </is>
      </c>
      <c r="F126" s="3" t="inlineStr">
        <is>
          <t>panel_covariables</t>
        </is>
      </c>
      <c r="G126" s="3" t="n">
        <v>0.543286</v>
      </c>
      <c r="H126" s="3" t="n">
        <v>-12.4215</v>
      </c>
      <c r="I126" s="3" t="n">
        <v>-0.152614</v>
      </c>
      <c r="J126" s="3" t="n">
        <v>1.63764</v>
      </c>
      <c r="K126" s="3" t="n">
        <v>-4.37375</v>
      </c>
      <c r="L126" s="3" t="n">
        <v>4</v>
      </c>
      <c r="M126" s="3" t="inlineStr">
        <is>
          <t>si</t>
        </is>
      </c>
      <c r="N126" s="3" t="inlineStr">
        <is>
          <t>no designado (contraste C4: no hay svar_hd regional)</t>
        </is>
      </c>
      <c r="O126" s="3" t="inlineStr">
        <is>
          <t>CCAA: ranking por c_f·sign(dY) del panel FE (M8); asociacion, sin lectura causal; el factor comun es un resumen de comovimiento (pendiente ~1 mecanica, J23)</t>
        </is>
      </c>
      <c r="P126" s="3" t="inlineStr">
        <is>
          <t>output/v8/F5/regional_ranking.csv</t>
        </is>
      </c>
    </row>
    <row r="127">
      <c r="A127" s="3" t="inlineStr">
        <is>
          <t>alquiler</t>
        </is>
      </c>
      <c r="B127" s="3" t="inlineStr">
        <is>
          <t>ccaa:04</t>
        </is>
      </c>
      <c r="C127" s="3" t="inlineStr">
        <is>
          <t>P5</t>
        </is>
      </c>
      <c r="D127" s="3" t="inlineStr">
        <is>
          <t>oferta</t>
        </is>
      </c>
      <c r="E127" s="3" t="inlineStr">
        <is>
          <t>regional_panel</t>
        </is>
      </c>
      <c r="F127" s="3" t="inlineStr">
        <is>
          <t>panel_covariables</t>
        </is>
      </c>
      <c r="G127" s="3" t="n">
        <v>-0.00433081</v>
      </c>
      <c r="H127" s="3" t="n">
        <v>0.0990183</v>
      </c>
      <c r="I127" s="3" t="n">
        <v>-0.00687806</v>
      </c>
      <c r="J127" s="3" t="n">
        <v>0.00597754</v>
      </c>
      <c r="K127" s="3" t="n">
        <v>-4.37375</v>
      </c>
      <c r="L127" s="3" t="n">
        <v>3</v>
      </c>
      <c r="M127" s="3" t="inlineStr">
        <is>
          <t>si</t>
        </is>
      </c>
      <c r="N127" s="3" t="inlineStr">
        <is>
          <t>no designado (contraste C4: no hay svar_hd regional)</t>
        </is>
      </c>
      <c r="O127" s="3" t="inlineStr">
        <is>
          <t>CCAA: ranking por c_f·sign(dY) del panel FE (M8); asociacion, sin lectura causal; el factor comun es un resumen de comovimiento (pendiente ~1 mecanica, J23)</t>
        </is>
      </c>
      <c r="P127" s="3" t="inlineStr">
        <is>
          <t>output/v8/F5/regional_ranking.csv</t>
        </is>
      </c>
    </row>
    <row r="128">
      <c r="A128" s="3" t="inlineStr">
        <is>
          <t>alquiler</t>
        </is>
      </c>
      <c r="B128" s="3" t="inlineStr">
        <is>
          <t>ccaa:04</t>
        </is>
      </c>
      <c r="C128" s="3" t="inlineStr">
        <is>
          <t>P5</t>
        </is>
      </c>
      <c r="D128" s="3" t="inlineStr">
        <is>
          <t>demanda_externa</t>
        </is>
      </c>
      <c r="E128" s="3" t="inlineStr">
        <is>
          <t>regional_panel</t>
        </is>
      </c>
      <c r="F128" s="3" t="inlineStr">
        <is>
          <t>panel_covariables</t>
        </is>
      </c>
      <c r="G128" s="3" t="n">
        <v>-0.118188</v>
      </c>
      <c r="H128" s="3" t="n">
        <v>2.70221</v>
      </c>
      <c r="I128" s="3" t="n">
        <v>-0.192953</v>
      </c>
      <c r="J128" s="3" t="n">
        <v>-0.0402299</v>
      </c>
      <c r="K128" s="3" t="n">
        <v>-4.37375</v>
      </c>
      <c r="L128" s="3" t="n">
        <v>2</v>
      </c>
      <c r="M128" s="3" t="inlineStr">
        <is>
          <t>si</t>
        </is>
      </c>
      <c r="N128" s="3" t="inlineStr">
        <is>
          <t>no designado (contraste C4: no hay svar_hd regional)</t>
        </is>
      </c>
      <c r="O128" s="3" t="inlineStr">
        <is>
          <t>CCAA: ranking por c_f·sign(dY) del panel FE (M8); asociacion, sin lectura causal; el factor comun es un resumen de comovimiento (pendiente ~1 mecanica, J23)</t>
        </is>
      </c>
      <c r="P128" s="3" t="inlineStr">
        <is>
          <t>output/v8/F5/regional_ranking.csv</t>
        </is>
      </c>
    </row>
    <row r="129">
      <c r="A129" s="3" t="inlineStr">
        <is>
          <t>alquiler</t>
        </is>
      </c>
      <c r="B129" s="3" t="inlineStr">
        <is>
          <t>ccaa:04</t>
        </is>
      </c>
      <c r="C129" s="3" t="inlineStr">
        <is>
          <t>P5</t>
        </is>
      </c>
      <c r="D129" s="3" t="inlineStr">
        <is>
          <t>residuo</t>
        </is>
      </c>
      <c r="E129" s="3" t="inlineStr">
        <is>
          <t>regional_panel</t>
        </is>
      </c>
      <c r="F129" s="3" t="inlineStr">
        <is>
          <t>panel_covariables</t>
        </is>
      </c>
      <c r="G129" s="3" t="n">
        <v>0.836962</v>
      </c>
      <c r="H129" s="3" t="n">
        <v>-19.136</v>
      </c>
      <c r="I129" s="3" t="n">
        <v>-0.470183</v>
      </c>
      <c r="J129" s="3" t="n">
        <v>1.62661</v>
      </c>
      <c r="K129" s="3" t="n">
        <v>-4.37375</v>
      </c>
      <c r="L129" s="3" t="n"/>
      <c r="M129" s="3" t="inlineStr">
        <is>
          <t>no</t>
        </is>
      </c>
      <c r="N129" s="3" t="inlineStr">
        <is>
          <t>no designado (contraste C4: no hay svar_hd regional)</t>
        </is>
      </c>
      <c r="O129" s="3" t="inlineStr">
        <is>
          <t>CCAA: ranking por c_f·sign(dY) del panel FE (M8); asociacion, sin lectura causal; el factor comun es un resumen de comovimiento (pendiente ~1 mecanica, J23)</t>
        </is>
      </c>
      <c r="P129" s="3" t="inlineStr">
        <is>
          <t>output/v8/F5/regional_ranking.csv</t>
        </is>
      </c>
    </row>
    <row r="130">
      <c r="A130" s="3" t="inlineStr">
        <is>
          <t>alquiler</t>
        </is>
      </c>
      <c r="B130" s="3" t="inlineStr">
        <is>
          <t>ccaa:05</t>
        </is>
      </c>
      <c r="C130" s="3" t="inlineStr">
        <is>
          <t>P2</t>
        </is>
      </c>
      <c r="D130" s="3" t="inlineStr">
        <is>
          <t>factor_comun</t>
        </is>
      </c>
      <c r="E130" s="3" t="inlineStr">
        <is>
          <t>regional_ccaa_ols</t>
        </is>
      </c>
      <c r="F130" s="3" t="inlineStr">
        <is>
          <t>ols_solo_factor</t>
        </is>
      </c>
      <c r="G130" s="3" t="n">
        <v>-2.81097</v>
      </c>
      <c r="H130" s="3" t="n">
        <v>62.0715</v>
      </c>
      <c r="I130" s="3" t="n">
        <v>-6.34385</v>
      </c>
      <c r="J130" s="3" t="n">
        <v>0.302921</v>
      </c>
      <c r="K130" s="3" t="n">
        <v>-4.47212</v>
      </c>
      <c r="L130" s="3" t="n"/>
      <c r="M130" s="3" t="inlineStr">
        <is>
          <t>no</t>
        </is>
      </c>
      <c r="N130" s="3" t="inlineStr">
        <is>
          <t>no designado (contraste C4: no hay svar_hd regional)</t>
        </is>
      </c>
      <c r="O130" s="3" t="inlineStr">
        <is>
          <t>CCAA: ranking por c_f·sign(dY) del panel FE (M8); asociacion, sin lectura causal; el factor comun es un resumen de comovimiento (pendiente ~1 mecanica, J23)</t>
        </is>
      </c>
      <c r="P130" s="3" t="inlineStr">
        <is>
          <t>output/v8/F5/regional_ranking.csv</t>
        </is>
      </c>
    </row>
    <row r="131">
      <c r="A131" s="3" t="inlineStr">
        <is>
          <t>alquiler</t>
        </is>
      </c>
      <c r="B131" s="3" t="inlineStr">
        <is>
          <t>ccaa:05</t>
        </is>
      </c>
      <c r="C131" s="3" t="inlineStr">
        <is>
          <t>P2</t>
        </is>
      </c>
      <c r="D131" s="3" t="inlineStr">
        <is>
          <t>residuo</t>
        </is>
      </c>
      <c r="E131" s="3" t="inlineStr">
        <is>
          <t>regional_ccaa_ols</t>
        </is>
      </c>
      <c r="F131" s="3" t="inlineStr">
        <is>
          <t>ols_solo_factor</t>
        </is>
      </c>
      <c r="G131" s="3" t="n">
        <v>-1.71763</v>
      </c>
      <c r="H131" s="3" t="n">
        <v>37.9285</v>
      </c>
      <c r="I131" s="3" t="n"/>
      <c r="J131" s="3" t="n"/>
      <c r="K131" s="3" t="n">
        <v>-4.47212</v>
      </c>
      <c r="L131" s="3" t="n"/>
      <c r="M131" s="3" t="inlineStr">
        <is>
          <t>no</t>
        </is>
      </c>
      <c r="N131" s="3" t="inlineStr">
        <is>
          <t>no designado (contraste C4: no hay svar_hd regional)</t>
        </is>
      </c>
      <c r="O131" s="3" t="inlineStr">
        <is>
          <t>CCAA: ranking por c_f·sign(dY) del panel FE (M8); asociacion, sin lectura causal; el factor comun es un resumen de comovimiento (pendiente ~1 mecanica, J23)</t>
        </is>
      </c>
      <c r="P131" s="3" t="inlineStr">
        <is>
          <t>output/v8/F5/regional_ranking.csv</t>
        </is>
      </c>
    </row>
    <row r="132">
      <c r="A132" s="3" t="inlineStr">
        <is>
          <t>alquiler</t>
        </is>
      </c>
      <c r="B132" s="3" t="inlineStr">
        <is>
          <t>ccaa:05</t>
        </is>
      </c>
      <c r="C132" s="3" t="inlineStr">
        <is>
          <t>P2</t>
        </is>
      </c>
      <c r="D132" s="3" t="inlineStr">
        <is>
          <t>factor_comun</t>
        </is>
      </c>
      <c r="E132" s="3" t="inlineStr">
        <is>
          <t>regional_panel</t>
        </is>
      </c>
      <c r="F132" s="3" t="inlineStr">
        <is>
          <t>panel_covariables</t>
        </is>
      </c>
      <c r="G132" s="3" t="n">
        <v>-3.50963</v>
      </c>
      <c r="H132" s="3" t="n">
        <v>78.47790000000001</v>
      </c>
      <c r="I132" s="3" t="n">
        <v>-7.73728</v>
      </c>
      <c r="J132" s="3" t="n">
        <v>0.660335</v>
      </c>
      <c r="K132" s="3" t="n">
        <v>-4.47212</v>
      </c>
      <c r="L132" s="3" t="n"/>
      <c r="M132" s="3" t="inlineStr">
        <is>
          <t>no</t>
        </is>
      </c>
      <c r="N132" s="3" t="inlineStr">
        <is>
          <t>no designado (contraste C4: no hay svar_hd regional)</t>
        </is>
      </c>
      <c r="O132" s="3" t="inlineStr">
        <is>
          <t>CCAA: ranking por c_f·sign(dY) del panel FE (M8); asociacion, sin lectura causal; el factor comun es un resumen de comovimiento (pendiente ~1 mecanica, J23)</t>
        </is>
      </c>
      <c r="P132" s="3" t="inlineStr">
        <is>
          <t>output/v8/F5/regional_ranking.csv</t>
        </is>
      </c>
    </row>
    <row r="133">
      <c r="A133" s="3" t="inlineStr">
        <is>
          <t>alquiler</t>
        </is>
      </c>
      <c r="B133" s="3" t="inlineStr">
        <is>
          <t>ccaa:05</t>
        </is>
      </c>
      <c r="C133" s="3" t="inlineStr">
        <is>
          <t>P2</t>
        </is>
      </c>
      <c r="D133" s="3" t="inlineStr">
        <is>
          <t>empleo_renta</t>
        </is>
      </c>
      <c r="E133" s="3" t="inlineStr">
        <is>
          <t>regional_panel</t>
        </is>
      </c>
      <c r="F133" s="3" t="inlineStr">
        <is>
          <t>panel_covariables</t>
        </is>
      </c>
      <c r="G133" s="3" t="n">
        <v>-0.0322983</v>
      </c>
      <c r="H133" s="3" t="n">
        <v>0.7222150000000001</v>
      </c>
      <c r="I133" s="3" t="n">
        <v>-0.380607</v>
      </c>
      <c r="J133" s="3" t="n">
        <v>0.406369</v>
      </c>
      <c r="K133" s="3" t="n">
        <v>-4.47212</v>
      </c>
      <c r="L133" s="3" t="n">
        <v>1</v>
      </c>
      <c r="M133" s="3" t="inlineStr">
        <is>
          <t>si</t>
        </is>
      </c>
      <c r="N133" s="3" t="inlineStr">
        <is>
          <t>no designado (contraste C4: no hay svar_hd regional)</t>
        </is>
      </c>
      <c r="O133" s="3" t="inlineStr">
        <is>
          <t>CCAA: ranking por c_f·sign(dY) del panel FE (M8); asociacion, sin lectura causal; el factor comun es un resumen de comovimiento (pendiente ~1 mecanica, J23)</t>
        </is>
      </c>
      <c r="P133" s="3" t="inlineStr">
        <is>
          <t>output/v8/F5/regional_ranking.csv</t>
        </is>
      </c>
    </row>
    <row r="134">
      <c r="A134" s="3" t="inlineStr">
        <is>
          <t>alquiler</t>
        </is>
      </c>
      <c r="B134" s="3" t="inlineStr">
        <is>
          <t>ccaa:05</t>
        </is>
      </c>
      <c r="C134" s="3" t="inlineStr">
        <is>
          <t>P2</t>
        </is>
      </c>
      <c r="D134" s="3" t="inlineStr">
        <is>
          <t>demografia</t>
        </is>
      </c>
      <c r="E134" s="3" t="inlineStr">
        <is>
          <t>regional_panel</t>
        </is>
      </c>
      <c r="F134" s="3" t="inlineStr">
        <is>
          <t>panel_covariables</t>
        </is>
      </c>
      <c r="G134" s="3" t="n">
        <v>1.86324</v>
      </c>
      <c r="H134" s="3" t="n">
        <v>-41.6634</v>
      </c>
      <c r="I134" s="3" t="n">
        <v>1.47246</v>
      </c>
      <c r="J134" s="3" t="n">
        <v>2.71836</v>
      </c>
      <c r="K134" s="3" t="n">
        <v>-4.47212</v>
      </c>
      <c r="L134" s="3" t="n">
        <v>4</v>
      </c>
      <c r="M134" s="3" t="inlineStr">
        <is>
          <t>si</t>
        </is>
      </c>
      <c r="N134" s="3" t="inlineStr">
        <is>
          <t>no designado (contraste C4: no hay svar_hd regional)</t>
        </is>
      </c>
      <c r="O134" s="3" t="inlineStr">
        <is>
          <t>CCAA: ranking por c_f·sign(dY) del panel FE (M8); asociacion, sin lectura causal; el factor comun es un resumen de comovimiento (pendiente ~1 mecanica, J23)</t>
        </is>
      </c>
      <c r="P134" s="3" t="inlineStr">
        <is>
          <t>output/v8/F5/regional_ranking.csv</t>
        </is>
      </c>
    </row>
    <row r="135">
      <c r="A135" s="3" t="inlineStr">
        <is>
          <t>alquiler</t>
        </is>
      </c>
      <c r="B135" s="3" t="inlineStr">
        <is>
          <t>ccaa:05</t>
        </is>
      </c>
      <c r="C135" s="3" t="inlineStr">
        <is>
          <t>P2</t>
        </is>
      </c>
      <c r="D135" s="3" t="inlineStr">
        <is>
          <t>oferta</t>
        </is>
      </c>
      <c r="E135" s="3" t="inlineStr">
        <is>
          <t>regional_panel</t>
        </is>
      </c>
      <c r="F135" s="3" t="inlineStr">
        <is>
          <t>panel_covariables</t>
        </is>
      </c>
      <c r="G135" s="3" t="n">
        <v>0.39051</v>
      </c>
      <c r="H135" s="3" t="n">
        <v>-8.732100000000001</v>
      </c>
      <c r="I135" s="3" t="n">
        <v>0.0558492</v>
      </c>
      <c r="J135" s="3" t="n">
        <v>0.61475</v>
      </c>
      <c r="K135" s="3" t="n">
        <v>-4.47212</v>
      </c>
      <c r="L135" s="3" t="n">
        <v>3</v>
      </c>
      <c r="M135" s="3" t="inlineStr">
        <is>
          <t>si</t>
        </is>
      </c>
      <c r="N135" s="3" t="inlineStr">
        <is>
          <t>no designado (contraste C4: no hay svar_hd regional)</t>
        </is>
      </c>
      <c r="O135" s="3" t="inlineStr">
        <is>
          <t>CCAA: ranking por c_f·sign(dY) del panel FE (M8); asociacion, sin lectura causal; el factor comun es un resumen de comovimiento (pendiente ~1 mecanica, J23)</t>
        </is>
      </c>
      <c r="P135" s="3" t="inlineStr">
        <is>
          <t>output/v8/F5/regional_ranking.csv</t>
        </is>
      </c>
    </row>
    <row r="136">
      <c r="A136" s="3" t="inlineStr">
        <is>
          <t>alquiler</t>
        </is>
      </c>
      <c r="B136" s="3" t="inlineStr">
        <is>
          <t>ccaa:05</t>
        </is>
      </c>
      <c r="C136" s="3" t="inlineStr">
        <is>
          <t>P2</t>
        </is>
      </c>
      <c r="D136" s="3" t="inlineStr">
        <is>
          <t>demanda_externa</t>
        </is>
      </c>
      <c r="E136" s="3" t="inlineStr">
        <is>
          <t>regional_panel</t>
        </is>
      </c>
      <c r="F136" s="3" t="inlineStr">
        <is>
          <t>panel_covariables</t>
        </is>
      </c>
      <c r="G136" s="3" t="n">
        <v>0.0372937</v>
      </c>
      <c r="H136" s="3" t="n">
        <v>-0.833914</v>
      </c>
      <c r="I136" s="3" t="n">
        <v>-0.014176</v>
      </c>
      <c r="J136" s="3" t="n">
        <v>0.0558412</v>
      </c>
      <c r="K136" s="3" t="n">
        <v>-4.47212</v>
      </c>
      <c r="L136" s="3" t="n">
        <v>2</v>
      </c>
      <c r="M136" s="3" t="inlineStr">
        <is>
          <t>si</t>
        </is>
      </c>
      <c r="N136" s="3" t="inlineStr">
        <is>
          <t>no designado (contraste C4: no hay svar_hd regional)</t>
        </is>
      </c>
      <c r="O136" s="3" t="inlineStr">
        <is>
          <t>CCAA: ranking por c_f·sign(dY) del panel FE (M8); asociacion, sin lectura causal; el factor comun es un resumen de comovimiento (pendiente ~1 mecanica, J23)</t>
        </is>
      </c>
      <c r="P136" s="3" t="inlineStr">
        <is>
          <t>output/v8/F5/regional_ranking.csv</t>
        </is>
      </c>
    </row>
    <row r="137">
      <c r="A137" s="3" t="inlineStr">
        <is>
          <t>alquiler</t>
        </is>
      </c>
      <c r="B137" s="3" t="inlineStr">
        <is>
          <t>ccaa:05</t>
        </is>
      </c>
      <c r="C137" s="3" t="inlineStr">
        <is>
          <t>P2</t>
        </is>
      </c>
      <c r="D137" s="3" t="inlineStr">
        <is>
          <t>residuo</t>
        </is>
      </c>
      <c r="E137" s="3" t="inlineStr">
        <is>
          <t>regional_panel</t>
        </is>
      </c>
      <c r="F137" s="3" t="inlineStr">
        <is>
          <t>panel_covariables</t>
        </is>
      </c>
      <c r="G137" s="3" t="n">
        <v>-3.22124</v>
      </c>
      <c r="H137" s="3" t="n">
        <v>72.02930000000001</v>
      </c>
      <c r="I137" s="3" t="n">
        <v>-4.00422</v>
      </c>
      <c r="J137" s="3" t="n">
        <v>-2.57562</v>
      </c>
      <c r="K137" s="3" t="n">
        <v>-4.47212</v>
      </c>
      <c r="L137" s="3" t="n"/>
      <c r="M137" s="3" t="inlineStr">
        <is>
          <t>no</t>
        </is>
      </c>
      <c r="N137" s="3" t="inlineStr">
        <is>
          <t>no designado (contraste C4: no hay svar_hd regional)</t>
        </is>
      </c>
      <c r="O137" s="3" t="inlineStr">
        <is>
          <t>CCAA: ranking por c_f·sign(dY) del panel FE (M8); asociacion, sin lectura causal; el factor comun es un resumen de comovimiento (pendiente ~1 mecanica, J23)</t>
        </is>
      </c>
      <c r="P137" s="3" t="inlineStr">
        <is>
          <t>output/v8/F5/regional_ranking.csv</t>
        </is>
      </c>
    </row>
    <row r="138">
      <c r="A138" s="3" t="inlineStr">
        <is>
          <t>alquiler</t>
        </is>
      </c>
      <c r="B138" s="3" t="inlineStr">
        <is>
          <t>ccaa:05</t>
        </is>
      </c>
      <c r="C138" s="3" t="inlineStr">
        <is>
          <t>P3</t>
        </is>
      </c>
      <c r="D138" s="3" t="inlineStr">
        <is>
          <t>factor_comun</t>
        </is>
      </c>
      <c r="E138" s="3" t="inlineStr">
        <is>
          <t>regional_ccaa_ols</t>
        </is>
      </c>
      <c r="F138" s="3" t="inlineStr">
        <is>
          <t>ols_solo_factor</t>
        </is>
      </c>
      <c r="G138" s="3" t="n">
        <v>-2.21071</v>
      </c>
      <c r="H138" s="3" t="n">
        <v>141.285</v>
      </c>
      <c r="I138" s="3" t="n">
        <v>-3.5398</v>
      </c>
      <c r="J138" s="3" t="n">
        <v>-1.14171</v>
      </c>
      <c r="K138" s="3" t="n">
        <v>-1.26763</v>
      </c>
      <c r="L138" s="3" t="n"/>
      <c r="M138" s="3" t="inlineStr">
        <is>
          <t>no</t>
        </is>
      </c>
      <c r="N138" s="3" t="inlineStr">
        <is>
          <t>no designado (contraste C4: no hay svar_hd regional)</t>
        </is>
      </c>
      <c r="O138" s="3" t="inlineStr">
        <is>
          <t>CCAA: ranking por c_f·sign(dY) del panel FE (M8); asociacion, sin lectura causal; el factor comun es un resumen de comovimiento (pendiente ~1 mecanica, J23)</t>
        </is>
      </c>
      <c r="P138" s="3" t="inlineStr">
        <is>
          <t>output/v8/F5/regional_ranking.csv</t>
        </is>
      </c>
    </row>
    <row r="139">
      <c r="A139" s="3" t="inlineStr">
        <is>
          <t>alquiler</t>
        </is>
      </c>
      <c r="B139" s="3" t="inlineStr">
        <is>
          <t>ccaa:05</t>
        </is>
      </c>
      <c r="C139" s="3" t="inlineStr">
        <is>
          <t>P3</t>
        </is>
      </c>
      <c r="D139" s="3" t="inlineStr">
        <is>
          <t>residuo</t>
        </is>
      </c>
      <c r="E139" s="3" t="inlineStr">
        <is>
          <t>regional_ccaa_ols</t>
        </is>
      </c>
      <c r="F139" s="3" t="inlineStr">
        <is>
          <t>ols_solo_factor</t>
        </is>
      </c>
      <c r="G139" s="3" t="n">
        <v>0.645998</v>
      </c>
      <c r="H139" s="3" t="n">
        <v>-41.2853</v>
      </c>
      <c r="I139" s="3" t="n"/>
      <c r="J139" s="3" t="n"/>
      <c r="K139" s="3" t="n">
        <v>-1.26763</v>
      </c>
      <c r="L139" s="3" t="n"/>
      <c r="M139" s="3" t="inlineStr">
        <is>
          <t>no</t>
        </is>
      </c>
      <c r="N139" s="3" t="inlineStr">
        <is>
          <t>no designado (contraste C4: no hay svar_hd regional)</t>
        </is>
      </c>
      <c r="O139" s="3" t="inlineStr">
        <is>
          <t>CCAA: ranking por c_f·sign(dY) del panel FE (M8); asociacion, sin lectura causal; el factor comun es un resumen de comovimiento (pendiente ~1 mecanica, J23)</t>
        </is>
      </c>
      <c r="P139" s="3" t="inlineStr">
        <is>
          <t>output/v8/F5/regional_ranking.csv</t>
        </is>
      </c>
    </row>
    <row r="140">
      <c r="A140" s="3" t="inlineStr">
        <is>
          <t>alquiler</t>
        </is>
      </c>
      <c r="B140" s="3" t="inlineStr">
        <is>
          <t>ccaa:05</t>
        </is>
      </c>
      <c r="C140" s="3" t="inlineStr">
        <is>
          <t>P3</t>
        </is>
      </c>
      <c r="D140" s="3" t="inlineStr">
        <is>
          <t>factor_comun</t>
        </is>
      </c>
      <c r="E140" s="3" t="inlineStr">
        <is>
          <t>regional_panel</t>
        </is>
      </c>
      <c r="F140" s="3" t="inlineStr">
        <is>
          <t>panel_covariables</t>
        </is>
      </c>
      <c r="G140" s="3" t="n">
        <v>-1.89168</v>
      </c>
      <c r="H140" s="3" t="n">
        <v>149.23</v>
      </c>
      <c r="I140" s="3" t="n">
        <v>-3.03018</v>
      </c>
      <c r="J140" s="3" t="n">
        <v>-0.7753910000000001</v>
      </c>
      <c r="K140" s="3" t="n">
        <v>-1.26763</v>
      </c>
      <c r="L140" s="3" t="n"/>
      <c r="M140" s="3" t="inlineStr">
        <is>
          <t>no</t>
        </is>
      </c>
      <c r="N140" s="3" t="inlineStr">
        <is>
          <t>no designado (contraste C4: no hay svar_hd regional)</t>
        </is>
      </c>
      <c r="O140" s="3" t="inlineStr">
        <is>
          <t>CCAA: ranking por c_f·sign(dY) del panel FE (M8); asociacion, sin lectura causal; el factor comun es un resumen de comovimiento (pendiente ~1 mecanica, J23)</t>
        </is>
      </c>
      <c r="P140" s="3" t="inlineStr">
        <is>
          <t>output/v8/F5/regional_ranking.csv</t>
        </is>
      </c>
    </row>
    <row r="141">
      <c r="A141" s="3" t="inlineStr">
        <is>
          <t>alquiler</t>
        </is>
      </c>
      <c r="B141" s="3" t="inlineStr">
        <is>
          <t>ccaa:05</t>
        </is>
      </c>
      <c r="C141" s="3" t="inlineStr">
        <is>
          <t>P3</t>
        </is>
      </c>
      <c r="D141" s="3" t="inlineStr">
        <is>
          <t>empleo_renta</t>
        </is>
      </c>
      <c r="E141" s="3" t="inlineStr">
        <is>
          <t>regional_panel</t>
        </is>
      </c>
      <c r="F141" s="3" t="inlineStr">
        <is>
          <t>panel_covariables</t>
        </is>
      </c>
      <c r="G141" s="3" t="n">
        <v>0.450543</v>
      </c>
      <c r="H141" s="3" t="n">
        <v>-35.5422</v>
      </c>
      <c r="I141" s="3" t="n">
        <v>0.210319</v>
      </c>
      <c r="J141" s="3" t="n">
        <v>0.5391590000000001</v>
      </c>
      <c r="K141" s="3" t="n">
        <v>-1.26763</v>
      </c>
      <c r="L141" s="3" t="n">
        <v>3</v>
      </c>
      <c r="M141" s="3" t="inlineStr">
        <is>
          <t>si</t>
        </is>
      </c>
      <c r="N141" s="3" t="inlineStr">
        <is>
          <t>no designado (contraste C4: no hay svar_hd regional)</t>
        </is>
      </c>
      <c r="O141" s="3" t="inlineStr">
        <is>
          <t>CCAA: ranking por c_f·sign(dY) del panel FE (M8); asociacion, sin lectura causal; el factor comun es un resumen de comovimiento (pendiente ~1 mecanica, J23)</t>
        </is>
      </c>
      <c r="P141" s="3" t="inlineStr">
        <is>
          <t>output/v8/F5/regional_ranking.csv</t>
        </is>
      </c>
    </row>
    <row r="142">
      <c r="A142" s="3" t="inlineStr">
        <is>
          <t>alquiler</t>
        </is>
      </c>
      <c r="B142" s="3" t="inlineStr">
        <is>
          <t>ccaa:05</t>
        </is>
      </c>
      <c r="C142" s="3" t="inlineStr">
        <is>
          <t>P3</t>
        </is>
      </c>
      <c r="D142" s="3" t="inlineStr">
        <is>
          <t>demografia</t>
        </is>
      </c>
      <c r="E142" s="3" t="inlineStr">
        <is>
          <t>regional_panel</t>
        </is>
      </c>
      <c r="F142" s="3" t="inlineStr">
        <is>
          <t>panel_covariables</t>
        </is>
      </c>
      <c r="G142" s="3" t="n">
        <v>2.24304</v>
      </c>
      <c r="H142" s="3" t="n">
        <v>-176.948</v>
      </c>
      <c r="I142" s="3" t="n">
        <v>1.76014</v>
      </c>
      <c r="J142" s="3" t="n">
        <v>2.71734</v>
      </c>
      <c r="K142" s="3" t="n">
        <v>-1.26763</v>
      </c>
      <c r="L142" s="3" t="n">
        <v>4</v>
      </c>
      <c r="M142" s="3" t="inlineStr">
        <is>
          <t>si</t>
        </is>
      </c>
      <c r="N142" s="3" t="inlineStr">
        <is>
          <t>no designado (contraste C4: no hay svar_hd regional)</t>
        </is>
      </c>
      <c r="O142" s="3" t="inlineStr">
        <is>
          <t>CCAA: ranking por c_f·sign(dY) del panel FE (M8); asociacion, sin lectura causal; el factor comun es un resumen de comovimiento (pendiente ~1 mecanica, J23)</t>
        </is>
      </c>
      <c r="P142" s="3" t="inlineStr">
        <is>
          <t>output/v8/F5/regional_ranking.csv</t>
        </is>
      </c>
    </row>
    <row r="143">
      <c r="A143" s="3" t="inlineStr">
        <is>
          <t>alquiler</t>
        </is>
      </c>
      <c r="B143" s="3" t="inlineStr">
        <is>
          <t>ccaa:05</t>
        </is>
      </c>
      <c r="C143" s="3" t="inlineStr">
        <is>
          <t>P3</t>
        </is>
      </c>
      <c r="D143" s="3" t="inlineStr">
        <is>
          <t>oferta</t>
        </is>
      </c>
      <c r="E143" s="3" t="inlineStr">
        <is>
          <t>regional_panel</t>
        </is>
      </c>
      <c r="F143" s="3" t="inlineStr">
        <is>
          <t>panel_covariables</t>
        </is>
      </c>
      <c r="G143" s="3" t="n">
        <v>0.06888180000000001</v>
      </c>
      <c r="H143" s="3" t="n">
        <v>-5.4339</v>
      </c>
      <c r="I143" s="3" t="n">
        <v>-0.0109221</v>
      </c>
      <c r="J143" s="3" t="n">
        <v>0.238199</v>
      </c>
      <c r="K143" s="3" t="n">
        <v>-1.26763</v>
      </c>
      <c r="L143" s="3" t="n">
        <v>2</v>
      </c>
      <c r="M143" s="3" t="inlineStr">
        <is>
          <t>si</t>
        </is>
      </c>
      <c r="N143" s="3" t="inlineStr">
        <is>
          <t>no designado (contraste C4: no hay svar_hd regional)</t>
        </is>
      </c>
      <c r="O143" s="3" t="inlineStr">
        <is>
          <t>CCAA: ranking por c_f·sign(dY) del panel FE (M8); asociacion, sin lectura causal; el factor comun es un resumen de comovimiento (pendiente ~1 mecanica, J23)</t>
        </is>
      </c>
      <c r="P143" s="3" t="inlineStr">
        <is>
          <t>output/v8/F5/regional_ranking.csv</t>
        </is>
      </c>
    </row>
    <row r="144">
      <c r="A144" s="3" t="inlineStr">
        <is>
          <t>alquiler</t>
        </is>
      </c>
      <c r="B144" s="3" t="inlineStr">
        <is>
          <t>ccaa:05</t>
        </is>
      </c>
      <c r="C144" s="3" t="inlineStr">
        <is>
          <t>P3</t>
        </is>
      </c>
      <c r="D144" s="3" t="inlineStr">
        <is>
          <t>demanda_externa</t>
        </is>
      </c>
      <c r="E144" s="3" t="inlineStr">
        <is>
          <t>regional_panel</t>
        </is>
      </c>
      <c r="F144" s="3" t="inlineStr">
        <is>
          <t>panel_covariables</t>
        </is>
      </c>
      <c r="G144" s="3" t="n">
        <v>0.027331</v>
      </c>
      <c r="H144" s="3" t="n">
        <v>-2.15607</v>
      </c>
      <c r="I144" s="3" t="n">
        <v>-0.0179218</v>
      </c>
      <c r="J144" s="3" t="n">
        <v>0.0803931</v>
      </c>
      <c r="K144" s="3" t="n">
        <v>-1.26763</v>
      </c>
      <c r="L144" s="3" t="n">
        <v>1</v>
      </c>
      <c r="M144" s="3" t="inlineStr">
        <is>
          <t>si</t>
        </is>
      </c>
      <c r="N144" s="3" t="inlineStr">
        <is>
          <t>no designado (contraste C4: no hay svar_hd regional)</t>
        </is>
      </c>
      <c r="O144" s="3" t="inlineStr">
        <is>
          <t>CCAA: ranking por c_f·sign(dY) del panel FE (M8); asociacion, sin lectura causal; el factor comun es un resumen de comovimiento (pendiente ~1 mecanica, J23)</t>
        </is>
      </c>
      <c r="P144" s="3" t="inlineStr">
        <is>
          <t>output/v8/F5/regional_ranking.csv</t>
        </is>
      </c>
    </row>
    <row r="145">
      <c r="A145" s="3" t="inlineStr">
        <is>
          <t>alquiler</t>
        </is>
      </c>
      <c r="B145" s="3" t="inlineStr">
        <is>
          <t>ccaa:05</t>
        </is>
      </c>
      <c r="C145" s="3" t="inlineStr">
        <is>
          <t>P3</t>
        </is>
      </c>
      <c r="D145" s="3" t="inlineStr">
        <is>
          <t>residuo</t>
        </is>
      </c>
      <c r="E145" s="3" t="inlineStr">
        <is>
          <t>regional_panel</t>
        </is>
      </c>
      <c r="F145" s="3" t="inlineStr">
        <is>
          <t>panel_covariables</t>
        </is>
      </c>
      <c r="G145" s="3" t="n">
        <v>-2.16574</v>
      </c>
      <c r="H145" s="3" t="n">
        <v>170.85</v>
      </c>
      <c r="I145" s="3" t="n">
        <v>-2.94517</v>
      </c>
      <c r="J145" s="3" t="n">
        <v>-1.23527</v>
      </c>
      <c r="K145" s="3" t="n">
        <v>-1.26763</v>
      </c>
      <c r="L145" s="3" t="n"/>
      <c r="M145" s="3" t="inlineStr">
        <is>
          <t>no</t>
        </is>
      </c>
      <c r="N145" s="3" t="inlineStr">
        <is>
          <t>no designado (contraste C4: no hay svar_hd regional)</t>
        </is>
      </c>
      <c r="O145" s="3" t="inlineStr">
        <is>
          <t>CCAA: ranking por c_f·sign(dY) del panel FE (M8); asociacion, sin lectura causal; el factor comun es un resumen de comovimiento (pendiente ~1 mecanica, J23)</t>
        </is>
      </c>
      <c r="P145" s="3" t="inlineStr">
        <is>
          <t>output/v8/F5/regional_ranking.csv</t>
        </is>
      </c>
    </row>
    <row r="146">
      <c r="A146" s="3" t="inlineStr">
        <is>
          <t>alquiler</t>
        </is>
      </c>
      <c r="B146" s="3" t="inlineStr">
        <is>
          <t>ccaa:05</t>
        </is>
      </c>
      <c r="C146" s="3" t="inlineStr">
        <is>
          <t>P4</t>
        </is>
      </c>
      <c r="D146" s="3" t="inlineStr">
        <is>
          <t>factor_comun</t>
        </is>
      </c>
      <c r="E146" s="3" t="inlineStr">
        <is>
          <t>regional_ccaa_ols</t>
        </is>
      </c>
      <c r="F146" s="3" t="inlineStr">
        <is>
          <t>ols_solo_factor</t>
        </is>
      </c>
      <c r="G146" s="3" t="n">
        <v>-4.60529</v>
      </c>
      <c r="H146" s="3" t="n">
        <v>94.08</v>
      </c>
      <c r="I146" s="3" t="n">
        <v>-7.94222</v>
      </c>
      <c r="J146" s="3" t="n">
        <v>-1.50102</v>
      </c>
      <c r="K146" s="3" t="n">
        <v>-4.89508</v>
      </c>
      <c r="L146" s="3" t="n"/>
      <c r="M146" s="3" t="inlineStr">
        <is>
          <t>no</t>
        </is>
      </c>
      <c r="N146" s="3" t="inlineStr">
        <is>
          <t>no designado (contraste C4: no hay svar_hd regional)</t>
        </is>
      </c>
      <c r="O146" s="3" t="inlineStr">
        <is>
          <t>CCAA: ranking por c_f·sign(dY) del panel FE (M8); asociacion, sin lectura causal; el factor comun es un resumen de comovimiento (pendiente ~1 mecanica, J23)</t>
        </is>
      </c>
      <c r="P146" s="3" t="inlineStr">
        <is>
          <t>output/v8/F5/regional_ranking.csv</t>
        </is>
      </c>
    </row>
    <row r="147">
      <c r="A147" s="3" t="inlineStr">
        <is>
          <t>alquiler</t>
        </is>
      </c>
      <c r="B147" s="3" t="inlineStr">
        <is>
          <t>ccaa:05</t>
        </is>
      </c>
      <c r="C147" s="3" t="inlineStr">
        <is>
          <t>P4</t>
        </is>
      </c>
      <c r="D147" s="3" t="inlineStr">
        <is>
          <t>residuo</t>
        </is>
      </c>
      <c r="E147" s="3" t="inlineStr">
        <is>
          <t>regional_ccaa_ols</t>
        </is>
      </c>
      <c r="F147" s="3" t="inlineStr">
        <is>
          <t>ols_solo_factor</t>
        </is>
      </c>
      <c r="G147" s="3" t="n">
        <v>-0.289787</v>
      </c>
      <c r="H147" s="3" t="n">
        <v>5.91997</v>
      </c>
      <c r="I147" s="3" t="n"/>
      <c r="J147" s="3" t="n"/>
      <c r="K147" s="3" t="n">
        <v>-4.89508</v>
      </c>
      <c r="L147" s="3" t="n"/>
      <c r="M147" s="3" t="inlineStr">
        <is>
          <t>no</t>
        </is>
      </c>
      <c r="N147" s="3" t="inlineStr">
        <is>
          <t>no designado (contraste C4: no hay svar_hd regional)</t>
        </is>
      </c>
      <c r="O147" s="3" t="inlineStr">
        <is>
          <t>CCAA: ranking por c_f·sign(dY) del panel FE (M8); asociacion, sin lectura causal; el factor comun es un resumen de comovimiento (pendiente ~1 mecanica, J23)</t>
        </is>
      </c>
      <c r="P147" s="3" t="inlineStr">
        <is>
          <t>output/v8/F5/regional_ranking.csv</t>
        </is>
      </c>
    </row>
    <row r="148">
      <c r="A148" s="3" t="inlineStr">
        <is>
          <t>alquiler</t>
        </is>
      </c>
      <c r="B148" s="3" t="inlineStr">
        <is>
          <t>ccaa:05</t>
        </is>
      </c>
      <c r="C148" s="3" t="inlineStr">
        <is>
          <t>P4</t>
        </is>
      </c>
      <c r="D148" s="3" t="inlineStr">
        <is>
          <t>factor_comun</t>
        </is>
      </c>
      <c r="E148" s="3" t="inlineStr">
        <is>
          <t>regional_panel</t>
        </is>
      </c>
      <c r="F148" s="3" t="inlineStr">
        <is>
          <t>panel_covariables</t>
        </is>
      </c>
      <c r="G148" s="3" t="n">
        <v>-4.82785</v>
      </c>
      <c r="H148" s="3" t="n">
        <v>98.62649999999999</v>
      </c>
      <c r="I148" s="3" t="n">
        <v>-8.01083</v>
      </c>
      <c r="J148" s="3" t="n">
        <v>-1.73403</v>
      </c>
      <c r="K148" s="3" t="n">
        <v>-4.89508</v>
      </c>
      <c r="L148" s="3" t="n"/>
      <c r="M148" s="3" t="inlineStr">
        <is>
          <t>no</t>
        </is>
      </c>
      <c r="N148" s="3" t="inlineStr">
        <is>
          <t>no designado (contraste C4: no hay svar_hd regional)</t>
        </is>
      </c>
      <c r="O148" s="3" t="inlineStr">
        <is>
          <t>CCAA: ranking por c_f·sign(dY) del panel FE (M8); asociacion, sin lectura causal; el factor comun es un resumen de comovimiento (pendiente ~1 mecanica, J23)</t>
        </is>
      </c>
      <c r="P148" s="3" t="inlineStr">
        <is>
          <t>output/v8/F5/regional_ranking.csv</t>
        </is>
      </c>
    </row>
    <row r="149">
      <c r="A149" s="3" t="inlineStr">
        <is>
          <t>alquiler</t>
        </is>
      </c>
      <c r="B149" s="3" t="inlineStr">
        <is>
          <t>ccaa:05</t>
        </is>
      </c>
      <c r="C149" s="3" t="inlineStr">
        <is>
          <t>P4</t>
        </is>
      </c>
      <c r="D149" s="3" t="inlineStr">
        <is>
          <t>empleo_renta</t>
        </is>
      </c>
      <c r="E149" s="3" t="inlineStr">
        <is>
          <t>regional_panel</t>
        </is>
      </c>
      <c r="F149" s="3" t="inlineStr">
        <is>
          <t>panel_covariables</t>
        </is>
      </c>
      <c r="G149" s="3" t="n">
        <v>-0.0296925</v>
      </c>
      <c r="H149" s="3" t="n">
        <v>0.606579</v>
      </c>
      <c r="I149" s="3" t="n">
        <v>-0.257129</v>
      </c>
      <c r="J149" s="3" t="n">
        <v>0.0489979</v>
      </c>
      <c r="K149" s="3" t="n">
        <v>-4.89508</v>
      </c>
      <c r="L149" s="3" t="n">
        <v>1</v>
      </c>
      <c r="M149" s="3" t="inlineStr">
        <is>
          <t>si</t>
        </is>
      </c>
      <c r="N149" s="3" t="inlineStr">
        <is>
          <t>no designado (contraste C4: no hay svar_hd regional)</t>
        </is>
      </c>
      <c r="O149" s="3" t="inlineStr">
        <is>
          <t>CCAA: ranking por c_f·sign(dY) del panel FE (M8); asociacion, sin lectura causal; el factor comun es un resumen de comovimiento (pendiente ~1 mecanica, J23)</t>
        </is>
      </c>
      <c r="P149" s="3" t="inlineStr">
        <is>
          <t>output/v8/F5/regional_ranking.csv</t>
        </is>
      </c>
    </row>
    <row r="150">
      <c r="A150" s="3" t="inlineStr">
        <is>
          <t>alquiler</t>
        </is>
      </c>
      <c r="B150" s="3" t="inlineStr">
        <is>
          <t>ccaa:05</t>
        </is>
      </c>
      <c r="C150" s="3" t="inlineStr">
        <is>
          <t>P4</t>
        </is>
      </c>
      <c r="D150" s="3" t="inlineStr">
        <is>
          <t>demografia</t>
        </is>
      </c>
      <c r="E150" s="3" t="inlineStr">
        <is>
          <t>regional_panel</t>
        </is>
      </c>
      <c r="F150" s="3" t="inlineStr">
        <is>
          <t>panel_covariables</t>
        </is>
      </c>
      <c r="G150" s="3" t="n">
        <v>0.0817672</v>
      </c>
      <c r="H150" s="3" t="n">
        <v>-1.6704</v>
      </c>
      <c r="I150" s="3" t="n">
        <v>-0.231442</v>
      </c>
      <c r="J150" s="3" t="n">
        <v>0.250982</v>
      </c>
      <c r="K150" s="3" t="n">
        <v>-4.89508</v>
      </c>
      <c r="L150" s="3" t="n">
        <v>4</v>
      </c>
      <c r="M150" s="3" t="inlineStr">
        <is>
          <t>si</t>
        </is>
      </c>
      <c r="N150" s="3" t="inlineStr">
        <is>
          <t>no designado (contraste C4: no hay svar_hd regional)</t>
        </is>
      </c>
      <c r="O150" s="3" t="inlineStr">
        <is>
          <t>CCAA: ranking por c_f·sign(dY) del panel FE (M8); asociacion, sin lectura causal; el factor comun es un resumen de comovimiento (pendiente ~1 mecanica, J23)</t>
        </is>
      </c>
      <c r="P150" s="3" t="inlineStr">
        <is>
          <t>output/v8/F5/regional_ranking.csv</t>
        </is>
      </c>
    </row>
    <row r="151">
      <c r="A151" s="3" t="inlineStr">
        <is>
          <t>alquiler</t>
        </is>
      </c>
      <c r="B151" s="3" t="inlineStr">
        <is>
          <t>ccaa:05</t>
        </is>
      </c>
      <c r="C151" s="3" t="inlineStr">
        <is>
          <t>P4</t>
        </is>
      </c>
      <c r="D151" s="3" t="inlineStr">
        <is>
          <t>oferta</t>
        </is>
      </c>
      <c r="E151" s="3" t="inlineStr">
        <is>
          <t>regional_panel</t>
        </is>
      </c>
      <c r="F151" s="3" t="inlineStr">
        <is>
          <t>panel_covariables</t>
        </is>
      </c>
      <c r="G151" s="3" t="n">
        <v>-0.0029073</v>
      </c>
      <c r="H151" s="3" t="n">
        <v>0.0593923</v>
      </c>
      <c r="I151" s="3" t="n">
        <v>-0.0249643</v>
      </c>
      <c r="J151" s="3" t="n">
        <v>0.0178154</v>
      </c>
      <c r="K151" s="3" t="n">
        <v>-4.89508</v>
      </c>
      <c r="L151" s="3" t="n">
        <v>2</v>
      </c>
      <c r="M151" s="3" t="inlineStr">
        <is>
          <t>si</t>
        </is>
      </c>
      <c r="N151" s="3" t="inlineStr">
        <is>
          <t>no designado (contraste C4: no hay svar_hd regional)</t>
        </is>
      </c>
      <c r="O151" s="3" t="inlineStr">
        <is>
          <t>CCAA: ranking por c_f·sign(dY) del panel FE (M8); asociacion, sin lectura causal; el factor comun es un resumen de comovimiento (pendiente ~1 mecanica, J23)</t>
        </is>
      </c>
      <c r="P151" s="3" t="inlineStr">
        <is>
          <t>output/v8/F5/regional_ranking.csv</t>
        </is>
      </c>
    </row>
    <row r="152">
      <c r="A152" s="3" t="inlineStr">
        <is>
          <t>alquiler</t>
        </is>
      </c>
      <c r="B152" s="3" t="inlineStr">
        <is>
          <t>ccaa:05</t>
        </is>
      </c>
      <c r="C152" s="3" t="inlineStr">
        <is>
          <t>P4</t>
        </is>
      </c>
      <c r="D152" s="3" t="inlineStr">
        <is>
          <t>demanda_externa</t>
        </is>
      </c>
      <c r="E152" s="3" t="inlineStr">
        <is>
          <t>regional_panel</t>
        </is>
      </c>
      <c r="F152" s="3" t="inlineStr">
        <is>
          <t>panel_covariables</t>
        </is>
      </c>
      <c r="G152" s="3" t="n">
        <v>0.00572032</v>
      </c>
      <c r="H152" s="3" t="n">
        <v>-0.116859</v>
      </c>
      <c r="I152" s="3" t="n">
        <v>-0.0512252</v>
      </c>
      <c r="J152" s="3" t="n">
        <v>0.0268261</v>
      </c>
      <c r="K152" s="3" t="n">
        <v>-4.89508</v>
      </c>
      <c r="L152" s="3" t="n">
        <v>3</v>
      </c>
      <c r="M152" s="3" t="inlineStr">
        <is>
          <t>si</t>
        </is>
      </c>
      <c r="N152" s="3" t="inlineStr">
        <is>
          <t>no designado (contraste C4: no hay svar_hd regional)</t>
        </is>
      </c>
      <c r="O152" s="3" t="inlineStr">
        <is>
          <t>CCAA: ranking por c_f·sign(dY) del panel FE (M8); asociacion, sin lectura causal; el factor comun es un resumen de comovimiento (pendiente ~1 mecanica, J23)</t>
        </is>
      </c>
      <c r="P152" s="3" t="inlineStr">
        <is>
          <t>output/v8/F5/regional_ranking.csv</t>
        </is>
      </c>
    </row>
    <row r="153">
      <c r="A153" s="3" t="inlineStr">
        <is>
          <t>alquiler</t>
        </is>
      </c>
      <c r="B153" s="3" t="inlineStr">
        <is>
          <t>ccaa:05</t>
        </is>
      </c>
      <c r="C153" s="3" t="inlineStr">
        <is>
          <t>P4</t>
        </is>
      </c>
      <c r="D153" s="3" t="inlineStr">
        <is>
          <t>residuo</t>
        </is>
      </c>
      <c r="E153" s="3" t="inlineStr">
        <is>
          <t>regional_panel</t>
        </is>
      </c>
      <c r="F153" s="3" t="inlineStr">
        <is>
          <t>panel_covariables</t>
        </is>
      </c>
      <c r="G153" s="3" t="n">
        <v>-0.12212</v>
      </c>
      <c r="H153" s="3" t="n">
        <v>2.49475</v>
      </c>
      <c r="I153" s="3" t="n">
        <v>-0.232768</v>
      </c>
      <c r="J153" s="3" t="n">
        <v>0.214625</v>
      </c>
      <c r="K153" s="3" t="n">
        <v>-4.89508</v>
      </c>
      <c r="L153" s="3" t="n"/>
      <c r="M153" s="3" t="inlineStr">
        <is>
          <t>no</t>
        </is>
      </c>
      <c r="N153" s="3" t="inlineStr">
        <is>
          <t>no designado (contraste C4: no hay svar_hd regional)</t>
        </is>
      </c>
      <c r="O153" s="3" t="inlineStr">
        <is>
          <t>CCAA: ranking por c_f·sign(dY) del panel FE (M8); asociacion, sin lectura causal; el factor comun es un resumen de comovimiento (pendiente ~1 mecanica, J23)</t>
        </is>
      </c>
      <c r="P153" s="3" t="inlineStr">
        <is>
          <t>output/v8/F5/regional_ranking.csv</t>
        </is>
      </c>
    </row>
    <row r="154">
      <c r="A154" s="3" t="inlineStr">
        <is>
          <t>alquiler</t>
        </is>
      </c>
      <c r="B154" s="3" t="inlineStr">
        <is>
          <t>ccaa:05</t>
        </is>
      </c>
      <c r="C154" s="3" t="inlineStr">
        <is>
          <t>P5</t>
        </is>
      </c>
      <c r="D154" s="3" t="inlineStr">
        <is>
          <t>factor_comun</t>
        </is>
      </c>
      <c r="E154" s="3" t="inlineStr">
        <is>
          <t>regional_ccaa_ols</t>
        </is>
      </c>
      <c r="F154" s="3" t="inlineStr">
        <is>
          <t>ols_solo_factor</t>
        </is>
      </c>
      <c r="G154" s="3" t="n">
        <v>-5.68053</v>
      </c>
      <c r="H154" s="3" t="n">
        <v>109.158</v>
      </c>
      <c r="I154" s="3" t="n">
        <v>-8.54195</v>
      </c>
      <c r="J154" s="3" t="n">
        <v>-2.13434</v>
      </c>
      <c r="K154" s="3" t="n">
        <v>-4.93318</v>
      </c>
      <c r="L154" s="3" t="n"/>
      <c r="M154" s="3" t="inlineStr">
        <is>
          <t>no</t>
        </is>
      </c>
      <c r="N154" s="3" t="inlineStr">
        <is>
          <t>no designado (contraste C4: no hay svar_hd regional)</t>
        </is>
      </c>
      <c r="O154" s="3" t="inlineStr">
        <is>
          <t>CCAA: ranking por c_f·sign(dY) del panel FE (M8); asociacion, sin lectura causal; el factor comun es un resumen de comovimiento (pendiente ~1 mecanica, J23)</t>
        </is>
      </c>
      <c r="P154" s="3" t="inlineStr">
        <is>
          <t>output/v8/F5/regional_ranking.csv</t>
        </is>
      </c>
    </row>
    <row r="155">
      <c r="A155" s="3" t="inlineStr">
        <is>
          <t>alquiler</t>
        </is>
      </c>
      <c r="B155" s="3" t="inlineStr">
        <is>
          <t>ccaa:05</t>
        </is>
      </c>
      <c r="C155" s="3" t="inlineStr">
        <is>
          <t>P5</t>
        </is>
      </c>
      <c r="D155" s="3" t="inlineStr">
        <is>
          <t>residuo</t>
        </is>
      </c>
      <c r="E155" s="3" t="inlineStr">
        <is>
          <t>regional_ccaa_ols</t>
        </is>
      </c>
      <c r="F155" s="3" t="inlineStr">
        <is>
          <t>ols_solo_factor</t>
        </is>
      </c>
      <c r="G155" s="3" t="n">
        <v>0.476572</v>
      </c>
      <c r="H155" s="3" t="n">
        <v>-9.15788</v>
      </c>
      <c r="I155" s="3" t="n"/>
      <c r="J155" s="3" t="n"/>
      <c r="K155" s="3" t="n">
        <v>-4.93318</v>
      </c>
      <c r="L155" s="3" t="n"/>
      <c r="M155" s="3" t="inlineStr">
        <is>
          <t>no</t>
        </is>
      </c>
      <c r="N155" s="3" t="inlineStr">
        <is>
          <t>no designado (contraste C4: no hay svar_hd regional)</t>
        </is>
      </c>
      <c r="O155" s="3" t="inlineStr">
        <is>
          <t>CCAA: ranking por c_f·sign(dY) del panel FE (M8); asociacion, sin lectura causal; el factor comun es un resumen de comovimiento (pendiente ~1 mecanica, J23)</t>
        </is>
      </c>
      <c r="P155" s="3" t="inlineStr">
        <is>
          <t>output/v8/F5/regional_ranking.csv</t>
        </is>
      </c>
    </row>
    <row r="156">
      <c r="A156" s="3" t="inlineStr">
        <is>
          <t>alquiler</t>
        </is>
      </c>
      <c r="B156" s="3" t="inlineStr">
        <is>
          <t>ccaa:05</t>
        </is>
      </c>
      <c r="C156" s="3" t="inlineStr">
        <is>
          <t>P5</t>
        </is>
      </c>
      <c r="D156" s="3" t="inlineStr">
        <is>
          <t>factor_comun</t>
        </is>
      </c>
      <c r="E156" s="3" t="inlineStr">
        <is>
          <t>regional_panel</t>
        </is>
      </c>
      <c r="F156" s="3" t="inlineStr">
        <is>
          <t>panel_covariables</t>
        </is>
      </c>
      <c r="G156" s="3" t="n">
        <v>-5.47353</v>
      </c>
      <c r="H156" s="3" t="n">
        <v>110.953</v>
      </c>
      <c r="I156" s="3" t="n">
        <v>-7.50057</v>
      </c>
      <c r="J156" s="3" t="n">
        <v>-3.0519</v>
      </c>
      <c r="K156" s="3" t="n">
        <v>-4.93318</v>
      </c>
      <c r="L156" s="3" t="n"/>
      <c r="M156" s="3" t="inlineStr">
        <is>
          <t>no</t>
        </is>
      </c>
      <c r="N156" s="3" t="inlineStr">
        <is>
          <t>no designado (contraste C4: no hay svar_hd regional)</t>
        </is>
      </c>
      <c r="O156" s="3" t="inlineStr">
        <is>
          <t>CCAA: ranking por c_f·sign(dY) del panel FE (M8); asociacion, sin lectura causal; el factor comun es un resumen de comovimiento (pendiente ~1 mecanica, J23)</t>
        </is>
      </c>
      <c r="P156" s="3" t="inlineStr">
        <is>
          <t>output/v8/F5/regional_ranking.csv</t>
        </is>
      </c>
    </row>
    <row r="157">
      <c r="A157" s="3" t="inlineStr">
        <is>
          <t>alquiler</t>
        </is>
      </c>
      <c r="B157" s="3" t="inlineStr">
        <is>
          <t>ccaa:05</t>
        </is>
      </c>
      <c r="C157" s="3" t="inlineStr">
        <is>
          <t>P5</t>
        </is>
      </c>
      <c r="D157" s="3" t="inlineStr">
        <is>
          <t>empleo_renta</t>
        </is>
      </c>
      <c r="E157" s="3" t="inlineStr">
        <is>
          <t>regional_panel</t>
        </is>
      </c>
      <c r="F157" s="3" t="inlineStr">
        <is>
          <t>panel_covariables</t>
        </is>
      </c>
      <c r="G157" s="3" t="n">
        <v>-0.184254</v>
      </c>
      <c r="H157" s="3" t="n">
        <v>3.73499</v>
      </c>
      <c r="I157" s="3" t="n">
        <v>-0.354323</v>
      </c>
      <c r="J157" s="3" t="n">
        <v>-0.0640428</v>
      </c>
      <c r="K157" s="3" t="n">
        <v>-4.93318</v>
      </c>
      <c r="L157" s="3" t="n">
        <v>1</v>
      </c>
      <c r="M157" s="3" t="inlineStr">
        <is>
          <t>si</t>
        </is>
      </c>
      <c r="N157" s="3" t="inlineStr">
        <is>
          <t>no designado (contraste C4: no hay svar_hd regional)</t>
        </is>
      </c>
      <c r="O157" s="3" t="inlineStr">
        <is>
          <t>CCAA: ranking por c_f·sign(dY) del panel FE (M8); asociacion, sin lectura causal; el factor comun es un resumen de comovimiento (pendiente ~1 mecanica, J23)</t>
        </is>
      </c>
      <c r="P157" s="3" t="inlineStr">
        <is>
          <t>output/v8/F5/regional_ranking.csv</t>
        </is>
      </c>
    </row>
    <row r="158">
      <c r="A158" s="3" t="inlineStr">
        <is>
          <t>alquiler</t>
        </is>
      </c>
      <c r="B158" s="3" t="inlineStr">
        <is>
          <t>ccaa:05</t>
        </is>
      </c>
      <c r="C158" s="3" t="inlineStr">
        <is>
          <t>P5</t>
        </is>
      </c>
      <c r="D158" s="3" t="inlineStr">
        <is>
          <t>demografia</t>
        </is>
      </c>
      <c r="E158" s="3" t="inlineStr">
        <is>
          <t>regional_panel</t>
        </is>
      </c>
      <c r="F158" s="3" t="inlineStr">
        <is>
          <t>panel_covariables</t>
        </is>
      </c>
      <c r="G158" s="3" t="n">
        <v>0.428549</v>
      </c>
      <c r="H158" s="3" t="n">
        <v>-8.68707</v>
      </c>
      <c r="I158" s="3" t="n">
        <v>0.0276422</v>
      </c>
      <c r="J158" s="3" t="n">
        <v>1.08207</v>
      </c>
      <c r="K158" s="3" t="n">
        <v>-4.93318</v>
      </c>
      <c r="L158" s="3" t="n">
        <v>4</v>
      </c>
      <c r="M158" s="3" t="inlineStr">
        <is>
          <t>si</t>
        </is>
      </c>
      <c r="N158" s="3" t="inlineStr">
        <is>
          <t>no designado (contraste C4: no hay svar_hd regional)</t>
        </is>
      </c>
      <c r="O158" s="3" t="inlineStr">
        <is>
          <t>CCAA: ranking por c_f·sign(dY) del panel FE (M8); asociacion, sin lectura causal; el factor comun es un resumen de comovimiento (pendiente ~1 mecanica, J23)</t>
        </is>
      </c>
      <c r="P158" s="3" t="inlineStr">
        <is>
          <t>output/v8/F5/regional_ranking.csv</t>
        </is>
      </c>
    </row>
    <row r="159">
      <c r="A159" s="3" t="inlineStr">
        <is>
          <t>alquiler</t>
        </is>
      </c>
      <c r="B159" s="3" t="inlineStr">
        <is>
          <t>ccaa:05</t>
        </is>
      </c>
      <c r="C159" s="3" t="inlineStr">
        <is>
          <t>P5</t>
        </is>
      </c>
      <c r="D159" s="3" t="inlineStr">
        <is>
          <t>oferta</t>
        </is>
      </c>
      <c r="E159" s="3" t="inlineStr">
        <is>
          <t>regional_panel</t>
        </is>
      </c>
      <c r="F159" s="3" t="inlineStr">
        <is>
          <t>panel_covariables</t>
        </is>
      </c>
      <c r="G159" s="3" t="n">
        <v>-0.0156951</v>
      </c>
      <c r="H159" s="3" t="n">
        <v>0.318154</v>
      </c>
      <c r="I159" s="3" t="n">
        <v>-0.0352212</v>
      </c>
      <c r="J159" s="3" t="n">
        <v>0.0114535</v>
      </c>
      <c r="K159" s="3" t="n">
        <v>-4.93318</v>
      </c>
      <c r="L159" s="3" t="n">
        <v>3</v>
      </c>
      <c r="M159" s="3" t="inlineStr">
        <is>
          <t>si</t>
        </is>
      </c>
      <c r="N159" s="3" t="inlineStr">
        <is>
          <t>no designado (contraste C4: no hay svar_hd regional)</t>
        </is>
      </c>
      <c r="O159" s="3" t="inlineStr">
        <is>
          <t>CCAA: ranking por c_f·sign(dY) del panel FE (M8); asociacion, sin lectura causal; el factor comun es un resumen de comovimiento (pendiente ~1 mecanica, J23)</t>
        </is>
      </c>
      <c r="P159" s="3" t="inlineStr">
        <is>
          <t>output/v8/F5/regional_ranking.csv</t>
        </is>
      </c>
    </row>
    <row r="160">
      <c r="A160" s="3" t="inlineStr">
        <is>
          <t>alquiler</t>
        </is>
      </c>
      <c r="B160" s="3" t="inlineStr">
        <is>
          <t>ccaa:05</t>
        </is>
      </c>
      <c r="C160" s="3" t="inlineStr">
        <is>
          <t>P5</t>
        </is>
      </c>
      <c r="D160" s="3" t="inlineStr">
        <is>
          <t>demanda_externa</t>
        </is>
      </c>
      <c r="E160" s="3" t="inlineStr">
        <is>
          <t>regional_panel</t>
        </is>
      </c>
      <c r="F160" s="3" t="inlineStr">
        <is>
          <t>panel_covariables</t>
        </is>
      </c>
      <c r="G160" s="3" t="n">
        <v>-0.0236442</v>
      </c>
      <c r="H160" s="3" t="n">
        <v>0.479289</v>
      </c>
      <c r="I160" s="3" t="n">
        <v>-0.0911023</v>
      </c>
      <c r="J160" s="3" t="n">
        <v>0.0216697</v>
      </c>
      <c r="K160" s="3" t="n">
        <v>-4.93318</v>
      </c>
      <c r="L160" s="3" t="n">
        <v>2</v>
      </c>
      <c r="M160" s="3" t="inlineStr">
        <is>
          <t>si</t>
        </is>
      </c>
      <c r="N160" s="3" t="inlineStr">
        <is>
          <t>no designado (contraste C4: no hay svar_hd regional)</t>
        </is>
      </c>
      <c r="O160" s="3" t="inlineStr">
        <is>
          <t>CCAA: ranking por c_f·sign(dY) del panel FE (M8); asociacion, sin lectura causal; el factor comun es un resumen de comovimiento (pendiente ~1 mecanica, J23)</t>
        </is>
      </c>
      <c r="P160" s="3" t="inlineStr">
        <is>
          <t>output/v8/F5/regional_ranking.csv</t>
        </is>
      </c>
    </row>
    <row r="161">
      <c r="A161" s="3" t="inlineStr">
        <is>
          <t>alquiler</t>
        </is>
      </c>
      <c r="B161" s="3" t="inlineStr">
        <is>
          <t>ccaa:05</t>
        </is>
      </c>
      <c r="C161" s="3" t="inlineStr">
        <is>
          <t>P5</t>
        </is>
      </c>
      <c r="D161" s="3" t="inlineStr">
        <is>
          <t>residuo</t>
        </is>
      </c>
      <c r="E161" s="3" t="inlineStr">
        <is>
          <t>regional_panel</t>
        </is>
      </c>
      <c r="F161" s="3" t="inlineStr">
        <is>
          <t>panel_covariables</t>
        </is>
      </c>
      <c r="G161" s="3" t="n">
        <v>0.335396</v>
      </c>
      <c r="H161" s="3" t="n">
        <v>-6.79877</v>
      </c>
      <c r="I161" s="3" t="n">
        <v>-0.158706</v>
      </c>
      <c r="J161" s="3" t="n">
        <v>0.7925450000000001</v>
      </c>
      <c r="K161" s="3" t="n">
        <v>-4.93318</v>
      </c>
      <c r="L161" s="3" t="n"/>
      <c r="M161" s="3" t="inlineStr">
        <is>
          <t>no</t>
        </is>
      </c>
      <c r="N161" s="3" t="inlineStr">
        <is>
          <t>no designado (contraste C4: no hay svar_hd regional)</t>
        </is>
      </c>
      <c r="O161" s="3" t="inlineStr">
        <is>
          <t>CCAA: ranking por c_f·sign(dY) del panel FE (M8); asociacion, sin lectura causal; el factor comun es un resumen de comovimiento (pendiente ~1 mecanica, J23)</t>
        </is>
      </c>
      <c r="P161" s="3" t="inlineStr">
        <is>
          <t>output/v8/F5/regional_ranking.csv</t>
        </is>
      </c>
    </row>
    <row r="162">
      <c r="A162" s="3" t="inlineStr">
        <is>
          <t>alquiler</t>
        </is>
      </c>
      <c r="B162" s="3" t="inlineStr">
        <is>
          <t>ccaa:06</t>
        </is>
      </c>
      <c r="C162" s="3" t="inlineStr">
        <is>
          <t>P2</t>
        </is>
      </c>
      <c r="D162" s="3" t="inlineStr">
        <is>
          <t>factor_comun</t>
        </is>
      </c>
      <c r="E162" s="3" t="inlineStr">
        <is>
          <t>regional_ccaa_ols</t>
        </is>
      </c>
      <c r="F162" s="3" t="inlineStr">
        <is>
          <t>ols_solo_factor</t>
        </is>
      </c>
      <c r="G162" s="3" t="n">
        <v>-4.47372</v>
      </c>
      <c r="H162" s="3" t="n">
        <v>-348.21</v>
      </c>
      <c r="I162" s="3" t="n">
        <v>-9.911580000000001</v>
      </c>
      <c r="J162" s="3" t="n">
        <v>0.731949</v>
      </c>
      <c r="K162" s="3" t="n">
        <v>-0.109582</v>
      </c>
      <c r="L162" s="3" t="n"/>
      <c r="M162" s="3" t="inlineStr">
        <is>
          <t>no</t>
        </is>
      </c>
      <c r="N162" s="3" t="inlineStr">
        <is>
          <t>no designado (contraste C4: no hay svar_hd regional)</t>
        </is>
      </c>
      <c r="O162" s="3" t="inlineStr">
        <is>
          <t>CCAA: ranking por c_f·sign(dY) del panel FE (M8); asociacion, sin lectura causal; el factor comun es un resumen de comovimiento (pendiente ~1 mecanica, J23)</t>
        </is>
      </c>
      <c r="P162" s="3" t="inlineStr">
        <is>
          <t>output/v8/F5/regional_ranking.csv</t>
        </is>
      </c>
    </row>
    <row r="163">
      <c r="A163" s="3" t="inlineStr">
        <is>
          <t>alquiler</t>
        </is>
      </c>
      <c r="B163" s="3" t="inlineStr">
        <is>
          <t>ccaa:06</t>
        </is>
      </c>
      <c r="C163" s="3" t="inlineStr">
        <is>
          <t>P2</t>
        </is>
      </c>
      <c r="D163" s="3" t="inlineStr">
        <is>
          <t>residuo</t>
        </is>
      </c>
      <c r="E163" s="3" t="inlineStr">
        <is>
          <t>regional_ccaa_ols</t>
        </is>
      </c>
      <c r="F163" s="3" t="inlineStr">
        <is>
          <t>ols_solo_factor</t>
        </is>
      </c>
      <c r="G163" s="3" t="n">
        <v>5.7585</v>
      </c>
      <c r="H163" s="3" t="n">
        <v>448.21</v>
      </c>
      <c r="I163" s="3" t="n"/>
      <c r="J163" s="3" t="n"/>
      <c r="K163" s="3" t="n">
        <v>-0.109582</v>
      </c>
      <c r="L163" s="3" t="n"/>
      <c r="M163" s="3" t="inlineStr">
        <is>
          <t>no</t>
        </is>
      </c>
      <c r="N163" s="3" t="inlineStr">
        <is>
          <t>no designado (contraste C4: no hay svar_hd regional)</t>
        </is>
      </c>
      <c r="O163" s="3" t="inlineStr">
        <is>
          <t>CCAA: ranking por c_f·sign(dY) del panel FE (M8); asociacion, sin lectura causal; el factor comun es un resumen de comovimiento (pendiente ~1 mecanica, J23)</t>
        </is>
      </c>
      <c r="P163" s="3" t="inlineStr">
        <is>
          <t>output/v8/F5/regional_ranking.csv</t>
        </is>
      </c>
    </row>
    <row r="164">
      <c r="A164" s="3" t="inlineStr">
        <is>
          <t>alquiler</t>
        </is>
      </c>
      <c r="B164" s="3" t="inlineStr">
        <is>
          <t>ccaa:06</t>
        </is>
      </c>
      <c r="C164" s="3" t="inlineStr">
        <is>
          <t>P2</t>
        </is>
      </c>
      <c r="D164" s="3" t="inlineStr">
        <is>
          <t>factor_comun</t>
        </is>
      </c>
      <c r="E164" s="3" t="inlineStr">
        <is>
          <t>regional_panel</t>
        </is>
      </c>
      <c r="F164" s="3" t="inlineStr">
        <is>
          <t>panel_covariables</t>
        </is>
      </c>
      <c r="G164" s="3" t="n">
        <v>-3.50963</v>
      </c>
      <c r="H164" s="3" t="n">
        <v>3202.73</v>
      </c>
      <c r="I164" s="3" t="n">
        <v>-7.73728</v>
      </c>
      <c r="J164" s="3" t="n">
        <v>0.660335</v>
      </c>
      <c r="K164" s="3" t="n">
        <v>-0.109582</v>
      </c>
      <c r="L164" s="3" t="n"/>
      <c r="M164" s="3" t="inlineStr">
        <is>
          <t>no</t>
        </is>
      </c>
      <c r="N164" s="3" t="inlineStr">
        <is>
          <t>no designado (contraste C4: no hay svar_hd regional)</t>
        </is>
      </c>
      <c r="O164" s="3" t="inlineStr">
        <is>
          <t>CCAA: ranking por c_f·sign(dY) del panel FE (M8); asociacion, sin lectura causal; el factor comun es un resumen de comovimiento (pendiente ~1 mecanica, J23)</t>
        </is>
      </c>
      <c r="P164" s="3" t="inlineStr">
        <is>
          <t>output/v8/F5/regional_ranking.csv</t>
        </is>
      </c>
    </row>
    <row r="165">
      <c r="A165" s="3" t="inlineStr">
        <is>
          <t>alquiler</t>
        </is>
      </c>
      <c r="B165" s="3" t="inlineStr">
        <is>
          <t>ccaa:06</t>
        </is>
      </c>
      <c r="C165" s="3" t="inlineStr">
        <is>
          <t>P2</t>
        </is>
      </c>
      <c r="D165" s="3" t="inlineStr">
        <is>
          <t>empleo_renta</t>
        </is>
      </c>
      <c r="E165" s="3" t="inlineStr">
        <is>
          <t>regional_panel</t>
        </is>
      </c>
      <c r="F165" s="3" t="inlineStr">
        <is>
          <t>panel_covariables</t>
        </is>
      </c>
      <c r="G165" s="3" t="n">
        <v>0.0739267</v>
      </c>
      <c r="H165" s="3" t="n">
        <v>-67.4623</v>
      </c>
      <c r="I165" s="3" t="n">
        <v>-0.283849</v>
      </c>
      <c r="J165" s="3" t="n">
        <v>0.479358</v>
      </c>
      <c r="K165" s="3" t="n">
        <v>-0.109582</v>
      </c>
      <c r="L165" s="3" t="n">
        <v>2</v>
      </c>
      <c r="M165" s="3" t="inlineStr">
        <is>
          <t>si</t>
        </is>
      </c>
      <c r="N165" s="3" t="inlineStr">
        <is>
          <t>no designado (contraste C4: no hay svar_hd regional)</t>
        </is>
      </c>
      <c r="O165" s="3" t="inlineStr">
        <is>
          <t>CCAA: ranking por c_f·sign(dY) del panel FE (M8); asociacion, sin lectura causal; el factor comun es un resumen de comovimiento (pendiente ~1 mecanica, J23)</t>
        </is>
      </c>
      <c r="P165" s="3" t="inlineStr">
        <is>
          <t>output/v8/F5/regional_ranking.csv</t>
        </is>
      </c>
    </row>
    <row r="166">
      <c r="A166" s="3" t="inlineStr">
        <is>
          <t>alquiler</t>
        </is>
      </c>
      <c r="B166" s="3" t="inlineStr">
        <is>
          <t>ccaa:06</t>
        </is>
      </c>
      <c r="C166" s="3" t="inlineStr">
        <is>
          <t>P2</t>
        </is>
      </c>
      <c r="D166" s="3" t="inlineStr">
        <is>
          <t>demografia</t>
        </is>
      </c>
      <c r="E166" s="3" t="inlineStr">
        <is>
          <t>regional_panel</t>
        </is>
      </c>
      <c r="F166" s="3" t="inlineStr">
        <is>
          <t>panel_covariables</t>
        </is>
      </c>
      <c r="G166" s="3" t="n">
        <v>0.531093</v>
      </c>
      <c r="H166" s="3" t="n">
        <v>-484.652</v>
      </c>
      <c r="I166" s="3" t="n">
        <v>0.392112</v>
      </c>
      <c r="J166" s="3" t="n">
        <v>0.997242</v>
      </c>
      <c r="K166" s="3" t="n">
        <v>-0.109582</v>
      </c>
      <c r="L166" s="3" t="n">
        <v>4</v>
      </c>
      <c r="M166" s="3" t="inlineStr">
        <is>
          <t>si</t>
        </is>
      </c>
      <c r="N166" s="3" t="inlineStr">
        <is>
          <t>no designado (contraste C4: no hay svar_hd regional)</t>
        </is>
      </c>
      <c r="O166" s="3" t="inlineStr">
        <is>
          <t>CCAA: ranking por c_f·sign(dY) del panel FE (M8); asociacion, sin lectura causal; el factor comun es un resumen de comovimiento (pendiente ~1 mecanica, J23)</t>
        </is>
      </c>
      <c r="P166" s="3" t="inlineStr">
        <is>
          <t>output/v8/F5/regional_ranking.csv</t>
        </is>
      </c>
    </row>
    <row r="167">
      <c r="A167" s="3" t="inlineStr">
        <is>
          <t>alquiler</t>
        </is>
      </c>
      <c r="B167" s="3" t="inlineStr">
        <is>
          <t>ccaa:06</t>
        </is>
      </c>
      <c r="C167" s="3" t="inlineStr">
        <is>
          <t>P2</t>
        </is>
      </c>
      <c r="D167" s="3" t="inlineStr">
        <is>
          <t>oferta</t>
        </is>
      </c>
      <c r="E167" s="3" t="inlineStr">
        <is>
          <t>regional_panel</t>
        </is>
      </c>
      <c r="F167" s="3" t="inlineStr">
        <is>
          <t>panel_covariables</t>
        </is>
      </c>
      <c r="G167" s="3" t="n">
        <v>0.295585</v>
      </c>
      <c r="H167" s="3" t="n">
        <v>-269.738</v>
      </c>
      <c r="I167" s="3" t="n">
        <v>0.0022934</v>
      </c>
      <c r="J167" s="3" t="n">
        <v>0.899291</v>
      </c>
      <c r="K167" s="3" t="n">
        <v>-0.109582</v>
      </c>
      <c r="L167" s="3" t="n">
        <v>3</v>
      </c>
      <c r="M167" s="3" t="inlineStr">
        <is>
          <t>si</t>
        </is>
      </c>
      <c r="N167" s="3" t="inlineStr">
        <is>
          <t>no designado (contraste C4: no hay svar_hd regional)</t>
        </is>
      </c>
      <c r="O167" s="3" t="inlineStr">
        <is>
          <t>CCAA: ranking por c_f·sign(dY) del panel FE (M8); asociacion, sin lectura causal; el factor comun es un resumen de comovimiento (pendiente ~1 mecanica, J23)</t>
        </is>
      </c>
      <c r="P167" s="3" t="inlineStr">
        <is>
          <t>output/v8/F5/regional_ranking.csv</t>
        </is>
      </c>
    </row>
    <row r="168">
      <c r="A168" s="3" t="inlineStr">
        <is>
          <t>alquiler</t>
        </is>
      </c>
      <c r="B168" s="3" t="inlineStr">
        <is>
          <t>ccaa:06</t>
        </is>
      </c>
      <c r="C168" s="3" t="inlineStr">
        <is>
          <t>P2</t>
        </is>
      </c>
      <c r="D168" s="3" t="inlineStr">
        <is>
          <t>demanda_externa</t>
        </is>
      </c>
      <c r="E168" s="3" t="inlineStr">
        <is>
          <t>regional_panel</t>
        </is>
      </c>
      <c r="F168" s="3" t="inlineStr">
        <is>
          <t>panel_covariables</t>
        </is>
      </c>
      <c r="G168" s="3" t="n">
        <v>-0.0402204</v>
      </c>
      <c r="H168" s="3" t="n">
        <v>36.7034</v>
      </c>
      <c r="I168" s="3" t="n">
        <v>-0.0773412</v>
      </c>
      <c r="J168" s="3" t="n">
        <v>0.0601484</v>
      </c>
      <c r="K168" s="3" t="n">
        <v>-0.109582</v>
      </c>
      <c r="L168" s="3" t="n">
        <v>1</v>
      </c>
      <c r="M168" s="3" t="inlineStr">
        <is>
          <t>si</t>
        </is>
      </c>
      <c r="N168" s="3" t="inlineStr">
        <is>
          <t>no designado (contraste C4: no hay svar_hd regional)</t>
        </is>
      </c>
      <c r="O168" s="3" t="inlineStr">
        <is>
          <t>CCAA: ranking por c_f·sign(dY) del panel FE (M8); asociacion, sin lectura causal; el factor comun es un resumen de comovimiento (pendiente ~1 mecanica, J23)</t>
        </is>
      </c>
      <c r="P168" s="3" t="inlineStr">
        <is>
          <t>output/v8/F5/regional_ranking.csv</t>
        </is>
      </c>
    </row>
    <row r="169">
      <c r="A169" s="3" t="inlineStr">
        <is>
          <t>alquiler</t>
        </is>
      </c>
      <c r="B169" s="3" t="inlineStr">
        <is>
          <t>ccaa:06</t>
        </is>
      </c>
      <c r="C169" s="3" t="inlineStr">
        <is>
          <t>P2</t>
        </is>
      </c>
      <c r="D169" s="3" t="inlineStr">
        <is>
          <t>residuo</t>
        </is>
      </c>
      <c r="E169" s="3" t="inlineStr">
        <is>
          <t>regional_panel</t>
        </is>
      </c>
      <c r="F169" s="3" t="inlineStr">
        <is>
          <t>panel_covariables</t>
        </is>
      </c>
      <c r="G169" s="3" t="n">
        <v>2.53966</v>
      </c>
      <c r="H169" s="3" t="n">
        <v>-2317.58</v>
      </c>
      <c r="I169" s="3" t="n">
        <v>0.336586</v>
      </c>
      <c r="J169" s="3" t="n">
        <v>3.91683</v>
      </c>
      <c r="K169" s="3" t="n">
        <v>-0.109582</v>
      </c>
      <c r="L169" s="3" t="n"/>
      <c r="M169" s="3" t="inlineStr">
        <is>
          <t>no</t>
        </is>
      </c>
      <c r="N169" s="3" t="inlineStr">
        <is>
          <t>no designado (contraste C4: no hay svar_hd regional)</t>
        </is>
      </c>
      <c r="O169" s="3" t="inlineStr">
        <is>
          <t>CCAA: ranking por c_f·sign(dY) del panel FE (M8); asociacion, sin lectura causal; el factor comun es un resumen de comovimiento (pendiente ~1 mecanica, J23)</t>
        </is>
      </c>
      <c r="P169" s="3" t="inlineStr">
        <is>
          <t>output/v8/F5/regional_ranking.csv</t>
        </is>
      </c>
    </row>
    <row r="170">
      <c r="A170" s="3" t="inlineStr">
        <is>
          <t>alquiler</t>
        </is>
      </c>
      <c r="B170" s="3" t="inlineStr">
        <is>
          <t>ccaa:06</t>
        </is>
      </c>
      <c r="C170" s="3" t="inlineStr">
        <is>
          <t>P3</t>
        </is>
      </c>
      <c r="D170" s="3" t="inlineStr">
        <is>
          <t>factor_comun</t>
        </is>
      </c>
      <c r="E170" s="3" t="inlineStr">
        <is>
          <t>regional_ccaa_ols</t>
        </is>
      </c>
      <c r="F170" s="3" t="inlineStr">
        <is>
          <t>ols_solo_factor</t>
        </is>
      </c>
      <c r="G170" s="3" t="n">
        <v>-2.88582</v>
      </c>
      <c r="H170" s="3" t="n">
        <v>122.842</v>
      </c>
      <c r="I170" s="3" t="n">
        <v>-4.61833</v>
      </c>
      <c r="J170" s="3" t="n">
        <v>-1.35945</v>
      </c>
      <c r="K170" s="3" t="n">
        <v>-1.75751</v>
      </c>
      <c r="L170" s="3" t="n"/>
      <c r="M170" s="3" t="inlineStr">
        <is>
          <t>no</t>
        </is>
      </c>
      <c r="N170" s="3" t="inlineStr">
        <is>
          <t>no designado (contraste C4: no hay svar_hd regional)</t>
        </is>
      </c>
      <c r="O170" s="3" t="inlineStr">
        <is>
          <t>CCAA: ranking por c_f·sign(dY) del panel FE (M8); asociacion, sin lectura causal; el factor comun es un resumen de comovimiento (pendiente ~1 mecanica, J23)</t>
        </is>
      </c>
      <c r="P170" s="3" t="inlineStr">
        <is>
          <t>output/v8/F5/regional_ranking.csv</t>
        </is>
      </c>
    </row>
    <row r="171">
      <c r="A171" s="3" t="inlineStr">
        <is>
          <t>alquiler</t>
        </is>
      </c>
      <c r="B171" s="3" t="inlineStr">
        <is>
          <t>ccaa:06</t>
        </is>
      </c>
      <c r="C171" s="3" t="inlineStr">
        <is>
          <t>P3</t>
        </is>
      </c>
      <c r="D171" s="3" t="inlineStr">
        <is>
          <t>residuo</t>
        </is>
      </c>
      <c r="E171" s="3" t="inlineStr">
        <is>
          <t>regional_ccaa_ols</t>
        </is>
      </c>
      <c r="F171" s="3" t="inlineStr">
        <is>
          <t>ols_solo_factor</t>
        </is>
      </c>
      <c r="G171" s="3" t="n">
        <v>0.536613</v>
      </c>
      <c r="H171" s="3" t="n">
        <v>-22.8423</v>
      </c>
      <c r="I171" s="3" t="n"/>
      <c r="J171" s="3" t="n"/>
      <c r="K171" s="3" t="n">
        <v>-1.75751</v>
      </c>
      <c r="L171" s="3" t="n"/>
      <c r="M171" s="3" t="inlineStr">
        <is>
          <t>no</t>
        </is>
      </c>
      <c r="N171" s="3" t="inlineStr">
        <is>
          <t>no designado (contraste C4: no hay svar_hd regional)</t>
        </is>
      </c>
      <c r="O171" s="3" t="inlineStr">
        <is>
          <t>CCAA: ranking por c_f·sign(dY) del panel FE (M8); asociacion, sin lectura causal; el factor comun es un resumen de comovimiento (pendiente ~1 mecanica, J23)</t>
        </is>
      </c>
      <c r="P171" s="3" t="inlineStr">
        <is>
          <t>output/v8/F5/regional_ranking.csv</t>
        </is>
      </c>
    </row>
    <row r="172">
      <c r="A172" s="3" t="inlineStr">
        <is>
          <t>alquiler</t>
        </is>
      </c>
      <c r="B172" s="3" t="inlineStr">
        <is>
          <t>ccaa:06</t>
        </is>
      </c>
      <c r="C172" s="3" t="inlineStr">
        <is>
          <t>P3</t>
        </is>
      </c>
      <c r="D172" s="3" t="inlineStr">
        <is>
          <t>factor_comun</t>
        </is>
      </c>
      <c r="E172" s="3" t="inlineStr">
        <is>
          <t>regional_panel</t>
        </is>
      </c>
      <c r="F172" s="3" t="inlineStr">
        <is>
          <t>panel_covariables</t>
        </is>
      </c>
      <c r="G172" s="3" t="n">
        <v>-1.89168</v>
      </c>
      <c r="H172" s="3" t="n">
        <v>107.634</v>
      </c>
      <c r="I172" s="3" t="n">
        <v>-3.03018</v>
      </c>
      <c r="J172" s="3" t="n">
        <v>-0.7753910000000001</v>
      </c>
      <c r="K172" s="3" t="n">
        <v>-1.75751</v>
      </c>
      <c r="L172" s="3" t="n"/>
      <c r="M172" s="3" t="inlineStr">
        <is>
          <t>no</t>
        </is>
      </c>
      <c r="N172" s="3" t="inlineStr">
        <is>
          <t>no designado (contraste C4: no hay svar_hd regional)</t>
        </is>
      </c>
      <c r="O172" s="3" t="inlineStr">
        <is>
          <t>CCAA: ranking por c_f·sign(dY) del panel FE (M8); asociacion, sin lectura causal; el factor comun es un resumen de comovimiento (pendiente ~1 mecanica, J23)</t>
        </is>
      </c>
      <c r="P172" s="3" t="inlineStr">
        <is>
          <t>output/v8/F5/regional_ranking.csv</t>
        </is>
      </c>
    </row>
    <row r="173">
      <c r="A173" s="3" t="inlineStr">
        <is>
          <t>alquiler</t>
        </is>
      </c>
      <c r="B173" s="3" t="inlineStr">
        <is>
          <t>ccaa:06</t>
        </is>
      </c>
      <c r="C173" s="3" t="inlineStr">
        <is>
          <t>P3</t>
        </is>
      </c>
      <c r="D173" s="3" t="inlineStr">
        <is>
          <t>empleo_renta</t>
        </is>
      </c>
      <c r="E173" s="3" t="inlineStr">
        <is>
          <t>regional_panel</t>
        </is>
      </c>
      <c r="F173" s="3" t="inlineStr">
        <is>
          <t>panel_covariables</t>
        </is>
      </c>
      <c r="G173" s="3" t="n">
        <v>0.0567245</v>
      </c>
      <c r="H173" s="3" t="n">
        <v>-3.22756</v>
      </c>
      <c r="I173" s="3" t="n">
        <v>-0.127177</v>
      </c>
      <c r="J173" s="3" t="n">
        <v>0.197089</v>
      </c>
      <c r="K173" s="3" t="n">
        <v>-1.75751</v>
      </c>
      <c r="L173" s="3" t="n">
        <v>3</v>
      </c>
      <c r="M173" s="3" t="inlineStr">
        <is>
          <t>si</t>
        </is>
      </c>
      <c r="N173" s="3" t="inlineStr">
        <is>
          <t>no designado (contraste C4: no hay svar_hd regional)</t>
        </is>
      </c>
      <c r="O173" s="3" t="inlineStr">
        <is>
          <t>CCAA: ranking por c_f·sign(dY) del panel FE (M8); asociacion, sin lectura causal; el factor comun es un resumen de comovimiento (pendiente ~1 mecanica, J23)</t>
        </is>
      </c>
      <c r="P173" s="3" t="inlineStr">
        <is>
          <t>output/v8/F5/regional_ranking.csv</t>
        </is>
      </c>
    </row>
    <row r="174">
      <c r="A174" s="3" t="inlineStr">
        <is>
          <t>alquiler</t>
        </is>
      </c>
      <c r="B174" s="3" t="inlineStr">
        <is>
          <t>ccaa:06</t>
        </is>
      </c>
      <c r="C174" s="3" t="inlineStr">
        <is>
          <t>P3</t>
        </is>
      </c>
      <c r="D174" s="3" t="inlineStr">
        <is>
          <t>demografia</t>
        </is>
      </c>
      <c r="E174" s="3" t="inlineStr">
        <is>
          <t>regional_panel</t>
        </is>
      </c>
      <c r="F174" s="3" t="inlineStr">
        <is>
          <t>panel_covariables</t>
        </is>
      </c>
      <c r="G174" s="3" t="n">
        <v>-0.583051</v>
      </c>
      <c r="H174" s="3" t="n">
        <v>33.1749</v>
      </c>
      <c r="I174" s="3" t="n">
        <v>-0.832573</v>
      </c>
      <c r="J174" s="3" t="n">
        <v>-0.345699</v>
      </c>
      <c r="K174" s="3" t="n">
        <v>-1.75751</v>
      </c>
      <c r="L174" s="3" t="n">
        <v>1</v>
      </c>
      <c r="M174" s="3" t="inlineStr">
        <is>
          <t>si</t>
        </is>
      </c>
      <c r="N174" s="3" t="inlineStr">
        <is>
          <t>no designado (contraste C4: no hay svar_hd regional)</t>
        </is>
      </c>
      <c r="O174" s="3" t="inlineStr">
        <is>
          <t>CCAA: ranking por c_f·sign(dY) del panel FE (M8); asociacion, sin lectura causal; el factor comun es un resumen de comovimiento (pendiente ~1 mecanica, J23)</t>
        </is>
      </c>
      <c r="P174" s="3" t="inlineStr">
        <is>
          <t>output/v8/F5/regional_ranking.csv</t>
        </is>
      </c>
    </row>
    <row r="175">
      <c r="A175" s="3" t="inlineStr">
        <is>
          <t>alquiler</t>
        </is>
      </c>
      <c r="B175" s="3" t="inlineStr">
        <is>
          <t>ccaa:06</t>
        </is>
      </c>
      <c r="C175" s="3" t="inlineStr">
        <is>
          <t>P3</t>
        </is>
      </c>
      <c r="D175" s="3" t="inlineStr">
        <is>
          <t>oferta</t>
        </is>
      </c>
      <c r="E175" s="3" t="inlineStr">
        <is>
          <t>regional_panel</t>
        </is>
      </c>
      <c r="F175" s="3" t="inlineStr">
        <is>
          <t>panel_covariables</t>
        </is>
      </c>
      <c r="G175" s="3" t="n">
        <v>0.0377857</v>
      </c>
      <c r="H175" s="3" t="n">
        <v>-2.14996</v>
      </c>
      <c r="I175" s="3" t="n">
        <v>-0.00690033</v>
      </c>
      <c r="J175" s="3" t="n">
        <v>0.131327</v>
      </c>
      <c r="K175" s="3" t="n">
        <v>-1.75751</v>
      </c>
      <c r="L175" s="3" t="n">
        <v>2</v>
      </c>
      <c r="M175" s="3" t="inlineStr">
        <is>
          <t>si</t>
        </is>
      </c>
      <c r="N175" s="3" t="inlineStr">
        <is>
          <t>no designado (contraste C4: no hay svar_hd regional)</t>
        </is>
      </c>
      <c r="O175" s="3" t="inlineStr">
        <is>
          <t>CCAA: ranking por c_f·sign(dY) del panel FE (M8); asociacion, sin lectura causal; el factor comun es un resumen de comovimiento (pendiente ~1 mecanica, J23)</t>
        </is>
      </c>
      <c r="P175" s="3" t="inlineStr">
        <is>
          <t>output/v8/F5/regional_ranking.csv</t>
        </is>
      </c>
    </row>
    <row r="176">
      <c r="A176" s="3" t="inlineStr">
        <is>
          <t>alquiler</t>
        </is>
      </c>
      <c r="B176" s="3" t="inlineStr">
        <is>
          <t>ccaa:06</t>
        </is>
      </c>
      <c r="C176" s="3" t="inlineStr">
        <is>
          <t>P3</t>
        </is>
      </c>
      <c r="D176" s="3" t="inlineStr">
        <is>
          <t>demanda_externa</t>
        </is>
      </c>
      <c r="E176" s="3" t="inlineStr">
        <is>
          <t>regional_panel</t>
        </is>
      </c>
      <c r="F176" s="3" t="inlineStr">
        <is>
          <t>panel_covariables</t>
        </is>
      </c>
      <c r="G176" s="3" t="n">
        <v>0.163886</v>
      </c>
      <c r="H176" s="3" t="n">
        <v>-9.324920000000001</v>
      </c>
      <c r="I176" s="3" t="n">
        <v>0.0510019</v>
      </c>
      <c r="J176" s="3" t="n">
        <v>0.307161</v>
      </c>
      <c r="K176" s="3" t="n">
        <v>-1.75751</v>
      </c>
      <c r="L176" s="3" t="n">
        <v>4</v>
      </c>
      <c r="M176" s="3" t="inlineStr">
        <is>
          <t>si</t>
        </is>
      </c>
      <c r="N176" s="3" t="inlineStr">
        <is>
          <t>no designado (contraste C4: no hay svar_hd regional)</t>
        </is>
      </c>
      <c r="O176" s="3" t="inlineStr">
        <is>
          <t>CCAA: ranking por c_f·sign(dY) del panel FE (M8); asociacion, sin lectura causal; el factor comun es un resumen de comovimiento (pendiente ~1 mecanica, J23)</t>
        </is>
      </c>
      <c r="P176" s="3" t="inlineStr">
        <is>
          <t>output/v8/F5/regional_ranking.csv</t>
        </is>
      </c>
    </row>
    <row r="177">
      <c r="A177" s="3" t="inlineStr">
        <is>
          <t>alquiler</t>
        </is>
      </c>
      <c r="B177" s="3" t="inlineStr">
        <is>
          <t>ccaa:06</t>
        </is>
      </c>
      <c r="C177" s="3" t="inlineStr">
        <is>
          <t>P3</t>
        </is>
      </c>
      <c r="D177" s="3" t="inlineStr">
        <is>
          <t>residuo</t>
        </is>
      </c>
      <c r="E177" s="3" t="inlineStr">
        <is>
          <t>regional_panel</t>
        </is>
      </c>
      <c r="F177" s="3" t="inlineStr">
        <is>
          <t>panel_covariables</t>
        </is>
      </c>
      <c r="G177" s="3" t="n">
        <v>0.45883</v>
      </c>
      <c r="H177" s="3" t="n">
        <v>-26.1069</v>
      </c>
      <c r="I177" s="3" t="n">
        <v>-0.0521587</v>
      </c>
      <c r="J177" s="3" t="n">
        <v>0.986734</v>
      </c>
      <c r="K177" s="3" t="n">
        <v>-1.75751</v>
      </c>
      <c r="L177" s="3" t="n"/>
      <c r="M177" s="3" t="inlineStr">
        <is>
          <t>no</t>
        </is>
      </c>
      <c r="N177" s="3" t="inlineStr">
        <is>
          <t>no designado (contraste C4: no hay svar_hd regional)</t>
        </is>
      </c>
      <c r="O177" s="3" t="inlineStr">
        <is>
          <t>CCAA: ranking por c_f·sign(dY) del panel FE (M8); asociacion, sin lectura causal; el factor comun es un resumen de comovimiento (pendiente ~1 mecanica, J23)</t>
        </is>
      </c>
      <c r="P177" s="3" t="inlineStr">
        <is>
          <t>output/v8/F5/regional_ranking.csv</t>
        </is>
      </c>
    </row>
    <row r="178">
      <c r="A178" s="3" t="inlineStr">
        <is>
          <t>alquiler</t>
        </is>
      </c>
      <c r="B178" s="3" t="inlineStr">
        <is>
          <t>ccaa:06</t>
        </is>
      </c>
      <c r="C178" s="3" t="inlineStr">
        <is>
          <t>P4</t>
        </is>
      </c>
      <c r="D178" s="3" t="inlineStr">
        <is>
          <t>factor_comun</t>
        </is>
      </c>
      <c r="E178" s="3" t="inlineStr">
        <is>
          <t>regional_ccaa_ols</t>
        </is>
      </c>
      <c r="F178" s="3" t="inlineStr">
        <is>
          <t>ols_solo_factor</t>
        </is>
      </c>
      <c r="G178" s="3" t="n">
        <v>-4.38234</v>
      </c>
      <c r="H178" s="3" t="n">
        <v>77.9765</v>
      </c>
      <c r="I178" s="3" t="n">
        <v>-8.021929999999999</v>
      </c>
      <c r="J178" s="3" t="n">
        <v>-1.95836</v>
      </c>
      <c r="K178" s="3" t="n">
        <v>-5.62007</v>
      </c>
      <c r="L178" s="3" t="n"/>
      <c r="M178" s="3" t="inlineStr">
        <is>
          <t>no</t>
        </is>
      </c>
      <c r="N178" s="3" t="inlineStr">
        <is>
          <t>no designado (contraste C4: no hay svar_hd regional)</t>
        </is>
      </c>
      <c r="O178" s="3" t="inlineStr">
        <is>
          <t>CCAA: ranking por c_f·sign(dY) del panel FE (M8); asociacion, sin lectura causal; el factor comun es un resumen de comovimiento (pendiente ~1 mecanica, J23)</t>
        </is>
      </c>
      <c r="P178" s="3" t="inlineStr">
        <is>
          <t>output/v8/F5/regional_ranking.csv</t>
        </is>
      </c>
    </row>
    <row r="179">
      <c r="A179" s="3" t="inlineStr">
        <is>
          <t>alquiler</t>
        </is>
      </c>
      <c r="B179" s="3" t="inlineStr">
        <is>
          <t>ccaa:06</t>
        </is>
      </c>
      <c r="C179" s="3" t="inlineStr">
        <is>
          <t>P4</t>
        </is>
      </c>
      <c r="D179" s="3" t="inlineStr">
        <is>
          <t>residuo</t>
        </is>
      </c>
      <c r="E179" s="3" t="inlineStr">
        <is>
          <t>regional_ccaa_ols</t>
        </is>
      </c>
      <c r="F179" s="3" t="inlineStr">
        <is>
          <t>ols_solo_factor</t>
        </is>
      </c>
      <c r="G179" s="3" t="n">
        <v>-1.23774</v>
      </c>
      <c r="H179" s="3" t="n">
        <v>22.0235</v>
      </c>
      <c r="I179" s="3" t="n"/>
      <c r="J179" s="3" t="n"/>
      <c r="K179" s="3" t="n">
        <v>-5.62007</v>
      </c>
      <c r="L179" s="3" t="n"/>
      <c r="M179" s="3" t="inlineStr">
        <is>
          <t>no</t>
        </is>
      </c>
      <c r="N179" s="3" t="inlineStr">
        <is>
          <t>no designado (contraste C4: no hay svar_hd regional)</t>
        </is>
      </c>
      <c r="O179" s="3" t="inlineStr">
        <is>
          <t>CCAA: ranking por c_f·sign(dY) del panel FE (M8); asociacion, sin lectura causal; el factor comun es un resumen de comovimiento (pendiente ~1 mecanica, J23)</t>
        </is>
      </c>
      <c r="P179" s="3" t="inlineStr">
        <is>
          <t>output/v8/F5/regional_ranking.csv</t>
        </is>
      </c>
    </row>
    <row r="180">
      <c r="A180" s="3" t="inlineStr">
        <is>
          <t>alquiler</t>
        </is>
      </c>
      <c r="B180" s="3" t="inlineStr">
        <is>
          <t>ccaa:06</t>
        </is>
      </c>
      <c r="C180" s="3" t="inlineStr">
        <is>
          <t>P4</t>
        </is>
      </c>
      <c r="D180" s="3" t="inlineStr">
        <is>
          <t>factor_comun</t>
        </is>
      </c>
      <c r="E180" s="3" t="inlineStr">
        <is>
          <t>regional_panel</t>
        </is>
      </c>
      <c r="F180" s="3" t="inlineStr">
        <is>
          <t>panel_covariables</t>
        </is>
      </c>
      <c r="G180" s="3" t="n">
        <v>-4.82785</v>
      </c>
      <c r="H180" s="3" t="n">
        <v>85.9036</v>
      </c>
      <c r="I180" s="3" t="n">
        <v>-8.01083</v>
      </c>
      <c r="J180" s="3" t="n">
        <v>-1.73403</v>
      </c>
      <c r="K180" s="3" t="n">
        <v>-5.62007</v>
      </c>
      <c r="L180" s="3" t="n"/>
      <c r="M180" s="3" t="inlineStr">
        <is>
          <t>no</t>
        </is>
      </c>
      <c r="N180" s="3" t="inlineStr">
        <is>
          <t>no designado (contraste C4: no hay svar_hd regional)</t>
        </is>
      </c>
      <c r="O180" s="3" t="inlineStr">
        <is>
          <t>CCAA: ranking por c_f·sign(dY) del panel FE (M8); asociacion, sin lectura causal; el factor comun es un resumen de comovimiento (pendiente ~1 mecanica, J23)</t>
        </is>
      </c>
      <c r="P180" s="3" t="inlineStr">
        <is>
          <t>output/v8/F5/regional_ranking.csv</t>
        </is>
      </c>
    </row>
    <row r="181">
      <c r="A181" s="3" t="inlineStr">
        <is>
          <t>alquiler</t>
        </is>
      </c>
      <c r="B181" s="3" t="inlineStr">
        <is>
          <t>ccaa:06</t>
        </is>
      </c>
      <c r="C181" s="3" t="inlineStr">
        <is>
          <t>P4</t>
        </is>
      </c>
      <c r="D181" s="3" t="inlineStr">
        <is>
          <t>empleo_renta</t>
        </is>
      </c>
      <c r="E181" s="3" t="inlineStr">
        <is>
          <t>regional_panel</t>
        </is>
      </c>
      <c r="F181" s="3" t="inlineStr">
        <is>
          <t>panel_covariables</t>
        </is>
      </c>
      <c r="G181" s="3" t="n">
        <v>0.0171645</v>
      </c>
      <c r="H181" s="3" t="n">
        <v>-0.305415</v>
      </c>
      <c r="I181" s="3" t="n">
        <v>-0.0804952</v>
      </c>
      <c r="J181" s="3" t="n">
        <v>0.0525039</v>
      </c>
      <c r="K181" s="3" t="n">
        <v>-5.62007</v>
      </c>
      <c r="L181" s="3" t="n">
        <v>3</v>
      </c>
      <c r="M181" s="3" t="inlineStr">
        <is>
          <t>si</t>
        </is>
      </c>
      <c r="N181" s="3" t="inlineStr">
        <is>
          <t>no designado (contraste C4: no hay svar_hd regional)</t>
        </is>
      </c>
      <c r="O181" s="3" t="inlineStr">
        <is>
          <t>CCAA: ranking por c_f·sign(dY) del panel FE (M8); asociacion, sin lectura causal; el factor comun es un resumen de comovimiento (pendiente ~1 mecanica, J23)</t>
        </is>
      </c>
      <c r="P181" s="3" t="inlineStr">
        <is>
          <t>output/v8/F5/regional_ranking.csv</t>
        </is>
      </c>
    </row>
    <row r="182">
      <c r="A182" s="3" t="inlineStr">
        <is>
          <t>alquiler</t>
        </is>
      </c>
      <c r="B182" s="3" t="inlineStr">
        <is>
          <t>ccaa:06</t>
        </is>
      </c>
      <c r="C182" s="3" t="inlineStr">
        <is>
          <t>P4</t>
        </is>
      </c>
      <c r="D182" s="3" t="inlineStr">
        <is>
          <t>demografia</t>
        </is>
      </c>
      <c r="E182" s="3" t="inlineStr">
        <is>
          <t>regional_panel</t>
        </is>
      </c>
      <c r="F182" s="3" t="inlineStr">
        <is>
          <t>panel_covariables</t>
        </is>
      </c>
      <c r="G182" s="3" t="n">
        <v>0.369528</v>
      </c>
      <c r="H182" s="3" t="n">
        <v>-6.57514</v>
      </c>
      <c r="I182" s="3" t="n">
        <v>0.156908</v>
      </c>
      <c r="J182" s="3" t="n">
        <v>0.6299979999999999</v>
      </c>
      <c r="K182" s="3" t="n">
        <v>-5.62007</v>
      </c>
      <c r="L182" s="3" t="n">
        <v>4</v>
      </c>
      <c r="M182" s="3" t="inlineStr">
        <is>
          <t>si</t>
        </is>
      </c>
      <c r="N182" s="3" t="inlineStr">
        <is>
          <t>no designado (contraste C4: no hay svar_hd regional)</t>
        </is>
      </c>
      <c r="O182" s="3" t="inlineStr">
        <is>
          <t>CCAA: ranking por c_f·sign(dY) del panel FE (M8); asociacion, sin lectura causal; el factor comun es un resumen de comovimiento (pendiente ~1 mecanica, J23)</t>
        </is>
      </c>
      <c r="P182" s="3" t="inlineStr">
        <is>
          <t>output/v8/F5/regional_ranking.csv</t>
        </is>
      </c>
    </row>
    <row r="183">
      <c r="A183" s="3" t="inlineStr">
        <is>
          <t>alquiler</t>
        </is>
      </c>
      <c r="B183" s="3" t="inlineStr">
        <is>
          <t>ccaa:06</t>
        </is>
      </c>
      <c r="C183" s="3" t="inlineStr">
        <is>
          <t>P4</t>
        </is>
      </c>
      <c r="D183" s="3" t="inlineStr">
        <is>
          <t>oferta</t>
        </is>
      </c>
      <c r="E183" s="3" t="inlineStr">
        <is>
          <t>regional_panel</t>
        </is>
      </c>
      <c r="F183" s="3" t="inlineStr">
        <is>
          <t>panel_covariables</t>
        </is>
      </c>
      <c r="G183" s="3" t="n">
        <v>0.00482224</v>
      </c>
      <c r="H183" s="3" t="n">
        <v>-0.0858038</v>
      </c>
      <c r="I183" s="3" t="n">
        <v>-0.00919732</v>
      </c>
      <c r="J183" s="3" t="n">
        <v>0.0380432</v>
      </c>
      <c r="K183" s="3" t="n">
        <v>-5.62007</v>
      </c>
      <c r="L183" s="3" t="n">
        <v>1</v>
      </c>
      <c r="M183" s="3" t="inlineStr">
        <is>
          <t>si</t>
        </is>
      </c>
      <c r="N183" s="3" t="inlineStr">
        <is>
          <t>no designado (contraste C4: no hay svar_hd regional)</t>
        </is>
      </c>
      <c r="O183" s="3" t="inlineStr">
        <is>
          <t>CCAA: ranking por c_f·sign(dY) del panel FE (M8); asociacion, sin lectura causal; el factor comun es un resumen de comovimiento (pendiente ~1 mecanica, J23)</t>
        </is>
      </c>
      <c r="P183" s="3" t="inlineStr">
        <is>
          <t>output/v8/F5/regional_ranking.csv</t>
        </is>
      </c>
    </row>
    <row r="184">
      <c r="A184" s="3" t="inlineStr">
        <is>
          <t>alquiler</t>
        </is>
      </c>
      <c r="B184" s="3" t="inlineStr">
        <is>
          <t>ccaa:06</t>
        </is>
      </c>
      <c r="C184" s="3" t="inlineStr">
        <is>
          <t>P4</t>
        </is>
      </c>
      <c r="D184" s="3" t="inlineStr">
        <is>
          <t>demanda_externa</t>
        </is>
      </c>
      <c r="E184" s="3" t="inlineStr">
        <is>
          <t>regional_panel</t>
        </is>
      </c>
      <c r="F184" s="3" t="inlineStr">
        <is>
          <t>panel_covariables</t>
        </is>
      </c>
      <c r="G184" s="3" t="n">
        <v>0.00994186</v>
      </c>
      <c r="H184" s="3" t="n">
        <v>-0.176899</v>
      </c>
      <c r="I184" s="3" t="n">
        <v>-0.045314</v>
      </c>
      <c r="J184" s="3" t="n">
        <v>0.0377369</v>
      </c>
      <c r="K184" s="3" t="n">
        <v>-5.62007</v>
      </c>
      <c r="L184" s="3" t="n">
        <v>2</v>
      </c>
      <c r="M184" s="3" t="inlineStr">
        <is>
          <t>si</t>
        </is>
      </c>
      <c r="N184" s="3" t="inlineStr">
        <is>
          <t>no designado (contraste C4: no hay svar_hd regional)</t>
        </is>
      </c>
      <c r="O184" s="3" t="inlineStr">
        <is>
          <t>CCAA: ranking por c_f·sign(dY) del panel FE (M8); asociacion, sin lectura causal; el factor comun es un resumen de comovimiento (pendiente ~1 mecanica, J23)</t>
        </is>
      </c>
      <c r="P184" s="3" t="inlineStr">
        <is>
          <t>output/v8/F5/regional_ranking.csv</t>
        </is>
      </c>
    </row>
    <row r="185">
      <c r="A185" s="3" t="inlineStr">
        <is>
          <t>alquiler</t>
        </is>
      </c>
      <c r="B185" s="3" t="inlineStr">
        <is>
          <t>ccaa:06</t>
        </is>
      </c>
      <c r="C185" s="3" t="inlineStr">
        <is>
          <t>P4</t>
        </is>
      </c>
      <c r="D185" s="3" t="inlineStr">
        <is>
          <t>residuo</t>
        </is>
      </c>
      <c r="E185" s="3" t="inlineStr">
        <is>
          <t>regional_panel</t>
        </is>
      </c>
      <c r="F185" s="3" t="inlineStr">
        <is>
          <t>panel_covariables</t>
        </is>
      </c>
      <c r="G185" s="3" t="n">
        <v>-1.19368</v>
      </c>
      <c r="H185" s="3" t="n">
        <v>21.2396</v>
      </c>
      <c r="I185" s="3" t="n">
        <v>-1.67028</v>
      </c>
      <c r="J185" s="3" t="n">
        <v>-0.6909459999999999</v>
      </c>
      <c r="K185" s="3" t="n">
        <v>-5.62007</v>
      </c>
      <c r="L185" s="3" t="n"/>
      <c r="M185" s="3" t="inlineStr">
        <is>
          <t>no</t>
        </is>
      </c>
      <c r="N185" s="3" t="inlineStr">
        <is>
          <t>no designado (contraste C4: no hay svar_hd regional)</t>
        </is>
      </c>
      <c r="O185" s="3" t="inlineStr">
        <is>
          <t>CCAA: ranking por c_f·sign(dY) del panel FE (M8); asociacion, sin lectura causal; el factor comun es un resumen de comovimiento (pendiente ~1 mecanica, J23)</t>
        </is>
      </c>
      <c r="P185" s="3" t="inlineStr">
        <is>
          <t>output/v8/F5/regional_ranking.csv</t>
        </is>
      </c>
    </row>
    <row r="186">
      <c r="A186" s="3" t="inlineStr">
        <is>
          <t>alquiler</t>
        </is>
      </c>
      <c r="B186" s="3" t="inlineStr">
        <is>
          <t>ccaa:06</t>
        </is>
      </c>
      <c r="C186" s="3" t="inlineStr">
        <is>
          <t>P5</t>
        </is>
      </c>
      <c r="D186" s="3" t="inlineStr">
        <is>
          <t>factor_comun</t>
        </is>
      </c>
      <c r="E186" s="3" t="inlineStr">
        <is>
          <t>regional_ccaa_ols</t>
        </is>
      </c>
      <c r="F186" s="3" t="inlineStr">
        <is>
          <t>ols_solo_factor</t>
        </is>
      </c>
      <c r="G186" s="3" t="n">
        <v>-5.92308</v>
      </c>
      <c r="H186" s="3" t="n">
        <v>106.306</v>
      </c>
      <c r="I186" s="3" t="n">
        <v>-8.87703</v>
      </c>
      <c r="J186" s="3" t="n">
        <v>-3.19663</v>
      </c>
      <c r="K186" s="3" t="n">
        <v>-5.73357</v>
      </c>
      <c r="L186" s="3" t="n"/>
      <c r="M186" s="3" t="inlineStr">
        <is>
          <t>no</t>
        </is>
      </c>
      <c r="N186" s="3" t="inlineStr">
        <is>
          <t>no designado (contraste C4: no hay svar_hd regional)</t>
        </is>
      </c>
      <c r="O186" s="3" t="inlineStr">
        <is>
          <t>CCAA: ranking por c_f·sign(dY) del panel FE (M8); asociacion, sin lectura causal; el factor comun es un resumen de comovimiento (pendiente ~1 mecanica, J23)</t>
        </is>
      </c>
      <c r="P186" s="3" t="inlineStr">
        <is>
          <t>output/v8/F5/regional_ranking.csv</t>
        </is>
      </c>
    </row>
    <row r="187">
      <c r="A187" s="3" t="inlineStr">
        <is>
          <t>alquiler</t>
        </is>
      </c>
      <c r="B187" s="3" t="inlineStr">
        <is>
          <t>ccaa:06</t>
        </is>
      </c>
      <c r="C187" s="3" t="inlineStr">
        <is>
          <t>P5</t>
        </is>
      </c>
      <c r="D187" s="3" t="inlineStr">
        <is>
          <t>residuo</t>
        </is>
      </c>
      <c r="E187" s="3" t="inlineStr">
        <is>
          <t>regional_ccaa_ols</t>
        </is>
      </c>
      <c r="F187" s="3" t="inlineStr">
        <is>
          <t>ols_solo_factor</t>
        </is>
      </c>
      <c r="G187" s="3" t="n">
        <v>0.351345</v>
      </c>
      <c r="H187" s="3" t="n">
        <v>-6.30584</v>
      </c>
      <c r="I187" s="3" t="n"/>
      <c r="J187" s="3" t="n"/>
      <c r="K187" s="3" t="n">
        <v>-5.73357</v>
      </c>
      <c r="L187" s="3" t="n"/>
      <c r="M187" s="3" t="inlineStr">
        <is>
          <t>no</t>
        </is>
      </c>
      <c r="N187" s="3" t="inlineStr">
        <is>
          <t>no designado (contraste C4: no hay svar_hd regional)</t>
        </is>
      </c>
      <c r="O187" s="3" t="inlineStr">
        <is>
          <t>CCAA: ranking por c_f·sign(dY) del panel FE (M8); asociacion, sin lectura causal; el factor comun es un resumen de comovimiento (pendiente ~1 mecanica, J23)</t>
        </is>
      </c>
      <c r="P187" s="3" t="inlineStr">
        <is>
          <t>output/v8/F5/regional_ranking.csv</t>
        </is>
      </c>
    </row>
    <row r="188">
      <c r="A188" s="3" t="inlineStr">
        <is>
          <t>alquiler</t>
        </is>
      </c>
      <c r="B188" s="3" t="inlineStr">
        <is>
          <t>ccaa:06</t>
        </is>
      </c>
      <c r="C188" s="3" t="inlineStr">
        <is>
          <t>P5</t>
        </is>
      </c>
      <c r="D188" s="3" t="inlineStr">
        <is>
          <t>factor_comun</t>
        </is>
      </c>
      <c r="E188" s="3" t="inlineStr">
        <is>
          <t>regional_panel</t>
        </is>
      </c>
      <c r="F188" s="3" t="inlineStr">
        <is>
          <t>panel_covariables</t>
        </is>
      </c>
      <c r="G188" s="3" t="n">
        <v>-5.47353</v>
      </c>
      <c r="H188" s="3" t="n">
        <v>95.46469999999999</v>
      </c>
      <c r="I188" s="3" t="n">
        <v>-7.50057</v>
      </c>
      <c r="J188" s="3" t="n">
        <v>-3.0519</v>
      </c>
      <c r="K188" s="3" t="n">
        <v>-5.73357</v>
      </c>
      <c r="L188" s="3" t="n"/>
      <c r="M188" s="3" t="inlineStr">
        <is>
          <t>no</t>
        </is>
      </c>
      <c r="N188" s="3" t="inlineStr">
        <is>
          <t>no designado (contraste C4: no hay svar_hd regional)</t>
        </is>
      </c>
      <c r="O188" s="3" t="inlineStr">
        <is>
          <t>CCAA: ranking por c_f·sign(dY) del panel FE (M8); asociacion, sin lectura causal; el factor comun es un resumen de comovimiento (pendiente ~1 mecanica, J23)</t>
        </is>
      </c>
      <c r="P188" s="3" t="inlineStr">
        <is>
          <t>output/v8/F5/regional_ranking.csv</t>
        </is>
      </c>
    </row>
    <row r="189">
      <c r="A189" s="3" t="inlineStr">
        <is>
          <t>alquiler</t>
        </is>
      </c>
      <c r="B189" s="3" t="inlineStr">
        <is>
          <t>ccaa:06</t>
        </is>
      </c>
      <c r="C189" s="3" t="inlineStr">
        <is>
          <t>P5</t>
        </is>
      </c>
      <c r="D189" s="3" t="inlineStr">
        <is>
          <t>empleo_renta</t>
        </is>
      </c>
      <c r="E189" s="3" t="inlineStr">
        <is>
          <t>regional_panel</t>
        </is>
      </c>
      <c r="F189" s="3" t="inlineStr">
        <is>
          <t>panel_covariables</t>
        </is>
      </c>
      <c r="G189" s="3" t="n">
        <v>-0.0973499</v>
      </c>
      <c r="H189" s="3" t="n">
        <v>1.69789</v>
      </c>
      <c r="I189" s="3" t="n">
        <v>-0.127447</v>
      </c>
      <c r="J189" s="3" t="n">
        <v>-0.06173</v>
      </c>
      <c r="K189" s="3" t="n">
        <v>-5.73357</v>
      </c>
      <c r="L189" s="3" t="n">
        <v>1</v>
      </c>
      <c r="M189" s="3" t="inlineStr">
        <is>
          <t>si</t>
        </is>
      </c>
      <c r="N189" s="3" t="inlineStr">
        <is>
          <t>no designado (contraste C4: no hay svar_hd regional)</t>
        </is>
      </c>
      <c r="O189" s="3" t="inlineStr">
        <is>
          <t>CCAA: ranking por c_f·sign(dY) del panel FE (M8); asociacion, sin lectura causal; el factor comun es un resumen de comovimiento (pendiente ~1 mecanica, J23)</t>
        </is>
      </c>
      <c r="P189" s="3" t="inlineStr">
        <is>
          <t>output/v8/F5/regional_ranking.csv</t>
        </is>
      </c>
    </row>
    <row r="190">
      <c r="A190" s="3" t="inlineStr">
        <is>
          <t>alquiler</t>
        </is>
      </c>
      <c r="B190" s="3" t="inlineStr">
        <is>
          <t>ccaa:06</t>
        </is>
      </c>
      <c r="C190" s="3" t="inlineStr">
        <is>
          <t>P5</t>
        </is>
      </c>
      <c r="D190" s="3" t="inlineStr">
        <is>
          <t>demografia</t>
        </is>
      </c>
      <c r="E190" s="3" t="inlineStr">
        <is>
          <t>regional_panel</t>
        </is>
      </c>
      <c r="F190" s="3" t="inlineStr">
        <is>
          <t>panel_covariables</t>
        </is>
      </c>
      <c r="G190" s="3" t="n">
        <v>0.46166</v>
      </c>
      <c r="H190" s="3" t="n">
        <v>-8.051869999999999</v>
      </c>
      <c r="I190" s="3" t="n">
        <v>-0.112771</v>
      </c>
      <c r="J190" s="3" t="n">
        <v>1.02687</v>
      </c>
      <c r="K190" s="3" t="n">
        <v>-5.73357</v>
      </c>
      <c r="L190" s="3" t="n">
        <v>4</v>
      </c>
      <c r="M190" s="3" t="inlineStr">
        <is>
          <t>si</t>
        </is>
      </c>
      <c r="N190" s="3" t="inlineStr">
        <is>
          <t>no designado (contraste C4: no hay svar_hd regional)</t>
        </is>
      </c>
      <c r="O190" s="3" t="inlineStr">
        <is>
          <t>CCAA: ranking por c_f·sign(dY) del panel FE (M8); asociacion, sin lectura causal; el factor comun es un resumen de comovimiento (pendiente ~1 mecanica, J23)</t>
        </is>
      </c>
      <c r="P190" s="3" t="inlineStr">
        <is>
          <t>output/v8/F5/regional_ranking.csv</t>
        </is>
      </c>
    </row>
    <row r="191">
      <c r="A191" s="3" t="inlineStr">
        <is>
          <t>alquiler</t>
        </is>
      </c>
      <c r="B191" s="3" t="inlineStr">
        <is>
          <t>ccaa:06</t>
        </is>
      </c>
      <c r="C191" s="3" t="inlineStr">
        <is>
          <t>P5</t>
        </is>
      </c>
      <c r="D191" s="3" t="inlineStr">
        <is>
          <t>oferta</t>
        </is>
      </c>
      <c r="E191" s="3" t="inlineStr">
        <is>
          <t>regional_panel</t>
        </is>
      </c>
      <c r="F191" s="3" t="inlineStr">
        <is>
          <t>panel_covariables</t>
        </is>
      </c>
      <c r="G191" s="3" t="n">
        <v>-0.00543063</v>
      </c>
      <c r="H191" s="3" t="n">
        <v>0.09471640000000001</v>
      </c>
      <c r="I191" s="3" t="n">
        <v>-0.0351465</v>
      </c>
      <c r="J191" s="3" t="n">
        <v>0.00779031</v>
      </c>
      <c r="K191" s="3" t="n">
        <v>-5.73357</v>
      </c>
      <c r="L191" s="3" t="n">
        <v>2</v>
      </c>
      <c r="M191" s="3" t="inlineStr">
        <is>
          <t>si</t>
        </is>
      </c>
      <c r="N191" s="3" t="inlineStr">
        <is>
          <t>no designado (contraste C4: no hay svar_hd regional)</t>
        </is>
      </c>
      <c r="O191" s="3" t="inlineStr">
        <is>
          <t>CCAA: ranking por c_f·sign(dY) del panel FE (M8); asociacion, sin lectura causal; el factor comun es un resumen de comovimiento (pendiente ~1 mecanica, J23)</t>
        </is>
      </c>
      <c r="P191" s="3" t="inlineStr">
        <is>
          <t>output/v8/F5/regional_ranking.csv</t>
        </is>
      </c>
    </row>
    <row r="192">
      <c r="A192" s="3" t="inlineStr">
        <is>
          <t>alquiler</t>
        </is>
      </c>
      <c r="B192" s="3" t="inlineStr">
        <is>
          <t>ccaa:06</t>
        </is>
      </c>
      <c r="C192" s="3" t="inlineStr">
        <is>
          <t>P5</t>
        </is>
      </c>
      <c r="D192" s="3" t="inlineStr">
        <is>
          <t>demanda_externa</t>
        </is>
      </c>
      <c r="E192" s="3" t="inlineStr">
        <is>
          <t>regional_panel</t>
        </is>
      </c>
      <c r="F192" s="3" t="inlineStr">
        <is>
          <t>panel_covariables</t>
        </is>
      </c>
      <c r="G192" s="3" t="n">
        <v>0.0154897</v>
      </c>
      <c r="H192" s="3" t="n">
        <v>-0.270157</v>
      </c>
      <c r="I192" s="3" t="n">
        <v>-0.0413382</v>
      </c>
      <c r="J192" s="3" t="n">
        <v>0.124668</v>
      </c>
      <c r="K192" s="3" t="n">
        <v>-5.73357</v>
      </c>
      <c r="L192" s="3" t="n">
        <v>3</v>
      </c>
      <c r="M192" s="3" t="inlineStr">
        <is>
          <t>si</t>
        </is>
      </c>
      <c r="N192" s="3" t="inlineStr">
        <is>
          <t>no designado (contraste C4: no hay svar_hd regional)</t>
        </is>
      </c>
      <c r="O192" s="3" t="inlineStr">
        <is>
          <t>CCAA: ranking por c_f·sign(dY) del panel FE (M8); asociacion, sin lectura causal; el factor comun es un resumen de comovimiento (pendiente ~1 mecanica, J23)</t>
        </is>
      </c>
      <c r="P192" s="3" t="inlineStr">
        <is>
          <t>output/v8/F5/regional_ranking.csv</t>
        </is>
      </c>
    </row>
    <row r="193">
      <c r="A193" s="3" t="inlineStr">
        <is>
          <t>alquiler</t>
        </is>
      </c>
      <c r="B193" s="3" t="inlineStr">
        <is>
          <t>ccaa:06</t>
        </is>
      </c>
      <c r="C193" s="3" t="inlineStr">
        <is>
          <t>P5</t>
        </is>
      </c>
      <c r="D193" s="3" t="inlineStr">
        <is>
          <t>residuo</t>
        </is>
      </c>
      <c r="E193" s="3" t="inlineStr">
        <is>
          <t>regional_panel</t>
        </is>
      </c>
      <c r="F193" s="3" t="inlineStr">
        <is>
          <t>panel_covariables</t>
        </is>
      </c>
      <c r="G193" s="3" t="n">
        <v>-0.634406</v>
      </c>
      <c r="H193" s="3" t="n">
        <v>11.0648</v>
      </c>
      <c r="I193" s="3" t="n">
        <v>-1.26096</v>
      </c>
      <c r="J193" s="3" t="n">
        <v>-0.0407288</v>
      </c>
      <c r="K193" s="3" t="n">
        <v>-5.73357</v>
      </c>
      <c r="L193" s="3" t="n"/>
      <c r="M193" s="3" t="inlineStr">
        <is>
          <t>no</t>
        </is>
      </c>
      <c r="N193" s="3" t="inlineStr">
        <is>
          <t>no designado (contraste C4: no hay svar_hd regional)</t>
        </is>
      </c>
      <c r="O193" s="3" t="inlineStr">
        <is>
          <t>CCAA: ranking por c_f·sign(dY) del panel FE (M8); asociacion, sin lectura causal; el factor comun es un resumen de comovimiento (pendiente ~1 mecanica, J23)</t>
        </is>
      </c>
      <c r="P193" s="3" t="inlineStr">
        <is>
          <t>output/v8/F5/regional_ranking.csv</t>
        </is>
      </c>
    </row>
    <row r="194">
      <c r="A194" s="3" t="inlineStr">
        <is>
          <t>alquiler</t>
        </is>
      </c>
      <c r="B194" s="3" t="inlineStr">
        <is>
          <t>ccaa:07</t>
        </is>
      </c>
      <c r="C194" s="3" t="inlineStr">
        <is>
          <t>P2</t>
        </is>
      </c>
      <c r="D194" s="3" t="inlineStr">
        <is>
          <t>factor_comun</t>
        </is>
      </c>
      <c r="E194" s="3" t="inlineStr">
        <is>
          <t>regional_ccaa_ols</t>
        </is>
      </c>
      <c r="F194" s="3" t="inlineStr">
        <is>
          <t>ols_solo_factor</t>
        </is>
      </c>
      <c r="G194" s="3" t="n">
        <v>-2.86468</v>
      </c>
      <c r="H194" s="3" t="n">
        <v>121.941</v>
      </c>
      <c r="I194" s="3" t="n">
        <v>-6.14058</v>
      </c>
      <c r="J194" s="3" t="n">
        <v>0.775369</v>
      </c>
      <c r="K194" s="3" t="n">
        <v>-2.25187</v>
      </c>
      <c r="L194" s="3" t="n"/>
      <c r="M194" s="3" t="inlineStr">
        <is>
          <t>no</t>
        </is>
      </c>
      <c r="N194" s="3" t="inlineStr">
        <is>
          <t>no designado (contraste C4: no hay svar_hd regional)</t>
        </is>
      </c>
      <c r="O194" s="3" t="inlineStr">
        <is>
          <t>CCAA: ranking por c_f·sign(dY) del panel FE (M8); asociacion, sin lectura causal; el factor comun es un resumen de comovimiento (pendiente ~1 mecanica, J23)</t>
        </is>
      </c>
      <c r="P194" s="3" t="inlineStr">
        <is>
          <t>output/v8/F5/regional_ranking.csv</t>
        </is>
      </c>
    </row>
    <row r="195">
      <c r="A195" s="3" t="inlineStr">
        <is>
          <t>alquiler</t>
        </is>
      </c>
      <c r="B195" s="3" t="inlineStr">
        <is>
          <t>ccaa:07</t>
        </is>
      </c>
      <c r="C195" s="3" t="inlineStr">
        <is>
          <t>P2</t>
        </is>
      </c>
      <c r="D195" s="3" t="inlineStr">
        <is>
          <t>residuo</t>
        </is>
      </c>
      <c r="E195" s="3" t="inlineStr">
        <is>
          <t>regional_ccaa_ols</t>
        </is>
      </c>
      <c r="F195" s="3" t="inlineStr">
        <is>
          <t>ols_solo_factor</t>
        </is>
      </c>
      <c r="G195" s="3" t="n">
        <v>0.515444</v>
      </c>
      <c r="H195" s="3" t="n">
        <v>-21.9409</v>
      </c>
      <c r="I195" s="3" t="n"/>
      <c r="J195" s="3" t="n"/>
      <c r="K195" s="3" t="n">
        <v>-2.25187</v>
      </c>
      <c r="L195" s="3" t="n"/>
      <c r="M195" s="3" t="inlineStr">
        <is>
          <t>no</t>
        </is>
      </c>
      <c r="N195" s="3" t="inlineStr">
        <is>
          <t>no designado (contraste C4: no hay svar_hd regional)</t>
        </is>
      </c>
      <c r="O195" s="3" t="inlineStr">
        <is>
          <t>CCAA: ranking por c_f·sign(dY) del panel FE (M8); asociacion, sin lectura causal; el factor comun es un resumen de comovimiento (pendiente ~1 mecanica, J23)</t>
        </is>
      </c>
      <c r="P195" s="3" t="inlineStr">
        <is>
          <t>output/v8/F5/regional_ranking.csv</t>
        </is>
      </c>
    </row>
    <row r="196">
      <c r="A196" s="3" t="inlineStr">
        <is>
          <t>alquiler</t>
        </is>
      </c>
      <c r="B196" s="3" t="inlineStr">
        <is>
          <t>ccaa:07</t>
        </is>
      </c>
      <c r="C196" s="3" t="inlineStr">
        <is>
          <t>P2</t>
        </is>
      </c>
      <c r="D196" s="3" t="inlineStr">
        <is>
          <t>factor_comun</t>
        </is>
      </c>
      <c r="E196" s="3" t="inlineStr">
        <is>
          <t>regional_panel</t>
        </is>
      </c>
      <c r="F196" s="3" t="inlineStr">
        <is>
          <t>panel_covariables</t>
        </is>
      </c>
      <c r="G196" s="3" t="n">
        <v>-3.50963</v>
      </c>
      <c r="H196" s="3" t="n">
        <v>155.854</v>
      </c>
      <c r="I196" s="3" t="n">
        <v>-7.73728</v>
      </c>
      <c r="J196" s="3" t="n">
        <v>0.660335</v>
      </c>
      <c r="K196" s="3" t="n">
        <v>-2.25187</v>
      </c>
      <c r="L196" s="3" t="n"/>
      <c r="M196" s="3" t="inlineStr">
        <is>
          <t>no</t>
        </is>
      </c>
      <c r="N196" s="3" t="inlineStr">
        <is>
          <t>no designado (contraste C4: no hay svar_hd regional)</t>
        </is>
      </c>
      <c r="O196" s="3" t="inlineStr">
        <is>
          <t>CCAA: ranking por c_f·sign(dY) del panel FE (M8); asociacion, sin lectura causal; el factor comun es un resumen de comovimiento (pendiente ~1 mecanica, J23)</t>
        </is>
      </c>
      <c r="P196" s="3" t="inlineStr">
        <is>
          <t>output/v8/F5/regional_ranking.csv</t>
        </is>
      </c>
    </row>
    <row r="197">
      <c r="A197" s="3" t="inlineStr">
        <is>
          <t>alquiler</t>
        </is>
      </c>
      <c r="B197" s="3" t="inlineStr">
        <is>
          <t>ccaa:07</t>
        </is>
      </c>
      <c r="C197" s="3" t="inlineStr">
        <is>
          <t>P2</t>
        </is>
      </c>
      <c r="D197" s="3" t="inlineStr">
        <is>
          <t>empleo_renta</t>
        </is>
      </c>
      <c r="E197" s="3" t="inlineStr">
        <is>
          <t>regional_panel</t>
        </is>
      </c>
      <c r="F197" s="3" t="inlineStr">
        <is>
          <t>panel_covariables</t>
        </is>
      </c>
      <c r="G197" s="3" t="n">
        <v>0.07138949999999999</v>
      </c>
      <c r="H197" s="3" t="n">
        <v>-3.17023</v>
      </c>
      <c r="I197" s="3" t="n">
        <v>-0.246149</v>
      </c>
      <c r="J197" s="3" t="n">
        <v>0.434405</v>
      </c>
      <c r="K197" s="3" t="n">
        <v>-2.25187</v>
      </c>
      <c r="L197" s="3" t="n">
        <v>3</v>
      </c>
      <c r="M197" s="3" t="inlineStr">
        <is>
          <t>si</t>
        </is>
      </c>
      <c r="N197" s="3" t="inlineStr">
        <is>
          <t>no designado (contraste C4: no hay svar_hd regional)</t>
        </is>
      </c>
      <c r="O197" s="3" t="inlineStr">
        <is>
          <t>CCAA: ranking por c_f·sign(dY) del panel FE (M8); asociacion, sin lectura causal; el factor comun es un resumen de comovimiento (pendiente ~1 mecanica, J23)</t>
        </is>
      </c>
      <c r="P197" s="3" t="inlineStr">
        <is>
          <t>output/v8/F5/regional_ranking.csv</t>
        </is>
      </c>
    </row>
    <row r="198">
      <c r="A198" s="3" t="inlineStr">
        <is>
          <t>alquiler</t>
        </is>
      </c>
      <c r="B198" s="3" t="inlineStr">
        <is>
          <t>ccaa:07</t>
        </is>
      </c>
      <c r="C198" s="3" t="inlineStr">
        <is>
          <t>P2</t>
        </is>
      </c>
      <c r="D198" s="3" t="inlineStr">
        <is>
          <t>demografia</t>
        </is>
      </c>
      <c r="E198" s="3" t="inlineStr">
        <is>
          <t>regional_panel</t>
        </is>
      </c>
      <c r="F198" s="3" t="inlineStr">
        <is>
          <t>panel_covariables</t>
        </is>
      </c>
      <c r="G198" s="3" t="n">
        <v>-0.431352</v>
      </c>
      <c r="H198" s="3" t="n">
        <v>19.1553</v>
      </c>
      <c r="I198" s="3" t="n">
        <v>-0.604186</v>
      </c>
      <c r="J198" s="3" t="n">
        <v>-0.217857</v>
      </c>
      <c r="K198" s="3" t="n">
        <v>-2.25187</v>
      </c>
      <c r="L198" s="3" t="n">
        <v>1</v>
      </c>
      <c r="M198" s="3" t="inlineStr">
        <is>
          <t>si</t>
        </is>
      </c>
      <c r="N198" s="3" t="inlineStr">
        <is>
          <t>no designado (contraste C4: no hay svar_hd regional)</t>
        </is>
      </c>
      <c r="O198" s="3" t="inlineStr">
        <is>
          <t>CCAA: ranking por c_f·sign(dY) del panel FE (M8); asociacion, sin lectura causal; el factor comun es un resumen de comovimiento (pendiente ~1 mecanica, J23)</t>
        </is>
      </c>
      <c r="P198" s="3" t="inlineStr">
        <is>
          <t>output/v8/F5/regional_ranking.csv</t>
        </is>
      </c>
    </row>
    <row r="199">
      <c r="A199" s="3" t="inlineStr">
        <is>
          <t>alquiler</t>
        </is>
      </c>
      <c r="B199" s="3" t="inlineStr">
        <is>
          <t>ccaa:07</t>
        </is>
      </c>
      <c r="C199" s="3" t="inlineStr">
        <is>
          <t>P2</t>
        </is>
      </c>
      <c r="D199" s="3" t="inlineStr">
        <is>
          <t>oferta</t>
        </is>
      </c>
      <c r="E199" s="3" t="inlineStr">
        <is>
          <t>regional_panel</t>
        </is>
      </c>
      <c r="F199" s="3" t="inlineStr">
        <is>
          <t>panel_covariables</t>
        </is>
      </c>
      <c r="G199" s="3" t="n">
        <v>0.263903</v>
      </c>
      <c r="H199" s="3" t="n">
        <v>-11.7193</v>
      </c>
      <c r="I199" s="3" t="n">
        <v>0.0396127</v>
      </c>
      <c r="J199" s="3" t="n">
        <v>0.497976</v>
      </c>
      <c r="K199" s="3" t="n">
        <v>-2.25187</v>
      </c>
      <c r="L199" s="3" t="n">
        <v>4</v>
      </c>
      <c r="M199" s="3" t="inlineStr">
        <is>
          <t>si</t>
        </is>
      </c>
      <c r="N199" s="3" t="inlineStr">
        <is>
          <t>no designado (contraste C4: no hay svar_hd regional)</t>
        </is>
      </c>
      <c r="O199" s="3" t="inlineStr">
        <is>
          <t>CCAA: ranking por c_f·sign(dY) del panel FE (M8); asociacion, sin lectura causal; el factor comun es un resumen de comovimiento (pendiente ~1 mecanica, J23)</t>
        </is>
      </c>
      <c r="P199" s="3" t="inlineStr">
        <is>
          <t>output/v8/F5/regional_ranking.csv</t>
        </is>
      </c>
    </row>
    <row r="200">
      <c r="A200" s="3" t="inlineStr">
        <is>
          <t>alquiler</t>
        </is>
      </c>
      <c r="B200" s="3" t="inlineStr">
        <is>
          <t>ccaa:07</t>
        </is>
      </c>
      <c r="C200" s="3" t="inlineStr">
        <is>
          <t>P2</t>
        </is>
      </c>
      <c r="D200" s="3" t="inlineStr">
        <is>
          <t>demanda_externa</t>
        </is>
      </c>
      <c r="E200" s="3" t="inlineStr">
        <is>
          <t>regional_panel</t>
        </is>
      </c>
      <c r="F200" s="3" t="inlineStr">
        <is>
          <t>panel_covariables</t>
        </is>
      </c>
      <c r="G200" s="3" t="n">
        <v>-0.078071</v>
      </c>
      <c r="H200" s="3" t="n">
        <v>3.46694</v>
      </c>
      <c r="I200" s="3" t="n">
        <v>-0.1126</v>
      </c>
      <c r="J200" s="3" t="n">
        <v>0.0979395</v>
      </c>
      <c r="K200" s="3" t="n">
        <v>-2.25187</v>
      </c>
      <c r="L200" s="3" t="n">
        <v>2</v>
      </c>
      <c r="M200" s="3" t="inlineStr">
        <is>
          <t>si</t>
        </is>
      </c>
      <c r="N200" s="3" t="inlineStr">
        <is>
          <t>no designado (contraste C4: no hay svar_hd regional)</t>
        </is>
      </c>
      <c r="O200" s="3" t="inlineStr">
        <is>
          <t>CCAA: ranking por c_f·sign(dY) del panel FE (M8); asociacion, sin lectura causal; el factor comun es un resumen de comovimiento (pendiente ~1 mecanica, J23)</t>
        </is>
      </c>
      <c r="P200" s="3" t="inlineStr">
        <is>
          <t>output/v8/F5/regional_ranking.csv</t>
        </is>
      </c>
    </row>
    <row r="201">
      <c r="A201" s="3" t="inlineStr">
        <is>
          <t>alquiler</t>
        </is>
      </c>
      <c r="B201" s="3" t="inlineStr">
        <is>
          <t>ccaa:07</t>
        </is>
      </c>
      <c r="C201" s="3" t="inlineStr">
        <is>
          <t>P2</t>
        </is>
      </c>
      <c r="D201" s="3" t="inlineStr">
        <is>
          <t>residuo</t>
        </is>
      </c>
      <c r="E201" s="3" t="inlineStr">
        <is>
          <t>regional_panel</t>
        </is>
      </c>
      <c r="F201" s="3" t="inlineStr">
        <is>
          <t>panel_covariables</t>
        </is>
      </c>
      <c r="G201" s="3" t="n">
        <v>1.43188</v>
      </c>
      <c r="H201" s="3" t="n">
        <v>-63.5864</v>
      </c>
      <c r="I201" s="3" t="n">
        <v>0.438501</v>
      </c>
      <c r="J201" s="3" t="n">
        <v>2.17061</v>
      </c>
      <c r="K201" s="3" t="n">
        <v>-2.25187</v>
      </c>
      <c r="L201" s="3" t="n"/>
      <c r="M201" s="3" t="inlineStr">
        <is>
          <t>no</t>
        </is>
      </c>
      <c r="N201" s="3" t="inlineStr">
        <is>
          <t>no designado (contraste C4: no hay svar_hd regional)</t>
        </is>
      </c>
      <c r="O201" s="3" t="inlineStr">
        <is>
          <t>CCAA: ranking por c_f·sign(dY) del panel FE (M8); asociacion, sin lectura causal; el factor comun es un resumen de comovimiento (pendiente ~1 mecanica, J23)</t>
        </is>
      </c>
      <c r="P201" s="3" t="inlineStr">
        <is>
          <t>output/v8/F5/regional_ranking.csv</t>
        </is>
      </c>
    </row>
    <row r="202">
      <c r="A202" s="3" t="inlineStr">
        <is>
          <t>alquiler</t>
        </is>
      </c>
      <c r="B202" s="3" t="inlineStr">
        <is>
          <t>ccaa:07</t>
        </is>
      </c>
      <c r="C202" s="3" t="inlineStr">
        <is>
          <t>P3</t>
        </is>
      </c>
      <c r="D202" s="3" t="inlineStr">
        <is>
          <t>factor_comun</t>
        </is>
      </c>
      <c r="E202" s="3" t="inlineStr">
        <is>
          <t>regional_ccaa_ols</t>
        </is>
      </c>
      <c r="F202" s="3" t="inlineStr">
        <is>
          <t>ols_solo_factor</t>
        </is>
      </c>
      <c r="G202" s="3" t="n">
        <v>-2.21459</v>
      </c>
      <c r="H202" s="3" t="n">
        <v>77.3441</v>
      </c>
      <c r="I202" s="3" t="n">
        <v>-3.84331</v>
      </c>
      <c r="J202" s="3" t="n">
        <v>-1.04947</v>
      </c>
      <c r="K202" s="3" t="n">
        <v>-2.27188</v>
      </c>
      <c r="L202" s="3" t="n"/>
      <c r="M202" s="3" t="inlineStr">
        <is>
          <t>no</t>
        </is>
      </c>
      <c r="N202" s="3" t="inlineStr">
        <is>
          <t>no designado (contraste C4: no hay svar_hd regional)</t>
        </is>
      </c>
      <c r="O202" s="3" t="inlineStr">
        <is>
          <t>CCAA: ranking por c_f·sign(dY) del panel FE (M8); asociacion, sin lectura causal; el factor comun es un resumen de comovimiento (pendiente ~1 mecanica, J23)</t>
        </is>
      </c>
      <c r="P202" s="3" t="inlineStr">
        <is>
          <t>output/v8/F5/regional_ranking.csv</t>
        </is>
      </c>
    </row>
    <row r="203">
      <c r="A203" s="3" t="inlineStr">
        <is>
          <t>alquiler</t>
        </is>
      </c>
      <c r="B203" s="3" t="inlineStr">
        <is>
          <t>ccaa:07</t>
        </is>
      </c>
      <c r="C203" s="3" t="inlineStr">
        <is>
          <t>P3</t>
        </is>
      </c>
      <c r="D203" s="3" t="inlineStr">
        <is>
          <t>residuo</t>
        </is>
      </c>
      <c r="E203" s="3" t="inlineStr">
        <is>
          <t>regional_ccaa_ols</t>
        </is>
      </c>
      <c r="F203" s="3" t="inlineStr">
        <is>
          <t>ols_solo_factor</t>
        </is>
      </c>
      <c r="G203" s="3" t="n">
        <v>-0.648705</v>
      </c>
      <c r="H203" s="3" t="n">
        <v>22.6559</v>
      </c>
      <c r="I203" s="3" t="n"/>
      <c r="J203" s="3" t="n"/>
      <c r="K203" s="3" t="n">
        <v>-2.27188</v>
      </c>
      <c r="L203" s="3" t="n"/>
      <c r="M203" s="3" t="inlineStr">
        <is>
          <t>no</t>
        </is>
      </c>
      <c r="N203" s="3" t="inlineStr">
        <is>
          <t>no designado (contraste C4: no hay svar_hd regional)</t>
        </is>
      </c>
      <c r="O203" s="3" t="inlineStr">
        <is>
          <t>CCAA: ranking por c_f·sign(dY) del panel FE (M8); asociacion, sin lectura causal; el factor comun es un resumen de comovimiento (pendiente ~1 mecanica, J23)</t>
        </is>
      </c>
      <c r="P203" s="3" t="inlineStr">
        <is>
          <t>output/v8/F5/regional_ranking.csv</t>
        </is>
      </c>
    </row>
    <row r="204">
      <c r="A204" s="3" t="inlineStr">
        <is>
          <t>alquiler</t>
        </is>
      </c>
      <c r="B204" s="3" t="inlineStr">
        <is>
          <t>ccaa:07</t>
        </is>
      </c>
      <c r="C204" s="3" t="inlineStr">
        <is>
          <t>P3</t>
        </is>
      </c>
      <c r="D204" s="3" t="inlineStr">
        <is>
          <t>factor_comun</t>
        </is>
      </c>
      <c r="E204" s="3" t="inlineStr">
        <is>
          <t>regional_panel</t>
        </is>
      </c>
      <c r="F204" s="3" t="inlineStr">
        <is>
          <t>panel_covariables</t>
        </is>
      </c>
      <c r="G204" s="3" t="n">
        <v>-1.89168</v>
      </c>
      <c r="H204" s="3" t="n">
        <v>83.2651</v>
      </c>
      <c r="I204" s="3" t="n">
        <v>-3.03018</v>
      </c>
      <c r="J204" s="3" t="n">
        <v>-0.7753910000000001</v>
      </c>
      <c r="K204" s="3" t="n">
        <v>-2.27188</v>
      </c>
      <c r="L204" s="3" t="n"/>
      <c r="M204" s="3" t="inlineStr">
        <is>
          <t>no</t>
        </is>
      </c>
      <c r="N204" s="3" t="inlineStr">
        <is>
          <t>no designado (contraste C4: no hay svar_hd regional)</t>
        </is>
      </c>
      <c r="O204" s="3" t="inlineStr">
        <is>
          <t>CCAA: ranking por c_f·sign(dY) del panel FE (M8); asociacion, sin lectura causal; el factor comun es un resumen de comovimiento (pendiente ~1 mecanica, J23)</t>
        </is>
      </c>
      <c r="P204" s="3" t="inlineStr">
        <is>
          <t>output/v8/F5/regional_ranking.csv</t>
        </is>
      </c>
    </row>
    <row r="205">
      <c r="A205" s="3" t="inlineStr">
        <is>
          <t>alquiler</t>
        </is>
      </c>
      <c r="B205" s="3" t="inlineStr">
        <is>
          <t>ccaa:07</t>
        </is>
      </c>
      <c r="C205" s="3" t="inlineStr">
        <is>
          <t>P3</t>
        </is>
      </c>
      <c r="D205" s="3" t="inlineStr">
        <is>
          <t>empleo_renta</t>
        </is>
      </c>
      <c r="E205" s="3" t="inlineStr">
        <is>
          <t>regional_panel</t>
        </is>
      </c>
      <c r="F205" s="3" t="inlineStr">
        <is>
          <t>panel_covariables</t>
        </is>
      </c>
      <c r="G205" s="3" t="n">
        <v>0.009922530000000001</v>
      </c>
      <c r="H205" s="3" t="n">
        <v>-0.436754</v>
      </c>
      <c r="I205" s="3" t="n">
        <v>-0.197055</v>
      </c>
      <c r="J205" s="3" t="n">
        <v>0.166903</v>
      </c>
      <c r="K205" s="3" t="n">
        <v>-2.27188</v>
      </c>
      <c r="L205" s="3" t="n">
        <v>2</v>
      </c>
      <c r="M205" s="3" t="inlineStr">
        <is>
          <t>si</t>
        </is>
      </c>
      <c r="N205" s="3" t="inlineStr">
        <is>
          <t>no designado (contraste C4: no hay svar_hd regional)</t>
        </is>
      </c>
      <c r="O205" s="3" t="inlineStr">
        <is>
          <t>CCAA: ranking por c_f·sign(dY) del panel FE (M8); asociacion, sin lectura causal; el factor comun es un resumen de comovimiento (pendiente ~1 mecanica, J23)</t>
        </is>
      </c>
      <c r="P205" s="3" t="inlineStr">
        <is>
          <t>output/v8/F5/regional_ranking.csv</t>
        </is>
      </c>
    </row>
    <row r="206">
      <c r="A206" s="3" t="inlineStr">
        <is>
          <t>alquiler</t>
        </is>
      </c>
      <c r="B206" s="3" t="inlineStr">
        <is>
          <t>ccaa:07</t>
        </is>
      </c>
      <c r="C206" s="3" t="inlineStr">
        <is>
          <t>P3</t>
        </is>
      </c>
      <c r="D206" s="3" t="inlineStr">
        <is>
          <t>demografia</t>
        </is>
      </c>
      <c r="E206" s="3" t="inlineStr">
        <is>
          <t>regional_panel</t>
        </is>
      </c>
      <c r="F206" s="3" t="inlineStr">
        <is>
          <t>panel_covariables</t>
        </is>
      </c>
      <c r="G206" s="3" t="n">
        <v>-2.70224</v>
      </c>
      <c r="H206" s="3" t="n">
        <v>118.943</v>
      </c>
      <c r="I206" s="3" t="n">
        <v>-3.2514</v>
      </c>
      <c r="J206" s="3" t="n">
        <v>-2.29079</v>
      </c>
      <c r="K206" s="3" t="n">
        <v>-2.27188</v>
      </c>
      <c r="L206" s="3" t="n">
        <v>1</v>
      </c>
      <c r="M206" s="3" t="inlineStr">
        <is>
          <t>si</t>
        </is>
      </c>
      <c r="N206" s="3" t="inlineStr">
        <is>
          <t>no designado (contraste C4: no hay svar_hd regional)</t>
        </is>
      </c>
      <c r="O206" s="3" t="inlineStr">
        <is>
          <t>CCAA: ranking por c_f·sign(dY) del panel FE (M8); asociacion, sin lectura causal; el factor comun es un resumen de comovimiento (pendiente ~1 mecanica, J23)</t>
        </is>
      </c>
      <c r="P206" s="3" t="inlineStr">
        <is>
          <t>output/v8/F5/regional_ranking.csv</t>
        </is>
      </c>
    </row>
    <row r="207">
      <c r="A207" s="3" t="inlineStr">
        <is>
          <t>alquiler</t>
        </is>
      </c>
      <c r="B207" s="3" t="inlineStr">
        <is>
          <t>ccaa:07</t>
        </is>
      </c>
      <c r="C207" s="3" t="inlineStr">
        <is>
          <t>P3</t>
        </is>
      </c>
      <c r="D207" s="3" t="inlineStr">
        <is>
          <t>oferta</t>
        </is>
      </c>
      <c r="E207" s="3" t="inlineStr">
        <is>
          <t>regional_panel</t>
        </is>
      </c>
      <c r="F207" s="3" t="inlineStr">
        <is>
          <t>panel_covariables</t>
        </is>
      </c>
      <c r="G207" s="3" t="n">
        <v>0.0302625</v>
      </c>
      <c r="H207" s="3" t="n">
        <v>-1.33205</v>
      </c>
      <c r="I207" s="3" t="n">
        <v>-0.0082612</v>
      </c>
      <c r="J207" s="3" t="n">
        <v>0.0932423</v>
      </c>
      <c r="K207" s="3" t="n">
        <v>-2.27188</v>
      </c>
      <c r="L207" s="3" t="n">
        <v>3</v>
      </c>
      <c r="M207" s="3" t="inlineStr">
        <is>
          <t>si</t>
        </is>
      </c>
      <c r="N207" s="3" t="inlineStr">
        <is>
          <t>no designado (contraste C4: no hay svar_hd regional)</t>
        </is>
      </c>
      <c r="O207" s="3" t="inlineStr">
        <is>
          <t>CCAA: ranking por c_f·sign(dY) del panel FE (M8); asociacion, sin lectura causal; el factor comun es un resumen de comovimiento (pendiente ~1 mecanica, J23)</t>
        </is>
      </c>
      <c r="P207" s="3" t="inlineStr">
        <is>
          <t>output/v8/F5/regional_ranking.csv</t>
        </is>
      </c>
    </row>
    <row r="208">
      <c r="A208" s="3" t="inlineStr">
        <is>
          <t>alquiler</t>
        </is>
      </c>
      <c r="B208" s="3" t="inlineStr">
        <is>
          <t>ccaa:07</t>
        </is>
      </c>
      <c r="C208" s="3" t="inlineStr">
        <is>
          <t>P3</t>
        </is>
      </c>
      <c r="D208" s="3" t="inlineStr">
        <is>
          <t>demanda_externa</t>
        </is>
      </c>
      <c r="E208" s="3" t="inlineStr">
        <is>
          <t>regional_panel</t>
        </is>
      </c>
      <c r="F208" s="3" t="inlineStr">
        <is>
          <t>panel_covariables</t>
        </is>
      </c>
      <c r="G208" s="3" t="n">
        <v>0.185478</v>
      </c>
      <c r="H208" s="3" t="n">
        <v>-8.16408</v>
      </c>
      <c r="I208" s="3" t="n">
        <v>0.0706069</v>
      </c>
      <c r="J208" s="3" t="n">
        <v>0.297641</v>
      </c>
      <c r="K208" s="3" t="n">
        <v>-2.27188</v>
      </c>
      <c r="L208" s="3" t="n">
        <v>4</v>
      </c>
      <c r="M208" s="3" t="inlineStr">
        <is>
          <t>si</t>
        </is>
      </c>
      <c r="N208" s="3" t="inlineStr">
        <is>
          <t>no designado (contraste C4: no hay svar_hd regional)</t>
        </is>
      </c>
      <c r="O208" s="3" t="inlineStr">
        <is>
          <t>CCAA: ranking por c_f·sign(dY) del panel FE (M8); asociacion, sin lectura causal; el factor comun es un resumen de comovimiento (pendiente ~1 mecanica, J23)</t>
        </is>
      </c>
      <c r="P208" s="3" t="inlineStr">
        <is>
          <t>output/v8/F5/regional_ranking.csv</t>
        </is>
      </c>
    </row>
    <row r="209">
      <c r="A209" s="3" t="inlineStr">
        <is>
          <t>alquiler</t>
        </is>
      </c>
      <c r="B209" s="3" t="inlineStr">
        <is>
          <t>ccaa:07</t>
        </is>
      </c>
      <c r="C209" s="3" t="inlineStr">
        <is>
          <t>P3</t>
        </is>
      </c>
      <c r="D209" s="3" t="inlineStr">
        <is>
          <t>residuo</t>
        </is>
      </c>
      <c r="E209" s="3" t="inlineStr">
        <is>
          <t>regional_panel</t>
        </is>
      </c>
      <c r="F209" s="3" t="inlineStr">
        <is>
          <t>panel_covariables</t>
        </is>
      </c>
      <c r="G209" s="3" t="n">
        <v>2.09639</v>
      </c>
      <c r="H209" s="3" t="n">
        <v>-92.2754</v>
      </c>
      <c r="I209" s="3" t="n">
        <v>1.49458</v>
      </c>
      <c r="J209" s="3" t="n">
        <v>2.92018</v>
      </c>
      <c r="K209" s="3" t="n">
        <v>-2.27188</v>
      </c>
      <c r="L209" s="3" t="n"/>
      <c r="M209" s="3" t="inlineStr">
        <is>
          <t>no</t>
        </is>
      </c>
      <c r="N209" s="3" t="inlineStr">
        <is>
          <t>no designado (contraste C4: no hay svar_hd regional)</t>
        </is>
      </c>
      <c r="O209" s="3" t="inlineStr">
        <is>
          <t>CCAA: ranking por c_f·sign(dY) del panel FE (M8); asociacion, sin lectura causal; el factor comun es un resumen de comovimiento (pendiente ~1 mecanica, J23)</t>
        </is>
      </c>
      <c r="P209" s="3" t="inlineStr">
        <is>
          <t>output/v8/F5/regional_ranking.csv</t>
        </is>
      </c>
    </row>
    <row r="210">
      <c r="A210" s="3" t="inlineStr">
        <is>
          <t>alquiler</t>
        </is>
      </c>
      <c r="B210" s="3" t="inlineStr">
        <is>
          <t>ccaa:07</t>
        </is>
      </c>
      <c r="C210" s="3" t="inlineStr">
        <is>
          <t>P4</t>
        </is>
      </c>
      <c r="D210" s="3" t="inlineStr">
        <is>
          <t>factor_comun</t>
        </is>
      </c>
      <c r="E210" s="3" t="inlineStr">
        <is>
          <t>regional_ccaa_ols</t>
        </is>
      </c>
      <c r="F210" s="3" t="inlineStr">
        <is>
          <t>ols_solo_factor</t>
        </is>
      </c>
      <c r="G210" s="3" t="n">
        <v>-4.63586</v>
      </c>
      <c r="H210" s="3" t="n">
        <v>93.6414</v>
      </c>
      <c r="I210" s="3" t="n">
        <v>-8.001799999999999</v>
      </c>
      <c r="J210" s="3" t="n">
        <v>-1.287</v>
      </c>
      <c r="K210" s="3" t="n">
        <v>-4.95065</v>
      </c>
      <c r="L210" s="3" t="n"/>
      <c r="M210" s="3" t="inlineStr">
        <is>
          <t>no</t>
        </is>
      </c>
      <c r="N210" s="3" t="inlineStr">
        <is>
          <t>no designado (contraste C4: no hay svar_hd regional)</t>
        </is>
      </c>
      <c r="O210" s="3" t="inlineStr">
        <is>
          <t>CCAA: ranking por c_f·sign(dY) del panel FE (M8); asociacion, sin lectura causal; el factor comun es un resumen de comovimiento (pendiente ~1 mecanica, J23)</t>
        </is>
      </c>
      <c r="P210" s="3" t="inlineStr">
        <is>
          <t>output/v8/F5/regional_ranking.csv</t>
        </is>
      </c>
    </row>
    <row r="211">
      <c r="A211" s="3" t="inlineStr">
        <is>
          <t>alquiler</t>
        </is>
      </c>
      <c r="B211" s="3" t="inlineStr">
        <is>
          <t>ccaa:07</t>
        </is>
      </c>
      <c r="C211" s="3" t="inlineStr">
        <is>
          <t>P4</t>
        </is>
      </c>
      <c r="D211" s="3" t="inlineStr">
        <is>
          <t>residuo</t>
        </is>
      </c>
      <c r="E211" s="3" t="inlineStr">
        <is>
          <t>regional_ccaa_ols</t>
        </is>
      </c>
      <c r="F211" s="3" t="inlineStr">
        <is>
          <t>ols_solo_factor</t>
        </is>
      </c>
      <c r="G211" s="3" t="n">
        <v>-0.314792</v>
      </c>
      <c r="H211" s="3" t="n">
        <v>6.3586</v>
      </c>
      <c r="I211" s="3" t="n"/>
      <c r="J211" s="3" t="n"/>
      <c r="K211" s="3" t="n">
        <v>-4.95065</v>
      </c>
      <c r="L211" s="3" t="n"/>
      <c r="M211" s="3" t="inlineStr">
        <is>
          <t>no</t>
        </is>
      </c>
      <c r="N211" s="3" t="inlineStr">
        <is>
          <t>no designado (contraste C4: no hay svar_hd regional)</t>
        </is>
      </c>
      <c r="O211" s="3" t="inlineStr">
        <is>
          <t>CCAA: ranking por c_f·sign(dY) del panel FE (M8); asociacion, sin lectura causal; el factor comun es un resumen de comovimiento (pendiente ~1 mecanica, J23)</t>
        </is>
      </c>
      <c r="P211" s="3" t="inlineStr">
        <is>
          <t>output/v8/F5/regional_ranking.csv</t>
        </is>
      </c>
    </row>
    <row r="212">
      <c r="A212" s="3" t="inlineStr">
        <is>
          <t>alquiler</t>
        </is>
      </c>
      <c r="B212" s="3" t="inlineStr">
        <is>
          <t>ccaa:07</t>
        </is>
      </c>
      <c r="C212" s="3" t="inlineStr">
        <is>
          <t>P4</t>
        </is>
      </c>
      <c r="D212" s="3" t="inlineStr">
        <is>
          <t>factor_comun</t>
        </is>
      </c>
      <c r="E212" s="3" t="inlineStr">
        <is>
          <t>regional_panel</t>
        </is>
      </c>
      <c r="F212" s="3" t="inlineStr">
        <is>
          <t>panel_covariables</t>
        </is>
      </c>
      <c r="G212" s="3" t="n">
        <v>-4.82785</v>
      </c>
      <c r="H212" s="3" t="n">
        <v>97.5194</v>
      </c>
      <c r="I212" s="3" t="n">
        <v>-8.01083</v>
      </c>
      <c r="J212" s="3" t="n">
        <v>-1.73403</v>
      </c>
      <c r="K212" s="3" t="n">
        <v>-4.95065</v>
      </c>
      <c r="L212" s="3" t="n"/>
      <c r="M212" s="3" t="inlineStr">
        <is>
          <t>no</t>
        </is>
      </c>
      <c r="N212" s="3" t="inlineStr">
        <is>
          <t>no designado (contraste C4: no hay svar_hd regional)</t>
        </is>
      </c>
      <c r="O212" s="3" t="inlineStr">
        <is>
          <t>CCAA: ranking por c_f·sign(dY) del panel FE (M8); asociacion, sin lectura causal; el factor comun es un resumen de comovimiento (pendiente ~1 mecanica, J23)</t>
        </is>
      </c>
      <c r="P212" s="3" t="inlineStr">
        <is>
          <t>output/v8/F5/regional_ranking.csv</t>
        </is>
      </c>
    </row>
    <row r="213">
      <c r="A213" s="3" t="inlineStr">
        <is>
          <t>alquiler</t>
        </is>
      </c>
      <c r="B213" s="3" t="inlineStr">
        <is>
          <t>ccaa:07</t>
        </is>
      </c>
      <c r="C213" s="3" t="inlineStr">
        <is>
          <t>P4</t>
        </is>
      </c>
      <c r="D213" s="3" t="inlineStr">
        <is>
          <t>empleo_renta</t>
        </is>
      </c>
      <c r="E213" s="3" t="inlineStr">
        <is>
          <t>regional_panel</t>
        </is>
      </c>
      <c r="F213" s="3" t="inlineStr">
        <is>
          <t>panel_covariables</t>
        </is>
      </c>
      <c r="G213" s="3" t="n">
        <v>0.00660344</v>
      </c>
      <c r="H213" s="3" t="n">
        <v>-0.133385</v>
      </c>
      <c r="I213" s="3" t="n">
        <v>-0.0572321</v>
      </c>
      <c r="J213" s="3" t="n">
        <v>0.0233206</v>
      </c>
      <c r="K213" s="3" t="n">
        <v>-4.95065</v>
      </c>
      <c r="L213" s="3" t="n">
        <v>2</v>
      </c>
      <c r="M213" s="3" t="inlineStr">
        <is>
          <t>si</t>
        </is>
      </c>
      <c r="N213" s="3" t="inlineStr">
        <is>
          <t>no designado (contraste C4: no hay svar_hd regional)</t>
        </is>
      </c>
      <c r="O213" s="3" t="inlineStr">
        <is>
          <t>CCAA: ranking por c_f·sign(dY) del panel FE (M8); asociacion, sin lectura causal; el factor comun es un resumen de comovimiento (pendiente ~1 mecanica, J23)</t>
        </is>
      </c>
      <c r="P213" s="3" t="inlineStr">
        <is>
          <t>output/v8/F5/regional_ranking.csv</t>
        </is>
      </c>
    </row>
    <row r="214">
      <c r="A214" s="3" t="inlineStr">
        <is>
          <t>alquiler</t>
        </is>
      </c>
      <c r="B214" s="3" t="inlineStr">
        <is>
          <t>ccaa:07</t>
        </is>
      </c>
      <c r="C214" s="3" t="inlineStr">
        <is>
          <t>P4</t>
        </is>
      </c>
      <c r="D214" s="3" t="inlineStr">
        <is>
          <t>demografia</t>
        </is>
      </c>
      <c r="E214" s="3" t="inlineStr">
        <is>
          <t>regional_panel</t>
        </is>
      </c>
      <c r="F214" s="3" t="inlineStr">
        <is>
          <t>panel_covariables</t>
        </is>
      </c>
      <c r="G214" s="3" t="n">
        <v>0.429311</v>
      </c>
      <c r="H214" s="3" t="n">
        <v>-8.671799999999999</v>
      </c>
      <c r="I214" s="3" t="n">
        <v>-0.163834</v>
      </c>
      <c r="J214" s="3" t="n">
        <v>1.40794</v>
      </c>
      <c r="K214" s="3" t="n">
        <v>-4.95065</v>
      </c>
      <c r="L214" s="3" t="n">
        <v>4</v>
      </c>
      <c r="M214" s="3" t="inlineStr">
        <is>
          <t>si</t>
        </is>
      </c>
      <c r="N214" s="3" t="inlineStr">
        <is>
          <t>no designado (contraste C4: no hay svar_hd regional)</t>
        </is>
      </c>
      <c r="O214" s="3" t="inlineStr">
        <is>
          <t>CCAA: ranking por c_f·sign(dY) del panel FE (M8); asociacion, sin lectura causal; el factor comun es un resumen de comovimiento (pendiente ~1 mecanica, J23)</t>
        </is>
      </c>
      <c r="P214" s="3" t="inlineStr">
        <is>
          <t>output/v8/F5/regional_ranking.csv</t>
        </is>
      </c>
    </row>
    <row r="215">
      <c r="A215" s="3" t="inlineStr">
        <is>
          <t>alquiler</t>
        </is>
      </c>
      <c r="B215" s="3" t="inlineStr">
        <is>
          <t>ccaa:07</t>
        </is>
      </c>
      <c r="C215" s="3" t="inlineStr">
        <is>
          <t>P4</t>
        </is>
      </c>
      <c r="D215" s="3" t="inlineStr">
        <is>
          <t>oferta</t>
        </is>
      </c>
      <c r="E215" s="3" t="inlineStr">
        <is>
          <t>regional_panel</t>
        </is>
      </c>
      <c r="F215" s="3" t="inlineStr">
        <is>
          <t>panel_covariables</t>
        </is>
      </c>
      <c r="G215" s="3" t="n">
        <v>0.0023952</v>
      </c>
      <c r="H215" s="3" t="n">
        <v>-0.0483814</v>
      </c>
      <c r="I215" s="3" t="n">
        <v>-0.0101794</v>
      </c>
      <c r="J215" s="3" t="n">
        <v>0.0279609</v>
      </c>
      <c r="K215" s="3" t="n">
        <v>-4.95065</v>
      </c>
      <c r="L215" s="3" t="n">
        <v>1</v>
      </c>
      <c r="M215" s="3" t="inlineStr">
        <is>
          <t>si</t>
        </is>
      </c>
      <c r="N215" s="3" t="inlineStr">
        <is>
          <t>no designado (contraste C4: no hay svar_hd regional)</t>
        </is>
      </c>
      <c r="O215" s="3" t="inlineStr">
        <is>
          <t>CCAA: ranking por c_f·sign(dY) del panel FE (M8); asociacion, sin lectura causal; el factor comun es un resumen de comovimiento (pendiente ~1 mecanica, J23)</t>
        </is>
      </c>
      <c r="P215" s="3" t="inlineStr">
        <is>
          <t>output/v8/F5/regional_ranking.csv</t>
        </is>
      </c>
    </row>
    <row r="216">
      <c r="A216" s="3" t="inlineStr">
        <is>
          <t>alquiler</t>
        </is>
      </c>
      <c r="B216" s="3" t="inlineStr">
        <is>
          <t>ccaa:07</t>
        </is>
      </c>
      <c r="C216" s="3" t="inlineStr">
        <is>
          <t>P4</t>
        </is>
      </c>
      <c r="D216" s="3" t="inlineStr">
        <is>
          <t>demanda_externa</t>
        </is>
      </c>
      <c r="E216" s="3" t="inlineStr">
        <is>
          <t>regional_panel</t>
        </is>
      </c>
      <c r="F216" s="3" t="inlineStr">
        <is>
          <t>panel_covariables</t>
        </is>
      </c>
      <c r="G216" s="3" t="n">
        <v>0.00832594</v>
      </c>
      <c r="H216" s="3" t="n">
        <v>-0.168179</v>
      </c>
      <c r="I216" s="3" t="n">
        <v>-0.0399962</v>
      </c>
      <c r="J216" s="3" t="n">
        <v>0.0242254</v>
      </c>
      <c r="K216" s="3" t="n">
        <v>-4.95065</v>
      </c>
      <c r="L216" s="3" t="n">
        <v>3</v>
      </c>
      <c r="M216" s="3" t="inlineStr">
        <is>
          <t>si</t>
        </is>
      </c>
      <c r="N216" s="3" t="inlineStr">
        <is>
          <t>no designado (contraste C4: no hay svar_hd regional)</t>
        </is>
      </c>
      <c r="O216" s="3" t="inlineStr">
        <is>
          <t>CCAA: ranking por c_f·sign(dY) del panel FE (M8); asociacion, sin lectura causal; el factor comun es un resumen de comovimiento (pendiente ~1 mecanica, J23)</t>
        </is>
      </c>
      <c r="P216" s="3" t="inlineStr">
        <is>
          <t>output/v8/F5/regional_ranking.csv</t>
        </is>
      </c>
    </row>
    <row r="217">
      <c r="A217" s="3" t="inlineStr">
        <is>
          <t>alquiler</t>
        </is>
      </c>
      <c r="B217" s="3" t="inlineStr">
        <is>
          <t>ccaa:07</t>
        </is>
      </c>
      <c r="C217" s="3" t="inlineStr">
        <is>
          <t>P4</t>
        </is>
      </c>
      <c r="D217" s="3" t="inlineStr">
        <is>
          <t>residuo</t>
        </is>
      </c>
      <c r="E217" s="3" t="inlineStr">
        <is>
          <t>regional_panel</t>
        </is>
      </c>
      <c r="F217" s="3" t="inlineStr">
        <is>
          <t>panel_covariables</t>
        </is>
      </c>
      <c r="G217" s="3" t="n">
        <v>-0.5694399999999999</v>
      </c>
      <c r="H217" s="3" t="n">
        <v>11.5023</v>
      </c>
      <c r="I217" s="3" t="n">
        <v>-1.66229</v>
      </c>
      <c r="J217" s="3" t="n">
        <v>0.0884173</v>
      </c>
      <c r="K217" s="3" t="n">
        <v>-4.95065</v>
      </c>
      <c r="L217" s="3" t="n"/>
      <c r="M217" s="3" t="inlineStr">
        <is>
          <t>no</t>
        </is>
      </c>
      <c r="N217" s="3" t="inlineStr">
        <is>
          <t>no designado (contraste C4: no hay svar_hd regional)</t>
        </is>
      </c>
      <c r="O217" s="3" t="inlineStr">
        <is>
          <t>CCAA: ranking por c_f·sign(dY) del panel FE (M8); asociacion, sin lectura causal; el factor comun es un resumen de comovimiento (pendiente ~1 mecanica, J23)</t>
        </is>
      </c>
      <c r="P217" s="3" t="inlineStr">
        <is>
          <t>output/v8/F5/regional_ranking.csv</t>
        </is>
      </c>
    </row>
    <row r="218">
      <c r="A218" s="3" t="inlineStr">
        <is>
          <t>alquiler</t>
        </is>
      </c>
      <c r="B218" s="3" t="inlineStr">
        <is>
          <t>ccaa:07</t>
        </is>
      </c>
      <c r="C218" s="3" t="inlineStr">
        <is>
          <t>P5</t>
        </is>
      </c>
      <c r="D218" s="3" t="inlineStr">
        <is>
          <t>factor_comun</t>
        </is>
      </c>
      <c r="E218" s="3" t="inlineStr">
        <is>
          <t>regional_ccaa_ols</t>
        </is>
      </c>
      <c r="F218" s="3" t="inlineStr">
        <is>
          <t>ols_solo_factor</t>
        </is>
      </c>
      <c r="G218" s="3" t="n">
        <v>-5.51263</v>
      </c>
      <c r="H218" s="3" t="n">
        <v>90.0376</v>
      </c>
      <c r="I218" s="3" t="n">
        <v>-8.029809999999999</v>
      </c>
      <c r="J218" s="3" t="n">
        <v>-2.68883</v>
      </c>
      <c r="K218" s="3" t="n">
        <v>-6.11357</v>
      </c>
      <c r="L218" s="3" t="n"/>
      <c r="M218" s="3" t="inlineStr">
        <is>
          <t>no</t>
        </is>
      </c>
      <c r="N218" s="3" t="inlineStr">
        <is>
          <t>no designado (contraste C4: no hay svar_hd regional)</t>
        </is>
      </c>
      <c r="O218" s="3" t="inlineStr">
        <is>
          <t>CCAA: ranking por c_f·sign(dY) del panel FE (M8); asociacion, sin lectura causal; el factor comun es un resumen de comovimiento (pendiente ~1 mecanica, J23)</t>
        </is>
      </c>
      <c r="P218" s="3" t="inlineStr">
        <is>
          <t>output/v8/F5/regional_ranking.csv</t>
        </is>
      </c>
    </row>
    <row r="219">
      <c r="A219" s="3" t="inlineStr">
        <is>
          <t>alquiler</t>
        </is>
      </c>
      <c r="B219" s="3" t="inlineStr">
        <is>
          <t>ccaa:07</t>
        </is>
      </c>
      <c r="C219" s="3" t="inlineStr">
        <is>
          <t>P5</t>
        </is>
      </c>
      <c r="D219" s="3" t="inlineStr">
        <is>
          <t>residuo</t>
        </is>
      </c>
      <c r="E219" s="3" t="inlineStr">
        <is>
          <t>regional_ccaa_ols</t>
        </is>
      </c>
      <c r="F219" s="3" t="inlineStr">
        <is>
          <t>ols_solo_factor</t>
        </is>
      </c>
      <c r="G219" s="3" t="n">
        <v>-0.609958</v>
      </c>
      <c r="H219" s="3" t="n">
        <v>9.96242</v>
      </c>
      <c r="I219" s="3" t="n"/>
      <c r="J219" s="3" t="n"/>
      <c r="K219" s="3" t="n">
        <v>-6.11357</v>
      </c>
      <c r="L219" s="3" t="n"/>
      <c r="M219" s="3" t="inlineStr">
        <is>
          <t>no</t>
        </is>
      </c>
      <c r="N219" s="3" t="inlineStr">
        <is>
          <t>no designado (contraste C4: no hay svar_hd regional)</t>
        </is>
      </c>
      <c r="O219" s="3" t="inlineStr">
        <is>
          <t>CCAA: ranking por c_f·sign(dY) del panel FE (M8); asociacion, sin lectura causal; el factor comun es un resumen de comovimiento (pendiente ~1 mecanica, J23)</t>
        </is>
      </c>
      <c r="P219" s="3" t="inlineStr">
        <is>
          <t>output/v8/F5/regional_ranking.csv</t>
        </is>
      </c>
    </row>
    <row r="220">
      <c r="A220" s="3" t="inlineStr">
        <is>
          <t>alquiler</t>
        </is>
      </c>
      <c r="B220" s="3" t="inlineStr">
        <is>
          <t>ccaa:07</t>
        </is>
      </c>
      <c r="C220" s="3" t="inlineStr">
        <is>
          <t>P5</t>
        </is>
      </c>
      <c r="D220" s="3" t="inlineStr">
        <is>
          <t>factor_comun</t>
        </is>
      </c>
      <c r="E220" s="3" t="inlineStr">
        <is>
          <t>regional_panel</t>
        </is>
      </c>
      <c r="F220" s="3" t="inlineStr">
        <is>
          <t>panel_covariables</t>
        </is>
      </c>
      <c r="G220" s="3" t="n">
        <v>-5.47353</v>
      </c>
      <c r="H220" s="3" t="n">
        <v>89.5309</v>
      </c>
      <c r="I220" s="3" t="n">
        <v>-7.50057</v>
      </c>
      <c r="J220" s="3" t="n">
        <v>-3.0519</v>
      </c>
      <c r="K220" s="3" t="n">
        <v>-6.11357</v>
      </c>
      <c r="L220" s="3" t="n"/>
      <c r="M220" s="3" t="inlineStr">
        <is>
          <t>no</t>
        </is>
      </c>
      <c r="N220" s="3" t="inlineStr">
        <is>
          <t>no designado (contraste C4: no hay svar_hd regional)</t>
        </is>
      </c>
      <c r="O220" s="3" t="inlineStr">
        <is>
          <t>CCAA: ranking por c_f·sign(dY) del panel FE (M8); asociacion, sin lectura causal; el factor comun es un resumen de comovimiento (pendiente ~1 mecanica, J23)</t>
        </is>
      </c>
      <c r="P220" s="3" t="inlineStr">
        <is>
          <t>output/v8/F5/regional_ranking.csv</t>
        </is>
      </c>
    </row>
    <row r="221">
      <c r="A221" s="3" t="inlineStr">
        <is>
          <t>alquiler</t>
        </is>
      </c>
      <c r="B221" s="3" t="inlineStr">
        <is>
          <t>ccaa:07</t>
        </is>
      </c>
      <c r="C221" s="3" t="inlineStr">
        <is>
          <t>P5</t>
        </is>
      </c>
      <c r="D221" s="3" t="inlineStr">
        <is>
          <t>empleo_renta</t>
        </is>
      </c>
      <c r="E221" s="3" t="inlineStr">
        <is>
          <t>regional_panel</t>
        </is>
      </c>
      <c r="F221" s="3" t="inlineStr">
        <is>
          <t>panel_covariables</t>
        </is>
      </c>
      <c r="G221" s="3" t="n">
        <v>-0.0610251</v>
      </c>
      <c r="H221" s="3" t="n">
        <v>0.9981910000000001</v>
      </c>
      <c r="I221" s="3" t="n">
        <v>-0.124079</v>
      </c>
      <c r="J221" s="3" t="n">
        <v>-0.0147174</v>
      </c>
      <c r="K221" s="3" t="n">
        <v>-6.11357</v>
      </c>
      <c r="L221" s="3" t="n">
        <v>1</v>
      </c>
      <c r="M221" s="3" t="inlineStr">
        <is>
          <t>si</t>
        </is>
      </c>
      <c r="N221" s="3" t="inlineStr">
        <is>
          <t>no designado (contraste C4: no hay svar_hd regional)</t>
        </is>
      </c>
      <c r="O221" s="3" t="inlineStr">
        <is>
          <t>CCAA: ranking por c_f·sign(dY) del panel FE (M8); asociacion, sin lectura causal; el factor comun es un resumen de comovimiento (pendiente ~1 mecanica, J23)</t>
        </is>
      </c>
      <c r="P221" s="3" t="inlineStr">
        <is>
          <t>output/v8/F5/regional_ranking.csv</t>
        </is>
      </c>
    </row>
    <row r="222">
      <c r="A222" s="3" t="inlineStr">
        <is>
          <t>alquiler</t>
        </is>
      </c>
      <c r="B222" s="3" t="inlineStr">
        <is>
          <t>ccaa:07</t>
        </is>
      </c>
      <c r="C222" s="3" t="inlineStr">
        <is>
          <t>P5</t>
        </is>
      </c>
      <c r="D222" s="3" t="inlineStr">
        <is>
          <t>demografia</t>
        </is>
      </c>
      <c r="E222" s="3" t="inlineStr">
        <is>
          <t>regional_panel</t>
        </is>
      </c>
      <c r="F222" s="3" t="inlineStr">
        <is>
          <t>panel_covariables</t>
        </is>
      </c>
      <c r="G222" s="3" t="n">
        <v>0.503709</v>
      </c>
      <c r="H222" s="3" t="n">
        <v>-8.2392</v>
      </c>
      <c r="I222" s="3" t="n">
        <v>-0.124468</v>
      </c>
      <c r="J222" s="3" t="n">
        <v>1.1806</v>
      </c>
      <c r="K222" s="3" t="n">
        <v>-6.11357</v>
      </c>
      <c r="L222" s="3" t="n">
        <v>4</v>
      </c>
      <c r="M222" s="3" t="inlineStr">
        <is>
          <t>si</t>
        </is>
      </c>
      <c r="N222" s="3" t="inlineStr">
        <is>
          <t>no designado (contraste C4: no hay svar_hd regional)</t>
        </is>
      </c>
      <c r="O222" s="3" t="inlineStr">
        <is>
          <t>CCAA: ranking por c_f·sign(dY) del panel FE (M8); asociacion, sin lectura causal; el factor comun es un resumen de comovimiento (pendiente ~1 mecanica, J23)</t>
        </is>
      </c>
      <c r="P222" s="3" t="inlineStr">
        <is>
          <t>output/v8/F5/regional_ranking.csv</t>
        </is>
      </c>
    </row>
    <row r="223">
      <c r="A223" s="3" t="inlineStr">
        <is>
          <t>alquiler</t>
        </is>
      </c>
      <c r="B223" s="3" t="inlineStr">
        <is>
          <t>ccaa:07</t>
        </is>
      </c>
      <c r="C223" s="3" t="inlineStr">
        <is>
          <t>P5</t>
        </is>
      </c>
      <c r="D223" s="3" t="inlineStr">
        <is>
          <t>oferta</t>
        </is>
      </c>
      <c r="E223" s="3" t="inlineStr">
        <is>
          <t>regional_panel</t>
        </is>
      </c>
      <c r="F223" s="3" t="inlineStr">
        <is>
          <t>panel_covariables</t>
        </is>
      </c>
      <c r="G223" s="3" t="n">
        <v>-0.00364166</v>
      </c>
      <c r="H223" s="3" t="n">
        <v>0.0595669</v>
      </c>
      <c r="I223" s="3" t="n">
        <v>-0.0192706</v>
      </c>
      <c r="J223" s="3" t="n">
        <v>0.00489004</v>
      </c>
      <c r="K223" s="3" t="n">
        <v>-6.11357</v>
      </c>
      <c r="L223" s="3" t="n">
        <v>2</v>
      </c>
      <c r="M223" s="3" t="inlineStr">
        <is>
          <t>si</t>
        </is>
      </c>
      <c r="N223" s="3" t="inlineStr">
        <is>
          <t>no designado (contraste C4: no hay svar_hd regional)</t>
        </is>
      </c>
      <c r="O223" s="3" t="inlineStr">
        <is>
          <t>CCAA: ranking por c_f·sign(dY) del panel FE (M8); asociacion, sin lectura causal; el factor comun es un resumen de comovimiento (pendiente ~1 mecanica, J23)</t>
        </is>
      </c>
      <c r="P223" s="3" t="inlineStr">
        <is>
          <t>output/v8/F5/regional_ranking.csv</t>
        </is>
      </c>
    </row>
    <row r="224">
      <c r="A224" s="3" t="inlineStr">
        <is>
          <t>alquiler</t>
        </is>
      </c>
      <c r="B224" s="3" t="inlineStr">
        <is>
          <t>ccaa:07</t>
        </is>
      </c>
      <c r="C224" s="3" t="inlineStr">
        <is>
          <t>P5</t>
        </is>
      </c>
      <c r="D224" s="3" t="inlineStr">
        <is>
          <t>demanda_externa</t>
        </is>
      </c>
      <c r="E224" s="3" t="inlineStr">
        <is>
          <t>regional_panel</t>
        </is>
      </c>
      <c r="F224" s="3" t="inlineStr">
        <is>
          <t>panel_covariables</t>
        </is>
      </c>
      <c r="G224" s="3" t="n">
        <v>0.126206</v>
      </c>
      <c r="H224" s="3" t="n">
        <v>-2.06436</v>
      </c>
      <c r="I224" s="3" t="n">
        <v>0.0159868</v>
      </c>
      <c r="J224" s="3" t="n">
        <v>0.232707</v>
      </c>
      <c r="K224" s="3" t="n">
        <v>-6.11357</v>
      </c>
      <c r="L224" s="3" t="n">
        <v>3</v>
      </c>
      <c r="M224" s="3" t="inlineStr">
        <is>
          <t>si</t>
        </is>
      </c>
      <c r="N224" s="3" t="inlineStr">
        <is>
          <t>no designado (contraste C4: no hay svar_hd regional)</t>
        </is>
      </c>
      <c r="O224" s="3" t="inlineStr">
        <is>
          <t>CCAA: ranking por c_f·sign(dY) del panel FE (M8); asociacion, sin lectura causal; el factor comun es un resumen de comovimiento (pendiente ~1 mecanica, J23)</t>
        </is>
      </c>
      <c r="P224" s="3" t="inlineStr">
        <is>
          <t>output/v8/F5/regional_ranking.csv</t>
        </is>
      </c>
    </row>
    <row r="225">
      <c r="A225" s="3" t="inlineStr">
        <is>
          <t>alquiler</t>
        </is>
      </c>
      <c r="B225" s="3" t="inlineStr">
        <is>
          <t>ccaa:07</t>
        </is>
      </c>
      <c r="C225" s="3" t="inlineStr">
        <is>
          <t>P5</t>
        </is>
      </c>
      <c r="D225" s="3" t="inlineStr">
        <is>
          <t>residuo</t>
        </is>
      </c>
      <c r="E225" s="3" t="inlineStr">
        <is>
          <t>regional_panel</t>
        </is>
      </c>
      <c r="F225" s="3" t="inlineStr">
        <is>
          <t>panel_covariables</t>
        </is>
      </c>
      <c r="G225" s="3" t="n">
        <v>-1.20529</v>
      </c>
      <c r="H225" s="3" t="n">
        <v>19.7149</v>
      </c>
      <c r="I225" s="3" t="n">
        <v>-2.09326</v>
      </c>
      <c r="J225" s="3" t="n">
        <v>-0.287398</v>
      </c>
      <c r="K225" s="3" t="n">
        <v>-6.11357</v>
      </c>
      <c r="L225" s="3" t="n"/>
      <c r="M225" s="3" t="inlineStr">
        <is>
          <t>no</t>
        </is>
      </c>
      <c r="N225" s="3" t="inlineStr">
        <is>
          <t>no designado (contraste C4: no hay svar_hd regional)</t>
        </is>
      </c>
      <c r="O225" s="3" t="inlineStr">
        <is>
          <t>CCAA: ranking por c_f·sign(dY) del panel FE (M8); asociacion, sin lectura causal; el factor comun es un resumen de comovimiento (pendiente ~1 mecanica, J23)</t>
        </is>
      </c>
      <c r="P225" s="3" t="inlineStr">
        <is>
          <t>output/v8/F5/regional_ranking.csv</t>
        </is>
      </c>
    </row>
    <row r="226">
      <c r="A226" s="3" t="inlineStr">
        <is>
          <t>alquiler</t>
        </is>
      </c>
      <c r="B226" s="3" t="inlineStr">
        <is>
          <t>ccaa:08</t>
        </is>
      </c>
      <c r="C226" s="3" t="inlineStr">
        <is>
          <t>P2</t>
        </is>
      </c>
      <c r="D226" s="3" t="inlineStr">
        <is>
          <t>factor_comun</t>
        </is>
      </c>
      <c r="E226" s="3" t="inlineStr">
        <is>
          <t>regional_ccaa_ols</t>
        </is>
      </c>
      <c r="F226" s="3" t="inlineStr">
        <is>
          <t>ols_solo_factor</t>
        </is>
      </c>
      <c r="G226" s="3" t="n">
        <v>-3.1498</v>
      </c>
      <c r="H226" s="3" t="n">
        <v>93.7559</v>
      </c>
      <c r="I226" s="3" t="n">
        <v>-7.51823</v>
      </c>
      <c r="J226" s="3" t="n">
        <v>0.5588379999999999</v>
      </c>
      <c r="K226" s="3" t="n">
        <v>-3.82429</v>
      </c>
      <c r="L226" s="3" t="n"/>
      <c r="M226" s="3" t="inlineStr">
        <is>
          <t>no</t>
        </is>
      </c>
      <c r="N226" s="3" t="inlineStr">
        <is>
          <t>no designado (contraste C4: no hay svar_hd regional)</t>
        </is>
      </c>
      <c r="O226" s="3" t="inlineStr">
        <is>
          <t>CCAA: ranking por c_f·sign(dY) del panel FE (M8); asociacion, sin lectura causal; el factor comun es un resumen de comovimiento (pendiente ~1 mecanica, J23)</t>
        </is>
      </c>
      <c r="P226" s="3" t="inlineStr">
        <is>
          <t>output/v8/F5/regional_ranking.csv</t>
        </is>
      </c>
    </row>
    <row r="227">
      <c r="A227" s="3" t="inlineStr">
        <is>
          <t>alquiler</t>
        </is>
      </c>
      <c r="B227" s="3" t="inlineStr">
        <is>
          <t>ccaa:08</t>
        </is>
      </c>
      <c r="C227" s="3" t="inlineStr">
        <is>
          <t>P2</t>
        </is>
      </c>
      <c r="D227" s="3" t="inlineStr">
        <is>
          <t>residuo</t>
        </is>
      </c>
      <c r="E227" s="3" t="inlineStr">
        <is>
          <t>regional_ccaa_ols</t>
        </is>
      </c>
      <c r="F227" s="3" t="inlineStr">
        <is>
          <t>ols_solo_factor</t>
        </is>
      </c>
      <c r="G227" s="3" t="n">
        <v>-0.209776</v>
      </c>
      <c r="H227" s="3" t="n">
        <v>6.24414</v>
      </c>
      <c r="I227" s="3" t="n"/>
      <c r="J227" s="3" t="n"/>
      <c r="K227" s="3" t="n">
        <v>-3.82429</v>
      </c>
      <c r="L227" s="3" t="n"/>
      <c r="M227" s="3" t="inlineStr">
        <is>
          <t>no</t>
        </is>
      </c>
      <c r="N227" s="3" t="inlineStr">
        <is>
          <t>no designado (contraste C4: no hay svar_hd regional)</t>
        </is>
      </c>
      <c r="O227" s="3" t="inlineStr">
        <is>
          <t>CCAA: ranking por c_f·sign(dY) del panel FE (M8); asociacion, sin lectura causal; el factor comun es un resumen de comovimiento (pendiente ~1 mecanica, J23)</t>
        </is>
      </c>
      <c r="P227" s="3" t="inlineStr">
        <is>
          <t>output/v8/F5/regional_ranking.csv</t>
        </is>
      </c>
    </row>
    <row r="228">
      <c r="A228" s="3" t="inlineStr">
        <is>
          <t>alquiler</t>
        </is>
      </c>
      <c r="B228" s="3" t="inlineStr">
        <is>
          <t>ccaa:08</t>
        </is>
      </c>
      <c r="C228" s="3" t="inlineStr">
        <is>
          <t>P2</t>
        </is>
      </c>
      <c r="D228" s="3" t="inlineStr">
        <is>
          <t>factor_comun</t>
        </is>
      </c>
      <c r="E228" s="3" t="inlineStr">
        <is>
          <t>regional_panel</t>
        </is>
      </c>
      <c r="F228" s="3" t="inlineStr">
        <is>
          <t>panel_covariables</t>
        </is>
      </c>
      <c r="G228" s="3" t="n">
        <v>-3.50963</v>
      </c>
      <c r="H228" s="3" t="n">
        <v>91.7719</v>
      </c>
      <c r="I228" s="3" t="n">
        <v>-7.73728</v>
      </c>
      <c r="J228" s="3" t="n">
        <v>0.660335</v>
      </c>
      <c r="K228" s="3" t="n">
        <v>-3.82429</v>
      </c>
      <c r="L228" s="3" t="n"/>
      <c r="M228" s="3" t="inlineStr">
        <is>
          <t>no</t>
        </is>
      </c>
      <c r="N228" s="3" t="inlineStr">
        <is>
          <t>no designado (contraste C4: no hay svar_hd regional)</t>
        </is>
      </c>
      <c r="O228" s="3" t="inlineStr">
        <is>
          <t>CCAA: ranking por c_f·sign(dY) del panel FE (M8); asociacion, sin lectura causal; el factor comun es un resumen de comovimiento (pendiente ~1 mecanica, J23)</t>
        </is>
      </c>
      <c r="P228" s="3" t="inlineStr">
        <is>
          <t>output/v8/F5/regional_ranking.csv</t>
        </is>
      </c>
    </row>
    <row r="229">
      <c r="A229" s="3" t="inlineStr">
        <is>
          <t>alquiler</t>
        </is>
      </c>
      <c r="B229" s="3" t="inlineStr">
        <is>
          <t>ccaa:08</t>
        </is>
      </c>
      <c r="C229" s="3" t="inlineStr">
        <is>
          <t>P2</t>
        </is>
      </c>
      <c r="D229" s="3" t="inlineStr">
        <is>
          <t>empleo_renta</t>
        </is>
      </c>
      <c r="E229" s="3" t="inlineStr">
        <is>
          <t>regional_panel</t>
        </is>
      </c>
      <c r="F229" s="3" t="inlineStr">
        <is>
          <t>panel_covariables</t>
        </is>
      </c>
      <c r="G229" s="3" t="n">
        <v>0.0209937</v>
      </c>
      <c r="H229" s="3" t="n">
        <v>-0.548957</v>
      </c>
      <c r="I229" s="3" t="n">
        <v>-0.376437</v>
      </c>
      <c r="J229" s="3" t="n">
        <v>0.624387</v>
      </c>
      <c r="K229" s="3" t="n">
        <v>-3.82429</v>
      </c>
      <c r="L229" s="3" t="n">
        <v>2</v>
      </c>
      <c r="M229" s="3" t="inlineStr">
        <is>
          <t>si</t>
        </is>
      </c>
      <c r="N229" s="3" t="inlineStr">
        <is>
          <t>no designado (contraste C4: no hay svar_hd regional)</t>
        </is>
      </c>
      <c r="O229" s="3" t="inlineStr">
        <is>
          <t>CCAA: ranking por c_f·sign(dY) del panel FE (M8); asociacion, sin lectura causal; el factor comun es un resumen de comovimiento (pendiente ~1 mecanica, J23)</t>
        </is>
      </c>
      <c r="P229" s="3" t="inlineStr">
        <is>
          <t>output/v8/F5/regional_ranking.csv</t>
        </is>
      </c>
    </row>
    <row r="230">
      <c r="A230" s="3" t="inlineStr">
        <is>
          <t>alquiler</t>
        </is>
      </c>
      <c r="B230" s="3" t="inlineStr">
        <is>
          <t>ccaa:08</t>
        </is>
      </c>
      <c r="C230" s="3" t="inlineStr">
        <is>
          <t>P2</t>
        </is>
      </c>
      <c r="D230" s="3" t="inlineStr">
        <is>
          <t>demografia</t>
        </is>
      </c>
      <c r="E230" s="3" t="inlineStr">
        <is>
          <t>regional_panel</t>
        </is>
      </c>
      <c r="F230" s="3" t="inlineStr">
        <is>
          <t>panel_covariables</t>
        </is>
      </c>
      <c r="G230" s="3" t="n">
        <v>1.07782</v>
      </c>
      <c r="H230" s="3" t="n">
        <v>-28.1834</v>
      </c>
      <c r="I230" s="3" t="n">
        <v>0.72726</v>
      </c>
      <c r="J230" s="3" t="n">
        <v>1.63813</v>
      </c>
      <c r="K230" s="3" t="n">
        <v>-3.82429</v>
      </c>
      <c r="L230" s="3" t="n">
        <v>4</v>
      </c>
      <c r="M230" s="3" t="inlineStr">
        <is>
          <t>si</t>
        </is>
      </c>
      <c r="N230" s="3" t="inlineStr">
        <is>
          <t>no designado (contraste C4: no hay svar_hd regional)</t>
        </is>
      </c>
      <c r="O230" s="3" t="inlineStr">
        <is>
          <t>CCAA: ranking por c_f·sign(dY) del panel FE (M8); asociacion, sin lectura causal; el factor comun es un resumen de comovimiento (pendiente ~1 mecanica, J23)</t>
        </is>
      </c>
      <c r="P230" s="3" t="inlineStr">
        <is>
          <t>output/v8/F5/regional_ranking.csv</t>
        </is>
      </c>
    </row>
    <row r="231">
      <c r="A231" s="3" t="inlineStr">
        <is>
          <t>alquiler</t>
        </is>
      </c>
      <c r="B231" s="3" t="inlineStr">
        <is>
          <t>ccaa:08</t>
        </is>
      </c>
      <c r="C231" s="3" t="inlineStr">
        <is>
          <t>P2</t>
        </is>
      </c>
      <c r="D231" s="3" t="inlineStr">
        <is>
          <t>oferta</t>
        </is>
      </c>
      <c r="E231" s="3" t="inlineStr">
        <is>
          <t>regional_panel</t>
        </is>
      </c>
      <c r="F231" s="3" t="inlineStr">
        <is>
          <t>panel_covariables</t>
        </is>
      </c>
      <c r="G231" s="3" t="n">
        <v>0.296538</v>
      </c>
      <c r="H231" s="3" t="n">
        <v>-7.75405</v>
      </c>
      <c r="I231" s="3" t="n">
        <v>0.0377054</v>
      </c>
      <c r="J231" s="3" t="n">
        <v>0.570527</v>
      </c>
      <c r="K231" s="3" t="n">
        <v>-3.82429</v>
      </c>
      <c r="L231" s="3" t="n">
        <v>3</v>
      </c>
      <c r="M231" s="3" t="inlineStr">
        <is>
          <t>si</t>
        </is>
      </c>
      <c r="N231" s="3" t="inlineStr">
        <is>
          <t>no designado (contraste C4: no hay svar_hd regional)</t>
        </is>
      </c>
      <c r="O231" s="3" t="inlineStr">
        <is>
          <t>CCAA: ranking por c_f·sign(dY) del panel FE (M8); asociacion, sin lectura causal; el factor comun es un resumen de comovimiento (pendiente ~1 mecanica, J23)</t>
        </is>
      </c>
      <c r="P231" s="3" t="inlineStr">
        <is>
          <t>output/v8/F5/regional_ranking.csv</t>
        </is>
      </c>
    </row>
    <row r="232">
      <c r="A232" s="3" t="inlineStr">
        <is>
          <t>alquiler</t>
        </is>
      </c>
      <c r="B232" s="3" t="inlineStr">
        <is>
          <t>ccaa:08</t>
        </is>
      </c>
      <c r="C232" s="3" t="inlineStr">
        <is>
          <t>P2</t>
        </is>
      </c>
      <c r="D232" s="3" t="inlineStr">
        <is>
          <t>demanda_externa</t>
        </is>
      </c>
      <c r="E232" s="3" t="inlineStr">
        <is>
          <t>regional_panel</t>
        </is>
      </c>
      <c r="F232" s="3" t="inlineStr">
        <is>
          <t>panel_covariables</t>
        </is>
      </c>
      <c r="G232" s="3" t="n">
        <v>-0.07312250000000001</v>
      </c>
      <c r="H232" s="3" t="n">
        <v>1.91205</v>
      </c>
      <c r="I232" s="3" t="n">
        <v>-0.0964556</v>
      </c>
      <c r="J232" s="3" t="n">
        <v>0.0404607</v>
      </c>
      <c r="K232" s="3" t="n">
        <v>-3.82429</v>
      </c>
      <c r="L232" s="3" t="n">
        <v>1</v>
      </c>
      <c r="M232" s="3" t="inlineStr">
        <is>
          <t>si</t>
        </is>
      </c>
      <c r="N232" s="3" t="inlineStr">
        <is>
          <t>no designado (contraste C4: no hay svar_hd regional)</t>
        </is>
      </c>
      <c r="O232" s="3" t="inlineStr">
        <is>
          <t>CCAA: ranking por c_f·sign(dY) del panel FE (M8); asociacion, sin lectura causal; el factor comun es un resumen de comovimiento (pendiente ~1 mecanica, J23)</t>
        </is>
      </c>
      <c r="P232" s="3" t="inlineStr">
        <is>
          <t>output/v8/F5/regional_ranking.csv</t>
        </is>
      </c>
    </row>
    <row r="233">
      <c r="A233" s="3" t="inlineStr">
        <is>
          <t>alquiler</t>
        </is>
      </c>
      <c r="B233" s="3" t="inlineStr">
        <is>
          <t>ccaa:08</t>
        </is>
      </c>
      <c r="C233" s="3" t="inlineStr">
        <is>
          <t>P2</t>
        </is>
      </c>
      <c r="D233" s="3" t="inlineStr">
        <is>
          <t>residuo</t>
        </is>
      </c>
      <c r="E233" s="3" t="inlineStr">
        <is>
          <t>regional_panel</t>
        </is>
      </c>
      <c r="F233" s="3" t="inlineStr">
        <is>
          <t>panel_covariables</t>
        </is>
      </c>
      <c r="G233" s="3" t="n">
        <v>-1.63689</v>
      </c>
      <c r="H233" s="3" t="n">
        <v>42.8025</v>
      </c>
      <c r="I233" s="3" t="n">
        <v>-2.42493</v>
      </c>
      <c r="J233" s="3" t="n">
        <v>-1.36869</v>
      </c>
      <c r="K233" s="3" t="n">
        <v>-3.82429</v>
      </c>
      <c r="L233" s="3" t="n"/>
      <c r="M233" s="3" t="inlineStr">
        <is>
          <t>no</t>
        </is>
      </c>
      <c r="N233" s="3" t="inlineStr">
        <is>
          <t>no designado (contraste C4: no hay svar_hd regional)</t>
        </is>
      </c>
      <c r="O233" s="3" t="inlineStr">
        <is>
          <t>CCAA: ranking por c_f·sign(dY) del panel FE (M8); asociacion, sin lectura causal; el factor comun es un resumen de comovimiento (pendiente ~1 mecanica, J23)</t>
        </is>
      </c>
      <c r="P233" s="3" t="inlineStr">
        <is>
          <t>output/v8/F5/regional_ranking.csv</t>
        </is>
      </c>
    </row>
    <row r="234">
      <c r="A234" s="3" t="inlineStr">
        <is>
          <t>alquiler</t>
        </is>
      </c>
      <c r="B234" s="3" t="inlineStr">
        <is>
          <t>ccaa:08</t>
        </is>
      </c>
      <c r="C234" s="3" t="inlineStr">
        <is>
          <t>P3</t>
        </is>
      </c>
      <c r="D234" s="3" t="inlineStr">
        <is>
          <t>factor_comun</t>
        </is>
      </c>
      <c r="E234" s="3" t="inlineStr">
        <is>
          <t>regional_ccaa_ols</t>
        </is>
      </c>
      <c r="F234" s="3" t="inlineStr">
        <is>
          <t>ols_solo_factor</t>
        </is>
      </c>
      <c r="G234" s="3" t="n">
        <v>-2.35313</v>
      </c>
      <c r="H234" s="3" t="n">
        <v>60.0585</v>
      </c>
      <c r="I234" s="3" t="n">
        <v>-3.62964</v>
      </c>
      <c r="J234" s="3" t="n">
        <v>-0.946906</v>
      </c>
      <c r="K234" s="3" t="n">
        <v>-3.26936</v>
      </c>
      <c r="L234" s="3" t="n"/>
      <c r="M234" s="3" t="inlineStr">
        <is>
          <t>no</t>
        </is>
      </c>
      <c r="N234" s="3" t="inlineStr">
        <is>
          <t>no designado (contraste C4: no hay svar_hd regional)</t>
        </is>
      </c>
      <c r="O234" s="3" t="inlineStr">
        <is>
          <t>CCAA: ranking por c_f·sign(dY) del panel FE (M8); asociacion, sin lectura causal; el factor comun es un resumen de comovimiento (pendiente ~1 mecanica, J23)</t>
        </is>
      </c>
      <c r="P234" s="3" t="inlineStr">
        <is>
          <t>output/v8/F5/regional_ranking.csv</t>
        </is>
      </c>
    </row>
    <row r="235">
      <c r="A235" s="3" t="inlineStr">
        <is>
          <t>alquiler</t>
        </is>
      </c>
      <c r="B235" s="3" t="inlineStr">
        <is>
          <t>ccaa:08</t>
        </is>
      </c>
      <c r="C235" s="3" t="inlineStr">
        <is>
          <t>P3</t>
        </is>
      </c>
      <c r="D235" s="3" t="inlineStr">
        <is>
          <t>residuo</t>
        </is>
      </c>
      <c r="E235" s="3" t="inlineStr">
        <is>
          <t>regional_ccaa_ols</t>
        </is>
      </c>
      <c r="F235" s="3" t="inlineStr">
        <is>
          <t>ols_solo_factor</t>
        </is>
      </c>
      <c r="G235" s="3" t="n">
        <v>-1.56494</v>
      </c>
      <c r="H235" s="3" t="n">
        <v>39.9415</v>
      </c>
      <c r="I235" s="3" t="n"/>
      <c r="J235" s="3" t="n"/>
      <c r="K235" s="3" t="n">
        <v>-3.26936</v>
      </c>
      <c r="L235" s="3" t="n"/>
      <c r="M235" s="3" t="inlineStr">
        <is>
          <t>no</t>
        </is>
      </c>
      <c r="N235" s="3" t="inlineStr">
        <is>
          <t>no designado (contraste C4: no hay svar_hd regional)</t>
        </is>
      </c>
      <c r="O235" s="3" t="inlineStr">
        <is>
          <t>CCAA: ranking por c_f·sign(dY) del panel FE (M8); asociacion, sin lectura causal; el factor comun es un resumen de comovimiento (pendiente ~1 mecanica, J23)</t>
        </is>
      </c>
      <c r="P235" s="3" t="inlineStr">
        <is>
          <t>output/v8/F5/regional_ranking.csv</t>
        </is>
      </c>
    </row>
    <row r="236">
      <c r="A236" s="3" t="inlineStr">
        <is>
          <t>alquiler</t>
        </is>
      </c>
      <c r="B236" s="3" t="inlineStr">
        <is>
          <t>ccaa:08</t>
        </is>
      </c>
      <c r="C236" s="3" t="inlineStr">
        <is>
          <t>P3</t>
        </is>
      </c>
      <c r="D236" s="3" t="inlineStr">
        <is>
          <t>factor_comun</t>
        </is>
      </c>
      <c r="E236" s="3" t="inlineStr">
        <is>
          <t>regional_panel</t>
        </is>
      </c>
      <c r="F236" s="3" t="inlineStr">
        <is>
          <t>panel_covariables</t>
        </is>
      </c>
      <c r="G236" s="3" t="n">
        <v>-1.89168</v>
      </c>
      <c r="H236" s="3" t="n">
        <v>57.861</v>
      </c>
      <c r="I236" s="3" t="n">
        <v>-3.03018</v>
      </c>
      <c r="J236" s="3" t="n">
        <v>-0.7753910000000001</v>
      </c>
      <c r="K236" s="3" t="n">
        <v>-3.26936</v>
      </c>
      <c r="L236" s="3" t="n"/>
      <c r="M236" s="3" t="inlineStr">
        <is>
          <t>no</t>
        </is>
      </c>
      <c r="N236" s="3" t="inlineStr">
        <is>
          <t>no designado (contraste C4: no hay svar_hd regional)</t>
        </is>
      </c>
      <c r="O236" s="3" t="inlineStr">
        <is>
          <t>CCAA: ranking por c_f·sign(dY) del panel FE (M8); asociacion, sin lectura causal; el factor comun es un resumen de comovimiento (pendiente ~1 mecanica, J23)</t>
        </is>
      </c>
      <c r="P236" s="3" t="inlineStr">
        <is>
          <t>output/v8/F5/regional_ranking.csv</t>
        </is>
      </c>
    </row>
    <row r="237">
      <c r="A237" s="3" t="inlineStr">
        <is>
          <t>alquiler</t>
        </is>
      </c>
      <c r="B237" s="3" t="inlineStr">
        <is>
          <t>ccaa:08</t>
        </is>
      </c>
      <c r="C237" s="3" t="inlineStr">
        <is>
          <t>P3</t>
        </is>
      </c>
      <c r="D237" s="3" t="inlineStr">
        <is>
          <t>empleo_renta</t>
        </is>
      </c>
      <c r="E237" s="3" t="inlineStr">
        <is>
          <t>regional_panel</t>
        </is>
      </c>
      <c r="F237" s="3" t="inlineStr">
        <is>
          <t>panel_covariables</t>
        </is>
      </c>
      <c r="G237" s="3" t="n">
        <v>0.150312</v>
      </c>
      <c r="H237" s="3" t="n">
        <v>-4.5976</v>
      </c>
      <c r="I237" s="3" t="n">
        <v>-0.132965</v>
      </c>
      <c r="J237" s="3" t="n">
        <v>0.338301</v>
      </c>
      <c r="K237" s="3" t="n">
        <v>-3.26936</v>
      </c>
      <c r="L237" s="3" t="n">
        <v>3</v>
      </c>
      <c r="M237" s="3" t="inlineStr">
        <is>
          <t>si</t>
        </is>
      </c>
      <c r="N237" s="3" t="inlineStr">
        <is>
          <t>no designado (contraste C4: no hay svar_hd regional)</t>
        </is>
      </c>
      <c r="O237" s="3" t="inlineStr">
        <is>
          <t>CCAA: ranking por c_f·sign(dY) del panel FE (M8); asociacion, sin lectura causal; el factor comun es un resumen de comovimiento (pendiente ~1 mecanica, J23)</t>
        </is>
      </c>
      <c r="P237" s="3" t="inlineStr">
        <is>
          <t>output/v8/F5/regional_ranking.csv</t>
        </is>
      </c>
    </row>
    <row r="238">
      <c r="A238" s="3" t="inlineStr">
        <is>
          <t>alquiler</t>
        </is>
      </c>
      <c r="B238" s="3" t="inlineStr">
        <is>
          <t>ccaa:08</t>
        </is>
      </c>
      <c r="C238" s="3" t="inlineStr">
        <is>
          <t>P3</t>
        </is>
      </c>
      <c r="D238" s="3" t="inlineStr">
        <is>
          <t>demografia</t>
        </is>
      </c>
      <c r="E238" s="3" t="inlineStr">
        <is>
          <t>regional_panel</t>
        </is>
      </c>
      <c r="F238" s="3" t="inlineStr">
        <is>
          <t>panel_covariables</t>
        </is>
      </c>
      <c r="G238" s="3" t="n">
        <v>-1.09715</v>
      </c>
      <c r="H238" s="3" t="n">
        <v>33.5584</v>
      </c>
      <c r="I238" s="3" t="n">
        <v>-1.49702</v>
      </c>
      <c r="J238" s="3" t="n">
        <v>-0.841656</v>
      </c>
      <c r="K238" s="3" t="n">
        <v>-3.26936</v>
      </c>
      <c r="L238" s="3" t="n">
        <v>1</v>
      </c>
      <c r="M238" s="3" t="inlineStr">
        <is>
          <t>si</t>
        </is>
      </c>
      <c r="N238" s="3" t="inlineStr">
        <is>
          <t>no designado (contraste C4: no hay svar_hd regional)</t>
        </is>
      </c>
      <c r="O238" s="3" t="inlineStr">
        <is>
          <t>CCAA: ranking por c_f·sign(dY) del panel FE (M8); asociacion, sin lectura causal; el factor comun es un resumen de comovimiento (pendiente ~1 mecanica, J23)</t>
        </is>
      </c>
      <c r="P238" s="3" t="inlineStr">
        <is>
          <t>output/v8/F5/regional_ranking.csv</t>
        </is>
      </c>
    </row>
    <row r="239">
      <c r="A239" s="3" t="inlineStr">
        <is>
          <t>alquiler</t>
        </is>
      </c>
      <c r="B239" s="3" t="inlineStr">
        <is>
          <t>ccaa:08</t>
        </is>
      </c>
      <c r="C239" s="3" t="inlineStr">
        <is>
          <t>P3</t>
        </is>
      </c>
      <c r="D239" s="3" t="inlineStr">
        <is>
          <t>oferta</t>
        </is>
      </c>
      <c r="E239" s="3" t="inlineStr">
        <is>
          <t>regional_panel</t>
        </is>
      </c>
      <c r="F239" s="3" t="inlineStr">
        <is>
          <t>panel_covariables</t>
        </is>
      </c>
      <c r="G239" s="3" t="n">
        <v>0.0153465</v>
      </c>
      <c r="H239" s="3" t="n">
        <v>-0.469403</v>
      </c>
      <c r="I239" s="3" t="n">
        <v>-0.00227685</v>
      </c>
      <c r="J239" s="3" t="n">
        <v>0.0547302</v>
      </c>
      <c r="K239" s="3" t="n">
        <v>-3.26936</v>
      </c>
      <c r="L239" s="3" t="n">
        <v>2</v>
      </c>
      <c r="M239" s="3" t="inlineStr">
        <is>
          <t>si</t>
        </is>
      </c>
      <c r="N239" s="3" t="inlineStr">
        <is>
          <t>no designado (contraste C4: no hay svar_hd regional)</t>
        </is>
      </c>
      <c r="O239" s="3" t="inlineStr">
        <is>
          <t>CCAA: ranking por c_f·sign(dY) del panel FE (M8); asociacion, sin lectura causal; el factor comun es un resumen de comovimiento (pendiente ~1 mecanica, J23)</t>
        </is>
      </c>
      <c r="P239" s="3" t="inlineStr">
        <is>
          <t>output/v8/F5/regional_ranking.csv</t>
        </is>
      </c>
    </row>
    <row r="240">
      <c r="A240" s="3" t="inlineStr">
        <is>
          <t>alquiler</t>
        </is>
      </c>
      <c r="B240" s="3" t="inlineStr">
        <is>
          <t>ccaa:08</t>
        </is>
      </c>
      <c r="C240" s="3" t="inlineStr">
        <is>
          <t>P3</t>
        </is>
      </c>
      <c r="D240" s="3" t="inlineStr">
        <is>
          <t>demanda_externa</t>
        </is>
      </c>
      <c r="E240" s="3" t="inlineStr">
        <is>
          <t>regional_panel</t>
        </is>
      </c>
      <c r="F240" s="3" t="inlineStr">
        <is>
          <t>panel_covariables</t>
        </is>
      </c>
      <c r="G240" s="3" t="n">
        <v>0.204284</v>
      </c>
      <c r="H240" s="3" t="n">
        <v>-6.24845</v>
      </c>
      <c r="I240" s="3" t="n">
        <v>0.0747073</v>
      </c>
      <c r="J240" s="3" t="n">
        <v>0.356973</v>
      </c>
      <c r="K240" s="3" t="n">
        <v>-3.26936</v>
      </c>
      <c r="L240" s="3" t="n">
        <v>4</v>
      </c>
      <c r="M240" s="3" t="inlineStr">
        <is>
          <t>si</t>
        </is>
      </c>
      <c r="N240" s="3" t="inlineStr">
        <is>
          <t>no designado (contraste C4: no hay svar_hd regional)</t>
        </is>
      </c>
      <c r="O240" s="3" t="inlineStr">
        <is>
          <t>CCAA: ranking por c_f·sign(dY) del panel FE (M8); asociacion, sin lectura causal; el factor comun es un resumen de comovimiento (pendiente ~1 mecanica, J23)</t>
        </is>
      </c>
      <c r="P240" s="3" t="inlineStr">
        <is>
          <t>output/v8/F5/regional_ranking.csv</t>
        </is>
      </c>
    </row>
    <row r="241">
      <c r="A241" s="3" t="inlineStr">
        <is>
          <t>alquiler</t>
        </is>
      </c>
      <c r="B241" s="3" t="inlineStr">
        <is>
          <t>ccaa:08</t>
        </is>
      </c>
      <c r="C241" s="3" t="inlineStr">
        <is>
          <t>P3</t>
        </is>
      </c>
      <c r="D241" s="3" t="inlineStr">
        <is>
          <t>residuo</t>
        </is>
      </c>
      <c r="E241" s="3" t="inlineStr">
        <is>
          <t>regional_panel</t>
        </is>
      </c>
      <c r="F241" s="3" t="inlineStr">
        <is>
          <t>panel_covariables</t>
        </is>
      </c>
      <c r="G241" s="3" t="n">
        <v>-0.650473</v>
      </c>
      <c r="H241" s="3" t="n">
        <v>19.896</v>
      </c>
      <c r="I241" s="3" t="n">
        <v>-1.17943</v>
      </c>
      <c r="J241" s="3" t="n">
        <v>0.08447350000000001</v>
      </c>
      <c r="K241" s="3" t="n">
        <v>-3.26936</v>
      </c>
      <c r="L241" s="3" t="n"/>
      <c r="M241" s="3" t="inlineStr">
        <is>
          <t>no</t>
        </is>
      </c>
      <c r="N241" s="3" t="inlineStr">
        <is>
          <t>no designado (contraste C4: no hay svar_hd regional)</t>
        </is>
      </c>
      <c r="O241" s="3" t="inlineStr">
        <is>
          <t>CCAA: ranking por c_f·sign(dY) del panel FE (M8); asociacion, sin lectura causal; el factor comun es un resumen de comovimiento (pendiente ~1 mecanica, J23)</t>
        </is>
      </c>
      <c r="P241" s="3" t="inlineStr">
        <is>
          <t>output/v8/F5/regional_ranking.csv</t>
        </is>
      </c>
    </row>
    <row r="242">
      <c r="A242" s="3" t="inlineStr">
        <is>
          <t>alquiler</t>
        </is>
      </c>
      <c r="B242" s="3" t="inlineStr">
        <is>
          <t>ccaa:08</t>
        </is>
      </c>
      <c r="C242" s="3" t="inlineStr">
        <is>
          <t>P4</t>
        </is>
      </c>
      <c r="D242" s="3" t="inlineStr">
        <is>
          <t>factor_comun</t>
        </is>
      </c>
      <c r="E242" s="3" t="inlineStr">
        <is>
          <t>regional_ccaa_ols</t>
        </is>
      </c>
      <c r="F242" s="3" t="inlineStr">
        <is>
          <t>ols_solo_factor</t>
        </is>
      </c>
      <c r="G242" s="3" t="n">
        <v>-4.88621</v>
      </c>
      <c r="H242" s="3" t="n">
        <v>93.3034</v>
      </c>
      <c r="I242" s="3" t="n">
        <v>-7.83877</v>
      </c>
      <c r="J242" s="3" t="n">
        <v>-1.34815</v>
      </c>
      <c r="K242" s="3" t="n">
        <v>-5.23691</v>
      </c>
      <c r="L242" s="3" t="n"/>
      <c r="M242" s="3" t="inlineStr">
        <is>
          <t>no</t>
        </is>
      </c>
      <c r="N242" s="3" t="inlineStr">
        <is>
          <t>no designado (contraste C4: no hay svar_hd regional)</t>
        </is>
      </c>
      <c r="O242" s="3" t="inlineStr">
        <is>
          <t>CCAA: ranking por c_f·sign(dY) del panel FE (M8); asociacion, sin lectura causal; el factor comun es un resumen de comovimiento (pendiente ~1 mecanica, J23)</t>
        </is>
      </c>
      <c r="P242" s="3" t="inlineStr">
        <is>
          <t>output/v8/F5/regional_ranking.csv</t>
        </is>
      </c>
    </row>
    <row r="243">
      <c r="A243" s="3" t="inlineStr">
        <is>
          <t>alquiler</t>
        </is>
      </c>
      <c r="B243" s="3" t="inlineStr">
        <is>
          <t>ccaa:08</t>
        </is>
      </c>
      <c r="C243" s="3" t="inlineStr">
        <is>
          <t>P4</t>
        </is>
      </c>
      <c r="D243" s="3" t="inlineStr">
        <is>
          <t>residuo</t>
        </is>
      </c>
      <c r="E243" s="3" t="inlineStr">
        <is>
          <t>regional_ccaa_ols</t>
        </is>
      </c>
      <c r="F243" s="3" t="inlineStr">
        <is>
          <t>ols_solo_factor</t>
        </is>
      </c>
      <c r="G243" s="3" t="n">
        <v>-0.350695</v>
      </c>
      <c r="H243" s="3" t="n">
        <v>6.69661</v>
      </c>
      <c r="I243" s="3" t="n"/>
      <c r="J243" s="3" t="n"/>
      <c r="K243" s="3" t="n">
        <v>-5.23691</v>
      </c>
      <c r="L243" s="3" t="n"/>
      <c r="M243" s="3" t="inlineStr">
        <is>
          <t>no</t>
        </is>
      </c>
      <c r="N243" s="3" t="inlineStr">
        <is>
          <t>no designado (contraste C4: no hay svar_hd regional)</t>
        </is>
      </c>
      <c r="O243" s="3" t="inlineStr">
        <is>
          <t>CCAA: ranking por c_f·sign(dY) del panel FE (M8); asociacion, sin lectura causal; el factor comun es un resumen de comovimiento (pendiente ~1 mecanica, J23)</t>
        </is>
      </c>
      <c r="P243" s="3" t="inlineStr">
        <is>
          <t>output/v8/F5/regional_ranking.csv</t>
        </is>
      </c>
    </row>
    <row r="244">
      <c r="A244" s="3" t="inlineStr">
        <is>
          <t>alquiler</t>
        </is>
      </c>
      <c r="B244" s="3" t="inlineStr">
        <is>
          <t>ccaa:08</t>
        </is>
      </c>
      <c r="C244" s="3" t="inlineStr">
        <is>
          <t>P4</t>
        </is>
      </c>
      <c r="D244" s="3" t="inlineStr">
        <is>
          <t>factor_comun</t>
        </is>
      </c>
      <c r="E244" s="3" t="inlineStr">
        <is>
          <t>regional_panel</t>
        </is>
      </c>
      <c r="F244" s="3" t="inlineStr">
        <is>
          <t>panel_covariables</t>
        </is>
      </c>
      <c r="G244" s="3" t="n">
        <v>-4.82785</v>
      </c>
      <c r="H244" s="3" t="n">
        <v>92.1889</v>
      </c>
      <c r="I244" s="3" t="n">
        <v>-8.01083</v>
      </c>
      <c r="J244" s="3" t="n">
        <v>-1.73403</v>
      </c>
      <c r="K244" s="3" t="n">
        <v>-5.23691</v>
      </c>
      <c r="L244" s="3" t="n"/>
      <c r="M244" s="3" t="inlineStr">
        <is>
          <t>no</t>
        </is>
      </c>
      <c r="N244" s="3" t="inlineStr">
        <is>
          <t>no designado (contraste C4: no hay svar_hd regional)</t>
        </is>
      </c>
      <c r="O244" s="3" t="inlineStr">
        <is>
          <t>CCAA: ranking por c_f·sign(dY) del panel FE (M8); asociacion, sin lectura causal; el factor comun es un resumen de comovimiento (pendiente ~1 mecanica, J23)</t>
        </is>
      </c>
      <c r="P244" s="3" t="inlineStr">
        <is>
          <t>output/v8/F5/regional_ranking.csv</t>
        </is>
      </c>
    </row>
    <row r="245">
      <c r="A245" s="3" t="inlineStr">
        <is>
          <t>alquiler</t>
        </is>
      </c>
      <c r="B245" s="3" t="inlineStr">
        <is>
          <t>ccaa:08</t>
        </is>
      </c>
      <c r="C245" s="3" t="inlineStr">
        <is>
          <t>P4</t>
        </is>
      </c>
      <c r="D245" s="3" t="inlineStr">
        <is>
          <t>empleo_renta</t>
        </is>
      </c>
      <c r="E245" s="3" t="inlineStr">
        <is>
          <t>regional_panel</t>
        </is>
      </c>
      <c r="F245" s="3" t="inlineStr">
        <is>
          <t>panel_covariables</t>
        </is>
      </c>
      <c r="G245" s="3" t="n">
        <v>0.07328850000000001</v>
      </c>
      <c r="H245" s="3" t="n">
        <v>-1.39946</v>
      </c>
      <c r="I245" s="3" t="n">
        <v>-0.00132588</v>
      </c>
      <c r="J245" s="3" t="n">
        <v>0.0915291</v>
      </c>
      <c r="K245" s="3" t="n">
        <v>-5.23691</v>
      </c>
      <c r="L245" s="3" t="n">
        <v>3</v>
      </c>
      <c r="M245" s="3" t="inlineStr">
        <is>
          <t>si</t>
        </is>
      </c>
      <c r="N245" s="3" t="inlineStr">
        <is>
          <t>no designado (contraste C4: no hay svar_hd regional)</t>
        </is>
      </c>
      <c r="O245" s="3" t="inlineStr">
        <is>
          <t>CCAA: ranking por c_f·sign(dY) del panel FE (M8); asociacion, sin lectura causal; el factor comun es un resumen de comovimiento (pendiente ~1 mecanica, J23)</t>
        </is>
      </c>
      <c r="P245" s="3" t="inlineStr">
        <is>
          <t>output/v8/F5/regional_ranking.csv</t>
        </is>
      </c>
    </row>
    <row r="246">
      <c r="A246" s="3" t="inlineStr">
        <is>
          <t>alquiler</t>
        </is>
      </c>
      <c r="B246" s="3" t="inlineStr">
        <is>
          <t>ccaa:08</t>
        </is>
      </c>
      <c r="C246" s="3" t="inlineStr">
        <is>
          <t>P4</t>
        </is>
      </c>
      <c r="D246" s="3" t="inlineStr">
        <is>
          <t>demografia</t>
        </is>
      </c>
      <c r="E246" s="3" t="inlineStr">
        <is>
          <t>regional_panel</t>
        </is>
      </c>
      <c r="F246" s="3" t="inlineStr">
        <is>
          <t>panel_covariables</t>
        </is>
      </c>
      <c r="G246" s="3" t="n">
        <v>0.302797</v>
      </c>
      <c r="H246" s="3" t="n">
        <v>-5.78199</v>
      </c>
      <c r="I246" s="3" t="n">
        <v>0.201207</v>
      </c>
      <c r="J246" s="3" t="n">
        <v>0.38191</v>
      </c>
      <c r="K246" s="3" t="n">
        <v>-5.23691</v>
      </c>
      <c r="L246" s="3" t="n">
        <v>4</v>
      </c>
      <c r="M246" s="3" t="inlineStr">
        <is>
          <t>si</t>
        </is>
      </c>
      <c r="N246" s="3" t="inlineStr">
        <is>
          <t>no designado (contraste C4: no hay svar_hd regional)</t>
        </is>
      </c>
      <c r="O246" s="3" t="inlineStr">
        <is>
          <t>CCAA: ranking por c_f·sign(dY) del panel FE (M8); asociacion, sin lectura causal; el factor comun es un resumen de comovimiento (pendiente ~1 mecanica, J23)</t>
        </is>
      </c>
      <c r="P246" s="3" t="inlineStr">
        <is>
          <t>output/v8/F5/regional_ranking.csv</t>
        </is>
      </c>
    </row>
    <row r="247">
      <c r="A247" s="3" t="inlineStr">
        <is>
          <t>alquiler</t>
        </is>
      </c>
      <c r="B247" s="3" t="inlineStr">
        <is>
          <t>ccaa:08</t>
        </is>
      </c>
      <c r="C247" s="3" t="inlineStr">
        <is>
          <t>P4</t>
        </is>
      </c>
      <c r="D247" s="3" t="inlineStr">
        <is>
          <t>oferta</t>
        </is>
      </c>
      <c r="E247" s="3" t="inlineStr">
        <is>
          <t>regional_panel</t>
        </is>
      </c>
      <c r="F247" s="3" t="inlineStr">
        <is>
          <t>panel_covariables</t>
        </is>
      </c>
      <c r="G247" s="3" t="n">
        <v>0.00354999</v>
      </c>
      <c r="H247" s="3" t="n">
        <v>-0.067788</v>
      </c>
      <c r="I247" s="3" t="n">
        <v>-0.0117206</v>
      </c>
      <c r="J247" s="3" t="n">
        <v>0.0271508</v>
      </c>
      <c r="K247" s="3" t="n">
        <v>-5.23691</v>
      </c>
      <c r="L247" s="3" t="n">
        <v>1</v>
      </c>
      <c r="M247" s="3" t="inlineStr">
        <is>
          <t>si</t>
        </is>
      </c>
      <c r="N247" s="3" t="inlineStr">
        <is>
          <t>no designado (contraste C4: no hay svar_hd regional)</t>
        </is>
      </c>
      <c r="O247" s="3" t="inlineStr">
        <is>
          <t>CCAA: ranking por c_f·sign(dY) del panel FE (M8); asociacion, sin lectura causal; el factor comun es un resumen de comovimiento (pendiente ~1 mecanica, J23)</t>
        </is>
      </c>
      <c r="P247" s="3" t="inlineStr">
        <is>
          <t>output/v8/F5/regional_ranking.csv</t>
        </is>
      </c>
    </row>
    <row r="248">
      <c r="A248" s="3" t="inlineStr">
        <is>
          <t>alquiler</t>
        </is>
      </c>
      <c r="B248" s="3" t="inlineStr">
        <is>
          <t>ccaa:08</t>
        </is>
      </c>
      <c r="C248" s="3" t="inlineStr">
        <is>
          <t>P4</t>
        </is>
      </c>
      <c r="D248" s="3" t="inlineStr">
        <is>
          <t>demanda_externa</t>
        </is>
      </c>
      <c r="E248" s="3" t="inlineStr">
        <is>
          <t>regional_panel</t>
        </is>
      </c>
      <c r="F248" s="3" t="inlineStr">
        <is>
          <t>panel_covariables</t>
        </is>
      </c>
      <c r="G248" s="3" t="n">
        <v>0.00863385</v>
      </c>
      <c r="H248" s="3" t="n">
        <v>-0.164865</v>
      </c>
      <c r="I248" s="3" t="n">
        <v>-0.0426903</v>
      </c>
      <c r="J248" s="3" t="n">
        <v>0.0270121</v>
      </c>
      <c r="K248" s="3" t="n">
        <v>-5.23691</v>
      </c>
      <c r="L248" s="3" t="n">
        <v>2</v>
      </c>
      <c r="M248" s="3" t="inlineStr">
        <is>
          <t>si</t>
        </is>
      </c>
      <c r="N248" s="3" t="inlineStr">
        <is>
          <t>no designado (contraste C4: no hay svar_hd regional)</t>
        </is>
      </c>
      <c r="O248" s="3" t="inlineStr">
        <is>
          <t>CCAA: ranking por c_f·sign(dY) del panel FE (M8); asociacion, sin lectura causal; el factor comun es un resumen de comovimiento (pendiente ~1 mecanica, J23)</t>
        </is>
      </c>
      <c r="P248" s="3" t="inlineStr">
        <is>
          <t>output/v8/F5/regional_ranking.csv</t>
        </is>
      </c>
    </row>
    <row r="249">
      <c r="A249" s="3" t="inlineStr">
        <is>
          <t>alquiler</t>
        </is>
      </c>
      <c r="B249" s="3" t="inlineStr">
        <is>
          <t>ccaa:08</t>
        </is>
      </c>
      <c r="C249" s="3" t="inlineStr">
        <is>
          <t>P4</t>
        </is>
      </c>
      <c r="D249" s="3" t="inlineStr">
        <is>
          <t>residuo</t>
        </is>
      </c>
      <c r="E249" s="3" t="inlineStr">
        <is>
          <t>regional_panel</t>
        </is>
      </c>
      <c r="F249" s="3" t="inlineStr">
        <is>
          <t>panel_covariables</t>
        </is>
      </c>
      <c r="G249" s="3" t="n">
        <v>-0.797328</v>
      </c>
      <c r="H249" s="3" t="n">
        <v>15.2252</v>
      </c>
      <c r="I249" s="3" t="n">
        <v>-0.951738</v>
      </c>
      <c r="J249" s="3" t="n">
        <v>-0.644827</v>
      </c>
      <c r="K249" s="3" t="n">
        <v>-5.23691</v>
      </c>
      <c r="L249" s="3" t="n"/>
      <c r="M249" s="3" t="inlineStr">
        <is>
          <t>no</t>
        </is>
      </c>
      <c r="N249" s="3" t="inlineStr">
        <is>
          <t>no designado (contraste C4: no hay svar_hd regional)</t>
        </is>
      </c>
      <c r="O249" s="3" t="inlineStr">
        <is>
          <t>CCAA: ranking por c_f·sign(dY) del panel FE (M8); asociacion, sin lectura causal; el factor comun es un resumen de comovimiento (pendiente ~1 mecanica, J23)</t>
        </is>
      </c>
      <c r="P249" s="3" t="inlineStr">
        <is>
          <t>output/v8/F5/regional_ranking.csv</t>
        </is>
      </c>
    </row>
    <row r="250">
      <c r="A250" s="3" t="inlineStr">
        <is>
          <t>alquiler</t>
        </is>
      </c>
      <c r="B250" s="3" t="inlineStr">
        <is>
          <t>ccaa:08</t>
        </is>
      </c>
      <c r="C250" s="3" t="inlineStr">
        <is>
          <t>P5</t>
        </is>
      </c>
      <c r="D250" s="3" t="inlineStr">
        <is>
          <t>factor_comun</t>
        </is>
      </c>
      <c r="E250" s="3" t="inlineStr">
        <is>
          <t>regional_ccaa_ols</t>
        </is>
      </c>
      <c r="F250" s="3" t="inlineStr">
        <is>
          <t>ols_solo_factor</t>
        </is>
      </c>
      <c r="G250" s="3" t="n">
        <v>-5.88507</v>
      </c>
      <c r="H250" s="3" t="n">
        <v>114.335</v>
      </c>
      <c r="I250" s="3" t="n">
        <v>-8.34792</v>
      </c>
      <c r="J250" s="3" t="n">
        <v>-2.63911</v>
      </c>
      <c r="K250" s="3" t="n">
        <v>-4.94763</v>
      </c>
      <c r="L250" s="3" t="n"/>
      <c r="M250" s="3" t="inlineStr">
        <is>
          <t>no</t>
        </is>
      </c>
      <c r="N250" s="3" t="inlineStr">
        <is>
          <t>no designado (contraste C4: no hay svar_hd regional)</t>
        </is>
      </c>
      <c r="O250" s="3" t="inlineStr">
        <is>
          <t>CCAA: ranking por c_f·sign(dY) del panel FE (M8); asociacion, sin lectura causal; el factor comun es un resumen de comovimiento (pendiente ~1 mecanica, J23)</t>
        </is>
      </c>
      <c r="P250" s="3" t="inlineStr">
        <is>
          <t>output/v8/F5/regional_ranking.csv</t>
        </is>
      </c>
    </row>
    <row r="251">
      <c r="A251" s="3" t="inlineStr">
        <is>
          <t>alquiler</t>
        </is>
      </c>
      <c r="B251" s="3" t="inlineStr">
        <is>
          <t>ccaa:08</t>
        </is>
      </c>
      <c r="C251" s="3" t="inlineStr">
        <is>
          <t>P5</t>
        </is>
      </c>
      <c r="D251" s="3" t="inlineStr">
        <is>
          <t>residuo</t>
        </is>
      </c>
      <c r="E251" s="3" t="inlineStr">
        <is>
          <t>regional_ccaa_ols</t>
        </is>
      </c>
      <c r="F251" s="3" t="inlineStr">
        <is>
          <t>ols_solo_factor</t>
        </is>
      </c>
      <c r="G251" s="3" t="n">
        <v>0.737847</v>
      </c>
      <c r="H251" s="3" t="n">
        <v>-14.3348</v>
      </c>
      <c r="I251" s="3" t="n"/>
      <c r="J251" s="3" t="n"/>
      <c r="K251" s="3" t="n">
        <v>-4.94763</v>
      </c>
      <c r="L251" s="3" t="n"/>
      <c r="M251" s="3" t="inlineStr">
        <is>
          <t>no</t>
        </is>
      </c>
      <c r="N251" s="3" t="inlineStr">
        <is>
          <t>no designado (contraste C4: no hay svar_hd regional)</t>
        </is>
      </c>
      <c r="O251" s="3" t="inlineStr">
        <is>
          <t>CCAA: ranking por c_f·sign(dY) del panel FE (M8); asociacion, sin lectura causal; el factor comun es un resumen de comovimiento (pendiente ~1 mecanica, J23)</t>
        </is>
      </c>
      <c r="P251" s="3" t="inlineStr">
        <is>
          <t>output/v8/F5/regional_ranking.csv</t>
        </is>
      </c>
    </row>
    <row r="252">
      <c r="A252" s="3" t="inlineStr">
        <is>
          <t>alquiler</t>
        </is>
      </c>
      <c r="B252" s="3" t="inlineStr">
        <is>
          <t>ccaa:08</t>
        </is>
      </c>
      <c r="C252" s="3" t="inlineStr">
        <is>
          <t>P5</t>
        </is>
      </c>
      <c r="D252" s="3" t="inlineStr">
        <is>
          <t>factor_comun</t>
        </is>
      </c>
      <c r="E252" s="3" t="inlineStr">
        <is>
          <t>regional_panel</t>
        </is>
      </c>
      <c r="F252" s="3" t="inlineStr">
        <is>
          <t>panel_covariables</t>
        </is>
      </c>
      <c r="G252" s="3" t="n">
        <v>-5.47353</v>
      </c>
      <c r="H252" s="3" t="n">
        <v>110.629</v>
      </c>
      <c r="I252" s="3" t="n">
        <v>-7.50057</v>
      </c>
      <c r="J252" s="3" t="n">
        <v>-3.0519</v>
      </c>
      <c r="K252" s="3" t="n">
        <v>-4.94763</v>
      </c>
      <c r="L252" s="3" t="n"/>
      <c r="M252" s="3" t="inlineStr">
        <is>
          <t>no</t>
        </is>
      </c>
      <c r="N252" s="3" t="inlineStr">
        <is>
          <t>no designado (contraste C4: no hay svar_hd regional)</t>
        </is>
      </c>
      <c r="O252" s="3" t="inlineStr">
        <is>
          <t>CCAA: ranking por c_f·sign(dY) del panel FE (M8); asociacion, sin lectura causal; el factor comun es un resumen de comovimiento (pendiente ~1 mecanica, J23)</t>
        </is>
      </c>
      <c r="P252" s="3" t="inlineStr">
        <is>
          <t>output/v8/F5/regional_ranking.csv</t>
        </is>
      </c>
    </row>
    <row r="253">
      <c r="A253" s="3" t="inlineStr">
        <is>
          <t>alquiler</t>
        </is>
      </c>
      <c r="B253" s="3" t="inlineStr">
        <is>
          <t>ccaa:08</t>
        </is>
      </c>
      <c r="C253" s="3" t="inlineStr">
        <is>
          <t>P5</t>
        </is>
      </c>
      <c r="D253" s="3" t="inlineStr">
        <is>
          <t>empleo_renta</t>
        </is>
      </c>
      <c r="E253" s="3" t="inlineStr">
        <is>
          <t>regional_panel</t>
        </is>
      </c>
      <c r="F253" s="3" t="inlineStr">
        <is>
          <t>panel_covariables</t>
        </is>
      </c>
      <c r="G253" s="3" t="n">
        <v>-0.0785257</v>
      </c>
      <c r="H253" s="3" t="n">
        <v>1.58714</v>
      </c>
      <c r="I253" s="3" t="n">
        <v>-0.154814</v>
      </c>
      <c r="J253" s="3" t="n">
        <v>-0.0256448</v>
      </c>
      <c r="K253" s="3" t="n">
        <v>-4.94763</v>
      </c>
      <c r="L253" s="3" t="n">
        <v>1</v>
      </c>
      <c r="M253" s="3" t="inlineStr">
        <is>
          <t>si</t>
        </is>
      </c>
      <c r="N253" s="3" t="inlineStr">
        <is>
          <t>no designado (contraste C4: no hay svar_hd regional)</t>
        </is>
      </c>
      <c r="O253" s="3" t="inlineStr">
        <is>
          <t>CCAA: ranking por c_f·sign(dY) del panel FE (M8); asociacion, sin lectura causal; el factor comun es un resumen de comovimiento (pendiente ~1 mecanica, J23)</t>
        </is>
      </c>
      <c r="P253" s="3" t="inlineStr">
        <is>
          <t>output/v8/F5/regional_ranking.csv</t>
        </is>
      </c>
    </row>
    <row r="254">
      <c r="A254" s="3" t="inlineStr">
        <is>
          <t>alquiler</t>
        </is>
      </c>
      <c r="B254" s="3" t="inlineStr">
        <is>
          <t>ccaa:08</t>
        </is>
      </c>
      <c r="C254" s="3" t="inlineStr">
        <is>
          <t>P5</t>
        </is>
      </c>
      <c r="D254" s="3" t="inlineStr">
        <is>
          <t>demografia</t>
        </is>
      </c>
      <c r="E254" s="3" t="inlineStr">
        <is>
          <t>regional_panel</t>
        </is>
      </c>
      <c r="F254" s="3" t="inlineStr">
        <is>
          <t>panel_covariables</t>
        </is>
      </c>
      <c r="G254" s="3" t="n">
        <v>0.579944</v>
      </c>
      <c r="H254" s="3" t="n">
        <v>-11.7217</v>
      </c>
      <c r="I254" s="3" t="n">
        <v>0.104646</v>
      </c>
      <c r="J254" s="3" t="n">
        <v>1.22464</v>
      </c>
      <c r="K254" s="3" t="n">
        <v>-4.94763</v>
      </c>
      <c r="L254" s="3" t="n">
        <v>4</v>
      </c>
      <c r="M254" s="3" t="inlineStr">
        <is>
          <t>si</t>
        </is>
      </c>
      <c r="N254" s="3" t="inlineStr">
        <is>
          <t>no designado (contraste C4: no hay svar_hd regional)</t>
        </is>
      </c>
      <c r="O254" s="3" t="inlineStr">
        <is>
          <t>CCAA: ranking por c_f·sign(dY) del panel FE (M8); asociacion, sin lectura causal; el factor comun es un resumen de comovimiento (pendiente ~1 mecanica, J23)</t>
        </is>
      </c>
      <c r="P254" s="3" t="inlineStr">
        <is>
          <t>output/v8/F5/regional_ranking.csv</t>
        </is>
      </c>
    </row>
    <row r="255">
      <c r="A255" s="3" t="inlineStr">
        <is>
          <t>alquiler</t>
        </is>
      </c>
      <c r="B255" s="3" t="inlineStr">
        <is>
          <t>ccaa:08</t>
        </is>
      </c>
      <c r="C255" s="3" t="inlineStr">
        <is>
          <t>P5</t>
        </is>
      </c>
      <c r="D255" s="3" t="inlineStr">
        <is>
          <t>oferta</t>
        </is>
      </c>
      <c r="E255" s="3" t="inlineStr">
        <is>
          <t>regional_panel</t>
        </is>
      </c>
      <c r="F255" s="3" t="inlineStr">
        <is>
          <t>panel_covariables</t>
        </is>
      </c>
      <c r="G255" s="3" t="n">
        <v>0.00286701</v>
      </c>
      <c r="H255" s="3" t="n">
        <v>-0.0579473</v>
      </c>
      <c r="I255" s="3" t="n">
        <v>-0.0124258</v>
      </c>
      <c r="J255" s="3" t="n">
        <v>0.0077801</v>
      </c>
      <c r="K255" s="3" t="n">
        <v>-4.94763</v>
      </c>
      <c r="L255" s="3" t="n">
        <v>2</v>
      </c>
      <c r="M255" s="3" t="inlineStr">
        <is>
          <t>si</t>
        </is>
      </c>
      <c r="N255" s="3" t="inlineStr">
        <is>
          <t>no designado (contraste C4: no hay svar_hd regional)</t>
        </is>
      </c>
      <c r="O255" s="3" t="inlineStr">
        <is>
          <t>CCAA: ranking por c_f·sign(dY) del panel FE (M8); asociacion, sin lectura causal; el factor comun es un resumen de comovimiento (pendiente ~1 mecanica, J23)</t>
        </is>
      </c>
      <c r="P255" s="3" t="inlineStr">
        <is>
          <t>output/v8/F5/regional_ranking.csv</t>
        </is>
      </c>
    </row>
    <row r="256">
      <c r="A256" s="3" t="inlineStr">
        <is>
          <t>alquiler</t>
        </is>
      </c>
      <c r="B256" s="3" t="inlineStr">
        <is>
          <t>ccaa:08</t>
        </is>
      </c>
      <c r="C256" s="3" t="inlineStr">
        <is>
          <t>P5</t>
        </is>
      </c>
      <c r="D256" s="3" t="inlineStr">
        <is>
          <t>demanda_externa</t>
        </is>
      </c>
      <c r="E256" s="3" t="inlineStr">
        <is>
          <t>regional_panel</t>
        </is>
      </c>
      <c r="F256" s="3" t="inlineStr">
        <is>
          <t>panel_covariables</t>
        </is>
      </c>
      <c r="G256" s="3" t="n">
        <v>0.06879830000000001</v>
      </c>
      <c r="H256" s="3" t="n">
        <v>-1.39053</v>
      </c>
      <c r="I256" s="3" t="n">
        <v>0.00714857</v>
      </c>
      <c r="J256" s="3" t="n">
        <v>0.152727</v>
      </c>
      <c r="K256" s="3" t="n">
        <v>-4.94763</v>
      </c>
      <c r="L256" s="3" t="n">
        <v>3</v>
      </c>
      <c r="M256" s="3" t="inlineStr">
        <is>
          <t>si</t>
        </is>
      </c>
      <c r="N256" s="3" t="inlineStr">
        <is>
          <t>no designado (contraste C4: no hay svar_hd regional)</t>
        </is>
      </c>
      <c r="O256" s="3" t="inlineStr">
        <is>
          <t>CCAA: ranking por c_f·sign(dY) del panel FE (M8); asociacion, sin lectura causal; el factor comun es un resumen de comovimiento (pendiente ~1 mecanica, J23)</t>
        </is>
      </c>
      <c r="P256" s="3" t="inlineStr">
        <is>
          <t>output/v8/F5/regional_ranking.csv</t>
        </is>
      </c>
    </row>
    <row r="257">
      <c r="A257" s="3" t="inlineStr">
        <is>
          <t>alquiler</t>
        </is>
      </c>
      <c r="B257" s="3" t="inlineStr">
        <is>
          <t>ccaa:08</t>
        </is>
      </c>
      <c r="C257" s="3" t="inlineStr">
        <is>
          <t>P5</t>
        </is>
      </c>
      <c r="D257" s="3" t="inlineStr">
        <is>
          <t>residuo</t>
        </is>
      </c>
      <c r="E257" s="3" t="inlineStr">
        <is>
          <t>regional_panel</t>
        </is>
      </c>
      <c r="F257" s="3" t="inlineStr">
        <is>
          <t>panel_covariables</t>
        </is>
      </c>
      <c r="G257" s="3" t="n">
        <v>-0.0471775</v>
      </c>
      <c r="H257" s="3" t="n">
        <v>0.953539</v>
      </c>
      <c r="I257" s="3" t="n">
        <v>-0.66638</v>
      </c>
      <c r="J257" s="3" t="n">
        <v>0.472796</v>
      </c>
      <c r="K257" s="3" t="n">
        <v>-4.94763</v>
      </c>
      <c r="L257" s="3" t="n"/>
      <c r="M257" s="3" t="inlineStr">
        <is>
          <t>no</t>
        </is>
      </c>
      <c r="N257" s="3" t="inlineStr">
        <is>
          <t>no designado (contraste C4: no hay svar_hd regional)</t>
        </is>
      </c>
      <c r="O257" s="3" t="inlineStr">
        <is>
          <t>CCAA: ranking por c_f·sign(dY) del panel FE (M8); asociacion, sin lectura causal; el factor comun es un resumen de comovimiento (pendiente ~1 mecanica, J23)</t>
        </is>
      </c>
      <c r="P257" s="3" t="inlineStr">
        <is>
          <t>output/v8/F5/regional_ranking.csv</t>
        </is>
      </c>
    </row>
    <row r="258">
      <c r="A258" s="3" t="inlineStr">
        <is>
          <t>alquiler</t>
        </is>
      </c>
      <c r="B258" s="3" t="inlineStr">
        <is>
          <t>ccaa:09</t>
        </is>
      </c>
      <c r="C258" s="3" t="inlineStr">
        <is>
          <t>P2</t>
        </is>
      </c>
      <c r="D258" s="3" t="inlineStr">
        <is>
          <t>factor_comun</t>
        </is>
      </c>
      <c r="E258" s="3" t="inlineStr">
        <is>
          <t>regional_ccaa_ols</t>
        </is>
      </c>
      <c r="F258" s="3" t="inlineStr">
        <is>
          <t>ols_solo_factor</t>
        </is>
      </c>
      <c r="G258" s="3" t="n">
        <v>-3.04127</v>
      </c>
      <c r="H258" s="3" t="n">
        <v>829.2619999999999</v>
      </c>
      <c r="I258" s="3" t="n">
        <v>-6.4081</v>
      </c>
      <c r="J258" s="3" t="n">
        <v>0.916624</v>
      </c>
      <c r="K258" s="3" t="n">
        <v>-0.457408</v>
      </c>
      <c r="L258" s="3" t="n"/>
      <c r="M258" s="3" t="inlineStr">
        <is>
          <t>no</t>
        </is>
      </c>
      <c r="N258" s="3" t="inlineStr">
        <is>
          <t>no designado (contraste C4: no hay svar_hd regional)</t>
        </is>
      </c>
      <c r="O258" s="3" t="inlineStr">
        <is>
          <t>CCAA: ranking por c_f·sign(dY) del panel FE (M8); asociacion, sin lectura causal; el factor comun es un resumen de comovimiento (pendiente ~1 mecanica, J23)</t>
        </is>
      </c>
      <c r="P258" s="3" t="inlineStr">
        <is>
          <t>output/v8/F5/regional_ranking.csv</t>
        </is>
      </c>
    </row>
    <row r="259">
      <c r="A259" s="3" t="inlineStr">
        <is>
          <t>alquiler</t>
        </is>
      </c>
      <c r="B259" s="3" t="inlineStr">
        <is>
          <t>ccaa:09</t>
        </is>
      </c>
      <c r="C259" s="3" t="inlineStr">
        <is>
          <t>P2</t>
        </is>
      </c>
      <c r="D259" s="3" t="inlineStr">
        <is>
          <t>residuo</t>
        </is>
      </c>
      <c r="E259" s="3" t="inlineStr">
        <is>
          <t>regional_ccaa_ols</t>
        </is>
      </c>
      <c r="F259" s="3" t="inlineStr">
        <is>
          <t>ols_solo_factor</t>
        </is>
      </c>
      <c r="G259" s="3" t="n">
        <v>2.67452</v>
      </c>
      <c r="H259" s="3" t="n">
        <v>-729.2619999999999</v>
      </c>
      <c r="I259" s="3" t="n"/>
      <c r="J259" s="3" t="n"/>
      <c r="K259" s="3" t="n">
        <v>-0.457408</v>
      </c>
      <c r="L259" s="3" t="n"/>
      <c r="M259" s="3" t="inlineStr">
        <is>
          <t>no</t>
        </is>
      </c>
      <c r="N259" s="3" t="inlineStr">
        <is>
          <t>no designado (contraste C4: no hay svar_hd regional)</t>
        </is>
      </c>
      <c r="O259" s="3" t="inlineStr">
        <is>
          <t>CCAA: ranking por c_f·sign(dY) del panel FE (M8); asociacion, sin lectura causal; el factor comun es un resumen de comovimiento (pendiente ~1 mecanica, J23)</t>
        </is>
      </c>
      <c r="P259" s="3" t="inlineStr">
        <is>
          <t>output/v8/F5/regional_ranking.csv</t>
        </is>
      </c>
    </row>
    <row r="260">
      <c r="A260" s="3" t="inlineStr">
        <is>
          <t>alquiler</t>
        </is>
      </c>
      <c r="B260" s="3" t="inlineStr">
        <is>
          <t>ccaa:09</t>
        </is>
      </c>
      <c r="C260" s="3" t="inlineStr">
        <is>
          <t>P2</t>
        </is>
      </c>
      <c r="D260" s="3" t="inlineStr">
        <is>
          <t>factor_comun</t>
        </is>
      </c>
      <c r="E260" s="3" t="inlineStr">
        <is>
          <t>regional_panel</t>
        </is>
      </c>
      <c r="F260" s="3" t="inlineStr">
        <is>
          <t>panel_covariables</t>
        </is>
      </c>
      <c r="G260" s="3" t="n">
        <v>-3.50963</v>
      </c>
      <c r="H260" s="3" t="n">
        <v>767.285</v>
      </c>
      <c r="I260" s="3" t="n">
        <v>-7.73728</v>
      </c>
      <c r="J260" s="3" t="n">
        <v>0.660335</v>
      </c>
      <c r="K260" s="3" t="n">
        <v>-0.457408</v>
      </c>
      <c r="L260" s="3" t="n"/>
      <c r="M260" s="3" t="inlineStr">
        <is>
          <t>no</t>
        </is>
      </c>
      <c r="N260" s="3" t="inlineStr">
        <is>
          <t>no designado (contraste C4: no hay svar_hd regional)</t>
        </is>
      </c>
      <c r="O260" s="3" t="inlineStr">
        <is>
          <t>CCAA: ranking por c_f·sign(dY) del panel FE (M8); asociacion, sin lectura causal; el factor comun es un resumen de comovimiento (pendiente ~1 mecanica, J23)</t>
        </is>
      </c>
      <c r="P260" s="3" t="inlineStr">
        <is>
          <t>output/v8/F5/regional_ranking.csv</t>
        </is>
      </c>
    </row>
    <row r="261">
      <c r="A261" s="3" t="inlineStr">
        <is>
          <t>alquiler</t>
        </is>
      </c>
      <c r="B261" s="3" t="inlineStr">
        <is>
          <t>ccaa:09</t>
        </is>
      </c>
      <c r="C261" s="3" t="inlineStr">
        <is>
          <t>P2</t>
        </is>
      </c>
      <c r="D261" s="3" t="inlineStr">
        <is>
          <t>empleo_renta</t>
        </is>
      </c>
      <c r="E261" s="3" t="inlineStr">
        <is>
          <t>regional_panel</t>
        </is>
      </c>
      <c r="F261" s="3" t="inlineStr">
        <is>
          <t>panel_covariables</t>
        </is>
      </c>
      <c r="G261" s="3" t="n">
        <v>0.0835948</v>
      </c>
      <c r="H261" s="3" t="n">
        <v>-18.2758</v>
      </c>
      <c r="I261" s="3" t="n">
        <v>-0.26226</v>
      </c>
      <c r="J261" s="3" t="n">
        <v>0.504009</v>
      </c>
      <c r="K261" s="3" t="n">
        <v>-0.457408</v>
      </c>
      <c r="L261" s="3" t="n">
        <v>2</v>
      </c>
      <c r="M261" s="3" t="inlineStr">
        <is>
          <t>si</t>
        </is>
      </c>
      <c r="N261" s="3" t="inlineStr">
        <is>
          <t>no designado (contraste C4: no hay svar_hd regional)</t>
        </is>
      </c>
      <c r="O261" s="3" t="inlineStr">
        <is>
          <t>CCAA: ranking por c_f·sign(dY) del panel FE (M8); asociacion, sin lectura causal; el factor comun es un resumen de comovimiento (pendiente ~1 mecanica, J23)</t>
        </is>
      </c>
      <c r="P261" s="3" t="inlineStr">
        <is>
          <t>output/v8/F5/regional_ranking.csv</t>
        </is>
      </c>
    </row>
    <row r="262">
      <c r="A262" s="3" t="inlineStr">
        <is>
          <t>alquiler</t>
        </is>
      </c>
      <c r="B262" s="3" t="inlineStr">
        <is>
          <t>ccaa:09</t>
        </is>
      </c>
      <c r="C262" s="3" t="inlineStr">
        <is>
          <t>P2</t>
        </is>
      </c>
      <c r="D262" s="3" t="inlineStr">
        <is>
          <t>demografia</t>
        </is>
      </c>
      <c r="E262" s="3" t="inlineStr">
        <is>
          <t>regional_panel</t>
        </is>
      </c>
      <c r="F262" s="3" t="inlineStr">
        <is>
          <t>panel_covariables</t>
        </is>
      </c>
      <c r="G262" s="3" t="n">
        <v>1.041</v>
      </c>
      <c r="H262" s="3" t="n">
        <v>-227.586</v>
      </c>
      <c r="I262" s="3" t="n">
        <v>0.789377</v>
      </c>
      <c r="J262" s="3" t="n">
        <v>1.64143</v>
      </c>
      <c r="K262" s="3" t="n">
        <v>-0.457408</v>
      </c>
      <c r="L262" s="3" t="n">
        <v>4</v>
      </c>
      <c r="M262" s="3" t="inlineStr">
        <is>
          <t>si</t>
        </is>
      </c>
      <c r="N262" s="3" t="inlineStr">
        <is>
          <t>no designado (contraste C4: no hay svar_hd regional)</t>
        </is>
      </c>
      <c r="O262" s="3" t="inlineStr">
        <is>
          <t>CCAA: ranking por c_f·sign(dY) del panel FE (M8); asociacion, sin lectura causal; el factor comun es un resumen de comovimiento (pendiente ~1 mecanica, J23)</t>
        </is>
      </c>
      <c r="P262" s="3" t="inlineStr">
        <is>
          <t>output/v8/F5/regional_ranking.csv</t>
        </is>
      </c>
    </row>
    <row r="263">
      <c r="A263" s="3" t="inlineStr">
        <is>
          <t>alquiler</t>
        </is>
      </c>
      <c r="B263" s="3" t="inlineStr">
        <is>
          <t>ccaa:09</t>
        </is>
      </c>
      <c r="C263" s="3" t="inlineStr">
        <is>
          <t>P2</t>
        </is>
      </c>
      <c r="D263" s="3" t="inlineStr">
        <is>
          <t>oferta</t>
        </is>
      </c>
      <c r="E263" s="3" t="inlineStr">
        <is>
          <t>regional_panel</t>
        </is>
      </c>
      <c r="F263" s="3" t="inlineStr">
        <is>
          <t>panel_covariables</t>
        </is>
      </c>
      <c r="G263" s="3" t="n">
        <v>0.297834</v>
      </c>
      <c r="H263" s="3" t="n">
        <v>-65.1135</v>
      </c>
      <c r="I263" s="3" t="n">
        <v>0.0419609</v>
      </c>
      <c r="J263" s="3" t="n">
        <v>0.523332</v>
      </c>
      <c r="K263" s="3" t="n">
        <v>-0.457408</v>
      </c>
      <c r="L263" s="3" t="n">
        <v>3</v>
      </c>
      <c r="M263" s="3" t="inlineStr">
        <is>
          <t>si</t>
        </is>
      </c>
      <c r="N263" s="3" t="inlineStr">
        <is>
          <t>no designado (contraste C4: no hay svar_hd regional)</t>
        </is>
      </c>
      <c r="O263" s="3" t="inlineStr">
        <is>
          <t>CCAA: ranking por c_f·sign(dY) del panel FE (M8); asociacion, sin lectura causal; el factor comun es un resumen de comovimiento (pendiente ~1 mecanica, J23)</t>
        </is>
      </c>
      <c r="P263" s="3" t="inlineStr">
        <is>
          <t>output/v8/F5/regional_ranking.csv</t>
        </is>
      </c>
    </row>
    <row r="264">
      <c r="A264" s="3" t="inlineStr">
        <is>
          <t>alquiler</t>
        </is>
      </c>
      <c r="B264" s="3" t="inlineStr">
        <is>
          <t>ccaa:09</t>
        </is>
      </c>
      <c r="C264" s="3" t="inlineStr">
        <is>
          <t>P2</t>
        </is>
      </c>
      <c r="D264" s="3" t="inlineStr">
        <is>
          <t>demanda_externa</t>
        </is>
      </c>
      <c r="E264" s="3" t="inlineStr">
        <is>
          <t>regional_panel</t>
        </is>
      </c>
      <c r="F264" s="3" t="inlineStr">
        <is>
          <t>panel_covariables</t>
        </is>
      </c>
      <c r="G264" s="3" t="n">
        <v>0.0781607</v>
      </c>
      <c r="H264" s="3" t="n">
        <v>-17.0877</v>
      </c>
      <c r="I264" s="3" t="n">
        <v>0.00248638</v>
      </c>
      <c r="J264" s="3" t="n">
        <v>0.130894</v>
      </c>
      <c r="K264" s="3" t="n">
        <v>-0.457408</v>
      </c>
      <c r="L264" s="3" t="n">
        <v>1</v>
      </c>
      <c r="M264" s="3" t="inlineStr">
        <is>
          <t>si</t>
        </is>
      </c>
      <c r="N264" s="3" t="inlineStr">
        <is>
          <t>no designado (contraste C4: no hay svar_hd regional)</t>
        </is>
      </c>
      <c r="O264" s="3" t="inlineStr">
        <is>
          <t>CCAA: ranking por c_f·sign(dY) del panel FE (M8); asociacion, sin lectura causal; el factor comun es un resumen de comovimiento (pendiente ~1 mecanica, J23)</t>
        </is>
      </c>
      <c r="P264" s="3" t="inlineStr">
        <is>
          <t>output/v8/F5/regional_ranking.csv</t>
        </is>
      </c>
    </row>
    <row r="265">
      <c r="A265" s="3" t="inlineStr">
        <is>
          <t>alquiler</t>
        </is>
      </c>
      <c r="B265" s="3" t="inlineStr">
        <is>
          <t>ccaa:09</t>
        </is>
      </c>
      <c r="C265" s="3" t="inlineStr">
        <is>
          <t>P2</t>
        </is>
      </c>
      <c r="D265" s="3" t="inlineStr">
        <is>
          <t>residuo</t>
        </is>
      </c>
      <c r="E265" s="3" t="inlineStr">
        <is>
          <t>regional_panel</t>
        </is>
      </c>
      <c r="F265" s="3" t="inlineStr">
        <is>
          <t>panel_covariables</t>
        </is>
      </c>
      <c r="G265" s="3" t="n">
        <v>1.55163</v>
      </c>
      <c r="H265" s="3" t="n">
        <v>-339.222</v>
      </c>
      <c r="I265" s="3" t="n">
        <v>0.80282</v>
      </c>
      <c r="J265" s="3" t="n">
        <v>2.27559</v>
      </c>
      <c r="K265" s="3" t="n">
        <v>-0.457408</v>
      </c>
      <c r="L265" s="3" t="n"/>
      <c r="M265" s="3" t="inlineStr">
        <is>
          <t>no</t>
        </is>
      </c>
      <c r="N265" s="3" t="inlineStr">
        <is>
          <t>no designado (contraste C4: no hay svar_hd regional)</t>
        </is>
      </c>
      <c r="O265" s="3" t="inlineStr">
        <is>
          <t>CCAA: ranking por c_f·sign(dY) del panel FE (M8); asociacion, sin lectura causal; el factor comun es un resumen de comovimiento (pendiente ~1 mecanica, J23)</t>
        </is>
      </c>
      <c r="P265" s="3" t="inlineStr">
        <is>
          <t>output/v8/F5/regional_ranking.csv</t>
        </is>
      </c>
    </row>
    <row r="266">
      <c r="A266" s="3" t="inlineStr">
        <is>
          <t>alquiler</t>
        </is>
      </c>
      <c r="B266" s="3" t="inlineStr">
        <is>
          <t>ccaa:09</t>
        </is>
      </c>
      <c r="C266" s="3" t="inlineStr">
        <is>
          <t>P3</t>
        </is>
      </c>
      <c r="D266" s="3" t="inlineStr">
        <is>
          <t>factor_comun</t>
        </is>
      </c>
      <c r="E266" s="3" t="inlineStr">
        <is>
          <t>regional_ccaa_ols</t>
        </is>
      </c>
      <c r="F266" s="3" t="inlineStr">
        <is>
          <t>ols_solo_factor</t>
        </is>
      </c>
      <c r="G266" s="3" t="n">
        <v>-2.55884</v>
      </c>
      <c r="H266" s="3" t="n">
        <v>-626.4160000000001</v>
      </c>
      <c r="I266" s="3" t="n">
        <v>-4.1963</v>
      </c>
      <c r="J266" s="3" t="n">
        <v>-1.05193</v>
      </c>
      <c r="K266" s="3" t="n">
        <v>0.7151149999999999</v>
      </c>
      <c r="L266" s="3" t="n"/>
      <c r="M266" s="3" t="inlineStr">
        <is>
          <t>no</t>
        </is>
      </c>
      <c r="N266" s="3" t="inlineStr">
        <is>
          <t>no designado (contraste C4: no hay svar_hd regional)</t>
        </is>
      </c>
      <c r="O266" s="3" t="inlineStr">
        <is>
          <t>CCAA: ranking por c_f·sign(dY) del panel FE (M8); asociacion, sin lectura causal; el factor comun es un resumen de comovimiento (pendiente ~1 mecanica, J23)</t>
        </is>
      </c>
      <c r="P266" s="3" t="inlineStr">
        <is>
          <t>output/v8/F5/regional_ranking.csv</t>
        </is>
      </c>
    </row>
    <row r="267">
      <c r="A267" s="3" t="inlineStr">
        <is>
          <t>alquiler</t>
        </is>
      </c>
      <c r="B267" s="3" t="inlineStr">
        <is>
          <t>ccaa:09</t>
        </is>
      </c>
      <c r="C267" s="3" t="inlineStr">
        <is>
          <t>P3</t>
        </is>
      </c>
      <c r="D267" s="3" t="inlineStr">
        <is>
          <t>residuo</t>
        </is>
      </c>
      <c r="E267" s="3" t="inlineStr">
        <is>
          <t>regional_ccaa_ols</t>
        </is>
      </c>
      <c r="F267" s="3" t="inlineStr">
        <is>
          <t>ols_solo_factor</t>
        </is>
      </c>
      <c r="G267" s="3" t="n">
        <v>2.96733</v>
      </c>
      <c r="H267" s="3" t="n">
        <v>726.4160000000001</v>
      </c>
      <c r="I267" s="3" t="n"/>
      <c r="J267" s="3" t="n"/>
      <c r="K267" s="3" t="n">
        <v>0.7151149999999999</v>
      </c>
      <c r="L267" s="3" t="n"/>
      <c r="M267" s="3" t="inlineStr">
        <is>
          <t>no</t>
        </is>
      </c>
      <c r="N267" s="3" t="inlineStr">
        <is>
          <t>no designado (contraste C4: no hay svar_hd regional)</t>
        </is>
      </c>
      <c r="O267" s="3" t="inlineStr">
        <is>
          <t>CCAA: ranking por c_f·sign(dY) del panel FE (M8); asociacion, sin lectura causal; el factor comun es un resumen de comovimiento (pendiente ~1 mecanica, J23)</t>
        </is>
      </c>
      <c r="P267" s="3" t="inlineStr">
        <is>
          <t>output/v8/F5/regional_ranking.csv</t>
        </is>
      </c>
    </row>
    <row r="268">
      <c r="A268" s="3" t="inlineStr">
        <is>
          <t>alquiler</t>
        </is>
      </c>
      <c r="B268" s="3" t="inlineStr">
        <is>
          <t>ccaa:09</t>
        </is>
      </c>
      <c r="C268" s="3" t="inlineStr">
        <is>
          <t>P3</t>
        </is>
      </c>
      <c r="D268" s="3" t="inlineStr">
        <is>
          <t>factor_comun</t>
        </is>
      </c>
      <c r="E268" s="3" t="inlineStr">
        <is>
          <t>regional_panel</t>
        </is>
      </c>
      <c r="F268" s="3" t="inlineStr">
        <is>
          <t>panel_covariables</t>
        </is>
      </c>
      <c r="G268" s="3" t="n">
        <v>-1.89168</v>
      </c>
      <c r="H268" s="3" t="n">
        <v>-264.528</v>
      </c>
      <c r="I268" s="3" t="n">
        <v>-3.03018</v>
      </c>
      <c r="J268" s="3" t="n">
        <v>-0.7753910000000001</v>
      </c>
      <c r="K268" s="3" t="n">
        <v>0.7151149999999999</v>
      </c>
      <c r="L268" s="3" t="n"/>
      <c r="M268" s="3" t="inlineStr">
        <is>
          <t>no</t>
        </is>
      </c>
      <c r="N268" s="3" t="inlineStr">
        <is>
          <t>no designado (contraste C4: no hay svar_hd regional)</t>
        </is>
      </c>
      <c r="O268" s="3" t="inlineStr">
        <is>
          <t>CCAA: ranking por c_f·sign(dY) del panel FE (M8); asociacion, sin lectura causal; el factor comun es un resumen de comovimiento (pendiente ~1 mecanica, J23)</t>
        </is>
      </c>
      <c r="P268" s="3" t="inlineStr">
        <is>
          <t>output/v8/F5/regional_ranking.csv</t>
        </is>
      </c>
    </row>
    <row r="269">
      <c r="A269" s="3" t="inlineStr">
        <is>
          <t>alquiler</t>
        </is>
      </c>
      <c r="B269" s="3" t="inlineStr">
        <is>
          <t>ccaa:09</t>
        </is>
      </c>
      <c r="C269" s="3" t="inlineStr">
        <is>
          <t>P3</t>
        </is>
      </c>
      <c r="D269" s="3" t="inlineStr">
        <is>
          <t>empleo_renta</t>
        </is>
      </c>
      <c r="E269" s="3" t="inlineStr">
        <is>
          <t>regional_panel</t>
        </is>
      </c>
      <c r="F269" s="3" t="inlineStr">
        <is>
          <t>panel_covariables</t>
        </is>
      </c>
      <c r="G269" s="3" t="n">
        <v>0.215067</v>
      </c>
      <c r="H269" s="3" t="n">
        <v>30.0745</v>
      </c>
      <c r="I269" s="3" t="n">
        <v>-0.0620368</v>
      </c>
      <c r="J269" s="3" t="n">
        <v>0.349711</v>
      </c>
      <c r="K269" s="3" t="n">
        <v>0.7151149999999999</v>
      </c>
      <c r="L269" s="3" t="n">
        <v>2</v>
      </c>
      <c r="M269" s="3" t="inlineStr">
        <is>
          <t>si</t>
        </is>
      </c>
      <c r="N269" s="3" t="inlineStr">
        <is>
          <t>no designado (contraste C4: no hay svar_hd regional)</t>
        </is>
      </c>
      <c r="O269" s="3" t="inlineStr">
        <is>
          <t>CCAA: ranking por c_f·sign(dY) del panel FE (M8); asociacion, sin lectura causal; el factor comun es un resumen de comovimiento (pendiente ~1 mecanica, J23)</t>
        </is>
      </c>
      <c r="P269" s="3" t="inlineStr">
        <is>
          <t>output/v8/F5/regional_ranking.csv</t>
        </is>
      </c>
    </row>
    <row r="270">
      <c r="A270" s="3" t="inlineStr">
        <is>
          <t>alquiler</t>
        </is>
      </c>
      <c r="B270" s="3" t="inlineStr">
        <is>
          <t>ccaa:09</t>
        </is>
      </c>
      <c r="C270" s="3" t="inlineStr">
        <is>
          <t>P3</t>
        </is>
      </c>
      <c r="D270" s="3" t="inlineStr">
        <is>
          <t>demografia</t>
        </is>
      </c>
      <c r="E270" s="3" t="inlineStr">
        <is>
          <t>regional_panel</t>
        </is>
      </c>
      <c r="F270" s="3" t="inlineStr">
        <is>
          <t>panel_covariables</t>
        </is>
      </c>
      <c r="G270" s="3" t="n">
        <v>1.56706</v>
      </c>
      <c r="H270" s="3" t="n">
        <v>219.134</v>
      </c>
      <c r="I270" s="3" t="n">
        <v>1.10653</v>
      </c>
      <c r="J270" s="3" t="n">
        <v>2.07339</v>
      </c>
      <c r="K270" s="3" t="n">
        <v>0.7151149999999999</v>
      </c>
      <c r="L270" s="3" t="n">
        <v>1</v>
      </c>
      <c r="M270" s="3" t="inlineStr">
        <is>
          <t>si</t>
        </is>
      </c>
      <c r="N270" s="3" t="inlineStr">
        <is>
          <t>no designado (contraste C4: no hay svar_hd regional)</t>
        </is>
      </c>
      <c r="O270" s="3" t="inlineStr">
        <is>
          <t>CCAA: ranking por c_f·sign(dY) del panel FE (M8); asociacion, sin lectura causal; el factor comun es un resumen de comovimiento (pendiente ~1 mecanica, J23)</t>
        </is>
      </c>
      <c r="P270" s="3" t="inlineStr">
        <is>
          <t>output/v8/F5/regional_ranking.csv</t>
        </is>
      </c>
    </row>
    <row r="271">
      <c r="A271" s="3" t="inlineStr">
        <is>
          <t>alquiler</t>
        </is>
      </c>
      <c r="B271" s="3" t="inlineStr">
        <is>
          <t>ccaa:09</t>
        </is>
      </c>
      <c r="C271" s="3" t="inlineStr">
        <is>
          <t>P3</t>
        </is>
      </c>
      <c r="D271" s="3" t="inlineStr">
        <is>
          <t>oferta</t>
        </is>
      </c>
      <c r="E271" s="3" t="inlineStr">
        <is>
          <t>regional_panel</t>
        </is>
      </c>
      <c r="F271" s="3" t="inlineStr">
        <is>
          <t>panel_covariables</t>
        </is>
      </c>
      <c r="G271" s="3" t="n">
        <v>0.0565447</v>
      </c>
      <c r="H271" s="3" t="n">
        <v>7.90708</v>
      </c>
      <c r="I271" s="3" t="n">
        <v>-0.0266286</v>
      </c>
      <c r="J271" s="3" t="n">
        <v>0.1344</v>
      </c>
      <c r="K271" s="3" t="n">
        <v>0.7151149999999999</v>
      </c>
      <c r="L271" s="3" t="n">
        <v>4</v>
      </c>
      <c r="M271" s="3" t="inlineStr">
        <is>
          <t>si</t>
        </is>
      </c>
      <c r="N271" s="3" t="inlineStr">
        <is>
          <t>no designado (contraste C4: no hay svar_hd regional)</t>
        </is>
      </c>
      <c r="O271" s="3" t="inlineStr">
        <is>
          <t>CCAA: ranking por c_f·sign(dY) del panel FE (M8); asociacion, sin lectura causal; el factor comun es un resumen de comovimiento (pendiente ~1 mecanica, J23)</t>
        </is>
      </c>
      <c r="P271" s="3" t="inlineStr">
        <is>
          <t>output/v8/F5/regional_ranking.csv</t>
        </is>
      </c>
    </row>
    <row r="272">
      <c r="A272" s="3" t="inlineStr">
        <is>
          <t>alquiler</t>
        </is>
      </c>
      <c r="B272" s="3" t="inlineStr">
        <is>
          <t>ccaa:09</t>
        </is>
      </c>
      <c r="C272" s="3" t="inlineStr">
        <is>
          <t>P3</t>
        </is>
      </c>
      <c r="D272" s="3" t="inlineStr">
        <is>
          <t>demanda_externa</t>
        </is>
      </c>
      <c r="E272" s="3" t="inlineStr">
        <is>
          <t>regional_panel</t>
        </is>
      </c>
      <c r="F272" s="3" t="inlineStr">
        <is>
          <t>panel_covariables</t>
        </is>
      </c>
      <c r="G272" s="3" t="n">
        <v>0.094809</v>
      </c>
      <c r="H272" s="3" t="n">
        <v>13.2579</v>
      </c>
      <c r="I272" s="3" t="n">
        <v>0.0305165</v>
      </c>
      <c r="J272" s="3" t="n">
        <v>0.166324</v>
      </c>
      <c r="K272" s="3" t="n">
        <v>0.7151149999999999</v>
      </c>
      <c r="L272" s="3" t="n">
        <v>3</v>
      </c>
      <c r="M272" s="3" t="inlineStr">
        <is>
          <t>si</t>
        </is>
      </c>
      <c r="N272" s="3" t="inlineStr">
        <is>
          <t>no designado (contraste C4: no hay svar_hd regional)</t>
        </is>
      </c>
      <c r="O272" s="3" t="inlineStr">
        <is>
          <t>CCAA: ranking por c_f·sign(dY) del panel FE (M8); asociacion, sin lectura causal; el factor comun es un resumen de comovimiento (pendiente ~1 mecanica, J23)</t>
        </is>
      </c>
      <c r="P272" s="3" t="inlineStr">
        <is>
          <t>output/v8/F5/regional_ranking.csv</t>
        </is>
      </c>
    </row>
    <row r="273">
      <c r="A273" s="3" t="inlineStr">
        <is>
          <t>alquiler</t>
        </is>
      </c>
      <c r="B273" s="3" t="inlineStr">
        <is>
          <t>ccaa:09</t>
        </is>
      </c>
      <c r="C273" s="3" t="inlineStr">
        <is>
          <t>P3</t>
        </is>
      </c>
      <c r="D273" s="3" t="inlineStr">
        <is>
          <t>residuo</t>
        </is>
      </c>
      <c r="E273" s="3" t="inlineStr">
        <is>
          <t>regional_panel</t>
        </is>
      </c>
      <c r="F273" s="3" t="inlineStr">
        <is>
          <t>panel_covariables</t>
        </is>
      </c>
      <c r="G273" s="3" t="n">
        <v>0.673318</v>
      </c>
      <c r="H273" s="3" t="n">
        <v>94.1551</v>
      </c>
      <c r="I273" s="3" t="n">
        <v>-0.363482</v>
      </c>
      <c r="J273" s="3" t="n">
        <v>1.92667</v>
      </c>
      <c r="K273" s="3" t="n">
        <v>0.7151149999999999</v>
      </c>
      <c r="L273" s="3" t="n"/>
      <c r="M273" s="3" t="inlineStr">
        <is>
          <t>no</t>
        </is>
      </c>
      <c r="N273" s="3" t="inlineStr">
        <is>
          <t>no designado (contraste C4: no hay svar_hd regional)</t>
        </is>
      </c>
      <c r="O273" s="3" t="inlineStr">
        <is>
          <t>CCAA: ranking por c_f·sign(dY) del panel FE (M8); asociacion, sin lectura causal; el factor comun es un resumen de comovimiento (pendiente ~1 mecanica, J23)</t>
        </is>
      </c>
      <c r="P273" s="3" t="inlineStr">
        <is>
          <t>output/v8/F5/regional_ranking.csv</t>
        </is>
      </c>
    </row>
    <row r="274">
      <c r="A274" s="3" t="inlineStr">
        <is>
          <t>alquiler</t>
        </is>
      </c>
      <c r="B274" s="3" t="inlineStr">
        <is>
          <t>ccaa:09</t>
        </is>
      </c>
      <c r="C274" s="3" t="inlineStr">
        <is>
          <t>P4</t>
        </is>
      </c>
      <c r="D274" s="3" t="inlineStr">
        <is>
          <t>factor_comun</t>
        </is>
      </c>
      <c r="E274" s="3" t="inlineStr">
        <is>
          <t>regional_ccaa_ols</t>
        </is>
      </c>
      <c r="F274" s="3" t="inlineStr">
        <is>
          <t>ols_solo_factor</t>
        </is>
      </c>
      <c r="G274" s="3" t="n">
        <v>-5.26734</v>
      </c>
      <c r="H274" s="3" t="n">
        <v>122.201</v>
      </c>
      <c r="I274" s="3" t="n">
        <v>-8.919919999999999</v>
      </c>
      <c r="J274" s="3" t="n">
        <v>-1.9735</v>
      </c>
      <c r="K274" s="3" t="n">
        <v>-4.3104</v>
      </c>
      <c r="L274" s="3" t="n"/>
      <c r="M274" s="3" t="inlineStr">
        <is>
          <t>no</t>
        </is>
      </c>
      <c r="N274" s="3" t="inlineStr">
        <is>
          <t>no designado (contraste C4: no hay svar_hd regional)</t>
        </is>
      </c>
      <c r="O274" s="3" t="inlineStr">
        <is>
          <t>CCAA: ranking por c_f·sign(dY) del panel FE (M8); asociacion, sin lectura causal; el factor comun es un resumen de comovimiento (pendiente ~1 mecanica, J23)</t>
        </is>
      </c>
      <c r="P274" s="3" t="inlineStr">
        <is>
          <t>output/v8/F5/regional_ranking.csv</t>
        </is>
      </c>
    </row>
    <row r="275">
      <c r="A275" s="3" t="inlineStr">
        <is>
          <t>alquiler</t>
        </is>
      </c>
      <c r="B275" s="3" t="inlineStr">
        <is>
          <t>ccaa:09</t>
        </is>
      </c>
      <c r="C275" s="3" t="inlineStr">
        <is>
          <t>P4</t>
        </is>
      </c>
      <c r="D275" s="3" t="inlineStr">
        <is>
          <t>residuo</t>
        </is>
      </c>
      <c r="E275" s="3" t="inlineStr">
        <is>
          <t>regional_ccaa_ols</t>
        </is>
      </c>
      <c r="F275" s="3" t="inlineStr">
        <is>
          <t>ols_solo_factor</t>
        </is>
      </c>
      <c r="G275" s="3" t="n">
        <v>0.956946</v>
      </c>
      <c r="H275" s="3" t="n">
        <v>-22.2009</v>
      </c>
      <c r="I275" s="3" t="n"/>
      <c r="J275" s="3" t="n"/>
      <c r="K275" s="3" t="n">
        <v>-4.3104</v>
      </c>
      <c r="L275" s="3" t="n"/>
      <c r="M275" s="3" t="inlineStr">
        <is>
          <t>no</t>
        </is>
      </c>
      <c r="N275" s="3" t="inlineStr">
        <is>
          <t>no designado (contraste C4: no hay svar_hd regional)</t>
        </is>
      </c>
      <c r="O275" s="3" t="inlineStr">
        <is>
          <t>CCAA: ranking por c_f·sign(dY) del panel FE (M8); asociacion, sin lectura causal; el factor comun es un resumen de comovimiento (pendiente ~1 mecanica, J23)</t>
        </is>
      </c>
      <c r="P275" s="3" t="inlineStr">
        <is>
          <t>output/v8/F5/regional_ranking.csv</t>
        </is>
      </c>
    </row>
    <row r="276">
      <c r="A276" s="3" t="inlineStr">
        <is>
          <t>alquiler</t>
        </is>
      </c>
      <c r="B276" s="3" t="inlineStr">
        <is>
          <t>ccaa:09</t>
        </is>
      </c>
      <c r="C276" s="3" t="inlineStr">
        <is>
          <t>P4</t>
        </is>
      </c>
      <c r="D276" s="3" t="inlineStr">
        <is>
          <t>factor_comun</t>
        </is>
      </c>
      <c r="E276" s="3" t="inlineStr">
        <is>
          <t>regional_panel</t>
        </is>
      </c>
      <c r="F276" s="3" t="inlineStr">
        <is>
          <t>panel_covariables</t>
        </is>
      </c>
      <c r="G276" s="3" t="n">
        <v>-4.82785</v>
      </c>
      <c r="H276" s="3" t="n">
        <v>112.005</v>
      </c>
      <c r="I276" s="3" t="n">
        <v>-8.01083</v>
      </c>
      <c r="J276" s="3" t="n">
        <v>-1.73403</v>
      </c>
      <c r="K276" s="3" t="n">
        <v>-4.3104</v>
      </c>
      <c r="L276" s="3" t="n"/>
      <c r="M276" s="3" t="inlineStr">
        <is>
          <t>no</t>
        </is>
      </c>
      <c r="N276" s="3" t="inlineStr">
        <is>
          <t>no designado (contraste C4: no hay svar_hd regional)</t>
        </is>
      </c>
      <c r="O276" s="3" t="inlineStr">
        <is>
          <t>CCAA: ranking por c_f·sign(dY) del panel FE (M8); asociacion, sin lectura causal; el factor comun es un resumen de comovimiento (pendiente ~1 mecanica, J23)</t>
        </is>
      </c>
      <c r="P276" s="3" t="inlineStr">
        <is>
          <t>output/v8/F5/regional_ranking.csv</t>
        </is>
      </c>
    </row>
    <row r="277">
      <c r="A277" s="3" t="inlineStr">
        <is>
          <t>alquiler</t>
        </is>
      </c>
      <c r="B277" s="3" t="inlineStr">
        <is>
          <t>ccaa:09</t>
        </is>
      </c>
      <c r="C277" s="3" t="inlineStr">
        <is>
          <t>P4</t>
        </is>
      </c>
      <c r="D277" s="3" t="inlineStr">
        <is>
          <t>empleo_renta</t>
        </is>
      </c>
      <c r="E277" s="3" t="inlineStr">
        <is>
          <t>regional_panel</t>
        </is>
      </c>
      <c r="F277" s="3" t="inlineStr">
        <is>
          <t>panel_covariables</t>
        </is>
      </c>
      <c r="G277" s="3" t="n">
        <v>0.0296607</v>
      </c>
      <c r="H277" s="3" t="n">
        <v>-0.688121</v>
      </c>
      <c r="I277" s="3" t="n">
        <v>-0.0707339</v>
      </c>
      <c r="J277" s="3" t="n">
        <v>0.049415</v>
      </c>
      <c r="K277" s="3" t="n">
        <v>-4.3104</v>
      </c>
      <c r="L277" s="3" t="n">
        <v>3</v>
      </c>
      <c r="M277" s="3" t="inlineStr">
        <is>
          <t>si</t>
        </is>
      </c>
      <c r="N277" s="3" t="inlineStr">
        <is>
          <t>no designado (contraste C4: no hay svar_hd regional)</t>
        </is>
      </c>
      <c r="O277" s="3" t="inlineStr">
        <is>
          <t>CCAA: ranking por c_f·sign(dY) del panel FE (M8); asociacion, sin lectura causal; el factor comun es un resumen de comovimiento (pendiente ~1 mecanica, J23)</t>
        </is>
      </c>
      <c r="P277" s="3" t="inlineStr">
        <is>
          <t>output/v8/F5/regional_ranking.csv</t>
        </is>
      </c>
    </row>
    <row r="278">
      <c r="A278" s="3" t="inlineStr">
        <is>
          <t>alquiler</t>
        </is>
      </c>
      <c r="B278" s="3" t="inlineStr">
        <is>
          <t>ccaa:09</t>
        </is>
      </c>
      <c r="C278" s="3" t="inlineStr">
        <is>
          <t>P4</t>
        </is>
      </c>
      <c r="D278" s="3" t="inlineStr">
        <is>
          <t>demografia</t>
        </is>
      </c>
      <c r="E278" s="3" t="inlineStr">
        <is>
          <t>regional_panel</t>
        </is>
      </c>
      <c r="F278" s="3" t="inlineStr">
        <is>
          <t>panel_covariables</t>
        </is>
      </c>
      <c r="G278" s="3" t="n">
        <v>0.225739</v>
      </c>
      <c r="H278" s="3" t="n">
        <v>-5.23708</v>
      </c>
      <c r="I278" s="3" t="n">
        <v>0.0619145</v>
      </c>
      <c r="J278" s="3" t="n">
        <v>0.328964</v>
      </c>
      <c r="K278" s="3" t="n">
        <v>-4.3104</v>
      </c>
      <c r="L278" s="3" t="n">
        <v>4</v>
      </c>
      <c r="M278" s="3" t="inlineStr">
        <is>
          <t>si</t>
        </is>
      </c>
      <c r="N278" s="3" t="inlineStr">
        <is>
          <t>no designado (contraste C4: no hay svar_hd regional)</t>
        </is>
      </c>
      <c r="O278" s="3" t="inlineStr">
        <is>
          <t>CCAA: ranking por c_f·sign(dY) del panel FE (M8); asociacion, sin lectura causal; el factor comun es un resumen de comovimiento (pendiente ~1 mecanica, J23)</t>
        </is>
      </c>
      <c r="P278" s="3" t="inlineStr">
        <is>
          <t>output/v8/F5/regional_ranking.csv</t>
        </is>
      </c>
    </row>
    <row r="279">
      <c r="A279" s="3" t="inlineStr">
        <is>
          <t>alquiler</t>
        </is>
      </c>
      <c r="B279" s="3" t="inlineStr">
        <is>
          <t>ccaa:09</t>
        </is>
      </c>
      <c r="C279" s="3" t="inlineStr">
        <is>
          <t>P4</t>
        </is>
      </c>
      <c r="D279" s="3" t="inlineStr">
        <is>
          <t>oferta</t>
        </is>
      </c>
      <c r="E279" s="3" t="inlineStr">
        <is>
          <t>regional_panel</t>
        </is>
      </c>
      <c r="F279" s="3" t="inlineStr">
        <is>
          <t>panel_covariables</t>
        </is>
      </c>
      <c r="G279" s="3" t="n">
        <v>-0.000957842</v>
      </c>
      <c r="H279" s="3" t="n">
        <v>0.0222217</v>
      </c>
      <c r="I279" s="3" t="n">
        <v>-0.0122195</v>
      </c>
      <c r="J279" s="3" t="n">
        <v>0.0142395</v>
      </c>
      <c r="K279" s="3" t="n">
        <v>-4.3104</v>
      </c>
      <c r="L279" s="3" t="n">
        <v>1</v>
      </c>
      <c r="M279" s="3" t="inlineStr">
        <is>
          <t>si</t>
        </is>
      </c>
      <c r="N279" s="3" t="inlineStr">
        <is>
          <t>no designado (contraste C4: no hay svar_hd regional)</t>
        </is>
      </c>
      <c r="O279" s="3" t="inlineStr">
        <is>
          <t>CCAA: ranking por c_f·sign(dY) del panel FE (M8); asociacion, sin lectura causal; el factor comun es un resumen de comovimiento (pendiente ~1 mecanica, J23)</t>
        </is>
      </c>
      <c r="P279" s="3" t="inlineStr">
        <is>
          <t>output/v8/F5/regional_ranking.csv</t>
        </is>
      </c>
    </row>
    <row r="280">
      <c r="A280" s="3" t="inlineStr">
        <is>
          <t>alquiler</t>
        </is>
      </c>
      <c r="B280" s="3" t="inlineStr">
        <is>
          <t>ccaa:09</t>
        </is>
      </c>
      <c r="C280" s="3" t="inlineStr">
        <is>
          <t>P4</t>
        </is>
      </c>
      <c r="D280" s="3" t="inlineStr">
        <is>
          <t>demanda_externa</t>
        </is>
      </c>
      <c r="E280" s="3" t="inlineStr">
        <is>
          <t>regional_panel</t>
        </is>
      </c>
      <c r="F280" s="3" t="inlineStr">
        <is>
          <t>panel_covariables</t>
        </is>
      </c>
      <c r="G280" s="3" t="n">
        <v>0.00675478</v>
      </c>
      <c r="H280" s="3" t="n">
        <v>-0.156709</v>
      </c>
      <c r="I280" s="3" t="n">
        <v>-0.045657</v>
      </c>
      <c r="J280" s="3" t="n">
        <v>0.0214598</v>
      </c>
      <c r="K280" s="3" t="n">
        <v>-4.3104</v>
      </c>
      <c r="L280" s="3" t="n">
        <v>2</v>
      </c>
      <c r="M280" s="3" t="inlineStr">
        <is>
          <t>si</t>
        </is>
      </c>
      <c r="N280" s="3" t="inlineStr">
        <is>
          <t>no designado (contraste C4: no hay svar_hd regional)</t>
        </is>
      </c>
      <c r="O280" s="3" t="inlineStr">
        <is>
          <t>CCAA: ranking por c_f·sign(dY) del panel FE (M8); asociacion, sin lectura causal; el factor comun es un resumen de comovimiento (pendiente ~1 mecanica, J23)</t>
        </is>
      </c>
      <c r="P280" s="3" t="inlineStr">
        <is>
          <t>output/v8/F5/regional_ranking.csv</t>
        </is>
      </c>
    </row>
    <row r="281">
      <c r="A281" s="3" t="inlineStr">
        <is>
          <t>alquiler</t>
        </is>
      </c>
      <c r="B281" s="3" t="inlineStr">
        <is>
          <t>ccaa:09</t>
        </is>
      </c>
      <c r="C281" s="3" t="inlineStr">
        <is>
          <t>P4</t>
        </is>
      </c>
      <c r="D281" s="3" t="inlineStr">
        <is>
          <t>residuo</t>
        </is>
      </c>
      <c r="E281" s="3" t="inlineStr">
        <is>
          <t>regional_panel</t>
        </is>
      </c>
      <c r="F281" s="3" t="inlineStr">
        <is>
          <t>panel_covariables</t>
        </is>
      </c>
      <c r="G281" s="3" t="n">
        <v>0.256255</v>
      </c>
      <c r="H281" s="3" t="n">
        <v>-5.94505</v>
      </c>
      <c r="I281" s="3" t="n">
        <v>-0.107707</v>
      </c>
      <c r="J281" s="3" t="n">
        <v>0.7008450000000001</v>
      </c>
      <c r="K281" s="3" t="n">
        <v>-4.3104</v>
      </c>
      <c r="L281" s="3" t="n"/>
      <c r="M281" s="3" t="inlineStr">
        <is>
          <t>no</t>
        </is>
      </c>
      <c r="N281" s="3" t="inlineStr">
        <is>
          <t>no designado (contraste C4: no hay svar_hd regional)</t>
        </is>
      </c>
      <c r="O281" s="3" t="inlineStr">
        <is>
          <t>CCAA: ranking por c_f·sign(dY) del panel FE (M8); asociacion, sin lectura causal; el factor comun es un resumen de comovimiento (pendiente ~1 mecanica, J23)</t>
        </is>
      </c>
      <c r="P281" s="3" t="inlineStr">
        <is>
          <t>output/v8/F5/regional_ranking.csv</t>
        </is>
      </c>
    </row>
    <row r="282">
      <c r="A282" s="3" t="inlineStr">
        <is>
          <t>alquiler</t>
        </is>
      </c>
      <c r="B282" s="3" t="inlineStr">
        <is>
          <t>ccaa:09</t>
        </is>
      </c>
      <c r="C282" s="3" t="inlineStr">
        <is>
          <t>P5</t>
        </is>
      </c>
      <c r="D282" s="3" t="inlineStr">
        <is>
          <t>factor_comun</t>
        </is>
      </c>
      <c r="E282" s="3" t="inlineStr">
        <is>
          <t>regional_ccaa_ols</t>
        </is>
      </c>
      <c r="F282" s="3" t="inlineStr">
        <is>
          <t>ols_solo_factor</t>
        </is>
      </c>
      <c r="G282" s="3" t="n">
        <v>-5.22055</v>
      </c>
      <c r="H282" s="3" t="n">
        <v>69.77809999999999</v>
      </c>
      <c r="I282" s="3" t="n">
        <v>-7.76196</v>
      </c>
      <c r="J282" s="3" t="n">
        <v>-1.92261</v>
      </c>
      <c r="K282" s="3" t="n">
        <v>-6.30488</v>
      </c>
      <c r="L282" s="3" t="n"/>
      <c r="M282" s="3" t="inlineStr">
        <is>
          <t>no</t>
        </is>
      </c>
      <c r="N282" s="3" t="inlineStr">
        <is>
          <t>no designado (contraste C4: no hay svar_hd regional)</t>
        </is>
      </c>
      <c r="O282" s="3" t="inlineStr">
        <is>
          <t>CCAA: ranking por c_f·sign(dY) del panel FE (M8); asociacion, sin lectura causal; el factor comun es un resumen de comovimiento (pendiente ~1 mecanica, J23)</t>
        </is>
      </c>
      <c r="P282" s="3" t="inlineStr">
        <is>
          <t>output/v8/F5/regional_ranking.csv</t>
        </is>
      </c>
    </row>
    <row r="283">
      <c r="A283" s="3" t="inlineStr">
        <is>
          <t>alquiler</t>
        </is>
      </c>
      <c r="B283" s="3" t="inlineStr">
        <is>
          <t>ccaa:09</t>
        </is>
      </c>
      <c r="C283" s="3" t="inlineStr">
        <is>
          <t>P5</t>
        </is>
      </c>
      <c r="D283" s="3" t="inlineStr">
        <is>
          <t>residuo</t>
        </is>
      </c>
      <c r="E283" s="3" t="inlineStr">
        <is>
          <t>regional_ccaa_ols</t>
        </is>
      </c>
      <c r="F283" s="3" t="inlineStr">
        <is>
          <t>ols_solo_factor</t>
        </is>
      </c>
      <c r="G283" s="3" t="n">
        <v>-2.26109</v>
      </c>
      <c r="H283" s="3" t="n">
        <v>30.2219</v>
      </c>
      <c r="I283" s="3" t="n"/>
      <c r="J283" s="3" t="n"/>
      <c r="K283" s="3" t="n">
        <v>-6.30488</v>
      </c>
      <c r="L283" s="3" t="n"/>
      <c r="M283" s="3" t="inlineStr">
        <is>
          <t>no</t>
        </is>
      </c>
      <c r="N283" s="3" t="inlineStr">
        <is>
          <t>no designado (contraste C4: no hay svar_hd regional)</t>
        </is>
      </c>
      <c r="O283" s="3" t="inlineStr">
        <is>
          <t>CCAA: ranking por c_f·sign(dY) del panel FE (M8); asociacion, sin lectura causal; el factor comun es un resumen de comovimiento (pendiente ~1 mecanica, J23)</t>
        </is>
      </c>
      <c r="P283" s="3" t="inlineStr">
        <is>
          <t>output/v8/F5/regional_ranking.csv</t>
        </is>
      </c>
    </row>
    <row r="284">
      <c r="A284" s="3" t="inlineStr">
        <is>
          <t>alquiler</t>
        </is>
      </c>
      <c r="B284" s="3" t="inlineStr">
        <is>
          <t>ccaa:09</t>
        </is>
      </c>
      <c r="C284" s="3" t="inlineStr">
        <is>
          <t>P5</t>
        </is>
      </c>
      <c r="D284" s="3" t="inlineStr">
        <is>
          <t>factor_comun</t>
        </is>
      </c>
      <c r="E284" s="3" t="inlineStr">
        <is>
          <t>regional_panel</t>
        </is>
      </c>
      <c r="F284" s="3" t="inlineStr">
        <is>
          <t>panel_covariables</t>
        </is>
      </c>
      <c r="G284" s="3" t="n">
        <v>-5.47353</v>
      </c>
      <c r="H284" s="3" t="n">
        <v>86.8142</v>
      </c>
      <c r="I284" s="3" t="n">
        <v>-7.50057</v>
      </c>
      <c r="J284" s="3" t="n">
        <v>-3.0519</v>
      </c>
      <c r="K284" s="3" t="n">
        <v>-6.30488</v>
      </c>
      <c r="L284" s="3" t="n"/>
      <c r="M284" s="3" t="inlineStr">
        <is>
          <t>no</t>
        </is>
      </c>
      <c r="N284" s="3" t="inlineStr">
        <is>
          <t>no designado (contraste C4: no hay svar_hd regional)</t>
        </is>
      </c>
      <c r="O284" s="3" t="inlineStr">
        <is>
          <t>CCAA: ranking por c_f·sign(dY) del panel FE (M8); asociacion, sin lectura causal; el factor comun es un resumen de comovimiento (pendiente ~1 mecanica, J23)</t>
        </is>
      </c>
      <c r="P284" s="3" t="inlineStr">
        <is>
          <t>output/v8/F5/regional_ranking.csv</t>
        </is>
      </c>
    </row>
    <row r="285">
      <c r="A285" s="3" t="inlineStr">
        <is>
          <t>alquiler</t>
        </is>
      </c>
      <c r="B285" s="3" t="inlineStr">
        <is>
          <t>ccaa:09</t>
        </is>
      </c>
      <c r="C285" s="3" t="inlineStr">
        <is>
          <t>P5</t>
        </is>
      </c>
      <c r="D285" s="3" t="inlineStr">
        <is>
          <t>empleo_renta</t>
        </is>
      </c>
      <c r="E285" s="3" t="inlineStr">
        <is>
          <t>regional_panel</t>
        </is>
      </c>
      <c r="F285" s="3" t="inlineStr">
        <is>
          <t>panel_covariables</t>
        </is>
      </c>
      <c r="G285" s="3" t="n">
        <v>-0.164653</v>
      </c>
      <c r="H285" s="3" t="n">
        <v>2.61151</v>
      </c>
      <c r="I285" s="3" t="n">
        <v>-0.233662</v>
      </c>
      <c r="J285" s="3" t="n">
        <v>-0.102921</v>
      </c>
      <c r="K285" s="3" t="n">
        <v>-6.30488</v>
      </c>
      <c r="L285" s="3" t="n">
        <v>1</v>
      </c>
      <c r="M285" s="3" t="inlineStr">
        <is>
          <t>si</t>
        </is>
      </c>
      <c r="N285" s="3" t="inlineStr">
        <is>
          <t>no designado (contraste C4: no hay svar_hd regional)</t>
        </is>
      </c>
      <c r="O285" s="3" t="inlineStr">
        <is>
          <t>CCAA: ranking por c_f·sign(dY) del panel FE (M8); asociacion, sin lectura causal; el factor comun es un resumen de comovimiento (pendiente ~1 mecanica, J23)</t>
        </is>
      </c>
      <c r="P285" s="3" t="inlineStr">
        <is>
          <t>output/v8/F5/regional_ranking.csv</t>
        </is>
      </c>
    </row>
    <row r="286">
      <c r="A286" s="3" t="inlineStr">
        <is>
          <t>alquiler</t>
        </is>
      </c>
      <c r="B286" s="3" t="inlineStr">
        <is>
          <t>ccaa:09</t>
        </is>
      </c>
      <c r="C286" s="3" t="inlineStr">
        <is>
          <t>P5</t>
        </is>
      </c>
      <c r="D286" s="3" t="inlineStr">
        <is>
          <t>demografia</t>
        </is>
      </c>
      <c r="E286" s="3" t="inlineStr">
        <is>
          <t>regional_panel</t>
        </is>
      </c>
      <c r="F286" s="3" t="inlineStr">
        <is>
          <t>panel_covariables</t>
        </is>
      </c>
      <c r="G286" s="3" t="n">
        <v>0.566711</v>
      </c>
      <c r="H286" s="3" t="n">
        <v>-8.98846</v>
      </c>
      <c r="I286" s="3" t="n">
        <v>0.0212058</v>
      </c>
      <c r="J286" s="3" t="n">
        <v>1.40309</v>
      </c>
      <c r="K286" s="3" t="n">
        <v>-6.30488</v>
      </c>
      <c r="L286" s="3" t="n">
        <v>4</v>
      </c>
      <c r="M286" s="3" t="inlineStr">
        <is>
          <t>si</t>
        </is>
      </c>
      <c r="N286" s="3" t="inlineStr">
        <is>
          <t>no designado (contraste C4: no hay svar_hd regional)</t>
        </is>
      </c>
      <c r="O286" s="3" t="inlineStr">
        <is>
          <t>CCAA: ranking por c_f·sign(dY) del panel FE (M8); asociacion, sin lectura causal; el factor comun es un resumen de comovimiento (pendiente ~1 mecanica, J23)</t>
        </is>
      </c>
      <c r="P286" s="3" t="inlineStr">
        <is>
          <t>output/v8/F5/regional_ranking.csv</t>
        </is>
      </c>
    </row>
    <row r="287">
      <c r="A287" s="3" t="inlineStr">
        <is>
          <t>alquiler</t>
        </is>
      </c>
      <c r="B287" s="3" t="inlineStr">
        <is>
          <t>ccaa:09</t>
        </is>
      </c>
      <c r="C287" s="3" t="inlineStr">
        <is>
          <t>P5</t>
        </is>
      </c>
      <c r="D287" s="3" t="inlineStr">
        <is>
          <t>oferta</t>
        </is>
      </c>
      <c r="E287" s="3" t="inlineStr">
        <is>
          <t>regional_panel</t>
        </is>
      </c>
      <c r="F287" s="3" t="inlineStr">
        <is>
          <t>panel_covariables</t>
        </is>
      </c>
      <c r="G287" s="3" t="n">
        <v>-0.00825676</v>
      </c>
      <c r="H287" s="3" t="n">
        <v>0.130958</v>
      </c>
      <c r="I287" s="3" t="n">
        <v>-0.015276</v>
      </c>
      <c r="J287" s="3" t="n">
        <v>0.00780155</v>
      </c>
      <c r="K287" s="3" t="n">
        <v>-6.30488</v>
      </c>
      <c r="L287" s="3" t="n">
        <v>2</v>
      </c>
      <c r="M287" s="3" t="inlineStr">
        <is>
          <t>si</t>
        </is>
      </c>
      <c r="N287" s="3" t="inlineStr">
        <is>
          <t>no designado (contraste C4: no hay svar_hd regional)</t>
        </is>
      </c>
      <c r="O287" s="3" t="inlineStr">
        <is>
          <t>CCAA: ranking por c_f·sign(dY) del panel FE (M8); asociacion, sin lectura causal; el factor comun es un resumen de comovimiento (pendiente ~1 mecanica, J23)</t>
        </is>
      </c>
      <c r="P287" s="3" t="inlineStr">
        <is>
          <t>output/v8/F5/regional_ranking.csv</t>
        </is>
      </c>
    </row>
    <row r="288">
      <c r="A288" s="3" t="inlineStr">
        <is>
          <t>alquiler</t>
        </is>
      </c>
      <c r="B288" s="3" t="inlineStr">
        <is>
          <t>ccaa:09</t>
        </is>
      </c>
      <c r="C288" s="3" t="inlineStr">
        <is>
          <t>P5</t>
        </is>
      </c>
      <c r="D288" s="3" t="inlineStr">
        <is>
          <t>demanda_externa</t>
        </is>
      </c>
      <c r="E288" s="3" t="inlineStr">
        <is>
          <t>regional_panel</t>
        </is>
      </c>
      <c r="F288" s="3" t="inlineStr">
        <is>
          <t>panel_covariables</t>
        </is>
      </c>
      <c r="G288" s="3" t="n">
        <v>0.0571354</v>
      </c>
      <c r="H288" s="3" t="n">
        <v>-0.90621</v>
      </c>
      <c r="I288" s="3" t="n">
        <v>0.00138213</v>
      </c>
      <c r="J288" s="3" t="n">
        <v>0.125394</v>
      </c>
      <c r="K288" s="3" t="n">
        <v>-6.30488</v>
      </c>
      <c r="L288" s="3" t="n">
        <v>3</v>
      </c>
      <c r="M288" s="3" t="inlineStr">
        <is>
          <t>si</t>
        </is>
      </c>
      <c r="N288" s="3" t="inlineStr">
        <is>
          <t>no designado (contraste C4: no hay svar_hd regional)</t>
        </is>
      </c>
      <c r="O288" s="3" t="inlineStr">
        <is>
          <t>CCAA: ranking por c_f·sign(dY) del panel FE (M8); asociacion, sin lectura causal; el factor comun es un resumen de comovimiento (pendiente ~1 mecanica, J23)</t>
        </is>
      </c>
      <c r="P288" s="3" t="inlineStr">
        <is>
          <t>output/v8/F5/regional_ranking.csv</t>
        </is>
      </c>
    </row>
    <row r="289">
      <c r="A289" s="3" t="inlineStr">
        <is>
          <t>alquiler</t>
        </is>
      </c>
      <c r="B289" s="3" t="inlineStr">
        <is>
          <t>ccaa:09</t>
        </is>
      </c>
      <c r="C289" s="3" t="inlineStr">
        <is>
          <t>P5</t>
        </is>
      </c>
      <c r="D289" s="3" t="inlineStr">
        <is>
          <t>residuo</t>
        </is>
      </c>
      <c r="E289" s="3" t="inlineStr">
        <is>
          <t>regional_panel</t>
        </is>
      </c>
      <c r="F289" s="3" t="inlineStr">
        <is>
          <t>panel_covariables</t>
        </is>
      </c>
      <c r="G289" s="3" t="n">
        <v>-1.28228</v>
      </c>
      <c r="H289" s="3" t="n">
        <v>20.338</v>
      </c>
      <c r="I289" s="3" t="n">
        <v>-1.94446</v>
      </c>
      <c r="J289" s="3" t="n">
        <v>-0.828166</v>
      </c>
      <c r="K289" s="3" t="n">
        <v>-6.30488</v>
      </c>
      <c r="L289" s="3" t="n"/>
      <c r="M289" s="3" t="inlineStr">
        <is>
          <t>no</t>
        </is>
      </c>
      <c r="N289" s="3" t="inlineStr">
        <is>
          <t>no designado (contraste C4: no hay svar_hd regional)</t>
        </is>
      </c>
      <c r="O289" s="3" t="inlineStr">
        <is>
          <t>CCAA: ranking por c_f·sign(dY) del panel FE (M8); asociacion, sin lectura causal; el factor comun es un resumen de comovimiento (pendiente ~1 mecanica, J23)</t>
        </is>
      </c>
      <c r="P289" s="3" t="inlineStr">
        <is>
          <t>output/v8/F5/regional_ranking.csv</t>
        </is>
      </c>
    </row>
    <row r="290">
      <c r="A290" s="3" t="inlineStr">
        <is>
          <t>alquiler</t>
        </is>
      </c>
      <c r="B290" s="3" t="inlineStr">
        <is>
          <t>ccaa:10</t>
        </is>
      </c>
      <c r="C290" s="3" t="inlineStr">
        <is>
          <t>P2</t>
        </is>
      </c>
      <c r="D290" s="3" t="inlineStr">
        <is>
          <t>factor_comun</t>
        </is>
      </c>
      <c r="E290" s="3" t="inlineStr">
        <is>
          <t>regional_ccaa_ols</t>
        </is>
      </c>
      <c r="F290" s="3" t="inlineStr">
        <is>
          <t>ols_solo_factor</t>
        </is>
      </c>
      <c r="G290" s="3" t="n">
        <v>-3.69411</v>
      </c>
      <c r="H290" s="3" t="n">
        <v>90.0882</v>
      </c>
      <c r="I290" s="3" t="n">
        <v>-7.92801</v>
      </c>
      <c r="J290" s="3" t="n">
        <v>1.27224</v>
      </c>
      <c r="K290" s="3" t="n">
        <v>-4.16109</v>
      </c>
      <c r="L290" s="3" t="n"/>
      <c r="M290" s="3" t="inlineStr">
        <is>
          <t>no</t>
        </is>
      </c>
      <c r="N290" s="3" t="inlineStr">
        <is>
          <t>no designado (contraste C4: no hay svar_hd regional)</t>
        </is>
      </c>
      <c r="O290" s="3" t="inlineStr">
        <is>
          <t>CCAA: ranking por c_f·sign(dY) del panel FE (M8); asociacion, sin lectura causal; el factor comun es un resumen de comovimiento (pendiente ~1 mecanica, J23)</t>
        </is>
      </c>
      <c r="P290" s="3" t="inlineStr">
        <is>
          <t>output/v8/F5/regional_ranking.csv</t>
        </is>
      </c>
    </row>
    <row r="291">
      <c r="A291" s="3" t="inlineStr">
        <is>
          <t>alquiler</t>
        </is>
      </c>
      <c r="B291" s="3" t="inlineStr">
        <is>
          <t>ccaa:10</t>
        </is>
      </c>
      <c r="C291" s="3" t="inlineStr">
        <is>
          <t>P2</t>
        </is>
      </c>
      <c r="D291" s="3" t="inlineStr">
        <is>
          <t>residuo</t>
        </is>
      </c>
      <c r="E291" s="3" t="inlineStr">
        <is>
          <t>regional_ccaa_ols</t>
        </is>
      </c>
      <c r="F291" s="3" t="inlineStr">
        <is>
          <t>ols_solo_factor</t>
        </is>
      </c>
      <c r="G291" s="3" t="n">
        <v>-0.406436</v>
      </c>
      <c r="H291" s="3" t="n">
        <v>9.91175</v>
      </c>
      <c r="I291" s="3" t="n"/>
      <c r="J291" s="3" t="n"/>
      <c r="K291" s="3" t="n">
        <v>-4.16109</v>
      </c>
      <c r="L291" s="3" t="n"/>
      <c r="M291" s="3" t="inlineStr">
        <is>
          <t>no</t>
        </is>
      </c>
      <c r="N291" s="3" t="inlineStr">
        <is>
          <t>no designado (contraste C4: no hay svar_hd regional)</t>
        </is>
      </c>
      <c r="O291" s="3" t="inlineStr">
        <is>
          <t>CCAA: ranking por c_f·sign(dY) del panel FE (M8); asociacion, sin lectura causal; el factor comun es un resumen de comovimiento (pendiente ~1 mecanica, J23)</t>
        </is>
      </c>
      <c r="P291" s="3" t="inlineStr">
        <is>
          <t>output/v8/F5/regional_ranking.csv</t>
        </is>
      </c>
    </row>
    <row r="292">
      <c r="A292" s="3" t="inlineStr">
        <is>
          <t>alquiler</t>
        </is>
      </c>
      <c r="B292" s="3" t="inlineStr">
        <is>
          <t>ccaa:10</t>
        </is>
      </c>
      <c r="C292" s="3" t="inlineStr">
        <is>
          <t>P2</t>
        </is>
      </c>
      <c r="D292" s="3" t="inlineStr">
        <is>
          <t>factor_comun</t>
        </is>
      </c>
      <c r="E292" s="3" t="inlineStr">
        <is>
          <t>regional_panel</t>
        </is>
      </c>
      <c r="F292" s="3" t="inlineStr">
        <is>
          <t>panel_covariables</t>
        </is>
      </c>
      <c r="G292" s="3" t="n">
        <v>-3.50963</v>
      </c>
      <c r="H292" s="3" t="n">
        <v>84.3438</v>
      </c>
      <c r="I292" s="3" t="n">
        <v>-7.73728</v>
      </c>
      <c r="J292" s="3" t="n">
        <v>0.660335</v>
      </c>
      <c r="K292" s="3" t="n">
        <v>-4.16109</v>
      </c>
      <c r="L292" s="3" t="n"/>
      <c r="M292" s="3" t="inlineStr">
        <is>
          <t>no</t>
        </is>
      </c>
      <c r="N292" s="3" t="inlineStr">
        <is>
          <t>no designado (contraste C4: no hay svar_hd regional)</t>
        </is>
      </c>
      <c r="O292" s="3" t="inlineStr">
        <is>
          <t>CCAA: ranking por c_f·sign(dY) del panel FE (M8); asociacion, sin lectura causal; el factor comun es un resumen de comovimiento (pendiente ~1 mecanica, J23)</t>
        </is>
      </c>
      <c r="P292" s="3" t="inlineStr">
        <is>
          <t>output/v8/F5/regional_ranking.csv</t>
        </is>
      </c>
    </row>
    <row r="293">
      <c r="A293" s="3" t="inlineStr">
        <is>
          <t>alquiler</t>
        </is>
      </c>
      <c r="B293" s="3" t="inlineStr">
        <is>
          <t>ccaa:10</t>
        </is>
      </c>
      <c r="C293" s="3" t="inlineStr">
        <is>
          <t>P2</t>
        </is>
      </c>
      <c r="D293" s="3" t="inlineStr">
        <is>
          <t>empleo_renta</t>
        </is>
      </c>
      <c r="E293" s="3" t="inlineStr">
        <is>
          <t>regional_panel</t>
        </is>
      </c>
      <c r="F293" s="3" t="inlineStr">
        <is>
          <t>panel_covariables</t>
        </is>
      </c>
      <c r="G293" s="3" t="n">
        <v>0.116346</v>
      </c>
      <c r="H293" s="3" t="n">
        <v>-2.79604</v>
      </c>
      <c r="I293" s="3" t="n">
        <v>-0.298364</v>
      </c>
      <c r="J293" s="3" t="n">
        <v>0.559225</v>
      </c>
      <c r="K293" s="3" t="n">
        <v>-4.16109</v>
      </c>
      <c r="L293" s="3" t="n">
        <v>2</v>
      </c>
      <c r="M293" s="3" t="inlineStr">
        <is>
          <t>si</t>
        </is>
      </c>
      <c r="N293" s="3" t="inlineStr">
        <is>
          <t>no designado (contraste C4: no hay svar_hd regional)</t>
        </is>
      </c>
      <c r="O293" s="3" t="inlineStr">
        <is>
          <t>CCAA: ranking por c_f·sign(dY) del panel FE (M8); asociacion, sin lectura causal; el factor comun es un resumen de comovimiento (pendiente ~1 mecanica, J23)</t>
        </is>
      </c>
      <c r="P293" s="3" t="inlineStr">
        <is>
          <t>output/v8/F5/regional_ranking.csv</t>
        </is>
      </c>
    </row>
    <row r="294">
      <c r="A294" s="3" t="inlineStr">
        <is>
          <t>alquiler</t>
        </is>
      </c>
      <c r="B294" s="3" t="inlineStr">
        <is>
          <t>ccaa:10</t>
        </is>
      </c>
      <c r="C294" s="3" t="inlineStr">
        <is>
          <t>P2</t>
        </is>
      </c>
      <c r="D294" s="3" t="inlineStr">
        <is>
          <t>demografia</t>
        </is>
      </c>
      <c r="E294" s="3" t="inlineStr">
        <is>
          <t>regional_panel</t>
        </is>
      </c>
      <c r="F294" s="3" t="inlineStr">
        <is>
          <t>panel_covariables</t>
        </is>
      </c>
      <c r="G294" s="3" t="n">
        <v>0.774408</v>
      </c>
      <c r="H294" s="3" t="n">
        <v>-18.6107</v>
      </c>
      <c r="I294" s="3" t="n">
        <v>0.516752</v>
      </c>
      <c r="J294" s="3" t="n">
        <v>1.19721</v>
      </c>
      <c r="K294" s="3" t="n">
        <v>-4.16109</v>
      </c>
      <c r="L294" s="3" t="n">
        <v>4</v>
      </c>
      <c r="M294" s="3" t="inlineStr">
        <is>
          <t>si</t>
        </is>
      </c>
      <c r="N294" s="3" t="inlineStr">
        <is>
          <t>no designado (contraste C4: no hay svar_hd regional)</t>
        </is>
      </c>
      <c r="O294" s="3" t="inlineStr">
        <is>
          <t>CCAA: ranking por c_f·sign(dY) del panel FE (M8); asociacion, sin lectura causal; el factor comun es un resumen de comovimiento (pendiente ~1 mecanica, J23)</t>
        </is>
      </c>
      <c r="P294" s="3" t="inlineStr">
        <is>
          <t>output/v8/F5/regional_ranking.csv</t>
        </is>
      </c>
    </row>
    <row r="295">
      <c r="A295" s="3" t="inlineStr">
        <is>
          <t>alquiler</t>
        </is>
      </c>
      <c r="B295" s="3" t="inlineStr">
        <is>
          <t>ccaa:10</t>
        </is>
      </c>
      <c r="C295" s="3" t="inlineStr">
        <is>
          <t>P2</t>
        </is>
      </c>
      <c r="D295" s="3" t="inlineStr">
        <is>
          <t>oferta</t>
        </is>
      </c>
      <c r="E295" s="3" t="inlineStr">
        <is>
          <t>regional_panel</t>
        </is>
      </c>
      <c r="F295" s="3" t="inlineStr">
        <is>
          <t>panel_covariables</t>
        </is>
      </c>
      <c r="G295" s="3" t="n">
        <v>0.253365</v>
      </c>
      <c r="H295" s="3" t="n">
        <v>-6.08891</v>
      </c>
      <c r="I295" s="3" t="n">
        <v>0.0240577</v>
      </c>
      <c r="J295" s="3" t="n">
        <v>0.49091</v>
      </c>
      <c r="K295" s="3" t="n">
        <v>-4.16109</v>
      </c>
      <c r="L295" s="3" t="n">
        <v>3</v>
      </c>
      <c r="M295" s="3" t="inlineStr">
        <is>
          <t>si</t>
        </is>
      </c>
      <c r="N295" s="3" t="inlineStr">
        <is>
          <t>no designado (contraste C4: no hay svar_hd regional)</t>
        </is>
      </c>
      <c r="O295" s="3" t="inlineStr">
        <is>
          <t>CCAA: ranking por c_f·sign(dY) del panel FE (M8); asociacion, sin lectura causal; el factor comun es un resumen de comovimiento (pendiente ~1 mecanica, J23)</t>
        </is>
      </c>
      <c r="P295" s="3" t="inlineStr">
        <is>
          <t>output/v8/F5/regional_ranking.csv</t>
        </is>
      </c>
    </row>
    <row r="296">
      <c r="A296" s="3" t="inlineStr">
        <is>
          <t>alquiler</t>
        </is>
      </c>
      <c r="B296" s="3" t="inlineStr">
        <is>
          <t>ccaa:10</t>
        </is>
      </c>
      <c r="C296" s="3" t="inlineStr">
        <is>
          <t>P2</t>
        </is>
      </c>
      <c r="D296" s="3" t="inlineStr">
        <is>
          <t>demanda_externa</t>
        </is>
      </c>
      <c r="E296" s="3" t="inlineStr">
        <is>
          <t>regional_panel</t>
        </is>
      </c>
      <c r="F296" s="3" t="inlineStr">
        <is>
          <t>panel_covariables</t>
        </is>
      </c>
      <c r="G296" s="3" t="n">
        <v>0.0740247</v>
      </c>
      <c r="H296" s="3" t="n">
        <v>-1.77897</v>
      </c>
      <c r="I296" s="3" t="n">
        <v>0.00401171</v>
      </c>
      <c r="J296" s="3" t="n">
        <v>0.108718</v>
      </c>
      <c r="K296" s="3" t="n">
        <v>-4.16109</v>
      </c>
      <c r="L296" s="3" t="n">
        <v>1</v>
      </c>
      <c r="M296" s="3" t="inlineStr">
        <is>
          <t>si</t>
        </is>
      </c>
      <c r="N296" s="3" t="inlineStr">
        <is>
          <t>no designado (contraste C4: no hay svar_hd regional)</t>
        </is>
      </c>
      <c r="O296" s="3" t="inlineStr">
        <is>
          <t>CCAA: ranking por c_f·sign(dY) del panel FE (M8); asociacion, sin lectura causal; el factor comun es un resumen de comovimiento (pendiente ~1 mecanica, J23)</t>
        </is>
      </c>
      <c r="P296" s="3" t="inlineStr">
        <is>
          <t>output/v8/F5/regional_ranking.csv</t>
        </is>
      </c>
    </row>
    <row r="297">
      <c r="A297" s="3" t="inlineStr">
        <is>
          <t>alquiler</t>
        </is>
      </c>
      <c r="B297" s="3" t="inlineStr">
        <is>
          <t>ccaa:10</t>
        </is>
      </c>
      <c r="C297" s="3" t="inlineStr">
        <is>
          <t>P2</t>
        </is>
      </c>
      <c r="D297" s="3" t="inlineStr">
        <is>
          <t>residuo</t>
        </is>
      </c>
      <c r="E297" s="3" t="inlineStr">
        <is>
          <t>regional_panel</t>
        </is>
      </c>
      <c r="F297" s="3" t="inlineStr">
        <is>
          <t>panel_covariables</t>
        </is>
      </c>
      <c r="G297" s="3" t="n">
        <v>-1.86961</v>
      </c>
      <c r="H297" s="3" t="n">
        <v>44.9308</v>
      </c>
      <c r="I297" s="3" t="n">
        <v>-2.89165</v>
      </c>
      <c r="J297" s="3" t="n">
        <v>-0.931377</v>
      </c>
      <c r="K297" s="3" t="n">
        <v>-4.16109</v>
      </c>
      <c r="L297" s="3" t="n"/>
      <c r="M297" s="3" t="inlineStr">
        <is>
          <t>no</t>
        </is>
      </c>
      <c r="N297" s="3" t="inlineStr">
        <is>
          <t>no designado (contraste C4: no hay svar_hd regional)</t>
        </is>
      </c>
      <c r="O297" s="3" t="inlineStr">
        <is>
          <t>CCAA: ranking por c_f·sign(dY) del panel FE (M8); asociacion, sin lectura causal; el factor comun es un resumen de comovimiento (pendiente ~1 mecanica, J23)</t>
        </is>
      </c>
      <c r="P297" s="3" t="inlineStr">
        <is>
          <t>output/v8/F5/regional_ranking.csv</t>
        </is>
      </c>
    </row>
    <row r="298">
      <c r="A298" s="3" t="inlineStr">
        <is>
          <t>alquiler</t>
        </is>
      </c>
      <c r="B298" s="3" t="inlineStr">
        <is>
          <t>ccaa:10</t>
        </is>
      </c>
      <c r="C298" s="3" t="inlineStr">
        <is>
          <t>P3</t>
        </is>
      </c>
      <c r="D298" s="3" t="inlineStr">
        <is>
          <t>factor_comun</t>
        </is>
      </c>
      <c r="E298" s="3" t="inlineStr">
        <is>
          <t>regional_ccaa_ols</t>
        </is>
      </c>
      <c r="F298" s="3" t="inlineStr">
        <is>
          <t>ols_solo_factor</t>
        </is>
      </c>
      <c r="G298" s="3" t="n">
        <v>-2.52476</v>
      </c>
      <c r="H298" s="3" t="n">
        <v>122.196</v>
      </c>
      <c r="I298" s="3" t="n">
        <v>-3.55052</v>
      </c>
      <c r="J298" s="3" t="n">
        <v>-1.17386</v>
      </c>
      <c r="K298" s="3" t="n">
        <v>-1.74348</v>
      </c>
      <c r="L298" s="3" t="n"/>
      <c r="M298" s="3" t="inlineStr">
        <is>
          <t>no</t>
        </is>
      </c>
      <c r="N298" s="3" t="inlineStr">
        <is>
          <t>no designado (contraste C4: no hay svar_hd regional)</t>
        </is>
      </c>
      <c r="O298" s="3" t="inlineStr">
        <is>
          <t>CCAA: ranking por c_f·sign(dY) del panel FE (M8); asociacion, sin lectura causal; el factor comun es un resumen de comovimiento (pendiente ~1 mecanica, J23)</t>
        </is>
      </c>
      <c r="P298" s="3" t="inlineStr">
        <is>
          <t>output/v8/F5/regional_ranking.csv</t>
        </is>
      </c>
    </row>
    <row r="299">
      <c r="A299" s="3" t="inlineStr">
        <is>
          <t>alquiler</t>
        </is>
      </c>
      <c r="B299" s="3" t="inlineStr">
        <is>
          <t>ccaa:10</t>
        </is>
      </c>
      <c r="C299" s="3" t="inlineStr">
        <is>
          <t>P3</t>
        </is>
      </c>
      <c r="D299" s="3" t="inlineStr">
        <is>
          <t>residuo</t>
        </is>
      </c>
      <c r="E299" s="3" t="inlineStr">
        <is>
          <t>regional_ccaa_ols</t>
        </is>
      </c>
      <c r="F299" s="3" t="inlineStr">
        <is>
          <t>ols_solo_factor</t>
        </is>
      </c>
      <c r="G299" s="3" t="n">
        <v>0.458606</v>
      </c>
      <c r="H299" s="3" t="n">
        <v>-22.1961</v>
      </c>
      <c r="I299" s="3" t="n"/>
      <c r="J299" s="3" t="n"/>
      <c r="K299" s="3" t="n">
        <v>-1.74348</v>
      </c>
      <c r="L299" s="3" t="n"/>
      <c r="M299" s="3" t="inlineStr">
        <is>
          <t>no</t>
        </is>
      </c>
      <c r="N299" s="3" t="inlineStr">
        <is>
          <t>no designado (contraste C4: no hay svar_hd regional)</t>
        </is>
      </c>
      <c r="O299" s="3" t="inlineStr">
        <is>
          <t>CCAA: ranking por c_f·sign(dY) del panel FE (M8); asociacion, sin lectura causal; el factor comun es un resumen de comovimiento (pendiente ~1 mecanica, J23)</t>
        </is>
      </c>
      <c r="P299" s="3" t="inlineStr">
        <is>
          <t>output/v8/F5/regional_ranking.csv</t>
        </is>
      </c>
    </row>
    <row r="300">
      <c r="A300" s="3" t="inlineStr">
        <is>
          <t>alquiler</t>
        </is>
      </c>
      <c r="B300" s="3" t="inlineStr">
        <is>
          <t>ccaa:10</t>
        </is>
      </c>
      <c r="C300" s="3" t="inlineStr">
        <is>
          <t>P3</t>
        </is>
      </c>
      <c r="D300" s="3" t="inlineStr">
        <is>
          <t>factor_comun</t>
        </is>
      </c>
      <c r="E300" s="3" t="inlineStr">
        <is>
          <t>regional_panel</t>
        </is>
      </c>
      <c r="F300" s="3" t="inlineStr">
        <is>
          <t>panel_covariables</t>
        </is>
      </c>
      <c r="G300" s="3" t="n">
        <v>-1.89168</v>
      </c>
      <c r="H300" s="3" t="n">
        <v>108.5</v>
      </c>
      <c r="I300" s="3" t="n">
        <v>-3.03018</v>
      </c>
      <c r="J300" s="3" t="n">
        <v>-0.7753910000000001</v>
      </c>
      <c r="K300" s="3" t="n">
        <v>-1.74348</v>
      </c>
      <c r="L300" s="3" t="n"/>
      <c r="M300" s="3" t="inlineStr">
        <is>
          <t>no</t>
        </is>
      </c>
      <c r="N300" s="3" t="inlineStr">
        <is>
          <t>no designado (contraste C4: no hay svar_hd regional)</t>
        </is>
      </c>
      <c r="O300" s="3" t="inlineStr">
        <is>
          <t>CCAA: ranking por c_f·sign(dY) del panel FE (M8); asociacion, sin lectura causal; el factor comun es un resumen de comovimiento (pendiente ~1 mecanica, J23)</t>
        </is>
      </c>
      <c r="P300" s="3" t="inlineStr">
        <is>
          <t>output/v8/F5/regional_ranking.csv</t>
        </is>
      </c>
    </row>
    <row r="301">
      <c r="A301" s="3" t="inlineStr">
        <is>
          <t>alquiler</t>
        </is>
      </c>
      <c r="B301" s="3" t="inlineStr">
        <is>
          <t>ccaa:10</t>
        </is>
      </c>
      <c r="C301" s="3" t="inlineStr">
        <is>
          <t>P3</t>
        </is>
      </c>
      <c r="D301" s="3" t="inlineStr">
        <is>
          <t>empleo_renta</t>
        </is>
      </c>
      <c r="E301" s="3" t="inlineStr">
        <is>
          <t>regional_panel</t>
        </is>
      </c>
      <c r="F301" s="3" t="inlineStr">
        <is>
          <t>panel_covariables</t>
        </is>
      </c>
      <c r="G301" s="3" t="n">
        <v>0.219791</v>
      </c>
      <c r="H301" s="3" t="n">
        <v>-12.6064</v>
      </c>
      <c r="I301" s="3" t="n">
        <v>-0.00334579</v>
      </c>
      <c r="J301" s="3" t="n">
        <v>0.380111</v>
      </c>
      <c r="K301" s="3" t="n">
        <v>-1.74348</v>
      </c>
      <c r="L301" s="3" t="n">
        <v>3</v>
      </c>
      <c r="M301" s="3" t="inlineStr">
        <is>
          <t>si</t>
        </is>
      </c>
      <c r="N301" s="3" t="inlineStr">
        <is>
          <t>no designado (contraste C4: no hay svar_hd regional)</t>
        </is>
      </c>
      <c r="O301" s="3" t="inlineStr">
        <is>
          <t>CCAA: ranking por c_f·sign(dY) del panel FE (M8); asociacion, sin lectura causal; el factor comun es un resumen de comovimiento (pendiente ~1 mecanica, J23)</t>
        </is>
      </c>
      <c r="P301" s="3" t="inlineStr">
        <is>
          <t>output/v8/F5/regional_ranking.csv</t>
        </is>
      </c>
    </row>
    <row r="302">
      <c r="A302" s="3" t="inlineStr">
        <is>
          <t>alquiler</t>
        </is>
      </c>
      <c r="B302" s="3" t="inlineStr">
        <is>
          <t>ccaa:10</t>
        </is>
      </c>
      <c r="C302" s="3" t="inlineStr">
        <is>
          <t>P3</t>
        </is>
      </c>
      <c r="D302" s="3" t="inlineStr">
        <is>
          <t>demografia</t>
        </is>
      </c>
      <c r="E302" s="3" t="inlineStr">
        <is>
          <t>regional_panel</t>
        </is>
      </c>
      <c r="F302" s="3" t="inlineStr">
        <is>
          <t>panel_covariables</t>
        </is>
      </c>
      <c r="G302" s="3" t="n">
        <v>0.583978</v>
      </c>
      <c r="H302" s="3" t="n">
        <v>-33.4949</v>
      </c>
      <c r="I302" s="3" t="n">
        <v>0.189475</v>
      </c>
      <c r="J302" s="3" t="n">
        <v>0.912418</v>
      </c>
      <c r="K302" s="3" t="n">
        <v>-1.74348</v>
      </c>
      <c r="L302" s="3" t="n">
        <v>4</v>
      </c>
      <c r="M302" s="3" t="inlineStr">
        <is>
          <t>si</t>
        </is>
      </c>
      <c r="N302" s="3" t="inlineStr">
        <is>
          <t>no designado (contraste C4: no hay svar_hd regional)</t>
        </is>
      </c>
      <c r="O302" s="3" t="inlineStr">
        <is>
          <t>CCAA: ranking por c_f·sign(dY) del panel FE (M8); asociacion, sin lectura causal; el factor comun es un resumen de comovimiento (pendiente ~1 mecanica, J23)</t>
        </is>
      </c>
      <c r="P302" s="3" t="inlineStr">
        <is>
          <t>output/v8/F5/regional_ranking.csv</t>
        </is>
      </c>
    </row>
    <row r="303">
      <c r="A303" s="3" t="inlineStr">
        <is>
          <t>alquiler</t>
        </is>
      </c>
      <c r="B303" s="3" t="inlineStr">
        <is>
          <t>ccaa:10</t>
        </is>
      </c>
      <c r="C303" s="3" t="inlineStr">
        <is>
          <t>P3</t>
        </is>
      </c>
      <c r="D303" s="3" t="inlineStr">
        <is>
          <t>oferta</t>
        </is>
      </c>
      <c r="E303" s="3" t="inlineStr">
        <is>
          <t>regional_panel</t>
        </is>
      </c>
      <c r="F303" s="3" t="inlineStr">
        <is>
          <t>panel_covariables</t>
        </is>
      </c>
      <c r="G303" s="3" t="n">
        <v>0.042218</v>
      </c>
      <c r="H303" s="3" t="n">
        <v>-2.42147</v>
      </c>
      <c r="I303" s="3" t="n">
        <v>-0.0204096</v>
      </c>
      <c r="J303" s="3" t="n">
        <v>0.0912259</v>
      </c>
      <c r="K303" s="3" t="n">
        <v>-1.74348</v>
      </c>
      <c r="L303" s="3" t="n">
        <v>1</v>
      </c>
      <c r="M303" s="3" t="inlineStr">
        <is>
          <t>si</t>
        </is>
      </c>
      <c r="N303" s="3" t="inlineStr">
        <is>
          <t>no designado (contraste C4: no hay svar_hd regional)</t>
        </is>
      </c>
      <c r="O303" s="3" t="inlineStr">
        <is>
          <t>CCAA: ranking por c_f·sign(dY) del panel FE (M8); asociacion, sin lectura causal; el factor comun es un resumen de comovimiento (pendiente ~1 mecanica, J23)</t>
        </is>
      </c>
      <c r="P303" s="3" t="inlineStr">
        <is>
          <t>output/v8/F5/regional_ranking.csv</t>
        </is>
      </c>
    </row>
    <row r="304">
      <c r="A304" s="3" t="inlineStr">
        <is>
          <t>alquiler</t>
        </is>
      </c>
      <c r="B304" s="3" t="inlineStr">
        <is>
          <t>ccaa:10</t>
        </is>
      </c>
      <c r="C304" s="3" t="inlineStr">
        <is>
          <t>P3</t>
        </is>
      </c>
      <c r="D304" s="3" t="inlineStr">
        <is>
          <t>demanda_externa</t>
        </is>
      </c>
      <c r="E304" s="3" t="inlineStr">
        <is>
          <t>regional_panel</t>
        </is>
      </c>
      <c r="F304" s="3" t="inlineStr">
        <is>
          <t>panel_covariables</t>
        </is>
      </c>
      <c r="G304" s="3" t="n">
        <v>0.0841957</v>
      </c>
      <c r="H304" s="3" t="n">
        <v>-4.82917</v>
      </c>
      <c r="I304" s="3" t="n">
        <v>0.0286138</v>
      </c>
      <c r="J304" s="3" t="n">
        <v>0.144688</v>
      </c>
      <c r="K304" s="3" t="n">
        <v>-1.74348</v>
      </c>
      <c r="L304" s="3" t="n">
        <v>2</v>
      </c>
      <c r="M304" s="3" t="inlineStr">
        <is>
          <t>si</t>
        </is>
      </c>
      <c r="N304" s="3" t="inlineStr">
        <is>
          <t>no designado (contraste C4: no hay svar_hd regional)</t>
        </is>
      </c>
      <c r="O304" s="3" t="inlineStr">
        <is>
          <t>CCAA: ranking por c_f·sign(dY) del panel FE (M8); asociacion, sin lectura causal; el factor comun es un resumen de comovimiento (pendiente ~1 mecanica, J23)</t>
        </is>
      </c>
      <c r="P304" s="3" t="inlineStr">
        <is>
          <t>output/v8/F5/regional_ranking.csv</t>
        </is>
      </c>
    </row>
    <row r="305">
      <c r="A305" s="3" t="inlineStr">
        <is>
          <t>alquiler</t>
        </is>
      </c>
      <c r="B305" s="3" t="inlineStr">
        <is>
          <t>ccaa:10</t>
        </is>
      </c>
      <c r="C305" s="3" t="inlineStr">
        <is>
          <t>P3</t>
        </is>
      </c>
      <c r="D305" s="3" t="inlineStr">
        <is>
          <t>residuo</t>
        </is>
      </c>
      <c r="E305" s="3" t="inlineStr">
        <is>
          <t>regional_panel</t>
        </is>
      </c>
      <c r="F305" s="3" t="inlineStr">
        <is>
          <t>panel_covariables</t>
        </is>
      </c>
      <c r="G305" s="3" t="n">
        <v>-0.781983</v>
      </c>
      <c r="H305" s="3" t="n">
        <v>44.8517</v>
      </c>
      <c r="I305" s="3" t="n">
        <v>-1.15653</v>
      </c>
      <c r="J305" s="3" t="n">
        <v>-0.30035</v>
      </c>
      <c r="K305" s="3" t="n">
        <v>-1.74348</v>
      </c>
      <c r="L305" s="3" t="n"/>
      <c r="M305" s="3" t="inlineStr">
        <is>
          <t>no</t>
        </is>
      </c>
      <c r="N305" s="3" t="inlineStr">
        <is>
          <t>no designado (contraste C4: no hay svar_hd regional)</t>
        </is>
      </c>
      <c r="O305" s="3" t="inlineStr">
        <is>
          <t>CCAA: ranking por c_f·sign(dY) del panel FE (M8); asociacion, sin lectura causal; el factor comun es un resumen de comovimiento (pendiente ~1 mecanica, J23)</t>
        </is>
      </c>
      <c r="P305" s="3" t="inlineStr">
        <is>
          <t>output/v8/F5/regional_ranking.csv</t>
        </is>
      </c>
    </row>
    <row r="306">
      <c r="A306" s="3" t="inlineStr">
        <is>
          <t>alquiler</t>
        </is>
      </c>
      <c r="B306" s="3" t="inlineStr">
        <is>
          <t>ccaa:10</t>
        </is>
      </c>
      <c r="C306" s="3" t="inlineStr">
        <is>
          <t>P4</t>
        </is>
      </c>
      <c r="D306" s="3" t="inlineStr">
        <is>
          <t>factor_comun</t>
        </is>
      </c>
      <c r="E306" s="3" t="inlineStr">
        <is>
          <t>regional_ccaa_ols</t>
        </is>
      </c>
      <c r="F306" s="3" t="inlineStr">
        <is>
          <t>ols_solo_factor</t>
        </is>
      </c>
      <c r="G306" s="3" t="n">
        <v>-4.81837</v>
      </c>
      <c r="H306" s="3" t="n">
        <v>122.755</v>
      </c>
      <c r="I306" s="3" t="n">
        <v>-8.01745</v>
      </c>
      <c r="J306" s="3" t="n">
        <v>-0.836114</v>
      </c>
      <c r="K306" s="3" t="n">
        <v>-3.92518</v>
      </c>
      <c r="L306" s="3" t="n"/>
      <c r="M306" s="3" t="inlineStr">
        <is>
          <t>no</t>
        </is>
      </c>
      <c r="N306" s="3" t="inlineStr">
        <is>
          <t>no designado (contraste C4: no hay svar_hd regional)</t>
        </is>
      </c>
      <c r="O306" s="3" t="inlineStr">
        <is>
          <t>CCAA: ranking por c_f·sign(dY) del panel FE (M8); asociacion, sin lectura causal; el factor comun es un resumen de comovimiento (pendiente ~1 mecanica, J23)</t>
        </is>
      </c>
      <c r="P306" s="3" t="inlineStr">
        <is>
          <t>output/v8/F5/regional_ranking.csv</t>
        </is>
      </c>
    </row>
    <row r="307">
      <c r="A307" s="3" t="inlineStr">
        <is>
          <t>alquiler</t>
        </is>
      </c>
      <c r="B307" s="3" t="inlineStr">
        <is>
          <t>ccaa:10</t>
        </is>
      </c>
      <c r="C307" s="3" t="inlineStr">
        <is>
          <t>P4</t>
        </is>
      </c>
      <c r="D307" s="3" t="inlineStr">
        <is>
          <t>residuo</t>
        </is>
      </c>
      <c r="E307" s="3" t="inlineStr">
        <is>
          <t>regional_ccaa_ols</t>
        </is>
      </c>
      <c r="F307" s="3" t="inlineStr">
        <is>
          <t>ols_solo_factor</t>
        </is>
      </c>
      <c r="G307" s="3" t="n">
        <v>0.89319</v>
      </c>
      <c r="H307" s="3" t="n">
        <v>-22.7554</v>
      </c>
      <c r="I307" s="3" t="n"/>
      <c r="J307" s="3" t="n"/>
      <c r="K307" s="3" t="n">
        <v>-3.92518</v>
      </c>
      <c r="L307" s="3" t="n"/>
      <c r="M307" s="3" t="inlineStr">
        <is>
          <t>no</t>
        </is>
      </c>
      <c r="N307" s="3" t="inlineStr">
        <is>
          <t>no designado (contraste C4: no hay svar_hd regional)</t>
        </is>
      </c>
      <c r="O307" s="3" t="inlineStr">
        <is>
          <t>CCAA: ranking por c_f·sign(dY) del panel FE (M8); asociacion, sin lectura causal; el factor comun es un resumen de comovimiento (pendiente ~1 mecanica, J23)</t>
        </is>
      </c>
      <c r="P307" s="3" t="inlineStr">
        <is>
          <t>output/v8/F5/regional_ranking.csv</t>
        </is>
      </c>
    </row>
    <row r="308">
      <c r="A308" s="3" t="inlineStr">
        <is>
          <t>alquiler</t>
        </is>
      </c>
      <c r="B308" s="3" t="inlineStr">
        <is>
          <t>ccaa:10</t>
        </is>
      </c>
      <c r="C308" s="3" t="inlineStr">
        <is>
          <t>P4</t>
        </is>
      </c>
      <c r="D308" s="3" t="inlineStr">
        <is>
          <t>factor_comun</t>
        </is>
      </c>
      <c r="E308" s="3" t="inlineStr">
        <is>
          <t>regional_panel</t>
        </is>
      </c>
      <c r="F308" s="3" t="inlineStr">
        <is>
          <t>panel_covariables</t>
        </is>
      </c>
      <c r="G308" s="3" t="n">
        <v>-4.82785</v>
      </c>
      <c r="H308" s="3" t="n">
        <v>122.997</v>
      </c>
      <c r="I308" s="3" t="n">
        <v>-8.01083</v>
      </c>
      <c r="J308" s="3" t="n">
        <v>-1.73403</v>
      </c>
      <c r="K308" s="3" t="n">
        <v>-3.92518</v>
      </c>
      <c r="L308" s="3" t="n"/>
      <c r="M308" s="3" t="inlineStr">
        <is>
          <t>no</t>
        </is>
      </c>
      <c r="N308" s="3" t="inlineStr">
        <is>
          <t>no designado (contraste C4: no hay svar_hd regional)</t>
        </is>
      </c>
      <c r="O308" s="3" t="inlineStr">
        <is>
          <t>CCAA: ranking por c_f·sign(dY) del panel FE (M8); asociacion, sin lectura causal; el factor comun es un resumen de comovimiento (pendiente ~1 mecanica, J23)</t>
        </is>
      </c>
      <c r="P308" s="3" t="inlineStr">
        <is>
          <t>output/v8/F5/regional_ranking.csv</t>
        </is>
      </c>
    </row>
    <row r="309">
      <c r="A309" s="3" t="inlineStr">
        <is>
          <t>alquiler</t>
        </is>
      </c>
      <c r="B309" s="3" t="inlineStr">
        <is>
          <t>ccaa:10</t>
        </is>
      </c>
      <c r="C309" s="3" t="inlineStr">
        <is>
          <t>P4</t>
        </is>
      </c>
      <c r="D309" s="3" t="inlineStr">
        <is>
          <t>empleo_renta</t>
        </is>
      </c>
      <c r="E309" s="3" t="inlineStr">
        <is>
          <t>regional_panel</t>
        </is>
      </c>
      <c r="F309" s="3" t="inlineStr">
        <is>
          <t>panel_covariables</t>
        </is>
      </c>
      <c r="G309" s="3" t="n">
        <v>0.0276016</v>
      </c>
      <c r="H309" s="3" t="n">
        <v>-0.703195</v>
      </c>
      <c r="I309" s="3" t="n">
        <v>-0.0936326</v>
      </c>
      <c r="J309" s="3" t="n">
        <v>0.0594882</v>
      </c>
      <c r="K309" s="3" t="n">
        <v>-3.92518</v>
      </c>
      <c r="L309" s="3" t="n">
        <v>3</v>
      </c>
      <c r="M309" s="3" t="inlineStr">
        <is>
          <t>si</t>
        </is>
      </c>
      <c r="N309" s="3" t="inlineStr">
        <is>
          <t>no designado (contraste C4: no hay svar_hd regional)</t>
        </is>
      </c>
      <c r="O309" s="3" t="inlineStr">
        <is>
          <t>CCAA: ranking por c_f·sign(dY) del panel FE (M8); asociacion, sin lectura causal; el factor comun es un resumen de comovimiento (pendiente ~1 mecanica, J23)</t>
        </is>
      </c>
      <c r="P309" s="3" t="inlineStr">
        <is>
          <t>output/v8/F5/regional_ranking.csv</t>
        </is>
      </c>
    </row>
    <row r="310">
      <c r="A310" s="3" t="inlineStr">
        <is>
          <t>alquiler</t>
        </is>
      </c>
      <c r="B310" s="3" t="inlineStr">
        <is>
          <t>ccaa:10</t>
        </is>
      </c>
      <c r="C310" s="3" t="inlineStr">
        <is>
          <t>P4</t>
        </is>
      </c>
      <c r="D310" s="3" t="inlineStr">
        <is>
          <t>demografia</t>
        </is>
      </c>
      <c r="E310" s="3" t="inlineStr">
        <is>
          <t>regional_panel</t>
        </is>
      </c>
      <c r="F310" s="3" t="inlineStr">
        <is>
          <t>panel_covariables</t>
        </is>
      </c>
      <c r="G310" s="3" t="n">
        <v>0.279955</v>
      </c>
      <c r="H310" s="3" t="n">
        <v>-7.13228</v>
      </c>
      <c r="I310" s="3" t="n">
        <v>-0.129809</v>
      </c>
      <c r="J310" s="3" t="n">
        <v>0.454315</v>
      </c>
      <c r="K310" s="3" t="n">
        <v>-3.92518</v>
      </c>
      <c r="L310" s="3" t="n">
        <v>4</v>
      </c>
      <c r="M310" s="3" t="inlineStr">
        <is>
          <t>si</t>
        </is>
      </c>
      <c r="N310" s="3" t="inlineStr">
        <is>
          <t>no designado (contraste C4: no hay svar_hd regional)</t>
        </is>
      </c>
      <c r="O310" s="3" t="inlineStr">
        <is>
          <t>CCAA: ranking por c_f·sign(dY) del panel FE (M8); asociacion, sin lectura causal; el factor comun es un resumen de comovimiento (pendiente ~1 mecanica, J23)</t>
        </is>
      </c>
      <c r="P310" s="3" t="inlineStr">
        <is>
          <t>output/v8/F5/regional_ranking.csv</t>
        </is>
      </c>
    </row>
    <row r="311">
      <c r="A311" s="3" t="inlineStr">
        <is>
          <t>alquiler</t>
        </is>
      </c>
      <c r="B311" s="3" t="inlineStr">
        <is>
          <t>ccaa:10</t>
        </is>
      </c>
      <c r="C311" s="3" t="inlineStr">
        <is>
          <t>P4</t>
        </is>
      </c>
      <c r="D311" s="3" t="inlineStr">
        <is>
          <t>oferta</t>
        </is>
      </c>
      <c r="E311" s="3" t="inlineStr">
        <is>
          <t>regional_panel</t>
        </is>
      </c>
      <c r="F311" s="3" t="inlineStr">
        <is>
          <t>panel_covariables</t>
        </is>
      </c>
      <c r="G311" s="3" t="n">
        <v>-0.00114273</v>
      </c>
      <c r="H311" s="3" t="n">
        <v>0.0291129</v>
      </c>
      <c r="I311" s="3" t="n">
        <v>-0.0145885</v>
      </c>
      <c r="J311" s="3" t="n">
        <v>0.0171925</v>
      </c>
      <c r="K311" s="3" t="n">
        <v>-3.92518</v>
      </c>
      <c r="L311" s="3" t="n">
        <v>1</v>
      </c>
      <c r="M311" s="3" t="inlineStr">
        <is>
          <t>si</t>
        </is>
      </c>
      <c r="N311" s="3" t="inlineStr">
        <is>
          <t>no designado (contraste C4: no hay svar_hd regional)</t>
        </is>
      </c>
      <c r="O311" s="3" t="inlineStr">
        <is>
          <t>CCAA: ranking por c_f·sign(dY) del panel FE (M8); asociacion, sin lectura causal; el factor comun es un resumen de comovimiento (pendiente ~1 mecanica, J23)</t>
        </is>
      </c>
      <c r="P311" s="3" t="inlineStr">
        <is>
          <t>output/v8/F5/regional_ranking.csv</t>
        </is>
      </c>
    </row>
    <row r="312">
      <c r="A312" s="3" t="inlineStr">
        <is>
          <t>alquiler</t>
        </is>
      </c>
      <c r="B312" s="3" t="inlineStr">
        <is>
          <t>ccaa:10</t>
        </is>
      </c>
      <c r="C312" s="3" t="inlineStr">
        <is>
          <t>P4</t>
        </is>
      </c>
      <c r="D312" s="3" t="inlineStr">
        <is>
          <t>demanda_externa</t>
        </is>
      </c>
      <c r="E312" s="3" t="inlineStr">
        <is>
          <t>regional_panel</t>
        </is>
      </c>
      <c r="F312" s="3" t="inlineStr">
        <is>
          <t>panel_covariables</t>
        </is>
      </c>
      <c r="G312" s="3" t="n">
        <v>0.00671733</v>
      </c>
      <c r="H312" s="3" t="n">
        <v>-0.171134</v>
      </c>
      <c r="I312" s="3" t="n">
        <v>-0.0508193</v>
      </c>
      <c r="J312" s="3" t="n">
        <v>0.0214268</v>
      </c>
      <c r="K312" s="3" t="n">
        <v>-3.92518</v>
      </c>
      <c r="L312" s="3" t="n">
        <v>2</v>
      </c>
      <c r="M312" s="3" t="inlineStr">
        <is>
          <t>si</t>
        </is>
      </c>
      <c r="N312" s="3" t="inlineStr">
        <is>
          <t>no designado (contraste C4: no hay svar_hd regional)</t>
        </is>
      </c>
      <c r="O312" s="3" t="inlineStr">
        <is>
          <t>CCAA: ranking por c_f·sign(dY) del panel FE (M8); asociacion, sin lectura causal; el factor comun es un resumen de comovimiento (pendiente ~1 mecanica, J23)</t>
        </is>
      </c>
      <c r="P312" s="3" t="inlineStr">
        <is>
          <t>output/v8/F5/regional_ranking.csv</t>
        </is>
      </c>
    </row>
    <row r="313">
      <c r="A313" s="3" t="inlineStr">
        <is>
          <t>alquiler</t>
        </is>
      </c>
      <c r="B313" s="3" t="inlineStr">
        <is>
          <t>ccaa:10</t>
        </is>
      </c>
      <c r="C313" s="3" t="inlineStr">
        <is>
          <t>P4</t>
        </is>
      </c>
      <c r="D313" s="3" t="inlineStr">
        <is>
          <t>residuo</t>
        </is>
      </c>
      <c r="E313" s="3" t="inlineStr">
        <is>
          <t>regional_panel</t>
        </is>
      </c>
      <c r="F313" s="3" t="inlineStr">
        <is>
          <t>panel_covariables</t>
        </is>
      </c>
      <c r="G313" s="3" t="n">
        <v>0.589537</v>
      </c>
      <c r="H313" s="3" t="n">
        <v>-15.0194</v>
      </c>
      <c r="I313" s="3" t="n">
        <v>0.445984</v>
      </c>
      <c r="J313" s="3" t="n">
        <v>0.965743</v>
      </c>
      <c r="K313" s="3" t="n">
        <v>-3.92518</v>
      </c>
      <c r="L313" s="3" t="n"/>
      <c r="M313" s="3" t="inlineStr">
        <is>
          <t>no</t>
        </is>
      </c>
      <c r="N313" s="3" t="inlineStr">
        <is>
          <t>no designado (contraste C4: no hay svar_hd regional)</t>
        </is>
      </c>
      <c r="O313" s="3" t="inlineStr">
        <is>
          <t>CCAA: ranking por c_f·sign(dY) del panel FE (M8); asociacion, sin lectura causal; el factor comun es un resumen de comovimiento (pendiente ~1 mecanica, J23)</t>
        </is>
      </c>
      <c r="P313" s="3" t="inlineStr">
        <is>
          <t>output/v8/F5/regional_ranking.csv</t>
        </is>
      </c>
    </row>
    <row r="314">
      <c r="A314" s="3" t="inlineStr">
        <is>
          <t>alquiler</t>
        </is>
      </c>
      <c r="B314" s="3" t="inlineStr">
        <is>
          <t>ccaa:10</t>
        </is>
      </c>
      <c r="C314" s="3" t="inlineStr">
        <is>
          <t>P5</t>
        </is>
      </c>
      <c r="D314" s="3" t="inlineStr">
        <is>
          <t>factor_comun</t>
        </is>
      </c>
      <c r="E314" s="3" t="inlineStr">
        <is>
          <t>regional_ccaa_ols</t>
        </is>
      </c>
      <c r="F314" s="3" t="inlineStr">
        <is>
          <t>ols_solo_factor</t>
        </is>
      </c>
      <c r="G314" s="3" t="n">
        <v>-6.5088</v>
      </c>
      <c r="H314" s="3" t="n">
        <v>270.227</v>
      </c>
      <c r="I314" s="3" t="n">
        <v>-9.43238</v>
      </c>
      <c r="J314" s="3" t="n">
        <v>-4.09735</v>
      </c>
      <c r="K314" s="3" t="n">
        <v>-3.81924</v>
      </c>
      <c r="L314" s="3" t="n"/>
      <c r="M314" s="3" t="inlineStr">
        <is>
          <t>no</t>
        </is>
      </c>
      <c r="N314" s="3" t="inlineStr">
        <is>
          <t>no designado (contraste C4: no hay svar_hd regional)</t>
        </is>
      </c>
      <c r="O314" s="3" t="inlineStr">
        <is>
          <t>CCAA: ranking por c_f·sign(dY) del panel FE (M8); asociacion, sin lectura causal; el factor comun es un resumen de comovimiento (pendiente ~1 mecanica, J23)</t>
        </is>
      </c>
      <c r="P314" s="3" t="inlineStr">
        <is>
          <t>output/v8/F5/regional_ranking.csv</t>
        </is>
      </c>
    </row>
    <row r="315">
      <c r="A315" s="3" t="inlineStr">
        <is>
          <t>alquiler</t>
        </is>
      </c>
      <c r="B315" s="3" t="inlineStr">
        <is>
          <t>ccaa:10</t>
        </is>
      </c>
      <c r="C315" s="3" t="inlineStr">
        <is>
          <t>P5</t>
        </is>
      </c>
      <c r="D315" s="3" t="inlineStr">
        <is>
          <t>residuo</t>
        </is>
      </c>
      <c r="E315" s="3" t="inlineStr">
        <is>
          <t>regional_ccaa_ols</t>
        </is>
      </c>
      <c r="F315" s="3" t="inlineStr">
        <is>
          <t>ols_solo_factor</t>
        </is>
      </c>
      <c r="G315" s="3" t="n">
        <v>4.10016</v>
      </c>
      <c r="H315" s="3" t="n">
        <v>-170.227</v>
      </c>
      <c r="I315" s="3" t="n"/>
      <c r="J315" s="3" t="n"/>
      <c r="K315" s="3" t="n">
        <v>-3.81924</v>
      </c>
      <c r="L315" s="3" t="n"/>
      <c r="M315" s="3" t="inlineStr">
        <is>
          <t>no</t>
        </is>
      </c>
      <c r="N315" s="3" t="inlineStr">
        <is>
          <t>no designado (contraste C4: no hay svar_hd regional)</t>
        </is>
      </c>
      <c r="O315" s="3" t="inlineStr">
        <is>
          <t>CCAA: ranking por c_f·sign(dY) del panel FE (M8); asociacion, sin lectura causal; el factor comun es un resumen de comovimiento (pendiente ~1 mecanica, J23)</t>
        </is>
      </c>
      <c r="P315" s="3" t="inlineStr">
        <is>
          <t>output/v8/F5/regional_ranking.csv</t>
        </is>
      </c>
    </row>
    <row r="316">
      <c r="A316" s="3" t="inlineStr">
        <is>
          <t>alquiler</t>
        </is>
      </c>
      <c r="B316" s="3" t="inlineStr">
        <is>
          <t>ccaa:10</t>
        </is>
      </c>
      <c r="C316" s="3" t="inlineStr">
        <is>
          <t>P5</t>
        </is>
      </c>
      <c r="D316" s="3" t="inlineStr">
        <is>
          <t>factor_comun</t>
        </is>
      </c>
      <c r="E316" s="3" t="inlineStr">
        <is>
          <t>regional_panel</t>
        </is>
      </c>
      <c r="F316" s="3" t="inlineStr">
        <is>
          <t>panel_covariables</t>
        </is>
      </c>
      <c r="G316" s="3" t="n">
        <v>-5.47353</v>
      </c>
      <c r="H316" s="3" t="n">
        <v>143.315</v>
      </c>
      <c r="I316" s="3" t="n">
        <v>-7.50057</v>
      </c>
      <c r="J316" s="3" t="n">
        <v>-3.0519</v>
      </c>
      <c r="K316" s="3" t="n">
        <v>-3.81924</v>
      </c>
      <c r="L316" s="3" t="n"/>
      <c r="M316" s="3" t="inlineStr">
        <is>
          <t>no</t>
        </is>
      </c>
      <c r="N316" s="3" t="inlineStr">
        <is>
          <t>no designado (contraste C4: no hay svar_hd regional)</t>
        </is>
      </c>
      <c r="O316" s="3" t="inlineStr">
        <is>
          <t>CCAA: ranking por c_f·sign(dY) del panel FE (M8); asociacion, sin lectura causal; el factor comun es un resumen de comovimiento (pendiente ~1 mecanica, J23)</t>
        </is>
      </c>
      <c r="P316" s="3" t="inlineStr">
        <is>
          <t>output/v8/F5/regional_ranking.csv</t>
        </is>
      </c>
    </row>
    <row r="317">
      <c r="A317" s="3" t="inlineStr">
        <is>
          <t>alquiler</t>
        </is>
      </c>
      <c r="B317" s="3" t="inlineStr">
        <is>
          <t>ccaa:10</t>
        </is>
      </c>
      <c r="C317" s="3" t="inlineStr">
        <is>
          <t>P5</t>
        </is>
      </c>
      <c r="D317" s="3" t="inlineStr">
        <is>
          <t>empleo_renta</t>
        </is>
      </c>
      <c r="E317" s="3" t="inlineStr">
        <is>
          <t>regional_panel</t>
        </is>
      </c>
      <c r="F317" s="3" t="inlineStr">
        <is>
          <t>panel_covariables</t>
        </is>
      </c>
      <c r="G317" s="3" t="n">
        <v>-0.192496</v>
      </c>
      <c r="H317" s="3" t="n">
        <v>5.04016</v>
      </c>
      <c r="I317" s="3" t="n">
        <v>-0.315767</v>
      </c>
      <c r="J317" s="3" t="n">
        <v>-0.105849</v>
      </c>
      <c r="K317" s="3" t="n">
        <v>-3.81924</v>
      </c>
      <c r="L317" s="3" t="n">
        <v>1</v>
      </c>
      <c r="M317" s="3" t="inlineStr">
        <is>
          <t>si</t>
        </is>
      </c>
      <c r="N317" s="3" t="inlineStr">
        <is>
          <t>no designado (contraste C4: no hay svar_hd regional)</t>
        </is>
      </c>
      <c r="O317" s="3" t="inlineStr">
        <is>
          <t>CCAA: ranking por c_f·sign(dY) del panel FE (M8); asociacion, sin lectura causal; el factor comun es un resumen de comovimiento (pendiente ~1 mecanica, J23)</t>
        </is>
      </c>
      <c r="P317" s="3" t="inlineStr">
        <is>
          <t>output/v8/F5/regional_ranking.csv</t>
        </is>
      </c>
    </row>
    <row r="318">
      <c r="A318" s="3" t="inlineStr">
        <is>
          <t>alquiler</t>
        </is>
      </c>
      <c r="B318" s="3" t="inlineStr">
        <is>
          <t>ccaa:10</t>
        </is>
      </c>
      <c r="C318" s="3" t="inlineStr">
        <is>
          <t>P5</t>
        </is>
      </c>
      <c r="D318" s="3" t="inlineStr">
        <is>
          <t>demografia</t>
        </is>
      </c>
      <c r="E318" s="3" t="inlineStr">
        <is>
          <t>regional_panel</t>
        </is>
      </c>
      <c r="F318" s="3" t="inlineStr">
        <is>
          <t>panel_covariables</t>
        </is>
      </c>
      <c r="G318" s="3" t="n">
        <v>0.781189</v>
      </c>
      <c r="H318" s="3" t="n">
        <v>-20.454</v>
      </c>
      <c r="I318" s="3" t="n">
        <v>0.0779905</v>
      </c>
      <c r="J318" s="3" t="n">
        <v>1.87737</v>
      </c>
      <c r="K318" s="3" t="n">
        <v>-3.81924</v>
      </c>
      <c r="L318" s="3" t="n">
        <v>4</v>
      </c>
      <c r="M318" s="3" t="inlineStr">
        <is>
          <t>si</t>
        </is>
      </c>
      <c r="N318" s="3" t="inlineStr">
        <is>
          <t>no designado (contraste C4: no hay svar_hd regional)</t>
        </is>
      </c>
      <c r="O318" s="3" t="inlineStr">
        <is>
          <t>CCAA: ranking por c_f·sign(dY) del panel FE (M8); asociacion, sin lectura causal; el factor comun es un resumen de comovimiento (pendiente ~1 mecanica, J23)</t>
        </is>
      </c>
      <c r="P318" s="3" t="inlineStr">
        <is>
          <t>output/v8/F5/regional_ranking.csv</t>
        </is>
      </c>
    </row>
    <row r="319">
      <c r="A319" s="3" t="inlineStr">
        <is>
          <t>alquiler</t>
        </is>
      </c>
      <c r="B319" s="3" t="inlineStr">
        <is>
          <t>ccaa:10</t>
        </is>
      </c>
      <c r="C319" s="3" t="inlineStr">
        <is>
          <t>P5</t>
        </is>
      </c>
      <c r="D319" s="3" t="inlineStr">
        <is>
          <t>oferta</t>
        </is>
      </c>
      <c r="E319" s="3" t="inlineStr">
        <is>
          <t>regional_panel</t>
        </is>
      </c>
      <c r="F319" s="3" t="inlineStr">
        <is>
          <t>panel_covariables</t>
        </is>
      </c>
      <c r="G319" s="3" t="n">
        <v>-0.0118399</v>
      </c>
      <c r="H319" s="3" t="n">
        <v>0.310006</v>
      </c>
      <c r="I319" s="3" t="n">
        <v>-0.0261901</v>
      </c>
      <c r="J319" s="3" t="n">
        <v>0.00788293</v>
      </c>
      <c r="K319" s="3" t="n">
        <v>-3.81924</v>
      </c>
      <c r="L319" s="3" t="n">
        <v>2</v>
      </c>
      <c r="M319" s="3" t="inlineStr">
        <is>
          <t>si</t>
        </is>
      </c>
      <c r="N319" s="3" t="inlineStr">
        <is>
          <t>no designado (contraste C4: no hay svar_hd regional)</t>
        </is>
      </c>
      <c r="O319" s="3" t="inlineStr">
        <is>
          <t>CCAA: ranking por c_f·sign(dY) del panel FE (M8); asociacion, sin lectura causal; el factor comun es un resumen de comovimiento (pendiente ~1 mecanica, J23)</t>
        </is>
      </c>
      <c r="P319" s="3" t="inlineStr">
        <is>
          <t>output/v8/F5/regional_ranking.csv</t>
        </is>
      </c>
    </row>
    <row r="320">
      <c r="A320" s="3" t="inlineStr">
        <is>
          <t>alquiler</t>
        </is>
      </c>
      <c r="B320" s="3" t="inlineStr">
        <is>
          <t>ccaa:10</t>
        </is>
      </c>
      <c r="C320" s="3" t="inlineStr">
        <is>
          <t>P5</t>
        </is>
      </c>
      <c r="D320" s="3" t="inlineStr">
        <is>
          <t>demanda_externa</t>
        </is>
      </c>
      <c r="E320" s="3" t="inlineStr">
        <is>
          <t>regional_panel</t>
        </is>
      </c>
      <c r="F320" s="3" t="inlineStr">
        <is>
          <t>panel_covariables</t>
        </is>
      </c>
      <c r="G320" s="3" t="n">
        <v>0.0416749</v>
      </c>
      <c r="H320" s="3" t="n">
        <v>-1.09118</v>
      </c>
      <c r="I320" s="3" t="n">
        <v>-0.00184137</v>
      </c>
      <c r="J320" s="3" t="n">
        <v>0.0829891</v>
      </c>
      <c r="K320" s="3" t="n">
        <v>-3.81924</v>
      </c>
      <c r="L320" s="3" t="n">
        <v>3</v>
      </c>
      <c r="M320" s="3" t="inlineStr">
        <is>
          <t>si</t>
        </is>
      </c>
      <c r="N320" s="3" t="inlineStr">
        <is>
          <t>no designado (contraste C4: no hay svar_hd regional)</t>
        </is>
      </c>
      <c r="O320" s="3" t="inlineStr">
        <is>
          <t>CCAA: ranking por c_f·sign(dY) del panel FE (M8); asociacion, sin lectura causal; el factor comun es un resumen de comovimiento (pendiente ~1 mecanica, J23)</t>
        </is>
      </c>
      <c r="P320" s="3" t="inlineStr">
        <is>
          <t>output/v8/F5/regional_ranking.csv</t>
        </is>
      </c>
    </row>
    <row r="321">
      <c r="A321" s="3" t="inlineStr">
        <is>
          <t>alquiler</t>
        </is>
      </c>
      <c r="B321" s="3" t="inlineStr">
        <is>
          <t>ccaa:10</t>
        </is>
      </c>
      <c r="C321" s="3" t="inlineStr">
        <is>
          <t>P5</t>
        </is>
      </c>
      <c r="D321" s="3" t="inlineStr">
        <is>
          <t>residuo</t>
        </is>
      </c>
      <c r="E321" s="3" t="inlineStr">
        <is>
          <t>regional_panel</t>
        </is>
      </c>
      <c r="F321" s="3" t="inlineStr">
        <is>
          <t>panel_covariables</t>
        </is>
      </c>
      <c r="G321" s="3" t="n">
        <v>1.03576</v>
      </c>
      <c r="H321" s="3" t="n">
        <v>-27.1195</v>
      </c>
      <c r="I321" s="3" t="n">
        <v>-0.293111</v>
      </c>
      <c r="J321" s="3" t="n">
        <v>1.84572</v>
      </c>
      <c r="K321" s="3" t="n">
        <v>-3.81924</v>
      </c>
      <c r="L321" s="3" t="n"/>
      <c r="M321" s="3" t="inlineStr">
        <is>
          <t>no</t>
        </is>
      </c>
      <c r="N321" s="3" t="inlineStr">
        <is>
          <t>no designado (contraste C4: no hay svar_hd regional)</t>
        </is>
      </c>
      <c r="O321" s="3" t="inlineStr">
        <is>
          <t>CCAA: ranking por c_f·sign(dY) del panel FE (M8); asociacion, sin lectura causal; el factor comun es un resumen de comovimiento (pendiente ~1 mecanica, J23)</t>
        </is>
      </c>
      <c r="P321" s="3" t="inlineStr">
        <is>
          <t>output/v8/F5/regional_ranking.csv</t>
        </is>
      </c>
    </row>
    <row r="322">
      <c r="A322" s="3" t="inlineStr">
        <is>
          <t>alquiler</t>
        </is>
      </c>
      <c r="B322" s="3" t="inlineStr">
        <is>
          <t>ccaa:11</t>
        </is>
      </c>
      <c r="C322" s="3" t="inlineStr">
        <is>
          <t>P2</t>
        </is>
      </c>
      <c r="D322" s="3" t="inlineStr">
        <is>
          <t>factor_comun</t>
        </is>
      </c>
      <c r="E322" s="3" t="inlineStr">
        <is>
          <t>regional_ccaa_ols</t>
        </is>
      </c>
      <c r="F322" s="3" t="inlineStr">
        <is>
          <t>ols_solo_factor</t>
        </is>
      </c>
      <c r="G322" s="3" t="n">
        <v>-3.35824</v>
      </c>
      <c r="H322" s="3" t="n">
        <v>69.0042</v>
      </c>
      <c r="I322" s="3" t="n">
        <v>-7.43668</v>
      </c>
      <c r="J322" s="3" t="n">
        <v>0.546308</v>
      </c>
      <c r="K322" s="3" t="n">
        <v>-5.13278</v>
      </c>
      <c r="L322" s="3" t="n"/>
      <c r="M322" s="3" t="inlineStr">
        <is>
          <t>no</t>
        </is>
      </c>
      <c r="N322" s="3" t="inlineStr">
        <is>
          <t>no designado (contraste C4: no hay svar_hd regional)</t>
        </is>
      </c>
      <c r="O322" s="3" t="inlineStr">
        <is>
          <t>CCAA: ranking por c_f·sign(dY) del panel FE (M8); asociacion, sin lectura causal; el factor comun es un resumen de comovimiento (pendiente ~1 mecanica, J23)</t>
        </is>
      </c>
      <c r="P322" s="3" t="inlineStr">
        <is>
          <t>output/v8/F5/regional_ranking.csv</t>
        </is>
      </c>
    </row>
    <row r="323">
      <c r="A323" s="3" t="inlineStr">
        <is>
          <t>alquiler</t>
        </is>
      </c>
      <c r="B323" s="3" t="inlineStr">
        <is>
          <t>ccaa:11</t>
        </is>
      </c>
      <c r="C323" s="3" t="inlineStr">
        <is>
          <t>P2</t>
        </is>
      </c>
      <c r="D323" s="3" t="inlineStr">
        <is>
          <t>residuo</t>
        </is>
      </c>
      <c r="E323" s="3" t="inlineStr">
        <is>
          <t>regional_ccaa_ols</t>
        </is>
      </c>
      <c r="F323" s="3" t="inlineStr">
        <is>
          <t>ols_solo_factor</t>
        </is>
      </c>
      <c r="G323" s="3" t="n">
        <v>-1.50848</v>
      </c>
      <c r="H323" s="3" t="n">
        <v>30.9958</v>
      </c>
      <c r="I323" s="3" t="n"/>
      <c r="J323" s="3" t="n"/>
      <c r="K323" s="3" t="n">
        <v>-5.13278</v>
      </c>
      <c r="L323" s="3" t="n"/>
      <c r="M323" s="3" t="inlineStr">
        <is>
          <t>no</t>
        </is>
      </c>
      <c r="N323" s="3" t="inlineStr">
        <is>
          <t>no designado (contraste C4: no hay svar_hd regional)</t>
        </is>
      </c>
      <c r="O323" s="3" t="inlineStr">
        <is>
          <t>CCAA: ranking por c_f·sign(dY) del panel FE (M8); asociacion, sin lectura causal; el factor comun es un resumen de comovimiento (pendiente ~1 mecanica, J23)</t>
        </is>
      </c>
      <c r="P323" s="3" t="inlineStr">
        <is>
          <t>output/v8/F5/regional_ranking.csv</t>
        </is>
      </c>
    </row>
    <row r="324">
      <c r="A324" s="3" t="inlineStr">
        <is>
          <t>alquiler</t>
        </is>
      </c>
      <c r="B324" s="3" t="inlineStr">
        <is>
          <t>ccaa:11</t>
        </is>
      </c>
      <c r="C324" s="3" t="inlineStr">
        <is>
          <t>P2</t>
        </is>
      </c>
      <c r="D324" s="3" t="inlineStr">
        <is>
          <t>factor_comun</t>
        </is>
      </c>
      <c r="E324" s="3" t="inlineStr">
        <is>
          <t>regional_panel</t>
        </is>
      </c>
      <c r="F324" s="3" t="inlineStr">
        <is>
          <t>panel_covariables</t>
        </is>
      </c>
      <c r="G324" s="3" t="n">
        <v>-3.50963</v>
      </c>
      <c r="H324" s="3" t="n">
        <v>68.3766</v>
      </c>
      <c r="I324" s="3" t="n">
        <v>-7.73728</v>
      </c>
      <c r="J324" s="3" t="n">
        <v>0.660335</v>
      </c>
      <c r="K324" s="3" t="n">
        <v>-5.13278</v>
      </c>
      <c r="L324" s="3" t="n"/>
      <c r="M324" s="3" t="inlineStr">
        <is>
          <t>no</t>
        </is>
      </c>
      <c r="N324" s="3" t="inlineStr">
        <is>
          <t>no designado (contraste C4: no hay svar_hd regional)</t>
        </is>
      </c>
      <c r="O324" s="3" t="inlineStr">
        <is>
          <t>CCAA: ranking por c_f·sign(dY) del panel FE (M8); asociacion, sin lectura causal; el factor comun es un resumen de comovimiento (pendiente ~1 mecanica, J23)</t>
        </is>
      </c>
      <c r="P324" s="3" t="inlineStr">
        <is>
          <t>output/v8/F5/regional_ranking.csv</t>
        </is>
      </c>
    </row>
    <row r="325">
      <c r="A325" s="3" t="inlineStr">
        <is>
          <t>alquiler</t>
        </is>
      </c>
      <c r="B325" s="3" t="inlineStr">
        <is>
          <t>ccaa:11</t>
        </is>
      </c>
      <c r="C325" s="3" t="inlineStr">
        <is>
          <t>P2</t>
        </is>
      </c>
      <c r="D325" s="3" t="inlineStr">
        <is>
          <t>empleo_renta</t>
        </is>
      </c>
      <c r="E325" s="3" t="inlineStr">
        <is>
          <t>regional_panel</t>
        </is>
      </c>
      <c r="F325" s="3" t="inlineStr">
        <is>
          <t>panel_covariables</t>
        </is>
      </c>
      <c r="G325" s="3" t="n">
        <v>0.0165597</v>
      </c>
      <c r="H325" s="3" t="n">
        <v>-0.322626</v>
      </c>
      <c r="I325" s="3" t="n">
        <v>-0.298641</v>
      </c>
      <c r="J325" s="3" t="n">
        <v>0.680438</v>
      </c>
      <c r="K325" s="3" t="n">
        <v>-5.13278</v>
      </c>
      <c r="L325" s="3" t="n">
        <v>3</v>
      </c>
      <c r="M325" s="3" t="inlineStr">
        <is>
          <t>si</t>
        </is>
      </c>
      <c r="N325" s="3" t="inlineStr">
        <is>
          <t>no designado (contraste C4: no hay svar_hd regional)</t>
        </is>
      </c>
      <c r="O325" s="3" t="inlineStr">
        <is>
          <t>CCAA: ranking por c_f·sign(dY) del panel FE (M8); asociacion, sin lectura causal; el factor comun es un resumen de comovimiento (pendiente ~1 mecanica, J23)</t>
        </is>
      </c>
      <c r="P325" s="3" t="inlineStr">
        <is>
          <t>output/v8/F5/regional_ranking.csv</t>
        </is>
      </c>
    </row>
    <row r="326">
      <c r="A326" s="3" t="inlineStr">
        <is>
          <t>alquiler</t>
        </is>
      </c>
      <c r="B326" s="3" t="inlineStr">
        <is>
          <t>ccaa:11</t>
        </is>
      </c>
      <c r="C326" s="3" t="inlineStr">
        <is>
          <t>P2</t>
        </is>
      </c>
      <c r="D326" s="3" t="inlineStr">
        <is>
          <t>demografia</t>
        </is>
      </c>
      <c r="E326" s="3" t="inlineStr">
        <is>
          <t>regional_panel</t>
        </is>
      </c>
      <c r="F326" s="3" t="inlineStr">
        <is>
          <t>panel_covariables</t>
        </is>
      </c>
      <c r="G326" s="3" t="n">
        <v>-0.0144068</v>
      </c>
      <c r="H326" s="3" t="n">
        <v>0.280682</v>
      </c>
      <c r="I326" s="3" t="n">
        <v>-0.12094</v>
      </c>
      <c r="J326" s="3" t="n">
        <v>0.130995</v>
      </c>
      <c r="K326" s="3" t="n">
        <v>-5.13278</v>
      </c>
      <c r="L326" s="3" t="n">
        <v>2</v>
      </c>
      <c r="M326" s="3" t="inlineStr">
        <is>
          <t>si</t>
        </is>
      </c>
      <c r="N326" s="3" t="inlineStr">
        <is>
          <t>no designado (contraste C4: no hay svar_hd regional)</t>
        </is>
      </c>
      <c r="O326" s="3" t="inlineStr">
        <is>
          <t>CCAA: ranking por c_f·sign(dY) del panel FE (M8); asociacion, sin lectura causal; el factor comun es un resumen de comovimiento (pendiente ~1 mecanica, J23)</t>
        </is>
      </c>
      <c r="P326" s="3" t="inlineStr">
        <is>
          <t>output/v8/F5/regional_ranking.csv</t>
        </is>
      </c>
    </row>
    <row r="327">
      <c r="A327" s="3" t="inlineStr">
        <is>
          <t>alquiler</t>
        </is>
      </c>
      <c r="B327" s="3" t="inlineStr">
        <is>
          <t>ccaa:11</t>
        </is>
      </c>
      <c r="C327" s="3" t="inlineStr">
        <is>
          <t>P2</t>
        </is>
      </c>
      <c r="D327" s="3" t="inlineStr">
        <is>
          <t>oferta</t>
        </is>
      </c>
      <c r="E327" s="3" t="inlineStr">
        <is>
          <t>regional_panel</t>
        </is>
      </c>
      <c r="F327" s="3" t="inlineStr">
        <is>
          <t>panel_covariables</t>
        </is>
      </c>
      <c r="G327" s="3" t="n">
        <v>0.224909</v>
      </c>
      <c r="H327" s="3" t="n">
        <v>-4.38182</v>
      </c>
      <c r="I327" s="3" t="n">
        <v>0.0272445</v>
      </c>
      <c r="J327" s="3" t="n">
        <v>0.395415</v>
      </c>
      <c r="K327" s="3" t="n">
        <v>-5.13278</v>
      </c>
      <c r="L327" s="3" t="n">
        <v>4</v>
      </c>
      <c r="M327" s="3" t="inlineStr">
        <is>
          <t>si</t>
        </is>
      </c>
      <c r="N327" s="3" t="inlineStr">
        <is>
          <t>no designado (contraste C4: no hay svar_hd regional)</t>
        </is>
      </c>
      <c r="O327" s="3" t="inlineStr">
        <is>
          <t>CCAA: ranking por c_f·sign(dY) del panel FE (M8); asociacion, sin lectura causal; el factor comun es un resumen de comovimiento (pendiente ~1 mecanica, J23)</t>
        </is>
      </c>
      <c r="P327" s="3" t="inlineStr">
        <is>
          <t>output/v8/F5/regional_ranking.csv</t>
        </is>
      </c>
    </row>
    <row r="328">
      <c r="A328" s="3" t="inlineStr">
        <is>
          <t>alquiler</t>
        </is>
      </c>
      <c r="B328" s="3" t="inlineStr">
        <is>
          <t>ccaa:11</t>
        </is>
      </c>
      <c r="C328" s="3" t="inlineStr">
        <is>
          <t>P2</t>
        </is>
      </c>
      <c r="D328" s="3" t="inlineStr">
        <is>
          <t>demanda_externa</t>
        </is>
      </c>
      <c r="E328" s="3" t="inlineStr">
        <is>
          <t>regional_panel</t>
        </is>
      </c>
      <c r="F328" s="3" t="inlineStr">
        <is>
          <t>panel_covariables</t>
        </is>
      </c>
      <c r="G328" s="3" t="n">
        <v>-0.158607</v>
      </c>
      <c r="H328" s="3" t="n">
        <v>3.09007</v>
      </c>
      <c r="I328" s="3" t="n">
        <v>-0.185633</v>
      </c>
      <c r="J328" s="3" t="n">
        <v>0.0379257</v>
      </c>
      <c r="K328" s="3" t="n">
        <v>-5.13278</v>
      </c>
      <c r="L328" s="3" t="n">
        <v>1</v>
      </c>
      <c r="M328" s="3" t="inlineStr">
        <is>
          <t>si</t>
        </is>
      </c>
      <c r="N328" s="3" t="inlineStr">
        <is>
          <t>no designado (contraste C4: no hay svar_hd regional)</t>
        </is>
      </c>
      <c r="O328" s="3" t="inlineStr">
        <is>
          <t>CCAA: ranking por c_f·sign(dY) del panel FE (M8); asociacion, sin lectura causal; el factor comun es un resumen de comovimiento (pendiente ~1 mecanica, J23)</t>
        </is>
      </c>
      <c r="P328" s="3" t="inlineStr">
        <is>
          <t>output/v8/F5/regional_ranking.csv</t>
        </is>
      </c>
    </row>
    <row r="329">
      <c r="A329" s="3" t="inlineStr">
        <is>
          <t>alquiler</t>
        </is>
      </c>
      <c r="B329" s="3" t="inlineStr">
        <is>
          <t>ccaa:11</t>
        </is>
      </c>
      <c r="C329" s="3" t="inlineStr">
        <is>
          <t>P2</t>
        </is>
      </c>
      <c r="D329" s="3" t="inlineStr">
        <is>
          <t>residuo</t>
        </is>
      </c>
      <c r="E329" s="3" t="inlineStr">
        <is>
          <t>regional_panel</t>
        </is>
      </c>
      <c r="F329" s="3" t="inlineStr">
        <is>
          <t>panel_covariables</t>
        </is>
      </c>
      <c r="G329" s="3" t="n">
        <v>-1.69161</v>
      </c>
      <c r="H329" s="3" t="n">
        <v>32.957</v>
      </c>
      <c r="I329" s="3" t="n">
        <v>-2.58632</v>
      </c>
      <c r="J329" s="3" t="n">
        <v>-1.35361</v>
      </c>
      <c r="K329" s="3" t="n">
        <v>-5.13278</v>
      </c>
      <c r="L329" s="3" t="n"/>
      <c r="M329" s="3" t="inlineStr">
        <is>
          <t>no</t>
        </is>
      </c>
      <c r="N329" s="3" t="inlineStr">
        <is>
          <t>no designado (contraste C4: no hay svar_hd regional)</t>
        </is>
      </c>
      <c r="O329" s="3" t="inlineStr">
        <is>
          <t>CCAA: ranking por c_f·sign(dY) del panel FE (M8); asociacion, sin lectura causal; el factor comun es un resumen de comovimiento (pendiente ~1 mecanica, J23)</t>
        </is>
      </c>
      <c r="P329" s="3" t="inlineStr">
        <is>
          <t>output/v8/F5/regional_ranking.csv</t>
        </is>
      </c>
    </row>
    <row r="330">
      <c r="A330" s="3" t="inlineStr">
        <is>
          <t>alquiler</t>
        </is>
      </c>
      <c r="B330" s="3" t="inlineStr">
        <is>
          <t>ccaa:11</t>
        </is>
      </c>
      <c r="C330" s="3" t="inlineStr">
        <is>
          <t>P3</t>
        </is>
      </c>
      <c r="D330" s="3" t="inlineStr">
        <is>
          <t>factor_comun</t>
        </is>
      </c>
      <c r="E330" s="3" t="inlineStr">
        <is>
          <t>regional_ccaa_ols</t>
        </is>
      </c>
      <c r="F330" s="3" t="inlineStr">
        <is>
          <t>ols_solo_factor</t>
        </is>
      </c>
      <c r="G330" s="3" t="n">
        <v>-1.52665</v>
      </c>
      <c r="H330" s="3" t="n">
        <v>34.6506</v>
      </c>
      <c r="I330" s="3" t="n">
        <v>-2.48281</v>
      </c>
      <c r="J330" s="3" t="n">
        <v>-0.637222</v>
      </c>
      <c r="K330" s="3" t="n">
        <v>-3.77658</v>
      </c>
      <c r="L330" s="3" t="n"/>
      <c r="M330" s="3" t="inlineStr">
        <is>
          <t>no</t>
        </is>
      </c>
      <c r="N330" s="3" t="inlineStr">
        <is>
          <t>no designado (contraste C4: no hay svar_hd regional)</t>
        </is>
      </c>
      <c r="O330" s="3" t="inlineStr">
        <is>
          <t>CCAA: ranking por c_f·sign(dY) del panel FE (M8); asociacion, sin lectura causal; el factor comun es un resumen de comovimiento (pendiente ~1 mecanica, J23)</t>
        </is>
      </c>
      <c r="P330" s="3" t="inlineStr">
        <is>
          <t>output/v8/F5/regional_ranking.csv</t>
        </is>
      </c>
    </row>
    <row r="331">
      <c r="A331" s="3" t="inlineStr">
        <is>
          <t>alquiler</t>
        </is>
      </c>
      <c r="B331" s="3" t="inlineStr">
        <is>
          <t>ccaa:11</t>
        </is>
      </c>
      <c r="C331" s="3" t="inlineStr">
        <is>
          <t>P3</t>
        </is>
      </c>
      <c r="D331" s="3" t="inlineStr">
        <is>
          <t>residuo</t>
        </is>
      </c>
      <c r="E331" s="3" t="inlineStr">
        <is>
          <t>regional_ccaa_ols</t>
        </is>
      </c>
      <c r="F331" s="3" t="inlineStr">
        <is>
          <t>ols_solo_factor</t>
        </is>
      </c>
      <c r="G331" s="3" t="n">
        <v>-2.87919</v>
      </c>
      <c r="H331" s="3" t="n">
        <v>65.3494</v>
      </c>
      <c r="I331" s="3" t="n"/>
      <c r="J331" s="3" t="n"/>
      <c r="K331" s="3" t="n">
        <v>-3.77658</v>
      </c>
      <c r="L331" s="3" t="n"/>
      <c r="M331" s="3" t="inlineStr">
        <is>
          <t>no</t>
        </is>
      </c>
      <c r="N331" s="3" t="inlineStr">
        <is>
          <t>no designado (contraste C4: no hay svar_hd regional)</t>
        </is>
      </c>
      <c r="O331" s="3" t="inlineStr">
        <is>
          <t>CCAA: ranking por c_f·sign(dY) del panel FE (M8); asociacion, sin lectura causal; el factor comun es un resumen de comovimiento (pendiente ~1 mecanica, J23)</t>
        </is>
      </c>
      <c r="P331" s="3" t="inlineStr">
        <is>
          <t>output/v8/F5/regional_ranking.csv</t>
        </is>
      </c>
    </row>
    <row r="332">
      <c r="A332" s="3" t="inlineStr">
        <is>
          <t>alquiler</t>
        </is>
      </c>
      <c r="B332" s="3" t="inlineStr">
        <is>
          <t>ccaa:11</t>
        </is>
      </c>
      <c r="C332" s="3" t="inlineStr">
        <is>
          <t>P3</t>
        </is>
      </c>
      <c r="D332" s="3" t="inlineStr">
        <is>
          <t>factor_comun</t>
        </is>
      </c>
      <c r="E332" s="3" t="inlineStr">
        <is>
          <t>regional_panel</t>
        </is>
      </c>
      <c r="F332" s="3" t="inlineStr">
        <is>
          <t>panel_covariables</t>
        </is>
      </c>
      <c r="G332" s="3" t="n">
        <v>-1.89168</v>
      </c>
      <c r="H332" s="3" t="n">
        <v>50.0899</v>
      </c>
      <c r="I332" s="3" t="n">
        <v>-3.03018</v>
      </c>
      <c r="J332" s="3" t="n">
        <v>-0.7753910000000001</v>
      </c>
      <c r="K332" s="3" t="n">
        <v>-3.77658</v>
      </c>
      <c r="L332" s="3" t="n"/>
      <c r="M332" s="3" t="inlineStr">
        <is>
          <t>no</t>
        </is>
      </c>
      <c r="N332" s="3" t="inlineStr">
        <is>
          <t>no designado (contraste C4: no hay svar_hd regional)</t>
        </is>
      </c>
      <c r="O332" s="3" t="inlineStr">
        <is>
          <t>CCAA: ranking por c_f·sign(dY) del panel FE (M8); asociacion, sin lectura causal; el factor comun es un resumen de comovimiento (pendiente ~1 mecanica, J23)</t>
        </is>
      </c>
      <c r="P332" s="3" t="inlineStr">
        <is>
          <t>output/v8/F5/regional_ranking.csv</t>
        </is>
      </c>
    </row>
    <row r="333">
      <c r="A333" s="3" t="inlineStr">
        <is>
          <t>alquiler</t>
        </is>
      </c>
      <c r="B333" s="3" t="inlineStr">
        <is>
          <t>ccaa:11</t>
        </is>
      </c>
      <c r="C333" s="3" t="inlineStr">
        <is>
          <t>P3</t>
        </is>
      </c>
      <c r="D333" s="3" t="inlineStr">
        <is>
          <t>empleo_renta</t>
        </is>
      </c>
      <c r="E333" s="3" t="inlineStr">
        <is>
          <t>regional_panel</t>
        </is>
      </c>
      <c r="F333" s="3" t="inlineStr">
        <is>
          <t>panel_covariables</t>
        </is>
      </c>
      <c r="G333" s="3" t="n">
        <v>0.182682</v>
      </c>
      <c r="H333" s="3" t="n">
        <v>-4.83725</v>
      </c>
      <c r="I333" s="3" t="n">
        <v>-0.069136</v>
      </c>
      <c r="J333" s="3" t="n">
        <v>0.382254</v>
      </c>
      <c r="K333" s="3" t="n">
        <v>-3.77658</v>
      </c>
      <c r="L333" s="3" t="n">
        <v>4</v>
      </c>
      <c r="M333" s="3" t="inlineStr">
        <is>
          <t>si</t>
        </is>
      </c>
      <c r="N333" s="3" t="inlineStr">
        <is>
          <t>no designado (contraste C4: no hay svar_hd regional)</t>
        </is>
      </c>
      <c r="O333" s="3" t="inlineStr">
        <is>
          <t>CCAA: ranking por c_f·sign(dY) del panel FE (M8); asociacion, sin lectura causal; el factor comun es un resumen de comovimiento (pendiente ~1 mecanica, J23)</t>
        </is>
      </c>
      <c r="P333" s="3" t="inlineStr">
        <is>
          <t>output/v8/F5/regional_ranking.csv</t>
        </is>
      </c>
    </row>
    <row r="334">
      <c r="A334" s="3" t="inlineStr">
        <is>
          <t>alquiler</t>
        </is>
      </c>
      <c r="B334" s="3" t="inlineStr">
        <is>
          <t>ccaa:11</t>
        </is>
      </c>
      <c r="C334" s="3" t="inlineStr">
        <is>
          <t>P3</t>
        </is>
      </c>
      <c r="D334" s="3" t="inlineStr">
        <is>
          <t>demografia</t>
        </is>
      </c>
      <c r="E334" s="3" t="inlineStr">
        <is>
          <t>regional_panel</t>
        </is>
      </c>
      <c r="F334" s="3" t="inlineStr">
        <is>
          <t>panel_covariables</t>
        </is>
      </c>
      <c r="G334" s="3" t="n">
        <v>-1.64723</v>
      </c>
      <c r="H334" s="3" t="n">
        <v>43.6171</v>
      </c>
      <c r="I334" s="3" t="n">
        <v>-2.19017</v>
      </c>
      <c r="J334" s="3" t="n">
        <v>-1.16197</v>
      </c>
      <c r="K334" s="3" t="n">
        <v>-3.77658</v>
      </c>
      <c r="L334" s="3" t="n">
        <v>1</v>
      </c>
      <c r="M334" s="3" t="inlineStr">
        <is>
          <t>si</t>
        </is>
      </c>
      <c r="N334" s="3" t="inlineStr">
        <is>
          <t>no designado (contraste C4: no hay svar_hd regional)</t>
        </is>
      </c>
      <c r="O334" s="3" t="inlineStr">
        <is>
          <t>CCAA: ranking por c_f·sign(dY) del panel FE (M8); asociacion, sin lectura causal; el factor comun es un resumen de comovimiento (pendiente ~1 mecanica, J23)</t>
        </is>
      </c>
      <c r="P334" s="3" t="inlineStr">
        <is>
          <t>output/v8/F5/regional_ranking.csv</t>
        </is>
      </c>
    </row>
    <row r="335">
      <c r="A335" s="3" t="inlineStr">
        <is>
          <t>alquiler</t>
        </is>
      </c>
      <c r="B335" s="3" t="inlineStr">
        <is>
          <t>ccaa:11</t>
        </is>
      </c>
      <c r="C335" s="3" t="inlineStr">
        <is>
          <t>P3</t>
        </is>
      </c>
      <c r="D335" s="3" t="inlineStr">
        <is>
          <t>oferta</t>
        </is>
      </c>
      <c r="E335" s="3" t="inlineStr">
        <is>
          <t>regional_panel</t>
        </is>
      </c>
      <c r="F335" s="3" t="inlineStr">
        <is>
          <t>panel_covariables</t>
        </is>
      </c>
      <c r="G335" s="3" t="n">
        <v>0.0139135</v>
      </c>
      <c r="H335" s="3" t="n">
        <v>-0.368416</v>
      </c>
      <c r="I335" s="3" t="n">
        <v>-0.0116758</v>
      </c>
      <c r="J335" s="3" t="n">
        <v>0.0488687</v>
      </c>
      <c r="K335" s="3" t="n">
        <v>-3.77658</v>
      </c>
      <c r="L335" s="3" t="n">
        <v>2</v>
      </c>
      <c r="M335" s="3" t="inlineStr">
        <is>
          <t>si</t>
        </is>
      </c>
      <c r="N335" s="3" t="inlineStr">
        <is>
          <t>no designado (contraste C4: no hay svar_hd regional)</t>
        </is>
      </c>
      <c r="O335" s="3" t="inlineStr">
        <is>
          <t>CCAA: ranking por c_f·sign(dY) del panel FE (M8); asociacion, sin lectura causal; el factor comun es un resumen de comovimiento (pendiente ~1 mecanica, J23)</t>
        </is>
      </c>
      <c r="P335" s="3" t="inlineStr">
        <is>
          <t>output/v8/F5/regional_ranking.csv</t>
        </is>
      </c>
    </row>
    <row r="336">
      <c r="A336" s="3" t="inlineStr">
        <is>
          <t>alquiler</t>
        </is>
      </c>
      <c r="B336" s="3" t="inlineStr">
        <is>
          <t>ccaa:11</t>
        </is>
      </c>
      <c r="C336" s="3" t="inlineStr">
        <is>
          <t>P3</t>
        </is>
      </c>
      <c r="D336" s="3" t="inlineStr">
        <is>
          <t>demanda_externa</t>
        </is>
      </c>
      <c r="E336" s="3" t="inlineStr">
        <is>
          <t>regional_panel</t>
        </is>
      </c>
      <c r="F336" s="3" t="inlineStr">
        <is>
          <t>panel_covariables</t>
        </is>
      </c>
      <c r="G336" s="3" t="n">
        <v>0.145137</v>
      </c>
      <c r="H336" s="3" t="n">
        <v>-3.84309</v>
      </c>
      <c r="I336" s="3" t="n">
        <v>0.0513687</v>
      </c>
      <c r="J336" s="3" t="n">
        <v>0.221129</v>
      </c>
      <c r="K336" s="3" t="n">
        <v>-3.77658</v>
      </c>
      <c r="L336" s="3" t="n">
        <v>3</v>
      </c>
      <c r="M336" s="3" t="inlineStr">
        <is>
          <t>si</t>
        </is>
      </c>
      <c r="N336" s="3" t="inlineStr">
        <is>
          <t>no designado (contraste C4: no hay svar_hd regional)</t>
        </is>
      </c>
      <c r="O336" s="3" t="inlineStr">
        <is>
          <t>CCAA: ranking por c_f·sign(dY) del panel FE (M8); asociacion, sin lectura causal; el factor comun es un resumen de comovimiento (pendiente ~1 mecanica, J23)</t>
        </is>
      </c>
      <c r="P336" s="3" t="inlineStr">
        <is>
          <t>output/v8/F5/regional_ranking.csv</t>
        </is>
      </c>
    </row>
    <row r="337">
      <c r="A337" s="3" t="inlineStr">
        <is>
          <t>alquiler</t>
        </is>
      </c>
      <c r="B337" s="3" t="inlineStr">
        <is>
          <t>ccaa:11</t>
        </is>
      </c>
      <c r="C337" s="3" t="inlineStr">
        <is>
          <t>P3</t>
        </is>
      </c>
      <c r="D337" s="3" t="inlineStr">
        <is>
          <t>residuo</t>
        </is>
      </c>
      <c r="E337" s="3" t="inlineStr">
        <is>
          <t>regional_panel</t>
        </is>
      </c>
      <c r="F337" s="3" t="inlineStr">
        <is>
          <t>panel_covariables</t>
        </is>
      </c>
      <c r="G337" s="3" t="n">
        <v>-0.579394</v>
      </c>
      <c r="H337" s="3" t="n">
        <v>15.3418</v>
      </c>
      <c r="I337" s="3" t="n">
        <v>-1.6385</v>
      </c>
      <c r="J337" s="3" t="n">
        <v>0.895857</v>
      </c>
      <c r="K337" s="3" t="n">
        <v>-3.77658</v>
      </c>
      <c r="L337" s="3" t="n"/>
      <c r="M337" s="3" t="inlineStr">
        <is>
          <t>no</t>
        </is>
      </c>
      <c r="N337" s="3" t="inlineStr">
        <is>
          <t>no designado (contraste C4: no hay svar_hd regional)</t>
        </is>
      </c>
      <c r="O337" s="3" t="inlineStr">
        <is>
          <t>CCAA: ranking por c_f·sign(dY) del panel FE (M8); asociacion, sin lectura causal; el factor comun es un resumen de comovimiento (pendiente ~1 mecanica, J23)</t>
        </is>
      </c>
      <c r="P337" s="3" t="inlineStr">
        <is>
          <t>output/v8/F5/regional_ranking.csv</t>
        </is>
      </c>
    </row>
    <row r="338">
      <c r="A338" s="3" t="inlineStr">
        <is>
          <t>alquiler</t>
        </is>
      </c>
      <c r="B338" s="3" t="inlineStr">
        <is>
          <t>ccaa:11</t>
        </is>
      </c>
      <c r="C338" s="3" t="inlineStr">
        <is>
          <t>P4</t>
        </is>
      </c>
      <c r="D338" s="3" t="inlineStr">
        <is>
          <t>factor_comun</t>
        </is>
      </c>
      <c r="E338" s="3" t="inlineStr">
        <is>
          <t>regional_ccaa_ols</t>
        </is>
      </c>
      <c r="F338" s="3" t="inlineStr">
        <is>
          <t>ols_solo_factor</t>
        </is>
      </c>
      <c r="G338" s="3" t="n">
        <v>-4.8676</v>
      </c>
      <c r="H338" s="3" t="n">
        <v>96.9088</v>
      </c>
      <c r="I338" s="3" t="n">
        <v>-8.303599999999999</v>
      </c>
      <c r="J338" s="3" t="n">
        <v>-1.34973</v>
      </c>
      <c r="K338" s="3" t="n">
        <v>-5.02287</v>
      </c>
      <c r="L338" s="3" t="n"/>
      <c r="M338" s="3" t="inlineStr">
        <is>
          <t>no</t>
        </is>
      </c>
      <c r="N338" s="3" t="inlineStr">
        <is>
          <t>no designado (contraste C4: no hay svar_hd regional)</t>
        </is>
      </c>
      <c r="O338" s="3" t="inlineStr">
        <is>
          <t>CCAA: ranking por c_f·sign(dY) del panel FE (M8); asociacion, sin lectura causal; el factor comun es un resumen de comovimiento (pendiente ~1 mecanica, J23)</t>
        </is>
      </c>
      <c r="P338" s="3" t="inlineStr">
        <is>
          <t>output/v8/F5/regional_ranking.csv</t>
        </is>
      </c>
    </row>
    <row r="339">
      <c r="A339" s="3" t="inlineStr">
        <is>
          <t>alquiler</t>
        </is>
      </c>
      <c r="B339" s="3" t="inlineStr">
        <is>
          <t>ccaa:11</t>
        </is>
      </c>
      <c r="C339" s="3" t="inlineStr">
        <is>
          <t>P4</t>
        </is>
      </c>
      <c r="D339" s="3" t="inlineStr">
        <is>
          <t>residuo</t>
        </is>
      </c>
      <c r="E339" s="3" t="inlineStr">
        <is>
          <t>regional_ccaa_ols</t>
        </is>
      </c>
      <c r="F339" s="3" t="inlineStr">
        <is>
          <t>ols_solo_factor</t>
        </is>
      </c>
      <c r="G339" s="3" t="n">
        <v>-0.155269</v>
      </c>
      <c r="H339" s="3" t="n">
        <v>3.09123</v>
      </c>
      <c r="I339" s="3" t="n"/>
      <c r="J339" s="3" t="n"/>
      <c r="K339" s="3" t="n">
        <v>-5.02287</v>
      </c>
      <c r="L339" s="3" t="n"/>
      <c r="M339" s="3" t="inlineStr">
        <is>
          <t>no</t>
        </is>
      </c>
      <c r="N339" s="3" t="inlineStr">
        <is>
          <t>no designado (contraste C4: no hay svar_hd regional)</t>
        </is>
      </c>
      <c r="O339" s="3" t="inlineStr">
        <is>
          <t>CCAA: ranking por c_f·sign(dY) del panel FE (M8); asociacion, sin lectura causal; el factor comun es un resumen de comovimiento (pendiente ~1 mecanica, J23)</t>
        </is>
      </c>
      <c r="P339" s="3" t="inlineStr">
        <is>
          <t>output/v8/F5/regional_ranking.csv</t>
        </is>
      </c>
    </row>
    <row r="340">
      <c r="A340" s="3" t="inlineStr">
        <is>
          <t>alquiler</t>
        </is>
      </c>
      <c r="B340" s="3" t="inlineStr">
        <is>
          <t>ccaa:11</t>
        </is>
      </c>
      <c r="C340" s="3" t="inlineStr">
        <is>
          <t>P4</t>
        </is>
      </c>
      <c r="D340" s="3" t="inlineStr">
        <is>
          <t>factor_comun</t>
        </is>
      </c>
      <c r="E340" s="3" t="inlineStr">
        <is>
          <t>regional_panel</t>
        </is>
      </c>
      <c r="F340" s="3" t="inlineStr">
        <is>
          <t>panel_covariables</t>
        </is>
      </c>
      <c r="G340" s="3" t="n">
        <v>-4.82785</v>
      </c>
      <c r="H340" s="3" t="n">
        <v>96.1173</v>
      </c>
      <c r="I340" s="3" t="n">
        <v>-8.01083</v>
      </c>
      <c r="J340" s="3" t="n">
        <v>-1.73403</v>
      </c>
      <c r="K340" s="3" t="n">
        <v>-5.02287</v>
      </c>
      <c r="L340" s="3" t="n"/>
      <c r="M340" s="3" t="inlineStr">
        <is>
          <t>no</t>
        </is>
      </c>
      <c r="N340" s="3" t="inlineStr">
        <is>
          <t>no designado (contraste C4: no hay svar_hd regional)</t>
        </is>
      </c>
      <c r="O340" s="3" t="inlineStr">
        <is>
          <t>CCAA: ranking por c_f·sign(dY) del panel FE (M8); asociacion, sin lectura causal; el factor comun es un resumen de comovimiento (pendiente ~1 mecanica, J23)</t>
        </is>
      </c>
      <c r="P340" s="3" t="inlineStr">
        <is>
          <t>output/v8/F5/regional_ranking.csv</t>
        </is>
      </c>
    </row>
    <row r="341">
      <c r="A341" s="3" t="inlineStr">
        <is>
          <t>alquiler</t>
        </is>
      </c>
      <c r="B341" s="3" t="inlineStr">
        <is>
          <t>ccaa:11</t>
        </is>
      </c>
      <c r="C341" s="3" t="inlineStr">
        <is>
          <t>P4</t>
        </is>
      </c>
      <c r="D341" s="3" t="inlineStr">
        <is>
          <t>empleo_renta</t>
        </is>
      </c>
      <c r="E341" s="3" t="inlineStr">
        <is>
          <t>regional_panel</t>
        </is>
      </c>
      <c r="F341" s="3" t="inlineStr">
        <is>
          <t>panel_covariables</t>
        </is>
      </c>
      <c r="G341" s="3" t="n">
        <v>0.0626509</v>
      </c>
      <c r="H341" s="3" t="n">
        <v>-1.24731</v>
      </c>
      <c r="I341" s="3" t="n">
        <v>-0.0178828</v>
      </c>
      <c r="J341" s="3" t="n">
        <v>0.0771765</v>
      </c>
      <c r="K341" s="3" t="n">
        <v>-5.02287</v>
      </c>
      <c r="L341" s="3" t="n">
        <v>3</v>
      </c>
      <c r="M341" s="3" t="inlineStr">
        <is>
          <t>si</t>
        </is>
      </c>
      <c r="N341" s="3" t="inlineStr">
        <is>
          <t>no designado (contraste C4: no hay svar_hd regional)</t>
        </is>
      </c>
      <c r="O341" s="3" t="inlineStr">
        <is>
          <t>CCAA: ranking por c_f·sign(dY) del panel FE (M8); asociacion, sin lectura causal; el factor comun es un resumen de comovimiento (pendiente ~1 mecanica, J23)</t>
        </is>
      </c>
      <c r="P341" s="3" t="inlineStr">
        <is>
          <t>output/v8/F5/regional_ranking.csv</t>
        </is>
      </c>
    </row>
    <row r="342">
      <c r="A342" s="3" t="inlineStr">
        <is>
          <t>alquiler</t>
        </is>
      </c>
      <c r="B342" s="3" t="inlineStr">
        <is>
          <t>ccaa:11</t>
        </is>
      </c>
      <c r="C342" s="3" t="inlineStr">
        <is>
          <t>P4</t>
        </is>
      </c>
      <c r="D342" s="3" t="inlineStr">
        <is>
          <t>demografia</t>
        </is>
      </c>
      <c r="E342" s="3" t="inlineStr">
        <is>
          <t>regional_panel</t>
        </is>
      </c>
      <c r="F342" s="3" t="inlineStr">
        <is>
          <t>panel_covariables</t>
        </is>
      </c>
      <c r="G342" s="3" t="n">
        <v>0.394219</v>
      </c>
      <c r="H342" s="3" t="n">
        <v>-7.84847</v>
      </c>
      <c r="I342" s="3" t="n">
        <v>-0.124302</v>
      </c>
      <c r="J342" s="3" t="n">
        <v>1.24069</v>
      </c>
      <c r="K342" s="3" t="n">
        <v>-5.02287</v>
      </c>
      <c r="L342" s="3" t="n">
        <v>4</v>
      </c>
      <c r="M342" s="3" t="inlineStr">
        <is>
          <t>si</t>
        </is>
      </c>
      <c r="N342" s="3" t="inlineStr">
        <is>
          <t>no designado (contraste C4: no hay svar_hd regional)</t>
        </is>
      </c>
      <c r="O342" s="3" t="inlineStr">
        <is>
          <t>CCAA: ranking por c_f·sign(dY) del panel FE (M8); asociacion, sin lectura causal; el factor comun es un resumen de comovimiento (pendiente ~1 mecanica, J23)</t>
        </is>
      </c>
      <c r="P342" s="3" t="inlineStr">
        <is>
          <t>output/v8/F5/regional_ranking.csv</t>
        </is>
      </c>
    </row>
    <row r="343">
      <c r="A343" s="3" t="inlineStr">
        <is>
          <t>alquiler</t>
        </is>
      </c>
      <c r="B343" s="3" t="inlineStr">
        <is>
          <t>ccaa:11</t>
        </is>
      </c>
      <c r="C343" s="3" t="inlineStr">
        <is>
          <t>P4</t>
        </is>
      </c>
      <c r="D343" s="3" t="inlineStr">
        <is>
          <t>oferta</t>
        </is>
      </c>
      <c r="E343" s="3" t="inlineStr">
        <is>
          <t>regional_panel</t>
        </is>
      </c>
      <c r="F343" s="3" t="inlineStr">
        <is>
          <t>panel_covariables</t>
        </is>
      </c>
      <c r="G343" s="3" t="n">
        <v>0.00221354</v>
      </c>
      <c r="H343" s="3" t="n">
        <v>-0.0440692</v>
      </c>
      <c r="I343" s="3" t="n">
        <v>-0.0104587</v>
      </c>
      <c r="J343" s="3" t="n">
        <v>0.0299912</v>
      </c>
      <c r="K343" s="3" t="n">
        <v>-5.02287</v>
      </c>
      <c r="L343" s="3" t="n">
        <v>1</v>
      </c>
      <c r="M343" s="3" t="inlineStr">
        <is>
          <t>si</t>
        </is>
      </c>
      <c r="N343" s="3" t="inlineStr">
        <is>
          <t>no designado (contraste C4: no hay svar_hd regional)</t>
        </is>
      </c>
      <c r="O343" s="3" t="inlineStr">
        <is>
          <t>CCAA: ranking por c_f·sign(dY) del panel FE (M8); asociacion, sin lectura causal; el factor comun es un resumen de comovimiento (pendiente ~1 mecanica, J23)</t>
        </is>
      </c>
      <c r="P343" s="3" t="inlineStr">
        <is>
          <t>output/v8/F5/regional_ranking.csv</t>
        </is>
      </c>
    </row>
    <row r="344">
      <c r="A344" s="3" t="inlineStr">
        <is>
          <t>alquiler</t>
        </is>
      </c>
      <c r="B344" s="3" t="inlineStr">
        <is>
          <t>ccaa:11</t>
        </is>
      </c>
      <c r="C344" s="3" t="inlineStr">
        <is>
          <t>P4</t>
        </is>
      </c>
      <c r="D344" s="3" t="inlineStr">
        <is>
          <t>demanda_externa</t>
        </is>
      </c>
      <c r="E344" s="3" t="inlineStr">
        <is>
          <t>regional_panel</t>
        </is>
      </c>
      <c r="F344" s="3" t="inlineStr">
        <is>
          <t>panel_covariables</t>
        </is>
      </c>
      <c r="G344" s="3" t="n">
        <v>0.0118218</v>
      </c>
      <c r="H344" s="3" t="n">
        <v>-0.235359</v>
      </c>
      <c r="I344" s="3" t="n">
        <v>-0.0379511</v>
      </c>
      <c r="J344" s="3" t="n">
        <v>0.049902</v>
      </c>
      <c r="K344" s="3" t="n">
        <v>-5.02287</v>
      </c>
      <c r="L344" s="3" t="n">
        <v>2</v>
      </c>
      <c r="M344" s="3" t="inlineStr">
        <is>
          <t>si</t>
        </is>
      </c>
      <c r="N344" s="3" t="inlineStr">
        <is>
          <t>no designado (contraste C4: no hay svar_hd regional)</t>
        </is>
      </c>
      <c r="O344" s="3" t="inlineStr">
        <is>
          <t>CCAA: ranking por c_f·sign(dY) del panel FE (M8); asociacion, sin lectura causal; el factor comun es un resumen de comovimiento (pendiente ~1 mecanica, J23)</t>
        </is>
      </c>
      <c r="P344" s="3" t="inlineStr">
        <is>
          <t>output/v8/F5/regional_ranking.csv</t>
        </is>
      </c>
    </row>
    <row r="345">
      <c r="A345" s="3" t="inlineStr">
        <is>
          <t>alquiler</t>
        </is>
      </c>
      <c r="B345" s="3" t="inlineStr">
        <is>
          <t>ccaa:11</t>
        </is>
      </c>
      <c r="C345" s="3" t="inlineStr">
        <is>
          <t>P4</t>
        </is>
      </c>
      <c r="D345" s="3" t="inlineStr">
        <is>
          <t>residuo</t>
        </is>
      </c>
      <c r="E345" s="3" t="inlineStr">
        <is>
          <t>regional_panel</t>
        </is>
      </c>
      <c r="F345" s="3" t="inlineStr">
        <is>
          <t>panel_covariables</t>
        </is>
      </c>
      <c r="G345" s="3" t="n">
        <v>-0.66593</v>
      </c>
      <c r="H345" s="3" t="n">
        <v>13.2579</v>
      </c>
      <c r="I345" s="3" t="n">
        <v>-1.47643</v>
      </c>
      <c r="J345" s="3" t="n">
        <v>-0.218152</v>
      </c>
      <c r="K345" s="3" t="n">
        <v>-5.02287</v>
      </c>
      <c r="L345" s="3" t="n"/>
      <c r="M345" s="3" t="inlineStr">
        <is>
          <t>no</t>
        </is>
      </c>
      <c r="N345" s="3" t="inlineStr">
        <is>
          <t>no designado (contraste C4: no hay svar_hd regional)</t>
        </is>
      </c>
      <c r="O345" s="3" t="inlineStr">
        <is>
          <t>CCAA: ranking por c_f·sign(dY) del panel FE (M8); asociacion, sin lectura causal; el factor comun es un resumen de comovimiento (pendiente ~1 mecanica, J23)</t>
        </is>
      </c>
      <c r="P345" s="3" t="inlineStr">
        <is>
          <t>output/v8/F5/regional_ranking.csv</t>
        </is>
      </c>
    </row>
    <row r="346">
      <c r="A346" s="3" t="inlineStr">
        <is>
          <t>alquiler</t>
        </is>
      </c>
      <c r="B346" s="3" t="inlineStr">
        <is>
          <t>ccaa:11</t>
        </is>
      </c>
      <c r="C346" s="3" t="inlineStr">
        <is>
          <t>P5</t>
        </is>
      </c>
      <c r="D346" s="3" t="inlineStr">
        <is>
          <t>factor_comun</t>
        </is>
      </c>
      <c r="E346" s="3" t="inlineStr">
        <is>
          <t>regional_ccaa_ols</t>
        </is>
      </c>
      <c r="F346" s="3" t="inlineStr">
        <is>
          <t>ols_solo_factor</t>
        </is>
      </c>
      <c r="G346" s="3" t="n">
        <v>-6.13377</v>
      </c>
      <c r="H346" s="3" t="n">
        <v>92.75530000000001</v>
      </c>
      <c r="I346" s="3" t="n">
        <v>-9.461499999999999</v>
      </c>
      <c r="J346" s="3" t="n">
        <v>-3.28278</v>
      </c>
      <c r="K346" s="3" t="n">
        <v>-5.52848</v>
      </c>
      <c r="L346" s="3" t="n"/>
      <c r="M346" s="3" t="inlineStr">
        <is>
          <t>no</t>
        </is>
      </c>
      <c r="N346" s="3" t="inlineStr">
        <is>
          <t>no designado (contraste C4: no hay svar_hd regional)</t>
        </is>
      </c>
      <c r="O346" s="3" t="inlineStr">
        <is>
          <t>CCAA: ranking por c_f·sign(dY) del panel FE (M8); asociacion, sin lectura causal; el factor comun es un resumen de comovimiento (pendiente ~1 mecanica, J23)</t>
        </is>
      </c>
      <c r="P346" s="3" t="inlineStr">
        <is>
          <t>output/v8/F5/regional_ranking.csv</t>
        </is>
      </c>
    </row>
    <row r="347">
      <c r="A347" s="3" t="inlineStr">
        <is>
          <t>alquiler</t>
        </is>
      </c>
      <c r="B347" s="3" t="inlineStr">
        <is>
          <t>ccaa:11</t>
        </is>
      </c>
      <c r="C347" s="3" t="inlineStr">
        <is>
          <t>P5</t>
        </is>
      </c>
      <c r="D347" s="3" t="inlineStr">
        <is>
          <t>residuo</t>
        </is>
      </c>
      <c r="E347" s="3" t="inlineStr">
        <is>
          <t>regional_ccaa_ols</t>
        </is>
      </c>
      <c r="F347" s="3" t="inlineStr">
        <is>
          <t>ols_solo_factor</t>
        </is>
      </c>
      <c r="G347" s="3" t="n">
        <v>-0.479081</v>
      </c>
      <c r="H347" s="3" t="n">
        <v>7.2447</v>
      </c>
      <c r="I347" s="3" t="n"/>
      <c r="J347" s="3" t="n"/>
      <c r="K347" s="3" t="n">
        <v>-5.52848</v>
      </c>
      <c r="L347" s="3" t="n"/>
      <c r="M347" s="3" t="inlineStr">
        <is>
          <t>no</t>
        </is>
      </c>
      <c r="N347" s="3" t="inlineStr">
        <is>
          <t>no designado (contraste C4: no hay svar_hd regional)</t>
        </is>
      </c>
      <c r="O347" s="3" t="inlineStr">
        <is>
          <t>CCAA: ranking por c_f·sign(dY) del panel FE (M8); asociacion, sin lectura causal; el factor comun es un resumen de comovimiento (pendiente ~1 mecanica, J23)</t>
        </is>
      </c>
      <c r="P347" s="3" t="inlineStr">
        <is>
          <t>output/v8/F5/regional_ranking.csv</t>
        </is>
      </c>
    </row>
    <row r="348">
      <c r="A348" s="3" t="inlineStr">
        <is>
          <t>alquiler</t>
        </is>
      </c>
      <c r="B348" s="3" t="inlineStr">
        <is>
          <t>ccaa:11</t>
        </is>
      </c>
      <c r="C348" s="3" t="inlineStr">
        <is>
          <t>P5</t>
        </is>
      </c>
      <c r="D348" s="3" t="inlineStr">
        <is>
          <t>factor_comun</t>
        </is>
      </c>
      <c r="E348" s="3" t="inlineStr">
        <is>
          <t>regional_panel</t>
        </is>
      </c>
      <c r="F348" s="3" t="inlineStr">
        <is>
          <t>panel_covariables</t>
        </is>
      </c>
      <c r="G348" s="3" t="n">
        <v>-5.47353</v>
      </c>
      <c r="H348" s="3" t="n">
        <v>99.00620000000001</v>
      </c>
      <c r="I348" s="3" t="n">
        <v>-7.50057</v>
      </c>
      <c r="J348" s="3" t="n">
        <v>-3.0519</v>
      </c>
      <c r="K348" s="3" t="n">
        <v>-5.52848</v>
      </c>
      <c r="L348" s="3" t="n"/>
      <c r="M348" s="3" t="inlineStr">
        <is>
          <t>no</t>
        </is>
      </c>
      <c r="N348" s="3" t="inlineStr">
        <is>
          <t>no designado (contraste C4: no hay svar_hd regional)</t>
        </is>
      </c>
      <c r="O348" s="3" t="inlineStr">
        <is>
          <t>CCAA: ranking por c_f·sign(dY) del panel FE (M8); asociacion, sin lectura causal; el factor comun es un resumen de comovimiento (pendiente ~1 mecanica, J23)</t>
        </is>
      </c>
      <c r="P348" s="3" t="inlineStr">
        <is>
          <t>output/v8/F5/regional_ranking.csv</t>
        </is>
      </c>
    </row>
    <row r="349">
      <c r="A349" s="3" t="inlineStr">
        <is>
          <t>alquiler</t>
        </is>
      </c>
      <c r="B349" s="3" t="inlineStr">
        <is>
          <t>ccaa:11</t>
        </is>
      </c>
      <c r="C349" s="3" t="inlineStr">
        <is>
          <t>P5</t>
        </is>
      </c>
      <c r="D349" s="3" t="inlineStr">
        <is>
          <t>empleo_renta</t>
        </is>
      </c>
      <c r="E349" s="3" t="inlineStr">
        <is>
          <t>regional_panel</t>
        </is>
      </c>
      <c r="F349" s="3" t="inlineStr">
        <is>
          <t>panel_covariables</t>
        </is>
      </c>
      <c r="G349" s="3" t="n">
        <v>-0.0212814</v>
      </c>
      <c r="H349" s="3" t="n">
        <v>0.384942</v>
      </c>
      <c r="I349" s="3" t="n">
        <v>-0.104484</v>
      </c>
      <c r="J349" s="3" t="n">
        <v>0.0351429</v>
      </c>
      <c r="K349" s="3" t="n">
        <v>-5.52848</v>
      </c>
      <c r="L349" s="3" t="n">
        <v>1</v>
      </c>
      <c r="M349" s="3" t="inlineStr">
        <is>
          <t>si</t>
        </is>
      </c>
      <c r="N349" s="3" t="inlineStr">
        <is>
          <t>no designado (contraste C4: no hay svar_hd regional)</t>
        </is>
      </c>
      <c r="O349" s="3" t="inlineStr">
        <is>
          <t>CCAA: ranking por c_f·sign(dY) del panel FE (M8); asociacion, sin lectura causal; el factor comun es un resumen de comovimiento (pendiente ~1 mecanica, J23)</t>
        </is>
      </c>
      <c r="P349" s="3" t="inlineStr">
        <is>
          <t>output/v8/F5/regional_ranking.csv</t>
        </is>
      </c>
    </row>
    <row r="350">
      <c r="A350" s="3" t="inlineStr">
        <is>
          <t>alquiler</t>
        </is>
      </c>
      <c r="B350" s="3" t="inlineStr">
        <is>
          <t>ccaa:11</t>
        </is>
      </c>
      <c r="C350" s="3" t="inlineStr">
        <is>
          <t>P5</t>
        </is>
      </c>
      <c r="D350" s="3" t="inlineStr">
        <is>
          <t>demografia</t>
        </is>
      </c>
      <c r="E350" s="3" t="inlineStr">
        <is>
          <t>regional_panel</t>
        </is>
      </c>
      <c r="F350" s="3" t="inlineStr">
        <is>
          <t>panel_covariables</t>
        </is>
      </c>
      <c r="G350" s="3" t="n">
        <v>0.345492</v>
      </c>
      <c r="H350" s="3" t="n">
        <v>-6.24932</v>
      </c>
      <c r="I350" s="3" t="n">
        <v>-0.408466</v>
      </c>
      <c r="J350" s="3" t="n">
        <v>1.08439</v>
      </c>
      <c r="K350" s="3" t="n">
        <v>-5.52848</v>
      </c>
      <c r="L350" s="3" t="n">
        <v>4</v>
      </c>
      <c r="M350" s="3" t="inlineStr">
        <is>
          <t>si</t>
        </is>
      </c>
      <c r="N350" s="3" t="inlineStr">
        <is>
          <t>no designado (contraste C4: no hay svar_hd regional)</t>
        </is>
      </c>
      <c r="O350" s="3" t="inlineStr">
        <is>
          <t>CCAA: ranking por c_f·sign(dY) del panel FE (M8); asociacion, sin lectura causal; el factor comun es un resumen de comovimiento (pendiente ~1 mecanica, J23)</t>
        </is>
      </c>
      <c r="P350" s="3" t="inlineStr">
        <is>
          <t>output/v8/F5/regional_ranking.csv</t>
        </is>
      </c>
    </row>
    <row r="351">
      <c r="A351" s="3" t="inlineStr">
        <is>
          <t>alquiler</t>
        </is>
      </c>
      <c r="B351" s="3" t="inlineStr">
        <is>
          <t>ccaa:11</t>
        </is>
      </c>
      <c r="C351" s="3" t="inlineStr">
        <is>
          <t>P5</t>
        </is>
      </c>
      <c r="D351" s="3" t="inlineStr">
        <is>
          <t>oferta</t>
        </is>
      </c>
      <c r="E351" s="3" t="inlineStr">
        <is>
          <t>regional_panel</t>
        </is>
      </c>
      <c r="F351" s="3" t="inlineStr">
        <is>
          <t>panel_covariables</t>
        </is>
      </c>
      <c r="G351" s="3" t="n">
        <v>-4.607e-06</v>
      </c>
      <c r="H351" s="3" t="n">
        <v>8.33323e-05</v>
      </c>
      <c r="I351" s="3" t="n">
        <v>-0.0132118</v>
      </c>
      <c r="J351" s="3" t="n">
        <v>0.00839929</v>
      </c>
      <c r="K351" s="3" t="n">
        <v>-5.52848</v>
      </c>
      <c r="L351" s="3" t="n">
        <v>2</v>
      </c>
      <c r="M351" s="3" t="inlineStr">
        <is>
          <t>si</t>
        </is>
      </c>
      <c r="N351" s="3" t="inlineStr">
        <is>
          <t>no designado (contraste C4: no hay svar_hd regional)</t>
        </is>
      </c>
      <c r="O351" s="3" t="inlineStr">
        <is>
          <t>CCAA: ranking por c_f·sign(dY) del panel FE (M8); asociacion, sin lectura causal; el factor comun es un resumen de comovimiento (pendiente ~1 mecanica, J23)</t>
        </is>
      </c>
      <c r="P351" s="3" t="inlineStr">
        <is>
          <t>output/v8/F5/regional_ranking.csv</t>
        </is>
      </c>
    </row>
    <row r="352">
      <c r="A352" s="3" t="inlineStr">
        <is>
          <t>alquiler</t>
        </is>
      </c>
      <c r="B352" s="3" t="inlineStr">
        <is>
          <t>ccaa:11</t>
        </is>
      </c>
      <c r="C352" s="3" t="inlineStr">
        <is>
          <t>P5</t>
        </is>
      </c>
      <c r="D352" s="3" t="inlineStr">
        <is>
          <t>demanda_externa</t>
        </is>
      </c>
      <c r="E352" s="3" t="inlineStr">
        <is>
          <t>regional_panel</t>
        </is>
      </c>
      <c r="F352" s="3" t="inlineStr">
        <is>
          <t>panel_covariables</t>
        </is>
      </c>
      <c r="G352" s="3" t="n">
        <v>0.09327770000000001</v>
      </c>
      <c r="H352" s="3" t="n">
        <v>-1.68722</v>
      </c>
      <c r="I352" s="3" t="n">
        <v>0.00427016</v>
      </c>
      <c r="J352" s="3" t="n">
        <v>0.217394</v>
      </c>
      <c r="K352" s="3" t="n">
        <v>-5.52848</v>
      </c>
      <c r="L352" s="3" t="n">
        <v>3</v>
      </c>
      <c r="M352" s="3" t="inlineStr">
        <is>
          <t>si</t>
        </is>
      </c>
      <c r="N352" s="3" t="inlineStr">
        <is>
          <t>no designado (contraste C4: no hay svar_hd regional)</t>
        </is>
      </c>
      <c r="O352" s="3" t="inlineStr">
        <is>
          <t>CCAA: ranking por c_f·sign(dY) del panel FE (M8); asociacion, sin lectura causal; el factor comun es un resumen de comovimiento (pendiente ~1 mecanica, J23)</t>
        </is>
      </c>
      <c r="P352" s="3" t="inlineStr">
        <is>
          <t>output/v8/F5/regional_ranking.csv</t>
        </is>
      </c>
    </row>
    <row r="353">
      <c r="A353" s="3" t="inlineStr">
        <is>
          <t>alquiler</t>
        </is>
      </c>
      <c r="B353" s="3" t="inlineStr">
        <is>
          <t>ccaa:11</t>
        </is>
      </c>
      <c r="C353" s="3" t="inlineStr">
        <is>
          <t>P5</t>
        </is>
      </c>
      <c r="D353" s="3" t="inlineStr">
        <is>
          <t>residuo</t>
        </is>
      </c>
      <c r="E353" s="3" t="inlineStr">
        <is>
          <t>regional_panel</t>
        </is>
      </c>
      <c r="F353" s="3" t="inlineStr">
        <is>
          <t>panel_covariables</t>
        </is>
      </c>
      <c r="G353" s="3" t="n">
        <v>-0.472428</v>
      </c>
      <c r="H353" s="3" t="n">
        <v>8.545360000000001</v>
      </c>
      <c r="I353" s="3" t="n">
        <v>-0.998649</v>
      </c>
      <c r="J353" s="3" t="n">
        <v>0.0404477</v>
      </c>
      <c r="K353" s="3" t="n">
        <v>-5.52848</v>
      </c>
      <c r="L353" s="3" t="n"/>
      <c r="M353" s="3" t="inlineStr">
        <is>
          <t>no</t>
        </is>
      </c>
      <c r="N353" s="3" t="inlineStr">
        <is>
          <t>no designado (contraste C4: no hay svar_hd regional)</t>
        </is>
      </c>
      <c r="O353" s="3" t="inlineStr">
        <is>
          <t>CCAA: ranking por c_f·sign(dY) del panel FE (M8); asociacion, sin lectura causal; el factor comun es un resumen de comovimiento (pendiente ~1 mecanica, J23)</t>
        </is>
      </c>
      <c r="P353" s="3" t="inlineStr">
        <is>
          <t>output/v8/F5/regional_ranking.csv</t>
        </is>
      </c>
    </row>
    <row r="354">
      <c r="A354" s="3" t="inlineStr">
        <is>
          <t>alquiler</t>
        </is>
      </c>
      <c r="B354" s="3" t="inlineStr">
        <is>
          <t>ccaa:12</t>
        </is>
      </c>
      <c r="C354" s="3" t="inlineStr">
        <is>
          <t>P2</t>
        </is>
      </c>
      <c r="D354" s="3" t="inlineStr">
        <is>
          <t>factor_comun</t>
        </is>
      </c>
      <c r="E354" s="3" t="inlineStr">
        <is>
          <t>regional_ccaa_ols</t>
        </is>
      </c>
      <c r="F354" s="3" t="inlineStr">
        <is>
          <t>ols_solo_factor</t>
        </is>
      </c>
      <c r="G354" s="3" t="n">
        <v>-2.81205</v>
      </c>
      <c r="H354" s="3" t="n">
        <v>226.144</v>
      </c>
      <c r="I354" s="3" t="n">
        <v>-6.32826</v>
      </c>
      <c r="J354" s="3" t="n">
        <v>0.720021</v>
      </c>
      <c r="K354" s="3" t="n">
        <v>-0.982236</v>
      </c>
      <c r="L354" s="3" t="n"/>
      <c r="M354" s="3" t="inlineStr">
        <is>
          <t>no</t>
        </is>
      </c>
      <c r="N354" s="3" t="inlineStr">
        <is>
          <t>no designado (contraste C4: no hay svar_hd regional)</t>
        </is>
      </c>
      <c r="O354" s="3" t="inlineStr">
        <is>
          <t>CCAA: ranking por c_f·sign(dY) del panel FE (M8); asociacion, sin lectura causal; el factor comun es un resumen de comovimiento (pendiente ~1 mecanica, J23)</t>
        </is>
      </c>
      <c r="P354" s="3" t="inlineStr">
        <is>
          <t>output/v8/F5/regional_ranking.csv</t>
        </is>
      </c>
    </row>
    <row r="355">
      <c r="A355" s="3" t="inlineStr">
        <is>
          <t>alquiler</t>
        </is>
      </c>
      <c r="B355" s="3" t="inlineStr">
        <is>
          <t>ccaa:12</t>
        </is>
      </c>
      <c r="C355" s="3" t="inlineStr">
        <is>
          <t>P2</t>
        </is>
      </c>
      <c r="D355" s="3" t="inlineStr">
        <is>
          <t>residuo</t>
        </is>
      </c>
      <c r="E355" s="3" t="inlineStr">
        <is>
          <t>regional_ccaa_ols</t>
        </is>
      </c>
      <c r="F355" s="3" t="inlineStr">
        <is>
          <t>ols_solo_factor</t>
        </is>
      </c>
      <c r="G355" s="3" t="n">
        <v>1.56857</v>
      </c>
      <c r="H355" s="3" t="n">
        <v>-126.144</v>
      </c>
      <c r="I355" s="3" t="n"/>
      <c r="J355" s="3" t="n"/>
      <c r="K355" s="3" t="n">
        <v>-0.982236</v>
      </c>
      <c r="L355" s="3" t="n"/>
      <c r="M355" s="3" t="inlineStr">
        <is>
          <t>no</t>
        </is>
      </c>
      <c r="N355" s="3" t="inlineStr">
        <is>
          <t>no designado (contraste C4: no hay svar_hd regional)</t>
        </is>
      </c>
      <c r="O355" s="3" t="inlineStr">
        <is>
          <t>CCAA: ranking por c_f·sign(dY) del panel FE (M8); asociacion, sin lectura causal; el factor comun es un resumen de comovimiento (pendiente ~1 mecanica, J23)</t>
        </is>
      </c>
      <c r="P355" s="3" t="inlineStr">
        <is>
          <t>output/v8/F5/regional_ranking.csv</t>
        </is>
      </c>
    </row>
    <row r="356">
      <c r="A356" s="3" t="inlineStr">
        <is>
          <t>alquiler</t>
        </is>
      </c>
      <c r="B356" s="3" t="inlineStr">
        <is>
          <t>ccaa:12</t>
        </is>
      </c>
      <c r="C356" s="3" t="inlineStr">
        <is>
          <t>P2</t>
        </is>
      </c>
      <c r="D356" s="3" t="inlineStr">
        <is>
          <t>factor_comun</t>
        </is>
      </c>
      <c r="E356" s="3" t="inlineStr">
        <is>
          <t>regional_panel</t>
        </is>
      </c>
      <c r="F356" s="3" t="inlineStr">
        <is>
          <t>panel_covariables</t>
        </is>
      </c>
      <c r="G356" s="3" t="n">
        <v>-3.50963</v>
      </c>
      <c r="H356" s="3" t="n">
        <v>357.31</v>
      </c>
      <c r="I356" s="3" t="n">
        <v>-7.73728</v>
      </c>
      <c r="J356" s="3" t="n">
        <v>0.660335</v>
      </c>
      <c r="K356" s="3" t="n">
        <v>-0.982236</v>
      </c>
      <c r="L356" s="3" t="n"/>
      <c r="M356" s="3" t="inlineStr">
        <is>
          <t>no</t>
        </is>
      </c>
      <c r="N356" s="3" t="inlineStr">
        <is>
          <t>no designado (contraste C4: no hay svar_hd regional)</t>
        </is>
      </c>
      <c r="O356" s="3" t="inlineStr">
        <is>
          <t>CCAA: ranking por c_f·sign(dY) del panel FE (M8); asociacion, sin lectura causal; el factor comun es un resumen de comovimiento (pendiente ~1 mecanica, J23)</t>
        </is>
      </c>
      <c r="P356" s="3" t="inlineStr">
        <is>
          <t>output/v8/F5/regional_ranking.csv</t>
        </is>
      </c>
    </row>
    <row r="357">
      <c r="A357" s="3" t="inlineStr">
        <is>
          <t>alquiler</t>
        </is>
      </c>
      <c r="B357" s="3" t="inlineStr">
        <is>
          <t>ccaa:12</t>
        </is>
      </c>
      <c r="C357" s="3" t="inlineStr">
        <is>
          <t>P2</t>
        </is>
      </c>
      <c r="D357" s="3" t="inlineStr">
        <is>
          <t>empleo_renta</t>
        </is>
      </c>
      <c r="E357" s="3" t="inlineStr">
        <is>
          <t>regional_panel</t>
        </is>
      </c>
      <c r="F357" s="3" t="inlineStr">
        <is>
          <t>panel_covariables</t>
        </is>
      </c>
      <c r="G357" s="3" t="n">
        <v>0.07974680000000001</v>
      </c>
      <c r="H357" s="3" t="n">
        <v>-8.11891</v>
      </c>
      <c r="I357" s="3" t="n">
        <v>-0.250375</v>
      </c>
      <c r="J357" s="3" t="n">
        <v>0.543235</v>
      </c>
      <c r="K357" s="3" t="n">
        <v>-0.982236</v>
      </c>
      <c r="L357" s="3" t="n">
        <v>3</v>
      </c>
      <c r="M357" s="3" t="inlineStr">
        <is>
          <t>si</t>
        </is>
      </c>
      <c r="N357" s="3" t="inlineStr">
        <is>
          <t>no designado (contraste C4: no hay svar_hd regional)</t>
        </is>
      </c>
      <c r="O357" s="3" t="inlineStr">
        <is>
          <t>CCAA: ranking por c_f·sign(dY) del panel FE (M8); asociacion, sin lectura causal; el factor comun es un resumen de comovimiento (pendiente ~1 mecanica, J23)</t>
        </is>
      </c>
      <c r="P357" s="3" t="inlineStr">
        <is>
          <t>output/v8/F5/regional_ranking.csv</t>
        </is>
      </c>
    </row>
    <row r="358">
      <c r="A358" s="3" t="inlineStr">
        <is>
          <t>alquiler</t>
        </is>
      </c>
      <c r="B358" s="3" t="inlineStr">
        <is>
          <t>ccaa:12</t>
        </is>
      </c>
      <c r="C358" s="3" t="inlineStr">
        <is>
          <t>P2</t>
        </is>
      </c>
      <c r="D358" s="3" t="inlineStr">
        <is>
          <t>demografia</t>
        </is>
      </c>
      <c r="E358" s="3" t="inlineStr">
        <is>
          <t>regional_panel</t>
        </is>
      </c>
      <c r="F358" s="3" t="inlineStr">
        <is>
          <t>panel_covariables</t>
        </is>
      </c>
      <c r="G358" s="3" t="n">
        <v>-0.183299</v>
      </c>
      <c r="H358" s="3" t="n">
        <v>18.6614</v>
      </c>
      <c r="I358" s="3" t="n">
        <v>-0.281193</v>
      </c>
      <c r="J358" s="3" t="n">
        <v>0.05295</v>
      </c>
      <c r="K358" s="3" t="n">
        <v>-0.982236</v>
      </c>
      <c r="L358" s="3" t="n">
        <v>1</v>
      </c>
      <c r="M358" s="3" t="inlineStr">
        <is>
          <t>si</t>
        </is>
      </c>
      <c r="N358" s="3" t="inlineStr">
        <is>
          <t>no designado (contraste C4: no hay svar_hd regional)</t>
        </is>
      </c>
      <c r="O358" s="3" t="inlineStr">
        <is>
          <t>CCAA: ranking por c_f·sign(dY) del panel FE (M8); asociacion, sin lectura causal; el factor comun es un resumen de comovimiento (pendiente ~1 mecanica, J23)</t>
        </is>
      </c>
      <c r="P358" s="3" t="inlineStr">
        <is>
          <t>output/v8/F5/regional_ranking.csv</t>
        </is>
      </c>
    </row>
    <row r="359">
      <c r="A359" s="3" t="inlineStr">
        <is>
          <t>alquiler</t>
        </is>
      </c>
      <c r="B359" s="3" t="inlineStr">
        <is>
          <t>ccaa:12</t>
        </is>
      </c>
      <c r="C359" s="3" t="inlineStr">
        <is>
          <t>P2</t>
        </is>
      </c>
      <c r="D359" s="3" t="inlineStr">
        <is>
          <t>oferta</t>
        </is>
      </c>
      <c r="E359" s="3" t="inlineStr">
        <is>
          <t>regional_panel</t>
        </is>
      </c>
      <c r="F359" s="3" t="inlineStr">
        <is>
          <t>panel_covariables</t>
        </is>
      </c>
      <c r="G359" s="3" t="n">
        <v>0.295935</v>
      </c>
      <c r="H359" s="3" t="n">
        <v>-30.1287</v>
      </c>
      <c r="I359" s="3" t="n">
        <v>0.0432071</v>
      </c>
      <c r="J359" s="3" t="n">
        <v>0.551135</v>
      </c>
      <c r="K359" s="3" t="n">
        <v>-0.982236</v>
      </c>
      <c r="L359" s="3" t="n">
        <v>4</v>
      </c>
      <c r="M359" s="3" t="inlineStr">
        <is>
          <t>si</t>
        </is>
      </c>
      <c r="N359" s="3" t="inlineStr">
        <is>
          <t>no designado (contraste C4: no hay svar_hd regional)</t>
        </is>
      </c>
      <c r="O359" s="3" t="inlineStr">
        <is>
          <t>CCAA: ranking por c_f·sign(dY) del panel FE (M8); asociacion, sin lectura causal; el factor comun es un resumen de comovimiento (pendiente ~1 mecanica, J23)</t>
        </is>
      </c>
      <c r="P359" s="3" t="inlineStr">
        <is>
          <t>output/v8/F5/regional_ranking.csv</t>
        </is>
      </c>
    </row>
    <row r="360">
      <c r="A360" s="3" t="inlineStr">
        <is>
          <t>alquiler</t>
        </is>
      </c>
      <c r="B360" s="3" t="inlineStr">
        <is>
          <t>ccaa:12</t>
        </is>
      </c>
      <c r="C360" s="3" t="inlineStr">
        <is>
          <t>P2</t>
        </is>
      </c>
      <c r="D360" s="3" t="inlineStr">
        <is>
          <t>demanda_externa</t>
        </is>
      </c>
      <c r="E360" s="3" t="inlineStr">
        <is>
          <t>regional_panel</t>
        </is>
      </c>
      <c r="F360" s="3" t="inlineStr">
        <is>
          <t>panel_covariables</t>
        </is>
      </c>
      <c r="G360" s="3" t="n">
        <v>-0.105991</v>
      </c>
      <c r="H360" s="3" t="n">
        <v>10.7908</v>
      </c>
      <c r="I360" s="3" t="n">
        <v>-0.138501</v>
      </c>
      <c r="J360" s="3" t="n">
        <v>0.0124482</v>
      </c>
      <c r="K360" s="3" t="n">
        <v>-0.982236</v>
      </c>
      <c r="L360" s="3" t="n">
        <v>2</v>
      </c>
      <c r="M360" s="3" t="inlineStr">
        <is>
          <t>si</t>
        </is>
      </c>
      <c r="N360" s="3" t="inlineStr">
        <is>
          <t>no designado (contraste C4: no hay svar_hd regional)</t>
        </is>
      </c>
      <c r="O360" s="3" t="inlineStr">
        <is>
          <t>CCAA: ranking por c_f·sign(dY) del panel FE (M8); asociacion, sin lectura causal; el factor comun es un resumen de comovimiento (pendiente ~1 mecanica, J23)</t>
        </is>
      </c>
      <c r="P360" s="3" t="inlineStr">
        <is>
          <t>output/v8/F5/regional_ranking.csv</t>
        </is>
      </c>
    </row>
    <row r="361">
      <c r="A361" s="3" t="inlineStr">
        <is>
          <t>alquiler</t>
        </is>
      </c>
      <c r="B361" s="3" t="inlineStr">
        <is>
          <t>ccaa:12</t>
        </is>
      </c>
      <c r="C361" s="3" t="inlineStr">
        <is>
          <t>P2</t>
        </is>
      </c>
      <c r="D361" s="3" t="inlineStr">
        <is>
          <t>residuo</t>
        </is>
      </c>
      <c r="E361" s="3" t="inlineStr">
        <is>
          <t>regional_panel</t>
        </is>
      </c>
      <c r="F361" s="3" t="inlineStr">
        <is>
          <t>panel_covariables</t>
        </is>
      </c>
      <c r="G361" s="3" t="n">
        <v>2.441</v>
      </c>
      <c r="H361" s="3" t="n">
        <v>-248.515</v>
      </c>
      <c r="I361" s="3" t="n">
        <v>1.41944</v>
      </c>
      <c r="J361" s="3" t="n">
        <v>3.0979</v>
      </c>
      <c r="K361" s="3" t="n">
        <v>-0.982236</v>
      </c>
      <c r="L361" s="3" t="n"/>
      <c r="M361" s="3" t="inlineStr">
        <is>
          <t>no</t>
        </is>
      </c>
      <c r="N361" s="3" t="inlineStr">
        <is>
          <t>no designado (contraste C4: no hay svar_hd regional)</t>
        </is>
      </c>
      <c r="O361" s="3" t="inlineStr">
        <is>
          <t>CCAA: ranking por c_f·sign(dY) del panel FE (M8); asociacion, sin lectura causal; el factor comun es un resumen de comovimiento (pendiente ~1 mecanica, J23)</t>
        </is>
      </c>
      <c r="P361" s="3" t="inlineStr">
        <is>
          <t>output/v8/F5/regional_ranking.csv</t>
        </is>
      </c>
    </row>
    <row r="362">
      <c r="A362" s="3" t="inlineStr">
        <is>
          <t>alquiler</t>
        </is>
      </c>
      <c r="B362" s="3" t="inlineStr">
        <is>
          <t>ccaa:12</t>
        </is>
      </c>
      <c r="C362" s="3" t="inlineStr">
        <is>
          <t>P3</t>
        </is>
      </c>
      <c r="D362" s="3" t="inlineStr">
        <is>
          <t>factor_comun</t>
        </is>
      </c>
      <c r="E362" s="3" t="inlineStr">
        <is>
          <t>regional_ccaa_ols</t>
        </is>
      </c>
      <c r="F362" s="3" t="inlineStr">
        <is>
          <t>ols_solo_factor</t>
        </is>
      </c>
      <c r="G362" s="3" t="n">
        <v>-2.66605</v>
      </c>
      <c r="H362" s="3" t="n">
        <v>450.501</v>
      </c>
      <c r="I362" s="3" t="n">
        <v>-4.30719</v>
      </c>
      <c r="J362" s="3" t="n">
        <v>-0.985847</v>
      </c>
      <c r="K362" s="3" t="n">
        <v>-0.293016</v>
      </c>
      <c r="L362" s="3" t="n"/>
      <c r="M362" s="3" t="inlineStr">
        <is>
          <t>no</t>
        </is>
      </c>
      <c r="N362" s="3" t="inlineStr">
        <is>
          <t>no designado (contraste C4: no hay svar_hd regional)</t>
        </is>
      </c>
      <c r="O362" s="3" t="inlineStr">
        <is>
          <t>CCAA: ranking por c_f·sign(dY) del panel FE (M8); asociacion, sin lectura causal; el factor comun es un resumen de comovimiento (pendiente ~1 mecanica, J23)</t>
        </is>
      </c>
      <c r="P362" s="3" t="inlineStr">
        <is>
          <t>output/v8/F5/regional_ranking.csv</t>
        </is>
      </c>
    </row>
    <row r="363">
      <c r="A363" s="3" t="inlineStr">
        <is>
          <t>alquiler</t>
        </is>
      </c>
      <c r="B363" s="3" t="inlineStr">
        <is>
          <t>ccaa:12</t>
        </is>
      </c>
      <c r="C363" s="3" t="inlineStr">
        <is>
          <t>P3</t>
        </is>
      </c>
      <c r="D363" s="3" t="inlineStr">
        <is>
          <t>residuo</t>
        </is>
      </c>
      <c r="E363" s="3" t="inlineStr">
        <is>
          <t>regional_ccaa_ols</t>
        </is>
      </c>
      <c r="F363" s="3" t="inlineStr">
        <is>
          <t>ols_solo_factor</t>
        </is>
      </c>
      <c r="G363" s="3" t="n">
        <v>2.07426</v>
      </c>
      <c r="H363" s="3" t="n">
        <v>-350.501</v>
      </c>
      <c r="I363" s="3" t="n"/>
      <c r="J363" s="3" t="n"/>
      <c r="K363" s="3" t="n">
        <v>-0.293016</v>
      </c>
      <c r="L363" s="3" t="n"/>
      <c r="M363" s="3" t="inlineStr">
        <is>
          <t>no</t>
        </is>
      </c>
      <c r="N363" s="3" t="inlineStr">
        <is>
          <t>no designado (contraste C4: no hay svar_hd regional)</t>
        </is>
      </c>
      <c r="O363" s="3" t="inlineStr">
        <is>
          <t>CCAA: ranking por c_f·sign(dY) del panel FE (M8); asociacion, sin lectura causal; el factor comun es un resumen de comovimiento (pendiente ~1 mecanica, J23)</t>
        </is>
      </c>
      <c r="P363" s="3" t="inlineStr">
        <is>
          <t>output/v8/F5/regional_ranking.csv</t>
        </is>
      </c>
    </row>
    <row r="364">
      <c r="A364" s="3" t="inlineStr">
        <is>
          <t>alquiler</t>
        </is>
      </c>
      <c r="B364" s="3" t="inlineStr">
        <is>
          <t>ccaa:12</t>
        </is>
      </c>
      <c r="C364" s="3" t="inlineStr">
        <is>
          <t>P3</t>
        </is>
      </c>
      <c r="D364" s="3" t="inlineStr">
        <is>
          <t>factor_comun</t>
        </is>
      </c>
      <c r="E364" s="3" t="inlineStr">
        <is>
          <t>regional_panel</t>
        </is>
      </c>
      <c r="F364" s="3" t="inlineStr">
        <is>
          <t>panel_covariables</t>
        </is>
      </c>
      <c r="G364" s="3" t="n">
        <v>-1.89168</v>
      </c>
      <c r="H364" s="3" t="n">
        <v>645.59</v>
      </c>
      <c r="I364" s="3" t="n">
        <v>-3.03018</v>
      </c>
      <c r="J364" s="3" t="n">
        <v>-0.7753910000000001</v>
      </c>
      <c r="K364" s="3" t="n">
        <v>-0.293016</v>
      </c>
      <c r="L364" s="3" t="n"/>
      <c r="M364" s="3" t="inlineStr">
        <is>
          <t>no</t>
        </is>
      </c>
      <c r="N364" s="3" t="inlineStr">
        <is>
          <t>no designado (contraste C4: no hay svar_hd regional)</t>
        </is>
      </c>
      <c r="O364" s="3" t="inlineStr">
        <is>
          <t>CCAA: ranking por c_f·sign(dY) del panel FE (M8); asociacion, sin lectura causal; el factor comun es un resumen de comovimiento (pendiente ~1 mecanica, J23)</t>
        </is>
      </c>
      <c r="P364" s="3" t="inlineStr">
        <is>
          <t>output/v8/F5/regional_ranking.csv</t>
        </is>
      </c>
    </row>
    <row r="365">
      <c r="A365" s="3" t="inlineStr">
        <is>
          <t>alquiler</t>
        </is>
      </c>
      <c r="B365" s="3" t="inlineStr">
        <is>
          <t>ccaa:12</t>
        </is>
      </c>
      <c r="C365" s="3" t="inlineStr">
        <is>
          <t>P3</t>
        </is>
      </c>
      <c r="D365" s="3" t="inlineStr">
        <is>
          <t>empleo_renta</t>
        </is>
      </c>
      <c r="E365" s="3" t="inlineStr">
        <is>
          <t>regional_panel</t>
        </is>
      </c>
      <c r="F365" s="3" t="inlineStr">
        <is>
          <t>panel_covariables</t>
        </is>
      </c>
      <c r="G365" s="3" t="n">
        <v>0.0122911</v>
      </c>
      <c r="H365" s="3" t="n">
        <v>-4.19469</v>
      </c>
      <c r="I365" s="3" t="n">
        <v>-0.192102</v>
      </c>
      <c r="J365" s="3" t="n">
        <v>0.173685</v>
      </c>
      <c r="K365" s="3" t="n">
        <v>-0.293016</v>
      </c>
      <c r="L365" s="3" t="n">
        <v>3</v>
      </c>
      <c r="M365" s="3" t="inlineStr">
        <is>
          <t>si</t>
        </is>
      </c>
      <c r="N365" s="3" t="inlineStr">
        <is>
          <t>no designado (contraste C4: no hay svar_hd regional)</t>
        </is>
      </c>
      <c r="O365" s="3" t="inlineStr">
        <is>
          <t>CCAA: ranking por c_f·sign(dY) del panel FE (M8); asociacion, sin lectura causal; el factor comun es un resumen de comovimiento (pendiente ~1 mecanica, J23)</t>
        </is>
      </c>
      <c r="P365" s="3" t="inlineStr">
        <is>
          <t>output/v8/F5/regional_ranking.csv</t>
        </is>
      </c>
    </row>
    <row r="366">
      <c r="A366" s="3" t="inlineStr">
        <is>
          <t>alquiler</t>
        </is>
      </c>
      <c r="B366" s="3" t="inlineStr">
        <is>
          <t>ccaa:12</t>
        </is>
      </c>
      <c r="C366" s="3" t="inlineStr">
        <is>
          <t>P3</t>
        </is>
      </c>
      <c r="D366" s="3" t="inlineStr">
        <is>
          <t>demografia</t>
        </is>
      </c>
      <c r="E366" s="3" t="inlineStr">
        <is>
          <t>regional_panel</t>
        </is>
      </c>
      <c r="F366" s="3" t="inlineStr">
        <is>
          <t>panel_covariables</t>
        </is>
      </c>
      <c r="G366" s="3" t="n">
        <v>-1.63747</v>
      </c>
      <c r="H366" s="3" t="n">
        <v>558.831</v>
      </c>
      <c r="I366" s="3" t="n">
        <v>-2.04788</v>
      </c>
      <c r="J366" s="3" t="n">
        <v>-1.22761</v>
      </c>
      <c r="K366" s="3" t="n">
        <v>-0.293016</v>
      </c>
      <c r="L366" s="3" t="n">
        <v>1</v>
      </c>
      <c r="M366" s="3" t="inlineStr">
        <is>
          <t>si</t>
        </is>
      </c>
      <c r="N366" s="3" t="inlineStr">
        <is>
          <t>no designado (contraste C4: no hay svar_hd regional)</t>
        </is>
      </c>
      <c r="O366" s="3" t="inlineStr">
        <is>
          <t>CCAA: ranking por c_f·sign(dY) del panel FE (M8); asociacion, sin lectura causal; el factor comun es un resumen de comovimiento (pendiente ~1 mecanica, J23)</t>
        </is>
      </c>
      <c r="P366" s="3" t="inlineStr">
        <is>
          <t>output/v8/F5/regional_ranking.csv</t>
        </is>
      </c>
    </row>
    <row r="367">
      <c r="A367" s="3" t="inlineStr">
        <is>
          <t>alquiler</t>
        </is>
      </c>
      <c r="B367" s="3" t="inlineStr">
        <is>
          <t>ccaa:12</t>
        </is>
      </c>
      <c r="C367" s="3" t="inlineStr">
        <is>
          <t>P3</t>
        </is>
      </c>
      <c r="D367" s="3" t="inlineStr">
        <is>
          <t>oferta</t>
        </is>
      </c>
      <c r="E367" s="3" t="inlineStr">
        <is>
          <t>regional_panel</t>
        </is>
      </c>
      <c r="F367" s="3" t="inlineStr">
        <is>
          <t>panel_covariables</t>
        </is>
      </c>
      <c r="G367" s="3" t="n">
        <v>0.0112006</v>
      </c>
      <c r="H367" s="3" t="n">
        <v>-3.82252</v>
      </c>
      <c r="I367" s="3" t="n">
        <v>0.000285698</v>
      </c>
      <c r="J367" s="3" t="n">
        <v>0.0919186</v>
      </c>
      <c r="K367" s="3" t="n">
        <v>-0.293016</v>
      </c>
      <c r="L367" s="3" t="n">
        <v>2</v>
      </c>
      <c r="M367" s="3" t="inlineStr">
        <is>
          <t>si</t>
        </is>
      </c>
      <c r="N367" s="3" t="inlineStr">
        <is>
          <t>no designado (contraste C4: no hay svar_hd regional)</t>
        </is>
      </c>
      <c r="O367" s="3" t="inlineStr">
        <is>
          <t>CCAA: ranking por c_f·sign(dY) del panel FE (M8); asociacion, sin lectura causal; el factor comun es un resumen de comovimiento (pendiente ~1 mecanica, J23)</t>
        </is>
      </c>
      <c r="P367" s="3" t="inlineStr">
        <is>
          <t>output/v8/F5/regional_ranking.csv</t>
        </is>
      </c>
    </row>
    <row r="368">
      <c r="A368" s="3" t="inlineStr">
        <is>
          <t>alquiler</t>
        </is>
      </c>
      <c r="B368" s="3" t="inlineStr">
        <is>
          <t>ccaa:12</t>
        </is>
      </c>
      <c r="C368" s="3" t="inlineStr">
        <is>
          <t>P3</t>
        </is>
      </c>
      <c r="D368" s="3" t="inlineStr">
        <is>
          <t>demanda_externa</t>
        </is>
      </c>
      <c r="E368" s="3" t="inlineStr">
        <is>
          <t>regional_panel</t>
        </is>
      </c>
      <c r="F368" s="3" t="inlineStr">
        <is>
          <t>panel_covariables</t>
        </is>
      </c>
      <c r="G368" s="3" t="n">
        <v>0.111789</v>
      </c>
      <c r="H368" s="3" t="n">
        <v>-38.1511</v>
      </c>
      <c r="I368" s="3" t="n">
        <v>0.0324528</v>
      </c>
      <c r="J368" s="3" t="n">
        <v>0.197467</v>
      </c>
      <c r="K368" s="3" t="n">
        <v>-0.293016</v>
      </c>
      <c r="L368" s="3" t="n">
        <v>4</v>
      </c>
      <c r="M368" s="3" t="inlineStr">
        <is>
          <t>si</t>
        </is>
      </c>
      <c r="N368" s="3" t="inlineStr">
        <is>
          <t>no designado (contraste C4: no hay svar_hd regional)</t>
        </is>
      </c>
      <c r="O368" s="3" t="inlineStr">
        <is>
          <t>CCAA: ranking por c_f·sign(dY) del panel FE (M8); asociacion, sin lectura causal; el factor comun es un resumen de comovimiento (pendiente ~1 mecanica, J23)</t>
        </is>
      </c>
      <c r="P368" s="3" t="inlineStr">
        <is>
          <t>output/v8/F5/regional_ranking.csv</t>
        </is>
      </c>
    </row>
    <row r="369">
      <c r="A369" s="3" t="inlineStr">
        <is>
          <t>alquiler</t>
        </is>
      </c>
      <c r="B369" s="3" t="inlineStr">
        <is>
          <t>ccaa:12</t>
        </is>
      </c>
      <c r="C369" s="3" t="inlineStr">
        <is>
          <t>P3</t>
        </is>
      </c>
      <c r="D369" s="3" t="inlineStr">
        <is>
          <t>residuo</t>
        </is>
      </c>
      <c r="E369" s="3" t="inlineStr">
        <is>
          <t>regional_panel</t>
        </is>
      </c>
      <c r="F369" s="3" t="inlineStr">
        <is>
          <t>panel_covariables</t>
        </is>
      </c>
      <c r="G369" s="3" t="n">
        <v>3.10085</v>
      </c>
      <c r="H369" s="3" t="n">
        <v>-1058.25</v>
      </c>
      <c r="I369" s="3" t="n">
        <v>2.65341</v>
      </c>
      <c r="J369" s="3" t="n">
        <v>3.62634</v>
      </c>
      <c r="K369" s="3" t="n">
        <v>-0.293016</v>
      </c>
      <c r="L369" s="3" t="n"/>
      <c r="M369" s="3" t="inlineStr">
        <is>
          <t>no</t>
        </is>
      </c>
      <c r="N369" s="3" t="inlineStr">
        <is>
          <t>no designado (contraste C4: no hay svar_hd regional)</t>
        </is>
      </c>
      <c r="O369" s="3" t="inlineStr">
        <is>
          <t>CCAA: ranking por c_f·sign(dY) del panel FE (M8); asociacion, sin lectura causal; el factor comun es un resumen de comovimiento (pendiente ~1 mecanica, J23)</t>
        </is>
      </c>
      <c r="P369" s="3" t="inlineStr">
        <is>
          <t>output/v8/F5/regional_ranking.csv</t>
        </is>
      </c>
    </row>
    <row r="370">
      <c r="A370" s="3" t="inlineStr">
        <is>
          <t>alquiler</t>
        </is>
      </c>
      <c r="B370" s="3" t="inlineStr">
        <is>
          <t>ccaa:12</t>
        </is>
      </c>
      <c r="C370" s="3" t="inlineStr">
        <is>
          <t>P4</t>
        </is>
      </c>
      <c r="D370" s="3" t="inlineStr">
        <is>
          <t>factor_comun</t>
        </is>
      </c>
      <c r="E370" s="3" t="inlineStr">
        <is>
          <t>regional_ccaa_ols</t>
        </is>
      </c>
      <c r="F370" s="3" t="inlineStr">
        <is>
          <t>ols_solo_factor</t>
        </is>
      </c>
      <c r="G370" s="3" t="n">
        <v>-4.55854</v>
      </c>
      <c r="H370" s="3" t="n">
        <v>93.0017</v>
      </c>
      <c r="I370" s="3" t="n">
        <v>-7.55953</v>
      </c>
      <c r="J370" s="3" t="n">
        <v>-1.43185</v>
      </c>
      <c r="K370" s="3" t="n">
        <v>-4.90156</v>
      </c>
      <c r="L370" s="3" t="n"/>
      <c r="M370" s="3" t="inlineStr">
        <is>
          <t>no</t>
        </is>
      </c>
      <c r="N370" s="3" t="inlineStr">
        <is>
          <t>no designado (contraste C4: no hay svar_hd regional)</t>
        </is>
      </c>
      <c r="O370" s="3" t="inlineStr">
        <is>
          <t>CCAA: ranking por c_f·sign(dY) del panel FE (M8); asociacion, sin lectura causal; el factor comun es un resumen de comovimiento (pendiente ~1 mecanica, J23)</t>
        </is>
      </c>
      <c r="P370" s="3" t="inlineStr">
        <is>
          <t>output/v8/F5/regional_ranking.csv</t>
        </is>
      </c>
    </row>
    <row r="371">
      <c r="A371" s="3" t="inlineStr">
        <is>
          <t>alquiler</t>
        </is>
      </c>
      <c r="B371" s="3" t="inlineStr">
        <is>
          <t>ccaa:12</t>
        </is>
      </c>
      <c r="C371" s="3" t="inlineStr">
        <is>
          <t>P4</t>
        </is>
      </c>
      <c r="D371" s="3" t="inlineStr">
        <is>
          <t>residuo</t>
        </is>
      </c>
      <c r="E371" s="3" t="inlineStr">
        <is>
          <t>regional_ccaa_ols</t>
        </is>
      </c>
      <c r="F371" s="3" t="inlineStr">
        <is>
          <t>ols_solo_factor</t>
        </is>
      </c>
      <c r="G371" s="3" t="n">
        <v>-0.343024</v>
      </c>
      <c r="H371" s="3" t="n">
        <v>6.99825</v>
      </c>
      <c r="I371" s="3" t="n"/>
      <c r="J371" s="3" t="n"/>
      <c r="K371" s="3" t="n">
        <v>-4.90156</v>
      </c>
      <c r="L371" s="3" t="n"/>
      <c r="M371" s="3" t="inlineStr">
        <is>
          <t>no</t>
        </is>
      </c>
      <c r="N371" s="3" t="inlineStr">
        <is>
          <t>no designado (contraste C4: no hay svar_hd regional)</t>
        </is>
      </c>
      <c r="O371" s="3" t="inlineStr">
        <is>
          <t>CCAA: ranking por c_f·sign(dY) del panel FE (M8); asociacion, sin lectura causal; el factor comun es un resumen de comovimiento (pendiente ~1 mecanica, J23)</t>
        </is>
      </c>
      <c r="P371" s="3" t="inlineStr">
        <is>
          <t>output/v8/F5/regional_ranking.csv</t>
        </is>
      </c>
    </row>
    <row r="372">
      <c r="A372" s="3" t="inlineStr">
        <is>
          <t>alquiler</t>
        </is>
      </c>
      <c r="B372" s="3" t="inlineStr">
        <is>
          <t>ccaa:12</t>
        </is>
      </c>
      <c r="C372" s="3" t="inlineStr">
        <is>
          <t>P4</t>
        </is>
      </c>
      <c r="D372" s="3" t="inlineStr">
        <is>
          <t>factor_comun</t>
        </is>
      </c>
      <c r="E372" s="3" t="inlineStr">
        <is>
          <t>regional_panel</t>
        </is>
      </c>
      <c r="F372" s="3" t="inlineStr">
        <is>
          <t>panel_covariables</t>
        </is>
      </c>
      <c r="G372" s="3" t="n">
        <v>-4.82785</v>
      </c>
      <c r="H372" s="3" t="n">
        <v>98.4961</v>
      </c>
      <c r="I372" s="3" t="n">
        <v>-8.01083</v>
      </c>
      <c r="J372" s="3" t="n">
        <v>-1.73403</v>
      </c>
      <c r="K372" s="3" t="n">
        <v>-4.90156</v>
      </c>
      <c r="L372" s="3" t="n"/>
      <c r="M372" s="3" t="inlineStr">
        <is>
          <t>no</t>
        </is>
      </c>
      <c r="N372" s="3" t="inlineStr">
        <is>
          <t>no designado (contraste C4: no hay svar_hd regional)</t>
        </is>
      </c>
      <c r="O372" s="3" t="inlineStr">
        <is>
          <t>CCAA: ranking por c_f·sign(dY) del panel FE (M8); asociacion, sin lectura causal; el factor comun es un resumen de comovimiento (pendiente ~1 mecanica, J23)</t>
        </is>
      </c>
      <c r="P372" s="3" t="inlineStr">
        <is>
          <t>output/v8/F5/regional_ranking.csv</t>
        </is>
      </c>
    </row>
    <row r="373">
      <c r="A373" s="3" t="inlineStr">
        <is>
          <t>alquiler</t>
        </is>
      </c>
      <c r="B373" s="3" t="inlineStr">
        <is>
          <t>ccaa:12</t>
        </is>
      </c>
      <c r="C373" s="3" t="inlineStr">
        <is>
          <t>P4</t>
        </is>
      </c>
      <c r="D373" s="3" t="inlineStr">
        <is>
          <t>empleo_renta</t>
        </is>
      </c>
      <c r="E373" s="3" t="inlineStr">
        <is>
          <t>regional_panel</t>
        </is>
      </c>
      <c r="F373" s="3" t="inlineStr">
        <is>
          <t>panel_covariables</t>
        </is>
      </c>
      <c r="G373" s="3" t="n">
        <v>0.0101556</v>
      </c>
      <c r="H373" s="3" t="n">
        <v>-0.207191</v>
      </c>
      <c r="I373" s="3" t="n">
        <v>-0.0301639</v>
      </c>
      <c r="J373" s="3" t="n">
        <v>0.0193798</v>
      </c>
      <c r="K373" s="3" t="n">
        <v>-4.90156</v>
      </c>
      <c r="L373" s="3" t="n">
        <v>3</v>
      </c>
      <c r="M373" s="3" t="inlineStr">
        <is>
          <t>si</t>
        </is>
      </c>
      <c r="N373" s="3" t="inlineStr">
        <is>
          <t>no designado (contraste C4: no hay svar_hd regional)</t>
        </is>
      </c>
      <c r="O373" s="3" t="inlineStr">
        <is>
          <t>CCAA: ranking por c_f·sign(dY) del panel FE (M8); asociacion, sin lectura causal; el factor comun es un resumen de comovimiento (pendiente ~1 mecanica, J23)</t>
        </is>
      </c>
      <c r="P373" s="3" t="inlineStr">
        <is>
          <t>output/v8/F5/regional_ranking.csv</t>
        </is>
      </c>
    </row>
    <row r="374">
      <c r="A374" s="3" t="inlineStr">
        <is>
          <t>alquiler</t>
        </is>
      </c>
      <c r="B374" s="3" t="inlineStr">
        <is>
          <t>ccaa:12</t>
        </is>
      </c>
      <c r="C374" s="3" t="inlineStr">
        <is>
          <t>P4</t>
        </is>
      </c>
      <c r="D374" s="3" t="inlineStr">
        <is>
          <t>demografia</t>
        </is>
      </c>
      <c r="E374" s="3" t="inlineStr">
        <is>
          <t>regional_panel</t>
        </is>
      </c>
      <c r="F374" s="3" t="inlineStr">
        <is>
          <t>panel_covariables</t>
        </is>
      </c>
      <c r="G374" s="3" t="n">
        <v>0.612603</v>
      </c>
      <c r="H374" s="3" t="n">
        <v>-12.4981</v>
      </c>
      <c r="I374" s="3" t="n">
        <v>0.0504072</v>
      </c>
      <c r="J374" s="3" t="n">
        <v>1.59071</v>
      </c>
      <c r="K374" s="3" t="n">
        <v>-4.90156</v>
      </c>
      <c r="L374" s="3" t="n">
        <v>4</v>
      </c>
      <c r="M374" s="3" t="inlineStr">
        <is>
          <t>si</t>
        </is>
      </c>
      <c r="N374" s="3" t="inlineStr">
        <is>
          <t>no designado (contraste C4: no hay svar_hd regional)</t>
        </is>
      </c>
      <c r="O374" s="3" t="inlineStr">
        <is>
          <t>CCAA: ranking por c_f·sign(dY) del panel FE (M8); asociacion, sin lectura causal; el factor comun es un resumen de comovimiento (pendiente ~1 mecanica, J23)</t>
        </is>
      </c>
      <c r="P374" s="3" t="inlineStr">
        <is>
          <t>output/v8/F5/regional_ranking.csv</t>
        </is>
      </c>
    </row>
    <row r="375">
      <c r="A375" s="3" t="inlineStr">
        <is>
          <t>alquiler</t>
        </is>
      </c>
      <c r="B375" s="3" t="inlineStr">
        <is>
          <t>ccaa:12</t>
        </is>
      </c>
      <c r="C375" s="3" t="inlineStr">
        <is>
          <t>P4</t>
        </is>
      </c>
      <c r="D375" s="3" t="inlineStr">
        <is>
          <t>oferta</t>
        </is>
      </c>
      <c r="E375" s="3" t="inlineStr">
        <is>
          <t>regional_panel</t>
        </is>
      </c>
      <c r="F375" s="3" t="inlineStr">
        <is>
          <t>panel_covariables</t>
        </is>
      </c>
      <c r="G375" s="3" t="n">
        <v>0.00327023</v>
      </c>
      <c r="H375" s="3" t="n">
        <v>-0.0667181</v>
      </c>
      <c r="I375" s="3" t="n">
        <v>-0.0077404</v>
      </c>
      <c r="J375" s="3" t="n">
        <v>0.0270108</v>
      </c>
      <c r="K375" s="3" t="n">
        <v>-4.90156</v>
      </c>
      <c r="L375" s="3" t="n">
        <v>1</v>
      </c>
      <c r="M375" s="3" t="inlineStr">
        <is>
          <t>si</t>
        </is>
      </c>
      <c r="N375" s="3" t="inlineStr">
        <is>
          <t>no designado (contraste C4: no hay svar_hd regional)</t>
        </is>
      </c>
      <c r="O375" s="3" t="inlineStr">
        <is>
          <t>CCAA: ranking por c_f·sign(dY) del panel FE (M8); asociacion, sin lectura causal; el factor comun es un resumen de comovimiento (pendiente ~1 mecanica, J23)</t>
        </is>
      </c>
      <c r="P375" s="3" t="inlineStr">
        <is>
          <t>output/v8/F5/regional_ranking.csv</t>
        </is>
      </c>
    </row>
    <row r="376">
      <c r="A376" s="3" t="inlineStr">
        <is>
          <t>alquiler</t>
        </is>
      </c>
      <c r="B376" s="3" t="inlineStr">
        <is>
          <t>ccaa:12</t>
        </is>
      </c>
      <c r="C376" s="3" t="inlineStr">
        <is>
          <t>P4</t>
        </is>
      </c>
      <c r="D376" s="3" t="inlineStr">
        <is>
          <t>demanda_externa</t>
        </is>
      </c>
      <c r="E376" s="3" t="inlineStr">
        <is>
          <t>regional_panel</t>
        </is>
      </c>
      <c r="F376" s="3" t="inlineStr">
        <is>
          <t>panel_covariables</t>
        </is>
      </c>
      <c r="G376" s="3" t="n">
        <v>0.009797699999999999</v>
      </c>
      <c r="H376" s="3" t="n">
        <v>-0.199889</v>
      </c>
      <c r="I376" s="3" t="n">
        <v>-0.0535059</v>
      </c>
      <c r="J376" s="3" t="n">
        <v>0.0182705</v>
      </c>
      <c r="K376" s="3" t="n">
        <v>-4.90156</v>
      </c>
      <c r="L376" s="3" t="n">
        <v>2</v>
      </c>
      <c r="M376" s="3" t="inlineStr">
        <is>
          <t>si</t>
        </is>
      </c>
      <c r="N376" s="3" t="inlineStr">
        <is>
          <t>no designado (contraste C4: no hay svar_hd regional)</t>
        </is>
      </c>
      <c r="O376" s="3" t="inlineStr">
        <is>
          <t>CCAA: ranking por c_f·sign(dY) del panel FE (M8); asociacion, sin lectura causal; el factor comun es un resumen de comovimiento (pendiente ~1 mecanica, J23)</t>
        </is>
      </c>
      <c r="P376" s="3" t="inlineStr">
        <is>
          <t>output/v8/F5/regional_ranking.csv</t>
        </is>
      </c>
    </row>
    <row r="377">
      <c r="A377" s="3" t="inlineStr">
        <is>
          <t>alquiler</t>
        </is>
      </c>
      <c r="B377" s="3" t="inlineStr">
        <is>
          <t>ccaa:12</t>
        </is>
      </c>
      <c r="C377" s="3" t="inlineStr">
        <is>
          <t>P4</t>
        </is>
      </c>
      <c r="D377" s="3" t="inlineStr">
        <is>
          <t>residuo</t>
        </is>
      </c>
      <c r="E377" s="3" t="inlineStr">
        <is>
          <t>regional_panel</t>
        </is>
      </c>
      <c r="F377" s="3" t="inlineStr">
        <is>
          <t>panel_covariables</t>
        </is>
      </c>
      <c r="G377" s="3" t="n">
        <v>-0.709541</v>
      </c>
      <c r="H377" s="3" t="n">
        <v>14.4758</v>
      </c>
      <c r="I377" s="3" t="n">
        <v>-1.91942</v>
      </c>
      <c r="J377" s="3" t="n">
        <v>0.0629947</v>
      </c>
      <c r="K377" s="3" t="n">
        <v>-4.90156</v>
      </c>
      <c r="L377" s="3" t="n"/>
      <c r="M377" s="3" t="inlineStr">
        <is>
          <t>no</t>
        </is>
      </c>
      <c r="N377" s="3" t="inlineStr">
        <is>
          <t>no designado (contraste C4: no hay svar_hd regional)</t>
        </is>
      </c>
      <c r="O377" s="3" t="inlineStr">
        <is>
          <t>CCAA: ranking por c_f·sign(dY) del panel FE (M8); asociacion, sin lectura causal; el factor comun es un resumen de comovimiento (pendiente ~1 mecanica, J23)</t>
        </is>
      </c>
      <c r="P377" s="3" t="inlineStr">
        <is>
          <t>output/v8/F5/regional_ranking.csv</t>
        </is>
      </c>
    </row>
    <row r="378">
      <c r="A378" s="3" t="inlineStr">
        <is>
          <t>alquiler</t>
        </is>
      </c>
      <c r="B378" s="3" t="inlineStr">
        <is>
          <t>ccaa:12</t>
        </is>
      </c>
      <c r="C378" s="3" t="inlineStr">
        <is>
          <t>P5</t>
        </is>
      </c>
      <c r="D378" s="3" t="inlineStr">
        <is>
          <t>factor_comun</t>
        </is>
      </c>
      <c r="E378" s="3" t="inlineStr">
        <is>
          <t>regional_ccaa_ols</t>
        </is>
      </c>
      <c r="F378" s="3" t="inlineStr">
        <is>
          <t>ols_solo_factor</t>
        </is>
      </c>
      <c r="G378" s="3" t="n">
        <v>-5.14114</v>
      </c>
      <c r="H378" s="3" t="n">
        <v>93.01300000000001</v>
      </c>
      <c r="I378" s="3" t="n">
        <v>-7.66668</v>
      </c>
      <c r="J378" s="3" t="n">
        <v>-2.92085</v>
      </c>
      <c r="K378" s="3" t="n">
        <v>-5.37531</v>
      </c>
      <c r="L378" s="3" t="n"/>
      <c r="M378" s="3" t="inlineStr">
        <is>
          <t>no</t>
        </is>
      </c>
      <c r="N378" s="3" t="inlineStr">
        <is>
          <t>no designado (contraste C4: no hay svar_hd regional)</t>
        </is>
      </c>
      <c r="O378" s="3" t="inlineStr">
        <is>
          <t>CCAA: ranking por c_f·sign(dY) del panel FE (M8); asociacion, sin lectura causal; el factor comun es un resumen de comovimiento (pendiente ~1 mecanica, J23)</t>
        </is>
      </c>
      <c r="P378" s="3" t="inlineStr">
        <is>
          <t>output/v8/F5/regional_ranking.csv</t>
        </is>
      </c>
    </row>
    <row r="379">
      <c r="A379" s="3" t="inlineStr">
        <is>
          <t>alquiler</t>
        </is>
      </c>
      <c r="B379" s="3" t="inlineStr">
        <is>
          <t>ccaa:12</t>
        </is>
      </c>
      <c r="C379" s="3" t="inlineStr">
        <is>
          <t>P5</t>
        </is>
      </c>
      <c r="D379" s="3" t="inlineStr">
        <is>
          <t>residuo</t>
        </is>
      </c>
      <c r="E379" s="3" t="inlineStr">
        <is>
          <t>regional_ccaa_ols</t>
        </is>
      </c>
      <c r="F379" s="3" t="inlineStr">
        <is>
          <t>ols_solo_factor</t>
        </is>
      </c>
      <c r="G379" s="3" t="n">
        <v>-0.386195</v>
      </c>
      <c r="H379" s="3" t="n">
        <v>6.98699</v>
      </c>
      <c r="I379" s="3" t="n"/>
      <c r="J379" s="3" t="n"/>
      <c r="K379" s="3" t="n">
        <v>-5.37531</v>
      </c>
      <c r="L379" s="3" t="n"/>
      <c r="M379" s="3" t="inlineStr">
        <is>
          <t>no</t>
        </is>
      </c>
      <c r="N379" s="3" t="inlineStr">
        <is>
          <t>no designado (contraste C4: no hay svar_hd regional)</t>
        </is>
      </c>
      <c r="O379" s="3" t="inlineStr">
        <is>
          <t>CCAA: ranking por c_f·sign(dY) del panel FE (M8); asociacion, sin lectura causal; el factor comun es un resumen de comovimiento (pendiente ~1 mecanica, J23)</t>
        </is>
      </c>
      <c r="P379" s="3" t="inlineStr">
        <is>
          <t>output/v8/F5/regional_ranking.csv</t>
        </is>
      </c>
    </row>
    <row r="380">
      <c r="A380" s="3" t="inlineStr">
        <is>
          <t>alquiler</t>
        </is>
      </c>
      <c r="B380" s="3" t="inlineStr">
        <is>
          <t>ccaa:12</t>
        </is>
      </c>
      <c r="C380" s="3" t="inlineStr">
        <is>
          <t>P5</t>
        </is>
      </c>
      <c r="D380" s="3" t="inlineStr">
        <is>
          <t>factor_comun</t>
        </is>
      </c>
      <c r="E380" s="3" t="inlineStr">
        <is>
          <t>regional_panel</t>
        </is>
      </c>
      <c r="F380" s="3" t="inlineStr">
        <is>
          <t>panel_covariables</t>
        </is>
      </c>
      <c r="G380" s="3" t="n">
        <v>-5.47353</v>
      </c>
      <c r="H380" s="3" t="n">
        <v>101.827</v>
      </c>
      <c r="I380" s="3" t="n">
        <v>-7.50057</v>
      </c>
      <c r="J380" s="3" t="n">
        <v>-3.0519</v>
      </c>
      <c r="K380" s="3" t="n">
        <v>-5.37531</v>
      </c>
      <c r="L380" s="3" t="n"/>
      <c r="M380" s="3" t="inlineStr">
        <is>
          <t>no</t>
        </is>
      </c>
      <c r="N380" s="3" t="inlineStr">
        <is>
          <t>no designado (contraste C4: no hay svar_hd regional)</t>
        </is>
      </c>
      <c r="O380" s="3" t="inlineStr">
        <is>
          <t>CCAA: ranking por c_f·sign(dY) del panel FE (M8); asociacion, sin lectura causal; el factor comun es un resumen de comovimiento (pendiente ~1 mecanica, J23)</t>
        </is>
      </c>
      <c r="P380" s="3" t="inlineStr">
        <is>
          <t>output/v8/F5/regional_ranking.csv</t>
        </is>
      </c>
    </row>
    <row r="381">
      <c r="A381" s="3" t="inlineStr">
        <is>
          <t>alquiler</t>
        </is>
      </c>
      <c r="B381" s="3" t="inlineStr">
        <is>
          <t>ccaa:12</t>
        </is>
      </c>
      <c r="C381" s="3" t="inlineStr">
        <is>
          <t>P5</t>
        </is>
      </c>
      <c r="D381" s="3" t="inlineStr">
        <is>
          <t>empleo_renta</t>
        </is>
      </c>
      <c r="E381" s="3" t="inlineStr">
        <is>
          <t>regional_panel</t>
        </is>
      </c>
      <c r="F381" s="3" t="inlineStr">
        <is>
          <t>panel_covariables</t>
        </is>
      </c>
      <c r="G381" s="3" t="n">
        <v>-0.0694446</v>
      </c>
      <c r="H381" s="3" t="n">
        <v>1.29192</v>
      </c>
      <c r="I381" s="3" t="n">
        <v>-0.104856</v>
      </c>
      <c r="J381" s="3" t="n">
        <v>-0.0279938</v>
      </c>
      <c r="K381" s="3" t="n">
        <v>-5.37531</v>
      </c>
      <c r="L381" s="3" t="n">
        <v>1</v>
      </c>
      <c r="M381" s="3" t="inlineStr">
        <is>
          <t>si</t>
        </is>
      </c>
      <c r="N381" s="3" t="inlineStr">
        <is>
          <t>no designado (contraste C4: no hay svar_hd regional)</t>
        </is>
      </c>
      <c r="O381" s="3" t="inlineStr">
        <is>
          <t>CCAA: ranking por c_f·sign(dY) del panel FE (M8); asociacion, sin lectura causal; el factor comun es un resumen de comovimiento (pendiente ~1 mecanica, J23)</t>
        </is>
      </c>
      <c r="P381" s="3" t="inlineStr">
        <is>
          <t>output/v8/F5/regional_ranking.csv</t>
        </is>
      </c>
    </row>
    <row r="382">
      <c r="A382" s="3" t="inlineStr">
        <is>
          <t>alquiler</t>
        </is>
      </c>
      <c r="B382" s="3" t="inlineStr">
        <is>
          <t>ccaa:12</t>
        </is>
      </c>
      <c r="C382" s="3" t="inlineStr">
        <is>
          <t>P5</t>
        </is>
      </c>
      <c r="D382" s="3" t="inlineStr">
        <is>
          <t>demografia</t>
        </is>
      </c>
      <c r="E382" s="3" t="inlineStr">
        <is>
          <t>regional_panel</t>
        </is>
      </c>
      <c r="F382" s="3" t="inlineStr">
        <is>
          <t>panel_covariables</t>
        </is>
      </c>
      <c r="G382" s="3" t="n">
        <v>0.575666</v>
      </c>
      <c r="H382" s="3" t="n">
        <v>-10.7095</v>
      </c>
      <c r="I382" s="3" t="n">
        <v>-0.268089</v>
      </c>
      <c r="J382" s="3" t="n">
        <v>1.38098</v>
      </c>
      <c r="K382" s="3" t="n">
        <v>-5.37531</v>
      </c>
      <c r="L382" s="3" t="n">
        <v>4</v>
      </c>
      <c r="M382" s="3" t="inlineStr">
        <is>
          <t>si</t>
        </is>
      </c>
      <c r="N382" s="3" t="inlineStr">
        <is>
          <t>no designado (contraste C4: no hay svar_hd regional)</t>
        </is>
      </c>
      <c r="O382" s="3" t="inlineStr">
        <is>
          <t>CCAA: ranking por c_f·sign(dY) del panel FE (M8); asociacion, sin lectura causal; el factor comun es un resumen de comovimiento (pendiente ~1 mecanica, J23)</t>
        </is>
      </c>
      <c r="P382" s="3" t="inlineStr">
        <is>
          <t>output/v8/F5/regional_ranking.csv</t>
        </is>
      </c>
    </row>
    <row r="383">
      <c r="A383" s="3" t="inlineStr">
        <is>
          <t>alquiler</t>
        </is>
      </c>
      <c r="B383" s="3" t="inlineStr">
        <is>
          <t>ccaa:12</t>
        </is>
      </c>
      <c r="C383" s="3" t="inlineStr">
        <is>
          <t>P5</t>
        </is>
      </c>
      <c r="D383" s="3" t="inlineStr">
        <is>
          <t>oferta</t>
        </is>
      </c>
      <c r="E383" s="3" t="inlineStr">
        <is>
          <t>regional_panel</t>
        </is>
      </c>
      <c r="F383" s="3" t="inlineStr">
        <is>
          <t>panel_covariables</t>
        </is>
      </c>
      <c r="G383" s="3" t="n">
        <v>-0.00208841</v>
      </c>
      <c r="H383" s="3" t="n">
        <v>0.0388518</v>
      </c>
      <c r="I383" s="3" t="n">
        <v>-0.0154406</v>
      </c>
      <c r="J383" s="3" t="n">
        <v>0.00518399</v>
      </c>
      <c r="K383" s="3" t="n">
        <v>-5.37531</v>
      </c>
      <c r="L383" s="3" t="n">
        <v>2</v>
      </c>
      <c r="M383" s="3" t="inlineStr">
        <is>
          <t>si</t>
        </is>
      </c>
      <c r="N383" s="3" t="inlineStr">
        <is>
          <t>no designado (contraste C4: no hay svar_hd regional)</t>
        </is>
      </c>
      <c r="O383" s="3" t="inlineStr">
        <is>
          <t>CCAA: ranking por c_f·sign(dY) del panel FE (M8); asociacion, sin lectura causal; el factor comun es un resumen de comovimiento (pendiente ~1 mecanica, J23)</t>
        </is>
      </c>
      <c r="P383" s="3" t="inlineStr">
        <is>
          <t>output/v8/F5/regional_ranking.csv</t>
        </is>
      </c>
    </row>
    <row r="384">
      <c r="A384" s="3" t="inlineStr">
        <is>
          <t>alquiler</t>
        </is>
      </c>
      <c r="B384" s="3" t="inlineStr">
        <is>
          <t>ccaa:12</t>
        </is>
      </c>
      <c r="C384" s="3" t="inlineStr">
        <is>
          <t>P5</t>
        </is>
      </c>
      <c r="D384" s="3" t="inlineStr">
        <is>
          <t>demanda_externa</t>
        </is>
      </c>
      <c r="E384" s="3" t="inlineStr">
        <is>
          <t>regional_panel</t>
        </is>
      </c>
      <c r="F384" s="3" t="inlineStr">
        <is>
          <t>panel_covariables</t>
        </is>
      </c>
      <c r="G384" s="3" t="n">
        <v>0.135484</v>
      </c>
      <c r="H384" s="3" t="n">
        <v>-2.52048</v>
      </c>
      <c r="I384" s="3" t="n">
        <v>0.0434908</v>
      </c>
      <c r="J384" s="3" t="n">
        <v>0.219406</v>
      </c>
      <c r="K384" s="3" t="n">
        <v>-5.37531</v>
      </c>
      <c r="L384" s="3" t="n">
        <v>3</v>
      </c>
      <c r="M384" s="3" t="inlineStr">
        <is>
          <t>si</t>
        </is>
      </c>
      <c r="N384" s="3" t="inlineStr">
        <is>
          <t>no designado (contraste C4: no hay svar_hd regional)</t>
        </is>
      </c>
      <c r="O384" s="3" t="inlineStr">
        <is>
          <t>CCAA: ranking por c_f·sign(dY) del panel FE (M8); asociacion, sin lectura causal; el factor comun es un resumen de comovimiento (pendiente ~1 mecanica, J23)</t>
        </is>
      </c>
      <c r="P384" s="3" t="inlineStr">
        <is>
          <t>output/v8/F5/regional_ranking.csv</t>
        </is>
      </c>
    </row>
    <row r="385">
      <c r="A385" s="3" t="inlineStr">
        <is>
          <t>alquiler</t>
        </is>
      </c>
      <c r="B385" s="3" t="inlineStr">
        <is>
          <t>ccaa:12</t>
        </is>
      </c>
      <c r="C385" s="3" t="inlineStr">
        <is>
          <t>P5</t>
        </is>
      </c>
      <c r="D385" s="3" t="inlineStr">
        <is>
          <t>residuo</t>
        </is>
      </c>
      <c r="E385" s="3" t="inlineStr">
        <is>
          <t>regional_panel</t>
        </is>
      </c>
      <c r="F385" s="3" t="inlineStr">
        <is>
          <t>panel_covariables</t>
        </is>
      </c>
      <c r="G385" s="3" t="n">
        <v>-0.541393</v>
      </c>
      <c r="H385" s="3" t="n">
        <v>10.0719</v>
      </c>
      <c r="I385" s="3" t="n">
        <v>-1.68569</v>
      </c>
      <c r="J385" s="3" t="n">
        <v>0.536918</v>
      </c>
      <c r="K385" s="3" t="n">
        <v>-5.37531</v>
      </c>
      <c r="L385" s="3" t="n"/>
      <c r="M385" s="3" t="inlineStr">
        <is>
          <t>no</t>
        </is>
      </c>
      <c r="N385" s="3" t="inlineStr">
        <is>
          <t>no designado (contraste C4: no hay svar_hd regional)</t>
        </is>
      </c>
      <c r="O385" s="3" t="inlineStr">
        <is>
          <t>CCAA: ranking por c_f·sign(dY) del panel FE (M8); asociacion, sin lectura causal; el factor comun es un resumen de comovimiento (pendiente ~1 mecanica, J23)</t>
        </is>
      </c>
      <c r="P385" s="3" t="inlineStr">
        <is>
          <t>output/v8/F5/regional_ranking.csv</t>
        </is>
      </c>
    </row>
    <row r="386">
      <c r="A386" s="3" t="inlineStr">
        <is>
          <t>alquiler</t>
        </is>
      </c>
      <c r="B386" s="3" t="inlineStr">
        <is>
          <t>ccaa:13</t>
        </is>
      </c>
      <c r="C386" s="3" t="inlineStr">
        <is>
          <t>P2</t>
        </is>
      </c>
      <c r="D386" s="3" t="inlineStr">
        <is>
          <t>factor_comun</t>
        </is>
      </c>
      <c r="E386" s="3" t="inlineStr">
        <is>
          <t>regional_ccaa_ols</t>
        </is>
      </c>
      <c r="F386" s="3" t="inlineStr">
        <is>
          <t>ols_solo_factor</t>
        </is>
      </c>
      <c r="G386" s="3" t="n">
        <v>-3.718</v>
      </c>
      <c r="H386" s="3" t="n">
        <v>79.7004</v>
      </c>
      <c r="I386" s="3" t="n">
        <v>-8.5832</v>
      </c>
      <c r="J386" s="3" t="n">
        <v>0.738945</v>
      </c>
      <c r="K386" s="3" t="n">
        <v>-5.36776</v>
      </c>
      <c r="L386" s="3" t="n"/>
      <c r="M386" s="3" t="inlineStr">
        <is>
          <t>no</t>
        </is>
      </c>
      <c r="N386" s="3" t="inlineStr">
        <is>
          <t>no designado (contraste C4: no hay svar_hd regional)</t>
        </is>
      </c>
      <c r="O386" s="3" t="inlineStr">
        <is>
          <t>CCAA: ranking por c_f·sign(dY) del panel FE (M8); asociacion, sin lectura causal; el factor comun es un resumen de comovimiento (pendiente ~1 mecanica, J23)</t>
        </is>
      </c>
      <c r="P386" s="3" t="inlineStr">
        <is>
          <t>output/v8/F5/regional_ranking.csv</t>
        </is>
      </c>
    </row>
    <row r="387">
      <c r="A387" s="3" t="inlineStr">
        <is>
          <t>alquiler</t>
        </is>
      </c>
      <c r="B387" s="3" t="inlineStr">
        <is>
          <t>ccaa:13</t>
        </is>
      </c>
      <c r="C387" s="3" t="inlineStr">
        <is>
          <t>P2</t>
        </is>
      </c>
      <c r="D387" s="3" t="inlineStr">
        <is>
          <t>residuo</t>
        </is>
      </c>
      <c r="E387" s="3" t="inlineStr">
        <is>
          <t>regional_ccaa_ols</t>
        </is>
      </c>
      <c r="F387" s="3" t="inlineStr">
        <is>
          <t>ols_solo_factor</t>
        </is>
      </c>
      <c r="G387" s="3" t="n">
        <v>-0.946968</v>
      </c>
      <c r="H387" s="3" t="n">
        <v>20.2996</v>
      </c>
      <c r="I387" s="3" t="n"/>
      <c r="J387" s="3" t="n"/>
      <c r="K387" s="3" t="n">
        <v>-5.36776</v>
      </c>
      <c r="L387" s="3" t="n"/>
      <c r="M387" s="3" t="inlineStr">
        <is>
          <t>no</t>
        </is>
      </c>
      <c r="N387" s="3" t="inlineStr">
        <is>
          <t>no designado (contraste C4: no hay svar_hd regional)</t>
        </is>
      </c>
      <c r="O387" s="3" t="inlineStr">
        <is>
          <t>CCAA: ranking por c_f·sign(dY) del panel FE (M8); asociacion, sin lectura causal; el factor comun es un resumen de comovimiento (pendiente ~1 mecanica, J23)</t>
        </is>
      </c>
      <c r="P387" s="3" t="inlineStr">
        <is>
          <t>output/v8/F5/regional_ranking.csv</t>
        </is>
      </c>
    </row>
    <row r="388">
      <c r="A388" s="3" t="inlineStr">
        <is>
          <t>alquiler</t>
        </is>
      </c>
      <c r="B388" s="3" t="inlineStr">
        <is>
          <t>ccaa:13</t>
        </is>
      </c>
      <c r="C388" s="3" t="inlineStr">
        <is>
          <t>P2</t>
        </is>
      </c>
      <c r="D388" s="3" t="inlineStr">
        <is>
          <t>factor_comun</t>
        </is>
      </c>
      <c r="E388" s="3" t="inlineStr">
        <is>
          <t>regional_panel</t>
        </is>
      </c>
      <c r="F388" s="3" t="inlineStr">
        <is>
          <t>panel_covariables</t>
        </is>
      </c>
      <c r="G388" s="3" t="n">
        <v>-3.50963</v>
      </c>
      <c r="H388" s="3" t="n">
        <v>65.3835</v>
      </c>
      <c r="I388" s="3" t="n">
        <v>-7.73728</v>
      </c>
      <c r="J388" s="3" t="n">
        <v>0.660335</v>
      </c>
      <c r="K388" s="3" t="n">
        <v>-5.36776</v>
      </c>
      <c r="L388" s="3" t="n"/>
      <c r="M388" s="3" t="inlineStr">
        <is>
          <t>no</t>
        </is>
      </c>
      <c r="N388" s="3" t="inlineStr">
        <is>
          <t>no designado (contraste C4: no hay svar_hd regional)</t>
        </is>
      </c>
      <c r="O388" s="3" t="inlineStr">
        <is>
          <t>CCAA: ranking por c_f·sign(dY) del panel FE (M8); asociacion, sin lectura causal; el factor comun es un resumen de comovimiento (pendiente ~1 mecanica, J23)</t>
        </is>
      </c>
      <c r="P388" s="3" t="inlineStr">
        <is>
          <t>output/v8/F5/regional_ranking.csv</t>
        </is>
      </c>
    </row>
    <row r="389">
      <c r="A389" s="3" t="inlineStr">
        <is>
          <t>alquiler</t>
        </is>
      </c>
      <c r="B389" s="3" t="inlineStr">
        <is>
          <t>ccaa:13</t>
        </is>
      </c>
      <c r="C389" s="3" t="inlineStr">
        <is>
          <t>P2</t>
        </is>
      </c>
      <c r="D389" s="3" t="inlineStr">
        <is>
          <t>empleo_renta</t>
        </is>
      </c>
      <c r="E389" s="3" t="inlineStr">
        <is>
          <t>regional_panel</t>
        </is>
      </c>
      <c r="F389" s="3" t="inlineStr">
        <is>
          <t>panel_covariables</t>
        </is>
      </c>
      <c r="G389" s="3" t="n">
        <v>0.0569197</v>
      </c>
      <c r="H389" s="3" t="n">
        <v>-1.0604</v>
      </c>
      <c r="I389" s="3" t="n">
        <v>-0.214307</v>
      </c>
      <c r="J389" s="3" t="n">
        <v>0.361618</v>
      </c>
      <c r="K389" s="3" t="n">
        <v>-5.36776</v>
      </c>
      <c r="L389" s="3" t="n">
        <v>1</v>
      </c>
      <c r="M389" s="3" t="inlineStr">
        <is>
          <t>si</t>
        </is>
      </c>
      <c r="N389" s="3" t="inlineStr">
        <is>
          <t>no designado (contraste C4: no hay svar_hd regional)</t>
        </is>
      </c>
      <c r="O389" s="3" t="inlineStr">
        <is>
          <t>CCAA: ranking por c_f·sign(dY) del panel FE (M8); asociacion, sin lectura causal; el factor comun es un resumen de comovimiento (pendiente ~1 mecanica, J23)</t>
        </is>
      </c>
      <c r="P389" s="3" t="inlineStr">
        <is>
          <t>output/v8/F5/regional_ranking.csv</t>
        </is>
      </c>
    </row>
    <row r="390">
      <c r="A390" s="3" t="inlineStr">
        <is>
          <t>alquiler</t>
        </is>
      </c>
      <c r="B390" s="3" t="inlineStr">
        <is>
          <t>ccaa:13</t>
        </is>
      </c>
      <c r="C390" s="3" t="inlineStr">
        <is>
          <t>P2</t>
        </is>
      </c>
      <c r="D390" s="3" t="inlineStr">
        <is>
          <t>demografia</t>
        </is>
      </c>
      <c r="E390" s="3" t="inlineStr">
        <is>
          <t>regional_panel</t>
        </is>
      </c>
      <c r="F390" s="3" t="inlineStr">
        <is>
          <t>panel_covariables</t>
        </is>
      </c>
      <c r="G390" s="3" t="n">
        <v>1.68137</v>
      </c>
      <c r="H390" s="3" t="n">
        <v>-31.3236</v>
      </c>
      <c r="I390" s="3" t="n">
        <v>1.31136</v>
      </c>
      <c r="J390" s="3" t="n">
        <v>2.78759</v>
      </c>
      <c r="K390" s="3" t="n">
        <v>-5.36776</v>
      </c>
      <c r="L390" s="3" t="n">
        <v>4</v>
      </c>
      <c r="M390" s="3" t="inlineStr">
        <is>
          <t>si</t>
        </is>
      </c>
      <c r="N390" s="3" t="inlineStr">
        <is>
          <t>no designado (contraste C4: no hay svar_hd regional)</t>
        </is>
      </c>
      <c r="O390" s="3" t="inlineStr">
        <is>
          <t>CCAA: ranking por c_f·sign(dY) del panel FE (M8); asociacion, sin lectura causal; el factor comun es un resumen de comovimiento (pendiente ~1 mecanica, J23)</t>
        </is>
      </c>
      <c r="P390" s="3" t="inlineStr">
        <is>
          <t>output/v8/F5/regional_ranking.csv</t>
        </is>
      </c>
    </row>
    <row r="391">
      <c r="A391" s="3" t="inlineStr">
        <is>
          <t>alquiler</t>
        </is>
      </c>
      <c r="B391" s="3" t="inlineStr">
        <is>
          <t>ccaa:13</t>
        </is>
      </c>
      <c r="C391" s="3" t="inlineStr">
        <is>
          <t>P2</t>
        </is>
      </c>
      <c r="D391" s="3" t="inlineStr">
        <is>
          <t>oferta</t>
        </is>
      </c>
      <c r="E391" s="3" t="inlineStr">
        <is>
          <t>regional_panel</t>
        </is>
      </c>
      <c r="F391" s="3" t="inlineStr">
        <is>
          <t>panel_covariables</t>
        </is>
      </c>
      <c r="G391" s="3" t="n">
        <v>0.181657</v>
      </c>
      <c r="H391" s="3" t="n">
        <v>-3.38423</v>
      </c>
      <c r="I391" s="3" t="n">
        <v>0.0054778</v>
      </c>
      <c r="J391" s="3" t="n">
        <v>0.424702</v>
      </c>
      <c r="K391" s="3" t="n">
        <v>-5.36776</v>
      </c>
      <c r="L391" s="3" t="n">
        <v>3</v>
      </c>
      <c r="M391" s="3" t="inlineStr">
        <is>
          <t>si</t>
        </is>
      </c>
      <c r="N391" s="3" t="inlineStr">
        <is>
          <t>no designado (contraste C4: no hay svar_hd regional)</t>
        </is>
      </c>
      <c r="O391" s="3" t="inlineStr">
        <is>
          <t>CCAA: ranking por c_f·sign(dY) del panel FE (M8); asociacion, sin lectura causal; el factor comun es un resumen de comovimiento (pendiente ~1 mecanica, J23)</t>
        </is>
      </c>
      <c r="P391" s="3" t="inlineStr">
        <is>
          <t>output/v8/F5/regional_ranking.csv</t>
        </is>
      </c>
    </row>
    <row r="392">
      <c r="A392" s="3" t="inlineStr">
        <is>
          <t>alquiler</t>
        </is>
      </c>
      <c r="B392" s="3" t="inlineStr">
        <is>
          <t>ccaa:13</t>
        </is>
      </c>
      <c r="C392" s="3" t="inlineStr">
        <is>
          <t>P2</t>
        </is>
      </c>
      <c r="D392" s="3" t="inlineStr">
        <is>
          <t>demanda_externa</t>
        </is>
      </c>
      <c r="E392" s="3" t="inlineStr">
        <is>
          <t>regional_panel</t>
        </is>
      </c>
      <c r="F392" s="3" t="inlineStr">
        <is>
          <t>panel_covariables</t>
        </is>
      </c>
      <c r="G392" s="3" t="n">
        <v>0.0602749</v>
      </c>
      <c r="H392" s="3" t="n">
        <v>-1.12291</v>
      </c>
      <c r="I392" s="3" t="n">
        <v>-0.000106724</v>
      </c>
      <c r="J392" s="3" t="n">
        <v>0.166991</v>
      </c>
      <c r="K392" s="3" t="n">
        <v>-5.36776</v>
      </c>
      <c r="L392" s="3" t="n">
        <v>2</v>
      </c>
      <c r="M392" s="3" t="inlineStr">
        <is>
          <t>si</t>
        </is>
      </c>
      <c r="N392" s="3" t="inlineStr">
        <is>
          <t>no designado (contraste C4: no hay svar_hd regional)</t>
        </is>
      </c>
      <c r="O392" s="3" t="inlineStr">
        <is>
          <t>CCAA: ranking por c_f·sign(dY) del panel FE (M8); asociacion, sin lectura causal; el factor comun es un resumen de comovimiento (pendiente ~1 mecanica, J23)</t>
        </is>
      </c>
      <c r="P392" s="3" t="inlineStr">
        <is>
          <t>output/v8/F5/regional_ranking.csv</t>
        </is>
      </c>
    </row>
    <row r="393">
      <c r="A393" s="3" t="inlineStr">
        <is>
          <t>alquiler</t>
        </is>
      </c>
      <c r="B393" s="3" t="inlineStr">
        <is>
          <t>ccaa:13</t>
        </is>
      </c>
      <c r="C393" s="3" t="inlineStr">
        <is>
          <t>P2</t>
        </is>
      </c>
      <c r="D393" s="3" t="inlineStr">
        <is>
          <t>residuo</t>
        </is>
      </c>
      <c r="E393" s="3" t="inlineStr">
        <is>
          <t>regional_panel</t>
        </is>
      </c>
      <c r="F393" s="3" t="inlineStr">
        <is>
          <t>panel_covariables</t>
        </is>
      </c>
      <c r="G393" s="3" t="n">
        <v>-3.83835</v>
      </c>
      <c r="H393" s="3" t="n">
        <v>71.5076</v>
      </c>
      <c r="I393" s="3" t="n">
        <v>-5.3535</v>
      </c>
      <c r="J393" s="3" t="n">
        <v>-2.81718</v>
      </c>
      <c r="K393" s="3" t="n">
        <v>-5.36776</v>
      </c>
      <c r="L393" s="3" t="n"/>
      <c r="M393" s="3" t="inlineStr">
        <is>
          <t>no</t>
        </is>
      </c>
      <c r="N393" s="3" t="inlineStr">
        <is>
          <t>no designado (contraste C4: no hay svar_hd regional)</t>
        </is>
      </c>
      <c r="O393" s="3" t="inlineStr">
        <is>
          <t>CCAA: ranking por c_f·sign(dY) del panel FE (M8); asociacion, sin lectura causal; el factor comun es un resumen de comovimiento (pendiente ~1 mecanica, J23)</t>
        </is>
      </c>
      <c r="P393" s="3" t="inlineStr">
        <is>
          <t>output/v8/F5/regional_ranking.csv</t>
        </is>
      </c>
    </row>
    <row r="394">
      <c r="A394" s="3" t="inlineStr">
        <is>
          <t>alquiler</t>
        </is>
      </c>
      <c r="B394" s="3" t="inlineStr">
        <is>
          <t>ccaa:13</t>
        </is>
      </c>
      <c r="C394" s="3" t="inlineStr">
        <is>
          <t>P3</t>
        </is>
      </c>
      <c r="D394" s="3" t="inlineStr">
        <is>
          <t>factor_comun</t>
        </is>
      </c>
      <c r="E394" s="3" t="inlineStr">
        <is>
          <t>regional_ccaa_ols</t>
        </is>
      </c>
      <c r="F394" s="3" t="inlineStr">
        <is>
          <t>ols_solo_factor</t>
        </is>
      </c>
      <c r="G394" s="3" t="n">
        <v>-2.79333</v>
      </c>
      <c r="H394" s="3" t="n">
        <v>114.453</v>
      </c>
      <c r="I394" s="3" t="n">
        <v>-4.12932</v>
      </c>
      <c r="J394" s="3" t="n">
        <v>-1.20994</v>
      </c>
      <c r="K394" s="3" t="n">
        <v>-2.10323</v>
      </c>
      <c r="L394" s="3" t="n"/>
      <c r="M394" s="3" t="inlineStr">
        <is>
          <t>no</t>
        </is>
      </c>
      <c r="N394" s="3" t="inlineStr">
        <is>
          <t>no designado (contraste C4: no hay svar_hd regional)</t>
        </is>
      </c>
      <c r="O394" s="3" t="inlineStr">
        <is>
          <t>CCAA: ranking por c_f·sign(dY) del panel FE (M8); asociacion, sin lectura causal; el factor comun es un resumen de comovimiento (pendiente ~1 mecanica, J23)</t>
        </is>
      </c>
      <c r="P394" s="3" t="inlineStr">
        <is>
          <t>output/v8/F5/regional_ranking.csv</t>
        </is>
      </c>
    </row>
    <row r="395">
      <c r="A395" s="3" t="inlineStr">
        <is>
          <t>alquiler</t>
        </is>
      </c>
      <c r="B395" s="3" t="inlineStr">
        <is>
          <t>ccaa:13</t>
        </is>
      </c>
      <c r="C395" s="3" t="inlineStr">
        <is>
          <t>P3</t>
        </is>
      </c>
      <c r="D395" s="3" t="inlineStr">
        <is>
          <t>residuo</t>
        </is>
      </c>
      <c r="E395" s="3" t="inlineStr">
        <is>
          <t>regional_ccaa_ols</t>
        </is>
      </c>
      <c r="F395" s="3" t="inlineStr">
        <is>
          <t>ols_solo_factor</t>
        </is>
      </c>
      <c r="G395" s="3" t="n">
        <v>0.352731</v>
      </c>
      <c r="H395" s="3" t="n">
        <v>-14.4526</v>
      </c>
      <c r="I395" s="3" t="n"/>
      <c r="J395" s="3" t="n"/>
      <c r="K395" s="3" t="n">
        <v>-2.10323</v>
      </c>
      <c r="L395" s="3" t="n"/>
      <c r="M395" s="3" t="inlineStr">
        <is>
          <t>no</t>
        </is>
      </c>
      <c r="N395" s="3" t="inlineStr">
        <is>
          <t>no designado (contraste C4: no hay svar_hd regional)</t>
        </is>
      </c>
      <c r="O395" s="3" t="inlineStr">
        <is>
          <t>CCAA: ranking por c_f·sign(dY) del panel FE (M8); asociacion, sin lectura causal; el factor comun es un resumen de comovimiento (pendiente ~1 mecanica, J23)</t>
        </is>
      </c>
      <c r="P395" s="3" t="inlineStr">
        <is>
          <t>output/v8/F5/regional_ranking.csv</t>
        </is>
      </c>
    </row>
    <row r="396">
      <c r="A396" s="3" t="inlineStr">
        <is>
          <t>alquiler</t>
        </is>
      </c>
      <c r="B396" s="3" t="inlineStr">
        <is>
          <t>ccaa:13</t>
        </is>
      </c>
      <c r="C396" s="3" t="inlineStr">
        <is>
          <t>P3</t>
        </is>
      </c>
      <c r="D396" s="3" t="inlineStr">
        <is>
          <t>factor_comun</t>
        </is>
      </c>
      <c r="E396" s="3" t="inlineStr">
        <is>
          <t>regional_panel</t>
        </is>
      </c>
      <c r="F396" s="3" t="inlineStr">
        <is>
          <t>panel_covariables</t>
        </is>
      </c>
      <c r="G396" s="3" t="n">
        <v>-1.89168</v>
      </c>
      <c r="H396" s="3" t="n">
        <v>89.9418</v>
      </c>
      <c r="I396" s="3" t="n">
        <v>-3.03018</v>
      </c>
      <c r="J396" s="3" t="n">
        <v>-0.7753910000000001</v>
      </c>
      <c r="K396" s="3" t="n">
        <v>-2.10323</v>
      </c>
      <c r="L396" s="3" t="n"/>
      <c r="M396" s="3" t="inlineStr">
        <is>
          <t>no</t>
        </is>
      </c>
      <c r="N396" s="3" t="inlineStr">
        <is>
          <t>no designado (contraste C4: no hay svar_hd regional)</t>
        </is>
      </c>
      <c r="O396" s="3" t="inlineStr">
        <is>
          <t>CCAA: ranking por c_f·sign(dY) del panel FE (M8); asociacion, sin lectura causal; el factor comun es un resumen de comovimiento (pendiente ~1 mecanica, J23)</t>
        </is>
      </c>
      <c r="P396" s="3" t="inlineStr">
        <is>
          <t>output/v8/F5/regional_ranking.csv</t>
        </is>
      </c>
    </row>
    <row r="397">
      <c r="A397" s="3" t="inlineStr">
        <is>
          <t>alquiler</t>
        </is>
      </c>
      <c r="B397" s="3" t="inlineStr">
        <is>
          <t>ccaa:13</t>
        </is>
      </c>
      <c r="C397" s="3" t="inlineStr">
        <is>
          <t>P3</t>
        </is>
      </c>
      <c r="D397" s="3" t="inlineStr">
        <is>
          <t>empleo_renta</t>
        </is>
      </c>
      <c r="E397" s="3" t="inlineStr">
        <is>
          <t>regional_panel</t>
        </is>
      </c>
      <c r="F397" s="3" t="inlineStr">
        <is>
          <t>panel_covariables</t>
        </is>
      </c>
      <c r="G397" s="3" t="n">
        <v>0.253666</v>
      </c>
      <c r="H397" s="3" t="n">
        <v>-12.0608</v>
      </c>
      <c r="I397" s="3" t="n">
        <v>0.0661673</v>
      </c>
      <c r="J397" s="3" t="n">
        <v>0.398748</v>
      </c>
      <c r="K397" s="3" t="n">
        <v>-2.10323</v>
      </c>
      <c r="L397" s="3" t="n">
        <v>3</v>
      </c>
      <c r="M397" s="3" t="inlineStr">
        <is>
          <t>si</t>
        </is>
      </c>
      <c r="N397" s="3" t="inlineStr">
        <is>
          <t>no designado (contraste C4: no hay svar_hd regional)</t>
        </is>
      </c>
      <c r="O397" s="3" t="inlineStr">
        <is>
          <t>CCAA: ranking por c_f·sign(dY) del panel FE (M8); asociacion, sin lectura causal; el factor comun es un resumen de comovimiento (pendiente ~1 mecanica, J23)</t>
        </is>
      </c>
      <c r="P397" s="3" t="inlineStr">
        <is>
          <t>output/v8/F5/regional_ranking.csv</t>
        </is>
      </c>
    </row>
    <row r="398">
      <c r="A398" s="3" t="inlineStr">
        <is>
          <t>alquiler</t>
        </is>
      </c>
      <c r="B398" s="3" t="inlineStr">
        <is>
          <t>ccaa:13</t>
        </is>
      </c>
      <c r="C398" s="3" t="inlineStr">
        <is>
          <t>P3</t>
        </is>
      </c>
      <c r="D398" s="3" t="inlineStr">
        <is>
          <t>demografia</t>
        </is>
      </c>
      <c r="E398" s="3" t="inlineStr">
        <is>
          <t>regional_panel</t>
        </is>
      </c>
      <c r="F398" s="3" t="inlineStr">
        <is>
          <t>panel_covariables</t>
        </is>
      </c>
      <c r="G398" s="3" t="n">
        <v>3.02484</v>
      </c>
      <c r="H398" s="3" t="n">
        <v>-143.819</v>
      </c>
      <c r="I398" s="3" t="n">
        <v>2.45627</v>
      </c>
      <c r="J398" s="3" t="n">
        <v>3.66888</v>
      </c>
      <c r="K398" s="3" t="n">
        <v>-2.10323</v>
      </c>
      <c r="L398" s="3" t="n">
        <v>4</v>
      </c>
      <c r="M398" s="3" t="inlineStr">
        <is>
          <t>si</t>
        </is>
      </c>
      <c r="N398" s="3" t="inlineStr">
        <is>
          <t>no designado (contraste C4: no hay svar_hd regional)</t>
        </is>
      </c>
      <c r="O398" s="3" t="inlineStr">
        <is>
          <t>CCAA: ranking por c_f·sign(dY) del panel FE (M8); asociacion, sin lectura causal; el factor comun es un resumen de comovimiento (pendiente ~1 mecanica, J23)</t>
        </is>
      </c>
      <c r="P398" s="3" t="inlineStr">
        <is>
          <t>output/v8/F5/regional_ranking.csv</t>
        </is>
      </c>
    </row>
    <row r="399">
      <c r="A399" s="3" t="inlineStr">
        <is>
          <t>alquiler</t>
        </is>
      </c>
      <c r="B399" s="3" t="inlineStr">
        <is>
          <t>ccaa:13</t>
        </is>
      </c>
      <c r="C399" s="3" t="inlineStr">
        <is>
          <t>P3</t>
        </is>
      </c>
      <c r="D399" s="3" t="inlineStr">
        <is>
          <t>oferta</t>
        </is>
      </c>
      <c r="E399" s="3" t="inlineStr">
        <is>
          <t>regional_panel</t>
        </is>
      </c>
      <c r="F399" s="3" t="inlineStr">
        <is>
          <t>panel_covariables</t>
        </is>
      </c>
      <c r="G399" s="3" t="n">
        <v>0.0699442</v>
      </c>
      <c r="H399" s="3" t="n">
        <v>-3.32556</v>
      </c>
      <c r="I399" s="3" t="n">
        <v>-0.0392429</v>
      </c>
      <c r="J399" s="3" t="n">
        <v>0.150843</v>
      </c>
      <c r="K399" s="3" t="n">
        <v>-2.10323</v>
      </c>
      <c r="L399" s="3" t="n">
        <v>1</v>
      </c>
      <c r="M399" s="3" t="inlineStr">
        <is>
          <t>si</t>
        </is>
      </c>
      <c r="N399" s="3" t="inlineStr">
        <is>
          <t>no designado (contraste C4: no hay svar_hd regional)</t>
        </is>
      </c>
      <c r="O399" s="3" t="inlineStr">
        <is>
          <t>CCAA: ranking por c_f·sign(dY) del panel FE (M8); asociacion, sin lectura causal; el factor comun es un resumen de comovimiento (pendiente ~1 mecanica, J23)</t>
        </is>
      </c>
      <c r="P399" s="3" t="inlineStr">
        <is>
          <t>output/v8/F5/regional_ranking.csv</t>
        </is>
      </c>
    </row>
    <row r="400">
      <c r="A400" s="3" t="inlineStr">
        <is>
          <t>alquiler</t>
        </is>
      </c>
      <c r="B400" s="3" t="inlineStr">
        <is>
          <t>ccaa:13</t>
        </is>
      </c>
      <c r="C400" s="3" t="inlineStr">
        <is>
          <t>P3</t>
        </is>
      </c>
      <c r="D400" s="3" t="inlineStr">
        <is>
          <t>demanda_externa</t>
        </is>
      </c>
      <c r="E400" s="3" t="inlineStr">
        <is>
          <t>regional_panel</t>
        </is>
      </c>
      <c r="F400" s="3" t="inlineStr">
        <is>
          <t>panel_covariables</t>
        </is>
      </c>
      <c r="G400" s="3" t="n">
        <v>0.110205</v>
      </c>
      <c r="H400" s="3" t="n">
        <v>-5.23978</v>
      </c>
      <c r="I400" s="3" t="n">
        <v>0.0124739</v>
      </c>
      <c r="J400" s="3" t="n">
        <v>0.20983</v>
      </c>
      <c r="K400" s="3" t="n">
        <v>-2.10323</v>
      </c>
      <c r="L400" s="3" t="n">
        <v>2</v>
      </c>
      <c r="M400" s="3" t="inlineStr">
        <is>
          <t>si</t>
        </is>
      </c>
      <c r="N400" s="3" t="inlineStr">
        <is>
          <t>no designado (contraste C4: no hay svar_hd regional)</t>
        </is>
      </c>
      <c r="O400" s="3" t="inlineStr">
        <is>
          <t>CCAA: ranking por c_f·sign(dY) del panel FE (M8); asociacion, sin lectura causal; el factor comun es un resumen de comovimiento (pendiente ~1 mecanica, J23)</t>
        </is>
      </c>
      <c r="P400" s="3" t="inlineStr">
        <is>
          <t>output/v8/F5/regional_ranking.csv</t>
        </is>
      </c>
    </row>
    <row r="401">
      <c r="A401" s="3" t="inlineStr">
        <is>
          <t>alquiler</t>
        </is>
      </c>
      <c r="B401" s="3" t="inlineStr">
        <is>
          <t>ccaa:13</t>
        </is>
      </c>
      <c r="C401" s="3" t="inlineStr">
        <is>
          <t>P3</t>
        </is>
      </c>
      <c r="D401" s="3" t="inlineStr">
        <is>
          <t>residuo</t>
        </is>
      </c>
      <c r="E401" s="3" t="inlineStr">
        <is>
          <t>regional_panel</t>
        </is>
      </c>
      <c r="F401" s="3" t="inlineStr">
        <is>
          <t>panel_covariables</t>
        </is>
      </c>
      <c r="G401" s="3" t="n">
        <v>-3.67021</v>
      </c>
      <c r="H401" s="3" t="n">
        <v>174.503</v>
      </c>
      <c r="I401" s="3" t="n">
        <v>-5.02894</v>
      </c>
      <c r="J401" s="3" t="n">
        <v>-2.46668</v>
      </c>
      <c r="K401" s="3" t="n">
        <v>-2.10323</v>
      </c>
      <c r="L401" s="3" t="n"/>
      <c r="M401" s="3" t="inlineStr">
        <is>
          <t>no</t>
        </is>
      </c>
      <c r="N401" s="3" t="inlineStr">
        <is>
          <t>no designado (contraste C4: no hay svar_hd regional)</t>
        </is>
      </c>
      <c r="O401" s="3" t="inlineStr">
        <is>
          <t>CCAA: ranking por c_f·sign(dY) del panel FE (M8); asociacion, sin lectura causal; el factor comun es un resumen de comovimiento (pendiente ~1 mecanica, J23)</t>
        </is>
      </c>
      <c r="P401" s="3" t="inlineStr">
        <is>
          <t>output/v8/F5/regional_ranking.csv</t>
        </is>
      </c>
    </row>
    <row r="402">
      <c r="A402" s="3" t="inlineStr">
        <is>
          <t>alquiler</t>
        </is>
      </c>
      <c r="B402" s="3" t="inlineStr">
        <is>
          <t>ccaa:13</t>
        </is>
      </c>
      <c r="C402" s="3" t="inlineStr">
        <is>
          <t>P4</t>
        </is>
      </c>
      <c r="D402" s="3" t="inlineStr">
        <is>
          <t>factor_comun</t>
        </is>
      </c>
      <c r="E402" s="3" t="inlineStr">
        <is>
          <t>regional_ccaa_ols</t>
        </is>
      </c>
      <c r="F402" s="3" t="inlineStr">
        <is>
          <t>ols_solo_factor</t>
        </is>
      </c>
      <c r="G402" s="3" t="n">
        <v>-5.20614</v>
      </c>
      <c r="H402" s="3" t="n">
        <v>99.9585</v>
      </c>
      <c r="I402" s="3" t="n">
        <v>-8.687749999999999</v>
      </c>
      <c r="J402" s="3" t="n">
        <v>-1.64757</v>
      </c>
      <c r="K402" s="3" t="n">
        <v>-5.20831</v>
      </c>
      <c r="L402" s="3" t="n"/>
      <c r="M402" s="3" t="inlineStr">
        <is>
          <t>no</t>
        </is>
      </c>
      <c r="N402" s="3" t="inlineStr">
        <is>
          <t>no designado (contraste C4: no hay svar_hd regional)</t>
        </is>
      </c>
      <c r="O402" s="3" t="inlineStr">
        <is>
          <t>CCAA: ranking por c_f·sign(dY) del panel FE (M8); asociacion, sin lectura causal; el factor comun es un resumen de comovimiento (pendiente ~1 mecanica, J23)</t>
        </is>
      </c>
      <c r="P402" s="3" t="inlineStr">
        <is>
          <t>output/v8/F5/regional_ranking.csv</t>
        </is>
      </c>
    </row>
    <row r="403">
      <c r="A403" s="3" t="inlineStr">
        <is>
          <t>alquiler</t>
        </is>
      </c>
      <c r="B403" s="3" t="inlineStr">
        <is>
          <t>ccaa:13</t>
        </is>
      </c>
      <c r="C403" s="3" t="inlineStr">
        <is>
          <t>P4</t>
        </is>
      </c>
      <c r="D403" s="3" t="inlineStr">
        <is>
          <t>residuo</t>
        </is>
      </c>
      <c r="E403" s="3" t="inlineStr">
        <is>
          <t>regional_ccaa_ols</t>
        </is>
      </c>
      <c r="F403" s="3" t="inlineStr">
        <is>
          <t>ols_solo_factor</t>
        </is>
      </c>
      <c r="G403" s="3" t="n">
        <v>-0.00216051</v>
      </c>
      <c r="H403" s="3" t="n">
        <v>0.0414821</v>
      </c>
      <c r="I403" s="3" t="n"/>
      <c r="J403" s="3" t="n"/>
      <c r="K403" s="3" t="n">
        <v>-5.20831</v>
      </c>
      <c r="L403" s="3" t="n"/>
      <c r="M403" s="3" t="inlineStr">
        <is>
          <t>no</t>
        </is>
      </c>
      <c r="N403" s="3" t="inlineStr">
        <is>
          <t>no designado (contraste C4: no hay svar_hd regional)</t>
        </is>
      </c>
      <c r="O403" s="3" t="inlineStr">
        <is>
          <t>CCAA: ranking por c_f·sign(dY) del panel FE (M8); asociacion, sin lectura causal; el factor comun es un resumen de comovimiento (pendiente ~1 mecanica, J23)</t>
        </is>
      </c>
      <c r="P403" s="3" t="inlineStr">
        <is>
          <t>output/v8/F5/regional_ranking.csv</t>
        </is>
      </c>
    </row>
    <row r="404">
      <c r="A404" s="3" t="inlineStr">
        <is>
          <t>alquiler</t>
        </is>
      </c>
      <c r="B404" s="3" t="inlineStr">
        <is>
          <t>ccaa:13</t>
        </is>
      </c>
      <c r="C404" s="3" t="inlineStr">
        <is>
          <t>P4</t>
        </is>
      </c>
      <c r="D404" s="3" t="inlineStr">
        <is>
          <t>factor_comun</t>
        </is>
      </c>
      <c r="E404" s="3" t="inlineStr">
        <is>
          <t>regional_panel</t>
        </is>
      </c>
      <c r="F404" s="3" t="inlineStr">
        <is>
          <t>panel_covariables</t>
        </is>
      </c>
      <c r="G404" s="3" t="n">
        <v>-4.82785</v>
      </c>
      <c r="H404" s="3" t="n">
        <v>92.6952</v>
      </c>
      <c r="I404" s="3" t="n">
        <v>-8.01083</v>
      </c>
      <c r="J404" s="3" t="n">
        <v>-1.73403</v>
      </c>
      <c r="K404" s="3" t="n">
        <v>-5.20831</v>
      </c>
      <c r="L404" s="3" t="n"/>
      <c r="M404" s="3" t="inlineStr">
        <is>
          <t>no</t>
        </is>
      </c>
      <c r="N404" s="3" t="inlineStr">
        <is>
          <t>no designado (contraste C4: no hay svar_hd regional)</t>
        </is>
      </c>
      <c r="O404" s="3" t="inlineStr">
        <is>
          <t>CCAA: ranking por c_f·sign(dY) del panel FE (M8); asociacion, sin lectura causal; el factor comun es un resumen de comovimiento (pendiente ~1 mecanica, J23)</t>
        </is>
      </c>
      <c r="P404" s="3" t="inlineStr">
        <is>
          <t>output/v8/F5/regional_ranking.csv</t>
        </is>
      </c>
    </row>
    <row r="405">
      <c r="A405" s="3" t="inlineStr">
        <is>
          <t>alquiler</t>
        </is>
      </c>
      <c r="B405" s="3" t="inlineStr">
        <is>
          <t>ccaa:13</t>
        </is>
      </c>
      <c r="C405" s="3" t="inlineStr">
        <is>
          <t>P4</t>
        </is>
      </c>
      <c r="D405" s="3" t="inlineStr">
        <is>
          <t>empleo_renta</t>
        </is>
      </c>
      <c r="E405" s="3" t="inlineStr">
        <is>
          <t>regional_panel</t>
        </is>
      </c>
      <c r="F405" s="3" t="inlineStr">
        <is>
          <t>panel_covariables</t>
        </is>
      </c>
      <c r="G405" s="3" t="n">
        <v>0.0129234</v>
      </c>
      <c r="H405" s="3" t="n">
        <v>-0.24813</v>
      </c>
      <c r="I405" s="3" t="n">
        <v>-0.08902409999999999</v>
      </c>
      <c r="J405" s="3" t="n">
        <v>0.0563729</v>
      </c>
      <c r="K405" s="3" t="n">
        <v>-5.20831</v>
      </c>
      <c r="L405" s="3" t="n">
        <v>3</v>
      </c>
      <c r="M405" s="3" t="inlineStr">
        <is>
          <t>si</t>
        </is>
      </c>
      <c r="N405" s="3" t="inlineStr">
        <is>
          <t>no designado (contraste C4: no hay svar_hd regional)</t>
        </is>
      </c>
      <c r="O405" s="3" t="inlineStr">
        <is>
          <t>CCAA: ranking por c_f·sign(dY) del panel FE (M8); asociacion, sin lectura causal; el factor comun es un resumen de comovimiento (pendiente ~1 mecanica, J23)</t>
        </is>
      </c>
      <c r="P405" s="3" t="inlineStr">
        <is>
          <t>output/v8/F5/regional_ranking.csv</t>
        </is>
      </c>
    </row>
    <row r="406">
      <c r="A406" s="3" t="inlineStr">
        <is>
          <t>alquiler</t>
        </is>
      </c>
      <c r="B406" s="3" t="inlineStr">
        <is>
          <t>ccaa:13</t>
        </is>
      </c>
      <c r="C406" s="3" t="inlineStr">
        <is>
          <t>P4</t>
        </is>
      </c>
      <c r="D406" s="3" t="inlineStr">
        <is>
          <t>demografia</t>
        </is>
      </c>
      <c r="E406" s="3" t="inlineStr">
        <is>
          <t>regional_panel</t>
        </is>
      </c>
      <c r="F406" s="3" t="inlineStr">
        <is>
          <t>panel_covariables</t>
        </is>
      </c>
      <c r="G406" s="3" t="n">
        <v>0.282114</v>
      </c>
      <c r="H406" s="3" t="n">
        <v>-5.41662</v>
      </c>
      <c r="I406" s="3" t="n">
        <v>0.214663</v>
      </c>
      <c r="J406" s="3" t="n">
        <v>0.398156</v>
      </c>
      <c r="K406" s="3" t="n">
        <v>-5.20831</v>
      </c>
      <c r="L406" s="3" t="n">
        <v>4</v>
      </c>
      <c r="M406" s="3" t="inlineStr">
        <is>
          <t>si</t>
        </is>
      </c>
      <c r="N406" s="3" t="inlineStr">
        <is>
          <t>no designado (contraste C4: no hay svar_hd regional)</t>
        </is>
      </c>
      <c r="O406" s="3" t="inlineStr">
        <is>
          <t>CCAA: ranking por c_f·sign(dY) del panel FE (M8); asociacion, sin lectura causal; el factor comun es un resumen de comovimiento (pendiente ~1 mecanica, J23)</t>
        </is>
      </c>
      <c r="P406" s="3" t="inlineStr">
        <is>
          <t>output/v8/F5/regional_ranking.csv</t>
        </is>
      </c>
    </row>
    <row r="407">
      <c r="A407" s="3" t="inlineStr">
        <is>
          <t>alquiler</t>
        </is>
      </c>
      <c r="B407" s="3" t="inlineStr">
        <is>
          <t>ccaa:13</t>
        </is>
      </c>
      <c r="C407" s="3" t="inlineStr">
        <is>
          <t>P4</t>
        </is>
      </c>
      <c r="D407" s="3" t="inlineStr">
        <is>
          <t>oferta</t>
        </is>
      </c>
      <c r="E407" s="3" t="inlineStr">
        <is>
          <t>regional_panel</t>
        </is>
      </c>
      <c r="F407" s="3" t="inlineStr">
        <is>
          <t>panel_covariables</t>
        </is>
      </c>
      <c r="G407" s="3" t="n">
        <v>0.000600337</v>
      </c>
      <c r="H407" s="3" t="n">
        <v>-0.0115265</v>
      </c>
      <c r="I407" s="3" t="n">
        <v>-0.0143183</v>
      </c>
      <c r="J407" s="3" t="n">
        <v>0.0193418</v>
      </c>
      <c r="K407" s="3" t="n">
        <v>-5.20831</v>
      </c>
      <c r="L407" s="3" t="n">
        <v>1</v>
      </c>
      <c r="M407" s="3" t="inlineStr">
        <is>
          <t>si</t>
        </is>
      </c>
      <c r="N407" s="3" t="inlineStr">
        <is>
          <t>no designado (contraste C4: no hay svar_hd regional)</t>
        </is>
      </c>
      <c r="O407" s="3" t="inlineStr">
        <is>
          <t>CCAA: ranking por c_f·sign(dY) del panel FE (M8); asociacion, sin lectura causal; el factor comun es un resumen de comovimiento (pendiente ~1 mecanica, J23)</t>
        </is>
      </c>
      <c r="P407" s="3" t="inlineStr">
        <is>
          <t>output/v8/F5/regional_ranking.csv</t>
        </is>
      </c>
    </row>
    <row r="408">
      <c r="A408" s="3" t="inlineStr">
        <is>
          <t>alquiler</t>
        </is>
      </c>
      <c r="B408" s="3" t="inlineStr">
        <is>
          <t>ccaa:13</t>
        </is>
      </c>
      <c r="C408" s="3" t="inlineStr">
        <is>
          <t>P4</t>
        </is>
      </c>
      <c r="D408" s="3" t="inlineStr">
        <is>
          <t>demanda_externa</t>
        </is>
      </c>
      <c r="E408" s="3" t="inlineStr">
        <is>
          <t>regional_panel</t>
        </is>
      </c>
      <c r="F408" s="3" t="inlineStr">
        <is>
          <t>panel_covariables</t>
        </is>
      </c>
      <c r="G408" s="3" t="n">
        <v>0.00342106</v>
      </c>
      <c r="H408" s="3" t="n">
        <v>-0.0656846</v>
      </c>
      <c r="I408" s="3" t="n">
        <v>-0.0526572</v>
      </c>
      <c r="J408" s="3" t="n">
        <v>0.0122713</v>
      </c>
      <c r="K408" s="3" t="n">
        <v>-5.20831</v>
      </c>
      <c r="L408" s="3" t="n">
        <v>2</v>
      </c>
      <c r="M408" s="3" t="inlineStr">
        <is>
          <t>si</t>
        </is>
      </c>
      <c r="N408" s="3" t="inlineStr">
        <is>
          <t>no designado (contraste C4: no hay svar_hd regional)</t>
        </is>
      </c>
      <c r="O408" s="3" t="inlineStr">
        <is>
          <t>CCAA: ranking por c_f·sign(dY) del panel FE (M8); asociacion, sin lectura causal; el factor comun es un resumen de comovimiento (pendiente ~1 mecanica, J23)</t>
        </is>
      </c>
      <c r="P408" s="3" t="inlineStr">
        <is>
          <t>output/v8/F5/regional_ranking.csv</t>
        </is>
      </c>
    </row>
    <row r="409">
      <c r="A409" s="3" t="inlineStr">
        <is>
          <t>alquiler</t>
        </is>
      </c>
      <c r="B409" s="3" t="inlineStr">
        <is>
          <t>ccaa:13</t>
        </is>
      </c>
      <c r="C409" s="3" t="inlineStr">
        <is>
          <t>P4</t>
        </is>
      </c>
      <c r="D409" s="3" t="inlineStr">
        <is>
          <t>residuo</t>
        </is>
      </c>
      <c r="E409" s="3" t="inlineStr">
        <is>
          <t>regional_panel</t>
        </is>
      </c>
      <c r="F409" s="3" t="inlineStr">
        <is>
          <t>panel_covariables</t>
        </is>
      </c>
      <c r="G409" s="3" t="n">
        <v>-0.679517</v>
      </c>
      <c r="H409" s="3" t="n">
        <v>13.0468</v>
      </c>
      <c r="I409" s="3" t="n">
        <v>-1.26013</v>
      </c>
      <c r="J409" s="3" t="n">
        <v>-0.125096</v>
      </c>
      <c r="K409" s="3" t="n">
        <v>-5.20831</v>
      </c>
      <c r="L409" s="3" t="n"/>
      <c r="M409" s="3" t="inlineStr">
        <is>
          <t>no</t>
        </is>
      </c>
      <c r="N409" s="3" t="inlineStr">
        <is>
          <t>no designado (contraste C4: no hay svar_hd regional)</t>
        </is>
      </c>
      <c r="O409" s="3" t="inlineStr">
        <is>
          <t>CCAA: ranking por c_f·sign(dY) del panel FE (M8); asociacion, sin lectura causal; el factor comun es un resumen de comovimiento (pendiente ~1 mecanica, J23)</t>
        </is>
      </c>
      <c r="P409" s="3" t="inlineStr">
        <is>
          <t>output/v8/F5/regional_ranking.csv</t>
        </is>
      </c>
    </row>
    <row r="410">
      <c r="A410" s="3" t="inlineStr">
        <is>
          <t>alquiler</t>
        </is>
      </c>
      <c r="B410" s="3" t="inlineStr">
        <is>
          <t>ccaa:13</t>
        </is>
      </c>
      <c r="C410" s="3" t="inlineStr">
        <is>
          <t>P5</t>
        </is>
      </c>
      <c r="D410" s="3" t="inlineStr">
        <is>
          <t>factor_comun</t>
        </is>
      </c>
      <c r="E410" s="3" t="inlineStr">
        <is>
          <t>regional_ccaa_ols</t>
        </is>
      </c>
      <c r="F410" s="3" t="inlineStr">
        <is>
          <t>ols_solo_factor</t>
        </is>
      </c>
      <c r="G410" s="3" t="n">
        <v>-6.25781</v>
      </c>
      <c r="H410" s="3" t="n">
        <v>148.78</v>
      </c>
      <c r="I410" s="3" t="n">
        <v>-8.66911</v>
      </c>
      <c r="J410" s="3" t="n">
        <v>-3.95204</v>
      </c>
      <c r="K410" s="3" t="n">
        <v>-4.43383</v>
      </c>
      <c r="L410" s="3" t="n"/>
      <c r="M410" s="3" t="inlineStr">
        <is>
          <t>no</t>
        </is>
      </c>
      <c r="N410" s="3" t="inlineStr">
        <is>
          <t>no designado (contraste C4: no hay svar_hd regional)</t>
        </is>
      </c>
      <c r="O410" s="3" t="inlineStr">
        <is>
          <t>CCAA: ranking por c_f·sign(dY) del panel FE (M8); asociacion, sin lectura causal; el factor comun es un resumen de comovimiento (pendiente ~1 mecanica, J23)</t>
        </is>
      </c>
      <c r="P410" s="3" t="inlineStr">
        <is>
          <t>output/v8/F5/regional_ranking.csv</t>
        </is>
      </c>
    </row>
    <row r="411">
      <c r="A411" s="3" t="inlineStr">
        <is>
          <t>alquiler</t>
        </is>
      </c>
      <c r="B411" s="3" t="inlineStr">
        <is>
          <t>ccaa:13</t>
        </is>
      </c>
      <c r="C411" s="3" t="inlineStr">
        <is>
          <t>P5</t>
        </is>
      </c>
      <c r="D411" s="3" t="inlineStr">
        <is>
          <t>residuo</t>
        </is>
      </c>
      <c r="E411" s="3" t="inlineStr">
        <is>
          <t>regional_ccaa_ols</t>
        </is>
      </c>
      <c r="F411" s="3" t="inlineStr">
        <is>
          <t>ols_solo_factor</t>
        </is>
      </c>
      <c r="G411" s="3" t="n">
        <v>2.05173</v>
      </c>
      <c r="H411" s="3" t="n">
        <v>-48.78</v>
      </c>
      <c r="I411" s="3" t="n"/>
      <c r="J411" s="3" t="n"/>
      <c r="K411" s="3" t="n">
        <v>-4.43383</v>
      </c>
      <c r="L411" s="3" t="n"/>
      <c r="M411" s="3" t="inlineStr">
        <is>
          <t>no</t>
        </is>
      </c>
      <c r="N411" s="3" t="inlineStr">
        <is>
          <t>no designado (contraste C4: no hay svar_hd regional)</t>
        </is>
      </c>
      <c r="O411" s="3" t="inlineStr">
        <is>
          <t>CCAA: ranking por c_f·sign(dY) del panel FE (M8); asociacion, sin lectura causal; el factor comun es un resumen de comovimiento (pendiente ~1 mecanica, J23)</t>
        </is>
      </c>
      <c r="P411" s="3" t="inlineStr">
        <is>
          <t>output/v8/F5/regional_ranking.csv</t>
        </is>
      </c>
    </row>
    <row r="412">
      <c r="A412" s="3" t="inlineStr">
        <is>
          <t>alquiler</t>
        </is>
      </c>
      <c r="B412" s="3" t="inlineStr">
        <is>
          <t>ccaa:13</t>
        </is>
      </c>
      <c r="C412" s="3" t="inlineStr">
        <is>
          <t>P5</t>
        </is>
      </c>
      <c r="D412" s="3" t="inlineStr">
        <is>
          <t>factor_comun</t>
        </is>
      </c>
      <c r="E412" s="3" t="inlineStr">
        <is>
          <t>regional_panel</t>
        </is>
      </c>
      <c r="F412" s="3" t="inlineStr">
        <is>
          <t>panel_covariables</t>
        </is>
      </c>
      <c r="G412" s="3" t="n">
        <v>-5.47353</v>
      </c>
      <c r="H412" s="3" t="n">
        <v>123.449</v>
      </c>
      <c r="I412" s="3" t="n">
        <v>-7.50057</v>
      </c>
      <c r="J412" s="3" t="n">
        <v>-3.0519</v>
      </c>
      <c r="K412" s="3" t="n">
        <v>-4.43383</v>
      </c>
      <c r="L412" s="3" t="n"/>
      <c r="M412" s="3" t="inlineStr">
        <is>
          <t>no</t>
        </is>
      </c>
      <c r="N412" s="3" t="inlineStr">
        <is>
          <t>no designado (contraste C4: no hay svar_hd regional)</t>
        </is>
      </c>
      <c r="O412" s="3" t="inlineStr">
        <is>
          <t>CCAA: ranking por c_f·sign(dY) del panel FE (M8); asociacion, sin lectura causal; el factor comun es un resumen de comovimiento (pendiente ~1 mecanica, J23)</t>
        </is>
      </c>
      <c r="P412" s="3" t="inlineStr">
        <is>
          <t>output/v8/F5/regional_ranking.csv</t>
        </is>
      </c>
    </row>
    <row r="413">
      <c r="A413" s="3" t="inlineStr">
        <is>
          <t>alquiler</t>
        </is>
      </c>
      <c r="B413" s="3" t="inlineStr">
        <is>
          <t>ccaa:13</t>
        </is>
      </c>
      <c r="C413" s="3" t="inlineStr">
        <is>
          <t>P5</t>
        </is>
      </c>
      <c r="D413" s="3" t="inlineStr">
        <is>
          <t>empleo_renta</t>
        </is>
      </c>
      <c r="E413" s="3" t="inlineStr">
        <is>
          <t>regional_panel</t>
        </is>
      </c>
      <c r="F413" s="3" t="inlineStr">
        <is>
          <t>panel_covariables</t>
        </is>
      </c>
      <c r="G413" s="3" t="n">
        <v>-0.165782</v>
      </c>
      <c r="H413" s="3" t="n">
        <v>3.73903</v>
      </c>
      <c r="I413" s="3" t="n">
        <v>-0.250554</v>
      </c>
      <c r="J413" s="3" t="n">
        <v>-0.0939509</v>
      </c>
      <c r="K413" s="3" t="n">
        <v>-4.43383</v>
      </c>
      <c r="L413" s="3" t="n">
        <v>1</v>
      </c>
      <c r="M413" s="3" t="inlineStr">
        <is>
          <t>si</t>
        </is>
      </c>
      <c r="N413" s="3" t="inlineStr">
        <is>
          <t>no designado (contraste C4: no hay svar_hd regional)</t>
        </is>
      </c>
      <c r="O413" s="3" t="inlineStr">
        <is>
          <t>CCAA: ranking por c_f·sign(dY) del panel FE (M8); asociacion, sin lectura causal; el factor comun es un resumen de comovimiento (pendiente ~1 mecanica, J23)</t>
        </is>
      </c>
      <c r="P413" s="3" t="inlineStr">
        <is>
          <t>output/v8/F5/regional_ranking.csv</t>
        </is>
      </c>
    </row>
    <row r="414">
      <c r="A414" s="3" t="inlineStr">
        <is>
          <t>alquiler</t>
        </is>
      </c>
      <c r="B414" s="3" t="inlineStr">
        <is>
          <t>ccaa:13</t>
        </is>
      </c>
      <c r="C414" s="3" t="inlineStr">
        <is>
          <t>P5</t>
        </is>
      </c>
      <c r="D414" s="3" t="inlineStr">
        <is>
          <t>demografia</t>
        </is>
      </c>
      <c r="E414" s="3" t="inlineStr">
        <is>
          <t>regional_panel</t>
        </is>
      </c>
      <c r="F414" s="3" t="inlineStr">
        <is>
          <t>panel_covariables</t>
        </is>
      </c>
      <c r="G414" s="3" t="n">
        <v>0.657922</v>
      </c>
      <c r="H414" s="3" t="n">
        <v>-14.8387</v>
      </c>
      <c r="I414" s="3" t="n">
        <v>-0.022285</v>
      </c>
      <c r="J414" s="3" t="n">
        <v>1.71975</v>
      </c>
      <c r="K414" s="3" t="n">
        <v>-4.43383</v>
      </c>
      <c r="L414" s="3" t="n">
        <v>4</v>
      </c>
      <c r="M414" s="3" t="inlineStr">
        <is>
          <t>si</t>
        </is>
      </c>
      <c r="N414" s="3" t="inlineStr">
        <is>
          <t>no designado (contraste C4: no hay svar_hd regional)</t>
        </is>
      </c>
      <c r="O414" s="3" t="inlineStr">
        <is>
          <t>CCAA: ranking por c_f·sign(dY) del panel FE (M8); asociacion, sin lectura causal; el factor comun es un resumen de comovimiento (pendiente ~1 mecanica, J23)</t>
        </is>
      </c>
      <c r="P414" s="3" t="inlineStr">
        <is>
          <t>output/v8/F5/regional_ranking.csv</t>
        </is>
      </c>
    </row>
    <row r="415">
      <c r="A415" s="3" t="inlineStr">
        <is>
          <t>alquiler</t>
        </is>
      </c>
      <c r="B415" s="3" t="inlineStr">
        <is>
          <t>ccaa:13</t>
        </is>
      </c>
      <c r="C415" s="3" t="inlineStr">
        <is>
          <t>P5</t>
        </is>
      </c>
      <c r="D415" s="3" t="inlineStr">
        <is>
          <t>oferta</t>
        </is>
      </c>
      <c r="E415" s="3" t="inlineStr">
        <is>
          <t>regional_panel</t>
        </is>
      </c>
      <c r="F415" s="3" t="inlineStr">
        <is>
          <t>panel_covariables</t>
        </is>
      </c>
      <c r="G415" s="3" t="n">
        <v>0.00306993</v>
      </c>
      <c r="H415" s="3" t="n">
        <v>-0.06923890000000001</v>
      </c>
      <c r="I415" s="3" t="n">
        <v>-0.0117161</v>
      </c>
      <c r="J415" s="3" t="n">
        <v>0.009799530000000001</v>
      </c>
      <c r="K415" s="3" t="n">
        <v>-4.43383</v>
      </c>
      <c r="L415" s="3" t="n">
        <v>2</v>
      </c>
      <c r="M415" s="3" t="inlineStr">
        <is>
          <t>si</t>
        </is>
      </c>
      <c r="N415" s="3" t="inlineStr">
        <is>
          <t>no designado (contraste C4: no hay svar_hd regional)</t>
        </is>
      </c>
      <c r="O415" s="3" t="inlineStr">
        <is>
          <t>CCAA: ranking por c_f·sign(dY) del panel FE (M8); asociacion, sin lectura causal; el factor comun es un resumen de comovimiento (pendiente ~1 mecanica, J23)</t>
        </is>
      </c>
      <c r="P415" s="3" t="inlineStr">
        <is>
          <t>output/v8/F5/regional_ranking.csv</t>
        </is>
      </c>
    </row>
    <row r="416">
      <c r="A416" s="3" t="inlineStr">
        <is>
          <t>alquiler</t>
        </is>
      </c>
      <c r="B416" s="3" t="inlineStr">
        <is>
          <t>ccaa:13</t>
        </is>
      </c>
      <c r="C416" s="3" t="inlineStr">
        <is>
          <t>P5</t>
        </is>
      </c>
      <c r="D416" s="3" t="inlineStr">
        <is>
          <t>demanda_externa</t>
        </is>
      </c>
      <c r="E416" s="3" t="inlineStr">
        <is>
          <t>regional_panel</t>
        </is>
      </c>
      <c r="F416" s="3" t="inlineStr">
        <is>
          <t>panel_covariables</t>
        </is>
      </c>
      <c r="G416" s="3" t="n">
        <v>0.0285967</v>
      </c>
      <c r="H416" s="3" t="n">
        <v>-0.644967</v>
      </c>
      <c r="I416" s="3" t="n">
        <v>-0.00713876</v>
      </c>
      <c r="J416" s="3" t="n">
        <v>0.0979039</v>
      </c>
      <c r="K416" s="3" t="n">
        <v>-4.43383</v>
      </c>
      <c r="L416" s="3" t="n">
        <v>3</v>
      </c>
      <c r="M416" s="3" t="inlineStr">
        <is>
          <t>si</t>
        </is>
      </c>
      <c r="N416" s="3" t="inlineStr">
        <is>
          <t>no designado (contraste C4: no hay svar_hd regional)</t>
        </is>
      </c>
      <c r="O416" s="3" t="inlineStr">
        <is>
          <t>CCAA: ranking por c_f·sign(dY) del panel FE (M8); asociacion, sin lectura causal; el factor comun es un resumen de comovimiento (pendiente ~1 mecanica, J23)</t>
        </is>
      </c>
      <c r="P416" s="3" t="inlineStr">
        <is>
          <t>output/v8/F5/regional_ranking.csv</t>
        </is>
      </c>
    </row>
    <row r="417">
      <c r="A417" s="3" t="inlineStr">
        <is>
          <t>alquiler</t>
        </is>
      </c>
      <c r="B417" s="3" t="inlineStr">
        <is>
          <t>ccaa:13</t>
        </is>
      </c>
      <c r="C417" s="3" t="inlineStr">
        <is>
          <t>P5</t>
        </is>
      </c>
      <c r="D417" s="3" t="inlineStr">
        <is>
          <t>residuo</t>
        </is>
      </c>
      <c r="E417" s="3" t="inlineStr">
        <is>
          <t>regional_panel</t>
        </is>
      </c>
      <c r="F417" s="3" t="inlineStr">
        <is>
          <t>panel_covariables</t>
        </is>
      </c>
      <c r="G417" s="3" t="n">
        <v>0.515894</v>
      </c>
      <c r="H417" s="3" t="n">
        <v>-11.6354</v>
      </c>
      <c r="I417" s="3" t="n">
        <v>-1.00774</v>
      </c>
      <c r="J417" s="3" t="n">
        <v>1.50007</v>
      </c>
      <c r="K417" s="3" t="n">
        <v>-4.43383</v>
      </c>
      <c r="L417" s="3" t="n"/>
      <c r="M417" s="3" t="inlineStr">
        <is>
          <t>no</t>
        </is>
      </c>
      <c r="N417" s="3" t="inlineStr">
        <is>
          <t>no designado (contraste C4: no hay svar_hd regional)</t>
        </is>
      </c>
      <c r="O417" s="3" t="inlineStr">
        <is>
          <t>CCAA: ranking por c_f·sign(dY) del panel FE (M8); asociacion, sin lectura causal; el factor comun es un resumen de comovimiento (pendiente ~1 mecanica, J23)</t>
        </is>
      </c>
      <c r="P417" s="3" t="inlineStr">
        <is>
          <t>output/v8/F5/regional_ranking.csv</t>
        </is>
      </c>
    </row>
    <row r="418">
      <c r="A418" s="3" t="inlineStr">
        <is>
          <t>alquiler</t>
        </is>
      </c>
      <c r="B418" s="3" t="inlineStr">
        <is>
          <t>ccaa:14</t>
        </is>
      </c>
      <c r="C418" s="3" t="inlineStr">
        <is>
          <t>P2</t>
        </is>
      </c>
      <c r="D418" s="3" t="inlineStr">
        <is>
          <t>factor_comun</t>
        </is>
      </c>
      <c r="E418" s="3" t="inlineStr">
        <is>
          <t>regional_ccaa_ols</t>
        </is>
      </c>
      <c r="F418" s="3" t="inlineStr">
        <is>
          <t>ols_solo_factor</t>
        </is>
      </c>
      <c r="G418" s="3" t="n">
        <v>-3.64143</v>
      </c>
      <c r="H418" s="3" t="n">
        <v>45.242</v>
      </c>
      <c r="I418" s="3" t="n">
        <v>-9.535270000000001</v>
      </c>
      <c r="J418" s="3" t="n">
        <v>0.637056</v>
      </c>
      <c r="K418" s="3" t="n">
        <v>-8.44985</v>
      </c>
      <c r="L418" s="3" t="n"/>
      <c r="M418" s="3" t="inlineStr">
        <is>
          <t>no</t>
        </is>
      </c>
      <c r="N418" s="3" t="inlineStr">
        <is>
          <t>no designado (contraste C4: no hay svar_hd regional)</t>
        </is>
      </c>
      <c r="O418" s="3" t="inlineStr">
        <is>
          <t>CCAA: ranking por c_f·sign(dY) del panel FE (M8); asociacion, sin lectura causal; el factor comun es un resumen de comovimiento (pendiente ~1 mecanica, J23)</t>
        </is>
      </c>
      <c r="P418" s="3" t="inlineStr">
        <is>
          <t>output/v8/F5/regional_ranking.csv</t>
        </is>
      </c>
    </row>
    <row r="419">
      <c r="A419" s="3" t="inlineStr">
        <is>
          <t>alquiler</t>
        </is>
      </c>
      <c r="B419" s="3" t="inlineStr">
        <is>
          <t>ccaa:14</t>
        </is>
      </c>
      <c r="C419" s="3" t="inlineStr">
        <is>
          <t>P2</t>
        </is>
      </c>
      <c r="D419" s="3" t="inlineStr">
        <is>
          <t>residuo</t>
        </is>
      </c>
      <c r="E419" s="3" t="inlineStr">
        <is>
          <t>regional_ccaa_ols</t>
        </is>
      </c>
      <c r="F419" s="3" t="inlineStr">
        <is>
          <t>ols_solo_factor</t>
        </is>
      </c>
      <c r="G419" s="3" t="n">
        <v>-4.40735</v>
      </c>
      <c r="H419" s="3" t="n">
        <v>54.758</v>
      </c>
      <c r="I419" s="3" t="n"/>
      <c r="J419" s="3" t="n"/>
      <c r="K419" s="3" t="n">
        <v>-8.44985</v>
      </c>
      <c r="L419" s="3" t="n"/>
      <c r="M419" s="3" t="inlineStr">
        <is>
          <t>no</t>
        </is>
      </c>
      <c r="N419" s="3" t="inlineStr">
        <is>
          <t>no designado (contraste C4: no hay svar_hd regional)</t>
        </is>
      </c>
      <c r="O419" s="3" t="inlineStr">
        <is>
          <t>CCAA: ranking por c_f·sign(dY) del panel FE (M8); asociacion, sin lectura causal; el factor comun es un resumen de comovimiento (pendiente ~1 mecanica, J23)</t>
        </is>
      </c>
      <c r="P419" s="3" t="inlineStr">
        <is>
          <t>output/v8/F5/regional_ranking.csv</t>
        </is>
      </c>
    </row>
    <row r="420">
      <c r="A420" s="3" t="inlineStr">
        <is>
          <t>alquiler</t>
        </is>
      </c>
      <c r="B420" s="3" t="inlineStr">
        <is>
          <t>ccaa:14</t>
        </is>
      </c>
      <c r="C420" s="3" t="inlineStr">
        <is>
          <t>P2</t>
        </is>
      </c>
      <c r="D420" s="3" t="inlineStr">
        <is>
          <t>factor_comun</t>
        </is>
      </c>
      <c r="E420" s="3" t="inlineStr">
        <is>
          <t>regional_panel</t>
        </is>
      </c>
      <c r="F420" s="3" t="inlineStr">
        <is>
          <t>panel_covariables</t>
        </is>
      </c>
      <c r="G420" s="3" t="n">
        <v>-3.50963</v>
      </c>
      <c r="H420" s="3" t="n">
        <v>41.5348</v>
      </c>
      <c r="I420" s="3" t="n">
        <v>-7.73728</v>
      </c>
      <c r="J420" s="3" t="n">
        <v>0.660335</v>
      </c>
      <c r="K420" s="3" t="n">
        <v>-8.44985</v>
      </c>
      <c r="L420" s="3" t="n"/>
      <c r="M420" s="3" t="inlineStr">
        <is>
          <t>no</t>
        </is>
      </c>
      <c r="N420" s="3" t="inlineStr">
        <is>
          <t>no designado (contraste C4: no hay svar_hd regional)</t>
        </is>
      </c>
      <c r="O420" s="3" t="inlineStr">
        <is>
          <t>CCAA: ranking por c_f·sign(dY) del panel FE (M8); asociacion, sin lectura causal; el factor comun es un resumen de comovimiento (pendiente ~1 mecanica, J23)</t>
        </is>
      </c>
      <c r="P420" s="3" t="inlineStr">
        <is>
          <t>output/v8/F5/regional_ranking.csv</t>
        </is>
      </c>
    </row>
    <row r="421">
      <c r="A421" s="3" t="inlineStr">
        <is>
          <t>alquiler</t>
        </is>
      </c>
      <c r="B421" s="3" t="inlineStr">
        <is>
          <t>ccaa:14</t>
        </is>
      </c>
      <c r="C421" s="3" t="inlineStr">
        <is>
          <t>P2</t>
        </is>
      </c>
      <c r="D421" s="3" t="inlineStr">
        <is>
          <t>empleo_renta</t>
        </is>
      </c>
      <c r="E421" s="3" t="inlineStr">
        <is>
          <t>regional_panel</t>
        </is>
      </c>
      <c r="F421" s="3" t="inlineStr">
        <is>
          <t>panel_covariables</t>
        </is>
      </c>
      <c r="G421" s="3" t="n">
        <v>0.0591005</v>
      </c>
      <c r="H421" s="3" t="n">
        <v>-0.699427</v>
      </c>
      <c r="I421" s="3" t="n">
        <v>-0.318798</v>
      </c>
      <c r="J421" s="3" t="n">
        <v>0.569565</v>
      </c>
      <c r="K421" s="3" t="n">
        <v>-8.44985</v>
      </c>
      <c r="L421" s="3" t="n">
        <v>2</v>
      </c>
      <c r="M421" s="3" t="inlineStr">
        <is>
          <t>si</t>
        </is>
      </c>
      <c r="N421" s="3" t="inlineStr">
        <is>
          <t>no designado (contraste C4: no hay svar_hd regional)</t>
        </is>
      </c>
      <c r="O421" s="3" t="inlineStr">
        <is>
          <t>CCAA: ranking por c_f·sign(dY) del panel FE (M8); asociacion, sin lectura causal; el factor comun es un resumen de comovimiento (pendiente ~1 mecanica, J23)</t>
        </is>
      </c>
      <c r="P421" s="3" t="inlineStr">
        <is>
          <t>output/v8/F5/regional_ranking.csv</t>
        </is>
      </c>
    </row>
    <row r="422">
      <c r="A422" s="3" t="inlineStr">
        <is>
          <t>alquiler</t>
        </is>
      </c>
      <c r="B422" s="3" t="inlineStr">
        <is>
          <t>ccaa:14</t>
        </is>
      </c>
      <c r="C422" s="3" t="inlineStr">
        <is>
          <t>P2</t>
        </is>
      </c>
      <c r="D422" s="3" t="inlineStr">
        <is>
          <t>demografia</t>
        </is>
      </c>
      <c r="E422" s="3" t="inlineStr">
        <is>
          <t>regional_panel</t>
        </is>
      </c>
      <c r="F422" s="3" t="inlineStr">
        <is>
          <t>panel_covariables</t>
        </is>
      </c>
      <c r="G422" s="3" t="n">
        <v>1.29767</v>
      </c>
      <c r="H422" s="3" t="n">
        <v>-15.3573</v>
      </c>
      <c r="I422" s="3" t="n">
        <v>1.04259</v>
      </c>
      <c r="J422" s="3" t="n">
        <v>1.94802</v>
      </c>
      <c r="K422" s="3" t="n">
        <v>-8.44985</v>
      </c>
      <c r="L422" s="3" t="n">
        <v>4</v>
      </c>
      <c r="M422" s="3" t="inlineStr">
        <is>
          <t>si</t>
        </is>
      </c>
      <c r="N422" s="3" t="inlineStr">
        <is>
          <t>no designado (contraste C4: no hay svar_hd regional)</t>
        </is>
      </c>
      <c r="O422" s="3" t="inlineStr">
        <is>
          <t>CCAA: ranking por c_f·sign(dY) del panel FE (M8); asociacion, sin lectura causal; el factor comun es un resumen de comovimiento (pendiente ~1 mecanica, J23)</t>
        </is>
      </c>
      <c r="P422" s="3" t="inlineStr">
        <is>
          <t>output/v8/F5/regional_ranking.csv</t>
        </is>
      </c>
    </row>
    <row r="423">
      <c r="A423" s="3" t="inlineStr">
        <is>
          <t>alquiler</t>
        </is>
      </c>
      <c r="B423" s="3" t="inlineStr">
        <is>
          <t>ccaa:14</t>
        </is>
      </c>
      <c r="C423" s="3" t="inlineStr">
        <is>
          <t>P2</t>
        </is>
      </c>
      <c r="D423" s="3" t="inlineStr">
        <is>
          <t>oferta</t>
        </is>
      </c>
      <c r="E423" s="3" t="inlineStr">
        <is>
          <t>regional_panel</t>
        </is>
      </c>
      <c r="F423" s="3" t="inlineStr">
        <is>
          <t>panel_covariables</t>
        </is>
      </c>
      <c r="G423" s="3" t="n">
        <v>0.423765</v>
      </c>
      <c r="H423" s="3" t="n">
        <v>-5.01505</v>
      </c>
      <c r="I423" s="3" t="n">
        <v>0.0511536</v>
      </c>
      <c r="J423" s="3" t="n">
        <v>0.793766</v>
      </c>
      <c r="K423" s="3" t="n">
        <v>-8.44985</v>
      </c>
      <c r="L423" s="3" t="n">
        <v>3</v>
      </c>
      <c r="M423" s="3" t="inlineStr">
        <is>
          <t>si</t>
        </is>
      </c>
      <c r="N423" s="3" t="inlineStr">
        <is>
          <t>no designado (contraste C4: no hay svar_hd regional)</t>
        </is>
      </c>
      <c r="O423" s="3" t="inlineStr">
        <is>
          <t>CCAA: ranking por c_f·sign(dY) del panel FE (M8); asociacion, sin lectura causal; el factor comun es un resumen de comovimiento (pendiente ~1 mecanica, J23)</t>
        </is>
      </c>
      <c r="P423" s="3" t="inlineStr">
        <is>
          <t>output/v8/F5/regional_ranking.csv</t>
        </is>
      </c>
    </row>
    <row r="424">
      <c r="A424" s="3" t="inlineStr">
        <is>
          <t>alquiler</t>
        </is>
      </c>
      <c r="B424" s="3" t="inlineStr">
        <is>
          <t>ccaa:14</t>
        </is>
      </c>
      <c r="C424" s="3" t="inlineStr">
        <is>
          <t>P2</t>
        </is>
      </c>
      <c r="D424" s="3" t="inlineStr">
        <is>
          <t>demanda_externa</t>
        </is>
      </c>
      <c r="E424" s="3" t="inlineStr">
        <is>
          <t>regional_panel</t>
        </is>
      </c>
      <c r="F424" s="3" t="inlineStr">
        <is>
          <t>panel_covariables</t>
        </is>
      </c>
      <c r="G424" s="3" t="n">
        <v>-0.0226279</v>
      </c>
      <c r="H424" s="3" t="n">
        <v>0.26779</v>
      </c>
      <c r="I424" s="3" t="n">
        <v>-0.104585</v>
      </c>
      <c r="J424" s="3" t="n">
        <v>0.00650184</v>
      </c>
      <c r="K424" s="3" t="n">
        <v>-8.44985</v>
      </c>
      <c r="L424" s="3" t="n">
        <v>1</v>
      </c>
      <c r="M424" s="3" t="inlineStr">
        <is>
          <t>si</t>
        </is>
      </c>
      <c r="N424" s="3" t="inlineStr">
        <is>
          <t>no designado (contraste C4: no hay svar_hd regional)</t>
        </is>
      </c>
      <c r="O424" s="3" t="inlineStr">
        <is>
          <t>CCAA: ranking por c_f·sign(dY) del panel FE (M8); asociacion, sin lectura causal; el factor comun es un resumen de comovimiento (pendiente ~1 mecanica, J23)</t>
        </is>
      </c>
      <c r="P424" s="3" t="inlineStr">
        <is>
          <t>output/v8/F5/regional_ranking.csv</t>
        </is>
      </c>
    </row>
    <row r="425">
      <c r="A425" s="3" t="inlineStr">
        <is>
          <t>alquiler</t>
        </is>
      </c>
      <c r="B425" s="3" t="inlineStr">
        <is>
          <t>ccaa:14</t>
        </is>
      </c>
      <c r="C425" s="3" t="inlineStr">
        <is>
          <t>P2</t>
        </is>
      </c>
      <c r="D425" s="3" t="inlineStr">
        <is>
          <t>residuo</t>
        </is>
      </c>
      <c r="E425" s="3" t="inlineStr">
        <is>
          <t>regional_panel</t>
        </is>
      </c>
      <c r="F425" s="3" t="inlineStr">
        <is>
          <t>panel_covariables</t>
        </is>
      </c>
      <c r="G425" s="3" t="n">
        <v>-6.69814</v>
      </c>
      <c r="H425" s="3" t="n">
        <v>79.2693</v>
      </c>
      <c r="I425" s="3" t="n">
        <v>-8.36435</v>
      </c>
      <c r="J425" s="3" t="n">
        <v>-5.39894</v>
      </c>
      <c r="K425" s="3" t="n">
        <v>-8.44985</v>
      </c>
      <c r="L425" s="3" t="n"/>
      <c r="M425" s="3" t="inlineStr">
        <is>
          <t>no</t>
        </is>
      </c>
      <c r="N425" s="3" t="inlineStr">
        <is>
          <t>no designado (contraste C4: no hay svar_hd regional)</t>
        </is>
      </c>
      <c r="O425" s="3" t="inlineStr">
        <is>
          <t>CCAA: ranking por c_f·sign(dY) del panel FE (M8); asociacion, sin lectura causal; el factor comun es un resumen de comovimiento (pendiente ~1 mecanica, J23)</t>
        </is>
      </c>
      <c r="P425" s="3" t="inlineStr">
        <is>
          <t>output/v8/F5/regional_ranking.csv</t>
        </is>
      </c>
    </row>
    <row r="426">
      <c r="A426" s="3" t="inlineStr">
        <is>
          <t>alquiler</t>
        </is>
      </c>
      <c r="B426" s="3" t="inlineStr">
        <is>
          <t>ccaa:14</t>
        </is>
      </c>
      <c r="C426" s="3" t="inlineStr">
        <is>
          <t>P3</t>
        </is>
      </c>
      <c r="D426" s="3" t="inlineStr">
        <is>
          <t>factor_comun</t>
        </is>
      </c>
      <c r="E426" s="3" t="inlineStr">
        <is>
          <t>regional_ccaa_ols</t>
        </is>
      </c>
      <c r="F426" s="3" t="inlineStr">
        <is>
          <t>ols_solo_factor</t>
        </is>
      </c>
      <c r="G426" s="3" t="n">
        <v>-2.08451</v>
      </c>
      <c r="H426" s="3" t="n">
        <v>49.2916</v>
      </c>
      <c r="I426" s="3" t="n">
        <v>-3.15498</v>
      </c>
      <c r="J426" s="3" t="n">
        <v>-0.897518</v>
      </c>
      <c r="K426" s="3" t="n">
        <v>-3.89809</v>
      </c>
      <c r="L426" s="3" t="n"/>
      <c r="M426" s="3" t="inlineStr">
        <is>
          <t>no</t>
        </is>
      </c>
      <c r="N426" s="3" t="inlineStr">
        <is>
          <t>no designado (contraste C4: no hay svar_hd regional)</t>
        </is>
      </c>
      <c r="O426" s="3" t="inlineStr">
        <is>
          <t>CCAA: ranking por c_f·sign(dY) del panel FE (M8); asociacion, sin lectura causal; el factor comun es un resumen de comovimiento (pendiente ~1 mecanica, J23)</t>
        </is>
      </c>
      <c r="P426" s="3" t="inlineStr">
        <is>
          <t>output/v8/F5/regional_ranking.csv</t>
        </is>
      </c>
    </row>
    <row r="427">
      <c r="A427" s="3" t="inlineStr">
        <is>
          <t>alquiler</t>
        </is>
      </c>
      <c r="B427" s="3" t="inlineStr">
        <is>
          <t>ccaa:14</t>
        </is>
      </c>
      <c r="C427" s="3" t="inlineStr">
        <is>
          <t>P3</t>
        </is>
      </c>
      <c r="D427" s="3" t="inlineStr">
        <is>
          <t>residuo</t>
        </is>
      </c>
      <c r="E427" s="3" t="inlineStr">
        <is>
          <t>regional_ccaa_ols</t>
        </is>
      </c>
      <c r="F427" s="3" t="inlineStr">
        <is>
          <t>ols_solo_factor</t>
        </is>
      </c>
      <c r="G427" s="3" t="n">
        <v>-2.14442</v>
      </c>
      <c r="H427" s="3" t="n">
        <v>50.7084</v>
      </c>
      <c r="I427" s="3" t="n"/>
      <c r="J427" s="3" t="n"/>
      <c r="K427" s="3" t="n">
        <v>-3.89809</v>
      </c>
      <c r="L427" s="3" t="n"/>
      <c r="M427" s="3" t="inlineStr">
        <is>
          <t>no</t>
        </is>
      </c>
      <c r="N427" s="3" t="inlineStr">
        <is>
          <t>no designado (contraste C4: no hay svar_hd regional)</t>
        </is>
      </c>
      <c r="O427" s="3" t="inlineStr">
        <is>
          <t>CCAA: ranking por c_f·sign(dY) del panel FE (M8); asociacion, sin lectura causal; el factor comun es un resumen de comovimiento (pendiente ~1 mecanica, J23)</t>
        </is>
      </c>
      <c r="P427" s="3" t="inlineStr">
        <is>
          <t>output/v8/F5/regional_ranking.csv</t>
        </is>
      </c>
    </row>
    <row r="428">
      <c r="A428" s="3" t="inlineStr">
        <is>
          <t>alquiler</t>
        </is>
      </c>
      <c r="B428" s="3" t="inlineStr">
        <is>
          <t>ccaa:14</t>
        </is>
      </c>
      <c r="C428" s="3" t="inlineStr">
        <is>
          <t>P3</t>
        </is>
      </c>
      <c r="D428" s="3" t="inlineStr">
        <is>
          <t>factor_comun</t>
        </is>
      </c>
      <c r="E428" s="3" t="inlineStr">
        <is>
          <t>regional_panel</t>
        </is>
      </c>
      <c r="F428" s="3" t="inlineStr">
        <is>
          <t>panel_covariables</t>
        </is>
      </c>
      <c r="G428" s="3" t="n">
        <v>-1.89168</v>
      </c>
      <c r="H428" s="3" t="n">
        <v>48.5284</v>
      </c>
      <c r="I428" s="3" t="n">
        <v>-3.03018</v>
      </c>
      <c r="J428" s="3" t="n">
        <v>-0.7753910000000001</v>
      </c>
      <c r="K428" s="3" t="n">
        <v>-3.89809</v>
      </c>
      <c r="L428" s="3" t="n"/>
      <c r="M428" s="3" t="inlineStr">
        <is>
          <t>no</t>
        </is>
      </c>
      <c r="N428" s="3" t="inlineStr">
        <is>
          <t>no designado (contraste C4: no hay svar_hd regional)</t>
        </is>
      </c>
      <c r="O428" s="3" t="inlineStr">
        <is>
          <t>CCAA: ranking por c_f·sign(dY) del panel FE (M8); asociacion, sin lectura causal; el factor comun es un resumen de comovimiento (pendiente ~1 mecanica, J23)</t>
        </is>
      </c>
      <c r="P428" s="3" t="inlineStr">
        <is>
          <t>output/v8/F5/regional_ranking.csv</t>
        </is>
      </c>
    </row>
    <row r="429">
      <c r="A429" s="3" t="inlineStr">
        <is>
          <t>alquiler</t>
        </is>
      </c>
      <c r="B429" s="3" t="inlineStr">
        <is>
          <t>ccaa:14</t>
        </is>
      </c>
      <c r="C429" s="3" t="inlineStr">
        <is>
          <t>P3</t>
        </is>
      </c>
      <c r="D429" s="3" t="inlineStr">
        <is>
          <t>empleo_renta</t>
        </is>
      </c>
      <c r="E429" s="3" t="inlineStr">
        <is>
          <t>regional_panel</t>
        </is>
      </c>
      <c r="F429" s="3" t="inlineStr">
        <is>
          <t>panel_covariables</t>
        </is>
      </c>
      <c r="G429" s="3" t="n">
        <v>0.250636</v>
      </c>
      <c r="H429" s="3" t="n">
        <v>-6.42972</v>
      </c>
      <c r="I429" s="3" t="n">
        <v>-0.067315</v>
      </c>
      <c r="J429" s="3" t="n">
        <v>0.436459</v>
      </c>
      <c r="K429" s="3" t="n">
        <v>-3.89809</v>
      </c>
      <c r="L429" s="3" t="n">
        <v>3</v>
      </c>
      <c r="M429" s="3" t="inlineStr">
        <is>
          <t>si</t>
        </is>
      </c>
      <c r="N429" s="3" t="inlineStr">
        <is>
          <t>no designado (contraste C4: no hay svar_hd regional)</t>
        </is>
      </c>
      <c r="O429" s="3" t="inlineStr">
        <is>
          <t>CCAA: ranking por c_f·sign(dY) del panel FE (M8); asociacion, sin lectura causal; el factor comun es un resumen de comovimiento (pendiente ~1 mecanica, J23)</t>
        </is>
      </c>
      <c r="P429" s="3" t="inlineStr">
        <is>
          <t>output/v8/F5/regional_ranking.csv</t>
        </is>
      </c>
    </row>
    <row r="430">
      <c r="A430" s="3" t="inlineStr">
        <is>
          <t>alquiler</t>
        </is>
      </c>
      <c r="B430" s="3" t="inlineStr">
        <is>
          <t>ccaa:14</t>
        </is>
      </c>
      <c r="C430" s="3" t="inlineStr">
        <is>
          <t>P3</t>
        </is>
      </c>
      <c r="D430" s="3" t="inlineStr">
        <is>
          <t>demografia</t>
        </is>
      </c>
      <c r="E430" s="3" t="inlineStr">
        <is>
          <t>regional_panel</t>
        </is>
      </c>
      <c r="F430" s="3" t="inlineStr">
        <is>
          <t>panel_covariables</t>
        </is>
      </c>
      <c r="G430" s="3" t="n">
        <v>2.00499</v>
      </c>
      <c r="H430" s="3" t="n">
        <v>-51.4351</v>
      </c>
      <c r="I430" s="3" t="n">
        <v>1.6398</v>
      </c>
      <c r="J430" s="3" t="n">
        <v>2.32397</v>
      </c>
      <c r="K430" s="3" t="n">
        <v>-3.89809</v>
      </c>
      <c r="L430" s="3" t="n">
        <v>4</v>
      </c>
      <c r="M430" s="3" t="inlineStr">
        <is>
          <t>si</t>
        </is>
      </c>
      <c r="N430" s="3" t="inlineStr">
        <is>
          <t>no designado (contraste C4: no hay svar_hd regional)</t>
        </is>
      </c>
      <c r="O430" s="3" t="inlineStr">
        <is>
          <t>CCAA: ranking por c_f·sign(dY) del panel FE (M8); asociacion, sin lectura causal; el factor comun es un resumen de comovimiento (pendiente ~1 mecanica, J23)</t>
        </is>
      </c>
      <c r="P430" s="3" t="inlineStr">
        <is>
          <t>output/v8/F5/regional_ranking.csv</t>
        </is>
      </c>
    </row>
    <row r="431">
      <c r="A431" s="3" t="inlineStr">
        <is>
          <t>alquiler</t>
        </is>
      </c>
      <c r="B431" s="3" t="inlineStr">
        <is>
          <t>ccaa:14</t>
        </is>
      </c>
      <c r="C431" s="3" t="inlineStr">
        <is>
          <t>P3</t>
        </is>
      </c>
      <c r="D431" s="3" t="inlineStr">
        <is>
          <t>oferta</t>
        </is>
      </c>
      <c r="E431" s="3" t="inlineStr">
        <is>
          <t>regional_panel</t>
        </is>
      </c>
      <c r="F431" s="3" t="inlineStr">
        <is>
          <t>panel_covariables</t>
        </is>
      </c>
      <c r="G431" s="3" t="n">
        <v>0.0353544</v>
      </c>
      <c r="H431" s="3" t="n">
        <v>-0.906966</v>
      </c>
      <c r="I431" s="3" t="n">
        <v>-0.00145336</v>
      </c>
      <c r="J431" s="3" t="n">
        <v>0.130689</v>
      </c>
      <c r="K431" s="3" t="n">
        <v>-3.89809</v>
      </c>
      <c r="L431" s="3" t="n">
        <v>1</v>
      </c>
      <c r="M431" s="3" t="inlineStr">
        <is>
          <t>si</t>
        </is>
      </c>
      <c r="N431" s="3" t="inlineStr">
        <is>
          <t>no designado (contraste C4: no hay svar_hd regional)</t>
        </is>
      </c>
      <c r="O431" s="3" t="inlineStr">
        <is>
          <t>CCAA: ranking por c_f·sign(dY) del panel FE (M8); asociacion, sin lectura causal; el factor comun es un resumen de comovimiento (pendiente ~1 mecanica, J23)</t>
        </is>
      </c>
      <c r="P431" s="3" t="inlineStr">
        <is>
          <t>output/v8/F5/regional_ranking.csv</t>
        </is>
      </c>
    </row>
    <row r="432">
      <c r="A432" s="3" t="inlineStr">
        <is>
          <t>alquiler</t>
        </is>
      </c>
      <c r="B432" s="3" t="inlineStr">
        <is>
          <t>ccaa:14</t>
        </is>
      </c>
      <c r="C432" s="3" t="inlineStr">
        <is>
          <t>P3</t>
        </is>
      </c>
      <c r="D432" s="3" t="inlineStr">
        <is>
          <t>demanda_externa</t>
        </is>
      </c>
      <c r="E432" s="3" t="inlineStr">
        <is>
          <t>regional_panel</t>
        </is>
      </c>
      <c r="F432" s="3" t="inlineStr">
        <is>
          <t>panel_covariables</t>
        </is>
      </c>
      <c r="G432" s="3" t="n">
        <v>0.143486</v>
      </c>
      <c r="H432" s="3" t="n">
        <v>-3.68093</v>
      </c>
      <c r="I432" s="3" t="n">
        <v>0.0447859</v>
      </c>
      <c r="J432" s="3" t="n">
        <v>0.270714</v>
      </c>
      <c r="K432" s="3" t="n">
        <v>-3.89809</v>
      </c>
      <c r="L432" s="3" t="n">
        <v>2</v>
      </c>
      <c r="M432" s="3" t="inlineStr">
        <is>
          <t>si</t>
        </is>
      </c>
      <c r="N432" s="3" t="inlineStr">
        <is>
          <t>no designado (contraste C4: no hay svar_hd regional)</t>
        </is>
      </c>
      <c r="O432" s="3" t="inlineStr">
        <is>
          <t>CCAA: ranking por c_f·sign(dY) del panel FE (M8); asociacion, sin lectura causal; el factor comun es un resumen de comovimiento (pendiente ~1 mecanica, J23)</t>
        </is>
      </c>
      <c r="P432" s="3" t="inlineStr">
        <is>
          <t>output/v8/F5/regional_ranking.csv</t>
        </is>
      </c>
    </row>
    <row r="433">
      <c r="A433" s="3" t="inlineStr">
        <is>
          <t>alquiler</t>
        </is>
      </c>
      <c r="B433" s="3" t="inlineStr">
        <is>
          <t>ccaa:14</t>
        </is>
      </c>
      <c r="C433" s="3" t="inlineStr">
        <is>
          <t>P3</t>
        </is>
      </c>
      <c r="D433" s="3" t="inlineStr">
        <is>
          <t>residuo</t>
        </is>
      </c>
      <c r="E433" s="3" t="inlineStr">
        <is>
          <t>regional_panel</t>
        </is>
      </c>
      <c r="F433" s="3" t="inlineStr">
        <is>
          <t>panel_covariables</t>
        </is>
      </c>
      <c r="G433" s="3" t="n">
        <v>-4.44087</v>
      </c>
      <c r="H433" s="3" t="n">
        <v>113.924</v>
      </c>
      <c r="I433" s="3" t="n">
        <v>-5.29977</v>
      </c>
      <c r="J433" s="3" t="n">
        <v>-3.4782</v>
      </c>
      <c r="K433" s="3" t="n">
        <v>-3.89809</v>
      </c>
      <c r="L433" s="3" t="n"/>
      <c r="M433" s="3" t="inlineStr">
        <is>
          <t>no</t>
        </is>
      </c>
      <c r="N433" s="3" t="inlineStr">
        <is>
          <t>no designado (contraste C4: no hay svar_hd regional)</t>
        </is>
      </c>
      <c r="O433" s="3" t="inlineStr">
        <is>
          <t>CCAA: ranking por c_f·sign(dY) del panel FE (M8); asociacion, sin lectura causal; el factor comun es un resumen de comovimiento (pendiente ~1 mecanica, J23)</t>
        </is>
      </c>
      <c r="P433" s="3" t="inlineStr">
        <is>
          <t>output/v8/F5/regional_ranking.csv</t>
        </is>
      </c>
    </row>
    <row r="434">
      <c r="A434" s="3" t="inlineStr">
        <is>
          <t>alquiler</t>
        </is>
      </c>
      <c r="B434" s="3" t="inlineStr">
        <is>
          <t>ccaa:14</t>
        </is>
      </c>
      <c r="C434" s="3" t="inlineStr">
        <is>
          <t>P4</t>
        </is>
      </c>
      <c r="D434" s="3" t="inlineStr">
        <is>
          <t>factor_comun</t>
        </is>
      </c>
      <c r="E434" s="3" t="inlineStr">
        <is>
          <t>regional_ccaa_ols</t>
        </is>
      </c>
      <c r="F434" s="3" t="inlineStr">
        <is>
          <t>ols_solo_factor</t>
        </is>
      </c>
      <c r="G434" s="3" t="n">
        <v>-5.3088</v>
      </c>
      <c r="H434" s="3" t="n">
        <v>110.207</v>
      </c>
      <c r="I434" s="3" t="n">
        <v>-9.607139999999999</v>
      </c>
      <c r="J434" s="3" t="n">
        <v>-1.41495</v>
      </c>
      <c r="K434" s="3" t="n">
        <v>-4.81711</v>
      </c>
      <c r="L434" s="3" t="n"/>
      <c r="M434" s="3" t="inlineStr">
        <is>
          <t>no</t>
        </is>
      </c>
      <c r="N434" s="3" t="inlineStr">
        <is>
          <t>no designado (contraste C4: no hay svar_hd regional)</t>
        </is>
      </c>
      <c r="O434" s="3" t="inlineStr">
        <is>
          <t>CCAA: ranking por c_f·sign(dY) del panel FE (M8); asociacion, sin lectura causal; el factor comun es un resumen de comovimiento (pendiente ~1 mecanica, J23)</t>
        </is>
      </c>
      <c r="P434" s="3" t="inlineStr">
        <is>
          <t>output/v8/F5/regional_ranking.csv</t>
        </is>
      </c>
    </row>
    <row r="435">
      <c r="A435" s="3" t="inlineStr">
        <is>
          <t>alquiler</t>
        </is>
      </c>
      <c r="B435" s="3" t="inlineStr">
        <is>
          <t>ccaa:14</t>
        </is>
      </c>
      <c r="C435" s="3" t="inlineStr">
        <is>
          <t>P4</t>
        </is>
      </c>
      <c r="D435" s="3" t="inlineStr">
        <is>
          <t>residuo</t>
        </is>
      </c>
      <c r="E435" s="3" t="inlineStr">
        <is>
          <t>regional_ccaa_ols</t>
        </is>
      </c>
      <c r="F435" s="3" t="inlineStr">
        <is>
          <t>ols_solo_factor</t>
        </is>
      </c>
      <c r="G435" s="3" t="n">
        <v>0.491691</v>
      </c>
      <c r="H435" s="3" t="n">
        <v>-10.2072</v>
      </c>
      <c r="I435" s="3" t="n"/>
      <c r="J435" s="3" t="n"/>
      <c r="K435" s="3" t="n">
        <v>-4.81711</v>
      </c>
      <c r="L435" s="3" t="n"/>
      <c r="M435" s="3" t="inlineStr">
        <is>
          <t>no</t>
        </is>
      </c>
      <c r="N435" s="3" t="inlineStr">
        <is>
          <t>no designado (contraste C4: no hay svar_hd regional)</t>
        </is>
      </c>
      <c r="O435" s="3" t="inlineStr">
        <is>
          <t>CCAA: ranking por c_f·sign(dY) del panel FE (M8); asociacion, sin lectura causal; el factor comun es un resumen de comovimiento (pendiente ~1 mecanica, J23)</t>
        </is>
      </c>
      <c r="P435" s="3" t="inlineStr">
        <is>
          <t>output/v8/F5/regional_ranking.csv</t>
        </is>
      </c>
    </row>
    <row r="436">
      <c r="A436" s="3" t="inlineStr">
        <is>
          <t>alquiler</t>
        </is>
      </c>
      <c r="B436" s="3" t="inlineStr">
        <is>
          <t>ccaa:14</t>
        </is>
      </c>
      <c r="C436" s="3" t="inlineStr">
        <is>
          <t>P4</t>
        </is>
      </c>
      <c r="D436" s="3" t="inlineStr">
        <is>
          <t>factor_comun</t>
        </is>
      </c>
      <c r="E436" s="3" t="inlineStr">
        <is>
          <t>regional_panel</t>
        </is>
      </c>
      <c r="F436" s="3" t="inlineStr">
        <is>
          <t>panel_covariables</t>
        </is>
      </c>
      <c r="G436" s="3" t="n">
        <v>-4.82785</v>
      </c>
      <c r="H436" s="3" t="n">
        <v>100.223</v>
      </c>
      <c r="I436" s="3" t="n">
        <v>-8.01083</v>
      </c>
      <c r="J436" s="3" t="n">
        <v>-1.73403</v>
      </c>
      <c r="K436" s="3" t="n">
        <v>-4.81711</v>
      </c>
      <c r="L436" s="3" t="n"/>
      <c r="M436" s="3" t="inlineStr">
        <is>
          <t>no</t>
        </is>
      </c>
      <c r="N436" s="3" t="inlineStr">
        <is>
          <t>no designado (contraste C4: no hay svar_hd regional)</t>
        </is>
      </c>
      <c r="O436" s="3" t="inlineStr">
        <is>
          <t>CCAA: ranking por c_f·sign(dY) del panel FE (M8); asociacion, sin lectura causal; el factor comun es un resumen de comovimiento (pendiente ~1 mecanica, J23)</t>
        </is>
      </c>
      <c r="P436" s="3" t="inlineStr">
        <is>
          <t>output/v8/F5/regional_ranking.csv</t>
        </is>
      </c>
    </row>
    <row r="437">
      <c r="A437" s="3" t="inlineStr">
        <is>
          <t>alquiler</t>
        </is>
      </c>
      <c r="B437" s="3" t="inlineStr">
        <is>
          <t>ccaa:14</t>
        </is>
      </c>
      <c r="C437" s="3" t="inlineStr">
        <is>
          <t>P4</t>
        </is>
      </c>
      <c r="D437" s="3" t="inlineStr">
        <is>
          <t>empleo_renta</t>
        </is>
      </c>
      <c r="E437" s="3" t="inlineStr">
        <is>
          <t>regional_panel</t>
        </is>
      </c>
      <c r="F437" s="3" t="inlineStr">
        <is>
          <t>panel_covariables</t>
        </is>
      </c>
      <c r="G437" s="3" t="n">
        <v>0.0632327</v>
      </c>
      <c r="H437" s="3" t="n">
        <v>-1.31267</v>
      </c>
      <c r="I437" s="3" t="n">
        <v>-0.00918769</v>
      </c>
      <c r="J437" s="3" t="n">
        <v>0.08642270000000001</v>
      </c>
      <c r="K437" s="3" t="n">
        <v>-4.81711</v>
      </c>
      <c r="L437" s="3" t="n">
        <v>4</v>
      </c>
      <c r="M437" s="3" t="inlineStr">
        <is>
          <t>si</t>
        </is>
      </c>
      <c r="N437" s="3" t="inlineStr">
        <is>
          <t>no designado (contraste C4: no hay svar_hd regional)</t>
        </is>
      </c>
      <c r="O437" s="3" t="inlineStr">
        <is>
          <t>CCAA: ranking por c_f·sign(dY) del panel FE (M8); asociacion, sin lectura causal; el factor comun es un resumen de comovimiento (pendiente ~1 mecanica, J23)</t>
        </is>
      </c>
      <c r="P437" s="3" t="inlineStr">
        <is>
          <t>output/v8/F5/regional_ranking.csv</t>
        </is>
      </c>
    </row>
    <row r="438">
      <c r="A438" s="3" t="inlineStr">
        <is>
          <t>alquiler</t>
        </is>
      </c>
      <c r="B438" s="3" t="inlineStr">
        <is>
          <t>ccaa:14</t>
        </is>
      </c>
      <c r="C438" s="3" t="inlineStr">
        <is>
          <t>P4</t>
        </is>
      </c>
      <c r="D438" s="3" t="inlineStr">
        <is>
          <t>demografia</t>
        </is>
      </c>
      <c r="E438" s="3" t="inlineStr">
        <is>
          <t>regional_panel</t>
        </is>
      </c>
      <c r="F438" s="3" t="inlineStr">
        <is>
          <t>panel_covariables</t>
        </is>
      </c>
      <c r="G438" s="3" t="n">
        <v>0.0405047</v>
      </c>
      <c r="H438" s="3" t="n">
        <v>-0.84085</v>
      </c>
      <c r="I438" s="3" t="n">
        <v>-0.859677</v>
      </c>
      <c r="J438" s="3" t="n">
        <v>0.427115</v>
      </c>
      <c r="K438" s="3" t="n">
        <v>-4.81711</v>
      </c>
      <c r="L438" s="3" t="n">
        <v>3</v>
      </c>
      <c r="M438" s="3" t="inlineStr">
        <is>
          <t>si</t>
        </is>
      </c>
      <c r="N438" s="3" t="inlineStr">
        <is>
          <t>no designado (contraste C4: no hay svar_hd regional)</t>
        </is>
      </c>
      <c r="O438" s="3" t="inlineStr">
        <is>
          <t>CCAA: ranking por c_f·sign(dY) del panel FE (M8); asociacion, sin lectura causal; el factor comun es un resumen de comovimiento (pendiente ~1 mecanica, J23)</t>
        </is>
      </c>
      <c r="P438" s="3" t="inlineStr">
        <is>
          <t>output/v8/F5/regional_ranking.csv</t>
        </is>
      </c>
    </row>
    <row r="439">
      <c r="A439" s="3" t="inlineStr">
        <is>
          <t>alquiler</t>
        </is>
      </c>
      <c r="B439" s="3" t="inlineStr">
        <is>
          <t>ccaa:14</t>
        </is>
      </c>
      <c r="C439" s="3" t="inlineStr">
        <is>
          <t>P4</t>
        </is>
      </c>
      <c r="D439" s="3" t="inlineStr">
        <is>
          <t>oferta</t>
        </is>
      </c>
      <c r="E439" s="3" t="inlineStr">
        <is>
          <t>regional_panel</t>
        </is>
      </c>
      <c r="F439" s="3" t="inlineStr">
        <is>
          <t>panel_covariables</t>
        </is>
      </c>
      <c r="G439" s="3" t="n">
        <v>0.00412154</v>
      </c>
      <c r="H439" s="3" t="n">
        <v>-0.08556039999999999</v>
      </c>
      <c r="I439" s="3" t="n">
        <v>-0.0138841</v>
      </c>
      <c r="J439" s="3" t="n">
        <v>0.036435</v>
      </c>
      <c r="K439" s="3" t="n">
        <v>-4.81711</v>
      </c>
      <c r="L439" s="3" t="n">
        <v>1</v>
      </c>
      <c r="M439" s="3" t="inlineStr">
        <is>
          <t>si</t>
        </is>
      </c>
      <c r="N439" s="3" t="inlineStr">
        <is>
          <t>no designado (contraste C4: no hay svar_hd regional)</t>
        </is>
      </c>
      <c r="O439" s="3" t="inlineStr">
        <is>
          <t>CCAA: ranking por c_f·sign(dY) del panel FE (M8); asociacion, sin lectura causal; el factor comun es un resumen de comovimiento (pendiente ~1 mecanica, J23)</t>
        </is>
      </c>
      <c r="P439" s="3" t="inlineStr">
        <is>
          <t>output/v8/F5/regional_ranking.csv</t>
        </is>
      </c>
    </row>
    <row r="440">
      <c r="A440" s="3" t="inlineStr">
        <is>
          <t>alquiler</t>
        </is>
      </c>
      <c r="B440" s="3" t="inlineStr">
        <is>
          <t>ccaa:14</t>
        </is>
      </c>
      <c r="C440" s="3" t="inlineStr">
        <is>
          <t>P4</t>
        </is>
      </c>
      <c r="D440" s="3" t="inlineStr">
        <is>
          <t>demanda_externa</t>
        </is>
      </c>
      <c r="E440" s="3" t="inlineStr">
        <is>
          <t>regional_panel</t>
        </is>
      </c>
      <c r="F440" s="3" t="inlineStr">
        <is>
          <t>panel_covariables</t>
        </is>
      </c>
      <c r="G440" s="3" t="n">
        <v>0.00666364</v>
      </c>
      <c r="H440" s="3" t="n">
        <v>-0.138333</v>
      </c>
      <c r="I440" s="3" t="n">
        <v>-0.0419973</v>
      </c>
      <c r="J440" s="3" t="n">
        <v>0.013157</v>
      </c>
      <c r="K440" s="3" t="n">
        <v>-4.81711</v>
      </c>
      <c r="L440" s="3" t="n">
        <v>2</v>
      </c>
      <c r="M440" s="3" t="inlineStr">
        <is>
          <t>si</t>
        </is>
      </c>
      <c r="N440" s="3" t="inlineStr">
        <is>
          <t>no designado (contraste C4: no hay svar_hd regional)</t>
        </is>
      </c>
      <c r="O440" s="3" t="inlineStr">
        <is>
          <t>CCAA: ranking por c_f·sign(dY) del panel FE (M8); asociacion, sin lectura causal; el factor comun es un resumen de comovimiento (pendiente ~1 mecanica, J23)</t>
        </is>
      </c>
      <c r="P440" s="3" t="inlineStr">
        <is>
          <t>output/v8/F5/regional_ranking.csv</t>
        </is>
      </c>
    </row>
    <row r="441">
      <c r="A441" s="3" t="inlineStr">
        <is>
          <t>alquiler</t>
        </is>
      </c>
      <c r="B441" s="3" t="inlineStr">
        <is>
          <t>ccaa:14</t>
        </is>
      </c>
      <c r="C441" s="3" t="inlineStr">
        <is>
          <t>P4</t>
        </is>
      </c>
      <c r="D441" s="3" t="inlineStr">
        <is>
          <t>residuo</t>
        </is>
      </c>
      <c r="E441" s="3" t="inlineStr">
        <is>
          <t>regional_panel</t>
        </is>
      </c>
      <c r="F441" s="3" t="inlineStr">
        <is>
          <t>panel_covariables</t>
        </is>
      </c>
      <c r="G441" s="3" t="n">
        <v>-0.103787</v>
      </c>
      <c r="H441" s="3" t="n">
        <v>2.15455</v>
      </c>
      <c r="I441" s="3" t="n">
        <v>-0.629497</v>
      </c>
      <c r="J441" s="3" t="n">
        <v>0.845788</v>
      </c>
      <c r="K441" s="3" t="n">
        <v>-4.81711</v>
      </c>
      <c r="L441" s="3" t="n"/>
      <c r="M441" s="3" t="inlineStr">
        <is>
          <t>no</t>
        </is>
      </c>
      <c r="N441" s="3" t="inlineStr">
        <is>
          <t>no designado (contraste C4: no hay svar_hd regional)</t>
        </is>
      </c>
      <c r="O441" s="3" t="inlineStr">
        <is>
          <t>CCAA: ranking por c_f·sign(dY) del panel FE (M8); asociacion, sin lectura causal; el factor comun es un resumen de comovimiento (pendiente ~1 mecanica, J23)</t>
        </is>
      </c>
      <c r="P441" s="3" t="inlineStr">
        <is>
          <t>output/v8/F5/regional_ranking.csv</t>
        </is>
      </c>
    </row>
    <row r="442">
      <c r="A442" s="3" t="inlineStr">
        <is>
          <t>alquiler</t>
        </is>
      </c>
      <c r="B442" s="3" t="inlineStr">
        <is>
          <t>ccaa:14</t>
        </is>
      </c>
      <c r="C442" s="3" t="inlineStr">
        <is>
          <t>P5</t>
        </is>
      </c>
      <c r="D442" s="3" t="inlineStr">
        <is>
          <t>factor_comun</t>
        </is>
      </c>
      <c r="E442" s="3" t="inlineStr">
        <is>
          <t>regional_ccaa_ols</t>
        </is>
      </c>
      <c r="F442" s="3" t="inlineStr">
        <is>
          <t>ols_solo_factor</t>
        </is>
      </c>
      <c r="G442" s="3" t="n">
        <v>-6.06749</v>
      </c>
      <c r="H442" s="3" t="n">
        <v>72.6571</v>
      </c>
      <c r="I442" s="3" t="n">
        <v>-8.83868</v>
      </c>
      <c r="J442" s="3" t="n">
        <v>-3.41971</v>
      </c>
      <c r="K442" s="3" t="n">
        <v>-7.39203</v>
      </c>
      <c r="L442" s="3" t="n"/>
      <c r="M442" s="3" t="inlineStr">
        <is>
          <t>no</t>
        </is>
      </c>
      <c r="N442" s="3" t="inlineStr">
        <is>
          <t>no designado (contraste C4: no hay svar_hd regional)</t>
        </is>
      </c>
      <c r="O442" s="3" t="inlineStr">
        <is>
          <t>CCAA: ranking por c_f·sign(dY) del panel FE (M8); asociacion, sin lectura causal; el factor comun es un resumen de comovimiento (pendiente ~1 mecanica, J23)</t>
        </is>
      </c>
      <c r="P442" s="3" t="inlineStr">
        <is>
          <t>output/v8/F5/regional_ranking.csv</t>
        </is>
      </c>
    </row>
    <row r="443">
      <c r="A443" s="3" t="inlineStr">
        <is>
          <t>alquiler</t>
        </is>
      </c>
      <c r="B443" s="3" t="inlineStr">
        <is>
          <t>ccaa:14</t>
        </is>
      </c>
      <c r="C443" s="3" t="inlineStr">
        <is>
          <t>P5</t>
        </is>
      </c>
      <c r="D443" s="3" t="inlineStr">
        <is>
          <t>residuo</t>
        </is>
      </c>
      <c r="E443" s="3" t="inlineStr">
        <is>
          <t>regional_ccaa_ols</t>
        </is>
      </c>
      <c r="F443" s="3" t="inlineStr">
        <is>
          <t>ols_solo_factor</t>
        </is>
      </c>
      <c r="G443" s="3" t="n">
        <v>-2.28337</v>
      </c>
      <c r="H443" s="3" t="n">
        <v>27.3429</v>
      </c>
      <c r="I443" s="3" t="n"/>
      <c r="J443" s="3" t="n"/>
      <c r="K443" s="3" t="n">
        <v>-7.39203</v>
      </c>
      <c r="L443" s="3" t="n"/>
      <c r="M443" s="3" t="inlineStr">
        <is>
          <t>no</t>
        </is>
      </c>
      <c r="N443" s="3" t="inlineStr">
        <is>
          <t>no designado (contraste C4: no hay svar_hd regional)</t>
        </is>
      </c>
      <c r="O443" s="3" t="inlineStr">
        <is>
          <t>CCAA: ranking por c_f·sign(dY) del panel FE (M8); asociacion, sin lectura causal; el factor comun es un resumen de comovimiento (pendiente ~1 mecanica, J23)</t>
        </is>
      </c>
      <c r="P443" s="3" t="inlineStr">
        <is>
          <t>output/v8/F5/regional_ranking.csv</t>
        </is>
      </c>
    </row>
    <row r="444">
      <c r="A444" s="3" t="inlineStr">
        <is>
          <t>alquiler</t>
        </is>
      </c>
      <c r="B444" s="3" t="inlineStr">
        <is>
          <t>ccaa:14</t>
        </is>
      </c>
      <c r="C444" s="3" t="inlineStr">
        <is>
          <t>P5</t>
        </is>
      </c>
      <c r="D444" s="3" t="inlineStr">
        <is>
          <t>factor_comun</t>
        </is>
      </c>
      <c r="E444" s="3" t="inlineStr">
        <is>
          <t>regional_panel</t>
        </is>
      </c>
      <c r="F444" s="3" t="inlineStr">
        <is>
          <t>panel_covariables</t>
        </is>
      </c>
      <c r="G444" s="3" t="n">
        <v>-5.47353</v>
      </c>
      <c r="H444" s="3" t="n">
        <v>74.04640000000001</v>
      </c>
      <c r="I444" s="3" t="n">
        <v>-7.50057</v>
      </c>
      <c r="J444" s="3" t="n">
        <v>-3.0519</v>
      </c>
      <c r="K444" s="3" t="n">
        <v>-7.39203</v>
      </c>
      <c r="L444" s="3" t="n"/>
      <c r="M444" s="3" t="inlineStr">
        <is>
          <t>no</t>
        </is>
      </c>
      <c r="N444" s="3" t="inlineStr">
        <is>
          <t>no designado (contraste C4: no hay svar_hd regional)</t>
        </is>
      </c>
      <c r="O444" s="3" t="inlineStr">
        <is>
          <t>CCAA: ranking por c_f·sign(dY) del panel FE (M8); asociacion, sin lectura causal; el factor comun es un resumen de comovimiento (pendiente ~1 mecanica, J23)</t>
        </is>
      </c>
      <c r="P444" s="3" t="inlineStr">
        <is>
          <t>output/v8/F5/regional_ranking.csv</t>
        </is>
      </c>
    </row>
    <row r="445">
      <c r="A445" s="3" t="inlineStr">
        <is>
          <t>alquiler</t>
        </is>
      </c>
      <c r="B445" s="3" t="inlineStr">
        <is>
          <t>ccaa:14</t>
        </is>
      </c>
      <c r="C445" s="3" t="inlineStr">
        <is>
          <t>P5</t>
        </is>
      </c>
      <c r="D445" s="3" t="inlineStr">
        <is>
          <t>empleo_renta</t>
        </is>
      </c>
      <c r="E445" s="3" t="inlineStr">
        <is>
          <t>regional_panel</t>
        </is>
      </c>
      <c r="F445" s="3" t="inlineStr">
        <is>
          <t>panel_covariables</t>
        </is>
      </c>
      <c r="G445" s="3" t="n">
        <v>-0.0967927</v>
      </c>
      <c r="H445" s="3" t="n">
        <v>1.30942</v>
      </c>
      <c r="I445" s="3" t="n">
        <v>-0.141623</v>
      </c>
      <c r="J445" s="3" t="n">
        <v>-0.0524772</v>
      </c>
      <c r="K445" s="3" t="n">
        <v>-7.39203</v>
      </c>
      <c r="L445" s="3" t="n">
        <v>1</v>
      </c>
      <c r="M445" s="3" t="inlineStr">
        <is>
          <t>si</t>
        </is>
      </c>
      <c r="N445" s="3" t="inlineStr">
        <is>
          <t>no designado (contraste C4: no hay svar_hd regional)</t>
        </is>
      </c>
      <c r="O445" s="3" t="inlineStr">
        <is>
          <t>CCAA: ranking por c_f·sign(dY) del panel FE (M8); asociacion, sin lectura causal; el factor comun es un resumen de comovimiento (pendiente ~1 mecanica, J23)</t>
        </is>
      </c>
      <c r="P445" s="3" t="inlineStr">
        <is>
          <t>output/v8/F5/regional_ranking.csv</t>
        </is>
      </c>
    </row>
    <row r="446">
      <c r="A446" s="3" t="inlineStr">
        <is>
          <t>alquiler</t>
        </is>
      </c>
      <c r="B446" s="3" t="inlineStr">
        <is>
          <t>ccaa:14</t>
        </is>
      </c>
      <c r="C446" s="3" t="inlineStr">
        <is>
          <t>P5</t>
        </is>
      </c>
      <c r="D446" s="3" t="inlineStr">
        <is>
          <t>demografia</t>
        </is>
      </c>
      <c r="E446" s="3" t="inlineStr">
        <is>
          <t>regional_panel</t>
        </is>
      </c>
      <c r="F446" s="3" t="inlineStr">
        <is>
          <t>panel_covariables</t>
        </is>
      </c>
      <c r="G446" s="3" t="n">
        <v>0.393716</v>
      </c>
      <c r="H446" s="3" t="n">
        <v>-5.32623</v>
      </c>
      <c r="I446" s="3" t="n">
        <v>-0.099414</v>
      </c>
      <c r="J446" s="3" t="n">
        <v>1.17382</v>
      </c>
      <c r="K446" s="3" t="n">
        <v>-7.39203</v>
      </c>
      <c r="L446" s="3" t="n">
        <v>4</v>
      </c>
      <c r="M446" s="3" t="inlineStr">
        <is>
          <t>si</t>
        </is>
      </c>
      <c r="N446" s="3" t="inlineStr">
        <is>
          <t>no designado (contraste C4: no hay svar_hd regional)</t>
        </is>
      </c>
      <c r="O446" s="3" t="inlineStr">
        <is>
          <t>CCAA: ranking por c_f·sign(dY) del panel FE (M8); asociacion, sin lectura causal; el factor comun es un resumen de comovimiento (pendiente ~1 mecanica, J23)</t>
        </is>
      </c>
      <c r="P446" s="3" t="inlineStr">
        <is>
          <t>output/v8/F5/regional_ranking.csv</t>
        </is>
      </c>
    </row>
    <row r="447">
      <c r="A447" s="3" t="inlineStr">
        <is>
          <t>alquiler</t>
        </is>
      </c>
      <c r="B447" s="3" t="inlineStr">
        <is>
          <t>ccaa:14</t>
        </is>
      </c>
      <c r="C447" s="3" t="inlineStr">
        <is>
          <t>P5</t>
        </is>
      </c>
      <c r="D447" s="3" t="inlineStr">
        <is>
          <t>oferta</t>
        </is>
      </c>
      <c r="E447" s="3" t="inlineStr">
        <is>
          <t>regional_panel</t>
        </is>
      </c>
      <c r="F447" s="3" t="inlineStr">
        <is>
          <t>panel_covariables</t>
        </is>
      </c>
      <c r="G447" s="3" t="n">
        <v>-0.00545356</v>
      </c>
      <c r="H447" s="3" t="n">
        <v>0.0737762</v>
      </c>
      <c r="I447" s="3" t="n">
        <v>-0.026197</v>
      </c>
      <c r="J447" s="3" t="n">
        <v>0.00556385</v>
      </c>
      <c r="K447" s="3" t="n">
        <v>-7.39203</v>
      </c>
      <c r="L447" s="3" t="n">
        <v>2</v>
      </c>
      <c r="M447" s="3" t="inlineStr">
        <is>
          <t>si</t>
        </is>
      </c>
      <c r="N447" s="3" t="inlineStr">
        <is>
          <t>no designado (contraste C4: no hay svar_hd regional)</t>
        </is>
      </c>
      <c r="O447" s="3" t="inlineStr">
        <is>
          <t>CCAA: ranking por c_f·sign(dY) del panel FE (M8); asociacion, sin lectura causal; el factor comun es un resumen de comovimiento (pendiente ~1 mecanica, J23)</t>
        </is>
      </c>
      <c r="P447" s="3" t="inlineStr">
        <is>
          <t>output/v8/F5/regional_ranking.csv</t>
        </is>
      </c>
    </row>
    <row r="448">
      <c r="A448" s="3" t="inlineStr">
        <is>
          <t>alquiler</t>
        </is>
      </c>
      <c r="B448" s="3" t="inlineStr">
        <is>
          <t>ccaa:14</t>
        </is>
      </c>
      <c r="C448" s="3" t="inlineStr">
        <is>
          <t>P5</t>
        </is>
      </c>
      <c r="D448" s="3" t="inlineStr">
        <is>
          <t>demanda_externa</t>
        </is>
      </c>
      <c r="E448" s="3" t="inlineStr">
        <is>
          <t>regional_panel</t>
        </is>
      </c>
      <c r="F448" s="3" t="inlineStr">
        <is>
          <t>panel_covariables</t>
        </is>
      </c>
      <c r="G448" s="3" t="n">
        <v>0.0204386</v>
      </c>
      <c r="H448" s="3" t="n">
        <v>-0.276496</v>
      </c>
      <c r="I448" s="3" t="n">
        <v>-0.00390684</v>
      </c>
      <c r="J448" s="3" t="n">
        <v>0.0624803</v>
      </c>
      <c r="K448" s="3" t="n">
        <v>-7.39203</v>
      </c>
      <c r="L448" s="3" t="n">
        <v>3</v>
      </c>
      <c r="M448" s="3" t="inlineStr">
        <is>
          <t>si</t>
        </is>
      </c>
      <c r="N448" s="3" t="inlineStr">
        <is>
          <t>no designado (contraste C4: no hay svar_hd regional)</t>
        </is>
      </c>
      <c r="O448" s="3" t="inlineStr">
        <is>
          <t>CCAA: ranking por c_f·sign(dY) del panel FE (M8); asociacion, sin lectura causal; el factor comun es un resumen de comovimiento (pendiente ~1 mecanica, J23)</t>
        </is>
      </c>
      <c r="P448" s="3" t="inlineStr">
        <is>
          <t>output/v8/F5/regional_ranking.csv</t>
        </is>
      </c>
    </row>
    <row r="449">
      <c r="A449" s="3" t="inlineStr">
        <is>
          <t>alquiler</t>
        </is>
      </c>
      <c r="B449" s="3" t="inlineStr">
        <is>
          <t>ccaa:14</t>
        </is>
      </c>
      <c r="C449" s="3" t="inlineStr">
        <is>
          <t>P5</t>
        </is>
      </c>
      <c r="D449" s="3" t="inlineStr">
        <is>
          <t>residuo</t>
        </is>
      </c>
      <c r="E449" s="3" t="inlineStr">
        <is>
          <t>regional_panel</t>
        </is>
      </c>
      <c r="F449" s="3" t="inlineStr">
        <is>
          <t>panel_covariables</t>
        </is>
      </c>
      <c r="G449" s="3" t="n">
        <v>-2.2304</v>
      </c>
      <c r="H449" s="3" t="n">
        <v>30.1731</v>
      </c>
      <c r="I449" s="3" t="n">
        <v>-3.47818</v>
      </c>
      <c r="J449" s="3" t="n">
        <v>-1.411</v>
      </c>
      <c r="K449" s="3" t="n">
        <v>-7.39203</v>
      </c>
      <c r="L449" s="3" t="n"/>
      <c r="M449" s="3" t="inlineStr">
        <is>
          <t>no</t>
        </is>
      </c>
      <c r="N449" s="3" t="inlineStr">
        <is>
          <t>no designado (contraste C4: no hay svar_hd regional)</t>
        </is>
      </c>
      <c r="O449" s="3" t="inlineStr">
        <is>
          <t>CCAA: ranking por c_f·sign(dY) del panel FE (M8); asociacion, sin lectura causal; el factor comun es un resumen de comovimiento (pendiente ~1 mecanica, J23)</t>
        </is>
      </c>
      <c r="P449" s="3" t="inlineStr">
        <is>
          <t>output/v8/F5/regional_ranking.csv</t>
        </is>
      </c>
    </row>
    <row r="450">
      <c r="A450" s="3" t="inlineStr">
        <is>
          <t>alquiler</t>
        </is>
      </c>
      <c r="B450" s="3" t="inlineStr">
        <is>
          <t>ccaa:15</t>
        </is>
      </c>
      <c r="C450" s="3" t="inlineStr">
        <is>
          <t>P2</t>
        </is>
      </c>
      <c r="D450" s="3" t="inlineStr">
        <is>
          <t>factor_comun</t>
        </is>
      </c>
      <c r="E450" s="3" t="inlineStr">
        <is>
          <t>regional_ccaa_ols</t>
        </is>
      </c>
      <c r="F450" s="3" t="inlineStr">
        <is>
          <t>ols_solo_factor</t>
        </is>
      </c>
      <c r="G450" s="3" t="n">
        <v>-3.07345</v>
      </c>
      <c r="H450" s="3" t="n">
        <v>27.562</v>
      </c>
      <c r="I450" s="3" t="n">
        <v>-6.9351</v>
      </c>
      <c r="J450" s="3" t="n">
        <v>0.854529</v>
      </c>
      <c r="K450" s="3" t="n">
        <v>-10.635</v>
      </c>
      <c r="L450" s="3" t="n"/>
      <c r="M450" s="3" t="inlineStr">
        <is>
          <t>no</t>
        </is>
      </c>
      <c r="N450" s="3" t="inlineStr">
        <is>
          <t>no designado (contraste C4: no hay svar_hd regional)</t>
        </is>
      </c>
      <c r="O450" s="3" t="inlineStr">
        <is>
          <t>CCAA: ranking por c_f·sign(dY) del panel FE (M8); asociacion, sin lectura causal; el factor comun es un resumen de comovimiento (pendiente ~1 mecanica, J23)</t>
        </is>
      </c>
      <c r="P450" s="3" t="inlineStr">
        <is>
          <t>output/v8/F5/regional_ranking.csv</t>
        </is>
      </c>
    </row>
    <row r="451">
      <c r="A451" s="3" t="inlineStr">
        <is>
          <t>alquiler</t>
        </is>
      </c>
      <c r="B451" s="3" t="inlineStr">
        <is>
          <t>ccaa:15</t>
        </is>
      </c>
      <c r="C451" s="3" t="inlineStr">
        <is>
          <t>P2</t>
        </is>
      </c>
      <c r="D451" s="3" t="inlineStr">
        <is>
          <t>residuo</t>
        </is>
      </c>
      <c r="E451" s="3" t="inlineStr">
        <is>
          <t>regional_ccaa_ols</t>
        </is>
      </c>
      <c r="F451" s="3" t="inlineStr">
        <is>
          <t>ols_solo_factor</t>
        </is>
      </c>
      <c r="G451" s="3" t="n">
        <v>-8.07762</v>
      </c>
      <c r="H451" s="3" t="n">
        <v>72.438</v>
      </c>
      <c r="I451" s="3" t="n"/>
      <c r="J451" s="3" t="n"/>
      <c r="K451" s="3" t="n">
        <v>-10.635</v>
      </c>
      <c r="L451" s="3" t="n"/>
      <c r="M451" s="3" t="inlineStr">
        <is>
          <t>no</t>
        </is>
      </c>
      <c r="N451" s="3" t="inlineStr">
        <is>
          <t>no designado (contraste C4: no hay svar_hd regional)</t>
        </is>
      </c>
      <c r="O451" s="3" t="inlineStr">
        <is>
          <t>CCAA: ranking por c_f·sign(dY) del panel FE (M8); asociacion, sin lectura causal; el factor comun es un resumen de comovimiento (pendiente ~1 mecanica, J23)</t>
        </is>
      </c>
      <c r="P451" s="3" t="inlineStr">
        <is>
          <t>output/v8/F5/regional_ranking.csv</t>
        </is>
      </c>
    </row>
    <row r="452">
      <c r="A452" s="3" t="inlineStr">
        <is>
          <t>alquiler</t>
        </is>
      </c>
      <c r="B452" s="3" t="inlineStr">
        <is>
          <t>ccaa:15</t>
        </is>
      </c>
      <c r="C452" s="3" t="inlineStr">
        <is>
          <t>P2</t>
        </is>
      </c>
      <c r="D452" s="3" t="inlineStr">
        <is>
          <t>factor_comun</t>
        </is>
      </c>
      <c r="E452" s="3" t="inlineStr">
        <is>
          <t>regional_panel</t>
        </is>
      </c>
      <c r="F452" s="3" t="inlineStr">
        <is>
          <t>panel_covariables</t>
        </is>
      </c>
      <c r="G452" s="3" t="n">
        <v>-3.50963</v>
      </c>
      <c r="H452" s="3" t="n">
        <v>33.0006</v>
      </c>
      <c r="I452" s="3" t="n">
        <v>-7.73728</v>
      </c>
      <c r="J452" s="3" t="n">
        <v>0.660335</v>
      </c>
      <c r="K452" s="3" t="n">
        <v>-10.635</v>
      </c>
      <c r="L452" s="3" t="n"/>
      <c r="M452" s="3" t="inlineStr">
        <is>
          <t>no</t>
        </is>
      </c>
      <c r="N452" s="3" t="inlineStr">
        <is>
          <t>no designado (contraste C4: no hay svar_hd regional)</t>
        </is>
      </c>
      <c r="O452" s="3" t="inlineStr">
        <is>
          <t>CCAA: ranking por c_f·sign(dY) del panel FE (M8); asociacion, sin lectura causal; el factor comun es un resumen de comovimiento (pendiente ~1 mecanica, J23)</t>
        </is>
      </c>
      <c r="P452" s="3" t="inlineStr">
        <is>
          <t>output/v8/F5/regional_ranking.csv</t>
        </is>
      </c>
    </row>
    <row r="453">
      <c r="A453" s="3" t="inlineStr">
        <is>
          <t>alquiler</t>
        </is>
      </c>
      <c r="B453" s="3" t="inlineStr">
        <is>
          <t>ccaa:15</t>
        </is>
      </c>
      <c r="C453" s="3" t="inlineStr">
        <is>
          <t>P2</t>
        </is>
      </c>
      <c r="D453" s="3" t="inlineStr">
        <is>
          <t>empleo_renta</t>
        </is>
      </c>
      <c r="E453" s="3" t="inlineStr">
        <is>
          <t>regional_panel</t>
        </is>
      </c>
      <c r="F453" s="3" t="inlineStr">
        <is>
          <t>panel_covariables</t>
        </is>
      </c>
      <c r="G453" s="3" t="n">
        <v>0.0462631</v>
      </c>
      <c r="H453" s="3" t="n">
        <v>-0.435007</v>
      </c>
      <c r="I453" s="3" t="n">
        <v>-0.214017</v>
      </c>
      <c r="J453" s="3" t="n">
        <v>0.394522</v>
      </c>
      <c r="K453" s="3" t="n">
        <v>-10.635</v>
      </c>
      <c r="L453" s="3" t="n">
        <v>2</v>
      </c>
      <c r="M453" s="3" t="inlineStr">
        <is>
          <t>si</t>
        </is>
      </c>
      <c r="N453" s="3" t="inlineStr">
        <is>
          <t>no designado (contraste C4: no hay svar_hd regional)</t>
        </is>
      </c>
      <c r="O453" s="3" t="inlineStr">
        <is>
          <t>CCAA: ranking por c_f·sign(dY) del panel FE (M8); asociacion, sin lectura causal; el factor comun es un resumen de comovimiento (pendiente ~1 mecanica, J23)</t>
        </is>
      </c>
      <c r="P453" s="3" t="inlineStr">
        <is>
          <t>output/v8/F5/regional_ranking.csv</t>
        </is>
      </c>
    </row>
    <row r="454">
      <c r="A454" s="3" t="inlineStr">
        <is>
          <t>alquiler</t>
        </is>
      </c>
      <c r="B454" s="3" t="inlineStr">
        <is>
          <t>ccaa:15</t>
        </is>
      </c>
      <c r="C454" s="3" t="inlineStr">
        <is>
          <t>P2</t>
        </is>
      </c>
      <c r="D454" s="3" t="inlineStr">
        <is>
          <t>demografia</t>
        </is>
      </c>
      <c r="E454" s="3" t="inlineStr">
        <is>
          <t>regional_panel</t>
        </is>
      </c>
      <c r="F454" s="3" t="inlineStr">
        <is>
          <t>panel_covariables</t>
        </is>
      </c>
      <c r="G454" s="3" t="n">
        <v>1.63864</v>
      </c>
      <c r="H454" s="3" t="n">
        <v>-15.408</v>
      </c>
      <c r="I454" s="3" t="n">
        <v>1.27598</v>
      </c>
      <c r="J454" s="3" t="n">
        <v>2.59641</v>
      </c>
      <c r="K454" s="3" t="n">
        <v>-10.635</v>
      </c>
      <c r="L454" s="3" t="n">
        <v>4</v>
      </c>
      <c r="M454" s="3" t="inlineStr">
        <is>
          <t>si</t>
        </is>
      </c>
      <c r="N454" s="3" t="inlineStr">
        <is>
          <t>no designado (contraste C4: no hay svar_hd regional)</t>
        </is>
      </c>
      <c r="O454" s="3" t="inlineStr">
        <is>
          <t>CCAA: ranking por c_f·sign(dY) del panel FE (M8); asociacion, sin lectura causal; el factor comun es un resumen de comovimiento (pendiente ~1 mecanica, J23)</t>
        </is>
      </c>
      <c r="P454" s="3" t="inlineStr">
        <is>
          <t>output/v8/F5/regional_ranking.csv</t>
        </is>
      </c>
    </row>
    <row r="455">
      <c r="A455" s="3" t="inlineStr">
        <is>
          <t>alquiler</t>
        </is>
      </c>
      <c r="B455" s="3" t="inlineStr">
        <is>
          <t>ccaa:15</t>
        </is>
      </c>
      <c r="C455" s="3" t="inlineStr">
        <is>
          <t>P2</t>
        </is>
      </c>
      <c r="D455" s="3" t="inlineStr">
        <is>
          <t>oferta</t>
        </is>
      </c>
      <c r="E455" s="3" t="inlineStr">
        <is>
          <t>regional_panel</t>
        </is>
      </c>
      <c r="F455" s="3" t="inlineStr">
        <is>
          <t>panel_covariables</t>
        </is>
      </c>
      <c r="G455" s="3" t="n">
        <v>0.247417</v>
      </c>
      <c r="H455" s="3" t="n">
        <v>-2.32643</v>
      </c>
      <c r="I455" s="3" t="n">
        <v>0.0212765</v>
      </c>
      <c r="J455" s="3" t="n">
        <v>0.569076</v>
      </c>
      <c r="K455" s="3" t="n">
        <v>-10.635</v>
      </c>
      <c r="L455" s="3" t="n">
        <v>3</v>
      </c>
      <c r="M455" s="3" t="inlineStr">
        <is>
          <t>si</t>
        </is>
      </c>
      <c r="N455" s="3" t="inlineStr">
        <is>
          <t>no designado (contraste C4: no hay svar_hd regional)</t>
        </is>
      </c>
      <c r="O455" s="3" t="inlineStr">
        <is>
          <t>CCAA: ranking por c_f·sign(dY) del panel FE (M8); asociacion, sin lectura causal; el factor comun es un resumen de comovimiento (pendiente ~1 mecanica, J23)</t>
        </is>
      </c>
      <c r="P455" s="3" t="inlineStr">
        <is>
          <t>output/v8/F5/regional_ranking.csv</t>
        </is>
      </c>
    </row>
    <row r="456">
      <c r="A456" s="3" t="inlineStr">
        <is>
          <t>alquiler</t>
        </is>
      </c>
      <c r="B456" s="3" t="inlineStr">
        <is>
          <t>ccaa:15</t>
        </is>
      </c>
      <c r="C456" s="3" t="inlineStr">
        <is>
          <t>P2</t>
        </is>
      </c>
      <c r="D456" s="3" t="inlineStr">
        <is>
          <t>demanda_externa</t>
        </is>
      </c>
      <c r="E456" s="3" t="inlineStr">
        <is>
          <t>regional_panel</t>
        </is>
      </c>
      <c r="F456" s="3" t="inlineStr">
        <is>
          <t>panel_covariables</t>
        </is>
      </c>
      <c r="G456" s="3" t="n">
        <v>-0.0293695</v>
      </c>
      <c r="H456" s="3" t="n">
        <v>0.276158</v>
      </c>
      <c r="I456" s="3" t="n">
        <v>-0.0410091</v>
      </c>
      <c r="J456" s="3" t="n">
        <v>0.0453914</v>
      </c>
      <c r="K456" s="3" t="n">
        <v>-10.635</v>
      </c>
      <c r="L456" s="3" t="n">
        <v>1</v>
      </c>
      <c r="M456" s="3" t="inlineStr">
        <is>
          <t>si</t>
        </is>
      </c>
      <c r="N456" s="3" t="inlineStr">
        <is>
          <t>no designado (contraste C4: no hay svar_hd regional)</t>
        </is>
      </c>
      <c r="O456" s="3" t="inlineStr">
        <is>
          <t>CCAA: ranking por c_f·sign(dY) del panel FE (M8); asociacion, sin lectura causal; el factor comun es un resumen de comovimiento (pendiente ~1 mecanica, J23)</t>
        </is>
      </c>
      <c r="P456" s="3" t="inlineStr">
        <is>
          <t>output/v8/F5/regional_ranking.csv</t>
        </is>
      </c>
    </row>
    <row r="457">
      <c r="A457" s="3" t="inlineStr">
        <is>
          <t>alquiler</t>
        </is>
      </c>
      <c r="B457" s="3" t="inlineStr">
        <is>
          <t>ccaa:15</t>
        </is>
      </c>
      <c r="C457" s="3" t="inlineStr">
        <is>
          <t>P2</t>
        </is>
      </c>
      <c r="D457" s="3" t="inlineStr">
        <is>
          <t>residuo</t>
        </is>
      </c>
      <c r="E457" s="3" t="inlineStr">
        <is>
          <t>regional_panel</t>
        </is>
      </c>
      <c r="F457" s="3" t="inlineStr">
        <is>
          <t>panel_covariables</t>
        </is>
      </c>
      <c r="G457" s="3" t="n">
        <v>-9.028359999999999</v>
      </c>
      <c r="H457" s="3" t="n">
        <v>84.8927</v>
      </c>
      <c r="I457" s="3" t="n">
        <v>-10.1363</v>
      </c>
      <c r="J457" s="3" t="n">
        <v>-8.43721</v>
      </c>
      <c r="K457" s="3" t="n">
        <v>-10.635</v>
      </c>
      <c r="L457" s="3" t="n"/>
      <c r="M457" s="3" t="inlineStr">
        <is>
          <t>no</t>
        </is>
      </c>
      <c r="N457" s="3" t="inlineStr">
        <is>
          <t>no designado (contraste C4: no hay svar_hd regional)</t>
        </is>
      </c>
      <c r="O457" s="3" t="inlineStr">
        <is>
          <t>CCAA: ranking por c_f·sign(dY) del panel FE (M8); asociacion, sin lectura causal; el factor comun es un resumen de comovimiento (pendiente ~1 mecanica, J23)</t>
        </is>
      </c>
      <c r="P457" s="3" t="inlineStr">
        <is>
          <t>output/v8/F5/regional_ranking.csv</t>
        </is>
      </c>
    </row>
    <row r="458">
      <c r="A458" s="3" t="inlineStr">
        <is>
          <t>alquiler</t>
        </is>
      </c>
      <c r="B458" s="3" t="inlineStr">
        <is>
          <t>ccaa:15</t>
        </is>
      </c>
      <c r="C458" s="3" t="inlineStr">
        <is>
          <t>P3</t>
        </is>
      </c>
      <c r="D458" s="3" t="inlineStr">
        <is>
          <t>factor_comun</t>
        </is>
      </c>
      <c r="E458" s="3" t="inlineStr">
        <is>
          <t>regional_ccaa_ols</t>
        </is>
      </c>
      <c r="F458" s="3" t="inlineStr">
        <is>
          <t>ols_solo_factor</t>
        </is>
      </c>
      <c r="G458" s="3" t="n">
        <v>-2.85339</v>
      </c>
      <c r="H458" s="3" t="n">
        <v>98.4611</v>
      </c>
      <c r="I458" s="3" t="n">
        <v>-3.9049</v>
      </c>
      <c r="J458" s="3" t="n">
        <v>-1.43749</v>
      </c>
      <c r="K458" s="3" t="n">
        <v>-2.61896</v>
      </c>
      <c r="L458" s="3" t="n"/>
      <c r="M458" s="3" t="inlineStr">
        <is>
          <t>no</t>
        </is>
      </c>
      <c r="N458" s="3" t="inlineStr">
        <is>
          <t>no designado (contraste C4: no hay svar_hd regional)</t>
        </is>
      </c>
      <c r="O458" s="3" t="inlineStr">
        <is>
          <t>CCAA: ranking por c_f·sign(dY) del panel FE (M8); asociacion, sin lectura causal; el factor comun es un resumen de comovimiento (pendiente ~1 mecanica, J23)</t>
        </is>
      </c>
      <c r="P458" s="3" t="inlineStr">
        <is>
          <t>output/v8/F5/regional_ranking.csv</t>
        </is>
      </c>
    </row>
    <row r="459">
      <c r="A459" s="3" t="inlineStr">
        <is>
          <t>alquiler</t>
        </is>
      </c>
      <c r="B459" s="3" t="inlineStr">
        <is>
          <t>ccaa:15</t>
        </is>
      </c>
      <c r="C459" s="3" t="inlineStr">
        <is>
          <t>P3</t>
        </is>
      </c>
      <c r="D459" s="3" t="inlineStr">
        <is>
          <t>residuo</t>
        </is>
      </c>
      <c r="E459" s="3" t="inlineStr">
        <is>
          <t>regional_ccaa_ols</t>
        </is>
      </c>
      <c r="F459" s="3" t="inlineStr">
        <is>
          <t>ols_solo_factor</t>
        </is>
      </c>
      <c r="G459" s="3" t="n">
        <v>-0.044598</v>
      </c>
      <c r="H459" s="3" t="n">
        <v>1.53893</v>
      </c>
      <c r="I459" s="3" t="n"/>
      <c r="J459" s="3" t="n"/>
      <c r="K459" s="3" t="n">
        <v>-2.61896</v>
      </c>
      <c r="L459" s="3" t="n"/>
      <c r="M459" s="3" t="inlineStr">
        <is>
          <t>no</t>
        </is>
      </c>
      <c r="N459" s="3" t="inlineStr">
        <is>
          <t>no designado (contraste C4: no hay svar_hd regional)</t>
        </is>
      </c>
      <c r="O459" s="3" t="inlineStr">
        <is>
          <t>CCAA: ranking por c_f·sign(dY) del panel FE (M8); asociacion, sin lectura causal; el factor comun es un resumen de comovimiento (pendiente ~1 mecanica, J23)</t>
        </is>
      </c>
      <c r="P459" s="3" t="inlineStr">
        <is>
          <t>output/v8/F5/regional_ranking.csv</t>
        </is>
      </c>
    </row>
    <row r="460">
      <c r="A460" s="3" t="inlineStr">
        <is>
          <t>alquiler</t>
        </is>
      </c>
      <c r="B460" s="3" t="inlineStr">
        <is>
          <t>ccaa:15</t>
        </is>
      </c>
      <c r="C460" s="3" t="inlineStr">
        <is>
          <t>P3</t>
        </is>
      </c>
      <c r="D460" s="3" t="inlineStr">
        <is>
          <t>factor_comun</t>
        </is>
      </c>
      <c r="E460" s="3" t="inlineStr">
        <is>
          <t>regional_panel</t>
        </is>
      </c>
      <c r="F460" s="3" t="inlineStr">
        <is>
          <t>panel_covariables</t>
        </is>
      </c>
      <c r="G460" s="3" t="n">
        <v>-1.89168</v>
      </c>
      <c r="H460" s="3" t="n">
        <v>72.2303</v>
      </c>
      <c r="I460" s="3" t="n">
        <v>-3.03018</v>
      </c>
      <c r="J460" s="3" t="n">
        <v>-0.7753910000000001</v>
      </c>
      <c r="K460" s="3" t="n">
        <v>-2.61896</v>
      </c>
      <c r="L460" s="3" t="n"/>
      <c r="M460" s="3" t="inlineStr">
        <is>
          <t>no</t>
        </is>
      </c>
      <c r="N460" s="3" t="inlineStr">
        <is>
          <t>no designado (contraste C4: no hay svar_hd regional)</t>
        </is>
      </c>
      <c r="O460" s="3" t="inlineStr">
        <is>
          <t>CCAA: ranking por c_f·sign(dY) del panel FE (M8); asociacion, sin lectura causal; el factor comun es un resumen de comovimiento (pendiente ~1 mecanica, J23)</t>
        </is>
      </c>
      <c r="P460" s="3" t="inlineStr">
        <is>
          <t>output/v8/F5/regional_ranking.csv</t>
        </is>
      </c>
    </row>
    <row r="461">
      <c r="A461" s="3" t="inlineStr">
        <is>
          <t>alquiler</t>
        </is>
      </c>
      <c r="B461" s="3" t="inlineStr">
        <is>
          <t>ccaa:15</t>
        </is>
      </c>
      <c r="C461" s="3" t="inlineStr">
        <is>
          <t>P3</t>
        </is>
      </c>
      <c r="D461" s="3" t="inlineStr">
        <is>
          <t>empleo_renta</t>
        </is>
      </c>
      <c r="E461" s="3" t="inlineStr">
        <is>
          <t>regional_panel</t>
        </is>
      </c>
      <c r="F461" s="3" t="inlineStr">
        <is>
          <t>panel_covariables</t>
        </is>
      </c>
      <c r="G461" s="3" t="n">
        <v>0.130261</v>
      </c>
      <c r="H461" s="3" t="n">
        <v>-4.97377</v>
      </c>
      <c r="I461" s="3" t="n">
        <v>-0.103691</v>
      </c>
      <c r="J461" s="3" t="n">
        <v>0.277558</v>
      </c>
      <c r="K461" s="3" t="n">
        <v>-2.61896</v>
      </c>
      <c r="L461" s="3" t="n">
        <v>2</v>
      </c>
      <c r="M461" s="3" t="inlineStr">
        <is>
          <t>si</t>
        </is>
      </c>
      <c r="N461" s="3" t="inlineStr">
        <is>
          <t>no designado (contraste C4: no hay svar_hd regional)</t>
        </is>
      </c>
      <c r="O461" s="3" t="inlineStr">
        <is>
          <t>CCAA: ranking por c_f·sign(dY) del panel FE (M8); asociacion, sin lectura causal; el factor comun es un resumen de comovimiento (pendiente ~1 mecanica, J23)</t>
        </is>
      </c>
      <c r="P461" s="3" t="inlineStr">
        <is>
          <t>output/v8/F5/regional_ranking.csv</t>
        </is>
      </c>
    </row>
    <row r="462">
      <c r="A462" s="3" t="inlineStr">
        <is>
          <t>alquiler</t>
        </is>
      </c>
      <c r="B462" s="3" t="inlineStr">
        <is>
          <t>ccaa:15</t>
        </is>
      </c>
      <c r="C462" s="3" t="inlineStr">
        <is>
          <t>P3</t>
        </is>
      </c>
      <c r="D462" s="3" t="inlineStr">
        <is>
          <t>demografia</t>
        </is>
      </c>
      <c r="E462" s="3" t="inlineStr">
        <is>
          <t>regional_panel</t>
        </is>
      </c>
      <c r="F462" s="3" t="inlineStr">
        <is>
          <t>panel_covariables</t>
        </is>
      </c>
      <c r="G462" s="3" t="n">
        <v>1.66157</v>
      </c>
      <c r="H462" s="3" t="n">
        <v>-63.4439</v>
      </c>
      <c r="I462" s="3" t="n">
        <v>1.4248</v>
      </c>
      <c r="J462" s="3" t="n">
        <v>1.94569</v>
      </c>
      <c r="K462" s="3" t="n">
        <v>-2.61896</v>
      </c>
      <c r="L462" s="3" t="n">
        <v>4</v>
      </c>
      <c r="M462" s="3" t="inlineStr">
        <is>
          <t>si</t>
        </is>
      </c>
      <c r="N462" s="3" t="inlineStr">
        <is>
          <t>no designado (contraste C4: no hay svar_hd regional)</t>
        </is>
      </c>
      <c r="O462" s="3" t="inlineStr">
        <is>
          <t>CCAA: ranking por c_f·sign(dY) del panel FE (M8); asociacion, sin lectura causal; el factor comun es un resumen de comovimiento (pendiente ~1 mecanica, J23)</t>
        </is>
      </c>
      <c r="P462" s="3" t="inlineStr">
        <is>
          <t>output/v8/F5/regional_ranking.csv</t>
        </is>
      </c>
    </row>
    <row r="463">
      <c r="A463" s="3" t="inlineStr">
        <is>
          <t>alquiler</t>
        </is>
      </c>
      <c r="B463" s="3" t="inlineStr">
        <is>
          <t>ccaa:15</t>
        </is>
      </c>
      <c r="C463" s="3" t="inlineStr">
        <is>
          <t>P3</t>
        </is>
      </c>
      <c r="D463" s="3" t="inlineStr">
        <is>
          <t>oferta</t>
        </is>
      </c>
      <c r="E463" s="3" t="inlineStr">
        <is>
          <t>regional_panel</t>
        </is>
      </c>
      <c r="F463" s="3" t="inlineStr">
        <is>
          <t>panel_covariables</t>
        </is>
      </c>
      <c r="G463" s="3" t="n">
        <v>0.0671799</v>
      </c>
      <c r="H463" s="3" t="n">
        <v>-2.56514</v>
      </c>
      <c r="I463" s="3" t="n">
        <v>-0.0228435</v>
      </c>
      <c r="J463" s="3" t="n">
        <v>0.185157</v>
      </c>
      <c r="K463" s="3" t="n">
        <v>-2.61896</v>
      </c>
      <c r="L463" s="3" t="n">
        <v>1</v>
      </c>
      <c r="M463" s="3" t="inlineStr">
        <is>
          <t>si</t>
        </is>
      </c>
      <c r="N463" s="3" t="inlineStr">
        <is>
          <t>no designado (contraste C4: no hay svar_hd regional)</t>
        </is>
      </c>
      <c r="O463" s="3" t="inlineStr">
        <is>
          <t>CCAA: ranking por c_f·sign(dY) del panel FE (M8); asociacion, sin lectura causal; el factor comun es un resumen de comovimiento (pendiente ~1 mecanica, J23)</t>
        </is>
      </c>
      <c r="P463" s="3" t="inlineStr">
        <is>
          <t>output/v8/F5/regional_ranking.csv</t>
        </is>
      </c>
    </row>
    <row r="464">
      <c r="A464" s="3" t="inlineStr">
        <is>
          <t>alquiler</t>
        </is>
      </c>
      <c r="B464" s="3" t="inlineStr">
        <is>
          <t>ccaa:15</t>
        </is>
      </c>
      <c r="C464" s="3" t="inlineStr">
        <is>
          <t>P3</t>
        </is>
      </c>
      <c r="D464" s="3" t="inlineStr">
        <is>
          <t>demanda_externa</t>
        </is>
      </c>
      <c r="E464" s="3" t="inlineStr">
        <is>
          <t>regional_panel</t>
        </is>
      </c>
      <c r="F464" s="3" t="inlineStr">
        <is>
          <t>panel_covariables</t>
        </is>
      </c>
      <c r="G464" s="3" t="n">
        <v>0.169851</v>
      </c>
      <c r="H464" s="3" t="n">
        <v>-6.48542</v>
      </c>
      <c r="I464" s="3" t="n">
        <v>0.0531942</v>
      </c>
      <c r="J464" s="3" t="n">
        <v>0.311517</v>
      </c>
      <c r="K464" s="3" t="n">
        <v>-2.61896</v>
      </c>
      <c r="L464" s="3" t="n">
        <v>3</v>
      </c>
      <c r="M464" s="3" t="inlineStr">
        <is>
          <t>si</t>
        </is>
      </c>
      <c r="N464" s="3" t="inlineStr">
        <is>
          <t>no designado (contraste C4: no hay svar_hd regional)</t>
        </is>
      </c>
      <c r="O464" s="3" t="inlineStr">
        <is>
          <t>CCAA: ranking por c_f·sign(dY) del panel FE (M8); asociacion, sin lectura causal; el factor comun es un resumen de comovimiento (pendiente ~1 mecanica, J23)</t>
        </is>
      </c>
      <c r="P464" s="3" t="inlineStr">
        <is>
          <t>output/v8/F5/regional_ranking.csv</t>
        </is>
      </c>
    </row>
    <row r="465">
      <c r="A465" s="3" t="inlineStr">
        <is>
          <t>alquiler</t>
        </is>
      </c>
      <c r="B465" s="3" t="inlineStr">
        <is>
          <t>ccaa:15</t>
        </is>
      </c>
      <c r="C465" s="3" t="inlineStr">
        <is>
          <t>P3</t>
        </is>
      </c>
      <c r="D465" s="3" t="inlineStr">
        <is>
          <t>residuo</t>
        </is>
      </c>
      <c r="E465" s="3" t="inlineStr">
        <is>
          <t>regional_panel</t>
        </is>
      </c>
      <c r="F465" s="3" t="inlineStr">
        <is>
          <t>panel_covariables</t>
        </is>
      </c>
      <c r="G465" s="3" t="n">
        <v>-2.75614</v>
      </c>
      <c r="H465" s="3" t="n">
        <v>105.238</v>
      </c>
      <c r="I465" s="3" t="n">
        <v>-3.97728</v>
      </c>
      <c r="J465" s="3" t="n">
        <v>-1.49015</v>
      </c>
      <c r="K465" s="3" t="n">
        <v>-2.61896</v>
      </c>
      <c r="L465" s="3" t="n"/>
      <c r="M465" s="3" t="inlineStr">
        <is>
          <t>no</t>
        </is>
      </c>
      <c r="N465" s="3" t="inlineStr">
        <is>
          <t>no designado (contraste C4: no hay svar_hd regional)</t>
        </is>
      </c>
      <c r="O465" s="3" t="inlineStr">
        <is>
          <t>CCAA: ranking por c_f·sign(dY) del panel FE (M8); asociacion, sin lectura causal; el factor comun es un resumen de comovimiento (pendiente ~1 mecanica, J23)</t>
        </is>
      </c>
      <c r="P465" s="3" t="inlineStr">
        <is>
          <t>output/v8/F5/regional_ranking.csv</t>
        </is>
      </c>
    </row>
    <row r="466">
      <c r="A466" s="3" t="inlineStr">
        <is>
          <t>alquiler</t>
        </is>
      </c>
      <c r="B466" s="3" t="inlineStr">
        <is>
          <t>ccaa:15</t>
        </is>
      </c>
      <c r="C466" s="3" t="inlineStr">
        <is>
          <t>P4</t>
        </is>
      </c>
      <c r="D466" s="3" t="inlineStr">
        <is>
          <t>factor_comun</t>
        </is>
      </c>
      <c r="E466" s="3" t="inlineStr">
        <is>
          <t>regional_ccaa_ols</t>
        </is>
      </c>
      <c r="F466" s="3" t="inlineStr">
        <is>
          <t>ols_solo_factor</t>
        </is>
      </c>
      <c r="G466" s="3" t="n">
        <v>-5.38105</v>
      </c>
      <c r="H466" s="3" t="n">
        <v>133.598</v>
      </c>
      <c r="I466" s="3" t="n">
        <v>-8.798859999999999</v>
      </c>
      <c r="J466" s="3" t="n">
        <v>-1.64059</v>
      </c>
      <c r="K466" s="3" t="n">
        <v>-4.0278</v>
      </c>
      <c r="L466" s="3" t="n"/>
      <c r="M466" s="3" t="inlineStr">
        <is>
          <t>no</t>
        </is>
      </c>
      <c r="N466" s="3" t="inlineStr">
        <is>
          <t>no designado (contraste C4: no hay svar_hd regional)</t>
        </is>
      </c>
      <c r="O466" s="3" t="inlineStr">
        <is>
          <t>CCAA: ranking por c_f·sign(dY) del panel FE (M8); asociacion, sin lectura causal; el factor comun es un resumen de comovimiento (pendiente ~1 mecanica, J23)</t>
        </is>
      </c>
      <c r="P466" s="3" t="inlineStr">
        <is>
          <t>output/v8/F5/regional_ranking.csv</t>
        </is>
      </c>
    </row>
    <row r="467">
      <c r="A467" s="3" t="inlineStr">
        <is>
          <t>alquiler</t>
        </is>
      </c>
      <c r="B467" s="3" t="inlineStr">
        <is>
          <t>ccaa:15</t>
        </is>
      </c>
      <c r="C467" s="3" t="inlineStr">
        <is>
          <t>P4</t>
        </is>
      </c>
      <c r="D467" s="3" t="inlineStr">
        <is>
          <t>residuo</t>
        </is>
      </c>
      <c r="E467" s="3" t="inlineStr">
        <is>
          <t>regional_ccaa_ols</t>
        </is>
      </c>
      <c r="F467" s="3" t="inlineStr">
        <is>
          <t>ols_solo_factor</t>
        </is>
      </c>
      <c r="G467" s="3" t="n">
        <v>1.35325</v>
      </c>
      <c r="H467" s="3" t="n">
        <v>-33.5977</v>
      </c>
      <c r="I467" s="3" t="n"/>
      <c r="J467" s="3" t="n"/>
      <c r="K467" s="3" t="n">
        <v>-4.0278</v>
      </c>
      <c r="L467" s="3" t="n"/>
      <c r="M467" s="3" t="inlineStr">
        <is>
          <t>no</t>
        </is>
      </c>
      <c r="N467" s="3" t="inlineStr">
        <is>
          <t>no designado (contraste C4: no hay svar_hd regional)</t>
        </is>
      </c>
      <c r="O467" s="3" t="inlineStr">
        <is>
          <t>CCAA: ranking por c_f·sign(dY) del panel FE (M8); asociacion, sin lectura causal; el factor comun es un resumen de comovimiento (pendiente ~1 mecanica, J23)</t>
        </is>
      </c>
      <c r="P467" s="3" t="inlineStr">
        <is>
          <t>output/v8/F5/regional_ranking.csv</t>
        </is>
      </c>
    </row>
    <row r="468">
      <c r="A468" s="3" t="inlineStr">
        <is>
          <t>alquiler</t>
        </is>
      </c>
      <c r="B468" s="3" t="inlineStr">
        <is>
          <t>ccaa:15</t>
        </is>
      </c>
      <c r="C468" s="3" t="inlineStr">
        <is>
          <t>P4</t>
        </is>
      </c>
      <c r="D468" s="3" t="inlineStr">
        <is>
          <t>factor_comun</t>
        </is>
      </c>
      <c r="E468" s="3" t="inlineStr">
        <is>
          <t>regional_panel</t>
        </is>
      </c>
      <c r="F468" s="3" t="inlineStr">
        <is>
          <t>panel_covariables</t>
        </is>
      </c>
      <c r="G468" s="3" t="n">
        <v>-4.82785</v>
      </c>
      <c r="H468" s="3" t="n">
        <v>119.863</v>
      </c>
      <c r="I468" s="3" t="n">
        <v>-8.01083</v>
      </c>
      <c r="J468" s="3" t="n">
        <v>-1.73403</v>
      </c>
      <c r="K468" s="3" t="n">
        <v>-4.0278</v>
      </c>
      <c r="L468" s="3" t="n"/>
      <c r="M468" s="3" t="inlineStr">
        <is>
          <t>no</t>
        </is>
      </c>
      <c r="N468" s="3" t="inlineStr">
        <is>
          <t>no designado (contraste C4: no hay svar_hd regional)</t>
        </is>
      </c>
      <c r="O468" s="3" t="inlineStr">
        <is>
          <t>CCAA: ranking por c_f·sign(dY) del panel FE (M8); asociacion, sin lectura causal; el factor comun es un resumen de comovimiento (pendiente ~1 mecanica, J23)</t>
        </is>
      </c>
      <c r="P468" s="3" t="inlineStr">
        <is>
          <t>output/v8/F5/regional_ranking.csv</t>
        </is>
      </c>
    </row>
    <row r="469">
      <c r="A469" s="3" t="inlineStr">
        <is>
          <t>alquiler</t>
        </is>
      </c>
      <c r="B469" s="3" t="inlineStr">
        <is>
          <t>ccaa:15</t>
        </is>
      </c>
      <c r="C469" s="3" t="inlineStr">
        <is>
          <t>P4</t>
        </is>
      </c>
      <c r="D469" s="3" t="inlineStr">
        <is>
          <t>empleo_renta</t>
        </is>
      </c>
      <c r="E469" s="3" t="inlineStr">
        <is>
          <t>regional_panel</t>
        </is>
      </c>
      <c r="F469" s="3" t="inlineStr">
        <is>
          <t>panel_covariables</t>
        </is>
      </c>
      <c r="G469" s="3" t="n">
        <v>-0.00490741</v>
      </c>
      <c r="H469" s="3" t="n">
        <v>0.121838</v>
      </c>
      <c r="I469" s="3" t="n">
        <v>-0.0920924</v>
      </c>
      <c r="J469" s="3" t="n">
        <v>0.0605042</v>
      </c>
      <c r="K469" s="3" t="n">
        <v>-4.0278</v>
      </c>
      <c r="L469" s="3" t="n">
        <v>1</v>
      </c>
      <c r="M469" s="3" t="inlineStr">
        <is>
          <t>si</t>
        </is>
      </c>
      <c r="N469" s="3" t="inlineStr">
        <is>
          <t>no designado (contraste C4: no hay svar_hd regional)</t>
        </is>
      </c>
      <c r="O469" s="3" t="inlineStr">
        <is>
          <t>CCAA: ranking por c_f·sign(dY) del panel FE (M8); asociacion, sin lectura causal; el factor comun es un resumen de comovimiento (pendiente ~1 mecanica, J23)</t>
        </is>
      </c>
      <c r="P469" s="3" t="inlineStr">
        <is>
          <t>output/v8/F5/regional_ranking.csv</t>
        </is>
      </c>
    </row>
    <row r="470">
      <c r="A470" s="3" t="inlineStr">
        <is>
          <t>alquiler</t>
        </is>
      </c>
      <c r="B470" s="3" t="inlineStr">
        <is>
          <t>ccaa:15</t>
        </is>
      </c>
      <c r="C470" s="3" t="inlineStr">
        <is>
          <t>P4</t>
        </is>
      </c>
      <c r="D470" s="3" t="inlineStr">
        <is>
          <t>demografia</t>
        </is>
      </c>
      <c r="E470" s="3" t="inlineStr">
        <is>
          <t>regional_panel</t>
        </is>
      </c>
      <c r="F470" s="3" t="inlineStr">
        <is>
          <t>panel_covariables</t>
        </is>
      </c>
      <c r="G470" s="3" t="n">
        <v>0.334804</v>
      </c>
      <c r="H470" s="3" t="n">
        <v>-8.31232</v>
      </c>
      <c r="I470" s="3" t="n">
        <v>0.217664</v>
      </c>
      <c r="J470" s="3" t="n">
        <v>0.380324</v>
      </c>
      <c r="K470" s="3" t="n">
        <v>-4.0278</v>
      </c>
      <c r="L470" s="3" t="n">
        <v>4</v>
      </c>
      <c r="M470" s="3" t="inlineStr">
        <is>
          <t>si</t>
        </is>
      </c>
      <c r="N470" s="3" t="inlineStr">
        <is>
          <t>no designado (contraste C4: no hay svar_hd regional)</t>
        </is>
      </c>
      <c r="O470" s="3" t="inlineStr">
        <is>
          <t>CCAA: ranking por c_f·sign(dY) del panel FE (M8); asociacion, sin lectura causal; el factor comun es un resumen de comovimiento (pendiente ~1 mecanica, J23)</t>
        </is>
      </c>
      <c r="P470" s="3" t="inlineStr">
        <is>
          <t>output/v8/F5/regional_ranking.csv</t>
        </is>
      </c>
    </row>
    <row r="471">
      <c r="A471" s="3" t="inlineStr">
        <is>
          <t>alquiler</t>
        </is>
      </c>
      <c r="B471" s="3" t="inlineStr">
        <is>
          <t>ccaa:15</t>
        </is>
      </c>
      <c r="C471" s="3" t="inlineStr">
        <is>
          <t>P4</t>
        </is>
      </c>
      <c r="D471" s="3" t="inlineStr">
        <is>
          <t>oferta</t>
        </is>
      </c>
      <c r="E471" s="3" t="inlineStr">
        <is>
          <t>regional_panel</t>
        </is>
      </c>
      <c r="F471" s="3" t="inlineStr">
        <is>
          <t>panel_covariables</t>
        </is>
      </c>
      <c r="G471" s="3" t="n">
        <v>-0.0008795539999999999</v>
      </c>
      <c r="H471" s="3" t="n">
        <v>0.0218371</v>
      </c>
      <c r="I471" s="3" t="n">
        <v>-0.0159042</v>
      </c>
      <c r="J471" s="3" t="n">
        <v>0.0152902</v>
      </c>
      <c r="K471" s="3" t="n">
        <v>-4.0278</v>
      </c>
      <c r="L471" s="3" t="n">
        <v>2</v>
      </c>
      <c r="M471" s="3" t="inlineStr">
        <is>
          <t>si</t>
        </is>
      </c>
      <c r="N471" s="3" t="inlineStr">
        <is>
          <t>no designado (contraste C4: no hay svar_hd regional)</t>
        </is>
      </c>
      <c r="O471" s="3" t="inlineStr">
        <is>
          <t>CCAA: ranking por c_f·sign(dY) del panel FE (M8); asociacion, sin lectura causal; el factor comun es un resumen de comovimiento (pendiente ~1 mecanica, J23)</t>
        </is>
      </c>
      <c r="P471" s="3" t="inlineStr">
        <is>
          <t>output/v8/F5/regional_ranking.csv</t>
        </is>
      </c>
    </row>
    <row r="472">
      <c r="A472" s="3" t="inlineStr">
        <is>
          <t>alquiler</t>
        </is>
      </c>
      <c r="B472" s="3" t="inlineStr">
        <is>
          <t>ccaa:15</t>
        </is>
      </c>
      <c r="C472" s="3" t="inlineStr">
        <is>
          <t>P4</t>
        </is>
      </c>
      <c r="D472" s="3" t="inlineStr">
        <is>
          <t>demanda_externa</t>
        </is>
      </c>
      <c r="E472" s="3" t="inlineStr">
        <is>
          <t>regional_panel</t>
        </is>
      </c>
      <c r="F472" s="3" t="inlineStr">
        <is>
          <t>panel_covariables</t>
        </is>
      </c>
      <c r="G472" s="3" t="n">
        <v>0.0077908</v>
      </c>
      <c r="H472" s="3" t="n">
        <v>-0.193426</v>
      </c>
      <c r="I472" s="3" t="n">
        <v>-0.0332895</v>
      </c>
      <c r="J472" s="3" t="n">
        <v>0.0220373</v>
      </c>
      <c r="K472" s="3" t="n">
        <v>-4.0278</v>
      </c>
      <c r="L472" s="3" t="n">
        <v>3</v>
      </c>
      <c r="M472" s="3" t="inlineStr">
        <is>
          <t>si</t>
        </is>
      </c>
      <c r="N472" s="3" t="inlineStr">
        <is>
          <t>no designado (contraste C4: no hay svar_hd regional)</t>
        </is>
      </c>
      <c r="O472" s="3" t="inlineStr">
        <is>
          <t>CCAA: ranking por c_f·sign(dY) del panel FE (M8); asociacion, sin lectura causal; el factor comun es un resumen de comovimiento (pendiente ~1 mecanica, J23)</t>
        </is>
      </c>
      <c r="P472" s="3" t="inlineStr">
        <is>
          <t>output/v8/F5/regional_ranking.csv</t>
        </is>
      </c>
    </row>
    <row r="473">
      <c r="A473" s="3" t="inlineStr">
        <is>
          <t>alquiler</t>
        </is>
      </c>
      <c r="B473" s="3" t="inlineStr">
        <is>
          <t>ccaa:15</t>
        </is>
      </c>
      <c r="C473" s="3" t="inlineStr">
        <is>
          <t>P4</t>
        </is>
      </c>
      <c r="D473" s="3" t="inlineStr">
        <is>
          <t>residuo</t>
        </is>
      </c>
      <c r="E473" s="3" t="inlineStr">
        <is>
          <t>regional_panel</t>
        </is>
      </c>
      <c r="F473" s="3" t="inlineStr">
        <is>
          <t>panel_covariables</t>
        </is>
      </c>
      <c r="G473" s="3" t="n">
        <v>0.463235</v>
      </c>
      <c r="H473" s="3" t="n">
        <v>-11.5009</v>
      </c>
      <c r="I473" s="3" t="n">
        <v>-0.08100549999999999</v>
      </c>
      <c r="J473" s="3" t="n">
        <v>0.9883690000000001</v>
      </c>
      <c r="K473" s="3" t="n">
        <v>-4.0278</v>
      </c>
      <c r="L473" s="3" t="n"/>
      <c r="M473" s="3" t="inlineStr">
        <is>
          <t>no</t>
        </is>
      </c>
      <c r="N473" s="3" t="inlineStr">
        <is>
          <t>no designado (contraste C4: no hay svar_hd regional)</t>
        </is>
      </c>
      <c r="O473" s="3" t="inlineStr">
        <is>
          <t>CCAA: ranking por c_f·sign(dY) del panel FE (M8); asociacion, sin lectura causal; el factor comun es un resumen de comovimiento (pendiente ~1 mecanica, J23)</t>
        </is>
      </c>
      <c r="P473" s="3" t="inlineStr">
        <is>
          <t>output/v8/F5/regional_ranking.csv</t>
        </is>
      </c>
    </row>
    <row r="474">
      <c r="A474" s="3" t="inlineStr">
        <is>
          <t>alquiler</t>
        </is>
      </c>
      <c r="B474" s="3" t="inlineStr">
        <is>
          <t>ccaa:15</t>
        </is>
      </c>
      <c r="C474" s="3" t="inlineStr">
        <is>
          <t>P5</t>
        </is>
      </c>
      <c r="D474" s="3" t="inlineStr">
        <is>
          <t>factor_comun</t>
        </is>
      </c>
      <c r="E474" s="3" t="inlineStr">
        <is>
          <t>regional_ccaa_ols</t>
        </is>
      </c>
      <c r="F474" s="3" t="inlineStr">
        <is>
          <t>ols_solo_factor</t>
        </is>
      </c>
      <c r="G474" s="3" t="n">
        <v>-5.34428</v>
      </c>
      <c r="H474" s="3" t="n">
        <v>81.1126</v>
      </c>
      <c r="I474" s="3" t="n">
        <v>-8.009119999999999</v>
      </c>
      <c r="J474" s="3" t="n">
        <v>-2.55888</v>
      </c>
      <c r="K474" s="3" t="n">
        <v>-5.96706</v>
      </c>
      <c r="L474" s="3" t="n"/>
      <c r="M474" s="3" t="inlineStr">
        <is>
          <t>no</t>
        </is>
      </c>
      <c r="N474" s="3" t="inlineStr">
        <is>
          <t>no designado (contraste C4: no hay svar_hd regional)</t>
        </is>
      </c>
      <c r="O474" s="3" t="inlineStr">
        <is>
          <t>CCAA: ranking por c_f·sign(dY) del panel FE (M8); asociacion, sin lectura causal; el factor comun es un resumen de comovimiento (pendiente ~1 mecanica, J23)</t>
        </is>
      </c>
      <c r="P474" s="3" t="inlineStr">
        <is>
          <t>output/v8/F5/regional_ranking.csv</t>
        </is>
      </c>
    </row>
    <row r="475">
      <c r="A475" s="3" t="inlineStr">
        <is>
          <t>alquiler</t>
        </is>
      </c>
      <c r="B475" s="3" t="inlineStr">
        <is>
          <t>ccaa:15</t>
        </is>
      </c>
      <c r="C475" s="3" t="inlineStr">
        <is>
          <t>P5</t>
        </is>
      </c>
      <c r="D475" s="3" t="inlineStr">
        <is>
          <t>residuo</t>
        </is>
      </c>
      <c r="E475" s="3" t="inlineStr">
        <is>
          <t>regional_ccaa_ols</t>
        </is>
      </c>
      <c r="F475" s="3" t="inlineStr">
        <is>
          <t>ols_solo_factor</t>
        </is>
      </c>
      <c r="G475" s="3" t="n">
        <v>-1.24444</v>
      </c>
      <c r="H475" s="3" t="n">
        <v>18.8874</v>
      </c>
      <c r="I475" s="3" t="n"/>
      <c r="J475" s="3" t="n"/>
      <c r="K475" s="3" t="n">
        <v>-5.96706</v>
      </c>
      <c r="L475" s="3" t="n"/>
      <c r="M475" s="3" t="inlineStr">
        <is>
          <t>no</t>
        </is>
      </c>
      <c r="N475" s="3" t="inlineStr">
        <is>
          <t>no designado (contraste C4: no hay svar_hd regional)</t>
        </is>
      </c>
      <c r="O475" s="3" t="inlineStr">
        <is>
          <t>CCAA: ranking por c_f·sign(dY) del panel FE (M8); asociacion, sin lectura causal; el factor comun es un resumen de comovimiento (pendiente ~1 mecanica, J23)</t>
        </is>
      </c>
      <c r="P475" s="3" t="inlineStr">
        <is>
          <t>output/v8/F5/regional_ranking.csv</t>
        </is>
      </c>
    </row>
    <row r="476">
      <c r="A476" s="3" t="inlineStr">
        <is>
          <t>alquiler</t>
        </is>
      </c>
      <c r="B476" s="3" t="inlineStr">
        <is>
          <t>ccaa:15</t>
        </is>
      </c>
      <c r="C476" s="3" t="inlineStr">
        <is>
          <t>P5</t>
        </is>
      </c>
      <c r="D476" s="3" t="inlineStr">
        <is>
          <t>factor_comun</t>
        </is>
      </c>
      <c r="E476" s="3" t="inlineStr">
        <is>
          <t>regional_panel</t>
        </is>
      </c>
      <c r="F476" s="3" t="inlineStr">
        <is>
          <t>panel_covariables</t>
        </is>
      </c>
      <c r="G476" s="3" t="n">
        <v>-5.47353</v>
      </c>
      <c r="H476" s="3" t="n">
        <v>91.7291</v>
      </c>
      <c r="I476" s="3" t="n">
        <v>-7.50057</v>
      </c>
      <c r="J476" s="3" t="n">
        <v>-3.0519</v>
      </c>
      <c r="K476" s="3" t="n">
        <v>-5.96706</v>
      </c>
      <c r="L476" s="3" t="n"/>
      <c r="M476" s="3" t="inlineStr">
        <is>
          <t>no</t>
        </is>
      </c>
      <c r="N476" s="3" t="inlineStr">
        <is>
          <t>no designado (contraste C4: no hay svar_hd regional)</t>
        </is>
      </c>
      <c r="O476" s="3" t="inlineStr">
        <is>
          <t>CCAA: ranking por c_f·sign(dY) del panel FE (M8); asociacion, sin lectura causal; el factor comun es un resumen de comovimiento (pendiente ~1 mecanica, J23)</t>
        </is>
      </c>
      <c r="P476" s="3" t="inlineStr">
        <is>
          <t>output/v8/F5/regional_ranking.csv</t>
        </is>
      </c>
    </row>
    <row r="477">
      <c r="A477" s="3" t="inlineStr">
        <is>
          <t>alquiler</t>
        </is>
      </c>
      <c r="B477" s="3" t="inlineStr">
        <is>
          <t>ccaa:15</t>
        </is>
      </c>
      <c r="C477" s="3" t="inlineStr">
        <is>
          <t>P5</t>
        </is>
      </c>
      <c r="D477" s="3" t="inlineStr">
        <is>
          <t>empleo_renta</t>
        </is>
      </c>
      <c r="E477" s="3" t="inlineStr">
        <is>
          <t>regional_panel</t>
        </is>
      </c>
      <c r="F477" s="3" t="inlineStr">
        <is>
          <t>panel_covariables</t>
        </is>
      </c>
      <c r="G477" s="3" t="n">
        <v>-0.133964</v>
      </c>
      <c r="H477" s="3" t="n">
        <v>2.24506</v>
      </c>
      <c r="I477" s="3" t="n">
        <v>-0.18512</v>
      </c>
      <c r="J477" s="3" t="n">
        <v>-0.076944</v>
      </c>
      <c r="K477" s="3" t="n">
        <v>-5.96706</v>
      </c>
      <c r="L477" s="3" t="n">
        <v>1</v>
      </c>
      <c r="M477" s="3" t="inlineStr">
        <is>
          <t>si</t>
        </is>
      </c>
      <c r="N477" s="3" t="inlineStr">
        <is>
          <t>no designado (contraste C4: no hay svar_hd regional)</t>
        </is>
      </c>
      <c r="O477" s="3" t="inlineStr">
        <is>
          <t>CCAA: ranking por c_f·sign(dY) del panel FE (M8); asociacion, sin lectura causal; el factor comun es un resumen de comovimiento (pendiente ~1 mecanica, J23)</t>
        </is>
      </c>
      <c r="P477" s="3" t="inlineStr">
        <is>
          <t>output/v8/F5/regional_ranking.csv</t>
        </is>
      </c>
    </row>
    <row r="478">
      <c r="A478" s="3" t="inlineStr">
        <is>
          <t>alquiler</t>
        </is>
      </c>
      <c r="B478" s="3" t="inlineStr">
        <is>
          <t>ccaa:15</t>
        </is>
      </c>
      <c r="C478" s="3" t="inlineStr">
        <is>
          <t>P5</t>
        </is>
      </c>
      <c r="D478" s="3" t="inlineStr">
        <is>
          <t>demografia</t>
        </is>
      </c>
      <c r="E478" s="3" t="inlineStr">
        <is>
          <t>regional_panel</t>
        </is>
      </c>
      <c r="F478" s="3" t="inlineStr">
        <is>
          <t>panel_covariables</t>
        </is>
      </c>
      <c r="G478" s="3" t="n">
        <v>0.472403</v>
      </c>
      <c r="H478" s="3" t="n">
        <v>-7.91684</v>
      </c>
      <c r="I478" s="3" t="n">
        <v>0.0824681</v>
      </c>
      <c r="J478" s="3" t="n">
        <v>1.02307</v>
      </c>
      <c r="K478" s="3" t="n">
        <v>-5.96706</v>
      </c>
      <c r="L478" s="3" t="n">
        <v>4</v>
      </c>
      <c r="M478" s="3" t="inlineStr">
        <is>
          <t>si</t>
        </is>
      </c>
      <c r="N478" s="3" t="inlineStr">
        <is>
          <t>no designado (contraste C4: no hay svar_hd regional)</t>
        </is>
      </c>
      <c r="O478" s="3" t="inlineStr">
        <is>
          <t>CCAA: ranking por c_f·sign(dY) del panel FE (M8); asociacion, sin lectura causal; el factor comun es un resumen de comovimiento (pendiente ~1 mecanica, J23)</t>
        </is>
      </c>
      <c r="P478" s="3" t="inlineStr">
        <is>
          <t>output/v8/F5/regional_ranking.csv</t>
        </is>
      </c>
    </row>
    <row r="479">
      <c r="A479" s="3" t="inlineStr">
        <is>
          <t>alquiler</t>
        </is>
      </c>
      <c r="B479" s="3" t="inlineStr">
        <is>
          <t>ccaa:15</t>
        </is>
      </c>
      <c r="C479" s="3" t="inlineStr">
        <is>
          <t>P5</t>
        </is>
      </c>
      <c r="D479" s="3" t="inlineStr">
        <is>
          <t>oferta</t>
        </is>
      </c>
      <c r="E479" s="3" t="inlineStr">
        <is>
          <t>regional_panel</t>
        </is>
      </c>
      <c r="F479" s="3" t="inlineStr">
        <is>
          <t>panel_covariables</t>
        </is>
      </c>
      <c r="G479" s="3" t="n">
        <v>-0.0048241</v>
      </c>
      <c r="H479" s="3" t="n">
        <v>0.0808455</v>
      </c>
      <c r="I479" s="3" t="n">
        <v>-0.0292078</v>
      </c>
      <c r="J479" s="3" t="n">
        <v>0.0275538</v>
      </c>
      <c r="K479" s="3" t="n">
        <v>-5.96706</v>
      </c>
      <c r="L479" s="3" t="n">
        <v>3</v>
      </c>
      <c r="M479" s="3" t="inlineStr">
        <is>
          <t>si</t>
        </is>
      </c>
      <c r="N479" s="3" t="inlineStr">
        <is>
          <t>no designado (contraste C4: no hay svar_hd regional)</t>
        </is>
      </c>
      <c r="O479" s="3" t="inlineStr">
        <is>
          <t>CCAA: ranking por c_f·sign(dY) del panel FE (M8); asociacion, sin lectura causal; el factor comun es un resumen de comovimiento (pendiente ~1 mecanica, J23)</t>
        </is>
      </c>
      <c r="P479" s="3" t="inlineStr">
        <is>
          <t>output/v8/F5/regional_ranking.csv</t>
        </is>
      </c>
    </row>
    <row r="480">
      <c r="A480" s="3" t="inlineStr">
        <is>
          <t>alquiler</t>
        </is>
      </c>
      <c r="B480" s="3" t="inlineStr">
        <is>
          <t>ccaa:15</t>
        </is>
      </c>
      <c r="C480" s="3" t="inlineStr">
        <is>
          <t>P5</t>
        </is>
      </c>
      <c r="D480" s="3" t="inlineStr">
        <is>
          <t>demanda_externa</t>
        </is>
      </c>
      <c r="E480" s="3" t="inlineStr">
        <is>
          <t>regional_panel</t>
        </is>
      </c>
      <c r="F480" s="3" t="inlineStr">
        <is>
          <t>panel_covariables</t>
        </is>
      </c>
      <c r="G480" s="3" t="n">
        <v>-0.0435609</v>
      </c>
      <c r="H480" s="3" t="n">
        <v>0.730023</v>
      </c>
      <c r="I480" s="3" t="n">
        <v>-0.0978079</v>
      </c>
      <c r="J480" s="3" t="n">
        <v>0.00316462</v>
      </c>
      <c r="K480" s="3" t="n">
        <v>-5.96706</v>
      </c>
      <c r="L480" s="3" t="n">
        <v>2</v>
      </c>
      <c r="M480" s="3" t="inlineStr">
        <is>
          <t>si</t>
        </is>
      </c>
      <c r="N480" s="3" t="inlineStr">
        <is>
          <t>no designado (contraste C4: no hay svar_hd regional)</t>
        </is>
      </c>
      <c r="O480" s="3" t="inlineStr">
        <is>
          <t>CCAA: ranking por c_f·sign(dY) del panel FE (M8); asociacion, sin lectura causal; el factor comun es un resumen de comovimiento (pendiente ~1 mecanica, J23)</t>
        </is>
      </c>
      <c r="P480" s="3" t="inlineStr">
        <is>
          <t>output/v8/F5/regional_ranking.csv</t>
        </is>
      </c>
    </row>
    <row r="481">
      <c r="A481" s="3" t="inlineStr">
        <is>
          <t>alquiler</t>
        </is>
      </c>
      <c r="B481" s="3" t="inlineStr">
        <is>
          <t>ccaa:15</t>
        </is>
      </c>
      <c r="C481" s="3" t="inlineStr">
        <is>
          <t>P5</t>
        </is>
      </c>
      <c r="D481" s="3" t="inlineStr">
        <is>
          <t>residuo</t>
        </is>
      </c>
      <c r="E481" s="3" t="inlineStr">
        <is>
          <t>regional_panel</t>
        </is>
      </c>
      <c r="F481" s="3" t="inlineStr">
        <is>
          <t>panel_covariables</t>
        </is>
      </c>
      <c r="G481" s="3" t="n">
        <v>-0.783582</v>
      </c>
      <c r="H481" s="3" t="n">
        <v>13.1318</v>
      </c>
      <c r="I481" s="3" t="n">
        <v>-1.38673</v>
      </c>
      <c r="J481" s="3" t="n">
        <v>-0.180087</v>
      </c>
      <c r="K481" s="3" t="n">
        <v>-5.96706</v>
      </c>
      <c r="L481" s="3" t="n"/>
      <c r="M481" s="3" t="inlineStr">
        <is>
          <t>no</t>
        </is>
      </c>
      <c r="N481" s="3" t="inlineStr">
        <is>
          <t>no designado (contraste C4: no hay svar_hd regional)</t>
        </is>
      </c>
      <c r="O481" s="3" t="inlineStr">
        <is>
          <t>CCAA: ranking por c_f·sign(dY) del panel FE (M8); asociacion, sin lectura causal; el factor comun es un resumen de comovimiento (pendiente ~1 mecanica, J23)</t>
        </is>
      </c>
      <c r="P481" s="3" t="inlineStr">
        <is>
          <t>output/v8/F5/regional_ranking.csv</t>
        </is>
      </c>
    </row>
    <row r="482">
      <c r="A482" s="3" t="inlineStr">
        <is>
          <t>alquiler</t>
        </is>
      </c>
      <c r="B482" s="3" t="inlineStr">
        <is>
          <t>ccaa:16</t>
        </is>
      </c>
      <c r="C482" s="3" t="inlineStr">
        <is>
          <t>P2</t>
        </is>
      </c>
      <c r="D482" s="3" t="inlineStr">
        <is>
          <t>factor_comun</t>
        </is>
      </c>
      <c r="E482" s="3" t="inlineStr">
        <is>
          <t>regional_ccaa_ols</t>
        </is>
      </c>
      <c r="F482" s="3" t="inlineStr">
        <is>
          <t>ols_solo_factor</t>
        </is>
      </c>
      <c r="G482" s="3" t="n">
        <v>-3.17635</v>
      </c>
      <c r="H482" s="3" t="n">
        <v>264.158</v>
      </c>
      <c r="I482" s="3" t="n">
        <v>-6.29108</v>
      </c>
      <c r="J482" s="3" t="n">
        <v>1.00359</v>
      </c>
      <c r="K482" s="3" t="n">
        <v>-1.62014</v>
      </c>
      <c r="L482" s="3" t="n"/>
      <c r="M482" s="3" t="inlineStr">
        <is>
          <t>no</t>
        </is>
      </c>
      <c r="N482" s="3" t="inlineStr">
        <is>
          <t>no designado (contraste C4: no hay svar_hd regional)</t>
        </is>
      </c>
      <c r="O482" s="3" t="inlineStr">
        <is>
          <t>CCAA: ranking por c_f·sign(dY) del panel FE (M8); asociacion, sin lectura causal; el factor comun es un resumen de comovimiento (pendiente ~1 mecanica, J23)</t>
        </is>
      </c>
      <c r="P482" s="3" t="inlineStr">
        <is>
          <t>output/v8/F5/regional_ranking.csv</t>
        </is>
      </c>
    </row>
    <row r="483">
      <c r="A483" s="3" t="inlineStr">
        <is>
          <t>alquiler</t>
        </is>
      </c>
      <c r="B483" s="3" t="inlineStr">
        <is>
          <t>ccaa:16</t>
        </is>
      </c>
      <c r="C483" s="3" t="inlineStr">
        <is>
          <t>P2</t>
        </is>
      </c>
      <c r="D483" s="3" t="inlineStr">
        <is>
          <t>residuo</t>
        </is>
      </c>
      <c r="E483" s="3" t="inlineStr">
        <is>
          <t>regional_ccaa_ols</t>
        </is>
      </c>
      <c r="F483" s="3" t="inlineStr">
        <is>
          <t>ols_solo_factor</t>
        </is>
      </c>
      <c r="G483" s="3" t="n">
        <v>1.9739</v>
      </c>
      <c r="H483" s="3" t="n">
        <v>-164.158</v>
      </c>
      <c r="I483" s="3" t="n"/>
      <c r="J483" s="3" t="n"/>
      <c r="K483" s="3" t="n">
        <v>-1.62014</v>
      </c>
      <c r="L483" s="3" t="n"/>
      <c r="M483" s="3" t="inlineStr">
        <is>
          <t>no</t>
        </is>
      </c>
      <c r="N483" s="3" t="inlineStr">
        <is>
          <t>no designado (contraste C4: no hay svar_hd regional)</t>
        </is>
      </c>
      <c r="O483" s="3" t="inlineStr">
        <is>
          <t>CCAA: ranking por c_f·sign(dY) del panel FE (M8); asociacion, sin lectura causal; el factor comun es un resumen de comovimiento (pendiente ~1 mecanica, J23)</t>
        </is>
      </c>
      <c r="P483" s="3" t="inlineStr">
        <is>
          <t>output/v8/F5/regional_ranking.csv</t>
        </is>
      </c>
    </row>
    <row r="484">
      <c r="A484" s="3" t="inlineStr">
        <is>
          <t>alquiler</t>
        </is>
      </c>
      <c r="B484" s="3" t="inlineStr">
        <is>
          <t>ccaa:16</t>
        </is>
      </c>
      <c r="C484" s="3" t="inlineStr">
        <is>
          <t>P2</t>
        </is>
      </c>
      <c r="D484" s="3" t="inlineStr">
        <is>
          <t>factor_comun</t>
        </is>
      </c>
      <c r="E484" s="3" t="inlineStr">
        <is>
          <t>regional_panel</t>
        </is>
      </c>
      <c r="F484" s="3" t="inlineStr">
        <is>
          <t>panel_covariables</t>
        </is>
      </c>
      <c r="G484" s="3" t="n">
        <v>-3.50963</v>
      </c>
      <c r="H484" s="3" t="n">
        <v>216.625</v>
      </c>
      <c r="I484" s="3" t="n">
        <v>-7.73728</v>
      </c>
      <c r="J484" s="3" t="n">
        <v>0.660335</v>
      </c>
      <c r="K484" s="3" t="n">
        <v>-1.62014</v>
      </c>
      <c r="L484" s="3" t="n"/>
      <c r="M484" s="3" t="inlineStr">
        <is>
          <t>no</t>
        </is>
      </c>
      <c r="N484" s="3" t="inlineStr">
        <is>
          <t>no designado (contraste C4: no hay svar_hd regional)</t>
        </is>
      </c>
      <c r="O484" s="3" t="inlineStr">
        <is>
          <t>CCAA: ranking por c_f·sign(dY) del panel FE (M8); asociacion, sin lectura causal; el factor comun es un resumen de comovimiento (pendiente ~1 mecanica, J23)</t>
        </is>
      </c>
      <c r="P484" s="3" t="inlineStr">
        <is>
          <t>output/v8/F5/regional_ranking.csv</t>
        </is>
      </c>
    </row>
    <row r="485">
      <c r="A485" s="3" t="inlineStr">
        <is>
          <t>alquiler</t>
        </is>
      </c>
      <c r="B485" s="3" t="inlineStr">
        <is>
          <t>ccaa:16</t>
        </is>
      </c>
      <c r="C485" s="3" t="inlineStr">
        <is>
          <t>P2</t>
        </is>
      </c>
      <c r="D485" s="3" t="inlineStr">
        <is>
          <t>empleo_renta</t>
        </is>
      </c>
      <c r="E485" s="3" t="inlineStr">
        <is>
          <t>regional_panel</t>
        </is>
      </c>
      <c r="F485" s="3" t="inlineStr">
        <is>
          <t>panel_covariables</t>
        </is>
      </c>
      <c r="G485" s="3" t="n">
        <v>0.0827185</v>
      </c>
      <c r="H485" s="3" t="n">
        <v>-5.10564</v>
      </c>
      <c r="I485" s="3" t="n">
        <v>-0.18726</v>
      </c>
      <c r="J485" s="3" t="n">
        <v>0.384478</v>
      </c>
      <c r="K485" s="3" t="n">
        <v>-1.62014</v>
      </c>
      <c r="L485" s="3" t="n">
        <v>2</v>
      </c>
      <c r="M485" s="3" t="inlineStr">
        <is>
          <t>si</t>
        </is>
      </c>
      <c r="N485" s="3" t="inlineStr">
        <is>
          <t>no designado (contraste C4: no hay svar_hd regional)</t>
        </is>
      </c>
      <c r="O485" s="3" t="inlineStr">
        <is>
          <t>CCAA: ranking por c_f·sign(dY) del panel FE (M8); asociacion, sin lectura causal; el factor comun es un resumen de comovimiento (pendiente ~1 mecanica, J23)</t>
        </is>
      </c>
      <c r="P485" s="3" t="inlineStr">
        <is>
          <t>output/v8/F5/regional_ranking.csv</t>
        </is>
      </c>
    </row>
    <row r="486">
      <c r="A486" s="3" t="inlineStr">
        <is>
          <t>alquiler</t>
        </is>
      </c>
      <c r="B486" s="3" t="inlineStr">
        <is>
          <t>ccaa:16</t>
        </is>
      </c>
      <c r="C486" s="3" t="inlineStr">
        <is>
          <t>P2</t>
        </is>
      </c>
      <c r="D486" s="3" t="inlineStr">
        <is>
          <t>demografia</t>
        </is>
      </c>
      <c r="E486" s="3" t="inlineStr">
        <is>
          <t>regional_panel</t>
        </is>
      </c>
      <c r="F486" s="3" t="inlineStr">
        <is>
          <t>panel_covariables</t>
        </is>
      </c>
      <c r="G486" s="3" t="n">
        <v>0.279942</v>
      </c>
      <c r="H486" s="3" t="n">
        <v>-17.2789</v>
      </c>
      <c r="I486" s="3" t="n">
        <v>0.1473</v>
      </c>
      <c r="J486" s="3" t="n">
        <v>0.825578</v>
      </c>
      <c r="K486" s="3" t="n">
        <v>-1.62014</v>
      </c>
      <c r="L486" s="3" t="n">
        <v>4</v>
      </c>
      <c r="M486" s="3" t="inlineStr">
        <is>
          <t>si</t>
        </is>
      </c>
      <c r="N486" s="3" t="inlineStr">
        <is>
          <t>no designado (contraste C4: no hay svar_hd regional)</t>
        </is>
      </c>
      <c r="O486" s="3" t="inlineStr">
        <is>
          <t>CCAA: ranking por c_f·sign(dY) del panel FE (M8); asociacion, sin lectura causal; el factor comun es un resumen de comovimiento (pendiente ~1 mecanica, J23)</t>
        </is>
      </c>
      <c r="P486" s="3" t="inlineStr">
        <is>
          <t>output/v8/F5/regional_ranking.csv</t>
        </is>
      </c>
    </row>
    <row r="487">
      <c r="A487" s="3" t="inlineStr">
        <is>
          <t>alquiler</t>
        </is>
      </c>
      <c r="B487" s="3" t="inlineStr">
        <is>
          <t>ccaa:16</t>
        </is>
      </c>
      <c r="C487" s="3" t="inlineStr">
        <is>
          <t>P2</t>
        </is>
      </c>
      <c r="D487" s="3" t="inlineStr">
        <is>
          <t>oferta</t>
        </is>
      </c>
      <c r="E487" s="3" t="inlineStr">
        <is>
          <t>regional_panel</t>
        </is>
      </c>
      <c r="F487" s="3" t="inlineStr">
        <is>
          <t>panel_covariables</t>
        </is>
      </c>
      <c r="G487" s="3" t="n">
        <v>0.147363</v>
      </c>
      <c r="H487" s="3" t="n">
        <v>-9.095689999999999</v>
      </c>
      <c r="I487" s="3" t="n">
        <v>0.00521971</v>
      </c>
      <c r="J487" s="3" t="n">
        <v>0.301582</v>
      </c>
      <c r="K487" s="3" t="n">
        <v>-1.62014</v>
      </c>
      <c r="L487" s="3" t="n">
        <v>3</v>
      </c>
      <c r="M487" s="3" t="inlineStr">
        <is>
          <t>si</t>
        </is>
      </c>
      <c r="N487" s="3" t="inlineStr">
        <is>
          <t>no designado (contraste C4: no hay svar_hd regional)</t>
        </is>
      </c>
      <c r="O487" s="3" t="inlineStr">
        <is>
          <t>CCAA: ranking por c_f·sign(dY) del panel FE (M8); asociacion, sin lectura causal; el factor comun es un resumen de comovimiento (pendiente ~1 mecanica, J23)</t>
        </is>
      </c>
      <c r="P487" s="3" t="inlineStr">
        <is>
          <t>output/v8/F5/regional_ranking.csv</t>
        </is>
      </c>
    </row>
    <row r="488">
      <c r="A488" s="3" t="inlineStr">
        <is>
          <t>alquiler</t>
        </is>
      </c>
      <c r="B488" s="3" t="inlineStr">
        <is>
          <t>ccaa:16</t>
        </is>
      </c>
      <c r="C488" s="3" t="inlineStr">
        <is>
          <t>P2</t>
        </is>
      </c>
      <c r="D488" s="3" t="inlineStr">
        <is>
          <t>demanda_externa</t>
        </is>
      </c>
      <c r="E488" s="3" t="inlineStr">
        <is>
          <t>regional_panel</t>
        </is>
      </c>
      <c r="F488" s="3" t="inlineStr">
        <is>
          <t>panel_covariables</t>
        </is>
      </c>
      <c r="G488" s="3" t="n">
        <v>-0.0180694</v>
      </c>
      <c r="H488" s="3" t="n">
        <v>1.1153</v>
      </c>
      <c r="I488" s="3" t="n">
        <v>-0.0720995</v>
      </c>
      <c r="J488" s="3" t="n">
        <v>0.106378</v>
      </c>
      <c r="K488" s="3" t="n">
        <v>-1.62014</v>
      </c>
      <c r="L488" s="3" t="n">
        <v>1</v>
      </c>
      <c r="M488" s="3" t="inlineStr">
        <is>
          <t>si</t>
        </is>
      </c>
      <c r="N488" s="3" t="inlineStr">
        <is>
          <t>no designado (contraste C4: no hay svar_hd regional)</t>
        </is>
      </c>
      <c r="O488" s="3" t="inlineStr">
        <is>
          <t>CCAA: ranking por c_f·sign(dY) del panel FE (M8); asociacion, sin lectura causal; el factor comun es un resumen de comovimiento (pendiente ~1 mecanica, J23)</t>
        </is>
      </c>
      <c r="P488" s="3" t="inlineStr">
        <is>
          <t>output/v8/F5/regional_ranking.csv</t>
        </is>
      </c>
    </row>
    <row r="489">
      <c r="A489" s="3" t="inlineStr">
        <is>
          <t>alquiler</t>
        </is>
      </c>
      <c r="B489" s="3" t="inlineStr">
        <is>
          <t>ccaa:16</t>
        </is>
      </c>
      <c r="C489" s="3" t="inlineStr">
        <is>
          <t>P2</t>
        </is>
      </c>
      <c r="D489" s="3" t="inlineStr">
        <is>
          <t>residuo</t>
        </is>
      </c>
      <c r="E489" s="3" t="inlineStr">
        <is>
          <t>regional_panel</t>
        </is>
      </c>
      <c r="F489" s="3" t="inlineStr">
        <is>
          <t>panel_covariables</t>
        </is>
      </c>
      <c r="G489" s="3" t="n">
        <v>1.39753</v>
      </c>
      <c r="H489" s="3" t="n">
        <v>-86.26000000000001</v>
      </c>
      <c r="I489" s="3" t="n">
        <v>0.253359</v>
      </c>
      <c r="J489" s="3" t="n">
        <v>2.25974</v>
      </c>
      <c r="K489" s="3" t="n">
        <v>-1.62014</v>
      </c>
      <c r="L489" s="3" t="n"/>
      <c r="M489" s="3" t="inlineStr">
        <is>
          <t>no</t>
        </is>
      </c>
      <c r="N489" s="3" t="inlineStr">
        <is>
          <t>no designado (contraste C4: no hay svar_hd regional)</t>
        </is>
      </c>
      <c r="O489" s="3" t="inlineStr">
        <is>
          <t>CCAA: ranking por c_f·sign(dY) del panel FE (M8); asociacion, sin lectura causal; el factor comun es un resumen de comovimiento (pendiente ~1 mecanica, J23)</t>
        </is>
      </c>
      <c r="P489" s="3" t="inlineStr">
        <is>
          <t>output/v8/F5/regional_ranking.csv</t>
        </is>
      </c>
    </row>
    <row r="490">
      <c r="A490" s="3" t="inlineStr">
        <is>
          <t>alquiler</t>
        </is>
      </c>
      <c r="B490" s="3" t="inlineStr">
        <is>
          <t>ccaa:16</t>
        </is>
      </c>
      <c r="C490" s="3" t="inlineStr">
        <is>
          <t>P3</t>
        </is>
      </c>
      <c r="D490" s="3" t="inlineStr">
        <is>
          <t>factor_comun</t>
        </is>
      </c>
      <c r="E490" s="3" t="inlineStr">
        <is>
          <t>regional_ccaa_ols</t>
        </is>
      </c>
      <c r="F490" s="3" t="inlineStr">
        <is>
          <t>ols_solo_factor</t>
        </is>
      </c>
      <c r="G490" s="3" t="n">
        <v>-2.38031</v>
      </c>
      <c r="H490" s="3" t="n">
        <v>81.6247</v>
      </c>
      <c r="I490" s="3" t="n">
        <v>-3.92519</v>
      </c>
      <c r="J490" s="3" t="n">
        <v>-0.69451</v>
      </c>
      <c r="K490" s="3" t="n">
        <v>-2.26524</v>
      </c>
      <c r="L490" s="3" t="n"/>
      <c r="M490" s="3" t="inlineStr">
        <is>
          <t>no</t>
        </is>
      </c>
      <c r="N490" s="3" t="inlineStr">
        <is>
          <t>no designado (contraste C4: no hay svar_hd regional)</t>
        </is>
      </c>
      <c r="O490" s="3" t="inlineStr">
        <is>
          <t>CCAA: ranking por c_f·sign(dY) del panel FE (M8); asociacion, sin lectura causal; el factor comun es un resumen de comovimiento (pendiente ~1 mecanica, J23)</t>
        </is>
      </c>
      <c r="P490" s="3" t="inlineStr">
        <is>
          <t>output/v8/F5/regional_ranking.csv</t>
        </is>
      </c>
    </row>
    <row r="491">
      <c r="A491" s="3" t="inlineStr">
        <is>
          <t>alquiler</t>
        </is>
      </c>
      <c r="B491" s="3" t="inlineStr">
        <is>
          <t>ccaa:16</t>
        </is>
      </c>
      <c r="C491" s="3" t="inlineStr">
        <is>
          <t>P3</t>
        </is>
      </c>
      <c r="D491" s="3" t="inlineStr">
        <is>
          <t>residuo</t>
        </is>
      </c>
      <c r="E491" s="3" t="inlineStr">
        <is>
          <t>regional_ccaa_ols</t>
        </is>
      </c>
      <c r="F491" s="3" t="inlineStr">
        <is>
          <t>ols_solo_factor</t>
        </is>
      </c>
      <c r="G491" s="3" t="n">
        <v>-0.5358540000000001</v>
      </c>
      <c r="H491" s="3" t="n">
        <v>18.3753</v>
      </c>
      <c r="I491" s="3" t="n"/>
      <c r="J491" s="3" t="n"/>
      <c r="K491" s="3" t="n">
        <v>-2.26524</v>
      </c>
      <c r="L491" s="3" t="n"/>
      <c r="M491" s="3" t="inlineStr">
        <is>
          <t>no</t>
        </is>
      </c>
      <c r="N491" s="3" t="inlineStr">
        <is>
          <t>no designado (contraste C4: no hay svar_hd regional)</t>
        </is>
      </c>
      <c r="O491" s="3" t="inlineStr">
        <is>
          <t>CCAA: ranking por c_f·sign(dY) del panel FE (M8); asociacion, sin lectura causal; el factor comun es un resumen de comovimiento (pendiente ~1 mecanica, J23)</t>
        </is>
      </c>
      <c r="P491" s="3" t="inlineStr">
        <is>
          <t>output/v8/F5/regional_ranking.csv</t>
        </is>
      </c>
    </row>
    <row r="492">
      <c r="A492" s="3" t="inlineStr">
        <is>
          <t>alquiler</t>
        </is>
      </c>
      <c r="B492" s="3" t="inlineStr">
        <is>
          <t>ccaa:16</t>
        </is>
      </c>
      <c r="C492" s="3" t="inlineStr">
        <is>
          <t>P3</t>
        </is>
      </c>
      <c r="D492" s="3" t="inlineStr">
        <is>
          <t>factor_comun</t>
        </is>
      </c>
      <c r="E492" s="3" t="inlineStr">
        <is>
          <t>regional_panel</t>
        </is>
      </c>
      <c r="F492" s="3" t="inlineStr">
        <is>
          <t>panel_covariables</t>
        </is>
      </c>
      <c r="G492" s="3" t="n">
        <v>-1.89168</v>
      </c>
      <c r="H492" s="3" t="n">
        <v>83.5093</v>
      </c>
      <c r="I492" s="3" t="n">
        <v>-3.03018</v>
      </c>
      <c r="J492" s="3" t="n">
        <v>-0.7753910000000001</v>
      </c>
      <c r="K492" s="3" t="n">
        <v>-2.26524</v>
      </c>
      <c r="L492" s="3" t="n"/>
      <c r="M492" s="3" t="inlineStr">
        <is>
          <t>no</t>
        </is>
      </c>
      <c r="N492" s="3" t="inlineStr">
        <is>
          <t>no designado (contraste C4: no hay svar_hd regional)</t>
        </is>
      </c>
      <c r="O492" s="3" t="inlineStr">
        <is>
          <t>CCAA: ranking por c_f·sign(dY) del panel FE (M8); asociacion, sin lectura causal; el factor comun es un resumen de comovimiento (pendiente ~1 mecanica, J23)</t>
        </is>
      </c>
      <c r="P492" s="3" t="inlineStr">
        <is>
          <t>output/v8/F5/regional_ranking.csv</t>
        </is>
      </c>
    </row>
    <row r="493">
      <c r="A493" s="3" t="inlineStr">
        <is>
          <t>alquiler</t>
        </is>
      </c>
      <c r="B493" s="3" t="inlineStr">
        <is>
          <t>ccaa:16</t>
        </is>
      </c>
      <c r="C493" s="3" t="inlineStr">
        <is>
          <t>P3</t>
        </is>
      </c>
      <c r="D493" s="3" t="inlineStr">
        <is>
          <t>empleo_renta</t>
        </is>
      </c>
      <c r="E493" s="3" t="inlineStr">
        <is>
          <t>regional_panel</t>
        </is>
      </c>
      <c r="F493" s="3" t="inlineStr">
        <is>
          <t>panel_covariables</t>
        </is>
      </c>
      <c r="G493" s="3" t="n">
        <v>0.0288517</v>
      </c>
      <c r="H493" s="3" t="n">
        <v>-1.27367</v>
      </c>
      <c r="I493" s="3" t="n">
        <v>-0.127348</v>
      </c>
      <c r="J493" s="3" t="n">
        <v>0.148239</v>
      </c>
      <c r="K493" s="3" t="n">
        <v>-2.26524</v>
      </c>
      <c r="L493" s="3" t="n">
        <v>3</v>
      </c>
      <c r="M493" s="3" t="inlineStr">
        <is>
          <t>si</t>
        </is>
      </c>
      <c r="N493" s="3" t="inlineStr">
        <is>
          <t>no designado (contraste C4: no hay svar_hd regional)</t>
        </is>
      </c>
      <c r="O493" s="3" t="inlineStr">
        <is>
          <t>CCAA: ranking por c_f·sign(dY) del panel FE (M8); asociacion, sin lectura causal; el factor comun es un resumen de comovimiento (pendiente ~1 mecanica, J23)</t>
        </is>
      </c>
      <c r="P493" s="3" t="inlineStr">
        <is>
          <t>output/v8/F5/regional_ranking.csv</t>
        </is>
      </c>
    </row>
    <row r="494">
      <c r="A494" s="3" t="inlineStr">
        <is>
          <t>alquiler</t>
        </is>
      </c>
      <c r="B494" s="3" t="inlineStr">
        <is>
          <t>ccaa:16</t>
        </is>
      </c>
      <c r="C494" s="3" t="inlineStr">
        <is>
          <t>P3</t>
        </is>
      </c>
      <c r="D494" s="3" t="inlineStr">
        <is>
          <t>demografia</t>
        </is>
      </c>
      <c r="E494" s="3" t="inlineStr">
        <is>
          <t>regional_panel</t>
        </is>
      </c>
      <c r="F494" s="3" t="inlineStr">
        <is>
          <t>panel_covariables</t>
        </is>
      </c>
      <c r="G494" s="3" t="n">
        <v>-0.036127</v>
      </c>
      <c r="H494" s="3" t="n">
        <v>1.59484</v>
      </c>
      <c r="I494" s="3" t="n">
        <v>-0.227373</v>
      </c>
      <c r="J494" s="3" t="n">
        <v>0.248182</v>
      </c>
      <c r="K494" s="3" t="n">
        <v>-2.26524</v>
      </c>
      <c r="L494" s="3" t="n">
        <v>1</v>
      </c>
      <c r="M494" s="3" t="inlineStr">
        <is>
          <t>si</t>
        </is>
      </c>
      <c r="N494" s="3" t="inlineStr">
        <is>
          <t>no designado (contraste C4: no hay svar_hd regional)</t>
        </is>
      </c>
      <c r="O494" s="3" t="inlineStr">
        <is>
          <t>CCAA: ranking por c_f·sign(dY) del panel FE (M8); asociacion, sin lectura causal; el factor comun es un resumen de comovimiento (pendiente ~1 mecanica, J23)</t>
        </is>
      </c>
      <c r="P494" s="3" t="inlineStr">
        <is>
          <t>output/v8/F5/regional_ranking.csv</t>
        </is>
      </c>
    </row>
    <row r="495">
      <c r="A495" s="3" t="inlineStr">
        <is>
          <t>alquiler</t>
        </is>
      </c>
      <c r="B495" s="3" t="inlineStr">
        <is>
          <t>ccaa:16</t>
        </is>
      </c>
      <c r="C495" s="3" t="inlineStr">
        <is>
          <t>P3</t>
        </is>
      </c>
      <c r="D495" s="3" t="inlineStr">
        <is>
          <t>oferta</t>
        </is>
      </c>
      <c r="E495" s="3" t="inlineStr">
        <is>
          <t>regional_panel</t>
        </is>
      </c>
      <c r="F495" s="3" t="inlineStr">
        <is>
          <t>panel_covariables</t>
        </is>
      </c>
      <c r="G495" s="3" t="n">
        <v>0.0254267</v>
      </c>
      <c r="H495" s="3" t="n">
        <v>-1.12248</v>
      </c>
      <c r="I495" s="3" t="n">
        <v>-0.00686727</v>
      </c>
      <c r="J495" s="3" t="n">
        <v>0.09831330000000001</v>
      </c>
      <c r="K495" s="3" t="n">
        <v>-2.26524</v>
      </c>
      <c r="L495" s="3" t="n">
        <v>2</v>
      </c>
      <c r="M495" s="3" t="inlineStr">
        <is>
          <t>si</t>
        </is>
      </c>
      <c r="N495" s="3" t="inlineStr">
        <is>
          <t>no designado (contraste C4: no hay svar_hd regional)</t>
        </is>
      </c>
      <c r="O495" s="3" t="inlineStr">
        <is>
          <t>CCAA: ranking por c_f·sign(dY) del panel FE (M8); asociacion, sin lectura causal; el factor comun es un resumen de comovimiento (pendiente ~1 mecanica, J23)</t>
        </is>
      </c>
      <c r="P495" s="3" t="inlineStr">
        <is>
          <t>output/v8/F5/regional_ranking.csv</t>
        </is>
      </c>
    </row>
    <row r="496">
      <c r="A496" s="3" t="inlineStr">
        <is>
          <t>alquiler</t>
        </is>
      </c>
      <c r="B496" s="3" t="inlineStr">
        <is>
          <t>ccaa:16</t>
        </is>
      </c>
      <c r="C496" s="3" t="inlineStr">
        <is>
          <t>P3</t>
        </is>
      </c>
      <c r="D496" s="3" t="inlineStr">
        <is>
          <t>demanda_externa</t>
        </is>
      </c>
      <c r="E496" s="3" t="inlineStr">
        <is>
          <t>regional_panel</t>
        </is>
      </c>
      <c r="F496" s="3" t="inlineStr">
        <is>
          <t>panel_covariables</t>
        </is>
      </c>
      <c r="G496" s="3" t="n">
        <v>0.176932</v>
      </c>
      <c r="H496" s="3" t="n">
        <v>-7.81075</v>
      </c>
      <c r="I496" s="3" t="n">
        <v>0.0592153</v>
      </c>
      <c r="J496" s="3" t="n">
        <v>0.282557</v>
      </c>
      <c r="K496" s="3" t="n">
        <v>-2.26524</v>
      </c>
      <c r="L496" s="3" t="n">
        <v>4</v>
      </c>
      <c r="M496" s="3" t="inlineStr">
        <is>
          <t>si</t>
        </is>
      </c>
      <c r="N496" s="3" t="inlineStr">
        <is>
          <t>no designado (contraste C4: no hay svar_hd regional)</t>
        </is>
      </c>
      <c r="O496" s="3" t="inlineStr">
        <is>
          <t>CCAA: ranking por c_f·sign(dY) del panel FE (M8); asociacion, sin lectura causal; el factor comun es un resumen de comovimiento (pendiente ~1 mecanica, J23)</t>
        </is>
      </c>
      <c r="P496" s="3" t="inlineStr">
        <is>
          <t>output/v8/F5/regional_ranking.csv</t>
        </is>
      </c>
    </row>
    <row r="497">
      <c r="A497" s="3" t="inlineStr">
        <is>
          <t>alquiler</t>
        </is>
      </c>
      <c r="B497" s="3" t="inlineStr">
        <is>
          <t>ccaa:16</t>
        </is>
      </c>
      <c r="C497" s="3" t="inlineStr">
        <is>
          <t>P3</t>
        </is>
      </c>
      <c r="D497" s="3" t="inlineStr">
        <is>
          <t>residuo</t>
        </is>
      </c>
      <c r="E497" s="3" t="inlineStr">
        <is>
          <t>regional_panel</t>
        </is>
      </c>
      <c r="F497" s="3" t="inlineStr">
        <is>
          <t>panel_covariables</t>
        </is>
      </c>
      <c r="G497" s="3" t="n">
        <v>-0.568638</v>
      </c>
      <c r="H497" s="3" t="n">
        <v>25.1028</v>
      </c>
      <c r="I497" s="3" t="n">
        <v>-1.06082</v>
      </c>
      <c r="J497" s="3" t="n">
        <v>-0.0913524</v>
      </c>
      <c r="K497" s="3" t="n">
        <v>-2.26524</v>
      </c>
      <c r="L497" s="3" t="n"/>
      <c r="M497" s="3" t="inlineStr">
        <is>
          <t>no</t>
        </is>
      </c>
      <c r="N497" s="3" t="inlineStr">
        <is>
          <t>no designado (contraste C4: no hay svar_hd regional)</t>
        </is>
      </c>
      <c r="O497" s="3" t="inlineStr">
        <is>
          <t>CCAA: ranking por c_f·sign(dY) del panel FE (M8); asociacion, sin lectura causal; el factor comun es un resumen de comovimiento (pendiente ~1 mecanica, J23)</t>
        </is>
      </c>
      <c r="P497" s="3" t="inlineStr">
        <is>
          <t>output/v8/F5/regional_ranking.csv</t>
        </is>
      </c>
    </row>
    <row r="498">
      <c r="A498" s="3" t="inlineStr">
        <is>
          <t>alquiler</t>
        </is>
      </c>
      <c r="B498" s="3" t="inlineStr">
        <is>
          <t>ccaa:16</t>
        </is>
      </c>
      <c r="C498" s="3" t="inlineStr">
        <is>
          <t>P4</t>
        </is>
      </c>
      <c r="D498" s="3" t="inlineStr">
        <is>
          <t>factor_comun</t>
        </is>
      </c>
      <c r="E498" s="3" t="inlineStr">
        <is>
          <t>regional_ccaa_ols</t>
        </is>
      </c>
      <c r="F498" s="3" t="inlineStr">
        <is>
          <t>ols_solo_factor</t>
        </is>
      </c>
      <c r="G498" s="3" t="n">
        <v>-4.50847</v>
      </c>
      <c r="H498" s="3" t="n">
        <v>98.34820000000001</v>
      </c>
      <c r="I498" s="3" t="n">
        <v>-8.122680000000001</v>
      </c>
      <c r="J498" s="3" t="n">
        <v>-1.24503</v>
      </c>
      <c r="K498" s="3" t="n">
        <v>-4.58419</v>
      </c>
      <c r="L498" s="3" t="n"/>
      <c r="M498" s="3" t="inlineStr">
        <is>
          <t>no</t>
        </is>
      </c>
      <c r="N498" s="3" t="inlineStr">
        <is>
          <t>no designado (contraste C4: no hay svar_hd regional)</t>
        </is>
      </c>
      <c r="O498" s="3" t="inlineStr">
        <is>
          <t>CCAA: ranking por c_f·sign(dY) del panel FE (M8); asociacion, sin lectura causal; el factor comun es un resumen de comovimiento (pendiente ~1 mecanica, J23)</t>
        </is>
      </c>
      <c r="P498" s="3" t="inlineStr">
        <is>
          <t>output/v8/F5/regional_ranking.csv</t>
        </is>
      </c>
    </row>
    <row r="499">
      <c r="A499" s="3" t="inlineStr">
        <is>
          <t>alquiler</t>
        </is>
      </c>
      <c r="B499" s="3" t="inlineStr">
        <is>
          <t>ccaa:16</t>
        </is>
      </c>
      <c r="C499" s="3" t="inlineStr">
        <is>
          <t>P4</t>
        </is>
      </c>
      <c r="D499" s="3" t="inlineStr">
        <is>
          <t>residuo</t>
        </is>
      </c>
      <c r="E499" s="3" t="inlineStr">
        <is>
          <t>regional_ccaa_ols</t>
        </is>
      </c>
      <c r="F499" s="3" t="inlineStr">
        <is>
          <t>ols_solo_factor</t>
        </is>
      </c>
      <c r="G499" s="3" t="n">
        <v>-0.0757197</v>
      </c>
      <c r="H499" s="3" t="n">
        <v>1.65176</v>
      </c>
      <c r="I499" s="3" t="n"/>
      <c r="J499" s="3" t="n"/>
      <c r="K499" s="3" t="n">
        <v>-4.58419</v>
      </c>
      <c r="L499" s="3" t="n"/>
      <c r="M499" s="3" t="inlineStr">
        <is>
          <t>no</t>
        </is>
      </c>
      <c r="N499" s="3" t="inlineStr">
        <is>
          <t>no designado (contraste C4: no hay svar_hd regional)</t>
        </is>
      </c>
      <c r="O499" s="3" t="inlineStr">
        <is>
          <t>CCAA: ranking por c_f·sign(dY) del panel FE (M8); asociacion, sin lectura causal; el factor comun es un resumen de comovimiento (pendiente ~1 mecanica, J23)</t>
        </is>
      </c>
      <c r="P499" s="3" t="inlineStr">
        <is>
          <t>output/v8/F5/regional_ranking.csv</t>
        </is>
      </c>
    </row>
    <row r="500">
      <c r="A500" s="3" t="inlineStr">
        <is>
          <t>alquiler</t>
        </is>
      </c>
      <c r="B500" s="3" t="inlineStr">
        <is>
          <t>ccaa:16</t>
        </is>
      </c>
      <c r="C500" s="3" t="inlineStr">
        <is>
          <t>P4</t>
        </is>
      </c>
      <c r="D500" s="3" t="inlineStr">
        <is>
          <t>factor_comun</t>
        </is>
      </c>
      <c r="E500" s="3" t="inlineStr">
        <is>
          <t>regional_panel</t>
        </is>
      </c>
      <c r="F500" s="3" t="inlineStr">
        <is>
          <t>panel_covariables</t>
        </is>
      </c>
      <c r="G500" s="3" t="n">
        <v>-4.82785</v>
      </c>
      <c r="H500" s="3" t="n">
        <v>105.315</v>
      </c>
      <c r="I500" s="3" t="n">
        <v>-8.01083</v>
      </c>
      <c r="J500" s="3" t="n">
        <v>-1.73403</v>
      </c>
      <c r="K500" s="3" t="n">
        <v>-4.58419</v>
      </c>
      <c r="L500" s="3" t="n"/>
      <c r="M500" s="3" t="inlineStr">
        <is>
          <t>no</t>
        </is>
      </c>
      <c r="N500" s="3" t="inlineStr">
        <is>
          <t>no designado (contraste C4: no hay svar_hd regional)</t>
        </is>
      </c>
      <c r="O500" s="3" t="inlineStr">
        <is>
          <t>CCAA: ranking por c_f·sign(dY) del panel FE (M8); asociacion, sin lectura causal; el factor comun es un resumen de comovimiento (pendiente ~1 mecanica, J23)</t>
        </is>
      </c>
      <c r="P500" s="3" t="inlineStr">
        <is>
          <t>output/v8/F5/regional_ranking.csv</t>
        </is>
      </c>
    </row>
    <row r="501">
      <c r="A501" s="3" t="inlineStr">
        <is>
          <t>alquiler</t>
        </is>
      </c>
      <c r="B501" s="3" t="inlineStr">
        <is>
          <t>ccaa:16</t>
        </is>
      </c>
      <c r="C501" s="3" t="inlineStr">
        <is>
          <t>P4</t>
        </is>
      </c>
      <c r="D501" s="3" t="inlineStr">
        <is>
          <t>empleo_renta</t>
        </is>
      </c>
      <c r="E501" s="3" t="inlineStr">
        <is>
          <t>regional_panel</t>
        </is>
      </c>
      <c r="F501" s="3" t="inlineStr">
        <is>
          <t>panel_covariables</t>
        </is>
      </c>
      <c r="G501" s="3" t="n">
        <v>0.0262318</v>
      </c>
      <c r="H501" s="3" t="n">
        <v>-0.572224</v>
      </c>
      <c r="I501" s="3" t="n">
        <v>-0.0468314</v>
      </c>
      <c r="J501" s="3" t="n">
        <v>0.0640888</v>
      </c>
      <c r="K501" s="3" t="n">
        <v>-4.58419</v>
      </c>
      <c r="L501" s="3" t="n">
        <v>3</v>
      </c>
      <c r="M501" s="3" t="inlineStr">
        <is>
          <t>si</t>
        </is>
      </c>
      <c r="N501" s="3" t="inlineStr">
        <is>
          <t>no designado (contraste C4: no hay svar_hd regional)</t>
        </is>
      </c>
      <c r="O501" s="3" t="inlineStr">
        <is>
          <t>CCAA: ranking por c_f·sign(dY) del panel FE (M8); asociacion, sin lectura causal; el factor comun es un resumen de comovimiento (pendiente ~1 mecanica, J23)</t>
        </is>
      </c>
      <c r="P501" s="3" t="inlineStr">
        <is>
          <t>output/v8/F5/regional_ranking.csv</t>
        </is>
      </c>
    </row>
    <row r="502">
      <c r="A502" s="3" t="inlineStr">
        <is>
          <t>alquiler</t>
        </is>
      </c>
      <c r="B502" s="3" t="inlineStr">
        <is>
          <t>ccaa:16</t>
        </is>
      </c>
      <c r="C502" s="3" t="inlineStr">
        <is>
          <t>P4</t>
        </is>
      </c>
      <c r="D502" s="3" t="inlineStr">
        <is>
          <t>demografia</t>
        </is>
      </c>
      <c r="E502" s="3" t="inlineStr">
        <is>
          <t>regional_panel</t>
        </is>
      </c>
      <c r="F502" s="3" t="inlineStr">
        <is>
          <t>panel_covariables</t>
        </is>
      </c>
      <c r="G502" s="3" t="n">
        <v>0.446991</v>
      </c>
      <c r="H502" s="3" t="n">
        <v>-9.75071</v>
      </c>
      <c r="I502" s="3" t="n">
        <v>0.0731247</v>
      </c>
      <c r="J502" s="3" t="n">
        <v>0.99139</v>
      </c>
      <c r="K502" s="3" t="n">
        <v>-4.58419</v>
      </c>
      <c r="L502" s="3" t="n">
        <v>4</v>
      </c>
      <c r="M502" s="3" t="inlineStr">
        <is>
          <t>si</t>
        </is>
      </c>
      <c r="N502" s="3" t="inlineStr">
        <is>
          <t>no designado (contraste C4: no hay svar_hd regional)</t>
        </is>
      </c>
      <c r="O502" s="3" t="inlineStr">
        <is>
          <t>CCAA: ranking por c_f·sign(dY) del panel FE (M8); asociacion, sin lectura causal; el factor comun es un resumen de comovimiento (pendiente ~1 mecanica, J23)</t>
        </is>
      </c>
      <c r="P502" s="3" t="inlineStr">
        <is>
          <t>output/v8/F5/regional_ranking.csv</t>
        </is>
      </c>
    </row>
    <row r="503">
      <c r="A503" s="3" t="inlineStr">
        <is>
          <t>alquiler</t>
        </is>
      </c>
      <c r="B503" s="3" t="inlineStr">
        <is>
          <t>ccaa:16</t>
        </is>
      </c>
      <c r="C503" s="3" t="inlineStr">
        <is>
          <t>P4</t>
        </is>
      </c>
      <c r="D503" s="3" t="inlineStr">
        <is>
          <t>oferta</t>
        </is>
      </c>
      <c r="E503" s="3" t="inlineStr">
        <is>
          <t>regional_panel</t>
        </is>
      </c>
      <c r="F503" s="3" t="inlineStr">
        <is>
          <t>panel_covariables</t>
        </is>
      </c>
      <c r="G503" s="3" t="n">
        <v>-0.00392598</v>
      </c>
      <c r="H503" s="3" t="n">
        <v>0.08564190000000001</v>
      </c>
      <c r="I503" s="3" t="n">
        <v>-0.0300654</v>
      </c>
      <c r="J503" s="3" t="n">
        <v>0.0212562</v>
      </c>
      <c r="K503" s="3" t="n">
        <v>-4.58419</v>
      </c>
      <c r="L503" s="3" t="n">
        <v>1</v>
      </c>
      <c r="M503" s="3" t="inlineStr">
        <is>
          <t>si</t>
        </is>
      </c>
      <c r="N503" s="3" t="inlineStr">
        <is>
          <t>no designado (contraste C4: no hay svar_hd regional)</t>
        </is>
      </c>
      <c r="O503" s="3" t="inlineStr">
        <is>
          <t>CCAA: ranking por c_f·sign(dY) del panel FE (M8); asociacion, sin lectura causal; el factor comun es un resumen de comovimiento (pendiente ~1 mecanica, J23)</t>
        </is>
      </c>
      <c r="P503" s="3" t="inlineStr">
        <is>
          <t>output/v8/F5/regional_ranking.csv</t>
        </is>
      </c>
    </row>
    <row r="504">
      <c r="A504" s="3" t="inlineStr">
        <is>
          <t>alquiler</t>
        </is>
      </c>
      <c r="B504" s="3" t="inlineStr">
        <is>
          <t>ccaa:16</t>
        </is>
      </c>
      <c r="C504" s="3" t="inlineStr">
        <is>
          <t>P4</t>
        </is>
      </c>
      <c r="D504" s="3" t="inlineStr">
        <is>
          <t>demanda_externa</t>
        </is>
      </c>
      <c r="E504" s="3" t="inlineStr">
        <is>
          <t>regional_panel</t>
        </is>
      </c>
      <c r="F504" s="3" t="inlineStr">
        <is>
          <t>panel_covariables</t>
        </is>
      </c>
      <c r="G504" s="3" t="n">
        <v>0.00404353</v>
      </c>
      <c r="H504" s="3" t="n">
        <v>-0.0882061</v>
      </c>
      <c r="I504" s="3" t="n">
        <v>-0.0333747</v>
      </c>
      <c r="J504" s="3" t="n">
        <v>0.0121903</v>
      </c>
      <c r="K504" s="3" t="n">
        <v>-4.58419</v>
      </c>
      <c r="L504" s="3" t="n">
        <v>2</v>
      </c>
      <c r="M504" s="3" t="inlineStr">
        <is>
          <t>si</t>
        </is>
      </c>
      <c r="N504" s="3" t="inlineStr">
        <is>
          <t>no designado (contraste C4: no hay svar_hd regional)</t>
        </is>
      </c>
      <c r="O504" s="3" t="inlineStr">
        <is>
          <t>CCAA: ranking por c_f·sign(dY) del panel FE (M8); asociacion, sin lectura causal; el factor comun es un resumen de comovimiento (pendiente ~1 mecanica, J23)</t>
        </is>
      </c>
      <c r="P504" s="3" t="inlineStr">
        <is>
          <t>output/v8/F5/regional_ranking.csv</t>
        </is>
      </c>
    </row>
    <row r="505">
      <c r="A505" s="3" t="inlineStr">
        <is>
          <t>alquiler</t>
        </is>
      </c>
      <c r="B505" s="3" t="inlineStr">
        <is>
          <t>ccaa:16</t>
        </is>
      </c>
      <c r="C505" s="3" t="inlineStr">
        <is>
          <t>P4</t>
        </is>
      </c>
      <c r="D505" s="3" t="inlineStr">
        <is>
          <t>residuo</t>
        </is>
      </c>
      <c r="E505" s="3" t="inlineStr">
        <is>
          <t>regional_panel</t>
        </is>
      </c>
      <c r="F505" s="3" t="inlineStr">
        <is>
          <t>panel_covariables</t>
        </is>
      </c>
      <c r="G505" s="3" t="n">
        <v>-0.22968</v>
      </c>
      <c r="H505" s="3" t="n">
        <v>5.01027</v>
      </c>
      <c r="I505" s="3" t="n">
        <v>-0.77824</v>
      </c>
      <c r="J505" s="3" t="n">
        <v>0.151356</v>
      </c>
      <c r="K505" s="3" t="n">
        <v>-4.58419</v>
      </c>
      <c r="L505" s="3" t="n"/>
      <c r="M505" s="3" t="inlineStr">
        <is>
          <t>no</t>
        </is>
      </c>
      <c r="N505" s="3" t="inlineStr">
        <is>
          <t>no designado (contraste C4: no hay svar_hd regional)</t>
        </is>
      </c>
      <c r="O505" s="3" t="inlineStr">
        <is>
          <t>CCAA: ranking por c_f·sign(dY) del panel FE (M8); asociacion, sin lectura causal; el factor comun es un resumen de comovimiento (pendiente ~1 mecanica, J23)</t>
        </is>
      </c>
      <c r="P505" s="3" t="inlineStr">
        <is>
          <t>output/v8/F5/regional_ranking.csv</t>
        </is>
      </c>
    </row>
    <row r="506">
      <c r="A506" s="3" t="inlineStr">
        <is>
          <t>alquiler</t>
        </is>
      </c>
      <c r="B506" s="3" t="inlineStr">
        <is>
          <t>ccaa:16</t>
        </is>
      </c>
      <c r="C506" s="3" t="inlineStr">
        <is>
          <t>P5</t>
        </is>
      </c>
      <c r="D506" s="3" t="inlineStr">
        <is>
          <t>factor_comun</t>
        </is>
      </c>
      <c r="E506" s="3" t="inlineStr">
        <is>
          <t>regional_ccaa_ols</t>
        </is>
      </c>
      <c r="F506" s="3" t="inlineStr">
        <is>
          <t>ols_solo_factor</t>
        </is>
      </c>
      <c r="G506" s="3" t="n">
        <v>-5.03591</v>
      </c>
      <c r="H506" s="3" t="n">
        <v>66.72490000000001</v>
      </c>
      <c r="I506" s="3" t="n">
        <v>-7.64134</v>
      </c>
      <c r="J506" s="3" t="n">
        <v>-2.08185</v>
      </c>
      <c r="K506" s="3" t="n">
        <v>-6.00906</v>
      </c>
      <c r="L506" s="3" t="n"/>
      <c r="M506" s="3" t="inlineStr">
        <is>
          <t>no</t>
        </is>
      </c>
      <c r="N506" s="3" t="inlineStr">
        <is>
          <t>no designado (contraste C4: no hay svar_hd regional)</t>
        </is>
      </c>
      <c r="O506" s="3" t="inlineStr">
        <is>
          <t>CCAA: ranking por c_f·sign(dY) del panel FE (M8); asociacion, sin lectura causal; el factor comun es un resumen de comovimiento (pendiente ~1 mecanica, J23)</t>
        </is>
      </c>
      <c r="P506" s="3" t="inlineStr">
        <is>
          <t>output/v8/F5/regional_ranking.csv</t>
        </is>
      </c>
    </row>
    <row r="507">
      <c r="A507" s="3" t="inlineStr">
        <is>
          <t>alquiler</t>
        </is>
      </c>
      <c r="B507" s="3" t="inlineStr">
        <is>
          <t>ccaa:16</t>
        </is>
      </c>
      <c r="C507" s="3" t="inlineStr">
        <is>
          <t>P5</t>
        </is>
      </c>
      <c r="D507" s="3" t="inlineStr">
        <is>
          <t>residuo</t>
        </is>
      </c>
      <c r="E507" s="3" t="inlineStr">
        <is>
          <t>regional_ccaa_ols</t>
        </is>
      </c>
      <c r="F507" s="3" t="inlineStr">
        <is>
          <t>ols_solo_factor</t>
        </is>
      </c>
      <c r="G507" s="3" t="n">
        <v>-2.51137</v>
      </c>
      <c r="H507" s="3" t="n">
        <v>33.2751</v>
      </c>
      <c r="I507" s="3" t="n"/>
      <c r="J507" s="3" t="n"/>
      <c r="K507" s="3" t="n">
        <v>-6.00906</v>
      </c>
      <c r="L507" s="3" t="n"/>
      <c r="M507" s="3" t="inlineStr">
        <is>
          <t>no</t>
        </is>
      </c>
      <c r="N507" s="3" t="inlineStr">
        <is>
          <t>no designado (contraste C4: no hay svar_hd regional)</t>
        </is>
      </c>
      <c r="O507" s="3" t="inlineStr">
        <is>
          <t>CCAA: ranking por c_f·sign(dY) del panel FE (M8); asociacion, sin lectura causal; el factor comun es un resumen de comovimiento (pendiente ~1 mecanica, J23)</t>
        </is>
      </c>
      <c r="P507" s="3" t="inlineStr">
        <is>
          <t>output/v8/F5/regional_ranking.csv</t>
        </is>
      </c>
    </row>
    <row r="508">
      <c r="A508" s="3" t="inlineStr">
        <is>
          <t>alquiler</t>
        </is>
      </c>
      <c r="B508" s="3" t="inlineStr">
        <is>
          <t>ccaa:16</t>
        </is>
      </c>
      <c r="C508" s="3" t="inlineStr">
        <is>
          <t>P5</t>
        </is>
      </c>
      <c r="D508" s="3" t="inlineStr">
        <is>
          <t>factor_comun</t>
        </is>
      </c>
      <c r="E508" s="3" t="inlineStr">
        <is>
          <t>regional_panel</t>
        </is>
      </c>
      <c r="F508" s="3" t="inlineStr">
        <is>
          <t>panel_covariables</t>
        </is>
      </c>
      <c r="G508" s="3" t="n">
        <v>-5.47353</v>
      </c>
      <c r="H508" s="3" t="n">
        <v>91.0879</v>
      </c>
      <c r="I508" s="3" t="n">
        <v>-7.50057</v>
      </c>
      <c r="J508" s="3" t="n">
        <v>-3.0519</v>
      </c>
      <c r="K508" s="3" t="n">
        <v>-6.00906</v>
      </c>
      <c r="L508" s="3" t="n"/>
      <c r="M508" s="3" t="inlineStr">
        <is>
          <t>no</t>
        </is>
      </c>
      <c r="N508" s="3" t="inlineStr">
        <is>
          <t>no designado (contraste C4: no hay svar_hd regional)</t>
        </is>
      </c>
      <c r="O508" s="3" t="inlineStr">
        <is>
          <t>CCAA: ranking por c_f·sign(dY) del panel FE (M8); asociacion, sin lectura causal; el factor comun es un resumen de comovimiento (pendiente ~1 mecanica, J23)</t>
        </is>
      </c>
      <c r="P508" s="3" t="inlineStr">
        <is>
          <t>output/v8/F5/regional_ranking.csv</t>
        </is>
      </c>
    </row>
    <row r="509">
      <c r="A509" s="3" t="inlineStr">
        <is>
          <t>alquiler</t>
        </is>
      </c>
      <c r="B509" s="3" t="inlineStr">
        <is>
          <t>ccaa:16</t>
        </is>
      </c>
      <c r="C509" s="3" t="inlineStr">
        <is>
          <t>P5</t>
        </is>
      </c>
      <c r="D509" s="3" t="inlineStr">
        <is>
          <t>empleo_renta</t>
        </is>
      </c>
      <c r="E509" s="3" t="inlineStr">
        <is>
          <t>regional_panel</t>
        </is>
      </c>
      <c r="F509" s="3" t="inlineStr">
        <is>
          <t>panel_covariables</t>
        </is>
      </c>
      <c r="G509" s="3" t="n">
        <v>-0.0375788</v>
      </c>
      <c r="H509" s="3" t="n">
        <v>0.625369</v>
      </c>
      <c r="I509" s="3" t="n">
        <v>-0.104218</v>
      </c>
      <c r="J509" s="3" t="n">
        <v>0.0168406</v>
      </c>
      <c r="K509" s="3" t="n">
        <v>-6.00906</v>
      </c>
      <c r="L509" s="3" t="n">
        <v>1</v>
      </c>
      <c r="M509" s="3" t="inlineStr">
        <is>
          <t>si</t>
        </is>
      </c>
      <c r="N509" s="3" t="inlineStr">
        <is>
          <t>no designado (contraste C4: no hay svar_hd regional)</t>
        </is>
      </c>
      <c r="O509" s="3" t="inlineStr">
        <is>
          <t>CCAA: ranking por c_f·sign(dY) del panel FE (M8); asociacion, sin lectura causal; el factor comun es un resumen de comovimiento (pendiente ~1 mecanica, J23)</t>
        </is>
      </c>
      <c r="P509" s="3" t="inlineStr">
        <is>
          <t>output/v8/F5/regional_ranking.csv</t>
        </is>
      </c>
    </row>
    <row r="510">
      <c r="A510" s="3" t="inlineStr">
        <is>
          <t>alquiler</t>
        </is>
      </c>
      <c r="B510" s="3" t="inlineStr">
        <is>
          <t>ccaa:16</t>
        </is>
      </c>
      <c r="C510" s="3" t="inlineStr">
        <is>
          <t>P5</t>
        </is>
      </c>
      <c r="D510" s="3" t="inlineStr">
        <is>
          <t>demografia</t>
        </is>
      </c>
      <c r="E510" s="3" t="inlineStr">
        <is>
          <t>regional_panel</t>
        </is>
      </c>
      <c r="F510" s="3" t="inlineStr">
        <is>
          <t>panel_covariables</t>
        </is>
      </c>
      <c r="G510" s="3" t="n">
        <v>0.410295</v>
      </c>
      <c r="H510" s="3" t="n">
        <v>-6.82793</v>
      </c>
      <c r="I510" s="3" t="n">
        <v>-0.0596082</v>
      </c>
      <c r="J510" s="3" t="n">
        <v>0.909206</v>
      </c>
      <c r="K510" s="3" t="n">
        <v>-6.00906</v>
      </c>
      <c r="L510" s="3" t="n">
        <v>4</v>
      </c>
      <c r="M510" s="3" t="inlineStr">
        <is>
          <t>si</t>
        </is>
      </c>
      <c r="N510" s="3" t="inlineStr">
        <is>
          <t>no designado (contraste C4: no hay svar_hd regional)</t>
        </is>
      </c>
      <c r="O510" s="3" t="inlineStr">
        <is>
          <t>CCAA: ranking por c_f·sign(dY) del panel FE (M8); asociacion, sin lectura causal; el factor comun es un resumen de comovimiento (pendiente ~1 mecanica, J23)</t>
        </is>
      </c>
      <c r="P510" s="3" t="inlineStr">
        <is>
          <t>output/v8/F5/regional_ranking.csv</t>
        </is>
      </c>
    </row>
    <row r="511">
      <c r="A511" s="3" t="inlineStr">
        <is>
          <t>alquiler</t>
        </is>
      </c>
      <c r="B511" s="3" t="inlineStr">
        <is>
          <t>ccaa:16</t>
        </is>
      </c>
      <c r="C511" s="3" t="inlineStr">
        <is>
          <t>P5</t>
        </is>
      </c>
      <c r="D511" s="3" t="inlineStr">
        <is>
          <t>oferta</t>
        </is>
      </c>
      <c r="E511" s="3" t="inlineStr">
        <is>
          <t>regional_panel</t>
        </is>
      </c>
      <c r="F511" s="3" t="inlineStr">
        <is>
          <t>panel_covariables</t>
        </is>
      </c>
      <c r="G511" s="3" t="n">
        <v>-0.0145182</v>
      </c>
      <c r="H511" s="3" t="n">
        <v>0.241605</v>
      </c>
      <c r="I511" s="3" t="n">
        <v>-0.0302788</v>
      </c>
      <c r="J511" s="3" t="n">
        <v>0.0104089</v>
      </c>
      <c r="K511" s="3" t="n">
        <v>-6.00906</v>
      </c>
      <c r="L511" s="3" t="n">
        <v>2</v>
      </c>
      <c r="M511" s="3" t="inlineStr">
        <is>
          <t>si</t>
        </is>
      </c>
      <c r="N511" s="3" t="inlineStr">
        <is>
          <t>no designado (contraste C4: no hay svar_hd regional)</t>
        </is>
      </c>
      <c r="O511" s="3" t="inlineStr">
        <is>
          <t>CCAA: ranking por c_f·sign(dY) del panel FE (M8); asociacion, sin lectura causal; el factor comun es un resumen de comovimiento (pendiente ~1 mecanica, J23)</t>
        </is>
      </c>
      <c r="P511" s="3" t="inlineStr">
        <is>
          <t>output/v8/F5/regional_ranking.csv</t>
        </is>
      </c>
    </row>
    <row r="512">
      <c r="A512" s="3" t="inlineStr">
        <is>
          <t>alquiler</t>
        </is>
      </c>
      <c r="B512" s="3" t="inlineStr">
        <is>
          <t>ccaa:16</t>
        </is>
      </c>
      <c r="C512" s="3" t="inlineStr">
        <is>
          <t>P5</t>
        </is>
      </c>
      <c r="D512" s="3" t="inlineStr">
        <is>
          <t>demanda_externa</t>
        </is>
      </c>
      <c r="E512" s="3" t="inlineStr">
        <is>
          <t>regional_panel</t>
        </is>
      </c>
      <c r="F512" s="3" t="inlineStr">
        <is>
          <t>panel_covariables</t>
        </is>
      </c>
      <c r="G512" s="3" t="n">
        <v>0.0486356</v>
      </c>
      <c r="H512" s="3" t="n">
        <v>-0.80937</v>
      </c>
      <c r="I512" s="3" t="n">
        <v>-0.0049378</v>
      </c>
      <c r="J512" s="3" t="n">
        <v>0.134779</v>
      </c>
      <c r="K512" s="3" t="n">
        <v>-6.00906</v>
      </c>
      <c r="L512" s="3" t="n">
        <v>3</v>
      </c>
      <c r="M512" s="3" t="inlineStr">
        <is>
          <t>si</t>
        </is>
      </c>
      <c r="N512" s="3" t="inlineStr">
        <is>
          <t>no designado (contraste C4: no hay svar_hd regional)</t>
        </is>
      </c>
      <c r="O512" s="3" t="inlineStr">
        <is>
          <t>CCAA: ranking por c_f·sign(dY) del panel FE (M8); asociacion, sin lectura causal; el factor comun es un resumen de comovimiento (pendiente ~1 mecanica, J23)</t>
        </is>
      </c>
      <c r="P512" s="3" t="inlineStr">
        <is>
          <t>output/v8/F5/regional_ranking.csv</t>
        </is>
      </c>
    </row>
    <row r="513">
      <c r="A513" s="3" t="inlineStr">
        <is>
          <t>alquiler</t>
        </is>
      </c>
      <c r="B513" s="3" t="inlineStr">
        <is>
          <t>ccaa:16</t>
        </is>
      </c>
      <c r="C513" s="3" t="inlineStr">
        <is>
          <t>P5</t>
        </is>
      </c>
      <c r="D513" s="3" t="inlineStr">
        <is>
          <t>residuo</t>
        </is>
      </c>
      <c r="E513" s="3" t="inlineStr">
        <is>
          <t>regional_panel</t>
        </is>
      </c>
      <c r="F513" s="3" t="inlineStr">
        <is>
          <t>panel_covariables</t>
        </is>
      </c>
      <c r="G513" s="3" t="n">
        <v>-0.942364</v>
      </c>
      <c r="H513" s="3" t="n">
        <v>15.6824</v>
      </c>
      <c r="I513" s="3" t="n">
        <v>-1.51388</v>
      </c>
      <c r="J513" s="3" t="n">
        <v>-0.448647</v>
      </c>
      <c r="K513" s="3" t="n">
        <v>-6.00906</v>
      </c>
      <c r="L513" s="3" t="n"/>
      <c r="M513" s="3" t="inlineStr">
        <is>
          <t>no</t>
        </is>
      </c>
      <c r="N513" s="3" t="inlineStr">
        <is>
          <t>no designado (contraste C4: no hay svar_hd regional)</t>
        </is>
      </c>
      <c r="O513" s="3" t="inlineStr">
        <is>
          <t>CCAA: ranking por c_f·sign(dY) del panel FE (M8); asociacion, sin lectura causal; el factor comun es un resumen de comovimiento (pendiente ~1 mecanica, J23)</t>
        </is>
      </c>
      <c r="P513" s="3" t="inlineStr">
        <is>
          <t>output/v8/F5/regional_ranking.csv</t>
        </is>
      </c>
    </row>
    <row r="514">
      <c r="A514" s="3" t="inlineStr">
        <is>
          <t>alquiler</t>
        </is>
      </c>
      <c r="B514" s="3" t="inlineStr">
        <is>
          <t>ccaa:17</t>
        </is>
      </c>
      <c r="C514" s="3" t="inlineStr">
        <is>
          <t>P2</t>
        </is>
      </c>
      <c r="D514" s="3" t="inlineStr">
        <is>
          <t>factor_comun</t>
        </is>
      </c>
      <c r="E514" s="3" t="inlineStr">
        <is>
          <t>regional_ccaa_ols</t>
        </is>
      </c>
      <c r="F514" s="3" t="inlineStr">
        <is>
          <t>ols_solo_factor</t>
        </is>
      </c>
      <c r="G514" s="3" t="n">
        <v>-3.89718</v>
      </c>
      <c r="H514" s="3" t="n">
        <v>62.3486</v>
      </c>
      <c r="I514" s="3" t="n">
        <v>-8.415889999999999</v>
      </c>
      <c r="J514" s="3" t="n">
        <v>0.643833</v>
      </c>
      <c r="K514" s="3" t="n">
        <v>-6.27211</v>
      </c>
      <c r="L514" s="3" t="n"/>
      <c r="M514" s="3" t="inlineStr">
        <is>
          <t>no</t>
        </is>
      </c>
      <c r="N514" s="3" t="inlineStr">
        <is>
          <t>no designado (contraste C4: no hay svar_hd regional)</t>
        </is>
      </c>
      <c r="O514" s="3" t="inlineStr">
        <is>
          <t>CCAA: ranking por c_f·sign(dY) del panel FE (M8); asociacion, sin lectura causal; el factor comun es un resumen de comovimiento (pendiente ~1 mecanica, J23)</t>
        </is>
      </c>
      <c r="P514" s="3" t="inlineStr">
        <is>
          <t>output/v8/F5/regional_ranking.csv</t>
        </is>
      </c>
    </row>
    <row r="515">
      <c r="A515" s="3" t="inlineStr">
        <is>
          <t>alquiler</t>
        </is>
      </c>
      <c r="B515" s="3" t="inlineStr">
        <is>
          <t>ccaa:17</t>
        </is>
      </c>
      <c r="C515" s="3" t="inlineStr">
        <is>
          <t>P2</t>
        </is>
      </c>
      <c r="D515" s="3" t="inlineStr">
        <is>
          <t>residuo</t>
        </is>
      </c>
      <c r="E515" s="3" t="inlineStr">
        <is>
          <t>regional_ccaa_ols</t>
        </is>
      </c>
      <c r="F515" s="3" t="inlineStr">
        <is>
          <t>ols_solo_factor</t>
        </is>
      </c>
      <c r="G515" s="3" t="n">
        <v>-2.35345</v>
      </c>
      <c r="H515" s="3" t="n">
        <v>37.6514</v>
      </c>
      <c r="I515" s="3" t="n"/>
      <c r="J515" s="3" t="n"/>
      <c r="K515" s="3" t="n">
        <v>-6.27211</v>
      </c>
      <c r="L515" s="3" t="n"/>
      <c r="M515" s="3" t="inlineStr">
        <is>
          <t>no</t>
        </is>
      </c>
      <c r="N515" s="3" t="inlineStr">
        <is>
          <t>no designado (contraste C4: no hay svar_hd regional)</t>
        </is>
      </c>
      <c r="O515" s="3" t="inlineStr">
        <is>
          <t>CCAA: ranking por c_f·sign(dY) del panel FE (M8); asociacion, sin lectura causal; el factor comun es un resumen de comovimiento (pendiente ~1 mecanica, J23)</t>
        </is>
      </c>
      <c r="P515" s="3" t="inlineStr">
        <is>
          <t>output/v8/F5/regional_ranking.csv</t>
        </is>
      </c>
    </row>
    <row r="516">
      <c r="A516" s="3" t="inlineStr">
        <is>
          <t>alquiler</t>
        </is>
      </c>
      <c r="B516" s="3" t="inlineStr">
        <is>
          <t>ccaa:17</t>
        </is>
      </c>
      <c r="C516" s="3" t="inlineStr">
        <is>
          <t>P2</t>
        </is>
      </c>
      <c r="D516" s="3" t="inlineStr">
        <is>
          <t>factor_comun</t>
        </is>
      </c>
      <c r="E516" s="3" t="inlineStr">
        <is>
          <t>regional_panel</t>
        </is>
      </c>
      <c r="F516" s="3" t="inlineStr">
        <is>
          <t>panel_covariables</t>
        </is>
      </c>
      <c r="G516" s="3" t="n">
        <v>-3.50963</v>
      </c>
      <c r="H516" s="3" t="n">
        <v>55.9561</v>
      </c>
      <c r="I516" s="3" t="n">
        <v>-7.73728</v>
      </c>
      <c r="J516" s="3" t="n">
        <v>0.660335</v>
      </c>
      <c r="K516" s="3" t="n">
        <v>-6.27211</v>
      </c>
      <c r="L516" s="3" t="n"/>
      <c r="M516" s="3" t="inlineStr">
        <is>
          <t>no</t>
        </is>
      </c>
      <c r="N516" s="3" t="inlineStr">
        <is>
          <t>no designado (contraste C4: no hay svar_hd regional)</t>
        </is>
      </c>
      <c r="O516" s="3" t="inlineStr">
        <is>
          <t>CCAA: ranking por c_f·sign(dY) del panel FE (M8); asociacion, sin lectura causal; el factor comun es un resumen de comovimiento (pendiente ~1 mecanica, J23)</t>
        </is>
      </c>
      <c r="P516" s="3" t="inlineStr">
        <is>
          <t>output/v8/F5/regional_ranking.csv</t>
        </is>
      </c>
    </row>
    <row r="517">
      <c r="A517" s="3" t="inlineStr">
        <is>
          <t>alquiler</t>
        </is>
      </c>
      <c r="B517" s="3" t="inlineStr">
        <is>
          <t>ccaa:17</t>
        </is>
      </c>
      <c r="C517" s="3" t="inlineStr">
        <is>
          <t>P2</t>
        </is>
      </c>
      <c r="D517" s="3" t="inlineStr">
        <is>
          <t>empleo_renta</t>
        </is>
      </c>
      <c r="E517" s="3" t="inlineStr">
        <is>
          <t>regional_panel</t>
        </is>
      </c>
      <c r="F517" s="3" t="inlineStr">
        <is>
          <t>panel_covariables</t>
        </is>
      </c>
      <c r="G517" s="3" t="n">
        <v>0.103059</v>
      </c>
      <c r="H517" s="3" t="n">
        <v>-1.64314</v>
      </c>
      <c r="I517" s="3" t="n">
        <v>-0.217431</v>
      </c>
      <c r="J517" s="3" t="n">
        <v>0.548062</v>
      </c>
      <c r="K517" s="3" t="n">
        <v>-6.27211</v>
      </c>
      <c r="L517" s="3" t="n">
        <v>2</v>
      </c>
      <c r="M517" s="3" t="inlineStr">
        <is>
          <t>si</t>
        </is>
      </c>
      <c r="N517" s="3" t="inlineStr">
        <is>
          <t>no designado (contraste C4: no hay svar_hd regional)</t>
        </is>
      </c>
      <c r="O517" s="3" t="inlineStr">
        <is>
          <t>CCAA: ranking por c_f·sign(dY) del panel FE (M8); asociacion, sin lectura causal; el factor comun es un resumen de comovimiento (pendiente ~1 mecanica, J23)</t>
        </is>
      </c>
      <c r="P517" s="3" t="inlineStr">
        <is>
          <t>output/v8/F5/regional_ranking.csv</t>
        </is>
      </c>
    </row>
    <row r="518">
      <c r="A518" s="3" t="inlineStr">
        <is>
          <t>alquiler</t>
        </is>
      </c>
      <c r="B518" s="3" t="inlineStr">
        <is>
          <t>ccaa:17</t>
        </is>
      </c>
      <c r="C518" s="3" t="inlineStr">
        <is>
          <t>P2</t>
        </is>
      </c>
      <c r="D518" s="3" t="inlineStr">
        <is>
          <t>demografia</t>
        </is>
      </c>
      <c r="E518" s="3" t="inlineStr">
        <is>
          <t>regional_panel</t>
        </is>
      </c>
      <c r="F518" s="3" t="inlineStr">
        <is>
          <t>panel_covariables</t>
        </is>
      </c>
      <c r="G518" s="3" t="n">
        <v>0.604168</v>
      </c>
      <c r="H518" s="3" t="n">
        <v>-9.63261</v>
      </c>
      <c r="I518" s="3" t="n">
        <v>0.428025</v>
      </c>
      <c r="J518" s="3" t="n">
        <v>0.953256</v>
      </c>
      <c r="K518" s="3" t="n">
        <v>-6.27211</v>
      </c>
      <c r="L518" s="3" t="n">
        <v>4</v>
      </c>
      <c r="M518" s="3" t="inlineStr">
        <is>
          <t>si</t>
        </is>
      </c>
      <c r="N518" s="3" t="inlineStr">
        <is>
          <t>no designado (contraste C4: no hay svar_hd regional)</t>
        </is>
      </c>
      <c r="O518" s="3" t="inlineStr">
        <is>
          <t>CCAA: ranking por c_f·sign(dY) del panel FE (M8); asociacion, sin lectura causal; el factor comun es un resumen de comovimiento (pendiente ~1 mecanica, J23)</t>
        </is>
      </c>
      <c r="P518" s="3" t="inlineStr">
        <is>
          <t>output/v8/F5/regional_ranking.csv</t>
        </is>
      </c>
    </row>
    <row r="519">
      <c r="A519" s="3" t="inlineStr">
        <is>
          <t>alquiler</t>
        </is>
      </c>
      <c r="B519" s="3" t="inlineStr">
        <is>
          <t>ccaa:17</t>
        </is>
      </c>
      <c r="C519" s="3" t="inlineStr">
        <is>
          <t>P2</t>
        </is>
      </c>
      <c r="D519" s="3" t="inlineStr">
        <is>
          <t>oferta</t>
        </is>
      </c>
      <c r="E519" s="3" t="inlineStr">
        <is>
          <t>regional_panel</t>
        </is>
      </c>
      <c r="F519" s="3" t="inlineStr">
        <is>
          <t>panel_covariables</t>
        </is>
      </c>
      <c r="G519" s="3" t="n">
        <v>0.21538</v>
      </c>
      <c r="H519" s="3" t="n">
        <v>-3.43393</v>
      </c>
      <c r="I519" s="3" t="n">
        <v>0.0196765</v>
      </c>
      <c r="J519" s="3" t="n">
        <v>0.491113</v>
      </c>
      <c r="K519" s="3" t="n">
        <v>-6.27211</v>
      </c>
      <c r="L519" s="3" t="n">
        <v>3</v>
      </c>
      <c r="M519" s="3" t="inlineStr">
        <is>
          <t>si</t>
        </is>
      </c>
      <c r="N519" s="3" t="inlineStr">
        <is>
          <t>no designado (contraste C4: no hay svar_hd regional)</t>
        </is>
      </c>
      <c r="O519" s="3" t="inlineStr">
        <is>
          <t>CCAA: ranking por c_f·sign(dY) del panel FE (M8); asociacion, sin lectura causal; el factor comun es un resumen de comovimiento (pendiente ~1 mecanica, J23)</t>
        </is>
      </c>
      <c r="P519" s="3" t="inlineStr">
        <is>
          <t>output/v8/F5/regional_ranking.csv</t>
        </is>
      </c>
    </row>
    <row r="520">
      <c r="A520" s="3" t="inlineStr">
        <is>
          <t>alquiler</t>
        </is>
      </c>
      <c r="B520" s="3" t="inlineStr">
        <is>
          <t>ccaa:17</t>
        </is>
      </c>
      <c r="C520" s="3" t="inlineStr">
        <is>
          <t>P2</t>
        </is>
      </c>
      <c r="D520" s="3" t="inlineStr">
        <is>
          <t>demanda_externa</t>
        </is>
      </c>
      <c r="E520" s="3" t="inlineStr">
        <is>
          <t>regional_panel</t>
        </is>
      </c>
      <c r="F520" s="3" t="inlineStr">
        <is>
          <t>panel_covariables</t>
        </is>
      </c>
      <c r="G520" s="3" t="n">
        <v>-0.103293</v>
      </c>
      <c r="H520" s="3" t="n">
        <v>1.64687</v>
      </c>
      <c r="I520" s="3" t="n">
        <v>-0.145743</v>
      </c>
      <c r="J520" s="3" t="n">
        <v>0.0544645</v>
      </c>
      <c r="K520" s="3" t="n">
        <v>-6.27211</v>
      </c>
      <c r="L520" s="3" t="n">
        <v>1</v>
      </c>
      <c r="M520" s="3" t="inlineStr">
        <is>
          <t>si</t>
        </is>
      </c>
      <c r="N520" s="3" t="inlineStr">
        <is>
          <t>no designado (contraste C4: no hay svar_hd regional)</t>
        </is>
      </c>
      <c r="O520" s="3" t="inlineStr">
        <is>
          <t>CCAA: ranking por c_f·sign(dY) del panel FE (M8); asociacion, sin lectura causal; el factor comun es un resumen de comovimiento (pendiente ~1 mecanica, J23)</t>
        </is>
      </c>
      <c r="P520" s="3" t="inlineStr">
        <is>
          <t>output/v8/F5/regional_ranking.csv</t>
        </is>
      </c>
    </row>
    <row r="521">
      <c r="A521" s="3" t="inlineStr">
        <is>
          <t>alquiler</t>
        </is>
      </c>
      <c r="B521" s="3" t="inlineStr">
        <is>
          <t>ccaa:17</t>
        </is>
      </c>
      <c r="C521" s="3" t="inlineStr">
        <is>
          <t>P2</t>
        </is>
      </c>
      <c r="D521" s="3" t="inlineStr">
        <is>
          <t>residuo</t>
        </is>
      </c>
      <c r="E521" s="3" t="inlineStr">
        <is>
          <t>regional_panel</t>
        </is>
      </c>
      <c r="F521" s="3" t="inlineStr">
        <is>
          <t>panel_covariables</t>
        </is>
      </c>
      <c r="G521" s="3" t="n">
        <v>-3.5818</v>
      </c>
      <c r="H521" s="3" t="n">
        <v>57.1067</v>
      </c>
      <c r="I521" s="3" t="n">
        <v>-4.93264</v>
      </c>
      <c r="J521" s="3" t="n">
        <v>-2.65669</v>
      </c>
      <c r="K521" s="3" t="n">
        <v>-6.27211</v>
      </c>
      <c r="L521" s="3" t="n"/>
      <c r="M521" s="3" t="inlineStr">
        <is>
          <t>no</t>
        </is>
      </c>
      <c r="N521" s="3" t="inlineStr">
        <is>
          <t>no designado (contraste C4: no hay svar_hd regional)</t>
        </is>
      </c>
      <c r="O521" s="3" t="inlineStr">
        <is>
          <t>CCAA: ranking por c_f·sign(dY) del panel FE (M8); asociacion, sin lectura causal; el factor comun es un resumen de comovimiento (pendiente ~1 mecanica, J23)</t>
        </is>
      </c>
      <c r="P521" s="3" t="inlineStr">
        <is>
          <t>output/v8/F5/regional_ranking.csv</t>
        </is>
      </c>
    </row>
    <row r="522">
      <c r="A522" s="3" t="inlineStr">
        <is>
          <t>alquiler</t>
        </is>
      </c>
      <c r="B522" s="3" t="inlineStr">
        <is>
          <t>ccaa:17</t>
        </is>
      </c>
      <c r="C522" s="3" t="inlineStr">
        <is>
          <t>P3</t>
        </is>
      </c>
      <c r="D522" s="3" t="inlineStr">
        <is>
          <t>factor_comun</t>
        </is>
      </c>
      <c r="E522" s="3" t="inlineStr">
        <is>
          <t>regional_ccaa_ols</t>
        </is>
      </c>
      <c r="F522" s="3" t="inlineStr">
        <is>
          <t>ols_solo_factor</t>
        </is>
      </c>
      <c r="G522" s="3" t="n">
        <v>-1.88287</v>
      </c>
      <c r="H522" s="3" t="n">
        <v>27.5649</v>
      </c>
      <c r="I522" s="3" t="n">
        <v>-2.78121</v>
      </c>
      <c r="J522" s="3" t="n">
        <v>-0.818197</v>
      </c>
      <c r="K522" s="3" t="n">
        <v>-5.70898</v>
      </c>
      <c r="L522" s="3" t="n"/>
      <c r="M522" s="3" t="inlineStr">
        <is>
          <t>no</t>
        </is>
      </c>
      <c r="N522" s="3" t="inlineStr">
        <is>
          <t>no designado (contraste C4: no hay svar_hd regional)</t>
        </is>
      </c>
      <c r="O522" s="3" t="inlineStr">
        <is>
          <t>CCAA: ranking por c_f·sign(dY) del panel FE (M8); asociacion, sin lectura causal; el factor comun es un resumen de comovimiento (pendiente ~1 mecanica, J23)</t>
        </is>
      </c>
      <c r="P522" s="3" t="inlineStr">
        <is>
          <t>output/v8/F5/regional_ranking.csv</t>
        </is>
      </c>
    </row>
    <row r="523">
      <c r="A523" s="3" t="inlineStr">
        <is>
          <t>alquiler</t>
        </is>
      </c>
      <c r="B523" s="3" t="inlineStr">
        <is>
          <t>ccaa:17</t>
        </is>
      </c>
      <c r="C523" s="3" t="inlineStr">
        <is>
          <t>P3</t>
        </is>
      </c>
      <c r="D523" s="3" t="inlineStr">
        <is>
          <t>residuo</t>
        </is>
      </c>
      <c r="E523" s="3" t="inlineStr">
        <is>
          <t>regional_ccaa_ols</t>
        </is>
      </c>
      <c r="F523" s="3" t="inlineStr">
        <is>
          <t>ols_solo_factor</t>
        </is>
      </c>
      <c r="G523" s="3" t="n">
        <v>-4.94779</v>
      </c>
      <c r="H523" s="3" t="n">
        <v>72.43510000000001</v>
      </c>
      <c r="I523" s="3" t="n"/>
      <c r="J523" s="3" t="n"/>
      <c r="K523" s="3" t="n">
        <v>-5.70898</v>
      </c>
      <c r="L523" s="3" t="n"/>
      <c r="M523" s="3" t="inlineStr">
        <is>
          <t>no</t>
        </is>
      </c>
      <c r="N523" s="3" t="inlineStr">
        <is>
          <t>no designado (contraste C4: no hay svar_hd regional)</t>
        </is>
      </c>
      <c r="O523" s="3" t="inlineStr">
        <is>
          <t>CCAA: ranking por c_f·sign(dY) del panel FE (M8); asociacion, sin lectura causal; el factor comun es un resumen de comovimiento (pendiente ~1 mecanica, J23)</t>
        </is>
      </c>
      <c r="P523" s="3" t="inlineStr">
        <is>
          <t>output/v8/F5/regional_ranking.csv</t>
        </is>
      </c>
    </row>
    <row r="524">
      <c r="A524" s="3" t="inlineStr">
        <is>
          <t>alquiler</t>
        </is>
      </c>
      <c r="B524" s="3" t="inlineStr">
        <is>
          <t>ccaa:17</t>
        </is>
      </c>
      <c r="C524" s="3" t="inlineStr">
        <is>
          <t>P3</t>
        </is>
      </c>
      <c r="D524" s="3" t="inlineStr">
        <is>
          <t>factor_comun</t>
        </is>
      </c>
      <c r="E524" s="3" t="inlineStr">
        <is>
          <t>regional_panel</t>
        </is>
      </c>
      <c r="F524" s="3" t="inlineStr">
        <is>
          <t>panel_covariables</t>
        </is>
      </c>
      <c r="G524" s="3" t="n">
        <v>-1.89168</v>
      </c>
      <c r="H524" s="3" t="n">
        <v>33.1352</v>
      </c>
      <c r="I524" s="3" t="n">
        <v>-3.03018</v>
      </c>
      <c r="J524" s="3" t="n">
        <v>-0.7753910000000001</v>
      </c>
      <c r="K524" s="3" t="n">
        <v>-5.70898</v>
      </c>
      <c r="L524" s="3" t="n"/>
      <c r="M524" s="3" t="inlineStr">
        <is>
          <t>no</t>
        </is>
      </c>
      <c r="N524" s="3" t="inlineStr">
        <is>
          <t>no designado (contraste C4: no hay svar_hd regional)</t>
        </is>
      </c>
      <c r="O524" s="3" t="inlineStr">
        <is>
          <t>CCAA: ranking por c_f·sign(dY) del panel FE (M8); asociacion, sin lectura causal; el factor comun es un resumen de comovimiento (pendiente ~1 mecanica, J23)</t>
        </is>
      </c>
      <c r="P524" s="3" t="inlineStr">
        <is>
          <t>output/v8/F5/regional_ranking.csv</t>
        </is>
      </c>
    </row>
    <row r="525">
      <c r="A525" s="3" t="inlineStr">
        <is>
          <t>alquiler</t>
        </is>
      </c>
      <c r="B525" s="3" t="inlineStr">
        <is>
          <t>ccaa:17</t>
        </is>
      </c>
      <c r="C525" s="3" t="inlineStr">
        <is>
          <t>P3</t>
        </is>
      </c>
      <c r="D525" s="3" t="inlineStr">
        <is>
          <t>empleo_renta</t>
        </is>
      </c>
      <c r="E525" s="3" t="inlineStr">
        <is>
          <t>regional_panel</t>
        </is>
      </c>
      <c r="F525" s="3" t="inlineStr">
        <is>
          <t>panel_covariables</t>
        </is>
      </c>
      <c r="G525" s="3" t="n">
        <v>0.189751</v>
      </c>
      <c r="H525" s="3" t="n">
        <v>-3.32374</v>
      </c>
      <c r="I525" s="3" t="n">
        <v>-0.068617</v>
      </c>
      <c r="J525" s="3" t="n">
        <v>0.334357</v>
      </c>
      <c r="K525" s="3" t="n">
        <v>-5.70898</v>
      </c>
      <c r="L525" s="3" t="n">
        <v>4</v>
      </c>
      <c r="M525" s="3" t="inlineStr">
        <is>
          <t>si</t>
        </is>
      </c>
      <c r="N525" s="3" t="inlineStr">
        <is>
          <t>no designado (contraste C4: no hay svar_hd regional)</t>
        </is>
      </c>
      <c r="O525" s="3" t="inlineStr">
        <is>
          <t>CCAA: ranking por c_f·sign(dY) del panel FE (M8); asociacion, sin lectura causal; el factor comun es un resumen de comovimiento (pendiente ~1 mecanica, J23)</t>
        </is>
      </c>
      <c r="P525" s="3" t="inlineStr">
        <is>
          <t>output/v8/F5/regional_ranking.csv</t>
        </is>
      </c>
    </row>
    <row r="526">
      <c r="A526" s="3" t="inlineStr">
        <is>
          <t>alquiler</t>
        </is>
      </c>
      <c r="B526" s="3" t="inlineStr">
        <is>
          <t>ccaa:17</t>
        </is>
      </c>
      <c r="C526" s="3" t="inlineStr">
        <is>
          <t>P3</t>
        </is>
      </c>
      <c r="D526" s="3" t="inlineStr">
        <is>
          <t>demografia</t>
        </is>
      </c>
      <c r="E526" s="3" t="inlineStr">
        <is>
          <t>regional_panel</t>
        </is>
      </c>
      <c r="F526" s="3" t="inlineStr">
        <is>
          <t>panel_covariables</t>
        </is>
      </c>
      <c r="G526" s="3" t="n">
        <v>0.125976</v>
      </c>
      <c r="H526" s="3" t="n">
        <v>-2.20662</v>
      </c>
      <c r="I526" s="3" t="n">
        <v>-0.0711271</v>
      </c>
      <c r="J526" s="3" t="n">
        <v>0.288458</v>
      </c>
      <c r="K526" s="3" t="n">
        <v>-5.70898</v>
      </c>
      <c r="L526" s="3" t="n">
        <v>2</v>
      </c>
      <c r="M526" s="3" t="inlineStr">
        <is>
          <t>si</t>
        </is>
      </c>
      <c r="N526" s="3" t="inlineStr">
        <is>
          <t>no designado (contraste C4: no hay svar_hd regional)</t>
        </is>
      </c>
      <c r="O526" s="3" t="inlineStr">
        <is>
          <t>CCAA: ranking por c_f·sign(dY) del panel FE (M8); asociacion, sin lectura causal; el factor comun es un resumen de comovimiento (pendiente ~1 mecanica, J23)</t>
        </is>
      </c>
      <c r="P526" s="3" t="inlineStr">
        <is>
          <t>output/v8/F5/regional_ranking.csv</t>
        </is>
      </c>
    </row>
    <row r="527">
      <c r="A527" s="3" t="inlineStr">
        <is>
          <t>alquiler</t>
        </is>
      </c>
      <c r="B527" s="3" t="inlineStr">
        <is>
          <t>ccaa:17</t>
        </is>
      </c>
      <c r="C527" s="3" t="inlineStr">
        <is>
          <t>P3</t>
        </is>
      </c>
      <c r="D527" s="3" t="inlineStr">
        <is>
          <t>oferta</t>
        </is>
      </c>
      <c r="E527" s="3" t="inlineStr">
        <is>
          <t>regional_panel</t>
        </is>
      </c>
      <c r="F527" s="3" t="inlineStr">
        <is>
          <t>panel_covariables</t>
        </is>
      </c>
      <c r="G527" s="3" t="n">
        <v>0.0199358</v>
      </c>
      <c r="H527" s="3" t="n">
        <v>-0.349202</v>
      </c>
      <c r="I527" s="3" t="n">
        <v>-0.008281139999999999</v>
      </c>
      <c r="J527" s="3" t="n">
        <v>0.105491</v>
      </c>
      <c r="K527" s="3" t="n">
        <v>-5.70898</v>
      </c>
      <c r="L527" s="3" t="n">
        <v>1</v>
      </c>
      <c r="M527" s="3" t="inlineStr">
        <is>
          <t>si</t>
        </is>
      </c>
      <c r="N527" s="3" t="inlineStr">
        <is>
          <t>no designado (contraste C4: no hay svar_hd regional)</t>
        </is>
      </c>
      <c r="O527" s="3" t="inlineStr">
        <is>
          <t>CCAA: ranking por c_f·sign(dY) del panel FE (M8); asociacion, sin lectura causal; el factor comun es un resumen de comovimiento (pendiente ~1 mecanica, J23)</t>
        </is>
      </c>
      <c r="P527" s="3" t="inlineStr">
        <is>
          <t>output/v8/F5/regional_ranking.csv</t>
        </is>
      </c>
    </row>
    <row r="528">
      <c r="A528" s="3" t="inlineStr">
        <is>
          <t>alquiler</t>
        </is>
      </c>
      <c r="B528" s="3" t="inlineStr">
        <is>
          <t>ccaa:17</t>
        </is>
      </c>
      <c r="C528" s="3" t="inlineStr">
        <is>
          <t>P3</t>
        </is>
      </c>
      <c r="D528" s="3" t="inlineStr">
        <is>
          <t>demanda_externa</t>
        </is>
      </c>
      <c r="E528" s="3" t="inlineStr">
        <is>
          <t>regional_panel</t>
        </is>
      </c>
      <c r="F528" s="3" t="inlineStr">
        <is>
          <t>panel_covariables</t>
        </is>
      </c>
      <c r="G528" s="3" t="n">
        <v>0.155067</v>
      </c>
      <c r="H528" s="3" t="n">
        <v>-2.71619</v>
      </c>
      <c r="I528" s="3" t="n">
        <v>0.0506407</v>
      </c>
      <c r="J528" s="3" t="n">
        <v>0.286246</v>
      </c>
      <c r="K528" s="3" t="n">
        <v>-5.70898</v>
      </c>
      <c r="L528" s="3" t="n">
        <v>3</v>
      </c>
      <c r="M528" s="3" t="inlineStr">
        <is>
          <t>si</t>
        </is>
      </c>
      <c r="N528" s="3" t="inlineStr">
        <is>
          <t>no designado (contraste C4: no hay svar_hd regional)</t>
        </is>
      </c>
      <c r="O528" s="3" t="inlineStr">
        <is>
          <t>CCAA: ranking por c_f·sign(dY) del panel FE (M8); asociacion, sin lectura causal; el factor comun es un resumen de comovimiento (pendiente ~1 mecanica, J23)</t>
        </is>
      </c>
      <c r="P528" s="3" t="inlineStr">
        <is>
          <t>output/v8/F5/regional_ranking.csv</t>
        </is>
      </c>
    </row>
    <row r="529">
      <c r="A529" s="3" t="inlineStr">
        <is>
          <t>alquiler</t>
        </is>
      </c>
      <c r="B529" s="3" t="inlineStr">
        <is>
          <t>ccaa:17</t>
        </is>
      </c>
      <c r="C529" s="3" t="inlineStr">
        <is>
          <t>P3</t>
        </is>
      </c>
      <c r="D529" s="3" t="inlineStr">
        <is>
          <t>residuo</t>
        </is>
      </c>
      <c r="E529" s="3" t="inlineStr">
        <is>
          <t>regional_panel</t>
        </is>
      </c>
      <c r="F529" s="3" t="inlineStr">
        <is>
          <t>panel_covariables</t>
        </is>
      </c>
      <c r="G529" s="3" t="n">
        <v>-4.30802</v>
      </c>
      <c r="H529" s="3" t="n">
        <v>75.4605</v>
      </c>
      <c r="I529" s="3" t="n">
        <v>-4.9095</v>
      </c>
      <c r="J529" s="3" t="n">
        <v>-3.59357</v>
      </c>
      <c r="K529" s="3" t="n">
        <v>-5.70898</v>
      </c>
      <c r="L529" s="3" t="n"/>
      <c r="M529" s="3" t="inlineStr">
        <is>
          <t>no</t>
        </is>
      </c>
      <c r="N529" s="3" t="inlineStr">
        <is>
          <t>no designado (contraste C4: no hay svar_hd regional)</t>
        </is>
      </c>
      <c r="O529" s="3" t="inlineStr">
        <is>
          <t>CCAA: ranking por c_f·sign(dY) del panel FE (M8); asociacion, sin lectura causal; el factor comun es un resumen de comovimiento (pendiente ~1 mecanica, J23)</t>
        </is>
      </c>
      <c r="P529" s="3" t="inlineStr">
        <is>
          <t>output/v8/F5/regional_ranking.csv</t>
        </is>
      </c>
    </row>
    <row r="530">
      <c r="A530" s="3" t="inlineStr">
        <is>
          <t>alquiler</t>
        </is>
      </c>
      <c r="B530" s="3" t="inlineStr">
        <is>
          <t>ccaa:17</t>
        </is>
      </c>
      <c r="C530" s="3" t="inlineStr">
        <is>
          <t>P4</t>
        </is>
      </c>
      <c r="D530" s="3" t="inlineStr">
        <is>
          <t>factor_comun</t>
        </is>
      </c>
      <c r="E530" s="3" t="inlineStr">
        <is>
          <t>regional_ccaa_ols</t>
        </is>
      </c>
      <c r="F530" s="3" t="inlineStr">
        <is>
          <t>ols_solo_factor</t>
        </is>
      </c>
      <c r="G530" s="3" t="n">
        <v>-4.79569</v>
      </c>
      <c r="H530" s="3" t="n">
        <v>107.779</v>
      </c>
      <c r="I530" s="3" t="n">
        <v>-8.043530000000001</v>
      </c>
      <c r="J530" s="3" t="n">
        <v>-1.39535</v>
      </c>
      <c r="K530" s="3" t="n">
        <v>-4.44954</v>
      </c>
      <c r="L530" s="3" t="n"/>
      <c r="M530" s="3" t="inlineStr">
        <is>
          <t>no</t>
        </is>
      </c>
      <c r="N530" s="3" t="inlineStr">
        <is>
          <t>no designado (contraste C4: no hay svar_hd regional)</t>
        </is>
      </c>
      <c r="O530" s="3" t="inlineStr">
        <is>
          <t>CCAA: ranking por c_f·sign(dY) del panel FE (M8); asociacion, sin lectura causal; el factor comun es un resumen de comovimiento (pendiente ~1 mecanica, J23)</t>
        </is>
      </c>
      <c r="P530" s="3" t="inlineStr">
        <is>
          <t>output/v8/F5/regional_ranking.csv</t>
        </is>
      </c>
    </row>
    <row r="531">
      <c r="A531" s="3" t="inlineStr">
        <is>
          <t>alquiler</t>
        </is>
      </c>
      <c r="B531" s="3" t="inlineStr">
        <is>
          <t>ccaa:17</t>
        </is>
      </c>
      <c r="C531" s="3" t="inlineStr">
        <is>
          <t>P4</t>
        </is>
      </c>
      <c r="D531" s="3" t="inlineStr">
        <is>
          <t>residuo</t>
        </is>
      </c>
      <c r="E531" s="3" t="inlineStr">
        <is>
          <t>regional_ccaa_ols</t>
        </is>
      </c>
      <c r="F531" s="3" t="inlineStr">
        <is>
          <t>ols_solo_factor</t>
        </is>
      </c>
      <c r="G531" s="3" t="n">
        <v>0.346148</v>
      </c>
      <c r="H531" s="3" t="n">
        <v>-7.77941</v>
      </c>
      <c r="I531" s="3" t="n"/>
      <c r="J531" s="3" t="n"/>
      <c r="K531" s="3" t="n">
        <v>-4.44954</v>
      </c>
      <c r="L531" s="3" t="n"/>
      <c r="M531" s="3" t="inlineStr">
        <is>
          <t>no</t>
        </is>
      </c>
      <c r="N531" s="3" t="inlineStr">
        <is>
          <t>no designado (contraste C4: no hay svar_hd regional)</t>
        </is>
      </c>
      <c r="O531" s="3" t="inlineStr">
        <is>
          <t>CCAA: ranking por c_f·sign(dY) del panel FE (M8); asociacion, sin lectura causal; el factor comun es un resumen de comovimiento (pendiente ~1 mecanica, J23)</t>
        </is>
      </c>
      <c r="P531" s="3" t="inlineStr">
        <is>
          <t>output/v8/F5/regional_ranking.csv</t>
        </is>
      </c>
    </row>
    <row r="532">
      <c r="A532" s="3" t="inlineStr">
        <is>
          <t>alquiler</t>
        </is>
      </c>
      <c r="B532" s="3" t="inlineStr">
        <is>
          <t>ccaa:17</t>
        </is>
      </c>
      <c r="C532" s="3" t="inlineStr">
        <is>
          <t>P4</t>
        </is>
      </c>
      <c r="D532" s="3" t="inlineStr">
        <is>
          <t>factor_comun</t>
        </is>
      </c>
      <c r="E532" s="3" t="inlineStr">
        <is>
          <t>regional_panel</t>
        </is>
      </c>
      <c r="F532" s="3" t="inlineStr">
        <is>
          <t>panel_covariables</t>
        </is>
      </c>
      <c r="G532" s="3" t="n">
        <v>-4.82785</v>
      </c>
      <c r="H532" s="3" t="n">
        <v>108.502</v>
      </c>
      <c r="I532" s="3" t="n">
        <v>-8.01083</v>
      </c>
      <c r="J532" s="3" t="n">
        <v>-1.73403</v>
      </c>
      <c r="K532" s="3" t="n">
        <v>-4.44954</v>
      </c>
      <c r="L532" s="3" t="n"/>
      <c r="M532" s="3" t="inlineStr">
        <is>
          <t>no</t>
        </is>
      </c>
      <c r="N532" s="3" t="inlineStr">
        <is>
          <t>no designado (contraste C4: no hay svar_hd regional)</t>
        </is>
      </c>
      <c r="O532" s="3" t="inlineStr">
        <is>
          <t>CCAA: ranking por c_f·sign(dY) del panel FE (M8); asociacion, sin lectura causal; el factor comun es un resumen de comovimiento (pendiente ~1 mecanica, J23)</t>
        </is>
      </c>
      <c r="P532" s="3" t="inlineStr">
        <is>
          <t>output/v8/F5/regional_ranking.csv</t>
        </is>
      </c>
    </row>
    <row r="533">
      <c r="A533" s="3" t="inlineStr">
        <is>
          <t>alquiler</t>
        </is>
      </c>
      <c r="B533" s="3" t="inlineStr">
        <is>
          <t>ccaa:17</t>
        </is>
      </c>
      <c r="C533" s="3" t="inlineStr">
        <is>
          <t>P4</t>
        </is>
      </c>
      <c r="D533" s="3" t="inlineStr">
        <is>
          <t>empleo_renta</t>
        </is>
      </c>
      <c r="E533" s="3" t="inlineStr">
        <is>
          <t>regional_panel</t>
        </is>
      </c>
      <c r="F533" s="3" t="inlineStr">
        <is>
          <t>panel_covariables</t>
        </is>
      </c>
      <c r="G533" s="3" t="n">
        <v>0.0104466</v>
      </c>
      <c r="H533" s="3" t="n">
        <v>-0.23478</v>
      </c>
      <c r="I533" s="3" t="n">
        <v>-0.0491719</v>
      </c>
      <c r="J533" s="3" t="n">
        <v>0.072005</v>
      </c>
      <c r="K533" s="3" t="n">
        <v>-4.44954</v>
      </c>
      <c r="L533" s="3" t="n">
        <v>3</v>
      </c>
      <c r="M533" s="3" t="inlineStr">
        <is>
          <t>si</t>
        </is>
      </c>
      <c r="N533" s="3" t="inlineStr">
        <is>
          <t>no designado (contraste C4: no hay svar_hd regional)</t>
        </is>
      </c>
      <c r="O533" s="3" t="inlineStr">
        <is>
          <t>CCAA: ranking por c_f·sign(dY) del panel FE (M8); asociacion, sin lectura causal; el factor comun es un resumen de comovimiento (pendiente ~1 mecanica, J23)</t>
        </is>
      </c>
      <c r="P533" s="3" t="inlineStr">
        <is>
          <t>output/v8/F5/regional_ranking.csv</t>
        </is>
      </c>
    </row>
    <row r="534">
      <c r="A534" s="3" t="inlineStr">
        <is>
          <t>alquiler</t>
        </is>
      </c>
      <c r="B534" s="3" t="inlineStr">
        <is>
          <t>ccaa:17</t>
        </is>
      </c>
      <c r="C534" s="3" t="inlineStr">
        <is>
          <t>P4</t>
        </is>
      </c>
      <c r="D534" s="3" t="inlineStr">
        <is>
          <t>demografia</t>
        </is>
      </c>
      <c r="E534" s="3" t="inlineStr">
        <is>
          <t>regional_panel</t>
        </is>
      </c>
      <c r="F534" s="3" t="inlineStr">
        <is>
          <t>panel_covariables</t>
        </is>
      </c>
      <c r="G534" s="3" t="n">
        <v>0.315434</v>
      </c>
      <c r="H534" s="3" t="n">
        <v>-7.08913</v>
      </c>
      <c r="I534" s="3" t="n">
        <v>0.189517</v>
      </c>
      <c r="J534" s="3" t="n">
        <v>0.495269</v>
      </c>
      <c r="K534" s="3" t="n">
        <v>-4.44954</v>
      </c>
      <c r="L534" s="3" t="n">
        <v>4</v>
      </c>
      <c r="M534" s="3" t="inlineStr">
        <is>
          <t>si</t>
        </is>
      </c>
      <c r="N534" s="3" t="inlineStr">
        <is>
          <t>no designado (contraste C4: no hay svar_hd regional)</t>
        </is>
      </c>
      <c r="O534" s="3" t="inlineStr">
        <is>
          <t>CCAA: ranking por c_f·sign(dY) del panel FE (M8); asociacion, sin lectura causal; el factor comun es un resumen de comovimiento (pendiente ~1 mecanica, J23)</t>
        </is>
      </c>
      <c r="P534" s="3" t="inlineStr">
        <is>
          <t>output/v8/F5/regional_ranking.csv</t>
        </is>
      </c>
    </row>
    <row r="535">
      <c r="A535" s="3" t="inlineStr">
        <is>
          <t>alquiler</t>
        </is>
      </c>
      <c r="B535" s="3" t="inlineStr">
        <is>
          <t>ccaa:17</t>
        </is>
      </c>
      <c r="C535" s="3" t="inlineStr">
        <is>
          <t>P4</t>
        </is>
      </c>
      <c r="D535" s="3" t="inlineStr">
        <is>
          <t>oferta</t>
        </is>
      </c>
      <c r="E535" s="3" t="inlineStr">
        <is>
          <t>regional_panel</t>
        </is>
      </c>
      <c r="F535" s="3" t="inlineStr">
        <is>
          <t>panel_covariables</t>
        </is>
      </c>
      <c r="G535" s="3" t="n">
        <v>0.00302824</v>
      </c>
      <c r="H535" s="3" t="n">
        <v>-0.0680573</v>
      </c>
      <c r="I535" s="3" t="n">
        <v>-0.012902</v>
      </c>
      <c r="J535" s="3" t="n">
        <v>0.0212925</v>
      </c>
      <c r="K535" s="3" t="n">
        <v>-4.44954</v>
      </c>
      <c r="L535" s="3" t="n">
        <v>1</v>
      </c>
      <c r="M535" s="3" t="inlineStr">
        <is>
          <t>si</t>
        </is>
      </c>
      <c r="N535" s="3" t="inlineStr">
        <is>
          <t>no designado (contraste C4: no hay svar_hd regional)</t>
        </is>
      </c>
      <c r="O535" s="3" t="inlineStr">
        <is>
          <t>CCAA: ranking por c_f·sign(dY) del panel FE (M8); asociacion, sin lectura causal; el factor comun es un resumen de comovimiento (pendiente ~1 mecanica, J23)</t>
        </is>
      </c>
      <c r="P535" s="3" t="inlineStr">
        <is>
          <t>output/v8/F5/regional_ranking.csv</t>
        </is>
      </c>
    </row>
    <row r="536">
      <c r="A536" s="3" t="inlineStr">
        <is>
          <t>alquiler</t>
        </is>
      </c>
      <c r="B536" s="3" t="inlineStr">
        <is>
          <t>ccaa:17</t>
        </is>
      </c>
      <c r="C536" s="3" t="inlineStr">
        <is>
          <t>P4</t>
        </is>
      </c>
      <c r="D536" s="3" t="inlineStr">
        <is>
          <t>demanda_externa</t>
        </is>
      </c>
      <c r="E536" s="3" t="inlineStr">
        <is>
          <t>regional_panel</t>
        </is>
      </c>
      <c r="F536" s="3" t="inlineStr">
        <is>
          <t>panel_covariables</t>
        </is>
      </c>
      <c r="G536" s="3" t="n">
        <v>0.00663473</v>
      </c>
      <c r="H536" s="3" t="n">
        <v>-0.149111</v>
      </c>
      <c r="I536" s="3" t="n">
        <v>-0.0401533</v>
      </c>
      <c r="J536" s="3" t="n">
        <v>0.011818</v>
      </c>
      <c r="K536" s="3" t="n">
        <v>-4.44954</v>
      </c>
      <c r="L536" s="3" t="n">
        <v>2</v>
      </c>
      <c r="M536" s="3" t="inlineStr">
        <is>
          <t>si</t>
        </is>
      </c>
      <c r="N536" s="3" t="inlineStr">
        <is>
          <t>no designado (contraste C4: no hay svar_hd regional)</t>
        </is>
      </c>
      <c r="O536" s="3" t="inlineStr">
        <is>
          <t>CCAA: ranking por c_f·sign(dY) del panel FE (M8); asociacion, sin lectura causal; el factor comun es un resumen de comovimiento (pendiente ~1 mecanica, J23)</t>
        </is>
      </c>
      <c r="P536" s="3" t="inlineStr">
        <is>
          <t>output/v8/F5/regional_ranking.csv</t>
        </is>
      </c>
    </row>
    <row r="537">
      <c r="A537" s="3" t="inlineStr">
        <is>
          <t>alquiler</t>
        </is>
      </c>
      <c r="B537" s="3" t="inlineStr">
        <is>
          <t>ccaa:17</t>
        </is>
      </c>
      <c r="C537" s="3" t="inlineStr">
        <is>
          <t>P4</t>
        </is>
      </c>
      <c r="D537" s="3" t="inlineStr">
        <is>
          <t>residuo</t>
        </is>
      </c>
      <c r="E537" s="3" t="inlineStr">
        <is>
          <t>regional_panel</t>
        </is>
      </c>
      <c r="F537" s="3" t="inlineStr">
        <is>
          <t>panel_covariables</t>
        </is>
      </c>
      <c r="G537" s="3" t="n">
        <v>0.042763</v>
      </c>
      <c r="H537" s="3" t="n">
        <v>-0.9610649999999999</v>
      </c>
      <c r="I537" s="3" t="n">
        <v>-0.346178</v>
      </c>
      <c r="J537" s="3" t="n">
        <v>0.333519</v>
      </c>
      <c r="K537" s="3" t="n">
        <v>-4.44954</v>
      </c>
      <c r="L537" s="3" t="n"/>
      <c r="M537" s="3" t="inlineStr">
        <is>
          <t>no</t>
        </is>
      </c>
      <c r="N537" s="3" t="inlineStr">
        <is>
          <t>no designado (contraste C4: no hay svar_hd regional)</t>
        </is>
      </c>
      <c r="O537" s="3" t="inlineStr">
        <is>
          <t>CCAA: ranking por c_f·sign(dY) del panel FE (M8); asociacion, sin lectura causal; el factor comun es un resumen de comovimiento (pendiente ~1 mecanica, J23)</t>
        </is>
      </c>
      <c r="P537" s="3" t="inlineStr">
        <is>
          <t>output/v8/F5/regional_ranking.csv</t>
        </is>
      </c>
    </row>
    <row r="538">
      <c r="A538" s="3" t="inlineStr">
        <is>
          <t>alquiler</t>
        </is>
      </c>
      <c r="B538" s="3" t="inlineStr">
        <is>
          <t>ccaa:17</t>
        </is>
      </c>
      <c r="C538" s="3" t="inlineStr">
        <is>
          <t>P5</t>
        </is>
      </c>
      <c r="D538" s="3" t="inlineStr">
        <is>
          <t>factor_comun</t>
        </is>
      </c>
      <c r="E538" s="3" t="inlineStr">
        <is>
          <t>regional_ccaa_ols</t>
        </is>
      </c>
      <c r="F538" s="3" t="inlineStr">
        <is>
          <t>ols_solo_factor</t>
        </is>
      </c>
      <c r="G538" s="3" t="n">
        <v>-4.922</v>
      </c>
      <c r="H538" s="3" t="n">
        <v>77.12</v>
      </c>
      <c r="I538" s="3" t="n">
        <v>-7.47711</v>
      </c>
      <c r="J538" s="3" t="n">
        <v>-2.17943</v>
      </c>
      <c r="K538" s="3" t="n">
        <v>-5.82026</v>
      </c>
      <c r="L538" s="3" t="n"/>
      <c r="M538" s="3" t="inlineStr">
        <is>
          <t>no</t>
        </is>
      </c>
      <c r="N538" s="3" t="inlineStr">
        <is>
          <t>no designado (contraste C4: no hay svar_hd regional)</t>
        </is>
      </c>
      <c r="O538" s="3" t="inlineStr">
        <is>
          <t>CCAA: ranking por c_f·sign(dY) del panel FE (M8); asociacion, sin lectura causal; el factor comun es un resumen de comovimiento (pendiente ~1 mecanica, J23)</t>
        </is>
      </c>
      <c r="P538" s="3" t="inlineStr">
        <is>
          <t>output/v8/F5/regional_ranking.csv</t>
        </is>
      </c>
    </row>
    <row r="539">
      <c r="A539" s="3" t="inlineStr">
        <is>
          <t>alquiler</t>
        </is>
      </c>
      <c r="B539" s="3" t="inlineStr">
        <is>
          <t>ccaa:17</t>
        </is>
      </c>
      <c r="C539" s="3" t="inlineStr">
        <is>
          <t>P5</t>
        </is>
      </c>
      <c r="D539" s="3" t="inlineStr">
        <is>
          <t>residuo</t>
        </is>
      </c>
      <c r="E539" s="3" t="inlineStr">
        <is>
          <t>regional_ccaa_ols</t>
        </is>
      </c>
      <c r="F539" s="3" t="inlineStr">
        <is>
          <t>ols_solo_factor</t>
        </is>
      </c>
      <c r="G539" s="3" t="n">
        <v>-1.46026</v>
      </c>
      <c r="H539" s="3" t="n">
        <v>22.88</v>
      </c>
      <c r="I539" s="3" t="n"/>
      <c r="J539" s="3" t="n"/>
      <c r="K539" s="3" t="n">
        <v>-5.82026</v>
      </c>
      <c r="L539" s="3" t="n"/>
      <c r="M539" s="3" t="inlineStr">
        <is>
          <t>no</t>
        </is>
      </c>
      <c r="N539" s="3" t="inlineStr">
        <is>
          <t>no designado (contraste C4: no hay svar_hd regional)</t>
        </is>
      </c>
      <c r="O539" s="3" t="inlineStr">
        <is>
          <t>CCAA: ranking por c_f·sign(dY) del panel FE (M8); asociacion, sin lectura causal; el factor comun es un resumen de comovimiento (pendiente ~1 mecanica, J23)</t>
        </is>
      </c>
      <c r="P539" s="3" t="inlineStr">
        <is>
          <t>output/v8/F5/regional_ranking.csv</t>
        </is>
      </c>
    </row>
    <row r="540">
      <c r="A540" s="3" t="inlineStr">
        <is>
          <t>alquiler</t>
        </is>
      </c>
      <c r="B540" s="3" t="inlineStr">
        <is>
          <t>ccaa:17</t>
        </is>
      </c>
      <c r="C540" s="3" t="inlineStr">
        <is>
          <t>P5</t>
        </is>
      </c>
      <c r="D540" s="3" t="inlineStr">
        <is>
          <t>factor_comun</t>
        </is>
      </c>
      <c r="E540" s="3" t="inlineStr">
        <is>
          <t>regional_panel</t>
        </is>
      </c>
      <c r="F540" s="3" t="inlineStr">
        <is>
          <t>panel_covariables</t>
        </is>
      </c>
      <c r="G540" s="3" t="n">
        <v>-5.47353</v>
      </c>
      <c r="H540" s="3" t="n">
        <v>94.0427</v>
      </c>
      <c r="I540" s="3" t="n">
        <v>-7.50057</v>
      </c>
      <c r="J540" s="3" t="n">
        <v>-3.0519</v>
      </c>
      <c r="K540" s="3" t="n">
        <v>-5.82026</v>
      </c>
      <c r="L540" s="3" t="n"/>
      <c r="M540" s="3" t="inlineStr">
        <is>
          <t>no</t>
        </is>
      </c>
      <c r="N540" s="3" t="inlineStr">
        <is>
          <t>no designado (contraste C4: no hay svar_hd regional)</t>
        </is>
      </c>
      <c r="O540" s="3" t="inlineStr">
        <is>
          <t>CCAA: ranking por c_f·sign(dY) del panel FE (M8); asociacion, sin lectura causal; el factor comun es un resumen de comovimiento (pendiente ~1 mecanica, J23)</t>
        </is>
      </c>
      <c r="P540" s="3" t="inlineStr">
        <is>
          <t>output/v8/F5/regional_ranking.csv</t>
        </is>
      </c>
    </row>
    <row r="541">
      <c r="A541" s="3" t="inlineStr">
        <is>
          <t>alquiler</t>
        </is>
      </c>
      <c r="B541" s="3" t="inlineStr">
        <is>
          <t>ccaa:17</t>
        </is>
      </c>
      <c r="C541" s="3" t="inlineStr">
        <is>
          <t>P5</t>
        </is>
      </c>
      <c r="D541" s="3" t="inlineStr">
        <is>
          <t>empleo_renta</t>
        </is>
      </c>
      <c r="E541" s="3" t="inlineStr">
        <is>
          <t>regional_panel</t>
        </is>
      </c>
      <c r="F541" s="3" t="inlineStr">
        <is>
          <t>panel_covariables</t>
        </is>
      </c>
      <c r="G541" s="3" t="n">
        <v>-0.0323703</v>
      </c>
      <c r="H541" s="3" t="n">
        <v>0.556166</v>
      </c>
      <c r="I541" s="3" t="n">
        <v>-0.121363</v>
      </c>
      <c r="J541" s="3" t="n">
        <v>0.000127476</v>
      </c>
      <c r="K541" s="3" t="n">
        <v>-5.82026</v>
      </c>
      <c r="L541" s="3" t="n">
        <v>1</v>
      </c>
      <c r="M541" s="3" t="inlineStr">
        <is>
          <t>si</t>
        </is>
      </c>
      <c r="N541" s="3" t="inlineStr">
        <is>
          <t>no designado (contraste C4: no hay svar_hd regional)</t>
        </is>
      </c>
      <c r="O541" s="3" t="inlineStr">
        <is>
          <t>CCAA: ranking por c_f·sign(dY) del panel FE (M8); asociacion, sin lectura causal; el factor comun es un resumen de comovimiento (pendiente ~1 mecanica, J23)</t>
        </is>
      </c>
      <c r="P541" s="3" t="inlineStr">
        <is>
          <t>output/v8/F5/regional_ranking.csv</t>
        </is>
      </c>
    </row>
    <row r="542">
      <c r="A542" s="3" t="inlineStr">
        <is>
          <t>alquiler</t>
        </is>
      </c>
      <c r="B542" s="3" t="inlineStr">
        <is>
          <t>ccaa:17</t>
        </is>
      </c>
      <c r="C542" s="3" t="inlineStr">
        <is>
          <t>P5</t>
        </is>
      </c>
      <c r="D542" s="3" t="inlineStr">
        <is>
          <t>demografia</t>
        </is>
      </c>
      <c r="E542" s="3" t="inlineStr">
        <is>
          <t>regional_panel</t>
        </is>
      </c>
      <c r="F542" s="3" t="inlineStr">
        <is>
          <t>panel_covariables</t>
        </is>
      </c>
      <c r="G542" s="3" t="n">
        <v>0.360397</v>
      </c>
      <c r="H542" s="3" t="n">
        <v>-6.1921</v>
      </c>
      <c r="I542" s="3" t="n">
        <v>0.040025</v>
      </c>
      <c r="J542" s="3" t="n">
        <v>0.75685</v>
      </c>
      <c r="K542" s="3" t="n">
        <v>-5.82026</v>
      </c>
      <c r="L542" s="3" t="n">
        <v>4</v>
      </c>
      <c r="M542" s="3" t="inlineStr">
        <is>
          <t>si</t>
        </is>
      </c>
      <c r="N542" s="3" t="inlineStr">
        <is>
          <t>no designado (contraste C4: no hay svar_hd regional)</t>
        </is>
      </c>
      <c r="O542" s="3" t="inlineStr">
        <is>
          <t>CCAA: ranking por c_f·sign(dY) del panel FE (M8); asociacion, sin lectura causal; el factor comun es un resumen de comovimiento (pendiente ~1 mecanica, J23)</t>
        </is>
      </c>
      <c r="P542" s="3" t="inlineStr">
        <is>
          <t>output/v8/F5/regional_ranking.csv</t>
        </is>
      </c>
    </row>
    <row r="543">
      <c r="A543" s="3" t="inlineStr">
        <is>
          <t>alquiler</t>
        </is>
      </c>
      <c r="B543" s="3" t="inlineStr">
        <is>
          <t>ccaa:17</t>
        </is>
      </c>
      <c r="C543" s="3" t="inlineStr">
        <is>
          <t>P5</t>
        </is>
      </c>
      <c r="D543" s="3" t="inlineStr">
        <is>
          <t>oferta</t>
        </is>
      </c>
      <c r="E543" s="3" t="inlineStr">
        <is>
          <t>regional_panel</t>
        </is>
      </c>
      <c r="F543" s="3" t="inlineStr">
        <is>
          <t>panel_covariables</t>
        </is>
      </c>
      <c r="G543" s="3" t="n">
        <v>0.00207942</v>
      </c>
      <c r="H543" s="3" t="n">
        <v>-0.0357272</v>
      </c>
      <c r="I543" s="3" t="n">
        <v>-0.014687</v>
      </c>
      <c r="J543" s="3" t="n">
        <v>0.0266126</v>
      </c>
      <c r="K543" s="3" t="n">
        <v>-5.82026</v>
      </c>
      <c r="L543" s="3" t="n">
        <v>2</v>
      </c>
      <c r="M543" s="3" t="inlineStr">
        <is>
          <t>si</t>
        </is>
      </c>
      <c r="N543" s="3" t="inlineStr">
        <is>
          <t>no designado (contraste C4: no hay svar_hd regional)</t>
        </is>
      </c>
      <c r="O543" s="3" t="inlineStr">
        <is>
          <t>CCAA: ranking por c_f·sign(dY) del panel FE (M8); asociacion, sin lectura causal; el factor comun es un resumen de comovimiento (pendiente ~1 mecanica, J23)</t>
        </is>
      </c>
      <c r="P543" s="3" t="inlineStr">
        <is>
          <t>output/v8/F5/regional_ranking.csv</t>
        </is>
      </c>
    </row>
    <row r="544">
      <c r="A544" s="3" t="inlineStr">
        <is>
          <t>alquiler</t>
        </is>
      </c>
      <c r="B544" s="3" t="inlineStr">
        <is>
          <t>ccaa:17</t>
        </is>
      </c>
      <c r="C544" s="3" t="inlineStr">
        <is>
          <t>P5</t>
        </is>
      </c>
      <c r="D544" s="3" t="inlineStr">
        <is>
          <t>demanda_externa</t>
        </is>
      </c>
      <c r="E544" s="3" t="inlineStr">
        <is>
          <t>regional_panel</t>
        </is>
      </c>
      <c r="F544" s="3" t="inlineStr">
        <is>
          <t>panel_covariables</t>
        </is>
      </c>
      <c r="G544" s="3" t="n">
        <v>0.0383274</v>
      </c>
      <c r="H544" s="3" t="n">
        <v>-0.658516</v>
      </c>
      <c r="I544" s="3" t="n">
        <v>0.0032239</v>
      </c>
      <c r="J544" s="3" t="n">
        <v>0.07876900000000001</v>
      </c>
      <c r="K544" s="3" t="n">
        <v>-5.82026</v>
      </c>
      <c r="L544" s="3" t="n">
        <v>3</v>
      </c>
      <c r="M544" s="3" t="inlineStr">
        <is>
          <t>si</t>
        </is>
      </c>
      <c r="N544" s="3" t="inlineStr">
        <is>
          <t>no designado (contraste C4: no hay svar_hd regional)</t>
        </is>
      </c>
      <c r="O544" s="3" t="inlineStr">
        <is>
          <t>CCAA: ranking por c_f·sign(dY) del panel FE (M8); asociacion, sin lectura causal; el factor comun es un resumen de comovimiento (pendiente ~1 mecanica, J23)</t>
        </is>
      </c>
      <c r="P544" s="3" t="inlineStr">
        <is>
          <t>output/v8/F5/regional_ranking.csv</t>
        </is>
      </c>
    </row>
    <row r="545">
      <c r="A545" s="3" t="inlineStr">
        <is>
          <t>alquiler</t>
        </is>
      </c>
      <c r="B545" s="3" t="inlineStr">
        <is>
          <t>ccaa:17</t>
        </is>
      </c>
      <c r="C545" s="3" t="inlineStr">
        <is>
          <t>P5</t>
        </is>
      </c>
      <c r="D545" s="3" t="inlineStr">
        <is>
          <t>residuo</t>
        </is>
      </c>
      <c r="E545" s="3" t="inlineStr">
        <is>
          <t>regional_panel</t>
        </is>
      </c>
      <c r="F545" s="3" t="inlineStr">
        <is>
          <t>panel_covariables</t>
        </is>
      </c>
      <c r="G545" s="3" t="n">
        <v>-0.715166</v>
      </c>
      <c r="H545" s="3" t="n">
        <v>12.2875</v>
      </c>
      <c r="I545" s="3" t="n">
        <v>-1.3155</v>
      </c>
      <c r="J545" s="3" t="n">
        <v>-0.08929819999999999</v>
      </c>
      <c r="K545" s="3" t="n">
        <v>-5.82026</v>
      </c>
      <c r="L545" s="3" t="n"/>
      <c r="M545" s="3" t="inlineStr">
        <is>
          <t>no</t>
        </is>
      </c>
      <c r="N545" s="3" t="inlineStr">
        <is>
          <t>no designado (contraste C4: no hay svar_hd regional)</t>
        </is>
      </c>
      <c r="O545" s="3" t="inlineStr">
        <is>
          <t>CCAA: ranking por c_f·sign(dY) del panel FE (M8); asociacion, sin lectura causal; el factor comun es un resumen de comovimiento (pendiente ~1 mecanica, J23)</t>
        </is>
      </c>
      <c r="P545" s="3" t="inlineStr">
        <is>
          <t>output/v8/F5/regional_ranking.csv</t>
        </is>
      </c>
    </row>
    <row r="546">
      <c r="A546" s="3" t="inlineStr">
        <is>
          <t>compra</t>
        </is>
      </c>
      <c r="B546" s="3" t="inlineStr">
        <is>
          <t>ccaa:01</t>
        </is>
      </c>
      <c r="C546" s="3" t="inlineStr">
        <is>
          <t>P1</t>
        </is>
      </c>
      <c r="D546" s="3" t="inlineStr">
        <is>
          <t>factor_comun</t>
        </is>
      </c>
      <c r="E546" s="3" t="inlineStr">
        <is>
          <t>regional_ccaa_ols</t>
        </is>
      </c>
      <c r="F546" s="3" t="inlineStr">
        <is>
          <t>ols_solo_factor</t>
        </is>
      </c>
      <c r="G546" s="3" t="n">
        <v>106.429</v>
      </c>
      <c r="H546" s="3" t="n">
        <v>120.559</v>
      </c>
      <c r="I546" s="3" t="n">
        <v>83.70480000000001</v>
      </c>
      <c r="J546" s="3" t="n">
        <v>128.88</v>
      </c>
      <c r="K546" s="3" t="n">
        <v>88.2795</v>
      </c>
      <c r="L546" s="3" t="n"/>
      <c r="M546" s="3" t="inlineStr">
        <is>
          <t>no</t>
        </is>
      </c>
      <c r="N546" s="3" t="inlineStr">
        <is>
          <t>no designado (contraste C4: no hay svar_hd regional)</t>
        </is>
      </c>
      <c r="O546" s="3" t="inlineStr">
        <is>
          <t>CCAA: ranking por c_f·sign(dY) del panel FE (M8); asociacion, sin lectura causal; el factor comun es un resumen de comovimiento (pendiente ~1 mecanica, J23)</t>
        </is>
      </c>
      <c r="P546" s="3" t="inlineStr">
        <is>
          <t>output/v8/F5/regional_ranking.csv</t>
        </is>
      </c>
    </row>
    <row r="547">
      <c r="A547" s="3" t="inlineStr">
        <is>
          <t>compra</t>
        </is>
      </c>
      <c r="B547" s="3" t="inlineStr">
        <is>
          <t>ccaa:01</t>
        </is>
      </c>
      <c r="C547" s="3" t="inlineStr">
        <is>
          <t>P1</t>
        </is>
      </c>
      <c r="D547" s="3" t="inlineStr">
        <is>
          <t>residuo</t>
        </is>
      </c>
      <c r="E547" s="3" t="inlineStr">
        <is>
          <t>regional_ccaa_ols</t>
        </is>
      </c>
      <c r="F547" s="3" t="inlineStr">
        <is>
          <t>ols_solo_factor</t>
        </is>
      </c>
      <c r="G547" s="3" t="n">
        <v>-18.1492</v>
      </c>
      <c r="H547" s="3" t="n">
        <v>-20.5588</v>
      </c>
      <c r="I547" s="3" t="n"/>
      <c r="J547" s="3" t="n"/>
      <c r="K547" s="3" t="n">
        <v>88.2795</v>
      </c>
      <c r="L547" s="3" t="n"/>
      <c r="M547" s="3" t="inlineStr">
        <is>
          <t>no</t>
        </is>
      </c>
      <c r="N547" s="3" t="inlineStr">
        <is>
          <t>no designado (contraste C4: no hay svar_hd regional)</t>
        </is>
      </c>
      <c r="O547" s="3" t="inlineStr">
        <is>
          <t>CCAA: ranking por c_f·sign(dY) del panel FE (M8); asociacion, sin lectura causal; el factor comun es un resumen de comovimiento (pendiente ~1 mecanica, J23)</t>
        </is>
      </c>
      <c r="P547" s="3" t="inlineStr">
        <is>
          <t>output/v8/F5/regional_ranking.csv</t>
        </is>
      </c>
    </row>
    <row r="548">
      <c r="A548" s="3" t="inlineStr">
        <is>
          <t>compra</t>
        </is>
      </c>
      <c r="B548" s="3" t="inlineStr">
        <is>
          <t>ccaa:01</t>
        </is>
      </c>
      <c r="C548" s="3" t="inlineStr">
        <is>
          <t>P1</t>
        </is>
      </c>
      <c r="D548" s="3" t="inlineStr">
        <is>
          <t>factor_comun</t>
        </is>
      </c>
      <c r="E548" s="3" t="inlineStr">
        <is>
          <t>regional_panel</t>
        </is>
      </c>
      <c r="F548" s="3" t="inlineStr">
        <is>
          <t>panel_covariables</t>
        </is>
      </c>
      <c r="G548" s="3" t="n">
        <v>74.3853</v>
      </c>
      <c r="H548" s="3" t="n">
        <v>84.2611</v>
      </c>
      <c r="I548" s="3" t="n">
        <v>63.2347</v>
      </c>
      <c r="J548" s="3" t="n">
        <v>88.0656</v>
      </c>
      <c r="K548" s="3" t="n">
        <v>88.2795</v>
      </c>
      <c r="L548" s="3" t="n"/>
      <c r="M548" s="3" t="inlineStr">
        <is>
          <t>no</t>
        </is>
      </c>
      <c r="N548" s="3" t="inlineStr">
        <is>
          <t>no designado (contraste C4: no hay svar_hd regional)</t>
        </is>
      </c>
      <c r="O548" s="3" t="inlineStr">
        <is>
          <t>CCAA: ranking por c_f·sign(dY) del panel FE (M8); asociacion, sin lectura causal; el factor comun es un resumen de comovimiento (pendiente ~1 mecanica, J23)</t>
        </is>
      </c>
      <c r="P548" s="3" t="inlineStr">
        <is>
          <t>output/v8/F5/regional_ranking.csv</t>
        </is>
      </c>
    </row>
    <row r="549">
      <c r="A549" s="3" t="inlineStr">
        <is>
          <t>compra</t>
        </is>
      </c>
      <c r="B549" s="3" t="inlineStr">
        <is>
          <t>ccaa:01</t>
        </is>
      </c>
      <c r="C549" s="3" t="inlineStr">
        <is>
          <t>P1</t>
        </is>
      </c>
      <c r="D549" s="3" t="inlineStr">
        <is>
          <t>residuo</t>
        </is>
      </c>
      <c r="E549" s="3" t="inlineStr">
        <is>
          <t>regional_panel</t>
        </is>
      </c>
      <c r="F549" s="3" t="inlineStr">
        <is>
          <t>panel_covariables</t>
        </is>
      </c>
      <c r="G549" s="3" t="n">
        <v>13.8942</v>
      </c>
      <c r="H549" s="3" t="n">
        <v>15.7389</v>
      </c>
      <c r="I549" s="3" t="n">
        <v>6.20006</v>
      </c>
      <c r="J549" s="3" t="n">
        <v>22.3217</v>
      </c>
      <c r="K549" s="3" t="n">
        <v>88.2795</v>
      </c>
      <c r="L549" s="3" t="n"/>
      <c r="M549" s="3" t="inlineStr">
        <is>
          <t>no</t>
        </is>
      </c>
      <c r="N549" s="3" t="inlineStr">
        <is>
          <t>no designado (contraste C4: no hay svar_hd regional)</t>
        </is>
      </c>
      <c r="O549" s="3" t="inlineStr">
        <is>
          <t>CCAA: ranking por c_f·sign(dY) del panel FE (M8); asociacion, sin lectura causal; el factor comun es un resumen de comovimiento (pendiente ~1 mecanica, J23)</t>
        </is>
      </c>
      <c r="P549" s="3" t="inlineStr">
        <is>
          <t>output/v8/F5/regional_ranking.csv</t>
        </is>
      </c>
    </row>
    <row r="550">
      <c r="A550" s="3" t="inlineStr">
        <is>
          <t>compra</t>
        </is>
      </c>
      <c r="B550" s="3" t="inlineStr">
        <is>
          <t>ccaa:01</t>
        </is>
      </c>
      <c r="C550" s="3" t="inlineStr">
        <is>
          <t>P2</t>
        </is>
      </c>
      <c r="D550" s="3" t="inlineStr">
        <is>
          <t>factor_comun</t>
        </is>
      </c>
      <c r="E550" s="3" t="inlineStr">
        <is>
          <t>regional_ccaa_ols</t>
        </is>
      </c>
      <c r="F550" s="3" t="inlineStr">
        <is>
          <t>ols_solo_factor</t>
        </is>
      </c>
      <c r="G550" s="3" t="n">
        <v>-46.0157</v>
      </c>
      <c r="H550" s="3" t="n">
        <v>100.504</v>
      </c>
      <c r="I550" s="3" t="n">
        <v>-53.9621</v>
      </c>
      <c r="J550" s="3" t="n">
        <v>-33.8384</v>
      </c>
      <c r="K550" s="3" t="n">
        <v>-44.1168</v>
      </c>
      <c r="L550" s="3" t="n"/>
      <c r="M550" s="3" t="inlineStr">
        <is>
          <t>no</t>
        </is>
      </c>
      <c r="N550" s="3" t="inlineStr">
        <is>
          <t>no designado (contraste C4: no hay svar_hd regional)</t>
        </is>
      </c>
      <c r="O550" s="3" t="inlineStr">
        <is>
          <t>CCAA: ranking por c_f·sign(dY) del panel FE (M8); asociacion, sin lectura causal; el factor comun es un resumen de comovimiento (pendiente ~1 mecanica, J23)</t>
        </is>
      </c>
      <c r="P550" s="3" t="inlineStr">
        <is>
          <t>output/v8/F5/regional_ranking.csv</t>
        </is>
      </c>
    </row>
    <row r="551">
      <c r="A551" s="3" t="inlineStr">
        <is>
          <t>compra</t>
        </is>
      </c>
      <c r="B551" s="3" t="inlineStr">
        <is>
          <t>ccaa:01</t>
        </is>
      </c>
      <c r="C551" s="3" t="inlineStr">
        <is>
          <t>P2</t>
        </is>
      </c>
      <c r="D551" s="3" t="inlineStr">
        <is>
          <t>residuo</t>
        </is>
      </c>
      <c r="E551" s="3" t="inlineStr">
        <is>
          <t>regional_ccaa_ols</t>
        </is>
      </c>
      <c r="F551" s="3" t="inlineStr">
        <is>
          <t>ols_solo_factor</t>
        </is>
      </c>
      <c r="G551" s="3" t="n">
        <v>0.230544</v>
      </c>
      <c r="H551" s="3" t="n">
        <v>-0.503535</v>
      </c>
      <c r="I551" s="3" t="n"/>
      <c r="J551" s="3" t="n"/>
      <c r="K551" s="3" t="n">
        <v>-44.1168</v>
      </c>
      <c r="L551" s="3" t="n"/>
      <c r="M551" s="3" t="inlineStr">
        <is>
          <t>no</t>
        </is>
      </c>
      <c r="N551" s="3" t="inlineStr">
        <is>
          <t>no designado (contraste C4: no hay svar_hd regional)</t>
        </is>
      </c>
      <c r="O551" s="3" t="inlineStr">
        <is>
          <t>CCAA: ranking por c_f·sign(dY) del panel FE (M8); asociacion, sin lectura causal; el factor comun es un resumen de comovimiento (pendiente ~1 mecanica, J23)</t>
        </is>
      </c>
      <c r="P551" s="3" t="inlineStr">
        <is>
          <t>output/v8/F5/regional_ranking.csv</t>
        </is>
      </c>
    </row>
    <row r="552">
      <c r="A552" s="3" t="inlineStr">
        <is>
          <t>compra</t>
        </is>
      </c>
      <c r="B552" s="3" t="inlineStr">
        <is>
          <t>ccaa:01</t>
        </is>
      </c>
      <c r="C552" s="3" t="inlineStr">
        <is>
          <t>P2</t>
        </is>
      </c>
      <c r="D552" s="3" t="inlineStr">
        <is>
          <t>factor_comun</t>
        </is>
      </c>
      <c r="E552" s="3" t="inlineStr">
        <is>
          <t>regional_panel</t>
        </is>
      </c>
      <c r="F552" s="3" t="inlineStr">
        <is>
          <t>panel_covariables</t>
        </is>
      </c>
      <c r="G552" s="3" t="n">
        <v>-35.0812</v>
      </c>
      <c r="H552" s="3" t="n">
        <v>79.5189</v>
      </c>
      <c r="I552" s="3" t="n">
        <v>-41.5124</v>
      </c>
      <c r="J552" s="3" t="n">
        <v>-30.6884</v>
      </c>
      <c r="K552" s="3" t="n">
        <v>-44.1168</v>
      </c>
      <c r="L552" s="3" t="n"/>
      <c r="M552" s="3" t="inlineStr">
        <is>
          <t>no</t>
        </is>
      </c>
      <c r="N552" s="3" t="inlineStr">
        <is>
          <t>no designado (contraste C4: no hay svar_hd regional)</t>
        </is>
      </c>
      <c r="O552" s="3" t="inlineStr">
        <is>
          <t>CCAA: ranking por c_f·sign(dY) del panel FE (M8); asociacion, sin lectura causal; el factor comun es un resumen de comovimiento (pendiente ~1 mecanica, J23)</t>
        </is>
      </c>
      <c r="P552" s="3" t="inlineStr">
        <is>
          <t>output/v8/F5/regional_ranking.csv</t>
        </is>
      </c>
    </row>
    <row r="553">
      <c r="A553" s="3" t="inlineStr">
        <is>
          <t>compra</t>
        </is>
      </c>
      <c r="B553" s="3" t="inlineStr">
        <is>
          <t>ccaa:01</t>
        </is>
      </c>
      <c r="C553" s="3" t="inlineStr">
        <is>
          <t>P2</t>
        </is>
      </c>
      <c r="D553" s="3" t="inlineStr">
        <is>
          <t>empleo_renta</t>
        </is>
      </c>
      <c r="E553" s="3" t="inlineStr">
        <is>
          <t>regional_panel</t>
        </is>
      </c>
      <c r="F553" s="3" t="inlineStr">
        <is>
          <t>panel_covariables</t>
        </is>
      </c>
      <c r="G553" s="3" t="n">
        <v>-2.19706</v>
      </c>
      <c r="H553" s="3" t="n">
        <v>4.98011</v>
      </c>
      <c r="I553" s="3" t="n">
        <v>-4.13835</v>
      </c>
      <c r="J553" s="3" t="n">
        <v>-0.393135</v>
      </c>
      <c r="K553" s="3" t="n">
        <v>-44.1168</v>
      </c>
      <c r="L553" s="3" t="n">
        <v>1</v>
      </c>
      <c r="M553" s="3" t="inlineStr">
        <is>
          <t>si</t>
        </is>
      </c>
      <c r="N553" s="3" t="inlineStr">
        <is>
          <t>no designado (contraste C4: no hay svar_hd regional)</t>
        </is>
      </c>
      <c r="O553" s="3" t="inlineStr">
        <is>
          <t>CCAA: ranking por c_f·sign(dY) del panel FE (M8); asociacion, sin lectura causal; el factor comun es un resumen de comovimiento (pendiente ~1 mecanica, J23)</t>
        </is>
      </c>
      <c r="P553" s="3" t="inlineStr">
        <is>
          <t>output/v8/F5/regional_ranking.csv</t>
        </is>
      </c>
    </row>
    <row r="554">
      <c r="A554" s="3" t="inlineStr">
        <is>
          <t>compra</t>
        </is>
      </c>
      <c r="B554" s="3" t="inlineStr">
        <is>
          <t>ccaa:01</t>
        </is>
      </c>
      <c r="C554" s="3" t="inlineStr">
        <is>
          <t>P2</t>
        </is>
      </c>
      <c r="D554" s="3" t="inlineStr">
        <is>
          <t>demografia</t>
        </is>
      </c>
      <c r="E554" s="3" t="inlineStr">
        <is>
          <t>regional_panel</t>
        </is>
      </c>
      <c r="F554" s="3" t="inlineStr">
        <is>
          <t>panel_covariables</t>
        </is>
      </c>
      <c r="G554" s="3" t="n">
        <v>2.79461</v>
      </c>
      <c r="H554" s="3" t="n">
        <v>-6.33458</v>
      </c>
      <c r="I554" s="3" t="n">
        <v>1.08593</v>
      </c>
      <c r="J554" s="3" t="n">
        <v>5.05706</v>
      </c>
      <c r="K554" s="3" t="n">
        <v>-44.1168</v>
      </c>
      <c r="L554" s="3" t="n">
        <v>4</v>
      </c>
      <c r="M554" s="3" t="inlineStr">
        <is>
          <t>si</t>
        </is>
      </c>
      <c r="N554" s="3" t="inlineStr">
        <is>
          <t>no designado (contraste C4: no hay svar_hd regional)</t>
        </is>
      </c>
      <c r="O554" s="3" t="inlineStr">
        <is>
          <t>CCAA: ranking por c_f·sign(dY) del panel FE (M8); asociacion, sin lectura causal; el factor comun es un resumen de comovimiento (pendiente ~1 mecanica, J23)</t>
        </is>
      </c>
      <c r="P554" s="3" t="inlineStr">
        <is>
          <t>output/v8/F5/regional_ranking.csv</t>
        </is>
      </c>
    </row>
    <row r="555">
      <c r="A555" s="3" t="inlineStr">
        <is>
          <t>compra</t>
        </is>
      </c>
      <c r="B555" s="3" t="inlineStr">
        <is>
          <t>ccaa:01</t>
        </is>
      </c>
      <c r="C555" s="3" t="inlineStr">
        <is>
          <t>P2</t>
        </is>
      </c>
      <c r="D555" s="3" t="inlineStr">
        <is>
          <t>oferta</t>
        </is>
      </c>
      <c r="E555" s="3" t="inlineStr">
        <is>
          <t>regional_panel</t>
        </is>
      </c>
      <c r="F555" s="3" t="inlineStr">
        <is>
          <t>panel_covariables</t>
        </is>
      </c>
      <c r="G555" s="3" t="n">
        <v>-0.0628862</v>
      </c>
      <c r="H555" s="3" t="n">
        <v>0.142545</v>
      </c>
      <c r="I555" s="3" t="n">
        <v>-0.511757</v>
      </c>
      <c r="J555" s="3" t="n">
        <v>0.371458</v>
      </c>
      <c r="K555" s="3" t="n">
        <v>-44.1168</v>
      </c>
      <c r="L555" s="3" t="n">
        <v>3</v>
      </c>
      <c r="M555" s="3" t="inlineStr">
        <is>
          <t>si</t>
        </is>
      </c>
      <c r="N555" s="3" t="inlineStr">
        <is>
          <t>no designado (contraste C4: no hay svar_hd regional)</t>
        </is>
      </c>
      <c r="O555" s="3" t="inlineStr">
        <is>
          <t>CCAA: ranking por c_f·sign(dY) del panel FE (M8); asociacion, sin lectura causal; el factor comun es un resumen de comovimiento (pendiente ~1 mecanica, J23)</t>
        </is>
      </c>
      <c r="P555" s="3" t="inlineStr">
        <is>
          <t>output/v8/F5/regional_ranking.csv</t>
        </is>
      </c>
    </row>
    <row r="556">
      <c r="A556" s="3" t="inlineStr">
        <is>
          <t>compra</t>
        </is>
      </c>
      <c r="B556" s="3" t="inlineStr">
        <is>
          <t>ccaa:01</t>
        </is>
      </c>
      <c r="C556" s="3" t="inlineStr">
        <is>
          <t>P2</t>
        </is>
      </c>
      <c r="D556" s="3" t="inlineStr">
        <is>
          <t>demanda_externa</t>
        </is>
      </c>
      <c r="E556" s="3" t="inlineStr">
        <is>
          <t>regional_panel</t>
        </is>
      </c>
      <c r="F556" s="3" t="inlineStr">
        <is>
          <t>panel_covariables</t>
        </is>
      </c>
      <c r="G556" s="3" t="n">
        <v>-0.285377</v>
      </c>
      <c r="H556" s="3" t="n">
        <v>0.646868</v>
      </c>
      <c r="I556" s="3" t="n">
        <v>-0.662818</v>
      </c>
      <c r="J556" s="3" t="n">
        <v>-0.0419262</v>
      </c>
      <c r="K556" s="3" t="n">
        <v>-44.1168</v>
      </c>
      <c r="L556" s="3" t="n">
        <v>2</v>
      </c>
      <c r="M556" s="3" t="inlineStr">
        <is>
          <t>si</t>
        </is>
      </c>
      <c r="N556" s="3" t="inlineStr">
        <is>
          <t>no designado (contraste C4: no hay svar_hd regional)</t>
        </is>
      </c>
      <c r="O556" s="3" t="inlineStr">
        <is>
          <t>CCAA: ranking por c_f·sign(dY) del panel FE (M8); asociacion, sin lectura causal; el factor comun es un resumen de comovimiento (pendiente ~1 mecanica, J23)</t>
        </is>
      </c>
      <c r="P556" s="3" t="inlineStr">
        <is>
          <t>output/v8/F5/regional_ranking.csv</t>
        </is>
      </c>
    </row>
    <row r="557">
      <c r="A557" s="3" t="inlineStr">
        <is>
          <t>compra</t>
        </is>
      </c>
      <c r="B557" s="3" t="inlineStr">
        <is>
          <t>ccaa:01</t>
        </is>
      </c>
      <c r="C557" s="3" t="inlineStr">
        <is>
          <t>P2</t>
        </is>
      </c>
      <c r="D557" s="3" t="inlineStr">
        <is>
          <t>residuo</t>
        </is>
      </c>
      <c r="E557" s="3" t="inlineStr">
        <is>
          <t>regional_panel</t>
        </is>
      </c>
      <c r="F557" s="3" t="inlineStr">
        <is>
          <t>panel_covariables</t>
        </is>
      </c>
      <c r="G557" s="3" t="n">
        <v>-9.28492</v>
      </c>
      <c r="H557" s="3" t="n">
        <v>21.0462</v>
      </c>
      <c r="I557" s="3" t="n">
        <v>-13.7448</v>
      </c>
      <c r="J557" s="3" t="n">
        <v>-3.75639</v>
      </c>
      <c r="K557" s="3" t="n">
        <v>-44.1168</v>
      </c>
      <c r="L557" s="3" t="n"/>
      <c r="M557" s="3" t="inlineStr">
        <is>
          <t>no</t>
        </is>
      </c>
      <c r="N557" s="3" t="inlineStr">
        <is>
          <t>no designado (contraste C4: no hay svar_hd regional)</t>
        </is>
      </c>
      <c r="O557" s="3" t="inlineStr">
        <is>
          <t>CCAA: ranking por c_f·sign(dY) del panel FE (M8); asociacion, sin lectura causal; el factor comun es un resumen de comovimiento (pendiente ~1 mecanica, J23)</t>
        </is>
      </c>
      <c r="P557" s="3" t="inlineStr">
        <is>
          <t>output/v8/F5/regional_ranking.csv</t>
        </is>
      </c>
    </row>
    <row r="558">
      <c r="A558" s="3" t="inlineStr">
        <is>
          <t>compra</t>
        </is>
      </c>
      <c r="B558" s="3" t="inlineStr">
        <is>
          <t>ccaa:01</t>
        </is>
      </c>
      <c r="C558" s="3" t="inlineStr">
        <is>
          <t>P3</t>
        </is>
      </c>
      <c r="D558" s="3" t="inlineStr">
        <is>
          <t>factor_comun</t>
        </is>
      </c>
      <c r="E558" s="3" t="inlineStr">
        <is>
          <t>regional_ccaa_ols</t>
        </is>
      </c>
      <c r="F558" s="3" t="inlineStr">
        <is>
          <t>ols_solo_factor</t>
        </is>
      </c>
      <c r="G558" s="3" t="n">
        <v>-0.517667</v>
      </c>
      <c r="H558" s="3" t="n">
        <v>-38.9871</v>
      </c>
      <c r="I558" s="3" t="n">
        <v>-4.89441</v>
      </c>
      <c r="J558" s="3" t="n">
        <v>2.12725</v>
      </c>
      <c r="K558" s="3" t="n">
        <v>1.05118</v>
      </c>
      <c r="L558" s="3" t="n"/>
      <c r="M558" s="3" t="inlineStr">
        <is>
          <t>no</t>
        </is>
      </c>
      <c r="N558" s="3" t="inlineStr">
        <is>
          <t>no designado (contraste C4: no hay svar_hd regional)</t>
        </is>
      </c>
      <c r="O558" s="3" t="inlineStr">
        <is>
          <t>CCAA: ranking por c_f·sign(dY) del panel FE (M8); asociacion, sin lectura causal; el factor comun es un resumen de comovimiento (pendiente ~1 mecanica, J23)</t>
        </is>
      </c>
      <c r="P558" s="3" t="inlineStr">
        <is>
          <t>output/v8/F5/regional_ranking.csv</t>
        </is>
      </c>
    </row>
    <row r="559">
      <c r="A559" s="3" t="inlineStr">
        <is>
          <t>compra</t>
        </is>
      </c>
      <c r="B559" s="3" t="inlineStr">
        <is>
          <t>ccaa:01</t>
        </is>
      </c>
      <c r="C559" s="3" t="inlineStr">
        <is>
          <t>P3</t>
        </is>
      </c>
      <c r="D559" s="3" t="inlineStr">
        <is>
          <t>residuo</t>
        </is>
      </c>
      <c r="E559" s="3" t="inlineStr">
        <is>
          <t>regional_ccaa_ols</t>
        </is>
      </c>
      <c r="F559" s="3" t="inlineStr">
        <is>
          <t>ols_solo_factor</t>
        </is>
      </c>
      <c r="G559" s="3" t="n">
        <v>1.84546</v>
      </c>
      <c r="H559" s="3" t="n">
        <v>138.987</v>
      </c>
      <c r="I559" s="3" t="n"/>
      <c r="J559" s="3" t="n"/>
      <c r="K559" s="3" t="n">
        <v>1.05118</v>
      </c>
      <c r="L559" s="3" t="n"/>
      <c r="M559" s="3" t="inlineStr">
        <is>
          <t>no</t>
        </is>
      </c>
      <c r="N559" s="3" t="inlineStr">
        <is>
          <t>no designado (contraste C4: no hay svar_hd regional)</t>
        </is>
      </c>
      <c r="O559" s="3" t="inlineStr">
        <is>
          <t>CCAA: ranking por c_f·sign(dY) del panel FE (M8); asociacion, sin lectura causal; el factor comun es un resumen de comovimiento (pendiente ~1 mecanica, J23)</t>
        </is>
      </c>
      <c r="P559" s="3" t="inlineStr">
        <is>
          <t>output/v8/F5/regional_ranking.csv</t>
        </is>
      </c>
    </row>
    <row r="560">
      <c r="A560" s="3" t="inlineStr">
        <is>
          <t>compra</t>
        </is>
      </c>
      <c r="B560" s="3" t="inlineStr">
        <is>
          <t>ccaa:01</t>
        </is>
      </c>
      <c r="C560" s="3" t="inlineStr">
        <is>
          <t>P3</t>
        </is>
      </c>
      <c r="D560" s="3" t="inlineStr">
        <is>
          <t>factor_comun</t>
        </is>
      </c>
      <c r="E560" s="3" t="inlineStr">
        <is>
          <t>regional_panel</t>
        </is>
      </c>
      <c r="F560" s="3" t="inlineStr">
        <is>
          <t>panel_covariables</t>
        </is>
      </c>
      <c r="G560" s="3" t="n">
        <v>-0.548472</v>
      </c>
      <c r="H560" s="3" t="n">
        <v>-52.1769</v>
      </c>
      <c r="I560" s="3" t="n">
        <v>-3.50001</v>
      </c>
      <c r="J560" s="3" t="n">
        <v>2.45383</v>
      </c>
      <c r="K560" s="3" t="n">
        <v>1.05118</v>
      </c>
      <c r="L560" s="3" t="n"/>
      <c r="M560" s="3" t="inlineStr">
        <is>
          <t>no</t>
        </is>
      </c>
      <c r="N560" s="3" t="inlineStr">
        <is>
          <t>no designado (contraste C4: no hay svar_hd regional)</t>
        </is>
      </c>
      <c r="O560" s="3" t="inlineStr">
        <is>
          <t>CCAA: ranking por c_f·sign(dY) del panel FE (M8); asociacion, sin lectura causal; el factor comun es un resumen de comovimiento (pendiente ~1 mecanica, J23)</t>
        </is>
      </c>
      <c r="P560" s="3" t="inlineStr">
        <is>
          <t>output/v8/F5/regional_ranking.csv</t>
        </is>
      </c>
    </row>
    <row r="561">
      <c r="A561" s="3" t="inlineStr">
        <is>
          <t>compra</t>
        </is>
      </c>
      <c r="B561" s="3" t="inlineStr">
        <is>
          <t>ccaa:01</t>
        </is>
      </c>
      <c r="C561" s="3" t="inlineStr">
        <is>
          <t>P3</t>
        </is>
      </c>
      <c r="D561" s="3" t="inlineStr">
        <is>
          <t>empleo_renta</t>
        </is>
      </c>
      <c r="E561" s="3" t="inlineStr">
        <is>
          <t>regional_panel</t>
        </is>
      </c>
      <c r="F561" s="3" t="inlineStr">
        <is>
          <t>panel_covariables</t>
        </is>
      </c>
      <c r="G561" s="3" t="n">
        <v>0.778429</v>
      </c>
      <c r="H561" s="3" t="n">
        <v>74.053</v>
      </c>
      <c r="I561" s="3" t="n">
        <v>-0.319123</v>
      </c>
      <c r="J561" s="3" t="n">
        <v>1.88281</v>
      </c>
      <c r="K561" s="3" t="n">
        <v>1.05118</v>
      </c>
      <c r="L561" s="3" t="n">
        <v>1</v>
      </c>
      <c r="M561" s="3" t="inlineStr">
        <is>
          <t>si</t>
        </is>
      </c>
      <c r="N561" s="3" t="inlineStr">
        <is>
          <t>no designado (contraste C4: no hay svar_hd regional)</t>
        </is>
      </c>
      <c r="O561" s="3" t="inlineStr">
        <is>
          <t>CCAA: ranking por c_f·sign(dY) del panel FE (M8); asociacion, sin lectura causal; el factor comun es un resumen de comovimiento (pendiente ~1 mecanica, J23)</t>
        </is>
      </c>
      <c r="P561" s="3" t="inlineStr">
        <is>
          <t>output/v8/F5/regional_ranking.csv</t>
        </is>
      </c>
    </row>
    <row r="562">
      <c r="A562" s="3" t="inlineStr">
        <is>
          <t>compra</t>
        </is>
      </c>
      <c r="B562" s="3" t="inlineStr">
        <is>
          <t>ccaa:01</t>
        </is>
      </c>
      <c r="C562" s="3" t="inlineStr">
        <is>
          <t>P3</t>
        </is>
      </c>
      <c r="D562" s="3" t="inlineStr">
        <is>
          <t>demografia</t>
        </is>
      </c>
      <c r="E562" s="3" t="inlineStr">
        <is>
          <t>regional_panel</t>
        </is>
      </c>
      <c r="F562" s="3" t="inlineStr">
        <is>
          <t>panel_covariables</t>
        </is>
      </c>
      <c r="G562" s="3" t="n">
        <v>0.518983</v>
      </c>
      <c r="H562" s="3" t="n">
        <v>49.3716</v>
      </c>
      <c r="I562" s="3" t="n">
        <v>0.327439</v>
      </c>
      <c r="J562" s="3" t="n">
        <v>0.8499910000000001</v>
      </c>
      <c r="K562" s="3" t="n">
        <v>1.05118</v>
      </c>
      <c r="L562" s="3" t="n">
        <v>3</v>
      </c>
      <c r="M562" s="3" t="inlineStr">
        <is>
          <t>si</t>
        </is>
      </c>
      <c r="N562" s="3" t="inlineStr">
        <is>
          <t>no designado (contraste C4: no hay svar_hd regional)</t>
        </is>
      </c>
      <c r="O562" s="3" t="inlineStr">
        <is>
          <t>CCAA: ranking por c_f·sign(dY) del panel FE (M8); asociacion, sin lectura causal; el factor comun es un resumen de comovimiento (pendiente ~1 mecanica, J23)</t>
        </is>
      </c>
      <c r="P562" s="3" t="inlineStr">
        <is>
          <t>output/v8/F5/regional_ranking.csv</t>
        </is>
      </c>
    </row>
    <row r="563">
      <c r="A563" s="3" t="inlineStr">
        <is>
          <t>compra</t>
        </is>
      </c>
      <c r="B563" s="3" t="inlineStr">
        <is>
          <t>ccaa:01</t>
        </is>
      </c>
      <c r="C563" s="3" t="inlineStr">
        <is>
          <t>P3</t>
        </is>
      </c>
      <c r="D563" s="3" t="inlineStr">
        <is>
          <t>oferta</t>
        </is>
      </c>
      <c r="E563" s="3" t="inlineStr">
        <is>
          <t>regional_panel</t>
        </is>
      </c>
      <c r="F563" s="3" t="inlineStr">
        <is>
          <t>panel_covariables</t>
        </is>
      </c>
      <c r="G563" s="3" t="n">
        <v>-0.585073</v>
      </c>
      <c r="H563" s="3" t="n">
        <v>-55.6588</v>
      </c>
      <c r="I563" s="3" t="n">
        <v>-0.87815</v>
      </c>
      <c r="J563" s="3" t="n">
        <v>-0.136297</v>
      </c>
      <c r="K563" s="3" t="n">
        <v>1.05118</v>
      </c>
      <c r="L563" s="3" t="n">
        <v>4</v>
      </c>
      <c r="M563" s="3" t="inlineStr">
        <is>
          <t>si</t>
        </is>
      </c>
      <c r="N563" s="3" t="inlineStr">
        <is>
          <t>no designado (contraste C4: no hay svar_hd regional)</t>
        </is>
      </c>
      <c r="O563" s="3" t="inlineStr">
        <is>
          <t>CCAA: ranking por c_f·sign(dY) del panel FE (M8); asociacion, sin lectura causal; el factor comun es un resumen de comovimiento (pendiente ~1 mecanica, J23)</t>
        </is>
      </c>
      <c r="P563" s="3" t="inlineStr">
        <is>
          <t>output/v8/F5/regional_ranking.csv</t>
        </is>
      </c>
    </row>
    <row r="564">
      <c r="A564" s="3" t="inlineStr">
        <is>
          <t>compra</t>
        </is>
      </c>
      <c r="B564" s="3" t="inlineStr">
        <is>
          <t>ccaa:01</t>
        </is>
      </c>
      <c r="C564" s="3" t="inlineStr">
        <is>
          <t>P3</t>
        </is>
      </c>
      <c r="D564" s="3" t="inlineStr">
        <is>
          <t>demanda_externa</t>
        </is>
      </c>
      <c r="E564" s="3" t="inlineStr">
        <is>
          <t>regional_panel</t>
        </is>
      </c>
      <c r="F564" s="3" t="inlineStr">
        <is>
          <t>panel_covariables</t>
        </is>
      </c>
      <c r="G564" s="3" t="n">
        <v>0.690341</v>
      </c>
      <c r="H564" s="3" t="n">
        <v>65.673</v>
      </c>
      <c r="I564" s="3" t="n">
        <v>0.28089</v>
      </c>
      <c r="J564" s="3" t="n">
        <v>1.15162</v>
      </c>
      <c r="K564" s="3" t="n">
        <v>1.05118</v>
      </c>
      <c r="L564" s="3" t="n">
        <v>2</v>
      </c>
      <c r="M564" s="3" t="inlineStr">
        <is>
          <t>si</t>
        </is>
      </c>
      <c r="N564" s="3" t="inlineStr">
        <is>
          <t>no designado (contraste C4: no hay svar_hd regional)</t>
        </is>
      </c>
      <c r="O564" s="3" t="inlineStr">
        <is>
          <t>CCAA: ranking por c_f·sign(dY) del panel FE (M8); asociacion, sin lectura causal; el factor comun es un resumen de comovimiento (pendiente ~1 mecanica, J23)</t>
        </is>
      </c>
      <c r="P564" s="3" t="inlineStr">
        <is>
          <t>output/v8/F5/regional_ranking.csv</t>
        </is>
      </c>
    </row>
    <row r="565">
      <c r="A565" s="3" t="inlineStr">
        <is>
          <t>compra</t>
        </is>
      </c>
      <c r="B565" s="3" t="inlineStr">
        <is>
          <t>ccaa:01</t>
        </is>
      </c>
      <c r="C565" s="3" t="inlineStr">
        <is>
          <t>P3</t>
        </is>
      </c>
      <c r="D565" s="3" t="inlineStr">
        <is>
          <t>residuo</t>
        </is>
      </c>
      <c r="E565" s="3" t="inlineStr">
        <is>
          <t>regional_panel</t>
        </is>
      </c>
      <c r="F565" s="3" t="inlineStr">
        <is>
          <t>panel_covariables</t>
        </is>
      </c>
      <c r="G565" s="3" t="n">
        <v>0.196971</v>
      </c>
      <c r="H565" s="3" t="n">
        <v>18.7381</v>
      </c>
      <c r="I565" s="3" t="n">
        <v>-2.06495</v>
      </c>
      <c r="J565" s="3" t="n">
        <v>2.28844</v>
      </c>
      <c r="K565" s="3" t="n">
        <v>1.05118</v>
      </c>
      <c r="L565" s="3" t="n"/>
      <c r="M565" s="3" t="inlineStr">
        <is>
          <t>no</t>
        </is>
      </c>
      <c r="N565" s="3" t="inlineStr">
        <is>
          <t>no designado (contraste C4: no hay svar_hd regional)</t>
        </is>
      </c>
      <c r="O565" s="3" t="inlineStr">
        <is>
          <t>CCAA: ranking por c_f·sign(dY) del panel FE (M8); asociacion, sin lectura causal; el factor comun es un resumen de comovimiento (pendiente ~1 mecanica, J23)</t>
        </is>
      </c>
      <c r="P565" s="3" t="inlineStr">
        <is>
          <t>output/v8/F5/regional_ranking.csv</t>
        </is>
      </c>
    </row>
    <row r="566">
      <c r="A566" s="3" t="inlineStr">
        <is>
          <t>compra</t>
        </is>
      </c>
      <c r="B566" s="3" t="inlineStr">
        <is>
          <t>ccaa:01</t>
        </is>
      </c>
      <c r="C566" s="3" t="inlineStr">
        <is>
          <t>P4</t>
        </is>
      </c>
      <c r="D566" s="3" t="inlineStr">
        <is>
          <t>factor_comun</t>
        </is>
      </c>
      <c r="E566" s="3" t="inlineStr">
        <is>
          <t>regional_ccaa_ols</t>
        </is>
      </c>
      <c r="F566" s="3" t="inlineStr">
        <is>
          <t>ols_solo_factor</t>
        </is>
      </c>
      <c r="G566" s="3" t="n">
        <v>-3.4149</v>
      </c>
      <c r="H566" s="3" t="n">
        <v>223.176</v>
      </c>
      <c r="I566" s="3" t="n">
        <v>-4.7929</v>
      </c>
      <c r="J566" s="3" t="n">
        <v>-2.2119</v>
      </c>
      <c r="K566" s="3" t="n">
        <v>-1.53014</v>
      </c>
      <c r="L566" s="3" t="n"/>
      <c r="M566" s="3" t="inlineStr">
        <is>
          <t>no</t>
        </is>
      </c>
      <c r="N566" s="3" t="inlineStr">
        <is>
          <t>no designado (contraste C4: no hay svar_hd regional)</t>
        </is>
      </c>
      <c r="O566" s="3" t="inlineStr">
        <is>
          <t>CCAA: ranking por c_f·sign(dY) del panel FE (M8); asociacion, sin lectura causal; el factor comun es un resumen de comovimiento (pendiente ~1 mecanica, J23)</t>
        </is>
      </c>
      <c r="P566" s="3" t="inlineStr">
        <is>
          <t>output/v8/F5/regional_ranking.csv</t>
        </is>
      </c>
    </row>
    <row r="567">
      <c r="A567" s="3" t="inlineStr">
        <is>
          <t>compra</t>
        </is>
      </c>
      <c r="B567" s="3" t="inlineStr">
        <is>
          <t>ccaa:01</t>
        </is>
      </c>
      <c r="C567" s="3" t="inlineStr">
        <is>
          <t>P4</t>
        </is>
      </c>
      <c r="D567" s="3" t="inlineStr">
        <is>
          <t>residuo</t>
        </is>
      </c>
      <c r="E567" s="3" t="inlineStr">
        <is>
          <t>regional_ccaa_ols</t>
        </is>
      </c>
      <c r="F567" s="3" t="inlineStr">
        <is>
          <t>ols_solo_factor</t>
        </is>
      </c>
      <c r="G567" s="3" t="n">
        <v>1.88476</v>
      </c>
      <c r="H567" s="3" t="n">
        <v>-123.176</v>
      </c>
      <c r="I567" s="3" t="n"/>
      <c r="J567" s="3" t="n"/>
      <c r="K567" s="3" t="n">
        <v>-1.53014</v>
      </c>
      <c r="L567" s="3" t="n"/>
      <c r="M567" s="3" t="inlineStr">
        <is>
          <t>no</t>
        </is>
      </c>
      <c r="N567" s="3" t="inlineStr">
        <is>
          <t>no designado (contraste C4: no hay svar_hd regional)</t>
        </is>
      </c>
      <c r="O567" s="3" t="inlineStr">
        <is>
          <t>CCAA: ranking por c_f·sign(dY) del panel FE (M8); asociacion, sin lectura causal; el factor comun es un resumen de comovimiento (pendiente ~1 mecanica, J23)</t>
        </is>
      </c>
      <c r="P567" s="3" t="inlineStr">
        <is>
          <t>output/v8/F5/regional_ranking.csv</t>
        </is>
      </c>
    </row>
    <row r="568">
      <c r="A568" s="3" t="inlineStr">
        <is>
          <t>compra</t>
        </is>
      </c>
      <c r="B568" s="3" t="inlineStr">
        <is>
          <t>ccaa:01</t>
        </is>
      </c>
      <c r="C568" s="3" t="inlineStr">
        <is>
          <t>P4</t>
        </is>
      </c>
      <c r="D568" s="3" t="inlineStr">
        <is>
          <t>factor_comun</t>
        </is>
      </c>
      <c r="E568" s="3" t="inlineStr">
        <is>
          <t>regional_panel</t>
        </is>
      </c>
      <c r="F568" s="3" t="inlineStr">
        <is>
          <t>panel_covariables</t>
        </is>
      </c>
      <c r="G568" s="3" t="n">
        <v>-4.21608</v>
      </c>
      <c r="H568" s="3" t="n">
        <v>275.536</v>
      </c>
      <c r="I568" s="3" t="n">
        <v>-5.07352</v>
      </c>
      <c r="J568" s="3" t="n">
        <v>-2.674</v>
      </c>
      <c r="K568" s="3" t="n">
        <v>-1.53014</v>
      </c>
      <c r="L568" s="3" t="n"/>
      <c r="M568" s="3" t="inlineStr">
        <is>
          <t>no</t>
        </is>
      </c>
      <c r="N568" s="3" t="inlineStr">
        <is>
          <t>no designado (contraste C4: no hay svar_hd regional)</t>
        </is>
      </c>
      <c r="O568" s="3" t="inlineStr">
        <is>
          <t>CCAA: ranking por c_f·sign(dY) del panel FE (M8); asociacion, sin lectura causal; el factor comun es un resumen de comovimiento (pendiente ~1 mecanica, J23)</t>
        </is>
      </c>
      <c r="P568" s="3" t="inlineStr">
        <is>
          <t>output/v8/F5/regional_ranking.csv</t>
        </is>
      </c>
    </row>
    <row r="569">
      <c r="A569" s="3" t="inlineStr">
        <is>
          <t>compra</t>
        </is>
      </c>
      <c r="B569" s="3" t="inlineStr">
        <is>
          <t>ccaa:01</t>
        </is>
      </c>
      <c r="C569" s="3" t="inlineStr">
        <is>
          <t>P4</t>
        </is>
      </c>
      <c r="D569" s="3" t="inlineStr">
        <is>
          <t>empleo_renta</t>
        </is>
      </c>
      <c r="E569" s="3" t="inlineStr">
        <is>
          <t>regional_panel</t>
        </is>
      </c>
      <c r="F569" s="3" t="inlineStr">
        <is>
          <t>panel_covariables</t>
        </is>
      </c>
      <c r="G569" s="3" t="n">
        <v>0.0964763</v>
      </c>
      <c r="H569" s="3" t="n">
        <v>-6.30506</v>
      </c>
      <c r="I569" s="3" t="n">
        <v>-0.365166</v>
      </c>
      <c r="J569" s="3" t="n">
        <v>0.796661</v>
      </c>
      <c r="K569" s="3" t="n">
        <v>-1.53014</v>
      </c>
      <c r="L569" s="3" t="n">
        <v>2</v>
      </c>
      <c r="M569" s="3" t="inlineStr">
        <is>
          <t>si</t>
        </is>
      </c>
      <c r="N569" s="3" t="inlineStr">
        <is>
          <t>no designado (contraste C4: no hay svar_hd regional)</t>
        </is>
      </c>
      <c r="O569" s="3" t="inlineStr">
        <is>
          <t>CCAA: ranking por c_f·sign(dY) del panel FE (M8); asociacion, sin lectura causal; el factor comun es un resumen de comovimiento (pendiente ~1 mecanica, J23)</t>
        </is>
      </c>
      <c r="P569" s="3" t="inlineStr">
        <is>
          <t>output/v8/F5/regional_ranking.csv</t>
        </is>
      </c>
    </row>
    <row r="570">
      <c r="A570" s="3" t="inlineStr">
        <is>
          <t>compra</t>
        </is>
      </c>
      <c r="B570" s="3" t="inlineStr">
        <is>
          <t>ccaa:01</t>
        </is>
      </c>
      <c r="C570" s="3" t="inlineStr">
        <is>
          <t>P4</t>
        </is>
      </c>
      <c r="D570" s="3" t="inlineStr">
        <is>
          <t>demografia</t>
        </is>
      </c>
      <c r="E570" s="3" t="inlineStr">
        <is>
          <t>regional_panel</t>
        </is>
      </c>
      <c r="F570" s="3" t="inlineStr">
        <is>
          <t>panel_covariables</t>
        </is>
      </c>
      <c r="G570" s="3" t="n">
        <v>1.68756</v>
      </c>
      <c r="H570" s="3" t="n">
        <v>-110.288</v>
      </c>
      <c r="I570" s="3" t="n">
        <v>0.707859</v>
      </c>
      <c r="J570" s="3" t="n">
        <v>2.26583</v>
      </c>
      <c r="K570" s="3" t="n">
        <v>-1.53014</v>
      </c>
      <c r="L570" s="3" t="n">
        <v>4</v>
      </c>
      <c r="M570" s="3" t="inlineStr">
        <is>
          <t>si</t>
        </is>
      </c>
      <c r="N570" s="3" t="inlineStr">
        <is>
          <t>no designado (contraste C4: no hay svar_hd regional)</t>
        </is>
      </c>
      <c r="O570" s="3" t="inlineStr">
        <is>
          <t>CCAA: ranking por c_f·sign(dY) del panel FE (M8); asociacion, sin lectura causal; el factor comun es un resumen de comovimiento (pendiente ~1 mecanica, J23)</t>
        </is>
      </c>
      <c r="P570" s="3" t="inlineStr">
        <is>
          <t>output/v8/F5/regional_ranking.csv</t>
        </is>
      </c>
    </row>
    <row r="571">
      <c r="A571" s="3" t="inlineStr">
        <is>
          <t>compra</t>
        </is>
      </c>
      <c r="B571" s="3" t="inlineStr">
        <is>
          <t>ccaa:01</t>
        </is>
      </c>
      <c r="C571" s="3" t="inlineStr">
        <is>
          <t>P4</t>
        </is>
      </c>
      <c r="D571" s="3" t="inlineStr">
        <is>
          <t>oferta</t>
        </is>
      </c>
      <c r="E571" s="3" t="inlineStr">
        <is>
          <t>regional_panel</t>
        </is>
      </c>
      <c r="F571" s="3" t="inlineStr">
        <is>
          <t>panel_covariables</t>
        </is>
      </c>
      <c r="G571" s="3" t="n">
        <v>0.0333226</v>
      </c>
      <c r="H571" s="3" t="n">
        <v>-2.17775</v>
      </c>
      <c r="I571" s="3" t="n">
        <v>-0.0736536</v>
      </c>
      <c r="J571" s="3" t="n">
        <v>0.105593</v>
      </c>
      <c r="K571" s="3" t="n">
        <v>-1.53014</v>
      </c>
      <c r="L571" s="3" t="n">
        <v>1</v>
      </c>
      <c r="M571" s="3" t="inlineStr">
        <is>
          <t>si</t>
        </is>
      </c>
      <c r="N571" s="3" t="inlineStr">
        <is>
          <t>no designado (contraste C4: no hay svar_hd regional)</t>
        </is>
      </c>
      <c r="O571" s="3" t="inlineStr">
        <is>
          <t>CCAA: ranking por c_f·sign(dY) del panel FE (M8); asociacion, sin lectura causal; el factor comun es un resumen de comovimiento (pendiente ~1 mecanica, J23)</t>
        </is>
      </c>
      <c r="P571" s="3" t="inlineStr">
        <is>
          <t>output/v8/F5/regional_ranking.csv</t>
        </is>
      </c>
    </row>
    <row r="572">
      <c r="A572" s="3" t="inlineStr">
        <is>
          <t>compra</t>
        </is>
      </c>
      <c r="B572" s="3" t="inlineStr">
        <is>
          <t>ccaa:01</t>
        </is>
      </c>
      <c r="C572" s="3" t="inlineStr">
        <is>
          <t>P4</t>
        </is>
      </c>
      <c r="D572" s="3" t="inlineStr">
        <is>
          <t>demanda_externa</t>
        </is>
      </c>
      <c r="E572" s="3" t="inlineStr">
        <is>
          <t>regional_panel</t>
        </is>
      </c>
      <c r="F572" s="3" t="inlineStr">
        <is>
          <t>panel_covariables</t>
        </is>
      </c>
      <c r="G572" s="3" t="n">
        <v>0.152808</v>
      </c>
      <c r="H572" s="3" t="n">
        <v>-9.98654</v>
      </c>
      <c r="I572" s="3" t="n">
        <v>-0.060242</v>
      </c>
      <c r="J572" s="3" t="n">
        <v>0.245371</v>
      </c>
      <c r="K572" s="3" t="n">
        <v>-1.53014</v>
      </c>
      <c r="L572" s="3" t="n">
        <v>3</v>
      </c>
      <c r="M572" s="3" t="inlineStr">
        <is>
          <t>si</t>
        </is>
      </c>
      <c r="N572" s="3" t="inlineStr">
        <is>
          <t>no designado (contraste C4: no hay svar_hd regional)</t>
        </is>
      </c>
      <c r="O572" s="3" t="inlineStr">
        <is>
          <t>CCAA: ranking por c_f·sign(dY) del panel FE (M8); asociacion, sin lectura causal; el factor comun es un resumen de comovimiento (pendiente ~1 mecanica, J23)</t>
        </is>
      </c>
      <c r="P572" s="3" t="inlineStr">
        <is>
          <t>output/v8/F5/regional_ranking.csv</t>
        </is>
      </c>
    </row>
    <row r="573">
      <c r="A573" s="3" t="inlineStr">
        <is>
          <t>compra</t>
        </is>
      </c>
      <c r="B573" s="3" t="inlineStr">
        <is>
          <t>ccaa:01</t>
        </is>
      </c>
      <c r="C573" s="3" t="inlineStr">
        <is>
          <t>P4</t>
        </is>
      </c>
      <c r="D573" s="3" t="inlineStr">
        <is>
          <t>residuo</t>
        </is>
      </c>
      <c r="E573" s="3" t="inlineStr">
        <is>
          <t>regional_panel</t>
        </is>
      </c>
      <c r="F573" s="3" t="inlineStr">
        <is>
          <t>panel_covariables</t>
        </is>
      </c>
      <c r="G573" s="3" t="n">
        <v>0.7157750000000001</v>
      </c>
      <c r="H573" s="3" t="n">
        <v>-46.7784</v>
      </c>
      <c r="I573" s="3" t="n">
        <v>-0.274722</v>
      </c>
      <c r="J573" s="3" t="n">
        <v>1.58525</v>
      </c>
      <c r="K573" s="3" t="n">
        <v>-1.53014</v>
      </c>
      <c r="L573" s="3" t="n"/>
      <c r="M573" s="3" t="inlineStr">
        <is>
          <t>no</t>
        </is>
      </c>
      <c r="N573" s="3" t="inlineStr">
        <is>
          <t>no designado (contraste C4: no hay svar_hd regional)</t>
        </is>
      </c>
      <c r="O573" s="3" t="inlineStr">
        <is>
          <t>CCAA: ranking por c_f·sign(dY) del panel FE (M8); asociacion, sin lectura causal; el factor comun es un resumen de comovimiento (pendiente ~1 mecanica, J23)</t>
        </is>
      </c>
      <c r="P573" s="3" t="inlineStr">
        <is>
          <t>output/v8/F5/regional_ranking.csv</t>
        </is>
      </c>
    </row>
    <row r="574">
      <c r="A574" s="3" t="inlineStr">
        <is>
          <t>compra</t>
        </is>
      </c>
      <c r="B574" s="3" t="inlineStr">
        <is>
          <t>ccaa:01</t>
        </is>
      </c>
      <c r="C574" s="3" t="inlineStr">
        <is>
          <t>P5</t>
        </is>
      </c>
      <c r="D574" s="3" t="inlineStr">
        <is>
          <t>factor_comun</t>
        </is>
      </c>
      <c r="E574" s="3" t="inlineStr">
        <is>
          <t>regional_ccaa_ols</t>
        </is>
      </c>
      <c r="F574" s="3" t="inlineStr">
        <is>
          <t>ols_solo_factor</t>
        </is>
      </c>
      <c r="G574" s="3" t="n">
        <v>8.93427</v>
      </c>
      <c r="H574" s="3" t="n">
        <v>60.3312</v>
      </c>
      <c r="I574" s="3" t="n">
        <v>3.70662</v>
      </c>
      <c r="J574" s="3" t="n">
        <v>13.3493</v>
      </c>
      <c r="K574" s="3" t="n">
        <v>5.9846</v>
      </c>
      <c r="L574" s="3" t="n"/>
      <c r="M574" s="3" t="inlineStr">
        <is>
          <t>no</t>
        </is>
      </c>
      <c r="N574" s="3" t="inlineStr">
        <is>
          <t>no designado (contraste C4: no hay svar_hd regional)</t>
        </is>
      </c>
      <c r="O574" s="3" t="inlineStr">
        <is>
          <t>CCAA: ranking por c_f·sign(dY) del panel FE (M8); asociacion, sin lectura causal; el factor comun es un resumen de comovimiento (pendiente ~1 mecanica, J23)</t>
        </is>
      </c>
      <c r="P574" s="3" t="inlineStr">
        <is>
          <t>output/v8/F5/regional_ranking.csv</t>
        </is>
      </c>
    </row>
    <row r="575">
      <c r="A575" s="3" t="inlineStr">
        <is>
          <t>compra</t>
        </is>
      </c>
      <c r="B575" s="3" t="inlineStr">
        <is>
          <t>ccaa:01</t>
        </is>
      </c>
      <c r="C575" s="3" t="inlineStr">
        <is>
          <t>P5</t>
        </is>
      </c>
      <c r="D575" s="3" t="inlineStr">
        <is>
          <t>residuo</t>
        </is>
      </c>
      <c r="E575" s="3" t="inlineStr">
        <is>
          <t>regional_ccaa_ols</t>
        </is>
      </c>
      <c r="F575" s="3" t="inlineStr">
        <is>
          <t>ols_solo_factor</t>
        </is>
      </c>
      <c r="G575" s="3" t="n">
        <v>5.87442</v>
      </c>
      <c r="H575" s="3" t="n">
        <v>39.6688</v>
      </c>
      <c r="I575" s="3" t="n"/>
      <c r="J575" s="3" t="n"/>
      <c r="K575" s="3" t="n">
        <v>5.9846</v>
      </c>
      <c r="L575" s="3" t="n"/>
      <c r="M575" s="3" t="inlineStr">
        <is>
          <t>no</t>
        </is>
      </c>
      <c r="N575" s="3" t="inlineStr">
        <is>
          <t>no designado (contraste C4: no hay svar_hd regional)</t>
        </is>
      </c>
      <c r="O575" s="3" t="inlineStr">
        <is>
          <t>CCAA: ranking por c_f·sign(dY) del panel FE (M8); asociacion, sin lectura causal; el factor comun es un resumen de comovimiento (pendiente ~1 mecanica, J23)</t>
        </is>
      </c>
      <c r="P575" s="3" t="inlineStr">
        <is>
          <t>output/v8/F5/regional_ranking.csv</t>
        </is>
      </c>
    </row>
    <row r="576">
      <c r="A576" s="3" t="inlineStr">
        <is>
          <t>compra</t>
        </is>
      </c>
      <c r="B576" s="3" t="inlineStr">
        <is>
          <t>ccaa:01</t>
        </is>
      </c>
      <c r="C576" s="3" t="inlineStr">
        <is>
          <t>P5</t>
        </is>
      </c>
      <c r="D576" s="3" t="inlineStr">
        <is>
          <t>factor_comun</t>
        </is>
      </c>
      <c r="E576" s="3" t="inlineStr">
        <is>
          <t>regional_panel</t>
        </is>
      </c>
      <c r="F576" s="3" t="inlineStr">
        <is>
          <t>panel_covariables</t>
        </is>
      </c>
      <c r="G576" s="3" t="n">
        <v>1.50215</v>
      </c>
      <c r="H576" s="3" t="n">
        <v>25.1002</v>
      </c>
      <c r="I576" s="3" t="n">
        <v>-1.20824</v>
      </c>
      <c r="J576" s="3" t="n">
        <v>4.46537</v>
      </c>
      <c r="K576" s="3" t="n">
        <v>5.9846</v>
      </c>
      <c r="L576" s="3" t="n"/>
      <c r="M576" s="3" t="inlineStr">
        <is>
          <t>no</t>
        </is>
      </c>
      <c r="N576" s="3" t="inlineStr">
        <is>
          <t>no designado (contraste C4: no hay svar_hd regional)</t>
        </is>
      </c>
      <c r="O576" s="3" t="inlineStr">
        <is>
          <t>CCAA: ranking por c_f·sign(dY) del panel FE (M8); asociacion, sin lectura causal; el factor comun es un resumen de comovimiento (pendiente ~1 mecanica, J23)</t>
        </is>
      </c>
      <c r="P576" s="3" t="inlineStr">
        <is>
          <t>output/v8/F5/regional_ranking.csv</t>
        </is>
      </c>
    </row>
    <row r="577">
      <c r="A577" s="3" t="inlineStr">
        <is>
          <t>compra</t>
        </is>
      </c>
      <c r="B577" s="3" t="inlineStr">
        <is>
          <t>ccaa:01</t>
        </is>
      </c>
      <c r="C577" s="3" t="inlineStr">
        <is>
          <t>P5</t>
        </is>
      </c>
      <c r="D577" s="3" t="inlineStr">
        <is>
          <t>empleo_renta</t>
        </is>
      </c>
      <c r="E577" s="3" t="inlineStr">
        <is>
          <t>regional_panel</t>
        </is>
      </c>
      <c r="F577" s="3" t="inlineStr">
        <is>
          <t>panel_covariables</t>
        </is>
      </c>
      <c r="G577" s="3" t="n">
        <v>0.486564</v>
      </c>
      <c r="H577" s="3" t="n">
        <v>8.130269999999999</v>
      </c>
      <c r="I577" s="3" t="n">
        <v>0.08679820000000001</v>
      </c>
      <c r="J577" s="3" t="n">
        <v>1.34829</v>
      </c>
      <c r="K577" s="3" t="n">
        <v>5.9846</v>
      </c>
      <c r="L577" s="3" t="n">
        <v>1</v>
      </c>
      <c r="M577" s="3" t="inlineStr">
        <is>
          <t>si</t>
        </is>
      </c>
      <c r="N577" s="3" t="inlineStr">
        <is>
          <t>no designado (contraste C4: no hay svar_hd regional)</t>
        </is>
      </c>
      <c r="O577" s="3" t="inlineStr">
        <is>
          <t>CCAA: ranking por c_f·sign(dY) del panel FE (M8); asociacion, sin lectura causal; el factor comun es un resumen de comovimiento (pendiente ~1 mecanica, J23)</t>
        </is>
      </c>
      <c r="P577" s="3" t="inlineStr">
        <is>
          <t>output/v8/F5/regional_ranking.csv</t>
        </is>
      </c>
    </row>
    <row r="578">
      <c r="A578" s="3" t="inlineStr">
        <is>
          <t>compra</t>
        </is>
      </c>
      <c r="B578" s="3" t="inlineStr">
        <is>
          <t>ccaa:01</t>
        </is>
      </c>
      <c r="C578" s="3" t="inlineStr">
        <is>
          <t>P5</t>
        </is>
      </c>
      <c r="D578" s="3" t="inlineStr">
        <is>
          <t>demografia</t>
        </is>
      </c>
      <c r="E578" s="3" t="inlineStr">
        <is>
          <t>regional_panel</t>
        </is>
      </c>
      <c r="F578" s="3" t="inlineStr">
        <is>
          <t>panel_covariables</t>
        </is>
      </c>
      <c r="G578" s="3" t="n">
        <v>-0.628011</v>
      </c>
      <c r="H578" s="3" t="n">
        <v>-10.4938</v>
      </c>
      <c r="I578" s="3" t="n">
        <v>-2.38306</v>
      </c>
      <c r="J578" s="3" t="n">
        <v>0.984057</v>
      </c>
      <c r="K578" s="3" t="n">
        <v>5.9846</v>
      </c>
      <c r="L578" s="3" t="n">
        <v>4</v>
      </c>
      <c r="M578" s="3" t="inlineStr">
        <is>
          <t>si</t>
        </is>
      </c>
      <c r="N578" s="3" t="inlineStr">
        <is>
          <t>no designado (contraste C4: no hay svar_hd regional)</t>
        </is>
      </c>
      <c r="O578" s="3" t="inlineStr">
        <is>
          <t>CCAA: ranking por c_f·sign(dY) del panel FE (M8); asociacion, sin lectura causal; el factor comun es un resumen de comovimiento (pendiente ~1 mecanica, J23)</t>
        </is>
      </c>
      <c r="P578" s="3" t="inlineStr">
        <is>
          <t>output/v8/F5/regional_ranking.csv</t>
        </is>
      </c>
    </row>
    <row r="579">
      <c r="A579" s="3" t="inlineStr">
        <is>
          <t>compra</t>
        </is>
      </c>
      <c r="B579" s="3" t="inlineStr">
        <is>
          <t>ccaa:01</t>
        </is>
      </c>
      <c r="C579" s="3" t="inlineStr">
        <is>
          <t>P5</t>
        </is>
      </c>
      <c r="D579" s="3" t="inlineStr">
        <is>
          <t>oferta</t>
        </is>
      </c>
      <c r="E579" s="3" t="inlineStr">
        <is>
          <t>regional_panel</t>
        </is>
      </c>
      <c r="F579" s="3" t="inlineStr">
        <is>
          <t>panel_covariables</t>
        </is>
      </c>
      <c r="G579" s="3" t="n">
        <v>0.00075309</v>
      </c>
      <c r="H579" s="3" t="n">
        <v>0.0125838</v>
      </c>
      <c r="I579" s="3" t="n">
        <v>-0.084079</v>
      </c>
      <c r="J579" s="3" t="n">
        <v>0.0411508</v>
      </c>
      <c r="K579" s="3" t="n">
        <v>5.9846</v>
      </c>
      <c r="L579" s="3" t="n">
        <v>2</v>
      </c>
      <c r="M579" s="3" t="inlineStr">
        <is>
          <t>si</t>
        </is>
      </c>
      <c r="N579" s="3" t="inlineStr">
        <is>
          <t>no designado (contraste C4: no hay svar_hd regional)</t>
        </is>
      </c>
      <c r="O579" s="3" t="inlineStr">
        <is>
          <t>CCAA: ranking por c_f·sign(dY) del panel FE (M8); asociacion, sin lectura causal; el factor comun es un resumen de comovimiento (pendiente ~1 mecanica, J23)</t>
        </is>
      </c>
      <c r="P579" s="3" t="inlineStr">
        <is>
          <t>output/v8/F5/regional_ranking.csv</t>
        </is>
      </c>
    </row>
    <row r="580">
      <c r="A580" s="3" t="inlineStr">
        <is>
          <t>compra</t>
        </is>
      </c>
      <c r="B580" s="3" t="inlineStr">
        <is>
          <t>ccaa:01</t>
        </is>
      </c>
      <c r="C580" s="3" t="inlineStr">
        <is>
          <t>P5</t>
        </is>
      </c>
      <c r="D580" s="3" t="inlineStr">
        <is>
          <t>demanda_externa</t>
        </is>
      </c>
      <c r="E580" s="3" t="inlineStr">
        <is>
          <t>regional_panel</t>
        </is>
      </c>
      <c r="F580" s="3" t="inlineStr">
        <is>
          <t>panel_covariables</t>
        </is>
      </c>
      <c r="G580" s="3" t="n">
        <v>-0.00653596</v>
      </c>
      <c r="H580" s="3" t="n">
        <v>-0.109213</v>
      </c>
      <c r="I580" s="3" t="n">
        <v>-0.180231</v>
      </c>
      <c r="J580" s="3" t="n">
        <v>0.0601708</v>
      </c>
      <c r="K580" s="3" t="n">
        <v>5.9846</v>
      </c>
      <c r="L580" s="3" t="n">
        <v>3</v>
      </c>
      <c r="M580" s="3" t="inlineStr">
        <is>
          <t>si</t>
        </is>
      </c>
      <c r="N580" s="3" t="inlineStr">
        <is>
          <t>no designado (contraste C4: no hay svar_hd regional)</t>
        </is>
      </c>
      <c r="O580" s="3" t="inlineStr">
        <is>
          <t>CCAA: ranking por c_f·sign(dY) del panel FE (M8); asociacion, sin lectura causal; el factor comun es un resumen de comovimiento (pendiente ~1 mecanica, J23)</t>
        </is>
      </c>
      <c r="P580" s="3" t="inlineStr">
        <is>
          <t>output/v8/F5/regional_ranking.csv</t>
        </is>
      </c>
    </row>
    <row r="581">
      <c r="A581" s="3" t="inlineStr">
        <is>
          <t>compra</t>
        </is>
      </c>
      <c r="B581" s="3" t="inlineStr">
        <is>
          <t>ccaa:01</t>
        </is>
      </c>
      <c r="C581" s="3" t="inlineStr">
        <is>
          <t>P5</t>
        </is>
      </c>
      <c r="D581" s="3" t="inlineStr">
        <is>
          <t>residuo</t>
        </is>
      </c>
      <c r="E581" s="3" t="inlineStr">
        <is>
          <t>regional_panel</t>
        </is>
      </c>
      <c r="F581" s="3" t="inlineStr">
        <is>
          <t>panel_covariables</t>
        </is>
      </c>
      <c r="G581" s="3" t="n">
        <v>4.62968</v>
      </c>
      <c r="H581" s="3" t="n">
        <v>77.3599</v>
      </c>
      <c r="I581" s="3" t="n">
        <v>2.34771</v>
      </c>
      <c r="J581" s="3" t="n">
        <v>7.07017</v>
      </c>
      <c r="K581" s="3" t="n">
        <v>5.9846</v>
      </c>
      <c r="L581" s="3" t="n"/>
      <c r="M581" s="3" t="inlineStr">
        <is>
          <t>no</t>
        </is>
      </c>
      <c r="N581" s="3" t="inlineStr">
        <is>
          <t>no designado (contraste C4: no hay svar_hd regional)</t>
        </is>
      </c>
      <c r="O581" s="3" t="inlineStr">
        <is>
          <t>CCAA: ranking por c_f·sign(dY) del panel FE (M8); asociacion, sin lectura causal; el factor comun es un resumen de comovimiento (pendiente ~1 mecanica, J23)</t>
        </is>
      </c>
      <c r="P581" s="3" t="inlineStr">
        <is>
          <t>output/v8/F5/regional_ranking.csv</t>
        </is>
      </c>
    </row>
    <row r="582">
      <c r="A582" s="3" t="inlineStr">
        <is>
          <t>compra</t>
        </is>
      </c>
      <c r="B582" s="3" t="inlineStr">
        <is>
          <t>ccaa:02</t>
        </is>
      </c>
      <c r="C582" s="3" t="inlineStr">
        <is>
          <t>P1</t>
        </is>
      </c>
      <c r="D582" s="3" t="inlineStr">
        <is>
          <t>factor_comun</t>
        </is>
      </c>
      <c r="E582" s="3" t="inlineStr">
        <is>
          <t>regional_ccaa_ols</t>
        </is>
      </c>
      <c r="F582" s="3" t="inlineStr">
        <is>
          <t>ols_solo_factor</t>
        </is>
      </c>
      <c r="G582" s="3" t="n">
        <v>97.45610000000001</v>
      </c>
      <c r="H582" s="3" t="n">
        <v>115.443</v>
      </c>
      <c r="I582" s="3" t="n">
        <v>80.18000000000001</v>
      </c>
      <c r="J582" s="3" t="n">
        <v>112.822</v>
      </c>
      <c r="K582" s="3" t="n">
        <v>84.4196</v>
      </c>
      <c r="L582" s="3" t="n"/>
      <c r="M582" s="3" t="inlineStr">
        <is>
          <t>no</t>
        </is>
      </c>
      <c r="N582" s="3" t="inlineStr">
        <is>
          <t>no designado (contraste C4: no hay svar_hd regional)</t>
        </is>
      </c>
      <c r="O582" s="3" t="inlineStr">
        <is>
          <t>CCAA: ranking por c_f·sign(dY) del panel FE (M8); asociacion, sin lectura causal; el factor comun es un resumen de comovimiento (pendiente ~1 mecanica, J23)</t>
        </is>
      </c>
      <c r="P582" s="3" t="inlineStr">
        <is>
          <t>output/v8/F5/regional_ranking.csv</t>
        </is>
      </c>
    </row>
    <row r="583">
      <c r="A583" s="3" t="inlineStr">
        <is>
          <t>compra</t>
        </is>
      </c>
      <c r="B583" s="3" t="inlineStr">
        <is>
          <t>ccaa:02</t>
        </is>
      </c>
      <c r="C583" s="3" t="inlineStr">
        <is>
          <t>P1</t>
        </is>
      </c>
      <c r="D583" s="3" t="inlineStr">
        <is>
          <t>residuo</t>
        </is>
      </c>
      <c r="E583" s="3" t="inlineStr">
        <is>
          <t>regional_ccaa_ols</t>
        </is>
      </c>
      <c r="F583" s="3" t="inlineStr">
        <is>
          <t>ols_solo_factor</t>
        </is>
      </c>
      <c r="G583" s="3" t="n">
        <v>-13.0365</v>
      </c>
      <c r="H583" s="3" t="n">
        <v>-15.4425</v>
      </c>
      <c r="I583" s="3" t="n"/>
      <c r="J583" s="3" t="n"/>
      <c r="K583" s="3" t="n">
        <v>84.4196</v>
      </c>
      <c r="L583" s="3" t="n"/>
      <c r="M583" s="3" t="inlineStr">
        <is>
          <t>no</t>
        </is>
      </c>
      <c r="N583" s="3" t="inlineStr">
        <is>
          <t>no designado (contraste C4: no hay svar_hd regional)</t>
        </is>
      </c>
      <c r="O583" s="3" t="inlineStr">
        <is>
          <t>CCAA: ranking por c_f·sign(dY) del panel FE (M8); asociacion, sin lectura causal; el factor comun es un resumen de comovimiento (pendiente ~1 mecanica, J23)</t>
        </is>
      </c>
      <c r="P583" s="3" t="inlineStr">
        <is>
          <t>output/v8/F5/regional_ranking.csv</t>
        </is>
      </c>
    </row>
    <row r="584">
      <c r="A584" s="3" t="inlineStr">
        <is>
          <t>compra</t>
        </is>
      </c>
      <c r="B584" s="3" t="inlineStr">
        <is>
          <t>ccaa:02</t>
        </is>
      </c>
      <c r="C584" s="3" t="inlineStr">
        <is>
          <t>P1</t>
        </is>
      </c>
      <c r="D584" s="3" t="inlineStr">
        <is>
          <t>factor_comun</t>
        </is>
      </c>
      <c r="E584" s="3" t="inlineStr">
        <is>
          <t>regional_panel</t>
        </is>
      </c>
      <c r="F584" s="3" t="inlineStr">
        <is>
          <t>panel_covariables</t>
        </is>
      </c>
      <c r="G584" s="3" t="n">
        <v>74.3853</v>
      </c>
      <c r="H584" s="3" t="n">
        <v>88.11369999999999</v>
      </c>
      <c r="I584" s="3" t="n">
        <v>63.2347</v>
      </c>
      <c r="J584" s="3" t="n">
        <v>88.0656</v>
      </c>
      <c r="K584" s="3" t="n">
        <v>84.4196</v>
      </c>
      <c r="L584" s="3" t="n"/>
      <c r="M584" s="3" t="inlineStr">
        <is>
          <t>no</t>
        </is>
      </c>
      <c r="N584" s="3" t="inlineStr">
        <is>
          <t>no designado (contraste C4: no hay svar_hd regional)</t>
        </is>
      </c>
      <c r="O584" s="3" t="inlineStr">
        <is>
          <t>CCAA: ranking por c_f·sign(dY) del panel FE (M8); asociacion, sin lectura causal; el factor comun es un resumen de comovimiento (pendiente ~1 mecanica, J23)</t>
        </is>
      </c>
      <c r="P584" s="3" t="inlineStr">
        <is>
          <t>output/v8/F5/regional_ranking.csv</t>
        </is>
      </c>
    </row>
    <row r="585">
      <c r="A585" s="3" t="inlineStr">
        <is>
          <t>compra</t>
        </is>
      </c>
      <c r="B585" s="3" t="inlineStr">
        <is>
          <t>ccaa:02</t>
        </is>
      </c>
      <c r="C585" s="3" t="inlineStr">
        <is>
          <t>P1</t>
        </is>
      </c>
      <c r="D585" s="3" t="inlineStr">
        <is>
          <t>residuo</t>
        </is>
      </c>
      <c r="E585" s="3" t="inlineStr">
        <is>
          <t>regional_panel</t>
        </is>
      </c>
      <c r="F585" s="3" t="inlineStr">
        <is>
          <t>panel_covariables</t>
        </is>
      </c>
      <c r="G585" s="3" t="n">
        <v>10.0343</v>
      </c>
      <c r="H585" s="3" t="n">
        <v>11.8863</v>
      </c>
      <c r="I585" s="3" t="n">
        <v>3.20189</v>
      </c>
      <c r="J585" s="3" t="n">
        <v>17.4907</v>
      </c>
      <c r="K585" s="3" t="n">
        <v>84.4196</v>
      </c>
      <c r="L585" s="3" t="n"/>
      <c r="M585" s="3" t="inlineStr">
        <is>
          <t>no</t>
        </is>
      </c>
      <c r="N585" s="3" t="inlineStr">
        <is>
          <t>no designado (contraste C4: no hay svar_hd regional)</t>
        </is>
      </c>
      <c r="O585" s="3" t="inlineStr">
        <is>
          <t>CCAA: ranking por c_f·sign(dY) del panel FE (M8); asociacion, sin lectura causal; el factor comun es un resumen de comovimiento (pendiente ~1 mecanica, J23)</t>
        </is>
      </c>
      <c r="P585" s="3" t="inlineStr">
        <is>
          <t>output/v8/F5/regional_ranking.csv</t>
        </is>
      </c>
    </row>
    <row r="586">
      <c r="A586" s="3" t="inlineStr">
        <is>
          <t>compra</t>
        </is>
      </c>
      <c r="B586" s="3" t="inlineStr">
        <is>
          <t>ccaa:02</t>
        </is>
      </c>
      <c r="C586" s="3" t="inlineStr">
        <is>
          <t>P2</t>
        </is>
      </c>
      <c r="D586" s="3" t="inlineStr">
        <is>
          <t>factor_comun</t>
        </is>
      </c>
      <c r="E586" s="3" t="inlineStr">
        <is>
          <t>regional_ccaa_ols</t>
        </is>
      </c>
      <c r="F586" s="3" t="inlineStr">
        <is>
          <t>ols_solo_factor</t>
        </is>
      </c>
      <c r="G586" s="3" t="n">
        <v>-47.8929</v>
      </c>
      <c r="H586" s="3" t="n">
        <v>85.35769999999999</v>
      </c>
      <c r="I586" s="3" t="n">
        <v>-52.7412</v>
      </c>
      <c r="J586" s="3" t="n">
        <v>-42.0115</v>
      </c>
      <c r="K586" s="3" t="n">
        <v>-52.9173</v>
      </c>
      <c r="L586" s="3" t="n"/>
      <c r="M586" s="3" t="inlineStr">
        <is>
          <t>no</t>
        </is>
      </c>
      <c r="N586" s="3" t="inlineStr">
        <is>
          <t>no designado (contraste C4: no hay svar_hd regional)</t>
        </is>
      </c>
      <c r="O586" s="3" t="inlineStr">
        <is>
          <t>CCAA: ranking por c_f·sign(dY) del panel FE (M8); asociacion, sin lectura causal; el factor comun es un resumen de comovimiento (pendiente ~1 mecanica, J23)</t>
        </is>
      </c>
      <c r="P586" s="3" t="inlineStr">
        <is>
          <t>output/v8/F5/regional_ranking.csv</t>
        </is>
      </c>
    </row>
    <row r="587">
      <c r="A587" s="3" t="inlineStr">
        <is>
          <t>compra</t>
        </is>
      </c>
      <c r="B587" s="3" t="inlineStr">
        <is>
          <t>ccaa:02</t>
        </is>
      </c>
      <c r="C587" s="3" t="inlineStr">
        <is>
          <t>P2</t>
        </is>
      </c>
      <c r="D587" s="3" t="inlineStr">
        <is>
          <t>residuo</t>
        </is>
      </c>
      <c r="E587" s="3" t="inlineStr">
        <is>
          <t>regional_ccaa_ols</t>
        </is>
      </c>
      <c r="F587" s="3" t="inlineStr">
        <is>
          <t>ols_solo_factor</t>
        </is>
      </c>
      <c r="G587" s="3" t="n">
        <v>-8.2156</v>
      </c>
      <c r="H587" s="3" t="n">
        <v>14.6423</v>
      </c>
      <c r="I587" s="3" t="n"/>
      <c r="J587" s="3" t="n"/>
      <c r="K587" s="3" t="n">
        <v>-52.9173</v>
      </c>
      <c r="L587" s="3" t="n"/>
      <c r="M587" s="3" t="inlineStr">
        <is>
          <t>no</t>
        </is>
      </c>
      <c r="N587" s="3" t="inlineStr">
        <is>
          <t>no designado (contraste C4: no hay svar_hd regional)</t>
        </is>
      </c>
      <c r="O587" s="3" t="inlineStr">
        <is>
          <t>CCAA: ranking por c_f·sign(dY) del panel FE (M8); asociacion, sin lectura causal; el factor comun es un resumen de comovimiento (pendiente ~1 mecanica, J23)</t>
        </is>
      </c>
      <c r="P587" s="3" t="inlineStr">
        <is>
          <t>output/v8/F5/regional_ranking.csv</t>
        </is>
      </c>
    </row>
    <row r="588">
      <c r="A588" s="3" t="inlineStr">
        <is>
          <t>compra</t>
        </is>
      </c>
      <c r="B588" s="3" t="inlineStr">
        <is>
          <t>ccaa:02</t>
        </is>
      </c>
      <c r="C588" s="3" t="inlineStr">
        <is>
          <t>P2</t>
        </is>
      </c>
      <c r="D588" s="3" t="inlineStr">
        <is>
          <t>factor_comun</t>
        </is>
      </c>
      <c r="E588" s="3" t="inlineStr">
        <is>
          <t>regional_panel</t>
        </is>
      </c>
      <c r="F588" s="3" t="inlineStr">
        <is>
          <t>panel_covariables</t>
        </is>
      </c>
      <c r="G588" s="3" t="n">
        <v>-35.0812</v>
      </c>
      <c r="H588" s="3" t="n">
        <v>66.2944</v>
      </c>
      <c r="I588" s="3" t="n">
        <v>-41.5124</v>
      </c>
      <c r="J588" s="3" t="n">
        <v>-30.6884</v>
      </c>
      <c r="K588" s="3" t="n">
        <v>-52.9173</v>
      </c>
      <c r="L588" s="3" t="n"/>
      <c r="M588" s="3" t="inlineStr">
        <is>
          <t>no</t>
        </is>
      </c>
      <c r="N588" s="3" t="inlineStr">
        <is>
          <t>no designado (contraste C4: no hay svar_hd regional)</t>
        </is>
      </c>
      <c r="O588" s="3" t="inlineStr">
        <is>
          <t>CCAA: ranking por c_f·sign(dY) del panel FE (M8); asociacion, sin lectura causal; el factor comun es un resumen de comovimiento (pendiente ~1 mecanica, J23)</t>
        </is>
      </c>
      <c r="P588" s="3" t="inlineStr">
        <is>
          <t>output/v8/F5/regional_ranking.csv</t>
        </is>
      </c>
    </row>
    <row r="589">
      <c r="A589" s="3" t="inlineStr">
        <is>
          <t>compra</t>
        </is>
      </c>
      <c r="B589" s="3" t="inlineStr">
        <is>
          <t>ccaa:02</t>
        </is>
      </c>
      <c r="C589" s="3" t="inlineStr">
        <is>
          <t>P2</t>
        </is>
      </c>
      <c r="D589" s="3" t="inlineStr">
        <is>
          <t>empleo_renta</t>
        </is>
      </c>
      <c r="E589" s="3" t="inlineStr">
        <is>
          <t>regional_panel</t>
        </is>
      </c>
      <c r="F589" s="3" t="inlineStr">
        <is>
          <t>panel_covariables</t>
        </is>
      </c>
      <c r="G589" s="3" t="n">
        <v>-1.09253</v>
      </c>
      <c r="H589" s="3" t="n">
        <v>2.0646</v>
      </c>
      <c r="I589" s="3" t="n">
        <v>-2.12374</v>
      </c>
      <c r="J589" s="3" t="n">
        <v>0.534631</v>
      </c>
      <c r="K589" s="3" t="n">
        <v>-52.9173</v>
      </c>
      <c r="L589" s="3" t="n">
        <v>1</v>
      </c>
      <c r="M589" s="3" t="inlineStr">
        <is>
          <t>si</t>
        </is>
      </c>
      <c r="N589" s="3" t="inlineStr">
        <is>
          <t>no designado (contraste C4: no hay svar_hd regional)</t>
        </is>
      </c>
      <c r="O589" s="3" t="inlineStr">
        <is>
          <t>CCAA: ranking por c_f·sign(dY) del panel FE (M8); asociacion, sin lectura causal; el factor comun es un resumen de comovimiento (pendiente ~1 mecanica, J23)</t>
        </is>
      </c>
      <c r="P589" s="3" t="inlineStr">
        <is>
          <t>output/v8/F5/regional_ranking.csv</t>
        </is>
      </c>
    </row>
    <row r="590">
      <c r="A590" s="3" t="inlineStr">
        <is>
          <t>compra</t>
        </is>
      </c>
      <c r="B590" s="3" t="inlineStr">
        <is>
          <t>ccaa:02</t>
        </is>
      </c>
      <c r="C590" s="3" t="inlineStr">
        <is>
          <t>P2</t>
        </is>
      </c>
      <c r="D590" s="3" t="inlineStr">
        <is>
          <t>demografia</t>
        </is>
      </c>
      <c r="E590" s="3" t="inlineStr">
        <is>
          <t>regional_panel</t>
        </is>
      </c>
      <c r="F590" s="3" t="inlineStr">
        <is>
          <t>panel_covariables</t>
        </is>
      </c>
      <c r="G590" s="3" t="n">
        <v>0.273459</v>
      </c>
      <c r="H590" s="3" t="n">
        <v>-0.5167659999999999</v>
      </c>
      <c r="I590" s="3" t="n">
        <v>-0.619374</v>
      </c>
      <c r="J590" s="3" t="n">
        <v>1.7058</v>
      </c>
      <c r="K590" s="3" t="n">
        <v>-52.9173</v>
      </c>
      <c r="L590" s="3" t="n">
        <v>4</v>
      </c>
      <c r="M590" s="3" t="inlineStr">
        <is>
          <t>si</t>
        </is>
      </c>
      <c r="N590" s="3" t="inlineStr">
        <is>
          <t>no designado (contraste C4: no hay svar_hd regional)</t>
        </is>
      </c>
      <c r="O590" s="3" t="inlineStr">
        <is>
          <t>CCAA: ranking por c_f·sign(dY) del panel FE (M8); asociacion, sin lectura causal; el factor comun es un resumen de comovimiento (pendiente ~1 mecanica, J23)</t>
        </is>
      </c>
      <c r="P590" s="3" t="inlineStr">
        <is>
          <t>output/v8/F5/regional_ranking.csv</t>
        </is>
      </c>
    </row>
    <row r="591">
      <c r="A591" s="3" t="inlineStr">
        <is>
          <t>compra</t>
        </is>
      </c>
      <c r="B591" s="3" t="inlineStr">
        <is>
          <t>ccaa:02</t>
        </is>
      </c>
      <c r="C591" s="3" t="inlineStr">
        <is>
          <t>P2</t>
        </is>
      </c>
      <c r="D591" s="3" t="inlineStr">
        <is>
          <t>oferta</t>
        </is>
      </c>
      <c r="E591" s="3" t="inlineStr">
        <is>
          <t>regional_panel</t>
        </is>
      </c>
      <c r="F591" s="3" t="inlineStr">
        <is>
          <t>panel_covariables</t>
        </is>
      </c>
      <c r="G591" s="3" t="n">
        <v>-0.0507423</v>
      </c>
      <c r="H591" s="3" t="n">
        <v>0.0958898</v>
      </c>
      <c r="I591" s="3" t="n">
        <v>-0.443788</v>
      </c>
      <c r="J591" s="3" t="n">
        <v>0.233874</v>
      </c>
      <c r="K591" s="3" t="n">
        <v>-52.9173</v>
      </c>
      <c r="L591" s="3" t="n">
        <v>2</v>
      </c>
      <c r="M591" s="3" t="inlineStr">
        <is>
          <t>si</t>
        </is>
      </c>
      <c r="N591" s="3" t="inlineStr">
        <is>
          <t>no designado (contraste C4: no hay svar_hd regional)</t>
        </is>
      </c>
      <c r="O591" s="3" t="inlineStr">
        <is>
          <t>CCAA: ranking por c_f·sign(dY) del panel FE (M8); asociacion, sin lectura causal; el factor comun es un resumen de comovimiento (pendiente ~1 mecanica, J23)</t>
        </is>
      </c>
      <c r="P591" s="3" t="inlineStr">
        <is>
          <t>output/v8/F5/regional_ranking.csv</t>
        </is>
      </c>
    </row>
    <row r="592">
      <c r="A592" s="3" t="inlineStr">
        <is>
          <t>compra</t>
        </is>
      </c>
      <c r="B592" s="3" t="inlineStr">
        <is>
          <t>ccaa:02</t>
        </is>
      </c>
      <c r="C592" s="3" t="inlineStr">
        <is>
          <t>P2</t>
        </is>
      </c>
      <c r="D592" s="3" t="inlineStr">
        <is>
          <t>demanda_externa</t>
        </is>
      </c>
      <c r="E592" s="3" t="inlineStr">
        <is>
          <t>regional_panel</t>
        </is>
      </c>
      <c r="F592" s="3" t="inlineStr">
        <is>
          <t>panel_covariables</t>
        </is>
      </c>
      <c r="G592" s="3" t="n">
        <v>0.114117</v>
      </c>
      <c r="H592" s="3" t="n">
        <v>-0.215651</v>
      </c>
      <c r="I592" s="3" t="n">
        <v>-0.41175</v>
      </c>
      <c r="J592" s="3" t="n">
        <v>1.40596</v>
      </c>
      <c r="K592" s="3" t="n">
        <v>-52.9173</v>
      </c>
      <c r="L592" s="3" t="n">
        <v>3</v>
      </c>
      <c r="M592" s="3" t="inlineStr">
        <is>
          <t>si</t>
        </is>
      </c>
      <c r="N592" s="3" t="inlineStr">
        <is>
          <t>no designado (contraste C4: no hay svar_hd regional)</t>
        </is>
      </c>
      <c r="O592" s="3" t="inlineStr">
        <is>
          <t>CCAA: ranking por c_f·sign(dY) del panel FE (M8); asociacion, sin lectura causal; el factor comun es un resumen de comovimiento (pendiente ~1 mecanica, J23)</t>
        </is>
      </c>
      <c r="P592" s="3" t="inlineStr">
        <is>
          <t>output/v8/F5/regional_ranking.csv</t>
        </is>
      </c>
    </row>
    <row r="593">
      <c r="A593" s="3" t="inlineStr">
        <is>
          <t>compra</t>
        </is>
      </c>
      <c r="B593" s="3" t="inlineStr">
        <is>
          <t>ccaa:02</t>
        </is>
      </c>
      <c r="C593" s="3" t="inlineStr">
        <is>
          <t>P2</t>
        </is>
      </c>
      <c r="D593" s="3" t="inlineStr">
        <is>
          <t>residuo</t>
        </is>
      </c>
      <c r="E593" s="3" t="inlineStr">
        <is>
          <t>regional_panel</t>
        </is>
      </c>
      <c r="F593" s="3" t="inlineStr">
        <is>
          <t>panel_covariables</t>
        </is>
      </c>
      <c r="G593" s="3" t="n">
        <v>-17.0804</v>
      </c>
      <c r="H593" s="3" t="n">
        <v>32.2776</v>
      </c>
      <c r="I593" s="3" t="n">
        <v>-20.5201</v>
      </c>
      <c r="J593" s="3" t="n">
        <v>-13.8883</v>
      </c>
      <c r="K593" s="3" t="n">
        <v>-52.9173</v>
      </c>
      <c r="L593" s="3" t="n"/>
      <c r="M593" s="3" t="inlineStr">
        <is>
          <t>no</t>
        </is>
      </c>
      <c r="N593" s="3" t="inlineStr">
        <is>
          <t>no designado (contraste C4: no hay svar_hd regional)</t>
        </is>
      </c>
      <c r="O593" s="3" t="inlineStr">
        <is>
          <t>CCAA: ranking por c_f·sign(dY) del panel FE (M8); asociacion, sin lectura causal; el factor comun es un resumen de comovimiento (pendiente ~1 mecanica, J23)</t>
        </is>
      </c>
      <c r="P593" s="3" t="inlineStr">
        <is>
          <t>output/v8/F5/regional_ranking.csv</t>
        </is>
      </c>
    </row>
    <row r="594">
      <c r="A594" s="3" t="inlineStr">
        <is>
          <t>compra</t>
        </is>
      </c>
      <c r="B594" s="3" t="inlineStr">
        <is>
          <t>ccaa:02</t>
        </is>
      </c>
      <c r="C594" s="3" t="inlineStr">
        <is>
          <t>P3</t>
        </is>
      </c>
      <c r="D594" s="3" t="inlineStr">
        <is>
          <t>factor_comun</t>
        </is>
      </c>
      <c r="E594" s="3" t="inlineStr">
        <is>
          <t>regional_ccaa_ols</t>
        </is>
      </c>
      <c r="F594" s="3" t="inlineStr">
        <is>
          <t>ols_solo_factor</t>
        </is>
      </c>
      <c r="G594" s="3" t="n">
        <v>-0.7031539999999999</v>
      </c>
      <c r="H594" s="3" t="n">
        <v>19.7163</v>
      </c>
      <c r="I594" s="3" t="n">
        <v>-5.59795</v>
      </c>
      <c r="J594" s="3" t="n">
        <v>3.51849</v>
      </c>
      <c r="K594" s="3" t="n">
        <v>-2.33761</v>
      </c>
      <c r="L594" s="3" t="n"/>
      <c r="M594" s="3" t="inlineStr">
        <is>
          <t>no</t>
        </is>
      </c>
      <c r="N594" s="3" t="inlineStr">
        <is>
          <t>no designado (contraste C4: no hay svar_hd regional)</t>
        </is>
      </c>
      <c r="O594" s="3" t="inlineStr">
        <is>
          <t>CCAA: ranking por c_f·sign(dY) del panel FE (M8); asociacion, sin lectura causal; el factor comun es un resumen de comovimiento (pendiente ~1 mecanica, J23)</t>
        </is>
      </c>
      <c r="P594" s="3" t="inlineStr">
        <is>
          <t>output/v8/F5/regional_ranking.csv</t>
        </is>
      </c>
    </row>
    <row r="595">
      <c r="A595" s="3" t="inlineStr">
        <is>
          <t>compra</t>
        </is>
      </c>
      <c r="B595" s="3" t="inlineStr">
        <is>
          <t>ccaa:02</t>
        </is>
      </c>
      <c r="C595" s="3" t="inlineStr">
        <is>
          <t>P3</t>
        </is>
      </c>
      <c r="D595" s="3" t="inlineStr">
        <is>
          <t>residuo</t>
        </is>
      </c>
      <c r="E595" s="3" t="inlineStr">
        <is>
          <t>regional_ccaa_ols</t>
        </is>
      </c>
      <c r="F595" s="3" t="inlineStr">
        <is>
          <t>ols_solo_factor</t>
        </is>
      </c>
      <c r="G595" s="3" t="n">
        <v>-2.8632</v>
      </c>
      <c r="H595" s="3" t="n">
        <v>80.2837</v>
      </c>
      <c r="I595" s="3" t="n"/>
      <c r="J595" s="3" t="n"/>
      <c r="K595" s="3" t="n">
        <v>-2.33761</v>
      </c>
      <c r="L595" s="3" t="n"/>
      <c r="M595" s="3" t="inlineStr">
        <is>
          <t>no</t>
        </is>
      </c>
      <c r="N595" s="3" t="inlineStr">
        <is>
          <t>no designado (contraste C4: no hay svar_hd regional)</t>
        </is>
      </c>
      <c r="O595" s="3" t="inlineStr">
        <is>
          <t>CCAA: ranking por c_f·sign(dY) del panel FE (M8); asociacion, sin lectura causal; el factor comun es un resumen de comovimiento (pendiente ~1 mecanica, J23)</t>
        </is>
      </c>
      <c r="P595" s="3" t="inlineStr">
        <is>
          <t>output/v8/F5/regional_ranking.csv</t>
        </is>
      </c>
    </row>
    <row r="596">
      <c r="A596" s="3" t="inlineStr">
        <is>
          <t>compra</t>
        </is>
      </c>
      <c r="B596" s="3" t="inlineStr">
        <is>
          <t>ccaa:02</t>
        </is>
      </c>
      <c r="C596" s="3" t="inlineStr">
        <is>
          <t>P3</t>
        </is>
      </c>
      <c r="D596" s="3" t="inlineStr">
        <is>
          <t>factor_comun</t>
        </is>
      </c>
      <c r="E596" s="3" t="inlineStr">
        <is>
          <t>regional_panel</t>
        </is>
      </c>
      <c r="F596" s="3" t="inlineStr">
        <is>
          <t>panel_covariables</t>
        </is>
      </c>
      <c r="G596" s="3" t="n">
        <v>-0.548472</v>
      </c>
      <c r="H596" s="3" t="n">
        <v>23.463</v>
      </c>
      <c r="I596" s="3" t="n">
        <v>-3.50001</v>
      </c>
      <c r="J596" s="3" t="n">
        <v>2.45383</v>
      </c>
      <c r="K596" s="3" t="n">
        <v>-2.33761</v>
      </c>
      <c r="L596" s="3" t="n"/>
      <c r="M596" s="3" t="inlineStr">
        <is>
          <t>no</t>
        </is>
      </c>
      <c r="N596" s="3" t="inlineStr">
        <is>
          <t>no designado (contraste C4: no hay svar_hd regional)</t>
        </is>
      </c>
      <c r="O596" s="3" t="inlineStr">
        <is>
          <t>CCAA: ranking por c_f·sign(dY) del panel FE (M8); asociacion, sin lectura causal; el factor comun es un resumen de comovimiento (pendiente ~1 mecanica, J23)</t>
        </is>
      </c>
      <c r="P596" s="3" t="inlineStr">
        <is>
          <t>output/v8/F5/regional_ranking.csv</t>
        </is>
      </c>
    </row>
    <row r="597">
      <c r="A597" s="3" t="inlineStr">
        <is>
          <t>compra</t>
        </is>
      </c>
      <c r="B597" s="3" t="inlineStr">
        <is>
          <t>ccaa:02</t>
        </is>
      </c>
      <c r="C597" s="3" t="inlineStr">
        <is>
          <t>P3</t>
        </is>
      </c>
      <c r="D597" s="3" t="inlineStr">
        <is>
          <t>empleo_renta</t>
        </is>
      </c>
      <c r="E597" s="3" t="inlineStr">
        <is>
          <t>regional_panel</t>
        </is>
      </c>
      <c r="F597" s="3" t="inlineStr">
        <is>
          <t>panel_covariables</t>
        </is>
      </c>
      <c r="G597" s="3" t="n">
        <v>0.548712</v>
      </c>
      <c r="H597" s="3" t="n">
        <v>-23.4732</v>
      </c>
      <c r="I597" s="3" t="n">
        <v>-0.182568</v>
      </c>
      <c r="J597" s="3" t="n">
        <v>1.24794</v>
      </c>
      <c r="K597" s="3" t="n">
        <v>-2.33761</v>
      </c>
      <c r="L597" s="3" t="n">
        <v>3</v>
      </c>
      <c r="M597" s="3" t="inlineStr">
        <is>
          <t>si</t>
        </is>
      </c>
      <c r="N597" s="3" t="inlineStr">
        <is>
          <t>no designado (contraste C4: no hay svar_hd regional)</t>
        </is>
      </c>
      <c r="O597" s="3" t="inlineStr">
        <is>
          <t>CCAA: ranking por c_f·sign(dY) del panel FE (M8); asociacion, sin lectura causal; el factor comun es un resumen de comovimiento (pendiente ~1 mecanica, J23)</t>
        </is>
      </c>
      <c r="P597" s="3" t="inlineStr">
        <is>
          <t>output/v8/F5/regional_ranking.csv</t>
        </is>
      </c>
    </row>
    <row r="598">
      <c r="A598" s="3" t="inlineStr">
        <is>
          <t>compra</t>
        </is>
      </c>
      <c r="B598" s="3" t="inlineStr">
        <is>
          <t>ccaa:02</t>
        </is>
      </c>
      <c r="C598" s="3" t="inlineStr">
        <is>
          <t>P3</t>
        </is>
      </c>
      <c r="D598" s="3" t="inlineStr">
        <is>
          <t>demografia</t>
        </is>
      </c>
      <c r="E598" s="3" t="inlineStr">
        <is>
          <t>regional_panel</t>
        </is>
      </c>
      <c r="F598" s="3" t="inlineStr">
        <is>
          <t>panel_covariables</t>
        </is>
      </c>
      <c r="G598" s="3" t="n">
        <v>-0.656494</v>
      </c>
      <c r="H598" s="3" t="n">
        <v>28.084</v>
      </c>
      <c r="I598" s="3" t="n">
        <v>-1.51883</v>
      </c>
      <c r="J598" s="3" t="n">
        <v>0.152056</v>
      </c>
      <c r="K598" s="3" t="n">
        <v>-2.33761</v>
      </c>
      <c r="L598" s="3" t="n">
        <v>1</v>
      </c>
      <c r="M598" s="3" t="inlineStr">
        <is>
          <t>si</t>
        </is>
      </c>
      <c r="N598" s="3" t="inlineStr">
        <is>
          <t>no designado (contraste C4: no hay svar_hd regional)</t>
        </is>
      </c>
      <c r="O598" s="3" t="inlineStr">
        <is>
          <t>CCAA: ranking por c_f·sign(dY) del panel FE (M8); asociacion, sin lectura causal; el factor comun es un resumen de comovimiento (pendiente ~1 mecanica, J23)</t>
        </is>
      </c>
      <c r="P598" s="3" t="inlineStr">
        <is>
          <t>output/v8/F5/regional_ranking.csv</t>
        </is>
      </c>
    </row>
    <row r="599">
      <c r="A599" s="3" t="inlineStr">
        <is>
          <t>compra</t>
        </is>
      </c>
      <c r="B599" s="3" t="inlineStr">
        <is>
          <t>ccaa:02</t>
        </is>
      </c>
      <c r="C599" s="3" t="inlineStr">
        <is>
          <t>P3</t>
        </is>
      </c>
      <c r="D599" s="3" t="inlineStr">
        <is>
          <t>oferta</t>
        </is>
      </c>
      <c r="E599" s="3" t="inlineStr">
        <is>
          <t>regional_panel</t>
        </is>
      </c>
      <c r="F599" s="3" t="inlineStr">
        <is>
          <t>panel_covariables</t>
        </is>
      </c>
      <c r="G599" s="3" t="n">
        <v>-0.188273</v>
      </c>
      <c r="H599" s="3" t="n">
        <v>8.0541</v>
      </c>
      <c r="I599" s="3" t="n">
        <v>-0.504452</v>
      </c>
      <c r="J599" s="3" t="n">
        <v>0.105658</v>
      </c>
      <c r="K599" s="3" t="n">
        <v>-2.33761</v>
      </c>
      <c r="L599" s="3" t="n">
        <v>2</v>
      </c>
      <c r="M599" s="3" t="inlineStr">
        <is>
          <t>si</t>
        </is>
      </c>
      <c r="N599" s="3" t="inlineStr">
        <is>
          <t>no designado (contraste C4: no hay svar_hd regional)</t>
        </is>
      </c>
      <c r="O599" s="3" t="inlineStr">
        <is>
          <t>CCAA: ranking por c_f·sign(dY) del panel FE (M8); asociacion, sin lectura causal; el factor comun es un resumen de comovimiento (pendiente ~1 mecanica, J23)</t>
        </is>
      </c>
      <c r="P599" s="3" t="inlineStr">
        <is>
          <t>output/v8/F5/regional_ranking.csv</t>
        </is>
      </c>
    </row>
    <row r="600">
      <c r="A600" s="3" t="inlineStr">
        <is>
          <t>compra</t>
        </is>
      </c>
      <c r="B600" s="3" t="inlineStr">
        <is>
          <t>ccaa:02</t>
        </is>
      </c>
      <c r="C600" s="3" t="inlineStr">
        <is>
          <t>P3</t>
        </is>
      </c>
      <c r="D600" s="3" t="inlineStr">
        <is>
          <t>demanda_externa</t>
        </is>
      </c>
      <c r="E600" s="3" t="inlineStr">
        <is>
          <t>regional_panel</t>
        </is>
      </c>
      <c r="F600" s="3" t="inlineStr">
        <is>
          <t>panel_covariables</t>
        </is>
      </c>
      <c r="G600" s="3" t="n">
        <v>1.06336</v>
      </c>
      <c r="H600" s="3" t="n">
        <v>-45.4894</v>
      </c>
      <c r="I600" s="3" t="n">
        <v>0.424309</v>
      </c>
      <c r="J600" s="3" t="n">
        <v>1.35981</v>
      </c>
      <c r="K600" s="3" t="n">
        <v>-2.33761</v>
      </c>
      <c r="L600" s="3" t="n">
        <v>4</v>
      </c>
      <c r="M600" s="3" t="inlineStr">
        <is>
          <t>si</t>
        </is>
      </c>
      <c r="N600" s="3" t="inlineStr">
        <is>
          <t>no designado (contraste C4: no hay svar_hd regional)</t>
        </is>
      </c>
      <c r="O600" s="3" t="inlineStr">
        <is>
          <t>CCAA: ranking por c_f·sign(dY) del panel FE (M8); asociacion, sin lectura causal; el factor comun es un resumen de comovimiento (pendiente ~1 mecanica, J23)</t>
        </is>
      </c>
      <c r="P600" s="3" t="inlineStr">
        <is>
          <t>output/v8/F5/regional_ranking.csv</t>
        </is>
      </c>
    </row>
    <row r="601">
      <c r="A601" s="3" t="inlineStr">
        <is>
          <t>compra</t>
        </is>
      </c>
      <c r="B601" s="3" t="inlineStr">
        <is>
          <t>ccaa:02</t>
        </is>
      </c>
      <c r="C601" s="3" t="inlineStr">
        <is>
          <t>P3</t>
        </is>
      </c>
      <c r="D601" s="3" t="inlineStr">
        <is>
          <t>residuo</t>
        </is>
      </c>
      <c r="E601" s="3" t="inlineStr">
        <is>
          <t>regional_panel</t>
        </is>
      </c>
      <c r="F601" s="3" t="inlineStr">
        <is>
          <t>panel_covariables</t>
        </is>
      </c>
      <c r="G601" s="3" t="n">
        <v>-2.55644</v>
      </c>
      <c r="H601" s="3" t="n">
        <v>109.362</v>
      </c>
      <c r="I601" s="3" t="n">
        <v>-5.63565</v>
      </c>
      <c r="J601" s="3" t="n">
        <v>1.03296</v>
      </c>
      <c r="K601" s="3" t="n">
        <v>-2.33761</v>
      </c>
      <c r="L601" s="3" t="n"/>
      <c r="M601" s="3" t="inlineStr">
        <is>
          <t>no</t>
        </is>
      </c>
      <c r="N601" s="3" t="inlineStr">
        <is>
          <t>no designado (contraste C4: no hay svar_hd regional)</t>
        </is>
      </c>
      <c r="O601" s="3" t="inlineStr">
        <is>
          <t>CCAA: ranking por c_f·sign(dY) del panel FE (M8); asociacion, sin lectura causal; el factor comun es un resumen de comovimiento (pendiente ~1 mecanica, J23)</t>
        </is>
      </c>
      <c r="P601" s="3" t="inlineStr">
        <is>
          <t>output/v8/F5/regional_ranking.csv</t>
        </is>
      </c>
    </row>
    <row r="602">
      <c r="A602" s="3" t="inlineStr">
        <is>
          <t>compra</t>
        </is>
      </c>
      <c r="B602" s="3" t="inlineStr">
        <is>
          <t>ccaa:02</t>
        </is>
      </c>
      <c r="C602" s="3" t="inlineStr">
        <is>
          <t>P4</t>
        </is>
      </c>
      <c r="D602" s="3" t="inlineStr">
        <is>
          <t>factor_comun</t>
        </is>
      </c>
      <c r="E602" s="3" t="inlineStr">
        <is>
          <t>regional_ccaa_ols</t>
        </is>
      </c>
      <c r="F602" s="3" t="inlineStr">
        <is>
          <t>ols_solo_factor</t>
        </is>
      </c>
      <c r="G602" s="3" t="n">
        <v>-0.496172</v>
      </c>
      <c r="H602" s="3" t="n">
        <v>10.3082</v>
      </c>
      <c r="I602" s="3" t="n">
        <v>-1.93697</v>
      </c>
      <c r="J602" s="3" t="n">
        <v>0.0502988</v>
      </c>
      <c r="K602" s="3" t="n">
        <v>-4.81338</v>
      </c>
      <c r="L602" s="3" t="n"/>
      <c r="M602" s="3" t="inlineStr">
        <is>
          <t>no</t>
        </is>
      </c>
      <c r="N602" s="3" t="inlineStr">
        <is>
          <t>no designado (contraste C4: no hay svar_hd regional)</t>
        </is>
      </c>
      <c r="O602" s="3" t="inlineStr">
        <is>
          <t>CCAA: ranking por c_f·sign(dY) del panel FE (M8); asociacion, sin lectura causal; el factor comun es un resumen de comovimiento (pendiente ~1 mecanica, J23)</t>
        </is>
      </c>
      <c r="P602" s="3" t="inlineStr">
        <is>
          <t>output/v8/F5/regional_ranking.csv</t>
        </is>
      </c>
    </row>
    <row r="603">
      <c r="A603" s="3" t="inlineStr">
        <is>
          <t>compra</t>
        </is>
      </c>
      <c r="B603" s="3" t="inlineStr">
        <is>
          <t>ccaa:02</t>
        </is>
      </c>
      <c r="C603" s="3" t="inlineStr">
        <is>
          <t>P4</t>
        </is>
      </c>
      <c r="D603" s="3" t="inlineStr">
        <is>
          <t>residuo</t>
        </is>
      </c>
      <c r="E603" s="3" t="inlineStr">
        <is>
          <t>regional_ccaa_ols</t>
        </is>
      </c>
      <c r="F603" s="3" t="inlineStr">
        <is>
          <t>ols_solo_factor</t>
        </is>
      </c>
      <c r="G603" s="3" t="n">
        <v>-4.31721</v>
      </c>
      <c r="H603" s="3" t="n">
        <v>89.6918</v>
      </c>
      <c r="I603" s="3" t="n"/>
      <c r="J603" s="3" t="n"/>
      <c r="K603" s="3" t="n">
        <v>-4.81338</v>
      </c>
      <c r="L603" s="3" t="n"/>
      <c r="M603" s="3" t="inlineStr">
        <is>
          <t>no</t>
        </is>
      </c>
      <c r="N603" s="3" t="inlineStr">
        <is>
          <t>no designado (contraste C4: no hay svar_hd regional)</t>
        </is>
      </c>
      <c r="O603" s="3" t="inlineStr">
        <is>
          <t>CCAA: ranking por c_f·sign(dY) del panel FE (M8); asociacion, sin lectura causal; el factor comun es un resumen de comovimiento (pendiente ~1 mecanica, J23)</t>
        </is>
      </c>
      <c r="P603" s="3" t="inlineStr">
        <is>
          <t>output/v8/F5/regional_ranking.csv</t>
        </is>
      </c>
    </row>
    <row r="604">
      <c r="A604" s="3" t="inlineStr">
        <is>
          <t>compra</t>
        </is>
      </c>
      <c r="B604" s="3" t="inlineStr">
        <is>
          <t>ccaa:02</t>
        </is>
      </c>
      <c r="C604" s="3" t="inlineStr">
        <is>
          <t>P4</t>
        </is>
      </c>
      <c r="D604" s="3" t="inlineStr">
        <is>
          <t>factor_comun</t>
        </is>
      </c>
      <c r="E604" s="3" t="inlineStr">
        <is>
          <t>regional_panel</t>
        </is>
      </c>
      <c r="F604" s="3" t="inlineStr">
        <is>
          <t>panel_covariables</t>
        </is>
      </c>
      <c r="G604" s="3" t="n">
        <v>-4.21608</v>
      </c>
      <c r="H604" s="3" t="n">
        <v>87.5909</v>
      </c>
      <c r="I604" s="3" t="n">
        <v>-5.07352</v>
      </c>
      <c r="J604" s="3" t="n">
        <v>-2.674</v>
      </c>
      <c r="K604" s="3" t="n">
        <v>-4.81338</v>
      </c>
      <c r="L604" s="3" t="n"/>
      <c r="M604" s="3" t="inlineStr">
        <is>
          <t>no</t>
        </is>
      </c>
      <c r="N604" s="3" t="inlineStr">
        <is>
          <t>no designado (contraste C4: no hay svar_hd regional)</t>
        </is>
      </c>
      <c r="O604" s="3" t="inlineStr">
        <is>
          <t>CCAA: ranking por c_f·sign(dY) del panel FE (M8); asociacion, sin lectura causal; el factor comun es un resumen de comovimiento (pendiente ~1 mecanica, J23)</t>
        </is>
      </c>
      <c r="P604" s="3" t="inlineStr">
        <is>
          <t>output/v8/F5/regional_ranking.csv</t>
        </is>
      </c>
    </row>
    <row r="605">
      <c r="A605" s="3" t="inlineStr">
        <is>
          <t>compra</t>
        </is>
      </c>
      <c r="B605" s="3" t="inlineStr">
        <is>
          <t>ccaa:02</t>
        </is>
      </c>
      <c r="C605" s="3" t="inlineStr">
        <is>
          <t>P4</t>
        </is>
      </c>
      <c r="D605" s="3" t="inlineStr">
        <is>
          <t>empleo_renta</t>
        </is>
      </c>
      <c r="E605" s="3" t="inlineStr">
        <is>
          <t>regional_panel</t>
        </is>
      </c>
      <c r="F605" s="3" t="inlineStr">
        <is>
          <t>panel_covariables</t>
        </is>
      </c>
      <c r="G605" s="3" t="n">
        <v>0.09541189999999999</v>
      </c>
      <c r="H605" s="3" t="n">
        <v>-1.98222</v>
      </c>
      <c r="I605" s="3" t="n">
        <v>-0.41178</v>
      </c>
      <c r="J605" s="3" t="n">
        <v>0.5850919999999999</v>
      </c>
      <c r="K605" s="3" t="n">
        <v>-4.81338</v>
      </c>
      <c r="L605" s="3" t="n">
        <v>2</v>
      </c>
      <c r="M605" s="3" t="inlineStr">
        <is>
          <t>si</t>
        </is>
      </c>
      <c r="N605" s="3" t="inlineStr">
        <is>
          <t>no designado (contraste C4: no hay svar_hd regional)</t>
        </is>
      </c>
      <c r="O605" s="3" t="inlineStr">
        <is>
          <t>CCAA: ranking por c_f·sign(dY) del panel FE (M8); asociacion, sin lectura causal; el factor comun es un resumen de comovimiento (pendiente ~1 mecanica, J23)</t>
        </is>
      </c>
      <c r="P605" s="3" t="inlineStr">
        <is>
          <t>output/v8/F5/regional_ranking.csv</t>
        </is>
      </c>
    </row>
    <row r="606">
      <c r="A606" s="3" t="inlineStr">
        <is>
          <t>compra</t>
        </is>
      </c>
      <c r="B606" s="3" t="inlineStr">
        <is>
          <t>ccaa:02</t>
        </is>
      </c>
      <c r="C606" s="3" t="inlineStr">
        <is>
          <t>P4</t>
        </is>
      </c>
      <c r="D606" s="3" t="inlineStr">
        <is>
          <t>demografia</t>
        </is>
      </c>
      <c r="E606" s="3" t="inlineStr">
        <is>
          <t>regional_panel</t>
        </is>
      </c>
      <c r="F606" s="3" t="inlineStr">
        <is>
          <t>panel_covariables</t>
        </is>
      </c>
      <c r="G606" s="3" t="n">
        <v>1.29813</v>
      </c>
      <c r="H606" s="3" t="n">
        <v>-26.9693</v>
      </c>
      <c r="I606" s="3" t="n">
        <v>0.44444</v>
      </c>
      <c r="J606" s="3" t="n">
        <v>1.92296</v>
      </c>
      <c r="K606" s="3" t="n">
        <v>-4.81338</v>
      </c>
      <c r="L606" s="3" t="n">
        <v>4</v>
      </c>
      <c r="M606" s="3" t="inlineStr">
        <is>
          <t>si</t>
        </is>
      </c>
      <c r="N606" s="3" t="inlineStr">
        <is>
          <t>no designado (contraste C4: no hay svar_hd regional)</t>
        </is>
      </c>
      <c r="O606" s="3" t="inlineStr">
        <is>
          <t>CCAA: ranking por c_f·sign(dY) del panel FE (M8); asociacion, sin lectura causal; el factor comun es un resumen de comovimiento (pendiente ~1 mecanica, J23)</t>
        </is>
      </c>
      <c r="P606" s="3" t="inlineStr">
        <is>
          <t>output/v8/F5/regional_ranking.csv</t>
        </is>
      </c>
    </row>
    <row r="607">
      <c r="A607" s="3" t="inlineStr">
        <is>
          <t>compra</t>
        </is>
      </c>
      <c r="B607" s="3" t="inlineStr">
        <is>
          <t>ccaa:02</t>
        </is>
      </c>
      <c r="C607" s="3" t="inlineStr">
        <is>
          <t>P4</t>
        </is>
      </c>
      <c r="D607" s="3" t="inlineStr">
        <is>
          <t>oferta</t>
        </is>
      </c>
      <c r="E607" s="3" t="inlineStr">
        <is>
          <t>regional_panel</t>
        </is>
      </c>
      <c r="F607" s="3" t="inlineStr">
        <is>
          <t>panel_covariables</t>
        </is>
      </c>
      <c r="G607" s="3" t="n">
        <v>-0.0301113</v>
      </c>
      <c r="H607" s="3" t="n">
        <v>0.625576</v>
      </c>
      <c r="I607" s="3" t="n">
        <v>-0.108257</v>
      </c>
      <c r="J607" s="3" t="n">
        <v>0.00608885</v>
      </c>
      <c r="K607" s="3" t="n">
        <v>-4.81338</v>
      </c>
      <c r="L607" s="3" t="n">
        <v>1</v>
      </c>
      <c r="M607" s="3" t="inlineStr">
        <is>
          <t>si</t>
        </is>
      </c>
      <c r="N607" s="3" t="inlineStr">
        <is>
          <t>no designado (contraste C4: no hay svar_hd regional)</t>
        </is>
      </c>
      <c r="O607" s="3" t="inlineStr">
        <is>
          <t>CCAA: ranking por c_f·sign(dY) del panel FE (M8); asociacion, sin lectura causal; el factor comun es un resumen de comovimiento (pendiente ~1 mecanica, J23)</t>
        </is>
      </c>
      <c r="P607" s="3" t="inlineStr">
        <is>
          <t>output/v8/F5/regional_ranking.csv</t>
        </is>
      </c>
    </row>
    <row r="608">
      <c r="A608" s="3" t="inlineStr">
        <is>
          <t>compra</t>
        </is>
      </c>
      <c r="B608" s="3" t="inlineStr">
        <is>
          <t>ccaa:02</t>
        </is>
      </c>
      <c r="C608" s="3" t="inlineStr">
        <is>
          <t>P4</t>
        </is>
      </c>
      <c r="D608" s="3" t="inlineStr">
        <is>
          <t>demanda_externa</t>
        </is>
      </c>
      <c r="E608" s="3" t="inlineStr">
        <is>
          <t>regional_panel</t>
        </is>
      </c>
      <c r="F608" s="3" t="inlineStr">
        <is>
          <t>panel_covariables</t>
        </is>
      </c>
      <c r="G608" s="3" t="n">
        <v>0.131726</v>
      </c>
      <c r="H608" s="3" t="n">
        <v>-2.73666</v>
      </c>
      <c r="I608" s="3" t="n">
        <v>-0.0669106</v>
      </c>
      <c r="J608" s="3" t="n">
        <v>0.215766</v>
      </c>
      <c r="K608" s="3" t="n">
        <v>-4.81338</v>
      </c>
      <c r="L608" s="3" t="n">
        <v>3</v>
      </c>
      <c r="M608" s="3" t="inlineStr">
        <is>
          <t>si</t>
        </is>
      </c>
      <c r="N608" s="3" t="inlineStr">
        <is>
          <t>no designado (contraste C4: no hay svar_hd regional)</t>
        </is>
      </c>
      <c r="O608" s="3" t="inlineStr">
        <is>
          <t>CCAA: ranking por c_f·sign(dY) del panel FE (M8); asociacion, sin lectura causal; el factor comun es un resumen de comovimiento (pendiente ~1 mecanica, J23)</t>
        </is>
      </c>
      <c r="P608" s="3" t="inlineStr">
        <is>
          <t>output/v8/F5/regional_ranking.csv</t>
        </is>
      </c>
    </row>
    <row r="609">
      <c r="A609" s="3" t="inlineStr">
        <is>
          <t>compra</t>
        </is>
      </c>
      <c r="B609" s="3" t="inlineStr">
        <is>
          <t>ccaa:02</t>
        </is>
      </c>
      <c r="C609" s="3" t="inlineStr">
        <is>
          <t>P4</t>
        </is>
      </c>
      <c r="D609" s="3" t="inlineStr">
        <is>
          <t>residuo</t>
        </is>
      </c>
      <c r="E609" s="3" t="inlineStr">
        <is>
          <t>regional_panel</t>
        </is>
      </c>
      <c r="F609" s="3" t="inlineStr">
        <is>
          <t>panel_covariables</t>
        </is>
      </c>
      <c r="G609" s="3" t="n">
        <v>-2.09246</v>
      </c>
      <c r="H609" s="3" t="n">
        <v>43.4717</v>
      </c>
      <c r="I609" s="3" t="n">
        <v>-3.3539</v>
      </c>
      <c r="J609" s="3" t="n">
        <v>-0.815779</v>
      </c>
      <c r="K609" s="3" t="n">
        <v>-4.81338</v>
      </c>
      <c r="L609" s="3" t="n"/>
      <c r="M609" s="3" t="inlineStr">
        <is>
          <t>no</t>
        </is>
      </c>
      <c r="N609" s="3" t="inlineStr">
        <is>
          <t>no designado (contraste C4: no hay svar_hd regional)</t>
        </is>
      </c>
      <c r="O609" s="3" t="inlineStr">
        <is>
          <t>CCAA: ranking por c_f·sign(dY) del panel FE (M8); asociacion, sin lectura causal; el factor comun es un resumen de comovimiento (pendiente ~1 mecanica, J23)</t>
        </is>
      </c>
      <c r="P609" s="3" t="inlineStr">
        <is>
          <t>output/v8/F5/regional_ranking.csv</t>
        </is>
      </c>
    </row>
    <row r="610">
      <c r="A610" s="3" t="inlineStr">
        <is>
          <t>compra</t>
        </is>
      </c>
      <c r="B610" s="3" t="inlineStr">
        <is>
          <t>ccaa:02</t>
        </is>
      </c>
      <c r="C610" s="3" t="inlineStr">
        <is>
          <t>P5</t>
        </is>
      </c>
      <c r="D610" s="3" t="inlineStr">
        <is>
          <t>factor_comun</t>
        </is>
      </c>
      <c r="E610" s="3" t="inlineStr">
        <is>
          <t>regional_ccaa_ols</t>
        </is>
      </c>
      <c r="F610" s="3" t="inlineStr">
        <is>
          <t>ols_solo_factor</t>
        </is>
      </c>
      <c r="G610" s="3" t="n">
        <v>11.268</v>
      </c>
      <c r="H610" s="3" t="n">
        <v>86.7388</v>
      </c>
      <c r="I610" s="3" t="n">
        <v>4.83081</v>
      </c>
      <c r="J610" s="3" t="n">
        <v>17.9264</v>
      </c>
      <c r="K610" s="3" t="n">
        <v>3.25647</v>
      </c>
      <c r="L610" s="3" t="n"/>
      <c r="M610" s="3" t="inlineStr">
        <is>
          <t>no</t>
        </is>
      </c>
      <c r="N610" s="3" t="inlineStr">
        <is>
          <t>no designado (contraste C4: no hay svar_hd regional)</t>
        </is>
      </c>
      <c r="O610" s="3" t="inlineStr">
        <is>
          <t>CCAA: ranking por c_f·sign(dY) del panel FE (M8); asociacion, sin lectura causal; el factor comun es un resumen de comovimiento (pendiente ~1 mecanica, J23)</t>
        </is>
      </c>
      <c r="P610" s="3" t="inlineStr">
        <is>
          <t>output/v8/F5/regional_ranking.csv</t>
        </is>
      </c>
    </row>
    <row r="611">
      <c r="A611" s="3" t="inlineStr">
        <is>
          <t>compra</t>
        </is>
      </c>
      <c r="B611" s="3" t="inlineStr">
        <is>
          <t>ccaa:02</t>
        </is>
      </c>
      <c r="C611" s="3" t="inlineStr">
        <is>
          <t>P5</t>
        </is>
      </c>
      <c r="D611" s="3" t="inlineStr">
        <is>
          <t>residuo</t>
        </is>
      </c>
      <c r="E611" s="3" t="inlineStr">
        <is>
          <t>regional_ccaa_ols</t>
        </is>
      </c>
      <c r="F611" s="3" t="inlineStr">
        <is>
          <t>ols_solo_factor</t>
        </is>
      </c>
      <c r="G611" s="3" t="n">
        <v>1.72272</v>
      </c>
      <c r="H611" s="3" t="n">
        <v>13.2612</v>
      </c>
      <c r="I611" s="3" t="n"/>
      <c r="J611" s="3" t="n"/>
      <c r="K611" s="3" t="n">
        <v>3.25647</v>
      </c>
      <c r="L611" s="3" t="n"/>
      <c r="M611" s="3" t="inlineStr">
        <is>
          <t>no</t>
        </is>
      </c>
      <c r="N611" s="3" t="inlineStr">
        <is>
          <t>no designado (contraste C4: no hay svar_hd regional)</t>
        </is>
      </c>
      <c r="O611" s="3" t="inlineStr">
        <is>
          <t>CCAA: ranking por c_f·sign(dY) del panel FE (M8); asociacion, sin lectura causal; el factor comun es un resumen de comovimiento (pendiente ~1 mecanica, J23)</t>
        </is>
      </c>
      <c r="P611" s="3" t="inlineStr">
        <is>
          <t>output/v8/F5/regional_ranking.csv</t>
        </is>
      </c>
    </row>
    <row r="612">
      <c r="A612" s="3" t="inlineStr">
        <is>
          <t>compra</t>
        </is>
      </c>
      <c r="B612" s="3" t="inlineStr">
        <is>
          <t>ccaa:02</t>
        </is>
      </c>
      <c r="C612" s="3" t="inlineStr">
        <is>
          <t>P5</t>
        </is>
      </c>
      <c r="D612" s="3" t="inlineStr">
        <is>
          <t>factor_comun</t>
        </is>
      </c>
      <c r="E612" s="3" t="inlineStr">
        <is>
          <t>regional_panel</t>
        </is>
      </c>
      <c r="F612" s="3" t="inlineStr">
        <is>
          <t>panel_covariables</t>
        </is>
      </c>
      <c r="G612" s="3" t="n">
        <v>1.50215</v>
      </c>
      <c r="H612" s="3" t="n">
        <v>46.1281</v>
      </c>
      <c r="I612" s="3" t="n">
        <v>-1.20824</v>
      </c>
      <c r="J612" s="3" t="n">
        <v>4.46537</v>
      </c>
      <c r="K612" s="3" t="n">
        <v>3.25647</v>
      </c>
      <c r="L612" s="3" t="n"/>
      <c r="M612" s="3" t="inlineStr">
        <is>
          <t>no</t>
        </is>
      </c>
      <c r="N612" s="3" t="inlineStr">
        <is>
          <t>no designado (contraste C4: no hay svar_hd regional)</t>
        </is>
      </c>
      <c r="O612" s="3" t="inlineStr">
        <is>
          <t>CCAA: ranking por c_f·sign(dY) del panel FE (M8); asociacion, sin lectura causal; el factor comun es un resumen de comovimiento (pendiente ~1 mecanica, J23)</t>
        </is>
      </c>
      <c r="P612" s="3" t="inlineStr">
        <is>
          <t>output/v8/F5/regional_ranking.csv</t>
        </is>
      </c>
    </row>
    <row r="613">
      <c r="A613" s="3" t="inlineStr">
        <is>
          <t>compra</t>
        </is>
      </c>
      <c r="B613" s="3" t="inlineStr">
        <is>
          <t>ccaa:02</t>
        </is>
      </c>
      <c r="C613" s="3" t="inlineStr">
        <is>
          <t>P5</t>
        </is>
      </c>
      <c r="D613" s="3" t="inlineStr">
        <is>
          <t>empleo_renta</t>
        </is>
      </c>
      <c r="E613" s="3" t="inlineStr">
        <is>
          <t>regional_panel</t>
        </is>
      </c>
      <c r="F613" s="3" t="inlineStr">
        <is>
          <t>panel_covariables</t>
        </is>
      </c>
      <c r="G613" s="3" t="n">
        <v>0.413467</v>
      </c>
      <c r="H613" s="3" t="n">
        <v>12.6968</v>
      </c>
      <c r="I613" s="3" t="n">
        <v>0.174561</v>
      </c>
      <c r="J613" s="3" t="n">
        <v>0.828376</v>
      </c>
      <c r="K613" s="3" t="n">
        <v>3.25647</v>
      </c>
      <c r="L613" s="3" t="n">
        <v>1</v>
      </c>
      <c r="M613" s="3" t="inlineStr">
        <is>
          <t>si</t>
        </is>
      </c>
      <c r="N613" s="3" t="inlineStr">
        <is>
          <t>no designado (contraste C4: no hay svar_hd regional)</t>
        </is>
      </c>
      <c r="O613" s="3" t="inlineStr">
        <is>
          <t>CCAA: ranking por c_f·sign(dY) del panel FE (M8); asociacion, sin lectura causal; el factor comun es un resumen de comovimiento (pendiente ~1 mecanica, J23)</t>
        </is>
      </c>
      <c r="P613" s="3" t="inlineStr">
        <is>
          <t>output/v8/F5/regional_ranking.csv</t>
        </is>
      </c>
    </row>
    <row r="614">
      <c r="A614" s="3" t="inlineStr">
        <is>
          <t>compra</t>
        </is>
      </c>
      <c r="B614" s="3" t="inlineStr">
        <is>
          <t>ccaa:02</t>
        </is>
      </c>
      <c r="C614" s="3" t="inlineStr">
        <is>
          <t>P5</t>
        </is>
      </c>
      <c r="D614" s="3" t="inlineStr">
        <is>
          <t>demografia</t>
        </is>
      </c>
      <c r="E614" s="3" t="inlineStr">
        <is>
          <t>regional_panel</t>
        </is>
      </c>
      <c r="F614" s="3" t="inlineStr">
        <is>
          <t>panel_covariables</t>
        </is>
      </c>
      <c r="G614" s="3" t="n">
        <v>-0.641742</v>
      </c>
      <c r="H614" s="3" t="n">
        <v>-19.7067</v>
      </c>
      <c r="I614" s="3" t="n">
        <v>-3.17951</v>
      </c>
      <c r="J614" s="3" t="n">
        <v>1.76109</v>
      </c>
      <c r="K614" s="3" t="n">
        <v>3.25647</v>
      </c>
      <c r="L614" s="3" t="n">
        <v>4</v>
      </c>
      <c r="M614" s="3" t="inlineStr">
        <is>
          <t>si</t>
        </is>
      </c>
      <c r="N614" s="3" t="inlineStr">
        <is>
          <t>no designado (contraste C4: no hay svar_hd regional)</t>
        </is>
      </c>
      <c r="O614" s="3" t="inlineStr">
        <is>
          <t>CCAA: ranking por c_f·sign(dY) del panel FE (M8); asociacion, sin lectura causal; el factor comun es un resumen de comovimiento (pendiente ~1 mecanica, J23)</t>
        </is>
      </c>
      <c r="P614" s="3" t="inlineStr">
        <is>
          <t>output/v8/F5/regional_ranking.csv</t>
        </is>
      </c>
    </row>
    <row r="615">
      <c r="A615" s="3" t="inlineStr">
        <is>
          <t>compra</t>
        </is>
      </c>
      <c r="B615" s="3" t="inlineStr">
        <is>
          <t>ccaa:02</t>
        </is>
      </c>
      <c r="C615" s="3" t="inlineStr">
        <is>
          <t>P5</t>
        </is>
      </c>
      <c r="D615" s="3" t="inlineStr">
        <is>
          <t>oferta</t>
        </is>
      </c>
      <c r="E615" s="3" t="inlineStr">
        <is>
          <t>regional_panel</t>
        </is>
      </c>
      <c r="F615" s="3" t="inlineStr">
        <is>
          <t>panel_covariables</t>
        </is>
      </c>
      <c r="G615" s="3" t="n">
        <v>0.000687473</v>
      </c>
      <c r="H615" s="3" t="n">
        <v>0.021111</v>
      </c>
      <c r="I615" s="3" t="n">
        <v>-0.06513389999999999</v>
      </c>
      <c r="J615" s="3" t="n">
        <v>0.120898</v>
      </c>
      <c r="K615" s="3" t="n">
        <v>3.25647</v>
      </c>
      <c r="L615" s="3" t="n">
        <v>2</v>
      </c>
      <c r="M615" s="3" t="inlineStr">
        <is>
          <t>si</t>
        </is>
      </c>
      <c r="N615" s="3" t="inlineStr">
        <is>
          <t>no designado (contraste C4: no hay svar_hd regional)</t>
        </is>
      </c>
      <c r="O615" s="3" t="inlineStr">
        <is>
          <t>CCAA: ranking por c_f·sign(dY) del panel FE (M8); asociacion, sin lectura causal; el factor comun es un resumen de comovimiento (pendiente ~1 mecanica, J23)</t>
        </is>
      </c>
      <c r="P615" s="3" t="inlineStr">
        <is>
          <t>output/v8/F5/regional_ranking.csv</t>
        </is>
      </c>
    </row>
    <row r="616">
      <c r="A616" s="3" t="inlineStr">
        <is>
          <t>compra</t>
        </is>
      </c>
      <c r="B616" s="3" t="inlineStr">
        <is>
          <t>ccaa:02</t>
        </is>
      </c>
      <c r="C616" s="3" t="inlineStr">
        <is>
          <t>P5</t>
        </is>
      </c>
      <c r="D616" s="3" t="inlineStr">
        <is>
          <t>demanda_externa</t>
        </is>
      </c>
      <c r="E616" s="3" t="inlineStr">
        <is>
          <t>regional_panel</t>
        </is>
      </c>
      <c r="F616" s="3" t="inlineStr">
        <is>
          <t>panel_covariables</t>
        </is>
      </c>
      <c r="G616" s="3" t="n">
        <v>-0.00562818</v>
      </c>
      <c r="H616" s="3" t="n">
        <v>-0.17283</v>
      </c>
      <c r="I616" s="3" t="n">
        <v>-0.131934</v>
      </c>
      <c r="J616" s="3" t="n">
        <v>0.079303</v>
      </c>
      <c r="K616" s="3" t="n">
        <v>3.25647</v>
      </c>
      <c r="L616" s="3" t="n">
        <v>3</v>
      </c>
      <c r="M616" s="3" t="inlineStr">
        <is>
          <t>si</t>
        </is>
      </c>
      <c r="N616" s="3" t="inlineStr">
        <is>
          <t>no designado (contraste C4: no hay svar_hd regional)</t>
        </is>
      </c>
      <c r="O616" s="3" t="inlineStr">
        <is>
          <t>CCAA: ranking por c_f·sign(dY) del panel FE (M8); asociacion, sin lectura causal; el factor comun es un resumen de comovimiento (pendiente ~1 mecanica, J23)</t>
        </is>
      </c>
      <c r="P616" s="3" t="inlineStr">
        <is>
          <t>output/v8/F5/regional_ranking.csv</t>
        </is>
      </c>
    </row>
    <row r="617">
      <c r="A617" s="3" t="inlineStr">
        <is>
          <t>compra</t>
        </is>
      </c>
      <c r="B617" s="3" t="inlineStr">
        <is>
          <t>ccaa:02</t>
        </is>
      </c>
      <c r="C617" s="3" t="inlineStr">
        <is>
          <t>P5</t>
        </is>
      </c>
      <c r="D617" s="3" t="inlineStr">
        <is>
          <t>residuo</t>
        </is>
      </c>
      <c r="E617" s="3" t="inlineStr">
        <is>
          <t>regional_panel</t>
        </is>
      </c>
      <c r="F617" s="3" t="inlineStr">
        <is>
          <t>panel_covariables</t>
        </is>
      </c>
      <c r="G617" s="3" t="n">
        <v>1.98754</v>
      </c>
      <c r="H617" s="3" t="n">
        <v>61.0335</v>
      </c>
      <c r="I617" s="3" t="n">
        <v>0.375324</v>
      </c>
      <c r="J617" s="3" t="n">
        <v>3.83754</v>
      </c>
      <c r="K617" s="3" t="n">
        <v>3.25647</v>
      </c>
      <c r="L617" s="3" t="n"/>
      <c r="M617" s="3" t="inlineStr">
        <is>
          <t>no</t>
        </is>
      </c>
      <c r="N617" s="3" t="inlineStr">
        <is>
          <t>no designado (contraste C4: no hay svar_hd regional)</t>
        </is>
      </c>
      <c r="O617" s="3" t="inlineStr">
        <is>
          <t>CCAA: ranking por c_f·sign(dY) del panel FE (M8); asociacion, sin lectura causal; el factor comun es un resumen de comovimiento (pendiente ~1 mecanica, J23)</t>
        </is>
      </c>
      <c r="P617" s="3" t="inlineStr">
        <is>
          <t>output/v8/F5/regional_ranking.csv</t>
        </is>
      </c>
    </row>
    <row r="618">
      <c r="A618" s="3" t="inlineStr">
        <is>
          <t>compra</t>
        </is>
      </c>
      <c r="B618" s="3" t="inlineStr">
        <is>
          <t>ccaa:03</t>
        </is>
      </c>
      <c r="C618" s="3" t="inlineStr">
        <is>
          <t>P1</t>
        </is>
      </c>
      <c r="D618" s="3" t="inlineStr">
        <is>
          <t>factor_comun</t>
        </is>
      </c>
      <c r="E618" s="3" t="inlineStr">
        <is>
          <t>regional_ccaa_ols</t>
        </is>
      </c>
      <c r="F618" s="3" t="inlineStr">
        <is>
          <t>ols_solo_factor</t>
        </is>
      </c>
      <c r="G618" s="3" t="n">
        <v>52.4508</v>
      </c>
      <c r="H618" s="3" t="n">
        <v>81.99509999999999</v>
      </c>
      <c r="I618" s="3" t="n">
        <v>42.6464</v>
      </c>
      <c r="J618" s="3" t="n">
        <v>64.49639999999999</v>
      </c>
      <c r="K618" s="3" t="n">
        <v>63.9682</v>
      </c>
      <c r="L618" s="3" t="n"/>
      <c r="M618" s="3" t="inlineStr">
        <is>
          <t>no</t>
        </is>
      </c>
      <c r="N618" s="3" t="inlineStr">
        <is>
          <t>no designado (contraste C4: no hay svar_hd regional)</t>
        </is>
      </c>
      <c r="O618" s="3" t="inlineStr">
        <is>
          <t>CCAA: ranking por c_f·sign(dY) del panel FE (M8); asociacion, sin lectura causal; el factor comun es un resumen de comovimiento (pendiente ~1 mecanica, J23)</t>
        </is>
      </c>
      <c r="P618" s="3" t="inlineStr">
        <is>
          <t>output/v8/F5/regional_ranking.csv</t>
        </is>
      </c>
    </row>
    <row r="619">
      <c r="A619" s="3" t="inlineStr">
        <is>
          <t>compra</t>
        </is>
      </c>
      <c r="B619" s="3" t="inlineStr">
        <is>
          <t>ccaa:03</t>
        </is>
      </c>
      <c r="C619" s="3" t="inlineStr">
        <is>
          <t>P1</t>
        </is>
      </c>
      <c r="D619" s="3" t="inlineStr">
        <is>
          <t>residuo</t>
        </is>
      </c>
      <c r="E619" s="3" t="inlineStr">
        <is>
          <t>regional_ccaa_ols</t>
        </is>
      </c>
      <c r="F619" s="3" t="inlineStr">
        <is>
          <t>ols_solo_factor</t>
        </is>
      </c>
      <c r="G619" s="3" t="n">
        <v>11.5174</v>
      </c>
      <c r="H619" s="3" t="n">
        <v>18.0049</v>
      </c>
      <c r="I619" s="3" t="n"/>
      <c r="J619" s="3" t="n"/>
      <c r="K619" s="3" t="n">
        <v>63.9682</v>
      </c>
      <c r="L619" s="3" t="n"/>
      <c r="M619" s="3" t="inlineStr">
        <is>
          <t>no</t>
        </is>
      </c>
      <c r="N619" s="3" t="inlineStr">
        <is>
          <t>no designado (contraste C4: no hay svar_hd regional)</t>
        </is>
      </c>
      <c r="O619" s="3" t="inlineStr">
        <is>
          <t>CCAA: ranking por c_f·sign(dY) del panel FE (M8); asociacion, sin lectura causal; el factor comun es un resumen de comovimiento (pendiente ~1 mecanica, J23)</t>
        </is>
      </c>
      <c r="P619" s="3" t="inlineStr">
        <is>
          <t>output/v8/F5/regional_ranking.csv</t>
        </is>
      </c>
    </row>
    <row r="620">
      <c r="A620" s="3" t="inlineStr">
        <is>
          <t>compra</t>
        </is>
      </c>
      <c r="B620" s="3" t="inlineStr">
        <is>
          <t>ccaa:03</t>
        </is>
      </c>
      <c r="C620" s="3" t="inlineStr">
        <is>
          <t>P1</t>
        </is>
      </c>
      <c r="D620" s="3" t="inlineStr">
        <is>
          <t>factor_comun</t>
        </is>
      </c>
      <c r="E620" s="3" t="inlineStr">
        <is>
          <t>regional_panel</t>
        </is>
      </c>
      <c r="F620" s="3" t="inlineStr">
        <is>
          <t>panel_covariables</t>
        </is>
      </c>
      <c r="G620" s="3" t="n">
        <v>74.3853</v>
      </c>
      <c r="H620" s="3" t="n">
        <v>116.285</v>
      </c>
      <c r="I620" s="3" t="n">
        <v>63.2347</v>
      </c>
      <c r="J620" s="3" t="n">
        <v>88.0656</v>
      </c>
      <c r="K620" s="3" t="n">
        <v>63.9682</v>
      </c>
      <c r="L620" s="3" t="n"/>
      <c r="M620" s="3" t="inlineStr">
        <is>
          <t>no</t>
        </is>
      </c>
      <c r="N620" s="3" t="inlineStr">
        <is>
          <t>no designado (contraste C4: no hay svar_hd regional)</t>
        </is>
      </c>
      <c r="O620" s="3" t="inlineStr">
        <is>
          <t>CCAA: ranking por c_f·sign(dY) del panel FE (M8); asociacion, sin lectura causal; el factor comun es un resumen de comovimiento (pendiente ~1 mecanica, J23)</t>
        </is>
      </c>
      <c r="P620" s="3" t="inlineStr">
        <is>
          <t>output/v8/F5/regional_ranking.csv</t>
        </is>
      </c>
    </row>
    <row r="621">
      <c r="A621" s="3" t="inlineStr">
        <is>
          <t>compra</t>
        </is>
      </c>
      <c r="B621" s="3" t="inlineStr">
        <is>
          <t>ccaa:03</t>
        </is>
      </c>
      <c r="C621" s="3" t="inlineStr">
        <is>
          <t>P1</t>
        </is>
      </c>
      <c r="D621" s="3" t="inlineStr">
        <is>
          <t>residuo</t>
        </is>
      </c>
      <c r="E621" s="3" t="inlineStr">
        <is>
          <t>regional_panel</t>
        </is>
      </c>
      <c r="F621" s="3" t="inlineStr">
        <is>
          <t>panel_covariables</t>
        </is>
      </c>
      <c r="G621" s="3" t="n">
        <v>-10.417</v>
      </c>
      <c r="H621" s="3" t="n">
        <v>-16.2847</v>
      </c>
      <c r="I621" s="3" t="n">
        <v>-15.1017</v>
      </c>
      <c r="J621" s="3" t="n">
        <v>-6.02628</v>
      </c>
      <c r="K621" s="3" t="n">
        <v>63.9682</v>
      </c>
      <c r="L621" s="3" t="n"/>
      <c r="M621" s="3" t="inlineStr">
        <is>
          <t>no</t>
        </is>
      </c>
      <c r="N621" s="3" t="inlineStr">
        <is>
          <t>no designado (contraste C4: no hay svar_hd regional)</t>
        </is>
      </c>
      <c r="O621" s="3" t="inlineStr">
        <is>
          <t>CCAA: ranking por c_f·sign(dY) del panel FE (M8); asociacion, sin lectura causal; el factor comun es un resumen de comovimiento (pendiente ~1 mecanica, J23)</t>
        </is>
      </c>
      <c r="P621" s="3" t="inlineStr">
        <is>
          <t>output/v8/F5/regional_ranking.csv</t>
        </is>
      </c>
    </row>
    <row r="622">
      <c r="A622" s="3" t="inlineStr">
        <is>
          <t>compra</t>
        </is>
      </c>
      <c r="B622" s="3" t="inlineStr">
        <is>
          <t>ccaa:03</t>
        </is>
      </c>
      <c r="C622" s="3" t="inlineStr">
        <is>
          <t>P2</t>
        </is>
      </c>
      <c r="D622" s="3" t="inlineStr">
        <is>
          <t>factor_comun</t>
        </is>
      </c>
      <c r="E622" s="3" t="inlineStr">
        <is>
          <t>regional_ccaa_ols</t>
        </is>
      </c>
      <c r="F622" s="3" t="inlineStr">
        <is>
          <t>ols_solo_factor</t>
        </is>
      </c>
      <c r="G622" s="3" t="n">
        <v>-43.4172</v>
      </c>
      <c r="H622" s="3" t="n">
        <v>122.308</v>
      </c>
      <c r="I622" s="3" t="n">
        <v>-53.8182</v>
      </c>
      <c r="J622" s="3" t="n">
        <v>-31.8202</v>
      </c>
      <c r="K622" s="3" t="n">
        <v>-33.877</v>
      </c>
      <c r="L622" s="3" t="n"/>
      <c r="M622" s="3" t="inlineStr">
        <is>
          <t>no</t>
        </is>
      </c>
      <c r="N622" s="3" t="inlineStr">
        <is>
          <t>no designado (contraste C4: no hay svar_hd regional)</t>
        </is>
      </c>
      <c r="O622" s="3" t="inlineStr">
        <is>
          <t>CCAA: ranking por c_f·sign(dY) del panel FE (M8); asociacion, sin lectura causal; el factor comun es un resumen de comovimiento (pendiente ~1 mecanica, J23)</t>
        </is>
      </c>
      <c r="P622" s="3" t="inlineStr">
        <is>
          <t>output/v8/F5/regional_ranking.csv</t>
        </is>
      </c>
    </row>
    <row r="623">
      <c r="A623" s="3" t="inlineStr">
        <is>
          <t>compra</t>
        </is>
      </c>
      <c r="B623" s="3" t="inlineStr">
        <is>
          <t>ccaa:03</t>
        </is>
      </c>
      <c r="C623" s="3" t="inlineStr">
        <is>
          <t>P2</t>
        </is>
      </c>
      <c r="D623" s="3" t="inlineStr">
        <is>
          <t>residuo</t>
        </is>
      </c>
      <c r="E623" s="3" t="inlineStr">
        <is>
          <t>regional_ccaa_ols</t>
        </is>
      </c>
      <c r="F623" s="3" t="inlineStr">
        <is>
          <t>ols_solo_factor</t>
        </is>
      </c>
      <c r="G623" s="3" t="n">
        <v>7.91886</v>
      </c>
      <c r="H623" s="3" t="n">
        <v>-22.3077</v>
      </c>
      <c r="I623" s="3" t="n"/>
      <c r="J623" s="3" t="n"/>
      <c r="K623" s="3" t="n">
        <v>-33.877</v>
      </c>
      <c r="L623" s="3" t="n"/>
      <c r="M623" s="3" t="inlineStr">
        <is>
          <t>no</t>
        </is>
      </c>
      <c r="N623" s="3" t="inlineStr">
        <is>
          <t>no designado (contraste C4: no hay svar_hd regional)</t>
        </is>
      </c>
      <c r="O623" s="3" t="inlineStr">
        <is>
          <t>CCAA: ranking por c_f·sign(dY) del panel FE (M8); asociacion, sin lectura causal; el factor comun es un resumen de comovimiento (pendiente ~1 mecanica, J23)</t>
        </is>
      </c>
      <c r="P623" s="3" t="inlineStr">
        <is>
          <t>output/v8/F5/regional_ranking.csv</t>
        </is>
      </c>
    </row>
    <row r="624">
      <c r="A624" s="3" t="inlineStr">
        <is>
          <t>compra</t>
        </is>
      </c>
      <c r="B624" s="3" t="inlineStr">
        <is>
          <t>ccaa:03</t>
        </is>
      </c>
      <c r="C624" s="3" t="inlineStr">
        <is>
          <t>P2</t>
        </is>
      </c>
      <c r="D624" s="3" t="inlineStr">
        <is>
          <t>factor_comun</t>
        </is>
      </c>
      <c r="E624" s="3" t="inlineStr">
        <is>
          <t>regional_panel</t>
        </is>
      </c>
      <c r="F624" s="3" t="inlineStr">
        <is>
          <t>panel_covariables</t>
        </is>
      </c>
      <c r="G624" s="3" t="n">
        <v>-35.0812</v>
      </c>
      <c r="H624" s="3" t="n">
        <v>103.554</v>
      </c>
      <c r="I624" s="3" t="n">
        <v>-41.5124</v>
      </c>
      <c r="J624" s="3" t="n">
        <v>-30.6884</v>
      </c>
      <c r="K624" s="3" t="n">
        <v>-33.877</v>
      </c>
      <c r="L624" s="3" t="n"/>
      <c r="M624" s="3" t="inlineStr">
        <is>
          <t>no</t>
        </is>
      </c>
      <c r="N624" s="3" t="inlineStr">
        <is>
          <t>no designado (contraste C4: no hay svar_hd regional)</t>
        </is>
      </c>
      <c r="O624" s="3" t="inlineStr">
        <is>
          <t>CCAA: ranking por c_f·sign(dY) del panel FE (M8); asociacion, sin lectura causal; el factor comun es un resumen de comovimiento (pendiente ~1 mecanica, J23)</t>
        </is>
      </c>
      <c r="P624" s="3" t="inlineStr">
        <is>
          <t>output/v8/F5/regional_ranking.csv</t>
        </is>
      </c>
    </row>
    <row r="625">
      <c r="A625" s="3" t="inlineStr">
        <is>
          <t>compra</t>
        </is>
      </c>
      <c r="B625" s="3" t="inlineStr">
        <is>
          <t>ccaa:03</t>
        </is>
      </c>
      <c r="C625" s="3" t="inlineStr">
        <is>
          <t>P2</t>
        </is>
      </c>
      <c r="D625" s="3" t="inlineStr">
        <is>
          <t>empleo_renta</t>
        </is>
      </c>
      <c r="E625" s="3" t="inlineStr">
        <is>
          <t>regional_panel</t>
        </is>
      </c>
      <c r="F625" s="3" t="inlineStr">
        <is>
          <t>panel_covariables</t>
        </is>
      </c>
      <c r="G625" s="3" t="n">
        <v>-1.27921</v>
      </c>
      <c r="H625" s="3" t="n">
        <v>3.77604</v>
      </c>
      <c r="I625" s="3" t="n">
        <v>-2.85146</v>
      </c>
      <c r="J625" s="3" t="n">
        <v>0.174951</v>
      </c>
      <c r="K625" s="3" t="n">
        <v>-33.877</v>
      </c>
      <c r="L625" s="3" t="n">
        <v>1</v>
      </c>
      <c r="M625" s="3" t="inlineStr">
        <is>
          <t>si</t>
        </is>
      </c>
      <c r="N625" s="3" t="inlineStr">
        <is>
          <t>no designado (contraste C4: no hay svar_hd regional)</t>
        </is>
      </c>
      <c r="O625" s="3" t="inlineStr">
        <is>
          <t>CCAA: ranking por c_f·sign(dY) del panel FE (M8); asociacion, sin lectura causal; el factor comun es un resumen de comovimiento (pendiente ~1 mecanica, J23)</t>
        </is>
      </c>
      <c r="P625" s="3" t="inlineStr">
        <is>
          <t>output/v8/F5/regional_ranking.csv</t>
        </is>
      </c>
    </row>
    <row r="626">
      <c r="A626" s="3" t="inlineStr">
        <is>
          <t>compra</t>
        </is>
      </c>
      <c r="B626" s="3" t="inlineStr">
        <is>
          <t>ccaa:03</t>
        </is>
      </c>
      <c r="C626" s="3" t="inlineStr">
        <is>
          <t>P2</t>
        </is>
      </c>
      <c r="D626" s="3" t="inlineStr">
        <is>
          <t>demografia</t>
        </is>
      </c>
      <c r="E626" s="3" t="inlineStr">
        <is>
          <t>regional_panel</t>
        </is>
      </c>
      <c r="F626" s="3" t="inlineStr">
        <is>
          <t>panel_covariables</t>
        </is>
      </c>
      <c r="G626" s="3" t="n">
        <v>-1.02382</v>
      </c>
      <c r="H626" s="3" t="n">
        <v>3.02217</v>
      </c>
      <c r="I626" s="3" t="n">
        <v>-6.70071</v>
      </c>
      <c r="J626" s="3" t="n">
        <v>0.330022</v>
      </c>
      <c r="K626" s="3" t="n">
        <v>-33.877</v>
      </c>
      <c r="L626" s="3" t="n">
        <v>2</v>
      </c>
      <c r="M626" s="3" t="inlineStr">
        <is>
          <t>si</t>
        </is>
      </c>
      <c r="N626" s="3" t="inlineStr">
        <is>
          <t>no designado (contraste C4: no hay svar_hd regional)</t>
        </is>
      </c>
      <c r="O626" s="3" t="inlineStr">
        <is>
          <t>CCAA: ranking por c_f·sign(dY) del panel FE (M8); asociacion, sin lectura causal; el factor comun es un resumen de comovimiento (pendiente ~1 mecanica, J23)</t>
        </is>
      </c>
      <c r="P626" s="3" t="inlineStr">
        <is>
          <t>output/v8/F5/regional_ranking.csv</t>
        </is>
      </c>
    </row>
    <row r="627">
      <c r="A627" s="3" t="inlineStr">
        <is>
          <t>compra</t>
        </is>
      </c>
      <c r="B627" s="3" t="inlineStr">
        <is>
          <t>ccaa:03</t>
        </is>
      </c>
      <c r="C627" s="3" t="inlineStr">
        <is>
          <t>P2</t>
        </is>
      </c>
      <c r="D627" s="3" t="inlineStr">
        <is>
          <t>oferta</t>
        </is>
      </c>
      <c r="E627" s="3" t="inlineStr">
        <is>
          <t>regional_panel</t>
        </is>
      </c>
      <c r="F627" s="3" t="inlineStr">
        <is>
          <t>panel_covariables</t>
        </is>
      </c>
      <c r="G627" s="3" t="n">
        <v>-0.0874965</v>
      </c>
      <c r="H627" s="3" t="n">
        <v>0.258277</v>
      </c>
      <c r="I627" s="3" t="n">
        <v>-0.732142</v>
      </c>
      <c r="J627" s="3" t="n">
        <v>0.507548</v>
      </c>
      <c r="K627" s="3" t="n">
        <v>-33.877</v>
      </c>
      <c r="L627" s="3" t="n">
        <v>3</v>
      </c>
      <c r="M627" s="3" t="inlineStr">
        <is>
          <t>si</t>
        </is>
      </c>
      <c r="N627" s="3" t="inlineStr">
        <is>
          <t>no designado (contraste C4: no hay svar_hd regional)</t>
        </is>
      </c>
      <c r="O627" s="3" t="inlineStr">
        <is>
          <t>CCAA: ranking por c_f·sign(dY) del panel FE (M8); asociacion, sin lectura causal; el factor comun es un resumen de comovimiento (pendiente ~1 mecanica, J23)</t>
        </is>
      </c>
      <c r="P627" s="3" t="inlineStr">
        <is>
          <t>output/v8/F5/regional_ranking.csv</t>
        </is>
      </c>
    </row>
    <row r="628">
      <c r="A628" s="3" t="inlineStr">
        <is>
          <t>compra</t>
        </is>
      </c>
      <c r="B628" s="3" t="inlineStr">
        <is>
          <t>ccaa:03</t>
        </is>
      </c>
      <c r="C628" s="3" t="inlineStr">
        <is>
          <t>P2</t>
        </is>
      </c>
      <c r="D628" s="3" t="inlineStr">
        <is>
          <t>demanda_externa</t>
        </is>
      </c>
      <c r="E628" s="3" t="inlineStr">
        <is>
          <t>regional_panel</t>
        </is>
      </c>
      <c r="F628" s="3" t="inlineStr">
        <is>
          <t>panel_covariables</t>
        </is>
      </c>
      <c r="G628" s="3" t="n">
        <v>0.368744</v>
      </c>
      <c r="H628" s="3" t="n">
        <v>-1.08848</v>
      </c>
      <c r="I628" s="3" t="n">
        <v>-0.338281</v>
      </c>
      <c r="J628" s="3" t="n">
        <v>2.11455</v>
      </c>
      <c r="K628" s="3" t="n">
        <v>-33.877</v>
      </c>
      <c r="L628" s="3" t="n">
        <v>4</v>
      </c>
      <c r="M628" s="3" t="inlineStr">
        <is>
          <t>si</t>
        </is>
      </c>
      <c r="N628" s="3" t="inlineStr">
        <is>
          <t>no designado (contraste C4: no hay svar_hd regional)</t>
        </is>
      </c>
      <c r="O628" s="3" t="inlineStr">
        <is>
          <t>CCAA: ranking por c_f·sign(dY) del panel FE (M8); asociacion, sin lectura causal; el factor comun es un resumen de comovimiento (pendiente ~1 mecanica, J23)</t>
        </is>
      </c>
      <c r="P628" s="3" t="inlineStr">
        <is>
          <t>output/v8/F5/regional_ranking.csv</t>
        </is>
      </c>
    </row>
    <row r="629">
      <c r="A629" s="3" t="inlineStr">
        <is>
          <t>compra</t>
        </is>
      </c>
      <c r="B629" s="3" t="inlineStr">
        <is>
          <t>ccaa:03</t>
        </is>
      </c>
      <c r="C629" s="3" t="inlineStr">
        <is>
          <t>P2</t>
        </is>
      </c>
      <c r="D629" s="3" t="inlineStr">
        <is>
          <t>residuo</t>
        </is>
      </c>
      <c r="E629" s="3" t="inlineStr">
        <is>
          <t>regional_panel</t>
        </is>
      </c>
      <c r="F629" s="3" t="inlineStr">
        <is>
          <t>panel_covariables</t>
        </is>
      </c>
      <c r="G629" s="3" t="n">
        <v>3.22593</v>
      </c>
      <c r="H629" s="3" t="n">
        <v>-9.52247</v>
      </c>
      <c r="I629" s="3" t="n">
        <v>-2.62554</v>
      </c>
      <c r="J629" s="3" t="n">
        <v>14.5428</v>
      </c>
      <c r="K629" s="3" t="n">
        <v>-33.877</v>
      </c>
      <c r="L629" s="3" t="n"/>
      <c r="M629" s="3" t="inlineStr">
        <is>
          <t>no</t>
        </is>
      </c>
      <c r="N629" s="3" t="inlineStr">
        <is>
          <t>no designado (contraste C4: no hay svar_hd regional)</t>
        </is>
      </c>
      <c r="O629" s="3" t="inlineStr">
        <is>
          <t>CCAA: ranking por c_f·sign(dY) del panel FE (M8); asociacion, sin lectura causal; el factor comun es un resumen de comovimiento (pendiente ~1 mecanica, J23)</t>
        </is>
      </c>
      <c r="P629" s="3" t="inlineStr">
        <is>
          <t>output/v8/F5/regional_ranking.csv</t>
        </is>
      </c>
    </row>
    <row r="630">
      <c r="A630" s="3" t="inlineStr">
        <is>
          <t>compra</t>
        </is>
      </c>
      <c r="B630" s="3" t="inlineStr">
        <is>
          <t>ccaa:03</t>
        </is>
      </c>
      <c r="C630" s="3" t="inlineStr">
        <is>
          <t>P3</t>
        </is>
      </c>
      <c r="D630" s="3" t="inlineStr">
        <is>
          <t>factor_comun</t>
        </is>
      </c>
      <c r="E630" s="3" t="inlineStr">
        <is>
          <t>regional_ccaa_ols</t>
        </is>
      </c>
      <c r="F630" s="3" t="inlineStr">
        <is>
          <t>ols_solo_factor</t>
        </is>
      </c>
      <c r="G630" s="3" t="n">
        <v>-0.421801</v>
      </c>
      <c r="H630" s="3" t="n">
        <v>4.02184</v>
      </c>
      <c r="I630" s="3" t="n">
        <v>-3.03113</v>
      </c>
      <c r="J630" s="3" t="n">
        <v>3.01768</v>
      </c>
      <c r="K630" s="3" t="n">
        <v>-9.84318</v>
      </c>
      <c r="L630" s="3" t="n"/>
      <c r="M630" s="3" t="inlineStr">
        <is>
          <t>no</t>
        </is>
      </c>
      <c r="N630" s="3" t="inlineStr">
        <is>
          <t>no designado (contraste C4: no hay svar_hd regional)</t>
        </is>
      </c>
      <c r="O630" s="3" t="inlineStr">
        <is>
          <t>CCAA: ranking por c_f·sign(dY) del panel FE (M8); asociacion, sin lectura causal; el factor comun es un resumen de comovimiento (pendiente ~1 mecanica, J23)</t>
        </is>
      </c>
      <c r="P630" s="3" t="inlineStr">
        <is>
          <t>output/v8/F5/regional_ranking.csv</t>
        </is>
      </c>
    </row>
    <row r="631">
      <c r="A631" s="3" t="inlineStr">
        <is>
          <t>compra</t>
        </is>
      </c>
      <c r="B631" s="3" t="inlineStr">
        <is>
          <t>ccaa:03</t>
        </is>
      </c>
      <c r="C631" s="3" t="inlineStr">
        <is>
          <t>P3</t>
        </is>
      </c>
      <c r="D631" s="3" t="inlineStr">
        <is>
          <t>residuo</t>
        </is>
      </c>
      <c r="E631" s="3" t="inlineStr">
        <is>
          <t>regional_ccaa_ols</t>
        </is>
      </c>
      <c r="F631" s="3" t="inlineStr">
        <is>
          <t>ols_solo_factor</t>
        </is>
      </c>
      <c r="G631" s="3" t="n">
        <v>-10.066</v>
      </c>
      <c r="H631" s="3" t="n">
        <v>95.9782</v>
      </c>
      <c r="I631" s="3" t="n"/>
      <c r="J631" s="3" t="n"/>
      <c r="K631" s="3" t="n">
        <v>-9.84318</v>
      </c>
      <c r="L631" s="3" t="n"/>
      <c r="M631" s="3" t="inlineStr">
        <is>
          <t>no</t>
        </is>
      </c>
      <c r="N631" s="3" t="inlineStr">
        <is>
          <t>no designado (contraste C4: no hay svar_hd regional)</t>
        </is>
      </c>
      <c r="O631" s="3" t="inlineStr">
        <is>
          <t>CCAA: ranking por c_f·sign(dY) del panel FE (M8); asociacion, sin lectura causal; el factor comun es un resumen de comovimiento (pendiente ~1 mecanica, J23)</t>
        </is>
      </c>
      <c r="P631" s="3" t="inlineStr">
        <is>
          <t>output/v8/F5/regional_ranking.csv</t>
        </is>
      </c>
    </row>
    <row r="632">
      <c r="A632" s="3" t="inlineStr">
        <is>
          <t>compra</t>
        </is>
      </c>
      <c r="B632" s="3" t="inlineStr">
        <is>
          <t>ccaa:03</t>
        </is>
      </c>
      <c r="C632" s="3" t="inlineStr">
        <is>
          <t>P3</t>
        </is>
      </c>
      <c r="D632" s="3" t="inlineStr">
        <is>
          <t>factor_comun</t>
        </is>
      </c>
      <c r="E632" s="3" t="inlineStr">
        <is>
          <t>regional_panel</t>
        </is>
      </c>
      <c r="F632" s="3" t="inlineStr">
        <is>
          <t>panel_covariables</t>
        </is>
      </c>
      <c r="G632" s="3" t="n">
        <v>-0.548472</v>
      </c>
      <c r="H632" s="3" t="n">
        <v>5.57211</v>
      </c>
      <c r="I632" s="3" t="n">
        <v>-3.50001</v>
      </c>
      <c r="J632" s="3" t="n">
        <v>2.45383</v>
      </c>
      <c r="K632" s="3" t="n">
        <v>-9.84318</v>
      </c>
      <c r="L632" s="3" t="n"/>
      <c r="M632" s="3" t="inlineStr">
        <is>
          <t>no</t>
        </is>
      </c>
      <c r="N632" s="3" t="inlineStr">
        <is>
          <t>no designado (contraste C4: no hay svar_hd regional)</t>
        </is>
      </c>
      <c r="O632" s="3" t="inlineStr">
        <is>
          <t>CCAA: ranking por c_f·sign(dY) del panel FE (M8); asociacion, sin lectura causal; el factor comun es un resumen de comovimiento (pendiente ~1 mecanica, J23)</t>
        </is>
      </c>
      <c r="P632" s="3" t="inlineStr">
        <is>
          <t>output/v8/F5/regional_ranking.csv</t>
        </is>
      </c>
    </row>
    <row r="633">
      <c r="A633" s="3" t="inlineStr">
        <is>
          <t>compra</t>
        </is>
      </c>
      <c r="B633" s="3" t="inlineStr">
        <is>
          <t>ccaa:03</t>
        </is>
      </c>
      <c r="C633" s="3" t="inlineStr">
        <is>
          <t>P3</t>
        </is>
      </c>
      <c r="D633" s="3" t="inlineStr">
        <is>
          <t>empleo_renta</t>
        </is>
      </c>
      <c r="E633" s="3" t="inlineStr">
        <is>
          <t>regional_panel</t>
        </is>
      </c>
      <c r="F633" s="3" t="inlineStr">
        <is>
          <t>panel_covariables</t>
        </is>
      </c>
      <c r="G633" s="3" t="n">
        <v>0.34378</v>
      </c>
      <c r="H633" s="3" t="n">
        <v>-3.49257</v>
      </c>
      <c r="I633" s="3" t="n">
        <v>-0.431825</v>
      </c>
      <c r="J633" s="3" t="n">
        <v>1.14083</v>
      </c>
      <c r="K633" s="3" t="n">
        <v>-9.84318</v>
      </c>
      <c r="L633" s="3" t="n">
        <v>3</v>
      </c>
      <c r="M633" s="3" t="inlineStr">
        <is>
          <t>si</t>
        </is>
      </c>
      <c r="N633" s="3" t="inlineStr">
        <is>
          <t>no designado (contraste C4: no hay svar_hd regional)</t>
        </is>
      </c>
      <c r="O633" s="3" t="inlineStr">
        <is>
          <t>CCAA: ranking por c_f·sign(dY) del panel FE (M8); asociacion, sin lectura causal; el factor comun es un resumen de comovimiento (pendiente ~1 mecanica, J23)</t>
        </is>
      </c>
      <c r="P633" s="3" t="inlineStr">
        <is>
          <t>output/v8/F5/regional_ranking.csv</t>
        </is>
      </c>
    </row>
    <row r="634">
      <c r="A634" s="3" t="inlineStr">
        <is>
          <t>compra</t>
        </is>
      </c>
      <c r="B634" s="3" t="inlineStr">
        <is>
          <t>ccaa:03</t>
        </is>
      </c>
      <c r="C634" s="3" t="inlineStr">
        <is>
          <t>P3</t>
        </is>
      </c>
      <c r="D634" s="3" t="inlineStr">
        <is>
          <t>demografia</t>
        </is>
      </c>
      <c r="E634" s="3" t="inlineStr">
        <is>
          <t>regional_panel</t>
        </is>
      </c>
      <c r="F634" s="3" t="inlineStr">
        <is>
          <t>panel_covariables</t>
        </is>
      </c>
      <c r="G634" s="3" t="n">
        <v>-3.75236</v>
      </c>
      <c r="H634" s="3" t="n">
        <v>38.1215</v>
      </c>
      <c r="I634" s="3" t="n">
        <v>-5.95424</v>
      </c>
      <c r="J634" s="3" t="n">
        <v>-2.33152</v>
      </c>
      <c r="K634" s="3" t="n">
        <v>-9.84318</v>
      </c>
      <c r="L634" s="3" t="n">
        <v>1</v>
      </c>
      <c r="M634" s="3" t="inlineStr">
        <is>
          <t>si</t>
        </is>
      </c>
      <c r="N634" s="3" t="inlineStr">
        <is>
          <t>no designado (contraste C4: no hay svar_hd regional)</t>
        </is>
      </c>
      <c r="O634" s="3" t="inlineStr">
        <is>
          <t>CCAA: ranking por c_f·sign(dY) del panel FE (M8); asociacion, sin lectura causal; el factor comun es un resumen de comovimiento (pendiente ~1 mecanica, J23)</t>
        </is>
      </c>
      <c r="P634" s="3" t="inlineStr">
        <is>
          <t>output/v8/F5/regional_ranking.csv</t>
        </is>
      </c>
    </row>
    <row r="635">
      <c r="A635" s="3" t="inlineStr">
        <is>
          <t>compra</t>
        </is>
      </c>
      <c r="B635" s="3" t="inlineStr">
        <is>
          <t>ccaa:03</t>
        </is>
      </c>
      <c r="C635" s="3" t="inlineStr">
        <is>
          <t>P3</t>
        </is>
      </c>
      <c r="D635" s="3" t="inlineStr">
        <is>
          <t>oferta</t>
        </is>
      </c>
      <c r="E635" s="3" t="inlineStr">
        <is>
          <t>regional_panel</t>
        </is>
      </c>
      <c r="F635" s="3" t="inlineStr">
        <is>
          <t>panel_covariables</t>
        </is>
      </c>
      <c r="G635" s="3" t="n">
        <v>-0.630321</v>
      </c>
      <c r="H635" s="3" t="n">
        <v>6.40363</v>
      </c>
      <c r="I635" s="3" t="n">
        <v>-1.38424</v>
      </c>
      <c r="J635" s="3" t="n">
        <v>0.021649</v>
      </c>
      <c r="K635" s="3" t="n">
        <v>-9.84318</v>
      </c>
      <c r="L635" s="3" t="n">
        <v>2</v>
      </c>
      <c r="M635" s="3" t="inlineStr">
        <is>
          <t>si</t>
        </is>
      </c>
      <c r="N635" s="3" t="inlineStr">
        <is>
          <t>no designado (contraste C4: no hay svar_hd regional)</t>
        </is>
      </c>
      <c r="O635" s="3" t="inlineStr">
        <is>
          <t>CCAA: ranking por c_f·sign(dY) del panel FE (M8); asociacion, sin lectura causal; el factor comun es un resumen de comovimiento (pendiente ~1 mecanica, J23)</t>
        </is>
      </c>
      <c r="P635" s="3" t="inlineStr">
        <is>
          <t>output/v8/F5/regional_ranking.csv</t>
        </is>
      </c>
    </row>
    <row r="636">
      <c r="A636" s="3" t="inlineStr">
        <is>
          <t>compra</t>
        </is>
      </c>
      <c r="B636" s="3" t="inlineStr">
        <is>
          <t>ccaa:03</t>
        </is>
      </c>
      <c r="C636" s="3" t="inlineStr">
        <is>
          <t>P3</t>
        </is>
      </c>
      <c r="D636" s="3" t="inlineStr">
        <is>
          <t>demanda_externa</t>
        </is>
      </c>
      <c r="E636" s="3" t="inlineStr">
        <is>
          <t>regional_panel</t>
        </is>
      </c>
      <c r="F636" s="3" t="inlineStr">
        <is>
          <t>panel_covariables</t>
        </is>
      </c>
      <c r="G636" s="3" t="n">
        <v>1.18655</v>
      </c>
      <c r="H636" s="3" t="n">
        <v>-12.0546</v>
      </c>
      <c r="I636" s="3" t="n">
        <v>0.507261</v>
      </c>
      <c r="J636" s="3" t="n">
        <v>1.77598</v>
      </c>
      <c r="K636" s="3" t="n">
        <v>-9.84318</v>
      </c>
      <c r="L636" s="3" t="n">
        <v>4</v>
      </c>
      <c r="M636" s="3" t="inlineStr">
        <is>
          <t>si</t>
        </is>
      </c>
      <c r="N636" s="3" t="inlineStr">
        <is>
          <t>no designado (contraste C4: no hay svar_hd regional)</t>
        </is>
      </c>
      <c r="O636" s="3" t="inlineStr">
        <is>
          <t>CCAA: ranking por c_f·sign(dY) del panel FE (M8); asociacion, sin lectura causal; el factor comun es un resumen de comovimiento (pendiente ~1 mecanica, J23)</t>
        </is>
      </c>
      <c r="P636" s="3" t="inlineStr">
        <is>
          <t>output/v8/F5/regional_ranking.csv</t>
        </is>
      </c>
    </row>
    <row r="637">
      <c r="A637" s="3" t="inlineStr">
        <is>
          <t>compra</t>
        </is>
      </c>
      <c r="B637" s="3" t="inlineStr">
        <is>
          <t>ccaa:03</t>
        </is>
      </c>
      <c r="C637" s="3" t="inlineStr">
        <is>
          <t>P3</t>
        </is>
      </c>
      <c r="D637" s="3" t="inlineStr">
        <is>
          <t>residuo</t>
        </is>
      </c>
      <c r="E637" s="3" t="inlineStr">
        <is>
          <t>regional_panel</t>
        </is>
      </c>
      <c r="F637" s="3" t="inlineStr">
        <is>
          <t>panel_covariables</t>
        </is>
      </c>
      <c r="G637" s="3" t="n">
        <v>-6.44236</v>
      </c>
      <c r="H637" s="3" t="n">
        <v>65.45</v>
      </c>
      <c r="I637" s="3" t="n">
        <v>-8.532</v>
      </c>
      <c r="J637" s="3" t="n">
        <v>-3.25115</v>
      </c>
      <c r="K637" s="3" t="n">
        <v>-9.84318</v>
      </c>
      <c r="L637" s="3" t="n"/>
      <c r="M637" s="3" t="inlineStr">
        <is>
          <t>no</t>
        </is>
      </c>
      <c r="N637" s="3" t="inlineStr">
        <is>
          <t>no designado (contraste C4: no hay svar_hd regional)</t>
        </is>
      </c>
      <c r="O637" s="3" t="inlineStr">
        <is>
          <t>CCAA: ranking por c_f·sign(dY) del panel FE (M8); asociacion, sin lectura causal; el factor comun es un resumen de comovimiento (pendiente ~1 mecanica, J23)</t>
        </is>
      </c>
      <c r="P637" s="3" t="inlineStr">
        <is>
          <t>output/v8/F5/regional_ranking.csv</t>
        </is>
      </c>
    </row>
    <row r="638">
      <c r="A638" s="3" t="inlineStr">
        <is>
          <t>compra</t>
        </is>
      </c>
      <c r="B638" s="3" t="inlineStr">
        <is>
          <t>ccaa:03</t>
        </is>
      </c>
      <c r="C638" s="3" t="inlineStr">
        <is>
          <t>P4</t>
        </is>
      </c>
      <c r="D638" s="3" t="inlineStr">
        <is>
          <t>factor_comun</t>
        </is>
      </c>
      <c r="E638" s="3" t="inlineStr">
        <is>
          <t>regional_ccaa_ols</t>
        </is>
      </c>
      <c r="F638" s="3" t="inlineStr">
        <is>
          <t>ols_solo_factor</t>
        </is>
      </c>
      <c r="G638" s="3" t="n">
        <v>-6.10929</v>
      </c>
      <c r="H638" s="3" t="n">
        <v>126.616</v>
      </c>
      <c r="I638" s="3" t="n">
        <v>-7.72506</v>
      </c>
      <c r="J638" s="3" t="n">
        <v>-2.00766</v>
      </c>
      <c r="K638" s="3" t="n">
        <v>-4.82504</v>
      </c>
      <c r="L638" s="3" t="n"/>
      <c r="M638" s="3" t="inlineStr">
        <is>
          <t>no</t>
        </is>
      </c>
      <c r="N638" s="3" t="inlineStr">
        <is>
          <t>no designado (contraste C4: no hay svar_hd regional)</t>
        </is>
      </c>
      <c r="O638" s="3" t="inlineStr">
        <is>
          <t>CCAA: ranking por c_f·sign(dY) del panel FE (M8); asociacion, sin lectura causal; el factor comun es un resumen de comovimiento (pendiente ~1 mecanica, J23)</t>
        </is>
      </c>
      <c r="P638" s="3" t="inlineStr">
        <is>
          <t>output/v8/F5/regional_ranking.csv</t>
        </is>
      </c>
    </row>
    <row r="639">
      <c r="A639" s="3" t="inlineStr">
        <is>
          <t>compra</t>
        </is>
      </c>
      <c r="B639" s="3" t="inlineStr">
        <is>
          <t>ccaa:03</t>
        </is>
      </c>
      <c r="C639" s="3" t="inlineStr">
        <is>
          <t>P4</t>
        </is>
      </c>
      <c r="D639" s="3" t="inlineStr">
        <is>
          <t>residuo</t>
        </is>
      </c>
      <c r="E639" s="3" t="inlineStr">
        <is>
          <t>regional_ccaa_ols</t>
        </is>
      </c>
      <c r="F639" s="3" t="inlineStr">
        <is>
          <t>ols_solo_factor</t>
        </is>
      </c>
      <c r="G639" s="3" t="n">
        <v>1.28425</v>
      </c>
      <c r="H639" s="3" t="n">
        <v>-26.6163</v>
      </c>
      <c r="I639" s="3" t="n"/>
      <c r="J639" s="3" t="n"/>
      <c r="K639" s="3" t="n">
        <v>-4.82504</v>
      </c>
      <c r="L639" s="3" t="n"/>
      <c r="M639" s="3" t="inlineStr">
        <is>
          <t>no</t>
        </is>
      </c>
      <c r="N639" s="3" t="inlineStr">
        <is>
          <t>no designado (contraste C4: no hay svar_hd regional)</t>
        </is>
      </c>
      <c r="O639" s="3" t="inlineStr">
        <is>
          <t>CCAA: ranking por c_f·sign(dY) del panel FE (M8); asociacion, sin lectura causal; el factor comun es un resumen de comovimiento (pendiente ~1 mecanica, J23)</t>
        </is>
      </c>
      <c r="P639" s="3" t="inlineStr">
        <is>
          <t>output/v8/F5/regional_ranking.csv</t>
        </is>
      </c>
    </row>
    <row r="640">
      <c r="A640" s="3" t="inlineStr">
        <is>
          <t>compra</t>
        </is>
      </c>
      <c r="B640" s="3" t="inlineStr">
        <is>
          <t>ccaa:03</t>
        </is>
      </c>
      <c r="C640" s="3" t="inlineStr">
        <is>
          <t>P4</t>
        </is>
      </c>
      <c r="D640" s="3" t="inlineStr">
        <is>
          <t>factor_comun</t>
        </is>
      </c>
      <c r="E640" s="3" t="inlineStr">
        <is>
          <t>regional_panel</t>
        </is>
      </c>
      <c r="F640" s="3" t="inlineStr">
        <is>
          <t>panel_covariables</t>
        </is>
      </c>
      <c r="G640" s="3" t="n">
        <v>-4.21608</v>
      </c>
      <c r="H640" s="3" t="n">
        <v>87.3792</v>
      </c>
      <c r="I640" s="3" t="n">
        <v>-5.07352</v>
      </c>
      <c r="J640" s="3" t="n">
        <v>-2.674</v>
      </c>
      <c r="K640" s="3" t="n">
        <v>-4.82504</v>
      </c>
      <c r="L640" s="3" t="n"/>
      <c r="M640" s="3" t="inlineStr">
        <is>
          <t>no</t>
        </is>
      </c>
      <c r="N640" s="3" t="inlineStr">
        <is>
          <t>no designado (contraste C4: no hay svar_hd regional)</t>
        </is>
      </c>
      <c r="O640" s="3" t="inlineStr">
        <is>
          <t>CCAA: ranking por c_f·sign(dY) del panel FE (M8); asociacion, sin lectura causal; el factor comun es un resumen de comovimiento (pendiente ~1 mecanica, J23)</t>
        </is>
      </c>
      <c r="P640" s="3" t="inlineStr">
        <is>
          <t>output/v8/F5/regional_ranking.csv</t>
        </is>
      </c>
    </row>
    <row r="641">
      <c r="A641" s="3" t="inlineStr">
        <is>
          <t>compra</t>
        </is>
      </c>
      <c r="B641" s="3" t="inlineStr">
        <is>
          <t>ccaa:03</t>
        </is>
      </c>
      <c r="C641" s="3" t="inlineStr">
        <is>
          <t>P4</t>
        </is>
      </c>
      <c r="D641" s="3" t="inlineStr">
        <is>
          <t>empleo_renta</t>
        </is>
      </c>
      <c r="E641" s="3" t="inlineStr">
        <is>
          <t>regional_panel</t>
        </is>
      </c>
      <c r="F641" s="3" t="inlineStr">
        <is>
          <t>panel_covariables</t>
        </is>
      </c>
      <c r="G641" s="3" t="n">
        <v>0.746288</v>
      </c>
      <c r="H641" s="3" t="n">
        <v>-15.467</v>
      </c>
      <c r="I641" s="3" t="n">
        <v>0.305661</v>
      </c>
      <c r="J641" s="3" t="n">
        <v>0.904524</v>
      </c>
      <c r="K641" s="3" t="n">
        <v>-4.82504</v>
      </c>
      <c r="L641" s="3" t="n">
        <v>3</v>
      </c>
      <c r="M641" s="3" t="inlineStr">
        <is>
          <t>si</t>
        </is>
      </c>
      <c r="N641" s="3" t="inlineStr">
        <is>
          <t>no designado (contraste C4: no hay svar_hd regional)</t>
        </is>
      </c>
      <c r="O641" s="3" t="inlineStr">
        <is>
          <t>CCAA: ranking por c_f·sign(dY) del panel FE (M8); asociacion, sin lectura causal; el factor comun es un resumen de comovimiento (pendiente ~1 mecanica, J23)</t>
        </is>
      </c>
      <c r="P641" s="3" t="inlineStr">
        <is>
          <t>output/v8/F5/regional_ranking.csv</t>
        </is>
      </c>
    </row>
    <row r="642">
      <c r="A642" s="3" t="inlineStr">
        <is>
          <t>compra</t>
        </is>
      </c>
      <c r="B642" s="3" t="inlineStr">
        <is>
          <t>ccaa:03</t>
        </is>
      </c>
      <c r="C642" s="3" t="inlineStr">
        <is>
          <t>P4</t>
        </is>
      </c>
      <c r="D642" s="3" t="inlineStr">
        <is>
          <t>demografia</t>
        </is>
      </c>
      <c r="E642" s="3" t="inlineStr">
        <is>
          <t>regional_panel</t>
        </is>
      </c>
      <c r="F642" s="3" t="inlineStr">
        <is>
          <t>panel_covariables</t>
        </is>
      </c>
      <c r="G642" s="3" t="n">
        <v>4.14468</v>
      </c>
      <c r="H642" s="3" t="n">
        <v>-85.8994</v>
      </c>
      <c r="I642" s="3" t="n">
        <v>0.118387</v>
      </c>
      <c r="J642" s="3" t="n">
        <v>7.74673</v>
      </c>
      <c r="K642" s="3" t="n">
        <v>-4.82504</v>
      </c>
      <c r="L642" s="3" t="n">
        <v>4</v>
      </c>
      <c r="M642" s="3" t="inlineStr">
        <is>
          <t>si</t>
        </is>
      </c>
      <c r="N642" s="3" t="inlineStr">
        <is>
          <t>no designado (contraste C4: no hay svar_hd regional)</t>
        </is>
      </c>
      <c r="O642" s="3" t="inlineStr">
        <is>
          <t>CCAA: ranking por c_f·sign(dY) del panel FE (M8); asociacion, sin lectura causal; el factor comun es un resumen de comovimiento (pendiente ~1 mecanica, J23)</t>
        </is>
      </c>
      <c r="P642" s="3" t="inlineStr">
        <is>
          <t>output/v8/F5/regional_ranking.csv</t>
        </is>
      </c>
    </row>
    <row r="643">
      <c r="A643" s="3" t="inlineStr">
        <is>
          <t>compra</t>
        </is>
      </c>
      <c r="B643" s="3" t="inlineStr">
        <is>
          <t>ccaa:03</t>
        </is>
      </c>
      <c r="C643" s="3" t="inlineStr">
        <is>
          <t>P4</t>
        </is>
      </c>
      <c r="D643" s="3" t="inlineStr">
        <is>
          <t>oferta</t>
        </is>
      </c>
      <c r="E643" s="3" t="inlineStr">
        <is>
          <t>regional_panel</t>
        </is>
      </c>
      <c r="F643" s="3" t="inlineStr">
        <is>
          <t>panel_covariables</t>
        </is>
      </c>
      <c r="G643" s="3" t="n">
        <v>0.0927849</v>
      </c>
      <c r="H643" s="3" t="n">
        <v>-1.92299</v>
      </c>
      <c r="I643" s="3" t="n">
        <v>0.00694383</v>
      </c>
      <c r="J643" s="3" t="n">
        <v>0.204985</v>
      </c>
      <c r="K643" s="3" t="n">
        <v>-4.82504</v>
      </c>
      <c r="L643" s="3" t="n">
        <v>1</v>
      </c>
      <c r="M643" s="3" t="inlineStr">
        <is>
          <t>si</t>
        </is>
      </c>
      <c r="N643" s="3" t="inlineStr">
        <is>
          <t>no designado (contraste C4: no hay svar_hd regional)</t>
        </is>
      </c>
      <c r="O643" s="3" t="inlineStr">
        <is>
          <t>CCAA: ranking por c_f·sign(dY) del panel FE (M8); asociacion, sin lectura causal; el factor comun es un resumen de comovimiento (pendiente ~1 mecanica, J23)</t>
        </is>
      </c>
      <c r="P643" s="3" t="inlineStr">
        <is>
          <t>output/v8/F5/regional_ranking.csv</t>
        </is>
      </c>
    </row>
    <row r="644">
      <c r="A644" s="3" t="inlineStr">
        <is>
          <t>compra</t>
        </is>
      </c>
      <c r="B644" s="3" t="inlineStr">
        <is>
          <t>ccaa:03</t>
        </is>
      </c>
      <c r="C644" s="3" t="inlineStr">
        <is>
          <t>P4</t>
        </is>
      </c>
      <c r="D644" s="3" t="inlineStr">
        <is>
          <t>demanda_externa</t>
        </is>
      </c>
      <c r="E644" s="3" t="inlineStr">
        <is>
          <t>regional_panel</t>
        </is>
      </c>
      <c r="F644" s="3" t="inlineStr">
        <is>
          <t>panel_covariables</t>
        </is>
      </c>
      <c r="G644" s="3" t="n">
        <v>0.204123</v>
      </c>
      <c r="H644" s="3" t="n">
        <v>-4.23048</v>
      </c>
      <c r="I644" s="3" t="n">
        <v>-0.06721630000000001</v>
      </c>
      <c r="J644" s="3" t="n">
        <v>0.36442</v>
      </c>
      <c r="K644" s="3" t="n">
        <v>-4.82504</v>
      </c>
      <c r="L644" s="3" t="n">
        <v>2</v>
      </c>
      <c r="M644" s="3" t="inlineStr">
        <is>
          <t>si</t>
        </is>
      </c>
      <c r="N644" s="3" t="inlineStr">
        <is>
          <t>no designado (contraste C4: no hay svar_hd regional)</t>
        </is>
      </c>
      <c r="O644" s="3" t="inlineStr">
        <is>
          <t>CCAA: ranking por c_f·sign(dY) del panel FE (M8); asociacion, sin lectura causal; el factor comun es un resumen de comovimiento (pendiente ~1 mecanica, J23)</t>
        </is>
      </c>
      <c r="P644" s="3" t="inlineStr">
        <is>
          <t>output/v8/F5/regional_ranking.csv</t>
        </is>
      </c>
    </row>
    <row r="645">
      <c r="A645" s="3" t="inlineStr">
        <is>
          <t>compra</t>
        </is>
      </c>
      <c r="B645" s="3" t="inlineStr">
        <is>
          <t>ccaa:03</t>
        </is>
      </c>
      <c r="C645" s="3" t="inlineStr">
        <is>
          <t>P4</t>
        </is>
      </c>
      <c r="D645" s="3" t="inlineStr">
        <is>
          <t>residuo</t>
        </is>
      </c>
      <c r="E645" s="3" t="inlineStr">
        <is>
          <t>regional_panel</t>
        </is>
      </c>
      <c r="F645" s="3" t="inlineStr">
        <is>
          <t>panel_covariables</t>
        </is>
      </c>
      <c r="G645" s="3" t="n">
        <v>-5.79683</v>
      </c>
      <c r="H645" s="3" t="n">
        <v>120.141</v>
      </c>
      <c r="I645" s="3" t="n">
        <v>-9.7583</v>
      </c>
      <c r="J645" s="3" t="n">
        <v>-0.735409</v>
      </c>
      <c r="K645" s="3" t="n">
        <v>-4.82504</v>
      </c>
      <c r="L645" s="3" t="n"/>
      <c r="M645" s="3" t="inlineStr">
        <is>
          <t>no</t>
        </is>
      </c>
      <c r="N645" s="3" t="inlineStr">
        <is>
          <t>no designado (contraste C4: no hay svar_hd regional)</t>
        </is>
      </c>
      <c r="O645" s="3" t="inlineStr">
        <is>
          <t>CCAA: ranking por c_f·sign(dY) del panel FE (M8); asociacion, sin lectura causal; el factor comun es un resumen de comovimiento (pendiente ~1 mecanica, J23)</t>
        </is>
      </c>
      <c r="P645" s="3" t="inlineStr">
        <is>
          <t>output/v8/F5/regional_ranking.csv</t>
        </is>
      </c>
    </row>
    <row r="646">
      <c r="A646" s="3" t="inlineStr">
        <is>
          <t>compra</t>
        </is>
      </c>
      <c r="B646" s="3" t="inlineStr">
        <is>
          <t>ccaa:03</t>
        </is>
      </c>
      <c r="C646" s="3" t="inlineStr">
        <is>
          <t>P5</t>
        </is>
      </c>
      <c r="D646" s="3" t="inlineStr">
        <is>
          <t>factor_comun</t>
        </is>
      </c>
      <c r="E646" s="3" t="inlineStr">
        <is>
          <t>regional_ccaa_ols</t>
        </is>
      </c>
      <c r="F646" s="3" t="inlineStr">
        <is>
          <t>ols_solo_factor</t>
        </is>
      </c>
      <c r="G646" s="3" t="n">
        <v>13.2699</v>
      </c>
      <c r="H646" s="3" t="n">
        <v>122.208</v>
      </c>
      <c r="I646" s="3" t="n">
        <v>4.96336</v>
      </c>
      <c r="J646" s="3" t="n">
        <v>21.4906</v>
      </c>
      <c r="K646" s="3" t="n">
        <v>0.526116</v>
      </c>
      <c r="L646" s="3" t="n"/>
      <c r="M646" s="3" t="inlineStr">
        <is>
          <t>no</t>
        </is>
      </c>
      <c r="N646" s="3" t="inlineStr">
        <is>
          <t>no designado (contraste C4: no hay svar_hd regional)</t>
        </is>
      </c>
      <c r="O646" s="3" t="inlineStr">
        <is>
          <t>CCAA: ranking por c_f·sign(dY) del panel FE (M8); asociacion, sin lectura causal; el factor comun es un resumen de comovimiento (pendiente ~1 mecanica, J23)</t>
        </is>
      </c>
      <c r="P646" s="3" t="inlineStr">
        <is>
          <t>output/v8/F5/regional_ranking.csv</t>
        </is>
      </c>
    </row>
    <row r="647">
      <c r="A647" s="3" t="inlineStr">
        <is>
          <t>compra</t>
        </is>
      </c>
      <c r="B647" s="3" t="inlineStr">
        <is>
          <t>ccaa:03</t>
        </is>
      </c>
      <c r="C647" s="3" t="inlineStr">
        <is>
          <t>P5</t>
        </is>
      </c>
      <c r="D647" s="3" t="inlineStr">
        <is>
          <t>residuo</t>
        </is>
      </c>
      <c r="E647" s="3" t="inlineStr">
        <is>
          <t>regional_ccaa_ols</t>
        </is>
      </c>
      <c r="F647" s="3" t="inlineStr">
        <is>
          <t>ols_solo_factor</t>
        </is>
      </c>
      <c r="G647" s="3" t="n">
        <v>-2.41143</v>
      </c>
      <c r="H647" s="3" t="n">
        <v>-22.2079</v>
      </c>
      <c r="I647" s="3" t="n"/>
      <c r="J647" s="3" t="n"/>
      <c r="K647" s="3" t="n">
        <v>0.526116</v>
      </c>
      <c r="L647" s="3" t="n"/>
      <c r="M647" s="3" t="inlineStr">
        <is>
          <t>no</t>
        </is>
      </c>
      <c r="N647" s="3" t="inlineStr">
        <is>
          <t>no designado (contraste C4: no hay svar_hd regional)</t>
        </is>
      </c>
      <c r="O647" s="3" t="inlineStr">
        <is>
          <t>CCAA: ranking por c_f·sign(dY) del panel FE (M8); asociacion, sin lectura causal; el factor comun es un resumen de comovimiento (pendiente ~1 mecanica, J23)</t>
        </is>
      </c>
      <c r="P647" s="3" t="inlineStr">
        <is>
          <t>output/v8/F5/regional_ranking.csv</t>
        </is>
      </c>
    </row>
    <row r="648">
      <c r="A648" s="3" t="inlineStr">
        <is>
          <t>compra</t>
        </is>
      </c>
      <c r="B648" s="3" t="inlineStr">
        <is>
          <t>ccaa:03</t>
        </is>
      </c>
      <c r="C648" s="3" t="inlineStr">
        <is>
          <t>P5</t>
        </is>
      </c>
      <c r="D648" s="3" t="inlineStr">
        <is>
          <t>factor_comun</t>
        </is>
      </c>
      <c r="E648" s="3" t="inlineStr">
        <is>
          <t>regional_panel</t>
        </is>
      </c>
      <c r="F648" s="3" t="inlineStr">
        <is>
          <t>panel_covariables</t>
        </is>
      </c>
      <c r="G648" s="3" t="n">
        <v>1.50215</v>
      </c>
      <c r="H648" s="3" t="n">
        <v>285.517</v>
      </c>
      <c r="I648" s="3" t="n">
        <v>-1.20824</v>
      </c>
      <c r="J648" s="3" t="n">
        <v>4.46537</v>
      </c>
      <c r="K648" s="3" t="n">
        <v>0.526116</v>
      </c>
      <c r="L648" s="3" t="n"/>
      <c r="M648" s="3" t="inlineStr">
        <is>
          <t>no</t>
        </is>
      </c>
      <c r="N648" s="3" t="inlineStr">
        <is>
          <t>no designado (contraste C4: no hay svar_hd regional)</t>
        </is>
      </c>
      <c r="O648" s="3" t="inlineStr">
        <is>
          <t>CCAA: ranking por c_f·sign(dY) del panel FE (M8); asociacion, sin lectura causal; el factor comun es un resumen de comovimiento (pendiente ~1 mecanica, J23)</t>
        </is>
      </c>
      <c r="P648" s="3" t="inlineStr">
        <is>
          <t>output/v8/F5/regional_ranking.csv</t>
        </is>
      </c>
    </row>
    <row r="649">
      <c r="A649" s="3" t="inlineStr">
        <is>
          <t>compra</t>
        </is>
      </c>
      <c r="B649" s="3" t="inlineStr">
        <is>
          <t>ccaa:03</t>
        </is>
      </c>
      <c r="C649" s="3" t="inlineStr">
        <is>
          <t>P5</t>
        </is>
      </c>
      <c r="D649" s="3" t="inlineStr">
        <is>
          <t>empleo_renta</t>
        </is>
      </c>
      <c r="E649" s="3" t="inlineStr">
        <is>
          <t>regional_panel</t>
        </is>
      </c>
      <c r="F649" s="3" t="inlineStr">
        <is>
          <t>panel_covariables</t>
        </is>
      </c>
      <c r="G649" s="3" t="n">
        <v>1.0944</v>
      </c>
      <c r="H649" s="3" t="n">
        <v>208.015</v>
      </c>
      <c r="I649" s="3" t="n">
        <v>0.704526</v>
      </c>
      <c r="J649" s="3" t="n">
        <v>2.37118</v>
      </c>
      <c r="K649" s="3" t="n">
        <v>0.526116</v>
      </c>
      <c r="L649" s="3" t="n">
        <v>1</v>
      </c>
      <c r="M649" s="3" t="inlineStr">
        <is>
          <t>si</t>
        </is>
      </c>
      <c r="N649" s="3" t="inlineStr">
        <is>
          <t>no designado (contraste C4: no hay svar_hd regional)</t>
        </is>
      </c>
      <c r="O649" s="3" t="inlineStr">
        <is>
          <t>CCAA: ranking por c_f·sign(dY) del panel FE (M8); asociacion, sin lectura causal; el factor comun es un resumen de comovimiento (pendiente ~1 mecanica, J23)</t>
        </is>
      </c>
      <c r="P649" s="3" t="inlineStr">
        <is>
          <t>output/v8/F5/regional_ranking.csv</t>
        </is>
      </c>
    </row>
    <row r="650">
      <c r="A650" s="3" t="inlineStr">
        <is>
          <t>compra</t>
        </is>
      </c>
      <c r="B650" s="3" t="inlineStr">
        <is>
          <t>ccaa:03</t>
        </is>
      </c>
      <c r="C650" s="3" t="inlineStr">
        <is>
          <t>P5</t>
        </is>
      </c>
      <c r="D650" s="3" t="inlineStr">
        <is>
          <t>demografia</t>
        </is>
      </c>
      <c r="E650" s="3" t="inlineStr">
        <is>
          <t>regional_panel</t>
        </is>
      </c>
      <c r="F650" s="3" t="inlineStr">
        <is>
          <t>panel_covariables</t>
        </is>
      </c>
      <c r="G650" s="3" t="n">
        <v>-1.0916</v>
      </c>
      <c r="H650" s="3" t="n">
        <v>-207.484</v>
      </c>
      <c r="I650" s="3" t="n">
        <v>-2.71593</v>
      </c>
      <c r="J650" s="3" t="n">
        <v>2.00277</v>
      </c>
      <c r="K650" s="3" t="n">
        <v>0.526116</v>
      </c>
      <c r="L650" s="3" t="n">
        <v>4</v>
      </c>
      <c r="M650" s="3" t="inlineStr">
        <is>
          <t>si</t>
        </is>
      </c>
      <c r="N650" s="3" t="inlineStr">
        <is>
          <t>no designado (contraste C4: no hay svar_hd regional)</t>
        </is>
      </c>
      <c r="O650" s="3" t="inlineStr">
        <is>
          <t>CCAA: ranking por c_f·sign(dY) del panel FE (M8); asociacion, sin lectura causal; el factor comun es un resumen de comovimiento (pendiente ~1 mecanica, J23)</t>
        </is>
      </c>
      <c r="P650" s="3" t="inlineStr">
        <is>
          <t>output/v8/F5/regional_ranking.csv</t>
        </is>
      </c>
    </row>
    <row r="651">
      <c r="A651" s="3" t="inlineStr">
        <is>
          <t>compra</t>
        </is>
      </c>
      <c r="B651" s="3" t="inlineStr">
        <is>
          <t>ccaa:03</t>
        </is>
      </c>
      <c r="C651" s="3" t="inlineStr">
        <is>
          <t>P5</t>
        </is>
      </c>
      <c r="D651" s="3" t="inlineStr">
        <is>
          <t>oferta</t>
        </is>
      </c>
      <c r="E651" s="3" t="inlineStr">
        <is>
          <t>regional_panel</t>
        </is>
      </c>
      <c r="F651" s="3" t="inlineStr">
        <is>
          <t>panel_covariables</t>
        </is>
      </c>
      <c r="G651" s="3" t="n">
        <v>-0.000127879</v>
      </c>
      <c r="H651" s="3" t="n">
        <v>-0.0243062</v>
      </c>
      <c r="I651" s="3" t="n">
        <v>-0.11364</v>
      </c>
      <c r="J651" s="3" t="n">
        <v>0.0153897</v>
      </c>
      <c r="K651" s="3" t="n">
        <v>0.526116</v>
      </c>
      <c r="L651" s="3" t="n">
        <v>2</v>
      </c>
      <c r="M651" s="3" t="inlineStr">
        <is>
          <t>si</t>
        </is>
      </c>
      <c r="N651" s="3" t="inlineStr">
        <is>
          <t>no designado (contraste C4: no hay svar_hd regional)</t>
        </is>
      </c>
      <c r="O651" s="3" t="inlineStr">
        <is>
          <t>CCAA: ranking por c_f·sign(dY) del panel FE (M8); asociacion, sin lectura causal; el factor comun es un resumen de comovimiento (pendiente ~1 mecanica, J23)</t>
        </is>
      </c>
      <c r="P651" s="3" t="inlineStr">
        <is>
          <t>output/v8/F5/regional_ranking.csv</t>
        </is>
      </c>
    </row>
    <row r="652">
      <c r="A652" s="3" t="inlineStr">
        <is>
          <t>compra</t>
        </is>
      </c>
      <c r="B652" s="3" t="inlineStr">
        <is>
          <t>ccaa:03</t>
        </is>
      </c>
      <c r="C652" s="3" t="inlineStr">
        <is>
          <t>P5</t>
        </is>
      </c>
      <c r="D652" s="3" t="inlineStr">
        <is>
          <t>demanda_externa</t>
        </is>
      </c>
      <c r="E652" s="3" t="inlineStr">
        <is>
          <t>regional_panel</t>
        </is>
      </c>
      <c r="F652" s="3" t="inlineStr">
        <is>
          <t>panel_covariables</t>
        </is>
      </c>
      <c r="G652" s="3" t="n">
        <v>-0.0757326</v>
      </c>
      <c r="H652" s="3" t="n">
        <v>-14.3947</v>
      </c>
      <c r="I652" s="3" t="n">
        <v>-0.978306</v>
      </c>
      <c r="J652" s="3" t="n">
        <v>0.983681</v>
      </c>
      <c r="K652" s="3" t="n">
        <v>0.526116</v>
      </c>
      <c r="L652" s="3" t="n">
        <v>3</v>
      </c>
      <c r="M652" s="3" t="inlineStr">
        <is>
          <t>si</t>
        </is>
      </c>
      <c r="N652" s="3" t="inlineStr">
        <is>
          <t>no designado (contraste C4: no hay svar_hd regional)</t>
        </is>
      </c>
      <c r="O652" s="3" t="inlineStr">
        <is>
          <t>CCAA: ranking por c_f·sign(dY) del panel FE (M8); asociacion, sin lectura causal; el factor comun es un resumen de comovimiento (pendiente ~1 mecanica, J23)</t>
        </is>
      </c>
      <c r="P652" s="3" t="inlineStr">
        <is>
          <t>output/v8/F5/regional_ranking.csv</t>
        </is>
      </c>
    </row>
    <row r="653">
      <c r="A653" s="3" t="inlineStr">
        <is>
          <t>compra</t>
        </is>
      </c>
      <c r="B653" s="3" t="inlineStr">
        <is>
          <t>ccaa:03</t>
        </is>
      </c>
      <c r="C653" s="3" t="inlineStr">
        <is>
          <t>P5</t>
        </is>
      </c>
      <c r="D653" s="3" t="inlineStr">
        <is>
          <t>residuo</t>
        </is>
      </c>
      <c r="E653" s="3" t="inlineStr">
        <is>
          <t>regional_panel</t>
        </is>
      </c>
      <c r="F653" s="3" t="inlineStr">
        <is>
          <t>panel_covariables</t>
        </is>
      </c>
      <c r="G653" s="3" t="n">
        <v>-0.902969</v>
      </c>
      <c r="H653" s="3" t="n">
        <v>-171.629</v>
      </c>
      <c r="I653" s="3" t="n">
        <v>-5.42317</v>
      </c>
      <c r="J653" s="3" t="n">
        <v>1.75814</v>
      </c>
      <c r="K653" s="3" t="n">
        <v>0.526116</v>
      </c>
      <c r="L653" s="3" t="n"/>
      <c r="M653" s="3" t="inlineStr">
        <is>
          <t>no</t>
        </is>
      </c>
      <c r="N653" s="3" t="inlineStr">
        <is>
          <t>no designado (contraste C4: no hay svar_hd regional)</t>
        </is>
      </c>
      <c r="O653" s="3" t="inlineStr">
        <is>
          <t>CCAA: ranking por c_f·sign(dY) del panel FE (M8); asociacion, sin lectura causal; el factor comun es un resumen de comovimiento (pendiente ~1 mecanica, J23)</t>
        </is>
      </c>
      <c r="P653" s="3" t="inlineStr">
        <is>
          <t>output/v8/F5/regional_ranking.csv</t>
        </is>
      </c>
    </row>
    <row r="654">
      <c r="A654" s="3" t="inlineStr">
        <is>
          <t>compra</t>
        </is>
      </c>
      <c r="B654" s="3" t="inlineStr">
        <is>
          <t>ccaa:04</t>
        </is>
      </c>
      <c r="C654" s="3" t="inlineStr">
        <is>
          <t>P1</t>
        </is>
      </c>
      <c r="D654" s="3" t="inlineStr">
        <is>
          <t>factor_comun</t>
        </is>
      </c>
      <c r="E654" s="3" t="inlineStr">
        <is>
          <t>regional_ccaa_ols</t>
        </is>
      </c>
      <c r="F654" s="3" t="inlineStr">
        <is>
          <t>ols_solo_factor</t>
        </is>
      </c>
      <c r="G654" s="3" t="n">
        <v>60.7974</v>
      </c>
      <c r="H654" s="3" t="n">
        <v>58.4293</v>
      </c>
      <c r="I654" s="3" t="n">
        <v>36.5633</v>
      </c>
      <c r="J654" s="3" t="n">
        <v>75.9943</v>
      </c>
      <c r="K654" s="3" t="n">
        <v>104.053</v>
      </c>
      <c r="L654" s="3" t="n"/>
      <c r="M654" s="3" t="inlineStr">
        <is>
          <t>no</t>
        </is>
      </c>
      <c r="N654" s="3" t="inlineStr">
        <is>
          <t>no designado (contraste C4: no hay svar_hd regional)</t>
        </is>
      </c>
      <c r="O654" s="3" t="inlineStr">
        <is>
          <t>CCAA: ranking por c_f·sign(dY) del panel FE (M8); asociacion, sin lectura causal; el factor comun es un resumen de comovimiento (pendiente ~1 mecanica, J23)</t>
        </is>
      </c>
      <c r="P654" s="3" t="inlineStr">
        <is>
          <t>output/v8/F5/regional_ranking.csv</t>
        </is>
      </c>
    </row>
    <row r="655">
      <c r="A655" s="3" t="inlineStr">
        <is>
          <t>compra</t>
        </is>
      </c>
      <c r="B655" s="3" t="inlineStr">
        <is>
          <t>ccaa:04</t>
        </is>
      </c>
      <c r="C655" s="3" t="inlineStr">
        <is>
          <t>P1</t>
        </is>
      </c>
      <c r="D655" s="3" t="inlineStr">
        <is>
          <t>residuo</t>
        </is>
      </c>
      <c r="E655" s="3" t="inlineStr">
        <is>
          <t>regional_ccaa_ols</t>
        </is>
      </c>
      <c r="F655" s="3" t="inlineStr">
        <is>
          <t>ols_solo_factor</t>
        </is>
      </c>
      <c r="G655" s="3" t="n">
        <v>43.2556</v>
      </c>
      <c r="H655" s="3" t="n">
        <v>41.5707</v>
      </c>
      <c r="I655" s="3" t="n"/>
      <c r="J655" s="3" t="n"/>
      <c r="K655" s="3" t="n">
        <v>104.053</v>
      </c>
      <c r="L655" s="3" t="n"/>
      <c r="M655" s="3" t="inlineStr">
        <is>
          <t>no</t>
        </is>
      </c>
      <c r="N655" s="3" t="inlineStr">
        <is>
          <t>no designado (contraste C4: no hay svar_hd regional)</t>
        </is>
      </c>
      <c r="O655" s="3" t="inlineStr">
        <is>
          <t>CCAA: ranking por c_f·sign(dY) del panel FE (M8); asociacion, sin lectura causal; el factor comun es un resumen de comovimiento (pendiente ~1 mecanica, J23)</t>
        </is>
      </c>
      <c r="P655" s="3" t="inlineStr">
        <is>
          <t>output/v8/F5/regional_ranking.csv</t>
        </is>
      </c>
    </row>
    <row r="656">
      <c r="A656" s="3" t="inlineStr">
        <is>
          <t>compra</t>
        </is>
      </c>
      <c r="B656" s="3" t="inlineStr">
        <is>
          <t>ccaa:04</t>
        </is>
      </c>
      <c r="C656" s="3" t="inlineStr">
        <is>
          <t>P1</t>
        </is>
      </c>
      <c r="D656" s="3" t="inlineStr">
        <is>
          <t>factor_comun</t>
        </is>
      </c>
      <c r="E656" s="3" t="inlineStr">
        <is>
          <t>regional_panel</t>
        </is>
      </c>
      <c r="F656" s="3" t="inlineStr">
        <is>
          <t>panel_covariables</t>
        </is>
      </c>
      <c r="G656" s="3" t="n">
        <v>74.3853</v>
      </c>
      <c r="H656" s="3" t="n">
        <v>71.4879</v>
      </c>
      <c r="I656" s="3" t="n">
        <v>63.2347</v>
      </c>
      <c r="J656" s="3" t="n">
        <v>88.0656</v>
      </c>
      <c r="K656" s="3" t="n">
        <v>104.053</v>
      </c>
      <c r="L656" s="3" t="n"/>
      <c r="M656" s="3" t="inlineStr">
        <is>
          <t>no</t>
        </is>
      </c>
      <c r="N656" s="3" t="inlineStr">
        <is>
          <t>no designado (contraste C4: no hay svar_hd regional)</t>
        </is>
      </c>
      <c r="O656" s="3" t="inlineStr">
        <is>
          <t>CCAA: ranking por c_f·sign(dY) del panel FE (M8); asociacion, sin lectura causal; el factor comun es un resumen de comovimiento (pendiente ~1 mecanica, J23)</t>
        </is>
      </c>
      <c r="P656" s="3" t="inlineStr">
        <is>
          <t>output/v8/F5/regional_ranking.csv</t>
        </is>
      </c>
    </row>
    <row r="657">
      <c r="A657" s="3" t="inlineStr">
        <is>
          <t>compra</t>
        </is>
      </c>
      <c r="B657" s="3" t="inlineStr">
        <is>
          <t>ccaa:04</t>
        </is>
      </c>
      <c r="C657" s="3" t="inlineStr">
        <is>
          <t>P1</t>
        </is>
      </c>
      <c r="D657" s="3" t="inlineStr">
        <is>
          <t>residuo</t>
        </is>
      </c>
      <c r="E657" s="3" t="inlineStr">
        <is>
          <t>regional_panel</t>
        </is>
      </c>
      <c r="F657" s="3" t="inlineStr">
        <is>
          <t>panel_covariables</t>
        </is>
      </c>
      <c r="G657" s="3" t="n">
        <v>29.6677</v>
      </c>
      <c r="H657" s="3" t="n">
        <v>28.5121</v>
      </c>
      <c r="I657" s="3" t="n">
        <v>13.2574</v>
      </c>
      <c r="J657" s="3" t="n">
        <v>44.6167</v>
      </c>
      <c r="K657" s="3" t="n">
        <v>104.053</v>
      </c>
      <c r="L657" s="3" t="n"/>
      <c r="M657" s="3" t="inlineStr">
        <is>
          <t>no</t>
        </is>
      </c>
      <c r="N657" s="3" t="inlineStr">
        <is>
          <t>no designado (contraste C4: no hay svar_hd regional)</t>
        </is>
      </c>
      <c r="O657" s="3" t="inlineStr">
        <is>
          <t>CCAA: ranking por c_f·sign(dY) del panel FE (M8); asociacion, sin lectura causal; el factor comun es un resumen de comovimiento (pendiente ~1 mecanica, J23)</t>
        </is>
      </c>
      <c r="P657" s="3" t="inlineStr">
        <is>
          <t>output/v8/F5/regional_ranking.csv</t>
        </is>
      </c>
    </row>
    <row r="658">
      <c r="A658" s="3" t="inlineStr">
        <is>
          <t>compra</t>
        </is>
      </c>
      <c r="B658" s="3" t="inlineStr">
        <is>
          <t>ccaa:04</t>
        </is>
      </c>
      <c r="C658" s="3" t="inlineStr">
        <is>
          <t>P2</t>
        </is>
      </c>
      <c r="D658" s="3" t="inlineStr">
        <is>
          <t>factor_comun</t>
        </is>
      </c>
      <c r="E658" s="3" t="inlineStr">
        <is>
          <t>regional_ccaa_ols</t>
        </is>
      </c>
      <c r="F658" s="3" t="inlineStr">
        <is>
          <t>ols_solo_factor</t>
        </is>
      </c>
      <c r="G658" s="3" t="n">
        <v>-33.1477</v>
      </c>
      <c r="H658" s="3" t="n">
        <v>91.60339999999999</v>
      </c>
      <c r="I658" s="3" t="n">
        <v>-49.0133</v>
      </c>
      <c r="J658" s="3" t="n">
        <v>-20.3844</v>
      </c>
      <c r="K658" s="3" t="n">
        <v>-34.4842</v>
      </c>
      <c r="L658" s="3" t="n"/>
      <c r="M658" s="3" t="inlineStr">
        <is>
          <t>no</t>
        </is>
      </c>
      <c r="N658" s="3" t="inlineStr">
        <is>
          <t>no designado (contraste C4: no hay svar_hd regional)</t>
        </is>
      </c>
      <c r="O658" s="3" t="inlineStr">
        <is>
          <t>CCAA: ranking por c_f·sign(dY) del panel FE (M8); asociacion, sin lectura causal; el factor comun es un resumen de comovimiento (pendiente ~1 mecanica, J23)</t>
        </is>
      </c>
      <c r="P658" s="3" t="inlineStr">
        <is>
          <t>output/v8/F5/regional_ranking.csv</t>
        </is>
      </c>
    </row>
    <row r="659">
      <c r="A659" s="3" t="inlineStr">
        <is>
          <t>compra</t>
        </is>
      </c>
      <c r="B659" s="3" t="inlineStr">
        <is>
          <t>ccaa:04</t>
        </is>
      </c>
      <c r="C659" s="3" t="inlineStr">
        <is>
          <t>P2</t>
        </is>
      </c>
      <c r="D659" s="3" t="inlineStr">
        <is>
          <t>residuo</t>
        </is>
      </c>
      <c r="E659" s="3" t="inlineStr">
        <is>
          <t>regional_ccaa_ols</t>
        </is>
      </c>
      <c r="F659" s="3" t="inlineStr">
        <is>
          <t>ols_solo_factor</t>
        </is>
      </c>
      <c r="G659" s="3" t="n">
        <v>-3.03841</v>
      </c>
      <c r="H659" s="3" t="n">
        <v>8.39662</v>
      </c>
      <c r="I659" s="3" t="n"/>
      <c r="J659" s="3" t="n"/>
      <c r="K659" s="3" t="n">
        <v>-34.4842</v>
      </c>
      <c r="L659" s="3" t="n"/>
      <c r="M659" s="3" t="inlineStr">
        <is>
          <t>no</t>
        </is>
      </c>
      <c r="N659" s="3" t="inlineStr">
        <is>
          <t>no designado (contraste C4: no hay svar_hd regional)</t>
        </is>
      </c>
      <c r="O659" s="3" t="inlineStr">
        <is>
          <t>CCAA: ranking por c_f·sign(dY) del panel FE (M8); asociacion, sin lectura causal; el factor comun es un resumen de comovimiento (pendiente ~1 mecanica, J23)</t>
        </is>
      </c>
      <c r="P659" s="3" t="inlineStr">
        <is>
          <t>output/v8/F5/regional_ranking.csv</t>
        </is>
      </c>
    </row>
    <row r="660">
      <c r="A660" s="3" t="inlineStr">
        <is>
          <t>compra</t>
        </is>
      </c>
      <c r="B660" s="3" t="inlineStr">
        <is>
          <t>ccaa:04</t>
        </is>
      </c>
      <c r="C660" s="3" t="inlineStr">
        <is>
          <t>P2</t>
        </is>
      </c>
      <c r="D660" s="3" t="inlineStr">
        <is>
          <t>factor_comun</t>
        </is>
      </c>
      <c r="E660" s="3" t="inlineStr">
        <is>
          <t>regional_panel</t>
        </is>
      </c>
      <c r="F660" s="3" t="inlineStr">
        <is>
          <t>panel_covariables</t>
        </is>
      </c>
      <c r="G660" s="3" t="n">
        <v>-35.0812</v>
      </c>
      <c r="H660" s="3" t="n">
        <v>101.731</v>
      </c>
      <c r="I660" s="3" t="n">
        <v>-41.5124</v>
      </c>
      <c r="J660" s="3" t="n">
        <v>-30.6884</v>
      </c>
      <c r="K660" s="3" t="n">
        <v>-34.4842</v>
      </c>
      <c r="L660" s="3" t="n"/>
      <c r="M660" s="3" t="inlineStr">
        <is>
          <t>no</t>
        </is>
      </c>
      <c r="N660" s="3" t="inlineStr">
        <is>
          <t>no designado (contraste C4: no hay svar_hd regional)</t>
        </is>
      </c>
      <c r="O660" s="3" t="inlineStr">
        <is>
          <t>CCAA: ranking por c_f·sign(dY) del panel FE (M8); asociacion, sin lectura causal; el factor comun es un resumen de comovimiento (pendiente ~1 mecanica, J23)</t>
        </is>
      </c>
      <c r="P660" s="3" t="inlineStr">
        <is>
          <t>output/v8/F5/regional_ranking.csv</t>
        </is>
      </c>
    </row>
    <row r="661">
      <c r="A661" s="3" t="inlineStr">
        <is>
          <t>compra</t>
        </is>
      </c>
      <c r="B661" s="3" t="inlineStr">
        <is>
          <t>ccaa:04</t>
        </is>
      </c>
      <c r="C661" s="3" t="inlineStr">
        <is>
          <t>P2</t>
        </is>
      </c>
      <c r="D661" s="3" t="inlineStr">
        <is>
          <t>empleo_renta</t>
        </is>
      </c>
      <c r="E661" s="3" t="inlineStr">
        <is>
          <t>regional_panel</t>
        </is>
      </c>
      <c r="F661" s="3" t="inlineStr">
        <is>
          <t>panel_covariables</t>
        </is>
      </c>
      <c r="G661" s="3" t="n">
        <v>-2.32479</v>
      </c>
      <c r="H661" s="3" t="n">
        <v>6.7416</v>
      </c>
      <c r="I661" s="3" t="n">
        <v>-3.93642</v>
      </c>
      <c r="J661" s="3" t="n">
        <v>-0.239266</v>
      </c>
      <c r="K661" s="3" t="n">
        <v>-34.4842</v>
      </c>
      <c r="L661" s="3" t="n">
        <v>1</v>
      </c>
      <c r="M661" s="3" t="inlineStr">
        <is>
          <t>si</t>
        </is>
      </c>
      <c r="N661" s="3" t="inlineStr">
        <is>
          <t>no designado (contraste C4: no hay svar_hd regional)</t>
        </is>
      </c>
      <c r="O661" s="3" t="inlineStr">
        <is>
          <t>CCAA: ranking por c_f·sign(dY) del panel FE (M8); asociacion, sin lectura causal; el factor comun es un resumen de comovimiento (pendiente ~1 mecanica, J23)</t>
        </is>
      </c>
      <c r="P661" s="3" t="inlineStr">
        <is>
          <t>output/v8/F5/regional_ranking.csv</t>
        </is>
      </c>
    </row>
    <row r="662">
      <c r="A662" s="3" t="inlineStr">
        <is>
          <t>compra</t>
        </is>
      </c>
      <c r="B662" s="3" t="inlineStr">
        <is>
          <t>ccaa:04</t>
        </is>
      </c>
      <c r="C662" s="3" t="inlineStr">
        <is>
          <t>P2</t>
        </is>
      </c>
      <c r="D662" s="3" t="inlineStr">
        <is>
          <t>demografia</t>
        </is>
      </c>
      <c r="E662" s="3" t="inlineStr">
        <is>
          <t>regional_panel</t>
        </is>
      </c>
      <c r="F662" s="3" t="inlineStr">
        <is>
          <t>panel_covariables</t>
        </is>
      </c>
      <c r="G662" s="3" t="n">
        <v>5.06125</v>
      </c>
      <c r="H662" s="3" t="n">
        <v>-14.677</v>
      </c>
      <c r="I662" s="3" t="n">
        <v>1.33466</v>
      </c>
      <c r="J662" s="3" t="n">
        <v>12.6508</v>
      </c>
      <c r="K662" s="3" t="n">
        <v>-34.4842</v>
      </c>
      <c r="L662" s="3" t="n">
        <v>4</v>
      </c>
      <c r="M662" s="3" t="inlineStr">
        <is>
          <t>si</t>
        </is>
      </c>
      <c r="N662" s="3" t="inlineStr">
        <is>
          <t>no designado (contraste C4: no hay svar_hd regional)</t>
        </is>
      </c>
      <c r="O662" s="3" t="inlineStr">
        <is>
          <t>CCAA: ranking por c_f·sign(dY) del panel FE (M8); asociacion, sin lectura causal; el factor comun es un resumen de comovimiento (pendiente ~1 mecanica, J23)</t>
        </is>
      </c>
      <c r="P662" s="3" t="inlineStr">
        <is>
          <t>output/v8/F5/regional_ranking.csv</t>
        </is>
      </c>
    </row>
    <row r="663">
      <c r="A663" s="3" t="inlineStr">
        <is>
          <t>compra</t>
        </is>
      </c>
      <c r="B663" s="3" t="inlineStr">
        <is>
          <t>ccaa:04</t>
        </is>
      </c>
      <c r="C663" s="3" t="inlineStr">
        <is>
          <t>P2</t>
        </is>
      </c>
      <c r="D663" s="3" t="inlineStr">
        <is>
          <t>oferta</t>
        </is>
      </c>
      <c r="E663" s="3" t="inlineStr">
        <is>
          <t>regional_panel</t>
        </is>
      </c>
      <c r="F663" s="3" t="inlineStr">
        <is>
          <t>panel_covariables</t>
        </is>
      </c>
      <c r="G663" s="3" t="n">
        <v>-0.0510822</v>
      </c>
      <c r="H663" s="3" t="n">
        <v>0.148132</v>
      </c>
      <c r="I663" s="3" t="n">
        <v>-0.404981</v>
      </c>
      <c r="J663" s="3" t="n">
        <v>0.291789</v>
      </c>
      <c r="K663" s="3" t="n">
        <v>-34.4842</v>
      </c>
      <c r="L663" s="3" t="n">
        <v>3</v>
      </c>
      <c r="M663" s="3" t="inlineStr">
        <is>
          <t>si</t>
        </is>
      </c>
      <c r="N663" s="3" t="inlineStr">
        <is>
          <t>no designado (contraste C4: no hay svar_hd regional)</t>
        </is>
      </c>
      <c r="O663" s="3" t="inlineStr">
        <is>
          <t>CCAA: ranking por c_f·sign(dY) del panel FE (M8); asociacion, sin lectura causal; el factor comun es un resumen de comovimiento (pendiente ~1 mecanica, J23)</t>
        </is>
      </c>
      <c r="P663" s="3" t="inlineStr">
        <is>
          <t>output/v8/F5/regional_ranking.csv</t>
        </is>
      </c>
    </row>
    <row r="664">
      <c r="A664" s="3" t="inlineStr">
        <is>
          <t>compra</t>
        </is>
      </c>
      <c r="B664" s="3" t="inlineStr">
        <is>
          <t>ccaa:04</t>
        </is>
      </c>
      <c r="C664" s="3" t="inlineStr">
        <is>
          <t>P2</t>
        </is>
      </c>
      <c r="D664" s="3" t="inlineStr">
        <is>
          <t>demanda_externa</t>
        </is>
      </c>
      <c r="E664" s="3" t="inlineStr">
        <is>
          <t>regional_panel</t>
        </is>
      </c>
      <c r="F664" s="3" t="inlineStr">
        <is>
          <t>panel_covariables</t>
        </is>
      </c>
      <c r="G664" s="3" t="n">
        <v>-0.575643</v>
      </c>
      <c r="H664" s="3" t="n">
        <v>1.6693</v>
      </c>
      <c r="I664" s="3" t="n">
        <v>-0.919117</v>
      </c>
      <c r="J664" s="3" t="n">
        <v>-0.13867</v>
      </c>
      <c r="K664" s="3" t="n">
        <v>-34.4842</v>
      </c>
      <c r="L664" s="3" t="n">
        <v>2</v>
      </c>
      <c r="M664" s="3" t="inlineStr">
        <is>
          <t>si</t>
        </is>
      </c>
      <c r="N664" s="3" t="inlineStr">
        <is>
          <t>no designado (contraste C4: no hay svar_hd regional)</t>
        </is>
      </c>
      <c r="O664" s="3" t="inlineStr">
        <is>
          <t>CCAA: ranking por c_f·sign(dY) del panel FE (M8); asociacion, sin lectura causal; el factor comun es un resumen de comovimiento (pendiente ~1 mecanica, J23)</t>
        </is>
      </c>
      <c r="P664" s="3" t="inlineStr">
        <is>
          <t>output/v8/F5/regional_ranking.csv</t>
        </is>
      </c>
    </row>
    <row r="665">
      <c r="A665" s="3" t="inlineStr">
        <is>
          <t>compra</t>
        </is>
      </c>
      <c r="B665" s="3" t="inlineStr">
        <is>
          <t>ccaa:04</t>
        </is>
      </c>
      <c r="C665" s="3" t="inlineStr">
        <is>
          <t>P2</t>
        </is>
      </c>
      <c r="D665" s="3" t="inlineStr">
        <is>
          <t>residuo</t>
        </is>
      </c>
      <c r="E665" s="3" t="inlineStr">
        <is>
          <t>regional_panel</t>
        </is>
      </c>
      <c r="F665" s="3" t="inlineStr">
        <is>
          <t>panel_covariables</t>
        </is>
      </c>
      <c r="G665" s="3" t="n">
        <v>-1.51274</v>
      </c>
      <c r="H665" s="3" t="n">
        <v>4.38676</v>
      </c>
      <c r="I665" s="3" t="n">
        <v>-15.8547</v>
      </c>
      <c r="J665" s="3" t="n">
        <v>9.14907</v>
      </c>
      <c r="K665" s="3" t="n">
        <v>-34.4842</v>
      </c>
      <c r="L665" s="3" t="n"/>
      <c r="M665" s="3" t="inlineStr">
        <is>
          <t>no</t>
        </is>
      </c>
      <c r="N665" s="3" t="inlineStr">
        <is>
          <t>no designado (contraste C4: no hay svar_hd regional)</t>
        </is>
      </c>
      <c r="O665" s="3" t="inlineStr">
        <is>
          <t>CCAA: ranking por c_f·sign(dY) del panel FE (M8); asociacion, sin lectura causal; el factor comun es un resumen de comovimiento (pendiente ~1 mecanica, J23)</t>
        </is>
      </c>
      <c r="P665" s="3" t="inlineStr">
        <is>
          <t>output/v8/F5/regional_ranking.csv</t>
        </is>
      </c>
    </row>
    <row r="666">
      <c r="A666" s="3" t="inlineStr">
        <is>
          <t>compra</t>
        </is>
      </c>
      <c r="B666" s="3" t="inlineStr">
        <is>
          <t>ccaa:04</t>
        </is>
      </c>
      <c r="C666" s="3" t="inlineStr">
        <is>
          <t>P3</t>
        </is>
      </c>
      <c r="D666" s="3" t="inlineStr">
        <is>
          <t>factor_comun</t>
        </is>
      </c>
      <c r="E666" s="3" t="inlineStr">
        <is>
          <t>regional_ccaa_ols</t>
        </is>
      </c>
      <c r="F666" s="3" t="inlineStr">
        <is>
          <t>ols_solo_factor</t>
        </is>
      </c>
      <c r="G666" s="3" t="n">
        <v>-0.355079</v>
      </c>
      <c r="H666" s="3" t="n">
        <v>-1.72976</v>
      </c>
      <c r="I666" s="3" t="n">
        <v>-2.37972</v>
      </c>
      <c r="J666" s="3" t="n">
        <v>3.02222</v>
      </c>
      <c r="K666" s="3" t="n">
        <v>17.7696</v>
      </c>
      <c r="L666" s="3" t="n"/>
      <c r="M666" s="3" t="inlineStr">
        <is>
          <t>no</t>
        </is>
      </c>
      <c r="N666" s="3" t="inlineStr">
        <is>
          <t>no designado (contraste C4: no hay svar_hd regional)</t>
        </is>
      </c>
      <c r="O666" s="3" t="inlineStr">
        <is>
          <t>CCAA: ranking por c_f·sign(dY) del panel FE (M8); asociacion, sin lectura causal; el factor comun es un resumen de comovimiento (pendiente ~1 mecanica, J23)</t>
        </is>
      </c>
      <c r="P666" s="3" t="inlineStr">
        <is>
          <t>output/v8/F5/regional_ranking.csv</t>
        </is>
      </c>
    </row>
    <row r="667">
      <c r="A667" s="3" t="inlineStr">
        <is>
          <t>compra</t>
        </is>
      </c>
      <c r="B667" s="3" t="inlineStr">
        <is>
          <t>ccaa:04</t>
        </is>
      </c>
      <c r="C667" s="3" t="inlineStr">
        <is>
          <t>P3</t>
        </is>
      </c>
      <c r="D667" s="3" t="inlineStr">
        <is>
          <t>residuo</t>
        </is>
      </c>
      <c r="E667" s="3" t="inlineStr">
        <is>
          <t>regional_ccaa_ols</t>
        </is>
      </c>
      <c r="F667" s="3" t="inlineStr">
        <is>
          <t>ols_solo_factor</t>
        </is>
      </c>
      <c r="G667" s="3" t="n">
        <v>20.8827</v>
      </c>
      <c r="H667" s="3" t="n">
        <v>101.73</v>
      </c>
      <c r="I667" s="3" t="n"/>
      <c r="J667" s="3" t="n"/>
      <c r="K667" s="3" t="n">
        <v>17.7696</v>
      </c>
      <c r="L667" s="3" t="n"/>
      <c r="M667" s="3" t="inlineStr">
        <is>
          <t>no</t>
        </is>
      </c>
      <c r="N667" s="3" t="inlineStr">
        <is>
          <t>no designado (contraste C4: no hay svar_hd regional)</t>
        </is>
      </c>
      <c r="O667" s="3" t="inlineStr">
        <is>
          <t>CCAA: ranking por c_f·sign(dY) del panel FE (M8); asociacion, sin lectura causal; el factor comun es un resumen de comovimiento (pendiente ~1 mecanica, J23)</t>
        </is>
      </c>
      <c r="P667" s="3" t="inlineStr">
        <is>
          <t>output/v8/F5/regional_ranking.csv</t>
        </is>
      </c>
    </row>
    <row r="668">
      <c r="A668" s="3" t="inlineStr">
        <is>
          <t>compra</t>
        </is>
      </c>
      <c r="B668" s="3" t="inlineStr">
        <is>
          <t>ccaa:04</t>
        </is>
      </c>
      <c r="C668" s="3" t="inlineStr">
        <is>
          <t>P3</t>
        </is>
      </c>
      <c r="D668" s="3" t="inlineStr">
        <is>
          <t>factor_comun</t>
        </is>
      </c>
      <c r="E668" s="3" t="inlineStr">
        <is>
          <t>regional_panel</t>
        </is>
      </c>
      <c r="F668" s="3" t="inlineStr">
        <is>
          <t>panel_covariables</t>
        </is>
      </c>
      <c r="G668" s="3" t="n">
        <v>-0.548472</v>
      </c>
      <c r="H668" s="3" t="n">
        <v>-3.08657</v>
      </c>
      <c r="I668" s="3" t="n">
        <v>-3.50001</v>
      </c>
      <c r="J668" s="3" t="n">
        <v>2.45383</v>
      </c>
      <c r="K668" s="3" t="n">
        <v>17.7696</v>
      </c>
      <c r="L668" s="3" t="n"/>
      <c r="M668" s="3" t="inlineStr">
        <is>
          <t>no</t>
        </is>
      </c>
      <c r="N668" s="3" t="inlineStr">
        <is>
          <t>no designado (contraste C4: no hay svar_hd regional)</t>
        </is>
      </c>
      <c r="O668" s="3" t="inlineStr">
        <is>
          <t>CCAA: ranking por c_f·sign(dY) del panel FE (M8); asociacion, sin lectura causal; el factor comun es un resumen de comovimiento (pendiente ~1 mecanica, J23)</t>
        </is>
      </c>
      <c r="P668" s="3" t="inlineStr">
        <is>
          <t>output/v8/F5/regional_ranking.csv</t>
        </is>
      </c>
    </row>
    <row r="669">
      <c r="A669" s="3" t="inlineStr">
        <is>
          <t>compra</t>
        </is>
      </c>
      <c r="B669" s="3" t="inlineStr">
        <is>
          <t>ccaa:04</t>
        </is>
      </c>
      <c r="C669" s="3" t="inlineStr">
        <is>
          <t>P3</t>
        </is>
      </c>
      <c r="D669" s="3" t="inlineStr">
        <is>
          <t>empleo_renta</t>
        </is>
      </c>
      <c r="E669" s="3" t="inlineStr">
        <is>
          <t>regional_panel</t>
        </is>
      </c>
      <c r="F669" s="3" t="inlineStr">
        <is>
          <t>panel_covariables</t>
        </is>
      </c>
      <c r="G669" s="3" t="n">
        <v>0.617559</v>
      </c>
      <c r="H669" s="3" t="n">
        <v>3.47536</v>
      </c>
      <c r="I669" s="3" t="n">
        <v>-0.405698</v>
      </c>
      <c r="J669" s="3" t="n">
        <v>1.85935</v>
      </c>
      <c r="K669" s="3" t="n">
        <v>17.7696</v>
      </c>
      <c r="L669" s="3" t="n">
        <v>2</v>
      </c>
      <c r="M669" s="3" t="inlineStr">
        <is>
          <t>si</t>
        </is>
      </c>
      <c r="N669" s="3" t="inlineStr">
        <is>
          <t>no designado (contraste C4: no hay svar_hd regional)</t>
        </is>
      </c>
      <c r="O669" s="3" t="inlineStr">
        <is>
          <t>CCAA: ranking por c_f·sign(dY) del panel FE (M8); asociacion, sin lectura causal; el factor comun es un resumen de comovimiento (pendiente ~1 mecanica, J23)</t>
        </is>
      </c>
      <c r="P669" s="3" t="inlineStr">
        <is>
          <t>output/v8/F5/regional_ranking.csv</t>
        </is>
      </c>
    </row>
    <row r="670">
      <c r="A670" s="3" t="inlineStr">
        <is>
          <t>compra</t>
        </is>
      </c>
      <c r="B670" s="3" t="inlineStr">
        <is>
          <t>ccaa:04</t>
        </is>
      </c>
      <c r="C670" s="3" t="inlineStr">
        <is>
          <t>P3</t>
        </is>
      </c>
      <c r="D670" s="3" t="inlineStr">
        <is>
          <t>demografia</t>
        </is>
      </c>
      <c r="E670" s="3" t="inlineStr">
        <is>
          <t>regional_panel</t>
        </is>
      </c>
      <c r="F670" s="3" t="inlineStr">
        <is>
          <t>panel_covariables</t>
        </is>
      </c>
      <c r="G670" s="3" t="n">
        <v>4.83343</v>
      </c>
      <c r="H670" s="3" t="n">
        <v>27.2005</v>
      </c>
      <c r="I670" s="3" t="n">
        <v>2.81185</v>
      </c>
      <c r="J670" s="3" t="n">
        <v>8.24357</v>
      </c>
      <c r="K670" s="3" t="n">
        <v>17.7696</v>
      </c>
      <c r="L670" s="3" t="n">
        <v>1</v>
      </c>
      <c r="M670" s="3" t="inlineStr">
        <is>
          <t>si</t>
        </is>
      </c>
      <c r="N670" s="3" t="inlineStr">
        <is>
          <t>no designado (contraste C4: no hay svar_hd regional)</t>
        </is>
      </c>
      <c r="O670" s="3" t="inlineStr">
        <is>
          <t>CCAA: ranking por c_f·sign(dY) del panel FE (M8); asociacion, sin lectura causal; el factor comun es un resumen de comovimiento (pendiente ~1 mecanica, J23)</t>
        </is>
      </c>
      <c r="P670" s="3" t="inlineStr">
        <is>
          <t>output/v8/F5/regional_ranking.csv</t>
        </is>
      </c>
    </row>
    <row r="671">
      <c r="A671" s="3" t="inlineStr">
        <is>
          <t>compra</t>
        </is>
      </c>
      <c r="B671" s="3" t="inlineStr">
        <is>
          <t>ccaa:04</t>
        </is>
      </c>
      <c r="C671" s="3" t="inlineStr">
        <is>
          <t>P3</t>
        </is>
      </c>
      <c r="D671" s="3" t="inlineStr">
        <is>
          <t>oferta</t>
        </is>
      </c>
      <c r="E671" s="3" t="inlineStr">
        <is>
          <t>regional_panel</t>
        </is>
      </c>
      <c r="F671" s="3" t="inlineStr">
        <is>
          <t>panel_covariables</t>
        </is>
      </c>
      <c r="G671" s="3" t="n">
        <v>-0.455642</v>
      </c>
      <c r="H671" s="3" t="n">
        <v>-2.56416</v>
      </c>
      <c r="I671" s="3" t="n">
        <v>-0.829782</v>
      </c>
      <c r="J671" s="3" t="n">
        <v>-0.0288508</v>
      </c>
      <c r="K671" s="3" t="n">
        <v>17.7696</v>
      </c>
      <c r="L671" s="3" t="n">
        <v>4</v>
      </c>
      <c r="M671" s="3" t="inlineStr">
        <is>
          <t>si</t>
        </is>
      </c>
      <c r="N671" s="3" t="inlineStr">
        <is>
          <t>no designado (contraste C4: no hay svar_hd regional)</t>
        </is>
      </c>
      <c r="O671" s="3" t="inlineStr">
        <is>
          <t>CCAA: ranking por c_f·sign(dY) del panel FE (M8); asociacion, sin lectura causal; el factor comun es un resumen de comovimiento (pendiente ~1 mecanica, J23)</t>
        </is>
      </c>
      <c r="P671" s="3" t="inlineStr">
        <is>
          <t>output/v8/F5/regional_ranking.csv</t>
        </is>
      </c>
    </row>
    <row r="672">
      <c r="A672" s="3" t="inlineStr">
        <is>
          <t>compra</t>
        </is>
      </c>
      <c r="B672" s="3" t="inlineStr">
        <is>
          <t>ccaa:04</t>
        </is>
      </c>
      <c r="C672" s="3" t="inlineStr">
        <is>
          <t>P3</t>
        </is>
      </c>
      <c r="D672" s="3" t="inlineStr">
        <is>
          <t>demanda_externa</t>
        </is>
      </c>
      <c r="E672" s="3" t="inlineStr">
        <is>
          <t>regional_panel</t>
        </is>
      </c>
      <c r="F672" s="3" t="inlineStr">
        <is>
          <t>panel_covariables</t>
        </is>
      </c>
      <c r="G672" s="3" t="n">
        <v>0.556719</v>
      </c>
      <c r="H672" s="3" t="n">
        <v>3.13298</v>
      </c>
      <c r="I672" s="3" t="n">
        <v>0.0485376</v>
      </c>
      <c r="J672" s="3" t="n">
        <v>0.837919</v>
      </c>
      <c r="K672" s="3" t="n">
        <v>17.7696</v>
      </c>
      <c r="L672" s="3" t="n">
        <v>3</v>
      </c>
      <c r="M672" s="3" t="inlineStr">
        <is>
          <t>si</t>
        </is>
      </c>
      <c r="N672" s="3" t="inlineStr">
        <is>
          <t>no designado (contraste C4: no hay svar_hd regional)</t>
        </is>
      </c>
      <c r="O672" s="3" t="inlineStr">
        <is>
          <t>CCAA: ranking por c_f·sign(dY) del panel FE (M8); asociacion, sin lectura causal; el factor comun es un resumen de comovimiento (pendiente ~1 mecanica, J23)</t>
        </is>
      </c>
      <c r="P672" s="3" t="inlineStr">
        <is>
          <t>output/v8/F5/regional_ranking.csv</t>
        </is>
      </c>
    </row>
    <row r="673">
      <c r="A673" s="3" t="inlineStr">
        <is>
          <t>compra</t>
        </is>
      </c>
      <c r="B673" s="3" t="inlineStr">
        <is>
          <t>ccaa:04</t>
        </is>
      </c>
      <c r="C673" s="3" t="inlineStr">
        <is>
          <t>P3</t>
        </is>
      </c>
      <c r="D673" s="3" t="inlineStr">
        <is>
          <t>residuo</t>
        </is>
      </c>
      <c r="E673" s="3" t="inlineStr">
        <is>
          <t>regional_panel</t>
        </is>
      </c>
      <c r="F673" s="3" t="inlineStr">
        <is>
          <t>panel_covariables</t>
        </is>
      </c>
      <c r="G673" s="3" t="n">
        <v>12.766</v>
      </c>
      <c r="H673" s="3" t="n">
        <v>71.84180000000001</v>
      </c>
      <c r="I673" s="3" t="n">
        <v>6.41735</v>
      </c>
      <c r="J673" s="3" t="n">
        <v>16.75</v>
      </c>
      <c r="K673" s="3" t="n">
        <v>17.7696</v>
      </c>
      <c r="L673" s="3" t="n"/>
      <c r="M673" s="3" t="inlineStr">
        <is>
          <t>no</t>
        </is>
      </c>
      <c r="N673" s="3" t="inlineStr">
        <is>
          <t>no designado (contraste C4: no hay svar_hd regional)</t>
        </is>
      </c>
      <c r="O673" s="3" t="inlineStr">
        <is>
          <t>CCAA: ranking por c_f·sign(dY) del panel FE (M8); asociacion, sin lectura causal; el factor comun es un resumen de comovimiento (pendiente ~1 mecanica, J23)</t>
        </is>
      </c>
      <c r="P673" s="3" t="inlineStr">
        <is>
          <t>output/v8/F5/regional_ranking.csv</t>
        </is>
      </c>
    </row>
    <row r="674">
      <c r="A674" s="3" t="inlineStr">
        <is>
          <t>compra</t>
        </is>
      </c>
      <c r="B674" s="3" t="inlineStr">
        <is>
          <t>ccaa:04</t>
        </is>
      </c>
      <c r="C674" s="3" t="inlineStr">
        <is>
          <t>P4</t>
        </is>
      </c>
      <c r="D674" s="3" t="inlineStr">
        <is>
          <t>factor_comun</t>
        </is>
      </c>
      <c r="E674" s="3" t="inlineStr">
        <is>
          <t>regional_ccaa_ols</t>
        </is>
      </c>
      <c r="F674" s="3" t="inlineStr">
        <is>
          <t>ols_solo_factor</t>
        </is>
      </c>
      <c r="G674" s="3" t="n">
        <v>-1.5443</v>
      </c>
      <c r="H674" s="3" t="n">
        <v>-120.729</v>
      </c>
      <c r="I674" s="3" t="n">
        <v>-3.04553</v>
      </c>
      <c r="J674" s="3" t="n">
        <v>-0.647517</v>
      </c>
      <c r="K674" s="3" t="n">
        <v>1.27914</v>
      </c>
      <c r="L674" s="3" t="n"/>
      <c r="M674" s="3" t="inlineStr">
        <is>
          <t>no</t>
        </is>
      </c>
      <c r="N674" s="3" t="inlineStr">
        <is>
          <t>no designado (contraste C4: no hay svar_hd regional)</t>
        </is>
      </c>
      <c r="O674" s="3" t="inlineStr">
        <is>
          <t>CCAA: ranking por c_f·sign(dY) del panel FE (M8); asociacion, sin lectura causal; el factor comun es un resumen de comovimiento (pendiente ~1 mecanica, J23)</t>
        </is>
      </c>
      <c r="P674" s="3" t="inlineStr">
        <is>
          <t>output/v8/F5/regional_ranking.csv</t>
        </is>
      </c>
    </row>
    <row r="675">
      <c r="A675" s="3" t="inlineStr">
        <is>
          <t>compra</t>
        </is>
      </c>
      <c r="B675" s="3" t="inlineStr">
        <is>
          <t>ccaa:04</t>
        </is>
      </c>
      <c r="C675" s="3" t="inlineStr">
        <is>
          <t>P4</t>
        </is>
      </c>
      <c r="D675" s="3" t="inlineStr">
        <is>
          <t>residuo</t>
        </is>
      </c>
      <c r="E675" s="3" t="inlineStr">
        <is>
          <t>regional_ccaa_ols</t>
        </is>
      </c>
      <c r="F675" s="3" t="inlineStr">
        <is>
          <t>ols_solo_factor</t>
        </is>
      </c>
      <c r="G675" s="3" t="n">
        <v>2.82344</v>
      </c>
      <c r="H675" s="3" t="n">
        <v>220.729</v>
      </c>
      <c r="I675" s="3" t="n"/>
      <c r="J675" s="3" t="n"/>
      <c r="K675" s="3" t="n">
        <v>1.27914</v>
      </c>
      <c r="L675" s="3" t="n"/>
      <c r="M675" s="3" t="inlineStr">
        <is>
          <t>no</t>
        </is>
      </c>
      <c r="N675" s="3" t="inlineStr">
        <is>
          <t>no designado (contraste C4: no hay svar_hd regional)</t>
        </is>
      </c>
      <c r="O675" s="3" t="inlineStr">
        <is>
          <t>CCAA: ranking por c_f·sign(dY) del panel FE (M8); asociacion, sin lectura causal; el factor comun es un resumen de comovimiento (pendiente ~1 mecanica, J23)</t>
        </is>
      </c>
      <c r="P675" s="3" t="inlineStr">
        <is>
          <t>output/v8/F5/regional_ranking.csv</t>
        </is>
      </c>
    </row>
    <row r="676">
      <c r="A676" s="3" t="inlineStr">
        <is>
          <t>compra</t>
        </is>
      </c>
      <c r="B676" s="3" t="inlineStr">
        <is>
          <t>ccaa:04</t>
        </is>
      </c>
      <c r="C676" s="3" t="inlineStr">
        <is>
          <t>P4</t>
        </is>
      </c>
      <c r="D676" s="3" t="inlineStr">
        <is>
          <t>factor_comun</t>
        </is>
      </c>
      <c r="E676" s="3" t="inlineStr">
        <is>
          <t>regional_panel</t>
        </is>
      </c>
      <c r="F676" s="3" t="inlineStr">
        <is>
          <t>panel_covariables</t>
        </is>
      </c>
      <c r="G676" s="3" t="n">
        <v>-4.21608</v>
      </c>
      <c r="H676" s="3" t="n">
        <v>-329.603</v>
      </c>
      <c r="I676" s="3" t="n">
        <v>-5.07352</v>
      </c>
      <c r="J676" s="3" t="n">
        <v>-2.674</v>
      </c>
      <c r="K676" s="3" t="n">
        <v>1.27914</v>
      </c>
      <c r="L676" s="3" t="n"/>
      <c r="M676" s="3" t="inlineStr">
        <is>
          <t>no</t>
        </is>
      </c>
      <c r="N676" s="3" t="inlineStr">
        <is>
          <t>no designado (contraste C4: no hay svar_hd regional)</t>
        </is>
      </c>
      <c r="O676" s="3" t="inlineStr">
        <is>
          <t>CCAA: ranking por c_f·sign(dY) del panel FE (M8); asociacion, sin lectura causal; el factor comun es un resumen de comovimiento (pendiente ~1 mecanica, J23)</t>
        </is>
      </c>
      <c r="P676" s="3" t="inlineStr">
        <is>
          <t>output/v8/F5/regional_ranking.csv</t>
        </is>
      </c>
    </row>
    <row r="677">
      <c r="A677" s="3" t="inlineStr">
        <is>
          <t>compra</t>
        </is>
      </c>
      <c r="B677" s="3" t="inlineStr">
        <is>
          <t>ccaa:04</t>
        </is>
      </c>
      <c r="C677" s="3" t="inlineStr">
        <is>
          <t>P4</t>
        </is>
      </c>
      <c r="D677" s="3" t="inlineStr">
        <is>
          <t>empleo_renta</t>
        </is>
      </c>
      <c r="E677" s="3" t="inlineStr">
        <is>
          <t>regional_panel</t>
        </is>
      </c>
      <c r="F677" s="3" t="inlineStr">
        <is>
          <t>panel_covariables</t>
        </is>
      </c>
      <c r="G677" s="3" t="n">
        <v>-0.120884</v>
      </c>
      <c r="H677" s="3" t="n">
        <v>-9.450419999999999</v>
      </c>
      <c r="I677" s="3" t="n">
        <v>-1.03014</v>
      </c>
      <c r="J677" s="3" t="n">
        <v>0.455222</v>
      </c>
      <c r="K677" s="3" t="n">
        <v>1.27914</v>
      </c>
      <c r="L677" s="3" t="n">
        <v>3</v>
      </c>
      <c r="M677" s="3" t="inlineStr">
        <is>
          <t>si</t>
        </is>
      </c>
      <c r="N677" s="3" t="inlineStr">
        <is>
          <t>no designado (contraste C4: no hay svar_hd regional)</t>
        </is>
      </c>
      <c r="O677" s="3" t="inlineStr">
        <is>
          <t>CCAA: ranking por c_f·sign(dY) del panel FE (M8); asociacion, sin lectura causal; el factor comun es un resumen de comovimiento (pendiente ~1 mecanica, J23)</t>
        </is>
      </c>
      <c r="P677" s="3" t="inlineStr">
        <is>
          <t>output/v8/F5/regional_ranking.csv</t>
        </is>
      </c>
    </row>
    <row r="678">
      <c r="A678" s="3" t="inlineStr">
        <is>
          <t>compra</t>
        </is>
      </c>
      <c r="B678" s="3" t="inlineStr">
        <is>
          <t>ccaa:04</t>
        </is>
      </c>
      <c r="C678" s="3" t="inlineStr">
        <is>
          <t>P4</t>
        </is>
      </c>
      <c r="D678" s="3" t="inlineStr">
        <is>
          <t>demografia</t>
        </is>
      </c>
      <c r="E678" s="3" t="inlineStr">
        <is>
          <t>regional_panel</t>
        </is>
      </c>
      <c r="F678" s="3" t="inlineStr">
        <is>
          <t>panel_covariables</t>
        </is>
      </c>
      <c r="G678" s="3" t="n">
        <v>-0.498375</v>
      </c>
      <c r="H678" s="3" t="n">
        <v>-38.9617</v>
      </c>
      <c r="I678" s="3" t="n">
        <v>-1.96253</v>
      </c>
      <c r="J678" s="3" t="n">
        <v>1.24359</v>
      </c>
      <c r="K678" s="3" t="n">
        <v>1.27914</v>
      </c>
      <c r="L678" s="3" t="n">
        <v>4</v>
      </c>
      <c r="M678" s="3" t="inlineStr">
        <is>
          <t>si</t>
        </is>
      </c>
      <c r="N678" s="3" t="inlineStr">
        <is>
          <t>no designado (contraste C4: no hay svar_hd regional)</t>
        </is>
      </c>
      <c r="O678" s="3" t="inlineStr">
        <is>
          <t>CCAA: ranking por c_f·sign(dY) del panel FE (M8); asociacion, sin lectura causal; el factor comun es un resumen de comovimiento (pendiente ~1 mecanica, J23)</t>
        </is>
      </c>
      <c r="P678" s="3" t="inlineStr">
        <is>
          <t>output/v8/F5/regional_ranking.csv</t>
        </is>
      </c>
    </row>
    <row r="679">
      <c r="A679" s="3" t="inlineStr">
        <is>
          <t>compra</t>
        </is>
      </c>
      <c r="B679" s="3" t="inlineStr">
        <is>
          <t>ccaa:04</t>
        </is>
      </c>
      <c r="C679" s="3" t="inlineStr">
        <is>
          <t>P4</t>
        </is>
      </c>
      <c r="D679" s="3" t="inlineStr">
        <is>
          <t>oferta</t>
        </is>
      </c>
      <c r="E679" s="3" t="inlineStr">
        <is>
          <t>regional_panel</t>
        </is>
      </c>
      <c r="F679" s="3" t="inlineStr">
        <is>
          <t>panel_covariables</t>
        </is>
      </c>
      <c r="G679" s="3" t="n">
        <v>-0.0126748</v>
      </c>
      <c r="H679" s="3" t="n">
        <v>-0.990879</v>
      </c>
      <c r="I679" s="3" t="n">
        <v>-0.0803402</v>
      </c>
      <c r="J679" s="3" t="n">
        <v>0.0201381</v>
      </c>
      <c r="K679" s="3" t="n">
        <v>1.27914</v>
      </c>
      <c r="L679" s="3" t="n">
        <v>2</v>
      </c>
      <c r="M679" s="3" t="inlineStr">
        <is>
          <t>si</t>
        </is>
      </c>
      <c r="N679" s="3" t="inlineStr">
        <is>
          <t>no designado (contraste C4: no hay svar_hd regional)</t>
        </is>
      </c>
      <c r="O679" s="3" t="inlineStr">
        <is>
          <t>CCAA: ranking por c_f·sign(dY) del panel FE (M8); asociacion, sin lectura causal; el factor comun es un resumen de comovimiento (pendiente ~1 mecanica, J23)</t>
        </is>
      </c>
      <c r="P679" s="3" t="inlineStr">
        <is>
          <t>output/v8/F5/regional_ranking.csv</t>
        </is>
      </c>
    </row>
    <row r="680">
      <c r="A680" s="3" t="inlineStr">
        <is>
          <t>compra</t>
        </is>
      </c>
      <c r="B680" s="3" t="inlineStr">
        <is>
          <t>ccaa:04</t>
        </is>
      </c>
      <c r="C680" s="3" t="inlineStr">
        <is>
          <t>P4</t>
        </is>
      </c>
      <c r="D680" s="3" t="inlineStr">
        <is>
          <t>demanda_externa</t>
        </is>
      </c>
      <c r="E680" s="3" t="inlineStr">
        <is>
          <t>regional_panel</t>
        </is>
      </c>
      <c r="F680" s="3" t="inlineStr">
        <is>
          <t>panel_covariables</t>
        </is>
      </c>
      <c r="G680" s="3" t="n">
        <v>0.0573416</v>
      </c>
      <c r="H680" s="3" t="n">
        <v>4.48282</v>
      </c>
      <c r="I680" s="3" t="n">
        <v>-0.207977</v>
      </c>
      <c r="J680" s="3" t="n">
        <v>0.172999</v>
      </c>
      <c r="K680" s="3" t="n">
        <v>1.27914</v>
      </c>
      <c r="L680" s="3" t="n">
        <v>1</v>
      </c>
      <c r="M680" s="3" t="inlineStr">
        <is>
          <t>si</t>
        </is>
      </c>
      <c r="N680" s="3" t="inlineStr">
        <is>
          <t>no designado (contraste C4: no hay svar_hd regional)</t>
        </is>
      </c>
      <c r="O680" s="3" t="inlineStr">
        <is>
          <t>CCAA: ranking por c_f·sign(dY) del panel FE (M8); asociacion, sin lectura causal; el factor comun es un resumen de comovimiento (pendiente ~1 mecanica, J23)</t>
        </is>
      </c>
      <c r="P680" s="3" t="inlineStr">
        <is>
          <t>output/v8/F5/regional_ranking.csv</t>
        </is>
      </c>
    </row>
    <row r="681">
      <c r="A681" s="3" t="inlineStr">
        <is>
          <t>compra</t>
        </is>
      </c>
      <c r="B681" s="3" t="inlineStr">
        <is>
          <t>ccaa:04</t>
        </is>
      </c>
      <c r="C681" s="3" t="inlineStr">
        <is>
          <t>P4</t>
        </is>
      </c>
      <c r="D681" s="3" t="inlineStr">
        <is>
          <t>residuo</t>
        </is>
      </c>
      <c r="E681" s="3" t="inlineStr">
        <is>
          <t>regional_panel</t>
        </is>
      </c>
      <c r="F681" s="3" t="inlineStr">
        <is>
          <t>panel_covariables</t>
        </is>
      </c>
      <c r="G681" s="3" t="n">
        <v>6.06982</v>
      </c>
      <c r="H681" s="3" t="n">
        <v>474.523</v>
      </c>
      <c r="I681" s="3" t="n">
        <v>3.2092</v>
      </c>
      <c r="J681" s="3" t="n">
        <v>8.567</v>
      </c>
      <c r="K681" s="3" t="n">
        <v>1.27914</v>
      </c>
      <c r="L681" s="3" t="n"/>
      <c r="M681" s="3" t="inlineStr">
        <is>
          <t>no</t>
        </is>
      </c>
      <c r="N681" s="3" t="inlineStr">
        <is>
          <t>no designado (contraste C4: no hay svar_hd regional)</t>
        </is>
      </c>
      <c r="O681" s="3" t="inlineStr">
        <is>
          <t>CCAA: ranking por c_f·sign(dY) del panel FE (M8); asociacion, sin lectura causal; el factor comun es un resumen de comovimiento (pendiente ~1 mecanica, J23)</t>
        </is>
      </c>
      <c r="P681" s="3" t="inlineStr">
        <is>
          <t>output/v8/F5/regional_ranking.csv</t>
        </is>
      </c>
    </row>
    <row r="682">
      <c r="A682" s="3" t="inlineStr">
        <is>
          <t>compra</t>
        </is>
      </c>
      <c r="B682" s="3" t="inlineStr">
        <is>
          <t>ccaa:04</t>
        </is>
      </c>
      <c r="C682" s="3" t="inlineStr">
        <is>
          <t>P5</t>
        </is>
      </c>
      <c r="D682" s="3" t="inlineStr">
        <is>
          <t>factor_comun</t>
        </is>
      </c>
      <c r="E682" s="3" t="inlineStr">
        <is>
          <t>regional_ccaa_ols</t>
        </is>
      </c>
      <c r="F682" s="3" t="inlineStr">
        <is>
          <t>ols_solo_factor</t>
        </is>
      </c>
      <c r="G682" s="3" t="n">
        <v>8.512729999999999</v>
      </c>
      <c r="H682" s="3" t="n">
        <v>36.3411</v>
      </c>
      <c r="I682" s="3" t="n">
        <v>3.5228</v>
      </c>
      <c r="J682" s="3" t="n">
        <v>12.6227</v>
      </c>
      <c r="K682" s="3" t="n">
        <v>13.0437</v>
      </c>
      <c r="L682" s="3" t="n"/>
      <c r="M682" s="3" t="inlineStr">
        <is>
          <t>no</t>
        </is>
      </c>
      <c r="N682" s="3" t="inlineStr">
        <is>
          <t>no designado (contraste C4: no hay svar_hd regional)</t>
        </is>
      </c>
      <c r="O682" s="3" t="inlineStr">
        <is>
          <t>CCAA: ranking por c_f·sign(dY) del panel FE (M8); asociacion, sin lectura causal; el factor comun es un resumen de comovimiento (pendiente ~1 mecanica, J23)</t>
        </is>
      </c>
      <c r="P682" s="3" t="inlineStr">
        <is>
          <t>output/v8/F5/regional_ranking.csv</t>
        </is>
      </c>
    </row>
    <row r="683">
      <c r="A683" s="3" t="inlineStr">
        <is>
          <t>compra</t>
        </is>
      </c>
      <c r="B683" s="3" t="inlineStr">
        <is>
          <t>ccaa:04</t>
        </is>
      </c>
      <c r="C683" s="3" t="inlineStr">
        <is>
          <t>P5</t>
        </is>
      </c>
      <c r="D683" s="3" t="inlineStr">
        <is>
          <t>residuo</t>
        </is>
      </c>
      <c r="E683" s="3" t="inlineStr">
        <is>
          <t>regional_ccaa_ols</t>
        </is>
      </c>
      <c r="F683" s="3" t="inlineStr">
        <is>
          <t>ols_solo_factor</t>
        </is>
      </c>
      <c r="G683" s="3" t="n">
        <v>14.9118</v>
      </c>
      <c r="H683" s="3" t="n">
        <v>63.6589</v>
      </c>
      <c r="I683" s="3" t="n"/>
      <c r="J683" s="3" t="n"/>
      <c r="K683" s="3" t="n">
        <v>13.0437</v>
      </c>
      <c r="L683" s="3" t="n"/>
      <c r="M683" s="3" t="inlineStr">
        <is>
          <t>no</t>
        </is>
      </c>
      <c r="N683" s="3" t="inlineStr">
        <is>
          <t>no designado (contraste C4: no hay svar_hd regional)</t>
        </is>
      </c>
      <c r="O683" s="3" t="inlineStr">
        <is>
          <t>CCAA: ranking por c_f·sign(dY) del panel FE (M8); asociacion, sin lectura causal; el factor comun es un resumen de comovimiento (pendiente ~1 mecanica, J23)</t>
        </is>
      </c>
      <c r="P683" s="3" t="inlineStr">
        <is>
          <t>output/v8/F5/regional_ranking.csv</t>
        </is>
      </c>
    </row>
    <row r="684">
      <c r="A684" s="3" t="inlineStr">
        <is>
          <t>compra</t>
        </is>
      </c>
      <c r="B684" s="3" t="inlineStr">
        <is>
          <t>ccaa:04</t>
        </is>
      </c>
      <c r="C684" s="3" t="inlineStr">
        <is>
          <t>P5</t>
        </is>
      </c>
      <c r="D684" s="3" t="inlineStr">
        <is>
          <t>factor_comun</t>
        </is>
      </c>
      <c r="E684" s="3" t="inlineStr">
        <is>
          <t>regional_panel</t>
        </is>
      </c>
      <c r="F684" s="3" t="inlineStr">
        <is>
          <t>panel_covariables</t>
        </is>
      </c>
      <c r="G684" s="3" t="n">
        <v>1.50215</v>
      </c>
      <c r="H684" s="3" t="n">
        <v>11.5162</v>
      </c>
      <c r="I684" s="3" t="n">
        <v>-1.20824</v>
      </c>
      <c r="J684" s="3" t="n">
        <v>4.46537</v>
      </c>
      <c r="K684" s="3" t="n">
        <v>13.0437</v>
      </c>
      <c r="L684" s="3" t="n"/>
      <c r="M684" s="3" t="inlineStr">
        <is>
          <t>no</t>
        </is>
      </c>
      <c r="N684" s="3" t="inlineStr">
        <is>
          <t>no designado (contraste C4: no hay svar_hd regional)</t>
        </is>
      </c>
      <c r="O684" s="3" t="inlineStr">
        <is>
          <t>CCAA: ranking por c_f·sign(dY) del panel FE (M8); asociacion, sin lectura causal; el factor comun es un resumen de comovimiento (pendiente ~1 mecanica, J23)</t>
        </is>
      </c>
      <c r="P684" s="3" t="inlineStr">
        <is>
          <t>output/v8/F5/regional_ranking.csv</t>
        </is>
      </c>
    </row>
    <row r="685">
      <c r="A685" s="3" t="inlineStr">
        <is>
          <t>compra</t>
        </is>
      </c>
      <c r="B685" s="3" t="inlineStr">
        <is>
          <t>ccaa:04</t>
        </is>
      </c>
      <c r="C685" s="3" t="inlineStr">
        <is>
          <t>P5</t>
        </is>
      </c>
      <c r="D685" s="3" t="inlineStr">
        <is>
          <t>empleo_renta</t>
        </is>
      </c>
      <c r="E685" s="3" t="inlineStr">
        <is>
          <t>regional_panel</t>
        </is>
      </c>
      <c r="F685" s="3" t="inlineStr">
        <is>
          <t>panel_covariables</t>
        </is>
      </c>
      <c r="G685" s="3" t="n">
        <v>1.01793</v>
      </c>
      <c r="H685" s="3" t="n">
        <v>7.80399</v>
      </c>
      <c r="I685" s="3" t="n">
        <v>0.422</v>
      </c>
      <c r="J685" s="3" t="n">
        <v>1.88188</v>
      </c>
      <c r="K685" s="3" t="n">
        <v>13.0437</v>
      </c>
      <c r="L685" s="3" t="n">
        <v>1</v>
      </c>
      <c r="M685" s="3" t="inlineStr">
        <is>
          <t>si</t>
        </is>
      </c>
      <c r="N685" s="3" t="inlineStr">
        <is>
          <t>no designado (contraste C4: no hay svar_hd regional)</t>
        </is>
      </c>
      <c r="O685" s="3" t="inlineStr">
        <is>
          <t>CCAA: ranking por c_f·sign(dY) del panel FE (M8); asociacion, sin lectura causal; el factor comun es un resumen de comovimiento (pendiente ~1 mecanica, J23)</t>
        </is>
      </c>
      <c r="P685" s="3" t="inlineStr">
        <is>
          <t>output/v8/F5/regional_ranking.csv</t>
        </is>
      </c>
    </row>
    <row r="686">
      <c r="A686" s="3" t="inlineStr">
        <is>
          <t>compra</t>
        </is>
      </c>
      <c r="B686" s="3" t="inlineStr">
        <is>
          <t>ccaa:04</t>
        </is>
      </c>
      <c r="C686" s="3" t="inlineStr">
        <is>
          <t>P5</t>
        </is>
      </c>
      <c r="D686" s="3" t="inlineStr">
        <is>
          <t>demografia</t>
        </is>
      </c>
      <c r="E686" s="3" t="inlineStr">
        <is>
          <t>regional_panel</t>
        </is>
      </c>
      <c r="F686" s="3" t="inlineStr">
        <is>
          <t>panel_covariables</t>
        </is>
      </c>
      <c r="G686" s="3" t="n">
        <v>-0.695611</v>
      </c>
      <c r="H686" s="3" t="n">
        <v>-5.33291</v>
      </c>
      <c r="I686" s="3" t="n">
        <v>-7.38369</v>
      </c>
      <c r="J686" s="3" t="n">
        <v>3.98985</v>
      </c>
      <c r="K686" s="3" t="n">
        <v>13.0437</v>
      </c>
      <c r="L686" s="3" t="n">
        <v>4</v>
      </c>
      <c r="M686" s="3" t="inlineStr">
        <is>
          <t>si</t>
        </is>
      </c>
      <c r="N686" s="3" t="inlineStr">
        <is>
          <t>no designado (contraste C4: no hay svar_hd regional)</t>
        </is>
      </c>
      <c r="O686" s="3" t="inlineStr">
        <is>
          <t>CCAA: ranking por c_f·sign(dY) del panel FE (M8); asociacion, sin lectura causal; el factor comun es un resumen de comovimiento (pendiente ~1 mecanica, J23)</t>
        </is>
      </c>
      <c r="P686" s="3" t="inlineStr">
        <is>
          <t>output/v8/F5/regional_ranking.csv</t>
        </is>
      </c>
    </row>
    <row r="687">
      <c r="A687" s="3" t="inlineStr">
        <is>
          <t>compra</t>
        </is>
      </c>
      <c r="B687" s="3" t="inlineStr">
        <is>
          <t>ccaa:04</t>
        </is>
      </c>
      <c r="C687" s="3" t="inlineStr">
        <is>
          <t>P5</t>
        </is>
      </c>
      <c r="D687" s="3" t="inlineStr">
        <is>
          <t>oferta</t>
        </is>
      </c>
      <c r="E687" s="3" t="inlineStr">
        <is>
          <t>regional_panel</t>
        </is>
      </c>
      <c r="F687" s="3" t="inlineStr">
        <is>
          <t>panel_covariables</t>
        </is>
      </c>
      <c r="G687" s="3" t="n">
        <v>0.000424374</v>
      </c>
      <c r="H687" s="3" t="n">
        <v>0.00325347</v>
      </c>
      <c r="I687" s="3" t="n">
        <v>-0.0280684</v>
      </c>
      <c r="J687" s="3" t="n">
        <v>0.0460392</v>
      </c>
      <c r="K687" s="3" t="n">
        <v>13.0437</v>
      </c>
      <c r="L687" s="3" t="n">
        <v>3</v>
      </c>
      <c r="M687" s="3" t="inlineStr">
        <is>
          <t>si</t>
        </is>
      </c>
      <c r="N687" s="3" t="inlineStr">
        <is>
          <t>no designado (contraste C4: no hay svar_hd regional)</t>
        </is>
      </c>
      <c r="O687" s="3" t="inlineStr">
        <is>
          <t>CCAA: ranking por c_f·sign(dY) del panel FE (M8); asociacion, sin lectura causal; el factor comun es un resumen de comovimiento (pendiente ~1 mecanica, J23)</t>
        </is>
      </c>
      <c r="P687" s="3" t="inlineStr">
        <is>
          <t>output/v8/F5/regional_ranking.csv</t>
        </is>
      </c>
    </row>
    <row r="688">
      <c r="A688" s="3" t="inlineStr">
        <is>
          <t>compra</t>
        </is>
      </c>
      <c r="B688" s="3" t="inlineStr">
        <is>
          <t>ccaa:04</t>
        </is>
      </c>
      <c r="C688" s="3" t="inlineStr">
        <is>
          <t>P5</t>
        </is>
      </c>
      <c r="D688" s="3" t="inlineStr">
        <is>
          <t>demanda_externa</t>
        </is>
      </c>
      <c r="E688" s="3" t="inlineStr">
        <is>
          <t>regional_panel</t>
        </is>
      </c>
      <c r="F688" s="3" t="inlineStr">
        <is>
          <t>panel_covariables</t>
        </is>
      </c>
      <c r="G688" s="3" t="n">
        <v>0.0351017</v>
      </c>
      <c r="H688" s="3" t="n">
        <v>0.269108</v>
      </c>
      <c r="I688" s="3" t="n">
        <v>-0.50883</v>
      </c>
      <c r="J688" s="3" t="n">
        <v>0.431644</v>
      </c>
      <c r="K688" s="3" t="n">
        <v>13.0437</v>
      </c>
      <c r="L688" s="3" t="n">
        <v>2</v>
      </c>
      <c r="M688" s="3" t="inlineStr">
        <is>
          <t>si</t>
        </is>
      </c>
      <c r="N688" s="3" t="inlineStr">
        <is>
          <t>no designado (contraste C4: no hay svar_hd regional)</t>
        </is>
      </c>
      <c r="O688" s="3" t="inlineStr">
        <is>
          <t>CCAA: ranking por c_f·sign(dY) del panel FE (M8); asociacion, sin lectura causal; el factor comun es un resumen de comovimiento (pendiente ~1 mecanica, J23)</t>
        </is>
      </c>
      <c r="P688" s="3" t="inlineStr">
        <is>
          <t>output/v8/F5/regional_ranking.csv</t>
        </is>
      </c>
    </row>
    <row r="689">
      <c r="A689" s="3" t="inlineStr">
        <is>
          <t>compra</t>
        </is>
      </c>
      <c r="B689" s="3" t="inlineStr">
        <is>
          <t>ccaa:04</t>
        </is>
      </c>
      <c r="C689" s="3" t="inlineStr">
        <is>
          <t>P5</t>
        </is>
      </c>
      <c r="D689" s="3" t="inlineStr">
        <is>
          <t>residuo</t>
        </is>
      </c>
      <c r="E689" s="3" t="inlineStr">
        <is>
          <t>regional_panel</t>
        </is>
      </c>
      <c r="F689" s="3" t="inlineStr">
        <is>
          <t>panel_covariables</t>
        </is>
      </c>
      <c r="G689" s="3" t="n">
        <v>11.1837</v>
      </c>
      <c r="H689" s="3" t="n">
        <v>85.7403</v>
      </c>
      <c r="I689" s="3" t="n">
        <v>6.41423</v>
      </c>
      <c r="J689" s="3" t="n">
        <v>17.9072</v>
      </c>
      <c r="K689" s="3" t="n">
        <v>13.0437</v>
      </c>
      <c r="L689" s="3" t="n"/>
      <c r="M689" s="3" t="inlineStr">
        <is>
          <t>no</t>
        </is>
      </c>
      <c r="N689" s="3" t="inlineStr">
        <is>
          <t>no designado (contraste C4: no hay svar_hd regional)</t>
        </is>
      </c>
      <c r="O689" s="3" t="inlineStr">
        <is>
          <t>CCAA: ranking por c_f·sign(dY) del panel FE (M8); asociacion, sin lectura causal; el factor comun es un resumen de comovimiento (pendiente ~1 mecanica, J23)</t>
        </is>
      </c>
      <c r="P689" s="3" t="inlineStr">
        <is>
          <t>output/v8/F5/regional_ranking.csv</t>
        </is>
      </c>
    </row>
    <row r="690">
      <c r="A690" s="3" t="inlineStr">
        <is>
          <t>compra</t>
        </is>
      </c>
      <c r="B690" s="3" t="inlineStr">
        <is>
          <t>ccaa:05</t>
        </is>
      </c>
      <c r="C690" s="3" t="inlineStr">
        <is>
          <t>P1</t>
        </is>
      </c>
      <c r="D690" s="3" t="inlineStr">
        <is>
          <t>factor_comun</t>
        </is>
      </c>
      <c r="E690" s="3" t="inlineStr">
        <is>
          <t>regional_ccaa_ols</t>
        </is>
      </c>
      <c r="F690" s="3" t="inlineStr">
        <is>
          <t>ols_solo_factor</t>
        </is>
      </c>
      <c r="G690" s="3" t="n">
        <v>33.8523</v>
      </c>
      <c r="H690" s="3" t="n">
        <v>44.375</v>
      </c>
      <c r="I690" s="3" t="n">
        <v>19.4815</v>
      </c>
      <c r="J690" s="3" t="n">
        <v>43.1795</v>
      </c>
      <c r="K690" s="3" t="n">
        <v>76.2869</v>
      </c>
      <c r="L690" s="3" t="n"/>
      <c r="M690" s="3" t="inlineStr">
        <is>
          <t>no</t>
        </is>
      </c>
      <c r="N690" s="3" t="inlineStr">
        <is>
          <t>no designado (contraste C4: no hay svar_hd regional)</t>
        </is>
      </c>
      <c r="O690" s="3" t="inlineStr">
        <is>
          <t>CCAA: ranking por c_f·sign(dY) del panel FE (M8); asociacion, sin lectura causal; el factor comun es un resumen de comovimiento (pendiente ~1 mecanica, J23)</t>
        </is>
      </c>
      <c r="P690" s="3" t="inlineStr">
        <is>
          <t>output/v8/F5/regional_ranking.csv</t>
        </is>
      </c>
    </row>
    <row r="691">
      <c r="A691" s="3" t="inlineStr">
        <is>
          <t>compra</t>
        </is>
      </c>
      <c r="B691" s="3" t="inlineStr">
        <is>
          <t>ccaa:05</t>
        </is>
      </c>
      <c r="C691" s="3" t="inlineStr">
        <is>
          <t>P1</t>
        </is>
      </c>
      <c r="D691" s="3" t="inlineStr">
        <is>
          <t>residuo</t>
        </is>
      </c>
      <c r="E691" s="3" t="inlineStr">
        <is>
          <t>regional_ccaa_ols</t>
        </is>
      </c>
      <c r="F691" s="3" t="inlineStr">
        <is>
          <t>ols_solo_factor</t>
        </is>
      </c>
      <c r="G691" s="3" t="n">
        <v>42.4346</v>
      </c>
      <c r="H691" s="3" t="n">
        <v>55.625</v>
      </c>
      <c r="I691" s="3" t="n"/>
      <c r="J691" s="3" t="n"/>
      <c r="K691" s="3" t="n">
        <v>76.2869</v>
      </c>
      <c r="L691" s="3" t="n"/>
      <c r="M691" s="3" t="inlineStr">
        <is>
          <t>no</t>
        </is>
      </c>
      <c r="N691" s="3" t="inlineStr">
        <is>
          <t>no designado (contraste C4: no hay svar_hd regional)</t>
        </is>
      </c>
      <c r="O691" s="3" t="inlineStr">
        <is>
          <t>CCAA: ranking por c_f·sign(dY) del panel FE (M8); asociacion, sin lectura causal; el factor comun es un resumen de comovimiento (pendiente ~1 mecanica, J23)</t>
        </is>
      </c>
      <c r="P691" s="3" t="inlineStr">
        <is>
          <t>output/v8/F5/regional_ranking.csv</t>
        </is>
      </c>
    </row>
    <row r="692">
      <c r="A692" s="3" t="inlineStr">
        <is>
          <t>compra</t>
        </is>
      </c>
      <c r="B692" s="3" t="inlineStr">
        <is>
          <t>ccaa:05</t>
        </is>
      </c>
      <c r="C692" s="3" t="inlineStr">
        <is>
          <t>P1</t>
        </is>
      </c>
      <c r="D692" s="3" t="inlineStr">
        <is>
          <t>factor_comun</t>
        </is>
      </c>
      <c r="E692" s="3" t="inlineStr">
        <is>
          <t>regional_panel</t>
        </is>
      </c>
      <c r="F692" s="3" t="inlineStr">
        <is>
          <t>panel_covariables</t>
        </is>
      </c>
      <c r="G692" s="3" t="n">
        <v>74.3853</v>
      </c>
      <c r="H692" s="3" t="n">
        <v>97.5073</v>
      </c>
      <c r="I692" s="3" t="n">
        <v>63.2347</v>
      </c>
      <c r="J692" s="3" t="n">
        <v>88.0656</v>
      </c>
      <c r="K692" s="3" t="n">
        <v>76.2869</v>
      </c>
      <c r="L692" s="3" t="n"/>
      <c r="M692" s="3" t="inlineStr">
        <is>
          <t>no</t>
        </is>
      </c>
      <c r="N692" s="3" t="inlineStr">
        <is>
          <t>no designado (contraste C4: no hay svar_hd regional)</t>
        </is>
      </c>
      <c r="O692" s="3" t="inlineStr">
        <is>
          <t>CCAA: ranking por c_f·sign(dY) del panel FE (M8); asociacion, sin lectura causal; el factor comun es un resumen de comovimiento (pendiente ~1 mecanica, J23)</t>
        </is>
      </c>
      <c r="P692" s="3" t="inlineStr">
        <is>
          <t>output/v8/F5/regional_ranking.csv</t>
        </is>
      </c>
    </row>
    <row r="693">
      <c r="A693" s="3" t="inlineStr">
        <is>
          <t>compra</t>
        </is>
      </c>
      <c r="B693" s="3" t="inlineStr">
        <is>
          <t>ccaa:05</t>
        </is>
      </c>
      <c r="C693" s="3" t="inlineStr">
        <is>
          <t>P1</t>
        </is>
      </c>
      <c r="D693" s="3" t="inlineStr">
        <is>
          <t>residuo</t>
        </is>
      </c>
      <c r="E693" s="3" t="inlineStr">
        <is>
          <t>regional_panel</t>
        </is>
      </c>
      <c r="F693" s="3" t="inlineStr">
        <is>
          <t>panel_covariables</t>
        </is>
      </c>
      <c r="G693" s="3" t="n">
        <v>1.9016</v>
      </c>
      <c r="H693" s="3" t="n">
        <v>2.4927</v>
      </c>
      <c r="I693" s="3" t="n">
        <v>-8.68317</v>
      </c>
      <c r="J693" s="3" t="n">
        <v>11.3124</v>
      </c>
      <c r="K693" s="3" t="n">
        <v>76.2869</v>
      </c>
      <c r="L693" s="3" t="n"/>
      <c r="M693" s="3" t="inlineStr">
        <is>
          <t>no</t>
        </is>
      </c>
      <c r="N693" s="3" t="inlineStr">
        <is>
          <t>no designado (contraste C4: no hay svar_hd regional)</t>
        </is>
      </c>
      <c r="O693" s="3" t="inlineStr">
        <is>
          <t>CCAA: ranking por c_f·sign(dY) del panel FE (M8); asociacion, sin lectura causal; el factor comun es un resumen de comovimiento (pendiente ~1 mecanica, J23)</t>
        </is>
      </c>
      <c r="P693" s="3" t="inlineStr">
        <is>
          <t>output/v8/F5/regional_ranking.csv</t>
        </is>
      </c>
    </row>
    <row r="694">
      <c r="A694" s="3" t="inlineStr">
        <is>
          <t>compra</t>
        </is>
      </c>
      <c r="B694" s="3" t="inlineStr">
        <is>
          <t>ccaa:05</t>
        </is>
      </c>
      <c r="C694" s="3" t="inlineStr">
        <is>
          <t>P2</t>
        </is>
      </c>
      <c r="D694" s="3" t="inlineStr">
        <is>
          <t>factor_comun</t>
        </is>
      </c>
      <c r="E694" s="3" t="inlineStr">
        <is>
          <t>regional_ccaa_ols</t>
        </is>
      </c>
      <c r="F694" s="3" t="inlineStr">
        <is>
          <t>ols_solo_factor</t>
        </is>
      </c>
      <c r="G694" s="3" t="n">
        <v>-42.4134</v>
      </c>
      <c r="H694" s="3" t="n">
        <v>92.247</v>
      </c>
      <c r="I694" s="3" t="n">
        <v>-63.345</v>
      </c>
      <c r="J694" s="3" t="n">
        <v>-22.1078</v>
      </c>
      <c r="K694" s="3" t="n">
        <v>-42.2755</v>
      </c>
      <c r="L694" s="3" t="n"/>
      <c r="M694" s="3" t="inlineStr">
        <is>
          <t>no</t>
        </is>
      </c>
      <c r="N694" s="3" t="inlineStr">
        <is>
          <t>no designado (contraste C4: no hay svar_hd regional)</t>
        </is>
      </c>
      <c r="O694" s="3" t="inlineStr">
        <is>
          <t>CCAA: ranking por c_f·sign(dY) del panel FE (M8); asociacion, sin lectura causal; el factor comun es un resumen de comovimiento (pendiente ~1 mecanica, J23)</t>
        </is>
      </c>
      <c r="P694" s="3" t="inlineStr">
        <is>
          <t>output/v8/F5/regional_ranking.csv</t>
        </is>
      </c>
    </row>
    <row r="695">
      <c r="A695" s="3" t="inlineStr">
        <is>
          <t>compra</t>
        </is>
      </c>
      <c r="B695" s="3" t="inlineStr">
        <is>
          <t>ccaa:05</t>
        </is>
      </c>
      <c r="C695" s="3" t="inlineStr">
        <is>
          <t>P2</t>
        </is>
      </c>
      <c r="D695" s="3" t="inlineStr">
        <is>
          <t>residuo</t>
        </is>
      </c>
      <c r="E695" s="3" t="inlineStr">
        <is>
          <t>regional_ccaa_ols</t>
        </is>
      </c>
      <c r="F695" s="3" t="inlineStr">
        <is>
          <t>ols_solo_factor</t>
        </is>
      </c>
      <c r="G695" s="3" t="n">
        <v>-3.56466</v>
      </c>
      <c r="H695" s="3" t="n">
        <v>7.75296</v>
      </c>
      <c r="I695" s="3" t="n"/>
      <c r="J695" s="3" t="n"/>
      <c r="K695" s="3" t="n">
        <v>-42.2755</v>
      </c>
      <c r="L695" s="3" t="n"/>
      <c r="M695" s="3" t="inlineStr">
        <is>
          <t>no</t>
        </is>
      </c>
      <c r="N695" s="3" t="inlineStr">
        <is>
          <t>no designado (contraste C4: no hay svar_hd regional)</t>
        </is>
      </c>
      <c r="O695" s="3" t="inlineStr">
        <is>
          <t>CCAA: ranking por c_f·sign(dY) del panel FE (M8); asociacion, sin lectura causal; el factor comun es un resumen de comovimiento (pendiente ~1 mecanica, J23)</t>
        </is>
      </c>
      <c r="P695" s="3" t="inlineStr">
        <is>
          <t>output/v8/F5/regional_ranking.csv</t>
        </is>
      </c>
    </row>
    <row r="696">
      <c r="A696" s="3" t="inlineStr">
        <is>
          <t>compra</t>
        </is>
      </c>
      <c r="B696" s="3" t="inlineStr">
        <is>
          <t>ccaa:05</t>
        </is>
      </c>
      <c r="C696" s="3" t="inlineStr">
        <is>
          <t>P2</t>
        </is>
      </c>
      <c r="D696" s="3" t="inlineStr">
        <is>
          <t>factor_comun</t>
        </is>
      </c>
      <c r="E696" s="3" t="inlineStr">
        <is>
          <t>regional_panel</t>
        </is>
      </c>
      <c r="F696" s="3" t="inlineStr">
        <is>
          <t>panel_covariables</t>
        </is>
      </c>
      <c r="G696" s="3" t="n">
        <v>-35.0812</v>
      </c>
      <c r="H696" s="3" t="n">
        <v>82.9823</v>
      </c>
      <c r="I696" s="3" t="n">
        <v>-41.5124</v>
      </c>
      <c r="J696" s="3" t="n">
        <v>-30.6884</v>
      </c>
      <c r="K696" s="3" t="n">
        <v>-42.2755</v>
      </c>
      <c r="L696" s="3" t="n"/>
      <c r="M696" s="3" t="inlineStr">
        <is>
          <t>no</t>
        </is>
      </c>
      <c r="N696" s="3" t="inlineStr">
        <is>
          <t>no designado (contraste C4: no hay svar_hd regional)</t>
        </is>
      </c>
      <c r="O696" s="3" t="inlineStr">
        <is>
          <t>CCAA: ranking por c_f·sign(dY) del panel FE (M8); asociacion, sin lectura causal; el factor comun es un resumen de comovimiento (pendiente ~1 mecanica, J23)</t>
        </is>
      </c>
      <c r="P696" s="3" t="inlineStr">
        <is>
          <t>output/v8/F5/regional_ranking.csv</t>
        </is>
      </c>
    </row>
    <row r="697">
      <c r="A697" s="3" t="inlineStr">
        <is>
          <t>compra</t>
        </is>
      </c>
      <c r="B697" s="3" t="inlineStr">
        <is>
          <t>ccaa:05</t>
        </is>
      </c>
      <c r="C697" s="3" t="inlineStr">
        <is>
          <t>P2</t>
        </is>
      </c>
      <c r="D697" s="3" t="inlineStr">
        <is>
          <t>empleo_renta</t>
        </is>
      </c>
      <c r="E697" s="3" t="inlineStr">
        <is>
          <t>regional_panel</t>
        </is>
      </c>
      <c r="F697" s="3" t="inlineStr">
        <is>
          <t>panel_covariables</t>
        </is>
      </c>
      <c r="G697" s="3" t="n">
        <v>-2.62694</v>
      </c>
      <c r="H697" s="3" t="n">
        <v>6.21387</v>
      </c>
      <c r="I697" s="3" t="n">
        <v>-4.37104</v>
      </c>
      <c r="J697" s="3" t="n">
        <v>-0.614184</v>
      </c>
      <c r="K697" s="3" t="n">
        <v>-42.2755</v>
      </c>
      <c r="L697" s="3" t="n">
        <v>1</v>
      </c>
      <c r="M697" s="3" t="inlineStr">
        <is>
          <t>si</t>
        </is>
      </c>
      <c r="N697" s="3" t="inlineStr">
        <is>
          <t>no designado (contraste C4: no hay svar_hd regional)</t>
        </is>
      </c>
      <c r="O697" s="3" t="inlineStr">
        <is>
          <t>CCAA: ranking por c_f·sign(dY) del panel FE (M8); asociacion, sin lectura causal; el factor comun es un resumen de comovimiento (pendiente ~1 mecanica, J23)</t>
        </is>
      </c>
      <c r="P697" s="3" t="inlineStr">
        <is>
          <t>output/v8/F5/regional_ranking.csv</t>
        </is>
      </c>
    </row>
    <row r="698">
      <c r="A698" s="3" t="inlineStr">
        <is>
          <t>compra</t>
        </is>
      </c>
      <c r="B698" s="3" t="inlineStr">
        <is>
          <t>ccaa:05</t>
        </is>
      </c>
      <c r="C698" s="3" t="inlineStr">
        <is>
          <t>P2</t>
        </is>
      </c>
      <c r="D698" s="3" t="inlineStr">
        <is>
          <t>demografia</t>
        </is>
      </c>
      <c r="E698" s="3" t="inlineStr">
        <is>
          <t>regional_panel</t>
        </is>
      </c>
      <c r="F698" s="3" t="inlineStr">
        <is>
          <t>panel_covariables</t>
        </is>
      </c>
      <c r="G698" s="3" t="n">
        <v>4.629</v>
      </c>
      <c r="H698" s="3" t="n">
        <v>-10.9496</v>
      </c>
      <c r="I698" s="3" t="n">
        <v>1.47892</v>
      </c>
      <c r="J698" s="3" t="n">
        <v>10.6544</v>
      </c>
      <c r="K698" s="3" t="n">
        <v>-42.2755</v>
      </c>
      <c r="L698" s="3" t="n">
        <v>4</v>
      </c>
      <c r="M698" s="3" t="inlineStr">
        <is>
          <t>si</t>
        </is>
      </c>
      <c r="N698" s="3" t="inlineStr">
        <is>
          <t>no designado (contraste C4: no hay svar_hd regional)</t>
        </is>
      </c>
      <c r="O698" s="3" t="inlineStr">
        <is>
          <t>CCAA: ranking por c_f·sign(dY) del panel FE (M8); asociacion, sin lectura causal; el factor comun es un resumen de comovimiento (pendiente ~1 mecanica, J23)</t>
        </is>
      </c>
      <c r="P698" s="3" t="inlineStr">
        <is>
          <t>output/v8/F5/regional_ranking.csv</t>
        </is>
      </c>
    </row>
    <row r="699">
      <c r="A699" s="3" t="inlineStr">
        <is>
          <t>compra</t>
        </is>
      </c>
      <c r="B699" s="3" t="inlineStr">
        <is>
          <t>ccaa:05</t>
        </is>
      </c>
      <c r="C699" s="3" t="inlineStr">
        <is>
          <t>P2</t>
        </is>
      </c>
      <c r="D699" s="3" t="inlineStr">
        <is>
          <t>oferta</t>
        </is>
      </c>
      <c r="E699" s="3" t="inlineStr">
        <is>
          <t>regional_panel</t>
        </is>
      </c>
      <c r="F699" s="3" t="inlineStr">
        <is>
          <t>panel_covariables</t>
        </is>
      </c>
      <c r="G699" s="3" t="n">
        <v>-0.0860769</v>
      </c>
      <c r="H699" s="3" t="n">
        <v>0.203609</v>
      </c>
      <c r="I699" s="3" t="n">
        <v>-0.797924</v>
      </c>
      <c r="J699" s="3" t="n">
        <v>0.383803</v>
      </c>
      <c r="K699" s="3" t="n">
        <v>-42.2755</v>
      </c>
      <c r="L699" s="3" t="n">
        <v>3</v>
      </c>
      <c r="M699" s="3" t="inlineStr">
        <is>
          <t>si</t>
        </is>
      </c>
      <c r="N699" s="3" t="inlineStr">
        <is>
          <t>no designado (contraste C4: no hay svar_hd regional)</t>
        </is>
      </c>
      <c r="O699" s="3" t="inlineStr">
        <is>
          <t>CCAA: ranking por c_f·sign(dY) del panel FE (M8); asociacion, sin lectura causal; el factor comun es un resumen de comovimiento (pendiente ~1 mecanica, J23)</t>
        </is>
      </c>
      <c r="P699" s="3" t="inlineStr">
        <is>
          <t>output/v8/F5/regional_ranking.csv</t>
        </is>
      </c>
    </row>
    <row r="700">
      <c r="A700" s="3" t="inlineStr">
        <is>
          <t>compra</t>
        </is>
      </c>
      <c r="B700" s="3" t="inlineStr">
        <is>
          <t>ccaa:05</t>
        </is>
      </c>
      <c r="C700" s="3" t="inlineStr">
        <is>
          <t>P2</t>
        </is>
      </c>
      <c r="D700" s="3" t="inlineStr">
        <is>
          <t>demanda_externa</t>
        </is>
      </c>
      <c r="E700" s="3" t="inlineStr">
        <is>
          <t>regional_panel</t>
        </is>
      </c>
      <c r="F700" s="3" t="inlineStr">
        <is>
          <t>panel_covariables</t>
        </is>
      </c>
      <c r="G700" s="3" t="n">
        <v>-0.26796</v>
      </c>
      <c r="H700" s="3" t="n">
        <v>0.633842</v>
      </c>
      <c r="I700" s="3" t="n">
        <v>-0.783137</v>
      </c>
      <c r="J700" s="3" t="n">
        <v>-0.00659625</v>
      </c>
      <c r="K700" s="3" t="n">
        <v>-42.2755</v>
      </c>
      <c r="L700" s="3" t="n">
        <v>2</v>
      </c>
      <c r="M700" s="3" t="inlineStr">
        <is>
          <t>si</t>
        </is>
      </c>
      <c r="N700" s="3" t="inlineStr">
        <is>
          <t>no designado (contraste C4: no hay svar_hd regional)</t>
        </is>
      </c>
      <c r="O700" s="3" t="inlineStr">
        <is>
          <t>CCAA: ranking por c_f·sign(dY) del panel FE (M8); asociacion, sin lectura causal; el factor comun es un resumen de comovimiento (pendiente ~1 mecanica, J23)</t>
        </is>
      </c>
      <c r="P700" s="3" t="inlineStr">
        <is>
          <t>output/v8/F5/regional_ranking.csv</t>
        </is>
      </c>
    </row>
    <row r="701">
      <c r="A701" s="3" t="inlineStr">
        <is>
          <t>compra</t>
        </is>
      </c>
      <c r="B701" s="3" t="inlineStr">
        <is>
          <t>ccaa:05</t>
        </is>
      </c>
      <c r="C701" s="3" t="inlineStr">
        <is>
          <t>P2</t>
        </is>
      </c>
      <c r="D701" s="3" t="inlineStr">
        <is>
          <t>residuo</t>
        </is>
      </c>
      <c r="E701" s="3" t="inlineStr">
        <is>
          <t>regional_panel</t>
        </is>
      </c>
      <c r="F701" s="3" t="inlineStr">
        <is>
          <t>panel_covariables</t>
        </is>
      </c>
      <c r="G701" s="3" t="n">
        <v>-8.84234</v>
      </c>
      <c r="H701" s="3" t="n">
        <v>20.916</v>
      </c>
      <c r="I701" s="3" t="n">
        <v>-19.1724</v>
      </c>
      <c r="J701" s="3" t="n">
        <v>-0.590959</v>
      </c>
      <c r="K701" s="3" t="n">
        <v>-42.2755</v>
      </c>
      <c r="L701" s="3" t="n"/>
      <c r="M701" s="3" t="inlineStr">
        <is>
          <t>no</t>
        </is>
      </c>
      <c r="N701" s="3" t="inlineStr">
        <is>
          <t>no designado (contraste C4: no hay svar_hd regional)</t>
        </is>
      </c>
      <c r="O701" s="3" t="inlineStr">
        <is>
          <t>CCAA: ranking por c_f·sign(dY) del panel FE (M8); asociacion, sin lectura causal; el factor comun es un resumen de comovimiento (pendiente ~1 mecanica, J23)</t>
        </is>
      </c>
      <c r="P701" s="3" t="inlineStr">
        <is>
          <t>output/v8/F5/regional_ranking.csv</t>
        </is>
      </c>
    </row>
    <row r="702">
      <c r="A702" s="3" t="inlineStr">
        <is>
          <t>compra</t>
        </is>
      </c>
      <c r="B702" s="3" t="inlineStr">
        <is>
          <t>ccaa:05</t>
        </is>
      </c>
      <c r="C702" s="3" t="inlineStr">
        <is>
          <t>P3</t>
        </is>
      </c>
      <c r="D702" s="3" t="inlineStr">
        <is>
          <t>factor_comun</t>
        </is>
      </c>
      <c r="E702" s="3" t="inlineStr">
        <is>
          <t>regional_ccaa_ols</t>
        </is>
      </c>
      <c r="F702" s="3" t="inlineStr">
        <is>
          <t>ols_solo_factor</t>
        </is>
      </c>
      <c r="G702" s="3" t="n">
        <v>-0.3242</v>
      </c>
      <c r="H702" s="3" t="n">
        <v>-2.34726</v>
      </c>
      <c r="I702" s="3" t="n">
        <v>-2.95428</v>
      </c>
      <c r="J702" s="3" t="n">
        <v>1.37162</v>
      </c>
      <c r="K702" s="3" t="n">
        <v>11.9938</v>
      </c>
      <c r="L702" s="3" t="n"/>
      <c r="M702" s="3" t="inlineStr">
        <is>
          <t>no</t>
        </is>
      </c>
      <c r="N702" s="3" t="inlineStr">
        <is>
          <t>no designado (contraste C4: no hay svar_hd regional)</t>
        </is>
      </c>
      <c r="O702" s="3" t="inlineStr">
        <is>
          <t>CCAA: ranking por c_f·sign(dY) del panel FE (M8); asociacion, sin lectura causal; el factor comun es un resumen de comovimiento (pendiente ~1 mecanica, J23)</t>
        </is>
      </c>
      <c r="P702" s="3" t="inlineStr">
        <is>
          <t>output/v8/F5/regional_ranking.csv</t>
        </is>
      </c>
    </row>
    <row r="703">
      <c r="A703" s="3" t="inlineStr">
        <is>
          <t>compra</t>
        </is>
      </c>
      <c r="B703" s="3" t="inlineStr">
        <is>
          <t>ccaa:05</t>
        </is>
      </c>
      <c r="C703" s="3" t="inlineStr">
        <is>
          <t>P3</t>
        </is>
      </c>
      <c r="D703" s="3" t="inlineStr">
        <is>
          <t>residuo</t>
        </is>
      </c>
      <c r="E703" s="3" t="inlineStr">
        <is>
          <t>regional_ccaa_ols</t>
        </is>
      </c>
      <c r="F703" s="3" t="inlineStr">
        <is>
          <t>ols_solo_factor</t>
        </is>
      </c>
      <c r="G703" s="3" t="n">
        <v>14.136</v>
      </c>
      <c r="H703" s="3" t="n">
        <v>102.347</v>
      </c>
      <c r="I703" s="3" t="n"/>
      <c r="J703" s="3" t="n"/>
      <c r="K703" s="3" t="n">
        <v>11.9938</v>
      </c>
      <c r="L703" s="3" t="n"/>
      <c r="M703" s="3" t="inlineStr">
        <is>
          <t>no</t>
        </is>
      </c>
      <c r="N703" s="3" t="inlineStr">
        <is>
          <t>no designado (contraste C4: no hay svar_hd regional)</t>
        </is>
      </c>
      <c r="O703" s="3" t="inlineStr">
        <is>
          <t>CCAA: ranking por c_f·sign(dY) del panel FE (M8); asociacion, sin lectura causal; el factor comun es un resumen de comovimiento (pendiente ~1 mecanica, J23)</t>
        </is>
      </c>
      <c r="P703" s="3" t="inlineStr">
        <is>
          <t>output/v8/F5/regional_ranking.csv</t>
        </is>
      </c>
    </row>
    <row r="704">
      <c r="A704" s="3" t="inlineStr">
        <is>
          <t>compra</t>
        </is>
      </c>
      <c r="B704" s="3" t="inlineStr">
        <is>
          <t>ccaa:05</t>
        </is>
      </c>
      <c r="C704" s="3" t="inlineStr">
        <is>
          <t>P3</t>
        </is>
      </c>
      <c r="D704" s="3" t="inlineStr">
        <is>
          <t>factor_comun</t>
        </is>
      </c>
      <c r="E704" s="3" t="inlineStr">
        <is>
          <t>regional_panel</t>
        </is>
      </c>
      <c r="F704" s="3" t="inlineStr">
        <is>
          <t>panel_covariables</t>
        </is>
      </c>
      <c r="G704" s="3" t="n">
        <v>-0.548472</v>
      </c>
      <c r="H704" s="3" t="n">
        <v>-4.57295</v>
      </c>
      <c r="I704" s="3" t="n">
        <v>-3.50001</v>
      </c>
      <c r="J704" s="3" t="n">
        <v>2.45383</v>
      </c>
      <c r="K704" s="3" t="n">
        <v>11.9938</v>
      </c>
      <c r="L704" s="3" t="n"/>
      <c r="M704" s="3" t="inlineStr">
        <is>
          <t>no</t>
        </is>
      </c>
      <c r="N704" s="3" t="inlineStr">
        <is>
          <t>no designado (contraste C4: no hay svar_hd regional)</t>
        </is>
      </c>
      <c r="O704" s="3" t="inlineStr">
        <is>
          <t>CCAA: ranking por c_f·sign(dY) del panel FE (M8); asociacion, sin lectura causal; el factor comun es un resumen de comovimiento (pendiente ~1 mecanica, J23)</t>
        </is>
      </c>
      <c r="P704" s="3" t="inlineStr">
        <is>
          <t>output/v8/F5/regional_ranking.csv</t>
        </is>
      </c>
    </row>
    <row r="705">
      <c r="A705" s="3" t="inlineStr">
        <is>
          <t>compra</t>
        </is>
      </c>
      <c r="B705" s="3" t="inlineStr">
        <is>
          <t>ccaa:05</t>
        </is>
      </c>
      <c r="C705" s="3" t="inlineStr">
        <is>
          <t>P3</t>
        </is>
      </c>
      <c r="D705" s="3" t="inlineStr">
        <is>
          <t>empleo_renta</t>
        </is>
      </c>
      <c r="E705" s="3" t="inlineStr">
        <is>
          <t>regional_panel</t>
        </is>
      </c>
      <c r="F705" s="3" t="inlineStr">
        <is>
          <t>panel_covariables</t>
        </is>
      </c>
      <c r="G705" s="3" t="n">
        <v>0.707705</v>
      </c>
      <c r="H705" s="3" t="n">
        <v>5.90058</v>
      </c>
      <c r="I705" s="3" t="n">
        <v>-0.491789</v>
      </c>
      <c r="J705" s="3" t="n">
        <v>2.19913</v>
      </c>
      <c r="K705" s="3" t="n">
        <v>11.9938</v>
      </c>
      <c r="L705" s="3" t="n">
        <v>2</v>
      </c>
      <c r="M705" s="3" t="inlineStr">
        <is>
          <t>si</t>
        </is>
      </c>
      <c r="N705" s="3" t="inlineStr">
        <is>
          <t>no designado (contraste C4: no hay svar_hd regional)</t>
        </is>
      </c>
      <c r="O705" s="3" t="inlineStr">
        <is>
          <t>CCAA: ranking por c_f·sign(dY) del panel FE (M8); asociacion, sin lectura causal; el factor comun es un resumen de comovimiento (pendiente ~1 mecanica, J23)</t>
        </is>
      </c>
      <c r="P705" s="3" t="inlineStr">
        <is>
          <t>output/v8/F5/regional_ranking.csv</t>
        </is>
      </c>
    </row>
    <row r="706">
      <c r="A706" s="3" t="inlineStr">
        <is>
          <t>compra</t>
        </is>
      </c>
      <c r="B706" s="3" t="inlineStr">
        <is>
          <t>ccaa:05</t>
        </is>
      </c>
      <c r="C706" s="3" t="inlineStr">
        <is>
          <t>P3</t>
        </is>
      </c>
      <c r="D706" s="3" t="inlineStr">
        <is>
          <t>demografia</t>
        </is>
      </c>
      <c r="E706" s="3" t="inlineStr">
        <is>
          <t>regional_panel</t>
        </is>
      </c>
      <c r="F706" s="3" t="inlineStr">
        <is>
          <t>panel_covariables</t>
        </is>
      </c>
      <c r="G706" s="3" t="n">
        <v>2.80025</v>
      </c>
      <c r="H706" s="3" t="n">
        <v>23.3475</v>
      </c>
      <c r="I706" s="3" t="n">
        <v>1.59738</v>
      </c>
      <c r="J706" s="3" t="n">
        <v>5.01615</v>
      </c>
      <c r="K706" s="3" t="n">
        <v>11.9938</v>
      </c>
      <c r="L706" s="3" t="n">
        <v>1</v>
      </c>
      <c r="M706" s="3" t="inlineStr">
        <is>
          <t>si</t>
        </is>
      </c>
      <c r="N706" s="3" t="inlineStr">
        <is>
          <t>no designado (contraste C4: no hay svar_hd regional)</t>
        </is>
      </c>
      <c r="O706" s="3" t="inlineStr">
        <is>
          <t>CCAA: ranking por c_f·sign(dY) del panel FE (M8); asociacion, sin lectura causal; el factor comun es un resumen de comovimiento (pendiente ~1 mecanica, J23)</t>
        </is>
      </c>
      <c r="P706" s="3" t="inlineStr">
        <is>
          <t>output/v8/F5/regional_ranking.csv</t>
        </is>
      </c>
    </row>
    <row r="707">
      <c r="A707" s="3" t="inlineStr">
        <is>
          <t>compra</t>
        </is>
      </c>
      <c r="B707" s="3" t="inlineStr">
        <is>
          <t>ccaa:05</t>
        </is>
      </c>
      <c r="C707" s="3" t="inlineStr">
        <is>
          <t>P3</t>
        </is>
      </c>
      <c r="D707" s="3" t="inlineStr">
        <is>
          <t>oferta</t>
        </is>
      </c>
      <c r="E707" s="3" t="inlineStr">
        <is>
          <t>regional_panel</t>
        </is>
      </c>
      <c r="F707" s="3" t="inlineStr">
        <is>
          <t>panel_covariables</t>
        </is>
      </c>
      <c r="G707" s="3" t="n">
        <v>-0.72605</v>
      </c>
      <c r="H707" s="3" t="n">
        <v>-6.05353</v>
      </c>
      <c r="I707" s="3" t="n">
        <v>-1.13171</v>
      </c>
      <c r="J707" s="3" t="n">
        <v>-0.0254186</v>
      </c>
      <c r="K707" s="3" t="n">
        <v>11.9938</v>
      </c>
      <c r="L707" s="3" t="n">
        <v>4</v>
      </c>
      <c r="M707" s="3" t="inlineStr">
        <is>
          <t>si</t>
        </is>
      </c>
      <c r="N707" s="3" t="inlineStr">
        <is>
          <t>no designado (contraste C4: no hay svar_hd regional)</t>
        </is>
      </c>
      <c r="O707" s="3" t="inlineStr">
        <is>
          <t>CCAA: ranking por c_f·sign(dY) del panel FE (M8); asociacion, sin lectura causal; el factor comun es un resumen de comovimiento (pendiente ~1 mecanica, J23)</t>
        </is>
      </c>
      <c r="P707" s="3" t="inlineStr">
        <is>
          <t>output/v8/F5/regional_ranking.csv</t>
        </is>
      </c>
    </row>
    <row r="708">
      <c r="A708" s="3" t="inlineStr">
        <is>
          <t>compra</t>
        </is>
      </c>
      <c r="B708" s="3" t="inlineStr">
        <is>
          <t>ccaa:05</t>
        </is>
      </c>
      <c r="C708" s="3" t="inlineStr">
        <is>
          <t>P3</t>
        </is>
      </c>
      <c r="D708" s="3" t="inlineStr">
        <is>
          <t>demanda_externa</t>
        </is>
      </c>
      <c r="E708" s="3" t="inlineStr">
        <is>
          <t>regional_panel</t>
        </is>
      </c>
      <c r="F708" s="3" t="inlineStr">
        <is>
          <t>panel_covariables</t>
        </is>
      </c>
      <c r="G708" s="3" t="n">
        <v>0.214309</v>
      </c>
      <c r="H708" s="3" t="n">
        <v>1.78683</v>
      </c>
      <c r="I708" s="3" t="n">
        <v>-0.147253</v>
      </c>
      <c r="J708" s="3" t="n">
        <v>0.400629</v>
      </c>
      <c r="K708" s="3" t="n">
        <v>11.9938</v>
      </c>
      <c r="L708" s="3" t="n">
        <v>3</v>
      </c>
      <c r="M708" s="3" t="inlineStr">
        <is>
          <t>si</t>
        </is>
      </c>
      <c r="N708" s="3" t="inlineStr">
        <is>
          <t>no designado (contraste C4: no hay svar_hd regional)</t>
        </is>
      </c>
      <c r="O708" s="3" t="inlineStr">
        <is>
          <t>CCAA: ranking por c_f·sign(dY) del panel FE (M8); asociacion, sin lectura causal; el factor comun es un resumen de comovimiento (pendiente ~1 mecanica, J23)</t>
        </is>
      </c>
      <c r="P708" s="3" t="inlineStr">
        <is>
          <t>output/v8/F5/regional_ranking.csv</t>
        </is>
      </c>
    </row>
    <row r="709">
      <c r="A709" s="3" t="inlineStr">
        <is>
          <t>compra</t>
        </is>
      </c>
      <c r="B709" s="3" t="inlineStr">
        <is>
          <t>ccaa:05</t>
        </is>
      </c>
      <c r="C709" s="3" t="inlineStr">
        <is>
          <t>P3</t>
        </is>
      </c>
      <c r="D709" s="3" t="inlineStr">
        <is>
          <t>residuo</t>
        </is>
      </c>
      <c r="E709" s="3" t="inlineStr">
        <is>
          <t>regional_panel</t>
        </is>
      </c>
      <c r="F709" s="3" t="inlineStr">
        <is>
          <t>panel_covariables</t>
        </is>
      </c>
      <c r="G709" s="3" t="n">
        <v>9.54608</v>
      </c>
      <c r="H709" s="3" t="n">
        <v>79.5916</v>
      </c>
      <c r="I709" s="3" t="n">
        <v>5.85657</v>
      </c>
      <c r="J709" s="3" t="n">
        <v>11.9991</v>
      </c>
      <c r="K709" s="3" t="n">
        <v>11.9938</v>
      </c>
      <c r="L709" s="3" t="n"/>
      <c r="M709" s="3" t="inlineStr">
        <is>
          <t>no</t>
        </is>
      </c>
      <c r="N709" s="3" t="inlineStr">
        <is>
          <t>no designado (contraste C4: no hay svar_hd regional)</t>
        </is>
      </c>
      <c r="O709" s="3" t="inlineStr">
        <is>
          <t>CCAA: ranking por c_f·sign(dY) del panel FE (M8); asociacion, sin lectura causal; el factor comun es un resumen de comovimiento (pendiente ~1 mecanica, J23)</t>
        </is>
      </c>
      <c r="P709" s="3" t="inlineStr">
        <is>
          <t>output/v8/F5/regional_ranking.csv</t>
        </is>
      </c>
    </row>
    <row r="710">
      <c r="A710" s="3" t="inlineStr">
        <is>
          <t>compra</t>
        </is>
      </c>
      <c r="B710" s="3" t="inlineStr">
        <is>
          <t>ccaa:05</t>
        </is>
      </c>
      <c r="C710" s="3" t="inlineStr">
        <is>
          <t>P4</t>
        </is>
      </c>
      <c r="D710" s="3" t="inlineStr">
        <is>
          <t>factor_comun</t>
        </is>
      </c>
      <c r="E710" s="3" t="inlineStr">
        <is>
          <t>regional_ccaa_ols</t>
        </is>
      </c>
      <c r="F710" s="3" t="inlineStr">
        <is>
          <t>ols_solo_factor</t>
        </is>
      </c>
      <c r="G710" s="3" t="n">
        <v>-2.9536</v>
      </c>
      <c r="H710" s="3" t="n">
        <v>91.98390000000001</v>
      </c>
      <c r="I710" s="3" t="n">
        <v>-4.28457</v>
      </c>
      <c r="J710" s="3" t="n">
        <v>-2.54206</v>
      </c>
      <c r="K710" s="3" t="n">
        <v>-3.211</v>
      </c>
      <c r="L710" s="3" t="n"/>
      <c r="M710" s="3" t="inlineStr">
        <is>
          <t>no</t>
        </is>
      </c>
      <c r="N710" s="3" t="inlineStr">
        <is>
          <t>no designado (contraste C4: no hay svar_hd regional)</t>
        </is>
      </c>
      <c r="O710" s="3" t="inlineStr">
        <is>
          <t>CCAA: ranking por c_f·sign(dY) del panel FE (M8); asociacion, sin lectura causal; el factor comun es un resumen de comovimiento (pendiente ~1 mecanica, J23)</t>
        </is>
      </c>
      <c r="P710" s="3" t="inlineStr">
        <is>
          <t>output/v8/F5/regional_ranking.csv</t>
        </is>
      </c>
    </row>
    <row r="711">
      <c r="A711" s="3" t="inlineStr">
        <is>
          <t>compra</t>
        </is>
      </c>
      <c r="B711" s="3" t="inlineStr">
        <is>
          <t>ccaa:05</t>
        </is>
      </c>
      <c r="C711" s="3" t="inlineStr">
        <is>
          <t>P4</t>
        </is>
      </c>
      <c r="D711" s="3" t="inlineStr">
        <is>
          <t>residuo</t>
        </is>
      </c>
      <c r="E711" s="3" t="inlineStr">
        <is>
          <t>regional_ccaa_ols</t>
        </is>
      </c>
      <c r="F711" s="3" t="inlineStr">
        <is>
          <t>ols_solo_factor</t>
        </is>
      </c>
      <c r="G711" s="3" t="n">
        <v>-0.257396</v>
      </c>
      <c r="H711" s="3" t="n">
        <v>8.01609</v>
      </c>
      <c r="I711" s="3" t="n"/>
      <c r="J711" s="3" t="n"/>
      <c r="K711" s="3" t="n">
        <v>-3.211</v>
      </c>
      <c r="L711" s="3" t="n"/>
      <c r="M711" s="3" t="inlineStr">
        <is>
          <t>no</t>
        </is>
      </c>
      <c r="N711" s="3" t="inlineStr">
        <is>
          <t>no designado (contraste C4: no hay svar_hd regional)</t>
        </is>
      </c>
      <c r="O711" s="3" t="inlineStr">
        <is>
          <t>CCAA: ranking por c_f·sign(dY) del panel FE (M8); asociacion, sin lectura causal; el factor comun es un resumen de comovimiento (pendiente ~1 mecanica, J23)</t>
        </is>
      </c>
      <c r="P711" s="3" t="inlineStr">
        <is>
          <t>output/v8/F5/regional_ranking.csv</t>
        </is>
      </c>
    </row>
    <row r="712">
      <c r="A712" s="3" t="inlineStr">
        <is>
          <t>compra</t>
        </is>
      </c>
      <c r="B712" s="3" t="inlineStr">
        <is>
          <t>ccaa:05</t>
        </is>
      </c>
      <c r="C712" s="3" t="inlineStr">
        <is>
          <t>P4</t>
        </is>
      </c>
      <c r="D712" s="3" t="inlineStr">
        <is>
          <t>factor_comun</t>
        </is>
      </c>
      <c r="E712" s="3" t="inlineStr">
        <is>
          <t>regional_panel</t>
        </is>
      </c>
      <c r="F712" s="3" t="inlineStr">
        <is>
          <t>panel_covariables</t>
        </is>
      </c>
      <c r="G712" s="3" t="n">
        <v>-4.21608</v>
      </c>
      <c r="H712" s="3" t="n">
        <v>131.301</v>
      </c>
      <c r="I712" s="3" t="n">
        <v>-5.07352</v>
      </c>
      <c r="J712" s="3" t="n">
        <v>-2.674</v>
      </c>
      <c r="K712" s="3" t="n">
        <v>-3.211</v>
      </c>
      <c r="L712" s="3" t="n"/>
      <c r="M712" s="3" t="inlineStr">
        <is>
          <t>no</t>
        </is>
      </c>
      <c r="N712" s="3" t="inlineStr">
        <is>
          <t>no designado (contraste C4: no hay svar_hd regional)</t>
        </is>
      </c>
      <c r="O712" s="3" t="inlineStr">
        <is>
          <t>CCAA: ranking por c_f·sign(dY) del panel FE (M8); asociacion, sin lectura causal; el factor comun es un resumen de comovimiento (pendiente ~1 mecanica, J23)</t>
        </is>
      </c>
      <c r="P712" s="3" t="inlineStr">
        <is>
          <t>output/v8/F5/regional_ranking.csv</t>
        </is>
      </c>
    </row>
    <row r="713">
      <c r="A713" s="3" t="inlineStr">
        <is>
          <t>compra</t>
        </is>
      </c>
      <c r="B713" s="3" t="inlineStr">
        <is>
          <t>ccaa:05</t>
        </is>
      </c>
      <c r="C713" s="3" t="inlineStr">
        <is>
          <t>P4</t>
        </is>
      </c>
      <c r="D713" s="3" t="inlineStr">
        <is>
          <t>empleo_renta</t>
        </is>
      </c>
      <c r="E713" s="3" t="inlineStr">
        <is>
          <t>regional_panel</t>
        </is>
      </c>
      <c r="F713" s="3" t="inlineStr">
        <is>
          <t>panel_covariables</t>
        </is>
      </c>
      <c r="G713" s="3" t="n">
        <v>-0.024599</v>
      </c>
      <c r="H713" s="3" t="n">
        <v>0.766085</v>
      </c>
      <c r="I713" s="3" t="n">
        <v>-1.0558</v>
      </c>
      <c r="J713" s="3" t="n">
        <v>0.898381</v>
      </c>
      <c r="K713" s="3" t="n">
        <v>-3.211</v>
      </c>
      <c r="L713" s="3" t="n">
        <v>3</v>
      </c>
      <c r="M713" s="3" t="inlineStr">
        <is>
          <t>si</t>
        </is>
      </c>
      <c r="N713" s="3" t="inlineStr">
        <is>
          <t>no designado (contraste C4: no hay svar_hd regional)</t>
        </is>
      </c>
      <c r="O713" s="3" t="inlineStr">
        <is>
          <t>CCAA: ranking por c_f·sign(dY) del panel FE (M8); asociacion, sin lectura causal; el factor comun es un resumen de comovimiento (pendiente ~1 mecanica, J23)</t>
        </is>
      </c>
      <c r="P713" s="3" t="inlineStr">
        <is>
          <t>output/v8/F5/regional_ranking.csv</t>
        </is>
      </c>
    </row>
    <row r="714">
      <c r="A714" s="3" t="inlineStr">
        <is>
          <t>compra</t>
        </is>
      </c>
      <c r="B714" s="3" t="inlineStr">
        <is>
          <t>ccaa:05</t>
        </is>
      </c>
      <c r="C714" s="3" t="inlineStr">
        <is>
          <t>P4</t>
        </is>
      </c>
      <c r="D714" s="3" t="inlineStr">
        <is>
          <t>demografia</t>
        </is>
      </c>
      <c r="E714" s="3" t="inlineStr">
        <is>
          <t>regional_panel</t>
        </is>
      </c>
      <c r="F714" s="3" t="inlineStr">
        <is>
          <t>panel_covariables</t>
        </is>
      </c>
      <c r="G714" s="3" t="n">
        <v>-0.0606793</v>
      </c>
      <c r="H714" s="3" t="n">
        <v>1.88973</v>
      </c>
      <c r="I714" s="3" t="n">
        <v>-0.816482</v>
      </c>
      <c r="J714" s="3" t="n">
        <v>0.651908</v>
      </c>
      <c r="K714" s="3" t="n">
        <v>-3.211</v>
      </c>
      <c r="L714" s="3" t="n">
        <v>1</v>
      </c>
      <c r="M714" s="3" t="inlineStr">
        <is>
          <t>si</t>
        </is>
      </c>
      <c r="N714" s="3" t="inlineStr">
        <is>
          <t>no designado (contraste C4: no hay svar_hd regional)</t>
        </is>
      </c>
      <c r="O714" s="3" t="inlineStr">
        <is>
          <t>CCAA: ranking por c_f·sign(dY) del panel FE (M8); asociacion, sin lectura causal; el factor comun es un resumen de comovimiento (pendiente ~1 mecanica, J23)</t>
        </is>
      </c>
      <c r="P714" s="3" t="inlineStr">
        <is>
          <t>output/v8/F5/regional_ranking.csv</t>
        </is>
      </c>
    </row>
    <row r="715">
      <c r="A715" s="3" t="inlineStr">
        <is>
          <t>compra</t>
        </is>
      </c>
      <c r="B715" s="3" t="inlineStr">
        <is>
          <t>ccaa:05</t>
        </is>
      </c>
      <c r="C715" s="3" t="inlineStr">
        <is>
          <t>P4</t>
        </is>
      </c>
      <c r="D715" s="3" t="inlineStr">
        <is>
          <t>oferta</t>
        </is>
      </c>
      <c r="E715" s="3" t="inlineStr">
        <is>
          <t>regional_panel</t>
        </is>
      </c>
      <c r="F715" s="3" t="inlineStr">
        <is>
          <t>panel_covariables</t>
        </is>
      </c>
      <c r="G715" s="3" t="n">
        <v>-0.0475477</v>
      </c>
      <c r="H715" s="3" t="n">
        <v>1.48078</v>
      </c>
      <c r="I715" s="3" t="n">
        <v>-0.190209</v>
      </c>
      <c r="J715" s="3" t="n">
        <v>0.00612852</v>
      </c>
      <c r="K715" s="3" t="n">
        <v>-3.211</v>
      </c>
      <c r="L715" s="3" t="n">
        <v>2</v>
      </c>
      <c r="M715" s="3" t="inlineStr">
        <is>
          <t>si</t>
        </is>
      </c>
      <c r="N715" s="3" t="inlineStr">
        <is>
          <t>no designado (contraste C4: no hay svar_hd regional)</t>
        </is>
      </c>
      <c r="O715" s="3" t="inlineStr">
        <is>
          <t>CCAA: ranking por c_f·sign(dY) del panel FE (M8); asociacion, sin lectura causal; el factor comun es un resumen de comovimiento (pendiente ~1 mecanica, J23)</t>
        </is>
      </c>
      <c r="P715" s="3" t="inlineStr">
        <is>
          <t>output/v8/F5/regional_ranking.csv</t>
        </is>
      </c>
    </row>
    <row r="716">
      <c r="A716" s="3" t="inlineStr">
        <is>
          <t>compra</t>
        </is>
      </c>
      <c r="B716" s="3" t="inlineStr">
        <is>
          <t>ccaa:05</t>
        </is>
      </c>
      <c r="C716" s="3" t="inlineStr">
        <is>
          <t>P4</t>
        </is>
      </c>
      <c r="D716" s="3" t="inlineStr">
        <is>
          <t>demanda_externa</t>
        </is>
      </c>
      <c r="E716" s="3" t="inlineStr">
        <is>
          <t>regional_panel</t>
        </is>
      </c>
      <c r="F716" s="3" t="inlineStr">
        <is>
          <t>panel_covariables</t>
        </is>
      </c>
      <c r="G716" s="3" t="n">
        <v>0.09761</v>
      </c>
      <c r="H716" s="3" t="n">
        <v>-3.03987</v>
      </c>
      <c r="I716" s="3" t="n">
        <v>-0.209544</v>
      </c>
      <c r="J716" s="3" t="n">
        <v>0.203659</v>
      </c>
      <c r="K716" s="3" t="n">
        <v>-3.211</v>
      </c>
      <c r="L716" s="3" t="n">
        <v>4</v>
      </c>
      <c r="M716" s="3" t="inlineStr">
        <is>
          <t>si</t>
        </is>
      </c>
      <c r="N716" s="3" t="inlineStr">
        <is>
          <t>no designado (contraste C4: no hay svar_hd regional)</t>
        </is>
      </c>
      <c r="O716" s="3" t="inlineStr">
        <is>
          <t>CCAA: ranking por c_f·sign(dY) del panel FE (M8); asociacion, sin lectura causal; el factor comun es un resumen de comovimiento (pendiente ~1 mecanica, J23)</t>
        </is>
      </c>
      <c r="P716" s="3" t="inlineStr">
        <is>
          <t>output/v8/F5/regional_ranking.csv</t>
        </is>
      </c>
    </row>
    <row r="717">
      <c r="A717" s="3" t="inlineStr">
        <is>
          <t>compra</t>
        </is>
      </c>
      <c r="B717" s="3" t="inlineStr">
        <is>
          <t>ccaa:05</t>
        </is>
      </c>
      <c r="C717" s="3" t="inlineStr">
        <is>
          <t>P4</t>
        </is>
      </c>
      <c r="D717" s="3" t="inlineStr">
        <is>
          <t>residuo</t>
        </is>
      </c>
      <c r="E717" s="3" t="inlineStr">
        <is>
          <t>regional_panel</t>
        </is>
      </c>
      <c r="F717" s="3" t="inlineStr">
        <is>
          <t>panel_covariables</t>
        </is>
      </c>
      <c r="G717" s="3" t="n">
        <v>1.0403</v>
      </c>
      <c r="H717" s="3" t="n">
        <v>-32.3981</v>
      </c>
      <c r="I717" s="3" t="n">
        <v>0.238201</v>
      </c>
      <c r="J717" s="3" t="n">
        <v>1.94816</v>
      </c>
      <c r="K717" s="3" t="n">
        <v>-3.211</v>
      </c>
      <c r="L717" s="3" t="n"/>
      <c r="M717" s="3" t="inlineStr">
        <is>
          <t>no</t>
        </is>
      </c>
      <c r="N717" s="3" t="inlineStr">
        <is>
          <t>no designado (contraste C4: no hay svar_hd regional)</t>
        </is>
      </c>
      <c r="O717" s="3" t="inlineStr">
        <is>
          <t>CCAA: ranking por c_f·sign(dY) del panel FE (M8); asociacion, sin lectura causal; el factor comun es un resumen de comovimiento (pendiente ~1 mecanica, J23)</t>
        </is>
      </c>
      <c r="P717" s="3" t="inlineStr">
        <is>
          <t>output/v8/F5/regional_ranking.csv</t>
        </is>
      </c>
    </row>
    <row r="718">
      <c r="A718" s="3" t="inlineStr">
        <is>
          <t>compra</t>
        </is>
      </c>
      <c r="B718" s="3" t="inlineStr">
        <is>
          <t>ccaa:05</t>
        </is>
      </c>
      <c r="C718" s="3" t="inlineStr">
        <is>
          <t>P5</t>
        </is>
      </c>
      <c r="D718" s="3" t="inlineStr">
        <is>
          <t>factor_comun</t>
        </is>
      </c>
      <c r="E718" s="3" t="inlineStr">
        <is>
          <t>regional_ccaa_ols</t>
        </is>
      </c>
      <c r="F718" s="3" t="inlineStr">
        <is>
          <t>ols_solo_factor</t>
        </is>
      </c>
      <c r="G718" s="3" t="n">
        <v>9.6236</v>
      </c>
      <c r="H718" s="3" t="n">
        <v>61.9136</v>
      </c>
      <c r="I718" s="3" t="n">
        <v>4.265</v>
      </c>
      <c r="J718" s="3" t="n">
        <v>14.5945</v>
      </c>
      <c r="K718" s="3" t="n">
        <v>6.43274</v>
      </c>
      <c r="L718" s="3" t="n"/>
      <c r="M718" s="3" t="inlineStr">
        <is>
          <t>no</t>
        </is>
      </c>
      <c r="N718" s="3" t="inlineStr">
        <is>
          <t>no designado (contraste C4: no hay svar_hd regional)</t>
        </is>
      </c>
      <c r="O718" s="3" t="inlineStr">
        <is>
          <t>CCAA: ranking por c_f·sign(dY) del panel FE (M8); asociacion, sin lectura causal; el factor comun es un resumen de comovimiento (pendiente ~1 mecanica, J23)</t>
        </is>
      </c>
      <c r="P718" s="3" t="inlineStr">
        <is>
          <t>output/v8/F5/regional_ranking.csv</t>
        </is>
      </c>
    </row>
    <row r="719">
      <c r="A719" s="3" t="inlineStr">
        <is>
          <t>compra</t>
        </is>
      </c>
      <c r="B719" s="3" t="inlineStr">
        <is>
          <t>ccaa:05</t>
        </is>
      </c>
      <c r="C719" s="3" t="inlineStr">
        <is>
          <t>P5</t>
        </is>
      </c>
      <c r="D719" s="3" t="inlineStr">
        <is>
          <t>residuo</t>
        </is>
      </c>
      <c r="E719" s="3" t="inlineStr">
        <is>
          <t>regional_ccaa_ols</t>
        </is>
      </c>
      <c r="F719" s="3" t="inlineStr">
        <is>
          <t>ols_solo_factor</t>
        </is>
      </c>
      <c r="G719" s="3" t="n">
        <v>5.92</v>
      </c>
      <c r="H719" s="3" t="n">
        <v>38.0864</v>
      </c>
      <c r="I719" s="3" t="n"/>
      <c r="J719" s="3" t="n"/>
      <c r="K719" s="3" t="n">
        <v>6.43274</v>
      </c>
      <c r="L719" s="3" t="n"/>
      <c r="M719" s="3" t="inlineStr">
        <is>
          <t>no</t>
        </is>
      </c>
      <c r="N719" s="3" t="inlineStr">
        <is>
          <t>no designado (contraste C4: no hay svar_hd regional)</t>
        </is>
      </c>
      <c r="O719" s="3" t="inlineStr">
        <is>
          <t>CCAA: ranking por c_f·sign(dY) del panel FE (M8); asociacion, sin lectura causal; el factor comun es un resumen de comovimiento (pendiente ~1 mecanica, J23)</t>
        </is>
      </c>
      <c r="P719" s="3" t="inlineStr">
        <is>
          <t>output/v8/F5/regional_ranking.csv</t>
        </is>
      </c>
    </row>
    <row r="720">
      <c r="A720" s="3" t="inlineStr">
        <is>
          <t>compra</t>
        </is>
      </c>
      <c r="B720" s="3" t="inlineStr">
        <is>
          <t>ccaa:05</t>
        </is>
      </c>
      <c r="C720" s="3" t="inlineStr">
        <is>
          <t>P5</t>
        </is>
      </c>
      <c r="D720" s="3" t="inlineStr">
        <is>
          <t>factor_comun</t>
        </is>
      </c>
      <c r="E720" s="3" t="inlineStr">
        <is>
          <t>regional_panel</t>
        </is>
      </c>
      <c r="F720" s="3" t="inlineStr">
        <is>
          <t>panel_covariables</t>
        </is>
      </c>
      <c r="G720" s="3" t="n">
        <v>1.50215</v>
      </c>
      <c r="H720" s="3" t="n">
        <v>23.3516</v>
      </c>
      <c r="I720" s="3" t="n">
        <v>-1.20824</v>
      </c>
      <c r="J720" s="3" t="n">
        <v>4.46537</v>
      </c>
      <c r="K720" s="3" t="n">
        <v>6.43274</v>
      </c>
      <c r="L720" s="3" t="n"/>
      <c r="M720" s="3" t="inlineStr">
        <is>
          <t>no</t>
        </is>
      </c>
      <c r="N720" s="3" t="inlineStr">
        <is>
          <t>no designado (contraste C4: no hay svar_hd regional)</t>
        </is>
      </c>
      <c r="O720" s="3" t="inlineStr">
        <is>
          <t>CCAA: ranking por c_f·sign(dY) del panel FE (M8); asociacion, sin lectura causal; el factor comun es un resumen de comovimiento (pendiente ~1 mecanica, J23)</t>
        </is>
      </c>
      <c r="P720" s="3" t="inlineStr">
        <is>
          <t>output/v8/F5/regional_ranking.csv</t>
        </is>
      </c>
    </row>
    <row r="721">
      <c r="A721" s="3" t="inlineStr">
        <is>
          <t>compra</t>
        </is>
      </c>
      <c r="B721" s="3" t="inlineStr">
        <is>
          <t>ccaa:05</t>
        </is>
      </c>
      <c r="C721" s="3" t="inlineStr">
        <is>
          <t>P5</t>
        </is>
      </c>
      <c r="D721" s="3" t="inlineStr">
        <is>
          <t>empleo_renta</t>
        </is>
      </c>
      <c r="E721" s="3" t="inlineStr">
        <is>
          <t>regional_panel</t>
        </is>
      </c>
      <c r="F721" s="3" t="inlineStr">
        <is>
          <t>panel_covariables</t>
        </is>
      </c>
      <c r="G721" s="3" t="n">
        <v>0.881594</v>
      </c>
      <c r="H721" s="3" t="n">
        <v>13.7048</v>
      </c>
      <c r="I721" s="3" t="n">
        <v>0.0798909</v>
      </c>
      <c r="J721" s="3" t="n">
        <v>2.17512</v>
      </c>
      <c r="K721" s="3" t="n">
        <v>6.43274</v>
      </c>
      <c r="L721" s="3" t="n">
        <v>1</v>
      </c>
      <c r="M721" s="3" t="inlineStr">
        <is>
          <t>si</t>
        </is>
      </c>
      <c r="N721" s="3" t="inlineStr">
        <is>
          <t>no designado (contraste C4: no hay svar_hd regional)</t>
        </is>
      </c>
      <c r="O721" s="3" t="inlineStr">
        <is>
          <t>CCAA: ranking por c_f·sign(dY) del panel FE (M8); asociacion, sin lectura causal; el factor comun es un resumen de comovimiento (pendiente ~1 mecanica, J23)</t>
        </is>
      </c>
      <c r="P721" s="3" t="inlineStr">
        <is>
          <t>output/v8/F5/regional_ranking.csv</t>
        </is>
      </c>
    </row>
    <row r="722">
      <c r="A722" s="3" t="inlineStr">
        <is>
          <t>compra</t>
        </is>
      </c>
      <c r="B722" s="3" t="inlineStr">
        <is>
          <t>ccaa:05</t>
        </is>
      </c>
      <c r="C722" s="3" t="inlineStr">
        <is>
          <t>P5</t>
        </is>
      </c>
      <c r="D722" s="3" t="inlineStr">
        <is>
          <t>demografia</t>
        </is>
      </c>
      <c r="E722" s="3" t="inlineStr">
        <is>
          <t>regional_panel</t>
        </is>
      </c>
      <c r="F722" s="3" t="inlineStr">
        <is>
          <t>panel_covariables</t>
        </is>
      </c>
      <c r="G722" s="3" t="n">
        <v>-0.595147</v>
      </c>
      <c r="H722" s="3" t="n">
        <v>-9.25183</v>
      </c>
      <c r="I722" s="3" t="n">
        <v>-4.6719</v>
      </c>
      <c r="J722" s="3" t="n">
        <v>2.41743</v>
      </c>
      <c r="K722" s="3" t="n">
        <v>6.43274</v>
      </c>
      <c r="L722" s="3" t="n">
        <v>4</v>
      </c>
      <c r="M722" s="3" t="inlineStr">
        <is>
          <t>si</t>
        </is>
      </c>
      <c r="N722" s="3" t="inlineStr">
        <is>
          <t>no designado (contraste C4: no hay svar_hd regional)</t>
        </is>
      </c>
      <c r="O722" s="3" t="inlineStr">
        <is>
          <t>CCAA: ranking por c_f·sign(dY) del panel FE (M8); asociacion, sin lectura causal; el factor comun es un resumen de comovimiento (pendiente ~1 mecanica, J23)</t>
        </is>
      </c>
      <c r="P722" s="3" t="inlineStr">
        <is>
          <t>output/v8/F5/regional_ranking.csv</t>
        </is>
      </c>
    </row>
    <row r="723">
      <c r="A723" s="3" t="inlineStr">
        <is>
          <t>compra</t>
        </is>
      </c>
      <c r="B723" s="3" t="inlineStr">
        <is>
          <t>ccaa:05</t>
        </is>
      </c>
      <c r="C723" s="3" t="inlineStr">
        <is>
          <t>P5</t>
        </is>
      </c>
      <c r="D723" s="3" t="inlineStr">
        <is>
          <t>oferta</t>
        </is>
      </c>
      <c r="E723" s="3" t="inlineStr">
        <is>
          <t>regional_panel</t>
        </is>
      </c>
      <c r="F723" s="3" t="inlineStr">
        <is>
          <t>panel_covariables</t>
        </is>
      </c>
      <c r="G723" s="3" t="n">
        <v>0.00153795</v>
      </c>
      <c r="H723" s="3" t="n">
        <v>0.0239082</v>
      </c>
      <c r="I723" s="3" t="n">
        <v>-0.0970379</v>
      </c>
      <c r="J723" s="3" t="n">
        <v>0.157428</v>
      </c>
      <c r="K723" s="3" t="n">
        <v>6.43274</v>
      </c>
      <c r="L723" s="3" t="n">
        <v>3</v>
      </c>
      <c r="M723" s="3" t="inlineStr">
        <is>
          <t>si</t>
        </is>
      </c>
      <c r="N723" s="3" t="inlineStr">
        <is>
          <t>no designado (contraste C4: no hay svar_hd regional)</t>
        </is>
      </c>
      <c r="O723" s="3" t="inlineStr">
        <is>
          <t>CCAA: ranking por c_f·sign(dY) del panel FE (M8); asociacion, sin lectura causal; el factor comun es un resumen de comovimiento (pendiente ~1 mecanica, J23)</t>
        </is>
      </c>
      <c r="P723" s="3" t="inlineStr">
        <is>
          <t>output/v8/F5/regional_ranking.csv</t>
        </is>
      </c>
    </row>
    <row r="724">
      <c r="A724" s="3" t="inlineStr">
        <is>
          <t>compra</t>
        </is>
      </c>
      <c r="B724" s="3" t="inlineStr">
        <is>
          <t>ccaa:05</t>
        </is>
      </c>
      <c r="C724" s="3" t="inlineStr">
        <is>
          <t>P5</t>
        </is>
      </c>
      <c r="D724" s="3" t="inlineStr">
        <is>
          <t>demanda_externa</t>
        </is>
      </c>
      <c r="E724" s="3" t="inlineStr">
        <is>
          <t>regional_panel</t>
        </is>
      </c>
      <c r="F724" s="3" t="inlineStr">
        <is>
          <t>panel_covariables</t>
        </is>
      </c>
      <c r="G724" s="3" t="n">
        <v>0.00702231</v>
      </c>
      <c r="H724" s="3" t="n">
        <v>0.109165</v>
      </c>
      <c r="I724" s="3" t="n">
        <v>-0.402549</v>
      </c>
      <c r="J724" s="3" t="n">
        <v>0.0280345</v>
      </c>
      <c r="K724" s="3" t="n">
        <v>6.43274</v>
      </c>
      <c r="L724" s="3" t="n">
        <v>2</v>
      </c>
      <c r="M724" s="3" t="inlineStr">
        <is>
          <t>si</t>
        </is>
      </c>
      <c r="N724" s="3" t="inlineStr">
        <is>
          <t>no designado (contraste C4: no hay svar_hd regional)</t>
        </is>
      </c>
      <c r="O724" s="3" t="inlineStr">
        <is>
          <t>CCAA: ranking por c_f·sign(dY) del panel FE (M8); asociacion, sin lectura causal; el factor comun es un resumen de comovimiento (pendiente ~1 mecanica, J23)</t>
        </is>
      </c>
      <c r="P724" s="3" t="inlineStr">
        <is>
          <t>output/v8/F5/regional_ranking.csv</t>
        </is>
      </c>
    </row>
    <row r="725">
      <c r="A725" s="3" t="inlineStr">
        <is>
          <t>compra</t>
        </is>
      </c>
      <c r="B725" s="3" t="inlineStr">
        <is>
          <t>ccaa:05</t>
        </is>
      </c>
      <c r="C725" s="3" t="inlineStr">
        <is>
          <t>P5</t>
        </is>
      </c>
      <c r="D725" s="3" t="inlineStr">
        <is>
          <t>residuo</t>
        </is>
      </c>
      <c r="E725" s="3" t="inlineStr">
        <is>
          <t>regional_panel</t>
        </is>
      </c>
      <c r="F725" s="3" t="inlineStr">
        <is>
          <t>panel_covariables</t>
        </is>
      </c>
      <c r="G725" s="3" t="n">
        <v>4.63559</v>
      </c>
      <c r="H725" s="3" t="n">
        <v>72.0624</v>
      </c>
      <c r="I725" s="3" t="n">
        <v>1.09017</v>
      </c>
      <c r="J725" s="3" t="n">
        <v>9.702809999999999</v>
      </c>
      <c r="K725" s="3" t="n">
        <v>6.43274</v>
      </c>
      <c r="L725" s="3" t="n"/>
      <c r="M725" s="3" t="inlineStr">
        <is>
          <t>no</t>
        </is>
      </c>
      <c r="N725" s="3" t="inlineStr">
        <is>
          <t>no designado (contraste C4: no hay svar_hd regional)</t>
        </is>
      </c>
      <c r="O725" s="3" t="inlineStr">
        <is>
          <t>CCAA: ranking por c_f·sign(dY) del panel FE (M8); asociacion, sin lectura causal; el factor comun es un resumen de comovimiento (pendiente ~1 mecanica, J23)</t>
        </is>
      </c>
      <c r="P725" s="3" t="inlineStr">
        <is>
          <t>output/v8/F5/regional_ranking.csv</t>
        </is>
      </c>
    </row>
    <row r="726">
      <c r="A726" s="3" t="inlineStr">
        <is>
          <t>compra</t>
        </is>
      </c>
      <c r="B726" s="3" t="inlineStr">
        <is>
          <t>ccaa:06</t>
        </is>
      </c>
      <c r="C726" s="3" t="inlineStr">
        <is>
          <t>P1</t>
        </is>
      </c>
      <c r="D726" s="3" t="inlineStr">
        <is>
          <t>factor_comun</t>
        </is>
      </c>
      <c r="E726" s="3" t="inlineStr">
        <is>
          <t>regional_ccaa_ols</t>
        </is>
      </c>
      <c r="F726" s="3" t="inlineStr">
        <is>
          <t>ols_solo_factor</t>
        </is>
      </c>
      <c r="G726" s="3" t="n">
        <v>78.74299999999999</v>
      </c>
      <c r="H726" s="3" t="n">
        <v>117.279</v>
      </c>
      <c r="I726" s="3" t="n">
        <v>61.0387</v>
      </c>
      <c r="J726" s="3" t="n">
        <v>96.3441</v>
      </c>
      <c r="K726" s="3" t="n">
        <v>67.1416</v>
      </c>
      <c r="L726" s="3" t="n"/>
      <c r="M726" s="3" t="inlineStr">
        <is>
          <t>no</t>
        </is>
      </c>
      <c r="N726" s="3" t="inlineStr">
        <is>
          <t>no designado (contraste C4: no hay svar_hd regional)</t>
        </is>
      </c>
      <c r="O726" s="3" t="inlineStr">
        <is>
          <t>CCAA: ranking por c_f·sign(dY) del panel FE (M8); asociacion, sin lectura causal; el factor comun es un resumen de comovimiento (pendiente ~1 mecanica, J23)</t>
        </is>
      </c>
      <c r="P726" s="3" t="inlineStr">
        <is>
          <t>output/v8/F5/regional_ranking.csv</t>
        </is>
      </c>
    </row>
    <row r="727">
      <c r="A727" s="3" t="inlineStr">
        <is>
          <t>compra</t>
        </is>
      </c>
      <c r="B727" s="3" t="inlineStr">
        <is>
          <t>ccaa:06</t>
        </is>
      </c>
      <c r="C727" s="3" t="inlineStr">
        <is>
          <t>P1</t>
        </is>
      </c>
      <c r="D727" s="3" t="inlineStr">
        <is>
          <t>residuo</t>
        </is>
      </c>
      <c r="E727" s="3" t="inlineStr">
        <is>
          <t>regional_ccaa_ols</t>
        </is>
      </c>
      <c r="F727" s="3" t="inlineStr">
        <is>
          <t>ols_solo_factor</t>
        </is>
      </c>
      <c r="G727" s="3" t="n">
        <v>-11.6015</v>
      </c>
      <c r="H727" s="3" t="n">
        <v>-17.2791</v>
      </c>
      <c r="I727" s="3" t="n"/>
      <c r="J727" s="3" t="n"/>
      <c r="K727" s="3" t="n">
        <v>67.1416</v>
      </c>
      <c r="L727" s="3" t="n"/>
      <c r="M727" s="3" t="inlineStr">
        <is>
          <t>no</t>
        </is>
      </c>
      <c r="N727" s="3" t="inlineStr">
        <is>
          <t>no designado (contraste C4: no hay svar_hd regional)</t>
        </is>
      </c>
      <c r="O727" s="3" t="inlineStr">
        <is>
          <t>CCAA: ranking por c_f·sign(dY) del panel FE (M8); asociacion, sin lectura causal; el factor comun es un resumen de comovimiento (pendiente ~1 mecanica, J23)</t>
        </is>
      </c>
      <c r="P727" s="3" t="inlineStr">
        <is>
          <t>output/v8/F5/regional_ranking.csv</t>
        </is>
      </c>
    </row>
    <row r="728">
      <c r="A728" s="3" t="inlineStr">
        <is>
          <t>compra</t>
        </is>
      </c>
      <c r="B728" s="3" t="inlineStr">
        <is>
          <t>ccaa:06</t>
        </is>
      </c>
      <c r="C728" s="3" t="inlineStr">
        <is>
          <t>P1</t>
        </is>
      </c>
      <c r="D728" s="3" t="inlineStr">
        <is>
          <t>factor_comun</t>
        </is>
      </c>
      <c r="E728" s="3" t="inlineStr">
        <is>
          <t>regional_panel</t>
        </is>
      </c>
      <c r="F728" s="3" t="inlineStr">
        <is>
          <t>panel_covariables</t>
        </is>
      </c>
      <c r="G728" s="3" t="n">
        <v>74.3853</v>
      </c>
      <c r="H728" s="3" t="n">
        <v>110.789</v>
      </c>
      <c r="I728" s="3" t="n">
        <v>63.2347</v>
      </c>
      <c r="J728" s="3" t="n">
        <v>88.0656</v>
      </c>
      <c r="K728" s="3" t="n">
        <v>67.1416</v>
      </c>
      <c r="L728" s="3" t="n"/>
      <c r="M728" s="3" t="inlineStr">
        <is>
          <t>no</t>
        </is>
      </c>
      <c r="N728" s="3" t="inlineStr">
        <is>
          <t>no designado (contraste C4: no hay svar_hd regional)</t>
        </is>
      </c>
      <c r="O728" s="3" t="inlineStr">
        <is>
          <t>CCAA: ranking por c_f·sign(dY) del panel FE (M8); asociacion, sin lectura causal; el factor comun es un resumen de comovimiento (pendiente ~1 mecanica, J23)</t>
        </is>
      </c>
      <c r="P728" s="3" t="inlineStr">
        <is>
          <t>output/v8/F5/regional_ranking.csv</t>
        </is>
      </c>
    </row>
    <row r="729">
      <c r="A729" s="3" t="inlineStr">
        <is>
          <t>compra</t>
        </is>
      </c>
      <c r="B729" s="3" t="inlineStr">
        <is>
          <t>ccaa:06</t>
        </is>
      </c>
      <c r="C729" s="3" t="inlineStr">
        <is>
          <t>P1</t>
        </is>
      </c>
      <c r="D729" s="3" t="inlineStr">
        <is>
          <t>residuo</t>
        </is>
      </c>
      <c r="E729" s="3" t="inlineStr">
        <is>
          <t>regional_panel</t>
        </is>
      </c>
      <c r="F729" s="3" t="inlineStr">
        <is>
          <t>panel_covariables</t>
        </is>
      </c>
      <c r="G729" s="3" t="n">
        <v>-7.2437</v>
      </c>
      <c r="H729" s="3" t="n">
        <v>-10.7887</v>
      </c>
      <c r="I729" s="3" t="n">
        <v>-14.0784</v>
      </c>
      <c r="J729" s="3" t="n">
        <v>0.336508</v>
      </c>
      <c r="K729" s="3" t="n">
        <v>67.1416</v>
      </c>
      <c r="L729" s="3" t="n"/>
      <c r="M729" s="3" t="inlineStr">
        <is>
          <t>no</t>
        </is>
      </c>
      <c r="N729" s="3" t="inlineStr">
        <is>
          <t>no designado (contraste C4: no hay svar_hd regional)</t>
        </is>
      </c>
      <c r="O729" s="3" t="inlineStr">
        <is>
          <t>CCAA: ranking por c_f·sign(dY) del panel FE (M8); asociacion, sin lectura causal; el factor comun es un resumen de comovimiento (pendiente ~1 mecanica, J23)</t>
        </is>
      </c>
      <c r="P729" s="3" t="inlineStr">
        <is>
          <t>output/v8/F5/regional_ranking.csv</t>
        </is>
      </c>
    </row>
    <row r="730">
      <c r="A730" s="3" t="inlineStr">
        <is>
          <t>compra</t>
        </is>
      </c>
      <c r="B730" s="3" t="inlineStr">
        <is>
          <t>ccaa:06</t>
        </is>
      </c>
      <c r="C730" s="3" t="inlineStr">
        <is>
          <t>P2</t>
        </is>
      </c>
      <c r="D730" s="3" t="inlineStr">
        <is>
          <t>factor_comun</t>
        </is>
      </c>
      <c r="E730" s="3" t="inlineStr">
        <is>
          <t>regional_ccaa_ols</t>
        </is>
      </c>
      <c r="F730" s="3" t="inlineStr">
        <is>
          <t>ols_solo_factor</t>
        </is>
      </c>
      <c r="G730" s="3" t="n">
        <v>-33.3015</v>
      </c>
      <c r="H730" s="3" t="n">
        <v>83.9944</v>
      </c>
      <c r="I730" s="3" t="n">
        <v>-52.0362</v>
      </c>
      <c r="J730" s="3" t="n">
        <v>-12.3903</v>
      </c>
      <c r="K730" s="3" t="n">
        <v>-35.9406</v>
      </c>
      <c r="L730" s="3" t="n"/>
      <c r="M730" s="3" t="inlineStr">
        <is>
          <t>no</t>
        </is>
      </c>
      <c r="N730" s="3" t="inlineStr">
        <is>
          <t>no designado (contraste C4: no hay svar_hd regional)</t>
        </is>
      </c>
      <c r="O730" s="3" t="inlineStr">
        <is>
          <t>CCAA: ranking por c_f·sign(dY) del panel FE (M8); asociacion, sin lectura causal; el factor comun es un resumen de comovimiento (pendiente ~1 mecanica, J23)</t>
        </is>
      </c>
      <c r="P730" s="3" t="inlineStr">
        <is>
          <t>output/v8/F5/regional_ranking.csv</t>
        </is>
      </c>
    </row>
    <row r="731">
      <c r="A731" s="3" t="inlineStr">
        <is>
          <t>compra</t>
        </is>
      </c>
      <c r="B731" s="3" t="inlineStr">
        <is>
          <t>ccaa:06</t>
        </is>
      </c>
      <c r="C731" s="3" t="inlineStr">
        <is>
          <t>P2</t>
        </is>
      </c>
      <c r="D731" s="3" t="inlineStr">
        <is>
          <t>residuo</t>
        </is>
      </c>
      <c r="E731" s="3" t="inlineStr">
        <is>
          <t>regional_ccaa_ols</t>
        </is>
      </c>
      <c r="F731" s="3" t="inlineStr">
        <is>
          <t>ols_solo_factor</t>
        </is>
      </c>
      <c r="G731" s="3" t="n">
        <v>-6.34578</v>
      </c>
      <c r="H731" s="3" t="n">
        <v>16.0056</v>
      </c>
      <c r="I731" s="3" t="n"/>
      <c r="J731" s="3" t="n"/>
      <c r="K731" s="3" t="n">
        <v>-35.9406</v>
      </c>
      <c r="L731" s="3" t="n"/>
      <c r="M731" s="3" t="inlineStr">
        <is>
          <t>no</t>
        </is>
      </c>
      <c r="N731" s="3" t="inlineStr">
        <is>
          <t>no designado (contraste C4: no hay svar_hd regional)</t>
        </is>
      </c>
      <c r="O731" s="3" t="inlineStr">
        <is>
          <t>CCAA: ranking por c_f·sign(dY) del panel FE (M8); asociacion, sin lectura causal; el factor comun es un resumen de comovimiento (pendiente ~1 mecanica, J23)</t>
        </is>
      </c>
      <c r="P731" s="3" t="inlineStr">
        <is>
          <t>output/v8/F5/regional_ranking.csv</t>
        </is>
      </c>
    </row>
    <row r="732">
      <c r="A732" s="3" t="inlineStr">
        <is>
          <t>compra</t>
        </is>
      </c>
      <c r="B732" s="3" t="inlineStr">
        <is>
          <t>ccaa:06</t>
        </is>
      </c>
      <c r="C732" s="3" t="inlineStr">
        <is>
          <t>P2</t>
        </is>
      </c>
      <c r="D732" s="3" t="inlineStr">
        <is>
          <t>factor_comun</t>
        </is>
      </c>
      <c r="E732" s="3" t="inlineStr">
        <is>
          <t>regional_panel</t>
        </is>
      </c>
      <c r="F732" s="3" t="inlineStr">
        <is>
          <t>panel_covariables</t>
        </is>
      </c>
      <c r="G732" s="3" t="n">
        <v>-35.0812</v>
      </c>
      <c r="H732" s="3" t="n">
        <v>97.60890000000001</v>
      </c>
      <c r="I732" s="3" t="n">
        <v>-41.5124</v>
      </c>
      <c r="J732" s="3" t="n">
        <v>-30.6884</v>
      </c>
      <c r="K732" s="3" t="n">
        <v>-35.9406</v>
      </c>
      <c r="L732" s="3" t="n"/>
      <c r="M732" s="3" t="inlineStr">
        <is>
          <t>no</t>
        </is>
      </c>
      <c r="N732" s="3" t="inlineStr">
        <is>
          <t>no designado (contraste C4: no hay svar_hd regional)</t>
        </is>
      </c>
      <c r="O732" s="3" t="inlineStr">
        <is>
          <t>CCAA: ranking por c_f·sign(dY) del panel FE (M8); asociacion, sin lectura causal; el factor comun es un resumen de comovimiento (pendiente ~1 mecanica, J23)</t>
        </is>
      </c>
      <c r="P732" s="3" t="inlineStr">
        <is>
          <t>output/v8/F5/regional_ranking.csv</t>
        </is>
      </c>
    </row>
    <row r="733">
      <c r="A733" s="3" t="inlineStr">
        <is>
          <t>compra</t>
        </is>
      </c>
      <c r="B733" s="3" t="inlineStr">
        <is>
          <t>ccaa:06</t>
        </is>
      </c>
      <c r="C733" s="3" t="inlineStr">
        <is>
          <t>P2</t>
        </is>
      </c>
      <c r="D733" s="3" t="inlineStr">
        <is>
          <t>empleo_renta</t>
        </is>
      </c>
      <c r="E733" s="3" t="inlineStr">
        <is>
          <t>regional_panel</t>
        </is>
      </c>
      <c r="F733" s="3" t="inlineStr">
        <is>
          <t>panel_covariables</t>
        </is>
      </c>
      <c r="G733" s="3" t="n">
        <v>-1.1957</v>
      </c>
      <c r="H733" s="3" t="n">
        <v>3.32687</v>
      </c>
      <c r="I733" s="3" t="n">
        <v>-2.44269</v>
      </c>
      <c r="J733" s="3" t="n">
        <v>0.183006</v>
      </c>
      <c r="K733" s="3" t="n">
        <v>-35.9406</v>
      </c>
      <c r="L733" s="3" t="n">
        <v>1</v>
      </c>
      <c r="M733" s="3" t="inlineStr">
        <is>
          <t>si</t>
        </is>
      </c>
      <c r="N733" s="3" t="inlineStr">
        <is>
          <t>no designado (contraste C4: no hay svar_hd regional)</t>
        </is>
      </c>
      <c r="O733" s="3" t="inlineStr">
        <is>
          <t>CCAA: ranking por c_f·sign(dY) del panel FE (M8); asociacion, sin lectura causal; el factor comun es un resumen de comovimiento (pendiente ~1 mecanica, J23)</t>
        </is>
      </c>
      <c r="P733" s="3" t="inlineStr">
        <is>
          <t>output/v8/F5/regional_ranking.csv</t>
        </is>
      </c>
    </row>
    <row r="734">
      <c r="A734" s="3" t="inlineStr">
        <is>
          <t>compra</t>
        </is>
      </c>
      <c r="B734" s="3" t="inlineStr">
        <is>
          <t>ccaa:06</t>
        </is>
      </c>
      <c r="C734" s="3" t="inlineStr">
        <is>
          <t>P2</t>
        </is>
      </c>
      <c r="D734" s="3" t="inlineStr">
        <is>
          <t>demografia</t>
        </is>
      </c>
      <c r="E734" s="3" t="inlineStr">
        <is>
          <t>regional_panel</t>
        </is>
      </c>
      <c r="F734" s="3" t="inlineStr">
        <is>
          <t>panel_covariables</t>
        </is>
      </c>
      <c r="G734" s="3" t="n">
        <v>1.52978</v>
      </c>
      <c r="H734" s="3" t="n">
        <v>-4.25641</v>
      </c>
      <c r="I734" s="3" t="n">
        <v>0.0238371</v>
      </c>
      <c r="J734" s="3" t="n">
        <v>3.33077</v>
      </c>
      <c r="K734" s="3" t="n">
        <v>-35.9406</v>
      </c>
      <c r="L734" s="3" t="n">
        <v>4</v>
      </c>
      <c r="M734" s="3" t="inlineStr">
        <is>
          <t>si</t>
        </is>
      </c>
      <c r="N734" s="3" t="inlineStr">
        <is>
          <t>no designado (contraste C4: no hay svar_hd regional)</t>
        </is>
      </c>
      <c r="O734" s="3" t="inlineStr">
        <is>
          <t>CCAA: ranking por c_f·sign(dY) del panel FE (M8); asociacion, sin lectura causal; el factor comun es un resumen de comovimiento (pendiente ~1 mecanica, J23)</t>
        </is>
      </c>
      <c r="P734" s="3" t="inlineStr">
        <is>
          <t>output/v8/F5/regional_ranking.csv</t>
        </is>
      </c>
    </row>
    <row r="735">
      <c r="A735" s="3" t="inlineStr">
        <is>
          <t>compra</t>
        </is>
      </c>
      <c r="B735" s="3" t="inlineStr">
        <is>
          <t>ccaa:06</t>
        </is>
      </c>
      <c r="C735" s="3" t="inlineStr">
        <is>
          <t>P2</t>
        </is>
      </c>
      <c r="D735" s="3" t="inlineStr">
        <is>
          <t>oferta</t>
        </is>
      </c>
      <c r="E735" s="3" t="inlineStr">
        <is>
          <t>regional_panel</t>
        </is>
      </c>
      <c r="F735" s="3" t="inlineStr">
        <is>
          <t>panel_covariables</t>
        </is>
      </c>
      <c r="G735" s="3" t="n">
        <v>-0.0651534</v>
      </c>
      <c r="H735" s="3" t="n">
        <v>0.181281</v>
      </c>
      <c r="I735" s="3" t="n">
        <v>-0.325635</v>
      </c>
      <c r="J735" s="3" t="n">
        <v>0.669465</v>
      </c>
      <c r="K735" s="3" t="n">
        <v>-35.9406</v>
      </c>
      <c r="L735" s="3" t="n">
        <v>2</v>
      </c>
      <c r="M735" s="3" t="inlineStr">
        <is>
          <t>si</t>
        </is>
      </c>
      <c r="N735" s="3" t="inlineStr">
        <is>
          <t>no designado (contraste C4: no hay svar_hd regional)</t>
        </is>
      </c>
      <c r="O735" s="3" t="inlineStr">
        <is>
          <t>CCAA: ranking por c_f·sign(dY) del panel FE (M8); asociacion, sin lectura causal; el factor comun es un resumen de comovimiento (pendiente ~1 mecanica, J23)</t>
        </is>
      </c>
      <c r="P735" s="3" t="inlineStr">
        <is>
          <t>output/v8/F5/regional_ranking.csv</t>
        </is>
      </c>
    </row>
    <row r="736">
      <c r="A736" s="3" t="inlineStr">
        <is>
          <t>compra</t>
        </is>
      </c>
      <c r="B736" s="3" t="inlineStr">
        <is>
          <t>ccaa:06</t>
        </is>
      </c>
      <c r="C736" s="3" t="inlineStr">
        <is>
          <t>P2</t>
        </is>
      </c>
      <c r="D736" s="3" t="inlineStr">
        <is>
          <t>demanda_externa</t>
        </is>
      </c>
      <c r="E736" s="3" t="inlineStr">
        <is>
          <t>regional_panel</t>
        </is>
      </c>
      <c r="F736" s="3" t="inlineStr">
        <is>
          <t>panel_covariables</t>
        </is>
      </c>
      <c r="G736" s="3" t="n">
        <v>0.288989</v>
      </c>
      <c r="H736" s="3" t="n">
        <v>-0.804074</v>
      </c>
      <c r="I736" s="3" t="n">
        <v>-0.165693</v>
      </c>
      <c r="J736" s="3" t="n">
        <v>1.38739</v>
      </c>
      <c r="K736" s="3" t="n">
        <v>-35.9406</v>
      </c>
      <c r="L736" s="3" t="n">
        <v>3</v>
      </c>
      <c r="M736" s="3" t="inlineStr">
        <is>
          <t>si</t>
        </is>
      </c>
      <c r="N736" s="3" t="inlineStr">
        <is>
          <t>no designado (contraste C4: no hay svar_hd regional)</t>
        </is>
      </c>
      <c r="O736" s="3" t="inlineStr">
        <is>
          <t>CCAA: ranking por c_f·sign(dY) del panel FE (M8); asociacion, sin lectura causal; el factor comun es un resumen de comovimiento (pendiente ~1 mecanica, J23)</t>
        </is>
      </c>
      <c r="P736" s="3" t="inlineStr">
        <is>
          <t>output/v8/F5/regional_ranking.csv</t>
        </is>
      </c>
    </row>
    <row r="737">
      <c r="A737" s="3" t="inlineStr">
        <is>
          <t>compra</t>
        </is>
      </c>
      <c r="B737" s="3" t="inlineStr">
        <is>
          <t>ccaa:06</t>
        </is>
      </c>
      <c r="C737" s="3" t="inlineStr">
        <is>
          <t>P2</t>
        </is>
      </c>
      <c r="D737" s="3" t="inlineStr">
        <is>
          <t>residuo</t>
        </is>
      </c>
      <c r="E737" s="3" t="inlineStr">
        <is>
          <t>regional_panel</t>
        </is>
      </c>
      <c r="F737" s="3" t="inlineStr">
        <is>
          <t>panel_covariables</t>
        </is>
      </c>
      <c r="G737" s="3" t="n">
        <v>-1.41729</v>
      </c>
      <c r="H737" s="3" t="n">
        <v>3.94344</v>
      </c>
      <c r="I737" s="3" t="n">
        <v>-8.317069999999999</v>
      </c>
      <c r="J737" s="3" t="n">
        <v>5.84861</v>
      </c>
      <c r="K737" s="3" t="n">
        <v>-35.9406</v>
      </c>
      <c r="L737" s="3" t="n"/>
      <c r="M737" s="3" t="inlineStr">
        <is>
          <t>no</t>
        </is>
      </c>
      <c r="N737" s="3" t="inlineStr">
        <is>
          <t>no designado (contraste C4: no hay svar_hd regional)</t>
        </is>
      </c>
      <c r="O737" s="3" t="inlineStr">
        <is>
          <t>CCAA: ranking por c_f·sign(dY) del panel FE (M8); asociacion, sin lectura causal; el factor comun es un resumen de comovimiento (pendiente ~1 mecanica, J23)</t>
        </is>
      </c>
      <c r="P737" s="3" t="inlineStr">
        <is>
          <t>output/v8/F5/regional_ranking.csv</t>
        </is>
      </c>
    </row>
    <row r="738">
      <c r="A738" s="3" t="inlineStr">
        <is>
          <t>compra</t>
        </is>
      </c>
      <c r="B738" s="3" t="inlineStr">
        <is>
          <t>ccaa:06</t>
        </is>
      </c>
      <c r="C738" s="3" t="inlineStr">
        <is>
          <t>P3</t>
        </is>
      </c>
      <c r="D738" s="3" t="inlineStr">
        <is>
          <t>factor_comun</t>
        </is>
      </c>
      <c r="E738" s="3" t="inlineStr">
        <is>
          <t>regional_ccaa_ols</t>
        </is>
      </c>
      <c r="F738" s="3" t="inlineStr">
        <is>
          <t>ols_solo_factor</t>
        </is>
      </c>
      <c r="G738" s="3" t="n">
        <v>-0.355767</v>
      </c>
      <c r="H738" s="3" t="n">
        <v>4.33143</v>
      </c>
      <c r="I738" s="3" t="n">
        <v>-3.45173</v>
      </c>
      <c r="J738" s="3" t="n">
        <v>1.45146</v>
      </c>
      <c r="K738" s="3" t="n">
        <v>-6.46021</v>
      </c>
      <c r="L738" s="3" t="n"/>
      <c r="M738" s="3" t="inlineStr">
        <is>
          <t>no</t>
        </is>
      </c>
      <c r="N738" s="3" t="inlineStr">
        <is>
          <t>no designado (contraste C4: no hay svar_hd regional)</t>
        </is>
      </c>
      <c r="O738" s="3" t="inlineStr">
        <is>
          <t>CCAA: ranking por c_f·sign(dY) del panel FE (M8); asociacion, sin lectura causal; el factor comun es un resumen de comovimiento (pendiente ~1 mecanica, J23)</t>
        </is>
      </c>
      <c r="P738" s="3" t="inlineStr">
        <is>
          <t>output/v8/F5/regional_ranking.csv</t>
        </is>
      </c>
    </row>
    <row r="739">
      <c r="A739" s="3" t="inlineStr">
        <is>
          <t>compra</t>
        </is>
      </c>
      <c r="B739" s="3" t="inlineStr">
        <is>
          <t>ccaa:06</t>
        </is>
      </c>
      <c r="C739" s="3" t="inlineStr">
        <is>
          <t>P3</t>
        </is>
      </c>
      <c r="D739" s="3" t="inlineStr">
        <is>
          <t>residuo</t>
        </is>
      </c>
      <c r="E739" s="3" t="inlineStr">
        <is>
          <t>regional_ccaa_ols</t>
        </is>
      </c>
      <c r="F739" s="3" t="inlineStr">
        <is>
          <t>ols_solo_factor</t>
        </is>
      </c>
      <c r="G739" s="3" t="n">
        <v>-7.85785</v>
      </c>
      <c r="H739" s="3" t="n">
        <v>95.6686</v>
      </c>
      <c r="I739" s="3" t="n"/>
      <c r="J739" s="3" t="n"/>
      <c r="K739" s="3" t="n">
        <v>-6.46021</v>
      </c>
      <c r="L739" s="3" t="n"/>
      <c r="M739" s="3" t="inlineStr">
        <is>
          <t>no</t>
        </is>
      </c>
      <c r="N739" s="3" t="inlineStr">
        <is>
          <t>no designado (contraste C4: no hay svar_hd regional)</t>
        </is>
      </c>
      <c r="O739" s="3" t="inlineStr">
        <is>
          <t>CCAA: ranking por c_f·sign(dY) del panel FE (M8); asociacion, sin lectura causal; el factor comun es un resumen de comovimiento (pendiente ~1 mecanica, J23)</t>
        </is>
      </c>
      <c r="P739" s="3" t="inlineStr">
        <is>
          <t>output/v8/F5/regional_ranking.csv</t>
        </is>
      </c>
    </row>
    <row r="740">
      <c r="A740" s="3" t="inlineStr">
        <is>
          <t>compra</t>
        </is>
      </c>
      <c r="B740" s="3" t="inlineStr">
        <is>
          <t>ccaa:06</t>
        </is>
      </c>
      <c r="C740" s="3" t="inlineStr">
        <is>
          <t>P3</t>
        </is>
      </c>
      <c r="D740" s="3" t="inlineStr">
        <is>
          <t>factor_comun</t>
        </is>
      </c>
      <c r="E740" s="3" t="inlineStr">
        <is>
          <t>regional_panel</t>
        </is>
      </c>
      <c r="F740" s="3" t="inlineStr">
        <is>
          <t>panel_covariables</t>
        </is>
      </c>
      <c r="G740" s="3" t="n">
        <v>-0.548472</v>
      </c>
      <c r="H740" s="3" t="n">
        <v>8.49001</v>
      </c>
      <c r="I740" s="3" t="n">
        <v>-3.50001</v>
      </c>
      <c r="J740" s="3" t="n">
        <v>2.45383</v>
      </c>
      <c r="K740" s="3" t="n">
        <v>-6.46021</v>
      </c>
      <c r="L740" s="3" t="n"/>
      <c r="M740" s="3" t="inlineStr">
        <is>
          <t>no</t>
        </is>
      </c>
      <c r="N740" s="3" t="inlineStr">
        <is>
          <t>no designado (contraste C4: no hay svar_hd regional)</t>
        </is>
      </c>
      <c r="O740" s="3" t="inlineStr">
        <is>
          <t>CCAA: ranking por c_f·sign(dY) del panel FE (M8); asociacion, sin lectura causal; el factor comun es un resumen de comovimiento (pendiente ~1 mecanica, J23)</t>
        </is>
      </c>
      <c r="P740" s="3" t="inlineStr">
        <is>
          <t>output/v8/F5/regional_ranking.csv</t>
        </is>
      </c>
    </row>
    <row r="741">
      <c r="A741" s="3" t="inlineStr">
        <is>
          <t>compra</t>
        </is>
      </c>
      <c r="B741" s="3" t="inlineStr">
        <is>
          <t>ccaa:06</t>
        </is>
      </c>
      <c r="C741" s="3" t="inlineStr">
        <is>
          <t>P3</t>
        </is>
      </c>
      <c r="D741" s="3" t="inlineStr">
        <is>
          <t>empleo_renta</t>
        </is>
      </c>
      <c r="E741" s="3" t="inlineStr">
        <is>
          <t>regional_panel</t>
        </is>
      </c>
      <c r="F741" s="3" t="inlineStr">
        <is>
          <t>panel_covariables</t>
        </is>
      </c>
      <c r="G741" s="3" t="n">
        <v>0.442053</v>
      </c>
      <c r="H741" s="3" t="n">
        <v>-6.8427</v>
      </c>
      <c r="I741" s="3" t="n">
        <v>-0.189121</v>
      </c>
      <c r="J741" s="3" t="n">
        <v>0.890429</v>
      </c>
      <c r="K741" s="3" t="n">
        <v>-6.46021</v>
      </c>
      <c r="L741" s="3" t="n">
        <v>3</v>
      </c>
      <c r="M741" s="3" t="inlineStr">
        <is>
          <t>si</t>
        </is>
      </c>
      <c r="N741" s="3" t="inlineStr">
        <is>
          <t>no designado (contraste C4: no hay svar_hd regional)</t>
        </is>
      </c>
      <c r="O741" s="3" t="inlineStr">
        <is>
          <t>CCAA: ranking por c_f·sign(dY) del panel FE (M8); asociacion, sin lectura causal; el factor comun es un resumen de comovimiento (pendiente ~1 mecanica, J23)</t>
        </is>
      </c>
      <c r="P741" s="3" t="inlineStr">
        <is>
          <t>output/v8/F5/regional_ranking.csv</t>
        </is>
      </c>
    </row>
    <row r="742">
      <c r="A742" s="3" t="inlineStr">
        <is>
          <t>compra</t>
        </is>
      </c>
      <c r="B742" s="3" t="inlineStr">
        <is>
          <t>ccaa:06</t>
        </is>
      </c>
      <c r="C742" s="3" t="inlineStr">
        <is>
          <t>P3</t>
        </is>
      </c>
      <c r="D742" s="3" t="inlineStr">
        <is>
          <t>demografia</t>
        </is>
      </c>
      <c r="E742" s="3" t="inlineStr">
        <is>
          <t>regional_panel</t>
        </is>
      </c>
      <c r="F742" s="3" t="inlineStr">
        <is>
          <t>panel_covariables</t>
        </is>
      </c>
      <c r="G742" s="3" t="n">
        <v>-0.933163</v>
      </c>
      <c r="H742" s="3" t="n">
        <v>14.4448</v>
      </c>
      <c r="I742" s="3" t="n">
        <v>-1.4319</v>
      </c>
      <c r="J742" s="3" t="n">
        <v>-0.456146</v>
      </c>
      <c r="K742" s="3" t="n">
        <v>-6.46021</v>
      </c>
      <c r="L742" s="3" t="n">
        <v>1</v>
      </c>
      <c r="M742" s="3" t="inlineStr">
        <is>
          <t>si</t>
        </is>
      </c>
      <c r="N742" s="3" t="inlineStr">
        <is>
          <t>no designado (contraste C4: no hay svar_hd regional)</t>
        </is>
      </c>
      <c r="O742" s="3" t="inlineStr">
        <is>
          <t>CCAA: ranking por c_f·sign(dY) del panel FE (M8); asociacion, sin lectura causal; el factor comun es un resumen de comovimiento (pendiente ~1 mecanica, J23)</t>
        </is>
      </c>
      <c r="P742" s="3" t="inlineStr">
        <is>
          <t>output/v8/F5/regional_ranking.csv</t>
        </is>
      </c>
    </row>
    <row r="743">
      <c r="A743" s="3" t="inlineStr">
        <is>
          <t>compra</t>
        </is>
      </c>
      <c r="B743" s="3" t="inlineStr">
        <is>
          <t>ccaa:06</t>
        </is>
      </c>
      <c r="C743" s="3" t="inlineStr">
        <is>
          <t>P3</t>
        </is>
      </c>
      <c r="D743" s="3" t="inlineStr">
        <is>
          <t>oferta</t>
        </is>
      </c>
      <c r="E743" s="3" t="inlineStr">
        <is>
          <t>regional_panel</t>
        </is>
      </c>
      <c r="F743" s="3" t="inlineStr">
        <is>
          <t>panel_covariables</t>
        </is>
      </c>
      <c r="G743" s="3" t="n">
        <v>-0.398281</v>
      </c>
      <c r="H743" s="3" t="n">
        <v>6.16514</v>
      </c>
      <c r="I743" s="3" t="n">
        <v>-0.636639</v>
      </c>
      <c r="J743" s="3" t="n">
        <v>0.0112526</v>
      </c>
      <c r="K743" s="3" t="n">
        <v>-6.46021</v>
      </c>
      <c r="L743" s="3" t="n">
        <v>2</v>
      </c>
      <c r="M743" s="3" t="inlineStr">
        <is>
          <t>si</t>
        </is>
      </c>
      <c r="N743" s="3" t="inlineStr">
        <is>
          <t>no designado (contraste C4: no hay svar_hd regional)</t>
        </is>
      </c>
      <c r="O743" s="3" t="inlineStr">
        <is>
          <t>CCAA: ranking por c_f·sign(dY) del panel FE (M8); asociacion, sin lectura causal; el factor comun es un resumen de comovimiento (pendiente ~1 mecanica, J23)</t>
        </is>
      </c>
      <c r="P743" s="3" t="inlineStr">
        <is>
          <t>output/v8/F5/regional_ranking.csv</t>
        </is>
      </c>
    </row>
    <row r="744">
      <c r="A744" s="3" t="inlineStr">
        <is>
          <t>compra</t>
        </is>
      </c>
      <c r="B744" s="3" t="inlineStr">
        <is>
          <t>ccaa:06</t>
        </is>
      </c>
      <c r="C744" s="3" t="inlineStr">
        <is>
          <t>P3</t>
        </is>
      </c>
      <c r="D744" s="3" t="inlineStr">
        <is>
          <t>demanda_externa</t>
        </is>
      </c>
      <c r="E744" s="3" t="inlineStr">
        <is>
          <t>regional_panel</t>
        </is>
      </c>
      <c r="F744" s="3" t="inlineStr">
        <is>
          <t>panel_covariables</t>
        </is>
      </c>
      <c r="G744" s="3" t="n">
        <v>1.28507</v>
      </c>
      <c r="H744" s="3" t="n">
        <v>-19.8921</v>
      </c>
      <c r="I744" s="3" t="n">
        <v>0.394842</v>
      </c>
      <c r="J744" s="3" t="n">
        <v>2.5316</v>
      </c>
      <c r="K744" s="3" t="n">
        <v>-6.46021</v>
      </c>
      <c r="L744" s="3" t="n">
        <v>4</v>
      </c>
      <c r="M744" s="3" t="inlineStr">
        <is>
          <t>si</t>
        </is>
      </c>
      <c r="N744" s="3" t="inlineStr">
        <is>
          <t>no designado (contraste C4: no hay svar_hd regional)</t>
        </is>
      </c>
      <c r="O744" s="3" t="inlineStr">
        <is>
          <t>CCAA: ranking por c_f·sign(dY) del panel FE (M8); asociacion, sin lectura causal; el factor comun es un resumen de comovimiento (pendiente ~1 mecanica, J23)</t>
        </is>
      </c>
      <c r="P744" s="3" t="inlineStr">
        <is>
          <t>output/v8/F5/regional_ranking.csv</t>
        </is>
      </c>
    </row>
    <row r="745">
      <c r="A745" s="3" t="inlineStr">
        <is>
          <t>compra</t>
        </is>
      </c>
      <c r="B745" s="3" t="inlineStr">
        <is>
          <t>ccaa:06</t>
        </is>
      </c>
      <c r="C745" s="3" t="inlineStr">
        <is>
          <t>P3</t>
        </is>
      </c>
      <c r="D745" s="3" t="inlineStr">
        <is>
          <t>residuo</t>
        </is>
      </c>
      <c r="E745" s="3" t="inlineStr">
        <is>
          <t>regional_panel</t>
        </is>
      </c>
      <c r="F745" s="3" t="inlineStr">
        <is>
          <t>panel_covariables</t>
        </is>
      </c>
      <c r="G745" s="3" t="n">
        <v>-6.30741</v>
      </c>
      <c r="H745" s="3" t="n">
        <v>97.6349</v>
      </c>
      <c r="I745" s="3" t="n">
        <v>-10.9798</v>
      </c>
      <c r="J745" s="3" t="n">
        <v>-2.29946</v>
      </c>
      <c r="K745" s="3" t="n">
        <v>-6.46021</v>
      </c>
      <c r="L745" s="3" t="n"/>
      <c r="M745" s="3" t="inlineStr">
        <is>
          <t>no</t>
        </is>
      </c>
      <c r="N745" s="3" t="inlineStr">
        <is>
          <t>no designado (contraste C4: no hay svar_hd regional)</t>
        </is>
      </c>
      <c r="O745" s="3" t="inlineStr">
        <is>
          <t>CCAA: ranking por c_f·sign(dY) del panel FE (M8); asociacion, sin lectura causal; el factor comun es un resumen de comovimiento (pendiente ~1 mecanica, J23)</t>
        </is>
      </c>
      <c r="P745" s="3" t="inlineStr">
        <is>
          <t>output/v8/F5/regional_ranking.csv</t>
        </is>
      </c>
    </row>
    <row r="746">
      <c r="A746" s="3" t="inlineStr">
        <is>
          <t>compra</t>
        </is>
      </c>
      <c r="B746" s="3" t="inlineStr">
        <is>
          <t>ccaa:06</t>
        </is>
      </c>
      <c r="C746" s="3" t="inlineStr">
        <is>
          <t>P4</t>
        </is>
      </c>
      <c r="D746" s="3" t="inlineStr">
        <is>
          <t>factor_comun</t>
        </is>
      </c>
      <c r="E746" s="3" t="inlineStr">
        <is>
          <t>regional_ccaa_ols</t>
        </is>
      </c>
      <c r="F746" s="3" t="inlineStr">
        <is>
          <t>ols_solo_factor</t>
        </is>
      </c>
      <c r="G746" s="3" t="n">
        <v>-6.37203</v>
      </c>
      <c r="H746" s="3" t="n">
        <v>113.534</v>
      </c>
      <c r="I746" s="3" t="n">
        <v>-7.86802</v>
      </c>
      <c r="J746" s="3" t="n">
        <v>-4.77858</v>
      </c>
      <c r="K746" s="3" t="n">
        <v>-5.61245</v>
      </c>
      <c r="L746" s="3" t="n"/>
      <c r="M746" s="3" t="inlineStr">
        <is>
          <t>no</t>
        </is>
      </c>
      <c r="N746" s="3" t="inlineStr">
        <is>
          <t>no designado (contraste C4: no hay svar_hd regional)</t>
        </is>
      </c>
      <c r="O746" s="3" t="inlineStr">
        <is>
          <t>CCAA: ranking por c_f·sign(dY) del panel FE (M8); asociacion, sin lectura causal; el factor comun es un resumen de comovimiento (pendiente ~1 mecanica, J23)</t>
        </is>
      </c>
      <c r="P746" s="3" t="inlineStr">
        <is>
          <t>output/v8/F5/regional_ranking.csv</t>
        </is>
      </c>
    </row>
    <row r="747">
      <c r="A747" s="3" t="inlineStr">
        <is>
          <t>compra</t>
        </is>
      </c>
      <c r="B747" s="3" t="inlineStr">
        <is>
          <t>ccaa:06</t>
        </is>
      </c>
      <c r="C747" s="3" t="inlineStr">
        <is>
          <t>P4</t>
        </is>
      </c>
      <c r="D747" s="3" t="inlineStr">
        <is>
          <t>residuo</t>
        </is>
      </c>
      <c r="E747" s="3" t="inlineStr">
        <is>
          <t>regional_ccaa_ols</t>
        </is>
      </c>
      <c r="F747" s="3" t="inlineStr">
        <is>
          <t>ols_solo_factor</t>
        </is>
      </c>
      <c r="G747" s="3" t="n">
        <v>0.7595769999999999</v>
      </c>
      <c r="H747" s="3" t="n">
        <v>-13.5338</v>
      </c>
      <c r="I747" s="3" t="n"/>
      <c r="J747" s="3" t="n"/>
      <c r="K747" s="3" t="n">
        <v>-5.61245</v>
      </c>
      <c r="L747" s="3" t="n"/>
      <c r="M747" s="3" t="inlineStr">
        <is>
          <t>no</t>
        </is>
      </c>
      <c r="N747" s="3" t="inlineStr">
        <is>
          <t>no designado (contraste C4: no hay svar_hd regional)</t>
        </is>
      </c>
      <c r="O747" s="3" t="inlineStr">
        <is>
          <t>CCAA: ranking por c_f·sign(dY) del panel FE (M8); asociacion, sin lectura causal; el factor comun es un resumen de comovimiento (pendiente ~1 mecanica, J23)</t>
        </is>
      </c>
      <c r="P747" s="3" t="inlineStr">
        <is>
          <t>output/v8/F5/regional_ranking.csv</t>
        </is>
      </c>
    </row>
    <row r="748">
      <c r="A748" s="3" t="inlineStr">
        <is>
          <t>compra</t>
        </is>
      </c>
      <c r="B748" s="3" t="inlineStr">
        <is>
          <t>ccaa:06</t>
        </is>
      </c>
      <c r="C748" s="3" t="inlineStr">
        <is>
          <t>P4</t>
        </is>
      </c>
      <c r="D748" s="3" t="inlineStr">
        <is>
          <t>factor_comun</t>
        </is>
      </c>
      <c r="E748" s="3" t="inlineStr">
        <is>
          <t>regional_panel</t>
        </is>
      </c>
      <c r="F748" s="3" t="inlineStr">
        <is>
          <t>panel_covariables</t>
        </is>
      </c>
      <c r="G748" s="3" t="n">
        <v>-4.21608</v>
      </c>
      <c r="H748" s="3" t="n">
        <v>75.1202</v>
      </c>
      <c r="I748" s="3" t="n">
        <v>-5.07352</v>
      </c>
      <c r="J748" s="3" t="n">
        <v>-2.674</v>
      </c>
      <c r="K748" s="3" t="n">
        <v>-5.61245</v>
      </c>
      <c r="L748" s="3" t="n"/>
      <c r="M748" s="3" t="inlineStr">
        <is>
          <t>no</t>
        </is>
      </c>
      <c r="N748" s="3" t="inlineStr">
        <is>
          <t>no designado (contraste C4: no hay svar_hd regional)</t>
        </is>
      </c>
      <c r="O748" s="3" t="inlineStr">
        <is>
          <t>CCAA: ranking por c_f·sign(dY) del panel FE (M8); asociacion, sin lectura causal; el factor comun es un resumen de comovimiento (pendiente ~1 mecanica, J23)</t>
        </is>
      </c>
      <c r="P748" s="3" t="inlineStr">
        <is>
          <t>output/v8/F5/regional_ranking.csv</t>
        </is>
      </c>
    </row>
    <row r="749">
      <c r="A749" s="3" t="inlineStr">
        <is>
          <t>compra</t>
        </is>
      </c>
      <c r="B749" s="3" t="inlineStr">
        <is>
          <t>ccaa:06</t>
        </is>
      </c>
      <c r="C749" s="3" t="inlineStr">
        <is>
          <t>P4</t>
        </is>
      </c>
      <c r="D749" s="3" t="inlineStr">
        <is>
          <t>empleo_renta</t>
        </is>
      </c>
      <c r="E749" s="3" t="inlineStr">
        <is>
          <t>regional_panel</t>
        </is>
      </c>
      <c r="F749" s="3" t="inlineStr">
        <is>
          <t>panel_covariables</t>
        </is>
      </c>
      <c r="G749" s="3" t="n">
        <v>-0.124776</v>
      </c>
      <c r="H749" s="3" t="n">
        <v>2.2232</v>
      </c>
      <c r="I749" s="3" t="n">
        <v>-0.534095</v>
      </c>
      <c r="J749" s="3" t="n">
        <v>0.476188</v>
      </c>
      <c r="K749" s="3" t="n">
        <v>-5.61245</v>
      </c>
      <c r="L749" s="3" t="n">
        <v>1</v>
      </c>
      <c r="M749" s="3" t="inlineStr">
        <is>
          <t>si</t>
        </is>
      </c>
      <c r="N749" s="3" t="inlineStr">
        <is>
          <t>no designado (contraste C4: no hay svar_hd regional)</t>
        </is>
      </c>
      <c r="O749" s="3" t="inlineStr">
        <is>
          <t>CCAA: ranking por c_f·sign(dY) del panel FE (M8); asociacion, sin lectura causal; el factor comun es un resumen de comovimiento (pendiente ~1 mecanica, J23)</t>
        </is>
      </c>
      <c r="P749" s="3" t="inlineStr">
        <is>
          <t>output/v8/F5/regional_ranking.csv</t>
        </is>
      </c>
    </row>
    <row r="750">
      <c r="A750" s="3" t="inlineStr">
        <is>
          <t>compra</t>
        </is>
      </c>
      <c r="B750" s="3" t="inlineStr">
        <is>
          <t>ccaa:06</t>
        </is>
      </c>
      <c r="C750" s="3" t="inlineStr">
        <is>
          <t>P4</t>
        </is>
      </c>
      <c r="D750" s="3" t="inlineStr">
        <is>
          <t>demografia</t>
        </is>
      </c>
      <c r="E750" s="3" t="inlineStr">
        <is>
          <t>regional_panel</t>
        </is>
      </c>
      <c r="F750" s="3" t="inlineStr">
        <is>
          <t>panel_covariables</t>
        </is>
      </c>
      <c r="G750" s="3" t="n">
        <v>2.00716</v>
      </c>
      <c r="H750" s="3" t="n">
        <v>-35.7626</v>
      </c>
      <c r="I750" s="3" t="n">
        <v>0.56795</v>
      </c>
      <c r="J750" s="3" t="n">
        <v>3.08238</v>
      </c>
      <c r="K750" s="3" t="n">
        <v>-5.61245</v>
      </c>
      <c r="L750" s="3" t="n">
        <v>4</v>
      </c>
      <c r="M750" s="3" t="inlineStr">
        <is>
          <t>si</t>
        </is>
      </c>
      <c r="N750" s="3" t="inlineStr">
        <is>
          <t>no designado (contraste C4: no hay svar_hd regional)</t>
        </is>
      </c>
      <c r="O750" s="3" t="inlineStr">
        <is>
          <t>CCAA: ranking por c_f·sign(dY) del panel FE (M8); asociacion, sin lectura causal; el factor comun es un resumen de comovimiento (pendiente ~1 mecanica, J23)</t>
        </is>
      </c>
      <c r="P750" s="3" t="inlineStr">
        <is>
          <t>output/v8/F5/regional_ranking.csv</t>
        </is>
      </c>
    </row>
    <row r="751">
      <c r="A751" s="3" t="inlineStr">
        <is>
          <t>compra</t>
        </is>
      </c>
      <c r="B751" s="3" t="inlineStr">
        <is>
          <t>ccaa:06</t>
        </is>
      </c>
      <c r="C751" s="3" t="inlineStr">
        <is>
          <t>P4</t>
        </is>
      </c>
      <c r="D751" s="3" t="inlineStr">
        <is>
          <t>oferta</t>
        </is>
      </c>
      <c r="E751" s="3" t="inlineStr">
        <is>
          <t>regional_panel</t>
        </is>
      </c>
      <c r="F751" s="3" t="inlineStr">
        <is>
          <t>panel_covariables</t>
        </is>
      </c>
      <c r="G751" s="3" t="n">
        <v>0.07886559999999999</v>
      </c>
      <c r="H751" s="3" t="n">
        <v>-1.40519</v>
      </c>
      <c r="I751" s="3" t="n">
        <v>-0.00247029</v>
      </c>
      <c r="J751" s="3" t="n">
        <v>0.193355</v>
      </c>
      <c r="K751" s="3" t="n">
        <v>-5.61245</v>
      </c>
      <c r="L751" s="3" t="n">
        <v>2</v>
      </c>
      <c r="M751" s="3" t="inlineStr">
        <is>
          <t>si</t>
        </is>
      </c>
      <c r="N751" s="3" t="inlineStr">
        <is>
          <t>no designado (contraste C4: no hay svar_hd regional)</t>
        </is>
      </c>
      <c r="O751" s="3" t="inlineStr">
        <is>
          <t>CCAA: ranking por c_f·sign(dY) del panel FE (M8); asociacion, sin lectura causal; el factor comun es un resumen de comovimiento (pendiente ~1 mecanica, J23)</t>
        </is>
      </c>
      <c r="P751" s="3" t="inlineStr">
        <is>
          <t>output/v8/F5/regional_ranking.csv</t>
        </is>
      </c>
    </row>
    <row r="752">
      <c r="A752" s="3" t="inlineStr">
        <is>
          <t>compra</t>
        </is>
      </c>
      <c r="B752" s="3" t="inlineStr">
        <is>
          <t>ccaa:06</t>
        </is>
      </c>
      <c r="C752" s="3" t="inlineStr">
        <is>
          <t>P4</t>
        </is>
      </c>
      <c r="D752" s="3" t="inlineStr">
        <is>
          <t>demanda_externa</t>
        </is>
      </c>
      <c r="E752" s="3" t="inlineStr">
        <is>
          <t>regional_panel</t>
        </is>
      </c>
      <c r="F752" s="3" t="inlineStr">
        <is>
          <t>panel_covariables</t>
        </is>
      </c>
      <c r="G752" s="3" t="n">
        <v>0.169645</v>
      </c>
      <c r="H752" s="3" t="n">
        <v>-3.02266</v>
      </c>
      <c r="I752" s="3" t="n">
        <v>-0.09775929999999999</v>
      </c>
      <c r="J752" s="3" t="n">
        <v>0.274623</v>
      </c>
      <c r="K752" s="3" t="n">
        <v>-5.61245</v>
      </c>
      <c r="L752" s="3" t="n">
        <v>3</v>
      </c>
      <c r="M752" s="3" t="inlineStr">
        <is>
          <t>si</t>
        </is>
      </c>
      <c r="N752" s="3" t="inlineStr">
        <is>
          <t>no designado (contraste C4: no hay svar_hd regional)</t>
        </is>
      </c>
      <c r="O752" s="3" t="inlineStr">
        <is>
          <t>CCAA: ranking por c_f·sign(dY) del panel FE (M8); asociacion, sin lectura causal; el factor comun es un resumen de comovimiento (pendiente ~1 mecanica, J23)</t>
        </is>
      </c>
      <c r="P752" s="3" t="inlineStr">
        <is>
          <t>output/v8/F5/regional_ranking.csv</t>
        </is>
      </c>
    </row>
    <row r="753">
      <c r="A753" s="3" t="inlineStr">
        <is>
          <t>compra</t>
        </is>
      </c>
      <c r="B753" s="3" t="inlineStr">
        <is>
          <t>ccaa:06</t>
        </is>
      </c>
      <c r="C753" s="3" t="inlineStr">
        <is>
          <t>P4</t>
        </is>
      </c>
      <c r="D753" s="3" t="inlineStr">
        <is>
          <t>residuo</t>
        </is>
      </c>
      <c r="E753" s="3" t="inlineStr">
        <is>
          <t>regional_panel</t>
        </is>
      </c>
      <c r="F753" s="3" t="inlineStr">
        <is>
          <t>panel_covariables</t>
        </is>
      </c>
      <c r="G753" s="3" t="n">
        <v>-3.52726</v>
      </c>
      <c r="H753" s="3" t="n">
        <v>62.8471</v>
      </c>
      <c r="I753" s="3" t="n">
        <v>-5.66044</v>
      </c>
      <c r="J753" s="3" t="n">
        <v>-1.47534</v>
      </c>
      <c r="K753" s="3" t="n">
        <v>-5.61245</v>
      </c>
      <c r="L753" s="3" t="n"/>
      <c r="M753" s="3" t="inlineStr">
        <is>
          <t>no</t>
        </is>
      </c>
      <c r="N753" s="3" t="inlineStr">
        <is>
          <t>no designado (contraste C4: no hay svar_hd regional)</t>
        </is>
      </c>
      <c r="O753" s="3" t="inlineStr">
        <is>
          <t>CCAA: ranking por c_f·sign(dY) del panel FE (M8); asociacion, sin lectura causal; el factor comun es un resumen de comovimiento (pendiente ~1 mecanica, J23)</t>
        </is>
      </c>
      <c r="P753" s="3" t="inlineStr">
        <is>
          <t>output/v8/F5/regional_ranking.csv</t>
        </is>
      </c>
    </row>
    <row r="754">
      <c r="A754" s="3" t="inlineStr">
        <is>
          <t>compra</t>
        </is>
      </c>
      <c r="B754" s="3" t="inlineStr">
        <is>
          <t>ccaa:06</t>
        </is>
      </c>
      <c r="C754" s="3" t="inlineStr">
        <is>
          <t>P5</t>
        </is>
      </c>
      <c r="D754" s="3" t="inlineStr">
        <is>
          <t>factor_comun</t>
        </is>
      </c>
      <c r="E754" s="3" t="inlineStr">
        <is>
          <t>regional_ccaa_ols</t>
        </is>
      </c>
      <c r="F754" s="3" t="inlineStr">
        <is>
          <t>ols_solo_factor</t>
        </is>
      </c>
      <c r="G754" s="3" t="n">
        <v>12.76</v>
      </c>
      <c r="H754" s="3" t="n">
        <v>87.4021</v>
      </c>
      <c r="I754" s="3" t="n">
        <v>5.07181</v>
      </c>
      <c r="J754" s="3" t="n">
        <v>22.2134</v>
      </c>
      <c r="K754" s="3" t="n">
        <v>2.59222</v>
      </c>
      <c r="L754" s="3" t="n"/>
      <c r="M754" s="3" t="inlineStr">
        <is>
          <t>no</t>
        </is>
      </c>
      <c r="N754" s="3" t="inlineStr">
        <is>
          <t>no designado (contraste C4: no hay svar_hd regional)</t>
        </is>
      </c>
      <c r="O754" s="3" t="inlineStr">
        <is>
          <t>CCAA: ranking por c_f·sign(dY) del panel FE (M8); asociacion, sin lectura causal; el factor comun es un resumen de comovimiento (pendiente ~1 mecanica, J23)</t>
        </is>
      </c>
      <c r="P754" s="3" t="inlineStr">
        <is>
          <t>output/v8/F5/regional_ranking.csv</t>
        </is>
      </c>
    </row>
    <row r="755">
      <c r="A755" s="3" t="inlineStr">
        <is>
          <t>compra</t>
        </is>
      </c>
      <c r="B755" s="3" t="inlineStr">
        <is>
          <t>ccaa:06</t>
        </is>
      </c>
      <c r="C755" s="3" t="inlineStr">
        <is>
          <t>P5</t>
        </is>
      </c>
      <c r="D755" s="3" t="inlineStr">
        <is>
          <t>residuo</t>
        </is>
      </c>
      <c r="E755" s="3" t="inlineStr">
        <is>
          <t>regional_ccaa_ols</t>
        </is>
      </c>
      <c r="F755" s="3" t="inlineStr">
        <is>
          <t>ols_solo_factor</t>
        </is>
      </c>
      <c r="G755" s="3" t="n">
        <v>1.8392</v>
      </c>
      <c r="H755" s="3" t="n">
        <v>12.5979</v>
      </c>
      <c r="I755" s="3" t="n"/>
      <c r="J755" s="3" t="n"/>
      <c r="K755" s="3" t="n">
        <v>2.59222</v>
      </c>
      <c r="L755" s="3" t="n"/>
      <c r="M755" s="3" t="inlineStr">
        <is>
          <t>no</t>
        </is>
      </c>
      <c r="N755" s="3" t="inlineStr">
        <is>
          <t>no designado (contraste C4: no hay svar_hd regional)</t>
        </is>
      </c>
      <c r="O755" s="3" t="inlineStr">
        <is>
          <t>CCAA: ranking por c_f·sign(dY) del panel FE (M8); asociacion, sin lectura causal; el factor comun es un resumen de comovimiento (pendiente ~1 mecanica, J23)</t>
        </is>
      </c>
      <c r="P755" s="3" t="inlineStr">
        <is>
          <t>output/v8/F5/regional_ranking.csv</t>
        </is>
      </c>
    </row>
    <row r="756">
      <c r="A756" s="3" t="inlineStr">
        <is>
          <t>compra</t>
        </is>
      </c>
      <c r="B756" s="3" t="inlineStr">
        <is>
          <t>ccaa:06</t>
        </is>
      </c>
      <c r="C756" s="3" t="inlineStr">
        <is>
          <t>P5</t>
        </is>
      </c>
      <c r="D756" s="3" t="inlineStr">
        <is>
          <t>factor_comun</t>
        </is>
      </c>
      <c r="E756" s="3" t="inlineStr">
        <is>
          <t>regional_panel</t>
        </is>
      </c>
      <c r="F756" s="3" t="inlineStr">
        <is>
          <t>panel_covariables</t>
        </is>
      </c>
      <c r="G756" s="3" t="n">
        <v>1.50215</v>
      </c>
      <c r="H756" s="3" t="n">
        <v>57.9484</v>
      </c>
      <c r="I756" s="3" t="n">
        <v>-1.20824</v>
      </c>
      <c r="J756" s="3" t="n">
        <v>4.46537</v>
      </c>
      <c r="K756" s="3" t="n">
        <v>2.59222</v>
      </c>
      <c r="L756" s="3" t="n"/>
      <c r="M756" s="3" t="inlineStr">
        <is>
          <t>no</t>
        </is>
      </c>
      <c r="N756" s="3" t="inlineStr">
        <is>
          <t>no designado (contraste C4: no hay svar_hd regional)</t>
        </is>
      </c>
      <c r="O756" s="3" t="inlineStr">
        <is>
          <t>CCAA: ranking por c_f·sign(dY) del panel FE (M8); asociacion, sin lectura causal; el factor comun es un resumen de comovimiento (pendiente ~1 mecanica, J23)</t>
        </is>
      </c>
      <c r="P756" s="3" t="inlineStr">
        <is>
          <t>output/v8/F5/regional_ranking.csv</t>
        </is>
      </c>
    </row>
    <row r="757">
      <c r="A757" s="3" t="inlineStr">
        <is>
          <t>compra</t>
        </is>
      </c>
      <c r="B757" s="3" t="inlineStr">
        <is>
          <t>ccaa:06</t>
        </is>
      </c>
      <c r="C757" s="3" t="inlineStr">
        <is>
          <t>P5</t>
        </is>
      </c>
      <c r="D757" s="3" t="inlineStr">
        <is>
          <t>empleo_renta</t>
        </is>
      </c>
      <c r="E757" s="3" t="inlineStr">
        <is>
          <t>regional_panel</t>
        </is>
      </c>
      <c r="F757" s="3" t="inlineStr">
        <is>
          <t>panel_covariables</t>
        </is>
      </c>
      <c r="G757" s="3" t="n">
        <v>0.626793</v>
      </c>
      <c r="H757" s="3" t="n">
        <v>24.1798</v>
      </c>
      <c r="I757" s="3" t="n">
        <v>-0.0497745</v>
      </c>
      <c r="J757" s="3" t="n">
        <v>1.43976</v>
      </c>
      <c r="K757" s="3" t="n">
        <v>2.59222</v>
      </c>
      <c r="L757" s="3" t="n">
        <v>1</v>
      </c>
      <c r="M757" s="3" t="inlineStr">
        <is>
          <t>si</t>
        </is>
      </c>
      <c r="N757" s="3" t="inlineStr">
        <is>
          <t>no designado (contraste C4: no hay svar_hd regional)</t>
        </is>
      </c>
      <c r="O757" s="3" t="inlineStr">
        <is>
          <t>CCAA: ranking por c_f·sign(dY) del panel FE (M8); asociacion, sin lectura causal; el factor comun es un resumen de comovimiento (pendiente ~1 mecanica, J23)</t>
        </is>
      </c>
      <c r="P757" s="3" t="inlineStr">
        <is>
          <t>output/v8/F5/regional_ranking.csv</t>
        </is>
      </c>
    </row>
    <row r="758">
      <c r="A758" s="3" t="inlineStr">
        <is>
          <t>compra</t>
        </is>
      </c>
      <c r="B758" s="3" t="inlineStr">
        <is>
          <t>ccaa:06</t>
        </is>
      </c>
      <c r="C758" s="3" t="inlineStr">
        <is>
          <t>P5</t>
        </is>
      </c>
      <c r="D758" s="3" t="inlineStr">
        <is>
          <t>demografia</t>
        </is>
      </c>
      <c r="E758" s="3" t="inlineStr">
        <is>
          <t>regional_panel</t>
        </is>
      </c>
      <c r="F758" s="3" t="inlineStr">
        <is>
          <t>panel_covariables</t>
        </is>
      </c>
      <c r="G758" s="3" t="n">
        <v>-0.782444</v>
      </c>
      <c r="H758" s="3" t="n">
        <v>-30.1843</v>
      </c>
      <c r="I758" s="3" t="n">
        <v>-1.77978</v>
      </c>
      <c r="J758" s="3" t="n">
        <v>1.00235</v>
      </c>
      <c r="K758" s="3" t="n">
        <v>2.59222</v>
      </c>
      <c r="L758" s="3" t="n">
        <v>4</v>
      </c>
      <c r="M758" s="3" t="inlineStr">
        <is>
          <t>si</t>
        </is>
      </c>
      <c r="N758" s="3" t="inlineStr">
        <is>
          <t>no designado (contraste C4: no hay svar_hd regional)</t>
        </is>
      </c>
      <c r="O758" s="3" t="inlineStr">
        <is>
          <t>CCAA: ranking por c_f·sign(dY) del panel FE (M8); asociacion, sin lectura causal; el factor comun es un resumen de comovimiento (pendiente ~1 mecanica, J23)</t>
        </is>
      </c>
      <c r="P758" s="3" t="inlineStr">
        <is>
          <t>output/v8/F5/regional_ranking.csv</t>
        </is>
      </c>
    </row>
    <row r="759">
      <c r="A759" s="3" t="inlineStr">
        <is>
          <t>compra</t>
        </is>
      </c>
      <c r="B759" s="3" t="inlineStr">
        <is>
          <t>ccaa:06</t>
        </is>
      </c>
      <c r="C759" s="3" t="inlineStr">
        <is>
          <t>P5</t>
        </is>
      </c>
      <c r="D759" s="3" t="inlineStr">
        <is>
          <t>oferta</t>
        </is>
      </c>
      <c r="E759" s="3" t="inlineStr">
        <is>
          <t>regional_panel</t>
        </is>
      </c>
      <c r="F759" s="3" t="inlineStr">
        <is>
          <t>panel_covariables</t>
        </is>
      </c>
      <c r="G759" s="3" t="n">
        <v>0.000532144</v>
      </c>
      <c r="H759" s="3" t="n">
        <v>0.0205285</v>
      </c>
      <c r="I759" s="3" t="n">
        <v>-0.113977</v>
      </c>
      <c r="J759" s="3" t="n">
        <v>0.0802167</v>
      </c>
      <c r="K759" s="3" t="n">
        <v>2.59222</v>
      </c>
      <c r="L759" s="3" t="n">
        <v>2</v>
      </c>
      <c r="M759" s="3" t="inlineStr">
        <is>
          <t>si</t>
        </is>
      </c>
      <c r="N759" s="3" t="inlineStr">
        <is>
          <t>no designado (contraste C4: no hay svar_hd regional)</t>
        </is>
      </c>
      <c r="O759" s="3" t="inlineStr">
        <is>
          <t>CCAA: ranking por c_f·sign(dY) del panel FE (M8); asociacion, sin lectura causal; el factor comun es un resumen de comovimiento (pendiente ~1 mecanica, J23)</t>
        </is>
      </c>
      <c r="P759" s="3" t="inlineStr">
        <is>
          <t>output/v8/F5/regional_ranking.csv</t>
        </is>
      </c>
    </row>
    <row r="760">
      <c r="A760" s="3" t="inlineStr">
        <is>
          <t>compra</t>
        </is>
      </c>
      <c r="B760" s="3" t="inlineStr">
        <is>
          <t>ccaa:06</t>
        </is>
      </c>
      <c r="C760" s="3" t="inlineStr">
        <is>
          <t>P5</t>
        </is>
      </c>
      <c r="D760" s="3" t="inlineStr">
        <is>
          <t>demanda_externa</t>
        </is>
      </c>
      <c r="E760" s="3" t="inlineStr">
        <is>
          <t>regional_panel</t>
        </is>
      </c>
      <c r="F760" s="3" t="inlineStr">
        <is>
          <t>panel_covariables</t>
        </is>
      </c>
      <c r="G760" s="3" t="n">
        <v>-0.00460042</v>
      </c>
      <c r="H760" s="3" t="n">
        <v>-0.17747</v>
      </c>
      <c r="I760" s="3" t="n">
        <v>-0.0649315</v>
      </c>
      <c r="J760" s="3" t="n">
        <v>0.491511</v>
      </c>
      <c r="K760" s="3" t="n">
        <v>2.59222</v>
      </c>
      <c r="L760" s="3" t="n">
        <v>3</v>
      </c>
      <c r="M760" s="3" t="inlineStr">
        <is>
          <t>si</t>
        </is>
      </c>
      <c r="N760" s="3" t="inlineStr">
        <is>
          <t>no designado (contraste C4: no hay svar_hd regional)</t>
        </is>
      </c>
      <c r="O760" s="3" t="inlineStr">
        <is>
          <t>CCAA: ranking por c_f·sign(dY) del panel FE (M8); asociacion, sin lectura causal; el factor comun es un resumen de comovimiento (pendiente ~1 mecanica, J23)</t>
        </is>
      </c>
      <c r="P760" s="3" t="inlineStr">
        <is>
          <t>output/v8/F5/regional_ranking.csv</t>
        </is>
      </c>
    </row>
    <row r="761">
      <c r="A761" s="3" t="inlineStr">
        <is>
          <t>compra</t>
        </is>
      </c>
      <c r="B761" s="3" t="inlineStr">
        <is>
          <t>ccaa:06</t>
        </is>
      </c>
      <c r="C761" s="3" t="inlineStr">
        <is>
          <t>P5</t>
        </is>
      </c>
      <c r="D761" s="3" t="inlineStr">
        <is>
          <t>residuo</t>
        </is>
      </c>
      <c r="E761" s="3" t="inlineStr">
        <is>
          <t>regional_panel</t>
        </is>
      </c>
      <c r="F761" s="3" t="inlineStr">
        <is>
          <t>panel_covariables</t>
        </is>
      </c>
      <c r="G761" s="3" t="n">
        <v>1.24979</v>
      </c>
      <c r="H761" s="3" t="n">
        <v>48.2131</v>
      </c>
      <c r="I761" s="3" t="n">
        <v>-1.27138</v>
      </c>
      <c r="J761" s="3" t="n">
        <v>2.52614</v>
      </c>
      <c r="K761" s="3" t="n">
        <v>2.59222</v>
      </c>
      <c r="L761" s="3" t="n"/>
      <c r="M761" s="3" t="inlineStr">
        <is>
          <t>no</t>
        </is>
      </c>
      <c r="N761" s="3" t="inlineStr">
        <is>
          <t>no designado (contraste C4: no hay svar_hd regional)</t>
        </is>
      </c>
      <c r="O761" s="3" t="inlineStr">
        <is>
          <t>CCAA: ranking por c_f·sign(dY) del panel FE (M8); asociacion, sin lectura causal; el factor comun es un resumen de comovimiento (pendiente ~1 mecanica, J23)</t>
        </is>
      </c>
      <c r="P761" s="3" t="inlineStr">
        <is>
          <t>output/v8/F5/regional_ranking.csv</t>
        </is>
      </c>
    </row>
    <row r="762">
      <c r="A762" s="3" t="inlineStr">
        <is>
          <t>compra</t>
        </is>
      </c>
      <c r="B762" s="3" t="inlineStr">
        <is>
          <t>ccaa:07</t>
        </is>
      </c>
      <c r="C762" s="3" t="inlineStr">
        <is>
          <t>P1</t>
        </is>
      </c>
      <c r="D762" s="3" t="inlineStr">
        <is>
          <t>factor_comun</t>
        </is>
      </c>
      <c r="E762" s="3" t="inlineStr">
        <is>
          <t>regional_ccaa_ols</t>
        </is>
      </c>
      <c r="F762" s="3" t="inlineStr">
        <is>
          <t>ols_solo_factor</t>
        </is>
      </c>
      <c r="G762" s="3" t="n">
        <v>58.9628</v>
      </c>
      <c r="H762" s="3" t="n">
        <v>113.105</v>
      </c>
      <c r="I762" s="3" t="n">
        <v>46.5835</v>
      </c>
      <c r="J762" s="3" t="n">
        <v>71.8879</v>
      </c>
      <c r="K762" s="3" t="n">
        <v>52.1309</v>
      </c>
      <c r="L762" s="3" t="n"/>
      <c r="M762" s="3" t="inlineStr">
        <is>
          <t>no</t>
        </is>
      </c>
      <c r="N762" s="3" t="inlineStr">
        <is>
          <t>no designado (contraste C4: no hay svar_hd regional)</t>
        </is>
      </c>
      <c r="O762" s="3" t="inlineStr">
        <is>
          <t>CCAA: ranking por c_f·sign(dY) del panel FE (M8); asociacion, sin lectura causal; el factor comun es un resumen de comovimiento (pendiente ~1 mecanica, J23)</t>
        </is>
      </c>
      <c r="P762" s="3" t="inlineStr">
        <is>
          <t>output/v8/F5/regional_ranking.csv</t>
        </is>
      </c>
    </row>
    <row r="763">
      <c r="A763" s="3" t="inlineStr">
        <is>
          <t>compra</t>
        </is>
      </c>
      <c r="B763" s="3" t="inlineStr">
        <is>
          <t>ccaa:07</t>
        </is>
      </c>
      <c r="C763" s="3" t="inlineStr">
        <is>
          <t>P1</t>
        </is>
      </c>
      <c r="D763" s="3" t="inlineStr">
        <is>
          <t>residuo</t>
        </is>
      </c>
      <c r="E763" s="3" t="inlineStr">
        <is>
          <t>regional_ccaa_ols</t>
        </is>
      </c>
      <c r="F763" s="3" t="inlineStr">
        <is>
          <t>ols_solo_factor</t>
        </is>
      </c>
      <c r="G763" s="3" t="n">
        <v>-6.83186</v>
      </c>
      <c r="H763" s="3" t="n">
        <v>-13.1052</v>
      </c>
      <c r="I763" s="3" t="n"/>
      <c r="J763" s="3" t="n"/>
      <c r="K763" s="3" t="n">
        <v>52.1309</v>
      </c>
      <c r="L763" s="3" t="n"/>
      <c r="M763" s="3" t="inlineStr">
        <is>
          <t>no</t>
        </is>
      </c>
      <c r="N763" s="3" t="inlineStr">
        <is>
          <t>no designado (contraste C4: no hay svar_hd regional)</t>
        </is>
      </c>
      <c r="O763" s="3" t="inlineStr">
        <is>
          <t>CCAA: ranking por c_f·sign(dY) del panel FE (M8); asociacion, sin lectura causal; el factor comun es un resumen de comovimiento (pendiente ~1 mecanica, J23)</t>
        </is>
      </c>
      <c r="P763" s="3" t="inlineStr">
        <is>
          <t>output/v8/F5/regional_ranking.csv</t>
        </is>
      </c>
    </row>
    <row r="764">
      <c r="A764" s="3" t="inlineStr">
        <is>
          <t>compra</t>
        </is>
      </c>
      <c r="B764" s="3" t="inlineStr">
        <is>
          <t>ccaa:07</t>
        </is>
      </c>
      <c r="C764" s="3" t="inlineStr">
        <is>
          <t>P1</t>
        </is>
      </c>
      <c r="D764" s="3" t="inlineStr">
        <is>
          <t>factor_comun</t>
        </is>
      </c>
      <c r="E764" s="3" t="inlineStr">
        <is>
          <t>regional_panel</t>
        </is>
      </c>
      <c r="F764" s="3" t="inlineStr">
        <is>
          <t>panel_covariables</t>
        </is>
      </c>
      <c r="G764" s="3" t="n">
        <v>74.3853</v>
      </c>
      <c r="H764" s="3" t="n">
        <v>142.689</v>
      </c>
      <c r="I764" s="3" t="n">
        <v>63.2347</v>
      </c>
      <c r="J764" s="3" t="n">
        <v>88.0656</v>
      </c>
      <c r="K764" s="3" t="n">
        <v>52.1309</v>
      </c>
      <c r="L764" s="3" t="n"/>
      <c r="M764" s="3" t="inlineStr">
        <is>
          <t>no</t>
        </is>
      </c>
      <c r="N764" s="3" t="inlineStr">
        <is>
          <t>no designado (contraste C4: no hay svar_hd regional)</t>
        </is>
      </c>
      <c r="O764" s="3" t="inlineStr">
        <is>
          <t>CCAA: ranking por c_f·sign(dY) del panel FE (M8); asociacion, sin lectura causal; el factor comun es un resumen de comovimiento (pendiente ~1 mecanica, J23)</t>
        </is>
      </c>
      <c r="P764" s="3" t="inlineStr">
        <is>
          <t>output/v8/F5/regional_ranking.csv</t>
        </is>
      </c>
    </row>
    <row r="765">
      <c r="A765" s="3" t="inlineStr">
        <is>
          <t>compra</t>
        </is>
      </c>
      <c r="B765" s="3" t="inlineStr">
        <is>
          <t>ccaa:07</t>
        </is>
      </c>
      <c r="C765" s="3" t="inlineStr">
        <is>
          <t>P1</t>
        </is>
      </c>
      <c r="D765" s="3" t="inlineStr">
        <is>
          <t>residuo</t>
        </is>
      </c>
      <c r="E765" s="3" t="inlineStr">
        <is>
          <t>regional_panel</t>
        </is>
      </c>
      <c r="F765" s="3" t="inlineStr">
        <is>
          <t>panel_covariables</t>
        </is>
      </c>
      <c r="G765" s="3" t="n">
        <v>-22.2544</v>
      </c>
      <c r="H765" s="3" t="n">
        <v>-42.6894</v>
      </c>
      <c r="I765" s="3" t="n">
        <v>-28.0927</v>
      </c>
      <c r="J765" s="3" t="n">
        <v>-17.3131</v>
      </c>
      <c r="K765" s="3" t="n">
        <v>52.1309</v>
      </c>
      <c r="L765" s="3" t="n"/>
      <c r="M765" s="3" t="inlineStr">
        <is>
          <t>no</t>
        </is>
      </c>
      <c r="N765" s="3" t="inlineStr">
        <is>
          <t>no designado (contraste C4: no hay svar_hd regional)</t>
        </is>
      </c>
      <c r="O765" s="3" t="inlineStr">
        <is>
          <t>CCAA: ranking por c_f·sign(dY) del panel FE (M8); asociacion, sin lectura causal; el factor comun es un resumen de comovimiento (pendiente ~1 mecanica, J23)</t>
        </is>
      </c>
      <c r="P765" s="3" t="inlineStr">
        <is>
          <t>output/v8/F5/regional_ranking.csv</t>
        </is>
      </c>
    </row>
    <row r="766">
      <c r="A766" s="3" t="inlineStr">
        <is>
          <t>compra</t>
        </is>
      </c>
      <c r="B766" s="3" t="inlineStr">
        <is>
          <t>ccaa:07</t>
        </is>
      </c>
      <c r="C766" s="3" t="inlineStr">
        <is>
          <t>P2</t>
        </is>
      </c>
      <c r="D766" s="3" t="inlineStr">
        <is>
          <t>factor_comun</t>
        </is>
      </c>
      <c r="E766" s="3" t="inlineStr">
        <is>
          <t>regional_ccaa_ols</t>
        </is>
      </c>
      <c r="F766" s="3" t="inlineStr">
        <is>
          <t>ols_solo_factor</t>
        </is>
      </c>
      <c r="G766" s="3" t="n">
        <v>-33.8815</v>
      </c>
      <c r="H766" s="3" t="n">
        <v>83.67570000000001</v>
      </c>
      <c r="I766" s="3" t="n">
        <v>-44.3357</v>
      </c>
      <c r="J766" s="3" t="n">
        <v>-23.8913</v>
      </c>
      <c r="K766" s="3" t="n">
        <v>-37.4504</v>
      </c>
      <c r="L766" s="3" t="n"/>
      <c r="M766" s="3" t="inlineStr">
        <is>
          <t>no</t>
        </is>
      </c>
      <c r="N766" s="3" t="inlineStr">
        <is>
          <t>no designado (contraste C4: no hay svar_hd regional)</t>
        </is>
      </c>
      <c r="O766" s="3" t="inlineStr">
        <is>
          <t>CCAA: ranking por c_f·sign(dY) del panel FE (M8); asociacion, sin lectura causal; el factor comun es un resumen de comovimiento (pendiente ~1 mecanica, J23)</t>
        </is>
      </c>
      <c r="P766" s="3" t="inlineStr">
        <is>
          <t>output/v8/F5/regional_ranking.csv</t>
        </is>
      </c>
    </row>
    <row r="767">
      <c r="A767" s="3" t="inlineStr">
        <is>
          <t>compra</t>
        </is>
      </c>
      <c r="B767" s="3" t="inlineStr">
        <is>
          <t>ccaa:07</t>
        </is>
      </c>
      <c r="C767" s="3" t="inlineStr">
        <is>
          <t>P2</t>
        </is>
      </c>
      <c r="D767" s="3" t="inlineStr">
        <is>
          <t>residuo</t>
        </is>
      </c>
      <c r="E767" s="3" t="inlineStr">
        <is>
          <t>regional_ccaa_ols</t>
        </is>
      </c>
      <c r="F767" s="3" t="inlineStr">
        <is>
          <t>ols_solo_factor</t>
        </is>
      </c>
      <c r="G767" s="3" t="n">
        <v>-6.60996</v>
      </c>
      <c r="H767" s="3" t="n">
        <v>16.3243</v>
      </c>
      <c r="I767" s="3" t="n"/>
      <c r="J767" s="3" t="n"/>
      <c r="K767" s="3" t="n">
        <v>-37.4504</v>
      </c>
      <c r="L767" s="3" t="n"/>
      <c r="M767" s="3" t="inlineStr">
        <is>
          <t>no</t>
        </is>
      </c>
      <c r="N767" s="3" t="inlineStr">
        <is>
          <t>no designado (contraste C4: no hay svar_hd regional)</t>
        </is>
      </c>
      <c r="O767" s="3" t="inlineStr">
        <is>
          <t>CCAA: ranking por c_f·sign(dY) del panel FE (M8); asociacion, sin lectura causal; el factor comun es un resumen de comovimiento (pendiente ~1 mecanica, J23)</t>
        </is>
      </c>
      <c r="P767" s="3" t="inlineStr">
        <is>
          <t>output/v8/F5/regional_ranking.csv</t>
        </is>
      </c>
    </row>
    <row r="768">
      <c r="A768" s="3" t="inlineStr">
        <is>
          <t>compra</t>
        </is>
      </c>
      <c r="B768" s="3" t="inlineStr">
        <is>
          <t>ccaa:07</t>
        </is>
      </c>
      <c r="C768" s="3" t="inlineStr">
        <is>
          <t>P2</t>
        </is>
      </c>
      <c r="D768" s="3" t="inlineStr">
        <is>
          <t>factor_comun</t>
        </is>
      </c>
      <c r="E768" s="3" t="inlineStr">
        <is>
          <t>regional_panel</t>
        </is>
      </c>
      <c r="F768" s="3" t="inlineStr">
        <is>
          <t>panel_covariables</t>
        </is>
      </c>
      <c r="G768" s="3" t="n">
        <v>-35.0812</v>
      </c>
      <c r="H768" s="3" t="n">
        <v>93.6737</v>
      </c>
      <c r="I768" s="3" t="n">
        <v>-41.5124</v>
      </c>
      <c r="J768" s="3" t="n">
        <v>-30.6884</v>
      </c>
      <c r="K768" s="3" t="n">
        <v>-37.4504</v>
      </c>
      <c r="L768" s="3" t="n"/>
      <c r="M768" s="3" t="inlineStr">
        <is>
          <t>no</t>
        </is>
      </c>
      <c r="N768" s="3" t="inlineStr">
        <is>
          <t>no designado (contraste C4: no hay svar_hd regional)</t>
        </is>
      </c>
      <c r="O768" s="3" t="inlineStr">
        <is>
          <t>CCAA: ranking por c_f·sign(dY) del panel FE (M8); asociacion, sin lectura causal; el factor comun es un resumen de comovimiento (pendiente ~1 mecanica, J23)</t>
        </is>
      </c>
      <c r="P768" s="3" t="inlineStr">
        <is>
          <t>output/v8/F5/regional_ranking.csv</t>
        </is>
      </c>
    </row>
    <row r="769">
      <c r="A769" s="3" t="inlineStr">
        <is>
          <t>compra</t>
        </is>
      </c>
      <c r="B769" s="3" t="inlineStr">
        <is>
          <t>ccaa:07</t>
        </is>
      </c>
      <c r="C769" s="3" t="inlineStr">
        <is>
          <t>P2</t>
        </is>
      </c>
      <c r="D769" s="3" t="inlineStr">
        <is>
          <t>empleo_renta</t>
        </is>
      </c>
      <c r="E769" s="3" t="inlineStr">
        <is>
          <t>regional_panel</t>
        </is>
      </c>
      <c r="F769" s="3" t="inlineStr">
        <is>
          <t>panel_covariables</t>
        </is>
      </c>
      <c r="G769" s="3" t="n">
        <v>-1.05772</v>
      </c>
      <c r="H769" s="3" t="n">
        <v>2.82433</v>
      </c>
      <c r="I769" s="3" t="n">
        <v>-2.12334</v>
      </c>
      <c r="J769" s="3" t="n">
        <v>-0.0520532</v>
      </c>
      <c r="K769" s="3" t="n">
        <v>-37.4504</v>
      </c>
      <c r="L769" s="3" t="n">
        <v>2</v>
      </c>
      <c r="M769" s="3" t="inlineStr">
        <is>
          <t>si</t>
        </is>
      </c>
      <c r="N769" s="3" t="inlineStr">
        <is>
          <t>no designado (contraste C4: no hay svar_hd regional)</t>
        </is>
      </c>
      <c r="O769" s="3" t="inlineStr">
        <is>
          <t>CCAA: ranking por c_f·sign(dY) del panel FE (M8); asociacion, sin lectura causal; el factor comun es un resumen de comovimiento (pendiente ~1 mecanica, J23)</t>
        </is>
      </c>
      <c r="P769" s="3" t="inlineStr">
        <is>
          <t>output/v8/F5/regional_ranking.csv</t>
        </is>
      </c>
    </row>
    <row r="770">
      <c r="A770" s="3" t="inlineStr">
        <is>
          <t>compra</t>
        </is>
      </c>
      <c r="B770" s="3" t="inlineStr">
        <is>
          <t>ccaa:07</t>
        </is>
      </c>
      <c r="C770" s="3" t="inlineStr">
        <is>
          <t>P2</t>
        </is>
      </c>
      <c r="D770" s="3" t="inlineStr">
        <is>
          <t>demografia</t>
        </is>
      </c>
      <c r="E770" s="3" t="inlineStr">
        <is>
          <t>regional_panel</t>
        </is>
      </c>
      <c r="F770" s="3" t="inlineStr">
        <is>
          <t>panel_covariables</t>
        </is>
      </c>
      <c r="G770" s="3" t="n">
        <v>-1.42269</v>
      </c>
      <c r="H770" s="3" t="n">
        <v>3.79885</v>
      </c>
      <c r="I770" s="3" t="n">
        <v>-2.64252</v>
      </c>
      <c r="J770" s="3" t="n">
        <v>-0.647017</v>
      </c>
      <c r="K770" s="3" t="n">
        <v>-37.4504</v>
      </c>
      <c r="L770" s="3" t="n">
        <v>1</v>
      </c>
      <c r="M770" s="3" t="inlineStr">
        <is>
          <t>si</t>
        </is>
      </c>
      <c r="N770" s="3" t="inlineStr">
        <is>
          <t>no designado (contraste C4: no hay svar_hd regional)</t>
        </is>
      </c>
      <c r="O770" s="3" t="inlineStr">
        <is>
          <t>CCAA: ranking por c_f·sign(dY) del panel FE (M8); asociacion, sin lectura causal; el factor comun es un resumen de comovimiento (pendiente ~1 mecanica, J23)</t>
        </is>
      </c>
      <c r="P770" s="3" t="inlineStr">
        <is>
          <t>output/v8/F5/regional_ranking.csv</t>
        </is>
      </c>
    </row>
    <row r="771">
      <c r="A771" s="3" t="inlineStr">
        <is>
          <t>compra</t>
        </is>
      </c>
      <c r="B771" s="3" t="inlineStr">
        <is>
          <t>ccaa:07</t>
        </is>
      </c>
      <c r="C771" s="3" t="inlineStr">
        <is>
          <t>P2</t>
        </is>
      </c>
      <c r="D771" s="3" t="inlineStr">
        <is>
          <t>oferta</t>
        </is>
      </c>
      <c r="E771" s="3" t="inlineStr">
        <is>
          <t>regional_panel</t>
        </is>
      </c>
      <c r="F771" s="3" t="inlineStr">
        <is>
          <t>panel_covariables</t>
        </is>
      </c>
      <c r="G771" s="3" t="n">
        <v>-0.05817</v>
      </c>
      <c r="H771" s="3" t="n">
        <v>0.155325</v>
      </c>
      <c r="I771" s="3" t="n">
        <v>-0.440391</v>
      </c>
      <c r="J771" s="3" t="n">
        <v>0.357676</v>
      </c>
      <c r="K771" s="3" t="n">
        <v>-37.4504</v>
      </c>
      <c r="L771" s="3" t="n">
        <v>3</v>
      </c>
      <c r="M771" s="3" t="inlineStr">
        <is>
          <t>si</t>
        </is>
      </c>
      <c r="N771" s="3" t="inlineStr">
        <is>
          <t>no designado (contraste C4: no hay svar_hd regional)</t>
        </is>
      </c>
      <c r="O771" s="3" t="inlineStr">
        <is>
          <t>CCAA: ranking por c_f·sign(dY) del panel FE (M8); asociacion, sin lectura causal; el factor comun es un resumen de comovimiento (pendiente ~1 mecanica, J23)</t>
        </is>
      </c>
      <c r="P771" s="3" t="inlineStr">
        <is>
          <t>output/v8/F5/regional_ranking.csv</t>
        </is>
      </c>
    </row>
    <row r="772">
      <c r="A772" s="3" t="inlineStr">
        <is>
          <t>compra</t>
        </is>
      </c>
      <c r="B772" s="3" t="inlineStr">
        <is>
          <t>ccaa:07</t>
        </is>
      </c>
      <c r="C772" s="3" t="inlineStr">
        <is>
          <t>P2</t>
        </is>
      </c>
      <c r="D772" s="3" t="inlineStr">
        <is>
          <t>demanda_externa</t>
        </is>
      </c>
      <c r="E772" s="3" t="inlineStr">
        <is>
          <t>regional_panel</t>
        </is>
      </c>
      <c r="F772" s="3" t="inlineStr">
        <is>
          <t>panel_covariables</t>
        </is>
      </c>
      <c r="G772" s="3" t="n">
        <v>0.5609499999999999</v>
      </c>
      <c r="H772" s="3" t="n">
        <v>-1.49785</v>
      </c>
      <c r="I772" s="3" t="n">
        <v>-0.210205</v>
      </c>
      <c r="J772" s="3" t="n">
        <v>2.32204</v>
      </c>
      <c r="K772" s="3" t="n">
        <v>-37.4504</v>
      </c>
      <c r="L772" s="3" t="n">
        <v>4</v>
      </c>
      <c r="M772" s="3" t="inlineStr">
        <is>
          <t>si</t>
        </is>
      </c>
      <c r="N772" s="3" t="inlineStr">
        <is>
          <t>no designado (contraste C4: no hay svar_hd regional)</t>
        </is>
      </c>
      <c r="O772" s="3" t="inlineStr">
        <is>
          <t>CCAA: ranking por c_f·sign(dY) del panel FE (M8); asociacion, sin lectura causal; el factor comun es un resumen de comovimiento (pendiente ~1 mecanica, J23)</t>
        </is>
      </c>
      <c r="P772" s="3" t="inlineStr">
        <is>
          <t>output/v8/F5/regional_ranking.csv</t>
        </is>
      </c>
    </row>
    <row r="773">
      <c r="A773" s="3" t="inlineStr">
        <is>
          <t>compra</t>
        </is>
      </c>
      <c r="B773" s="3" t="inlineStr">
        <is>
          <t>ccaa:07</t>
        </is>
      </c>
      <c r="C773" s="3" t="inlineStr">
        <is>
          <t>P2</t>
        </is>
      </c>
      <c r="D773" s="3" t="inlineStr">
        <is>
          <t>residuo</t>
        </is>
      </c>
      <c r="E773" s="3" t="inlineStr">
        <is>
          <t>regional_panel</t>
        </is>
      </c>
      <c r="F773" s="3" t="inlineStr">
        <is>
          <t>panel_covariables</t>
        </is>
      </c>
      <c r="G773" s="3" t="n">
        <v>-0.391596</v>
      </c>
      <c r="H773" s="3" t="n">
        <v>1.04564</v>
      </c>
      <c r="I773" s="3" t="n">
        <v>-3.40552</v>
      </c>
      <c r="J773" s="3" t="n">
        <v>4.57633</v>
      </c>
      <c r="K773" s="3" t="n">
        <v>-37.4504</v>
      </c>
      <c r="L773" s="3" t="n"/>
      <c r="M773" s="3" t="inlineStr">
        <is>
          <t>no</t>
        </is>
      </c>
      <c r="N773" s="3" t="inlineStr">
        <is>
          <t>no designado (contraste C4: no hay svar_hd regional)</t>
        </is>
      </c>
      <c r="O773" s="3" t="inlineStr">
        <is>
          <t>CCAA: ranking por c_f·sign(dY) del panel FE (M8); asociacion, sin lectura causal; el factor comun es un resumen de comovimiento (pendiente ~1 mecanica, J23)</t>
        </is>
      </c>
      <c r="P773" s="3" t="inlineStr">
        <is>
          <t>output/v8/F5/regional_ranking.csv</t>
        </is>
      </c>
    </row>
    <row r="774">
      <c r="A774" s="3" t="inlineStr">
        <is>
          <t>compra</t>
        </is>
      </c>
      <c r="B774" s="3" t="inlineStr">
        <is>
          <t>ccaa:07</t>
        </is>
      </c>
      <c r="C774" s="3" t="inlineStr">
        <is>
          <t>P3</t>
        </is>
      </c>
      <c r="D774" s="3" t="inlineStr">
        <is>
          <t>factor_comun</t>
        </is>
      </c>
      <c r="E774" s="3" t="inlineStr">
        <is>
          <t>regional_ccaa_ols</t>
        </is>
      </c>
      <c r="F774" s="3" t="inlineStr">
        <is>
          <t>ols_solo_factor</t>
        </is>
      </c>
      <c r="G774" s="3" t="n">
        <v>-0.562414</v>
      </c>
      <c r="H774" s="3" t="n">
        <v>5.24091</v>
      </c>
      <c r="I774" s="3" t="n">
        <v>-4.18569</v>
      </c>
      <c r="J774" s="3" t="n">
        <v>3.24251</v>
      </c>
      <c r="K774" s="3" t="n">
        <v>-9.67788</v>
      </c>
      <c r="L774" s="3" t="n"/>
      <c r="M774" s="3" t="inlineStr">
        <is>
          <t>no</t>
        </is>
      </c>
      <c r="N774" s="3" t="inlineStr">
        <is>
          <t>no designado (contraste C4: no hay svar_hd regional)</t>
        </is>
      </c>
      <c r="O774" s="3" t="inlineStr">
        <is>
          <t>CCAA: ranking por c_f·sign(dY) del panel FE (M8); asociacion, sin lectura causal; el factor comun es un resumen de comovimiento (pendiente ~1 mecanica, J23)</t>
        </is>
      </c>
      <c r="P774" s="3" t="inlineStr">
        <is>
          <t>output/v8/F5/regional_ranking.csv</t>
        </is>
      </c>
    </row>
    <row r="775">
      <c r="A775" s="3" t="inlineStr">
        <is>
          <t>compra</t>
        </is>
      </c>
      <c r="B775" s="3" t="inlineStr">
        <is>
          <t>ccaa:07</t>
        </is>
      </c>
      <c r="C775" s="3" t="inlineStr">
        <is>
          <t>P3</t>
        </is>
      </c>
      <c r="D775" s="3" t="inlineStr">
        <is>
          <t>residuo</t>
        </is>
      </c>
      <c r="E775" s="3" t="inlineStr">
        <is>
          <t>regional_ccaa_ols</t>
        </is>
      </c>
      <c r="F775" s="3" t="inlineStr">
        <is>
          <t>ols_solo_factor</t>
        </is>
      </c>
      <c r="G775" s="3" t="n">
        <v>-10.1688</v>
      </c>
      <c r="H775" s="3" t="n">
        <v>94.7591</v>
      </c>
      <c r="I775" s="3" t="n"/>
      <c r="J775" s="3" t="n"/>
      <c r="K775" s="3" t="n">
        <v>-9.67788</v>
      </c>
      <c r="L775" s="3" t="n"/>
      <c r="M775" s="3" t="inlineStr">
        <is>
          <t>no</t>
        </is>
      </c>
      <c r="N775" s="3" t="inlineStr">
        <is>
          <t>no designado (contraste C4: no hay svar_hd regional)</t>
        </is>
      </c>
      <c r="O775" s="3" t="inlineStr">
        <is>
          <t>CCAA: ranking por c_f·sign(dY) del panel FE (M8); asociacion, sin lectura causal; el factor comun es un resumen de comovimiento (pendiente ~1 mecanica, J23)</t>
        </is>
      </c>
      <c r="P775" s="3" t="inlineStr">
        <is>
          <t>output/v8/F5/regional_ranking.csv</t>
        </is>
      </c>
    </row>
    <row r="776">
      <c r="A776" s="3" t="inlineStr">
        <is>
          <t>compra</t>
        </is>
      </c>
      <c r="B776" s="3" t="inlineStr">
        <is>
          <t>ccaa:07</t>
        </is>
      </c>
      <c r="C776" s="3" t="inlineStr">
        <is>
          <t>P3</t>
        </is>
      </c>
      <c r="D776" s="3" t="inlineStr">
        <is>
          <t>factor_comun</t>
        </is>
      </c>
      <c r="E776" s="3" t="inlineStr">
        <is>
          <t>regional_panel</t>
        </is>
      </c>
      <c r="F776" s="3" t="inlineStr">
        <is>
          <t>panel_covariables</t>
        </is>
      </c>
      <c r="G776" s="3" t="n">
        <v>-0.548472</v>
      </c>
      <c r="H776" s="3" t="n">
        <v>5.66727</v>
      </c>
      <c r="I776" s="3" t="n">
        <v>-3.50001</v>
      </c>
      <c r="J776" s="3" t="n">
        <v>2.45383</v>
      </c>
      <c r="K776" s="3" t="n">
        <v>-9.67788</v>
      </c>
      <c r="L776" s="3" t="n"/>
      <c r="M776" s="3" t="inlineStr">
        <is>
          <t>no</t>
        </is>
      </c>
      <c r="N776" s="3" t="inlineStr">
        <is>
          <t>no designado (contraste C4: no hay svar_hd regional)</t>
        </is>
      </c>
      <c r="O776" s="3" t="inlineStr">
        <is>
          <t>CCAA: ranking por c_f·sign(dY) del panel FE (M8); asociacion, sin lectura causal; el factor comun es un resumen de comovimiento (pendiente ~1 mecanica, J23)</t>
        </is>
      </c>
      <c r="P776" s="3" t="inlineStr">
        <is>
          <t>output/v8/F5/regional_ranking.csv</t>
        </is>
      </c>
    </row>
    <row r="777">
      <c r="A777" s="3" t="inlineStr">
        <is>
          <t>compra</t>
        </is>
      </c>
      <c r="B777" s="3" t="inlineStr">
        <is>
          <t>ccaa:07</t>
        </is>
      </c>
      <c r="C777" s="3" t="inlineStr">
        <is>
          <t>P3</t>
        </is>
      </c>
      <c r="D777" s="3" t="inlineStr">
        <is>
          <t>empleo_renta</t>
        </is>
      </c>
      <c r="E777" s="3" t="inlineStr">
        <is>
          <t>regional_panel</t>
        </is>
      </c>
      <c r="F777" s="3" t="inlineStr">
        <is>
          <t>panel_covariables</t>
        </is>
      </c>
      <c r="G777" s="3" t="n">
        <v>0.421076</v>
      </c>
      <c r="H777" s="3" t="n">
        <v>-4.35091</v>
      </c>
      <c r="I777" s="3" t="n">
        <v>-0.137061</v>
      </c>
      <c r="J777" s="3" t="n">
        <v>0.944698</v>
      </c>
      <c r="K777" s="3" t="n">
        <v>-9.67788</v>
      </c>
      <c r="L777" s="3" t="n">
        <v>3</v>
      </c>
      <c r="M777" s="3" t="inlineStr">
        <is>
          <t>si</t>
        </is>
      </c>
      <c r="N777" s="3" t="inlineStr">
        <is>
          <t>no designado (contraste C4: no hay svar_hd regional)</t>
        </is>
      </c>
      <c r="O777" s="3" t="inlineStr">
        <is>
          <t>CCAA: ranking por c_f·sign(dY) del panel FE (M8); asociacion, sin lectura causal; el factor comun es un resumen de comovimiento (pendiente ~1 mecanica, J23)</t>
        </is>
      </c>
      <c r="P777" s="3" t="inlineStr">
        <is>
          <t>output/v8/F5/regional_ranking.csv</t>
        </is>
      </c>
    </row>
    <row r="778">
      <c r="A778" s="3" t="inlineStr">
        <is>
          <t>compra</t>
        </is>
      </c>
      <c r="B778" s="3" t="inlineStr">
        <is>
          <t>ccaa:07</t>
        </is>
      </c>
      <c r="C778" s="3" t="inlineStr">
        <is>
          <t>P3</t>
        </is>
      </c>
      <c r="D778" s="3" t="inlineStr">
        <is>
          <t>demografia</t>
        </is>
      </c>
      <c r="E778" s="3" t="inlineStr">
        <is>
          <t>regional_panel</t>
        </is>
      </c>
      <c r="F778" s="3" t="inlineStr">
        <is>
          <t>panel_covariables</t>
        </is>
      </c>
      <c r="G778" s="3" t="n">
        <v>-3.72676</v>
      </c>
      <c r="H778" s="3" t="n">
        <v>38.508</v>
      </c>
      <c r="I778" s="3" t="n">
        <v>-5.89834</v>
      </c>
      <c r="J778" s="3" t="n">
        <v>-2.33138</v>
      </c>
      <c r="K778" s="3" t="n">
        <v>-9.67788</v>
      </c>
      <c r="L778" s="3" t="n">
        <v>1</v>
      </c>
      <c r="M778" s="3" t="inlineStr">
        <is>
          <t>si</t>
        </is>
      </c>
      <c r="N778" s="3" t="inlineStr">
        <is>
          <t>no designado (contraste C4: no hay svar_hd regional)</t>
        </is>
      </c>
      <c r="O778" s="3" t="inlineStr">
        <is>
          <t>CCAA: ranking por c_f·sign(dY) del panel FE (M8); asociacion, sin lectura causal; el factor comun es un resumen de comovimiento (pendiente ~1 mecanica, J23)</t>
        </is>
      </c>
      <c r="P778" s="3" t="inlineStr">
        <is>
          <t>output/v8/F5/regional_ranking.csv</t>
        </is>
      </c>
    </row>
    <row r="779">
      <c r="A779" s="3" t="inlineStr">
        <is>
          <t>compra</t>
        </is>
      </c>
      <c r="B779" s="3" t="inlineStr">
        <is>
          <t>ccaa:07</t>
        </is>
      </c>
      <c r="C779" s="3" t="inlineStr">
        <is>
          <t>P3</t>
        </is>
      </c>
      <c r="D779" s="3" t="inlineStr">
        <is>
          <t>oferta</t>
        </is>
      </c>
      <c r="E779" s="3" t="inlineStr">
        <is>
          <t>regional_panel</t>
        </is>
      </c>
      <c r="F779" s="3" t="inlineStr">
        <is>
          <t>panel_covariables</t>
        </is>
      </c>
      <c r="G779" s="3" t="n">
        <v>-0.318982</v>
      </c>
      <c r="H779" s="3" t="n">
        <v>3.29599</v>
      </c>
      <c r="I779" s="3" t="n">
        <v>-0.417753</v>
      </c>
      <c r="J779" s="3" t="n">
        <v>-0.082894</v>
      </c>
      <c r="K779" s="3" t="n">
        <v>-9.67788</v>
      </c>
      <c r="L779" s="3" t="n">
        <v>2</v>
      </c>
      <c r="M779" s="3" t="inlineStr">
        <is>
          <t>si</t>
        </is>
      </c>
      <c r="N779" s="3" t="inlineStr">
        <is>
          <t>no designado (contraste C4: no hay svar_hd regional)</t>
        </is>
      </c>
      <c r="O779" s="3" t="inlineStr">
        <is>
          <t>CCAA: ranking por c_f·sign(dY) del panel FE (M8); asociacion, sin lectura causal; el factor comun es un resumen de comovimiento (pendiente ~1 mecanica, J23)</t>
        </is>
      </c>
      <c r="P779" s="3" t="inlineStr">
        <is>
          <t>output/v8/F5/regional_ranking.csv</t>
        </is>
      </c>
    </row>
    <row r="780">
      <c r="A780" s="3" t="inlineStr">
        <is>
          <t>compra</t>
        </is>
      </c>
      <c r="B780" s="3" t="inlineStr">
        <is>
          <t>ccaa:07</t>
        </is>
      </c>
      <c r="C780" s="3" t="inlineStr">
        <is>
          <t>P3</t>
        </is>
      </c>
      <c r="D780" s="3" t="inlineStr">
        <is>
          <t>demanda_externa</t>
        </is>
      </c>
      <c r="E780" s="3" t="inlineStr">
        <is>
          <t>regional_panel</t>
        </is>
      </c>
      <c r="F780" s="3" t="inlineStr">
        <is>
          <t>panel_covariables</t>
        </is>
      </c>
      <c r="G780" s="3" t="n">
        <v>1.45438</v>
      </c>
      <c r="H780" s="3" t="n">
        <v>-15.0278</v>
      </c>
      <c r="I780" s="3" t="n">
        <v>0.639859</v>
      </c>
      <c r="J780" s="3" t="n">
        <v>2.19167</v>
      </c>
      <c r="K780" s="3" t="n">
        <v>-9.67788</v>
      </c>
      <c r="L780" s="3" t="n">
        <v>4</v>
      </c>
      <c r="M780" s="3" t="inlineStr">
        <is>
          <t>si</t>
        </is>
      </c>
      <c r="N780" s="3" t="inlineStr">
        <is>
          <t>no designado (contraste C4: no hay svar_hd regional)</t>
        </is>
      </c>
      <c r="O780" s="3" t="inlineStr">
        <is>
          <t>CCAA: ranking por c_f·sign(dY) del panel FE (M8); asociacion, sin lectura causal; el factor comun es un resumen de comovimiento (pendiente ~1 mecanica, J23)</t>
        </is>
      </c>
      <c r="P780" s="3" t="inlineStr">
        <is>
          <t>output/v8/F5/regional_ranking.csv</t>
        </is>
      </c>
    </row>
    <row r="781">
      <c r="A781" s="3" t="inlineStr">
        <is>
          <t>compra</t>
        </is>
      </c>
      <c r="B781" s="3" t="inlineStr">
        <is>
          <t>ccaa:07</t>
        </is>
      </c>
      <c r="C781" s="3" t="inlineStr">
        <is>
          <t>P3</t>
        </is>
      </c>
      <c r="D781" s="3" t="inlineStr">
        <is>
          <t>residuo</t>
        </is>
      </c>
      <c r="E781" s="3" t="inlineStr">
        <is>
          <t>regional_panel</t>
        </is>
      </c>
      <c r="F781" s="3" t="inlineStr">
        <is>
          <t>panel_covariables</t>
        </is>
      </c>
      <c r="G781" s="3" t="n">
        <v>-6.95912</v>
      </c>
      <c r="H781" s="3" t="n">
        <v>71.9075</v>
      </c>
      <c r="I781" s="3" t="n">
        <v>-8.802619999999999</v>
      </c>
      <c r="J781" s="3" t="n">
        <v>-3.94182</v>
      </c>
      <c r="K781" s="3" t="n">
        <v>-9.67788</v>
      </c>
      <c r="L781" s="3" t="n"/>
      <c r="M781" s="3" t="inlineStr">
        <is>
          <t>no</t>
        </is>
      </c>
      <c r="N781" s="3" t="inlineStr">
        <is>
          <t>no designado (contraste C4: no hay svar_hd regional)</t>
        </is>
      </c>
      <c r="O781" s="3" t="inlineStr">
        <is>
          <t>CCAA: ranking por c_f·sign(dY) del panel FE (M8); asociacion, sin lectura causal; el factor comun es un resumen de comovimiento (pendiente ~1 mecanica, J23)</t>
        </is>
      </c>
      <c r="P781" s="3" t="inlineStr">
        <is>
          <t>output/v8/F5/regional_ranking.csv</t>
        </is>
      </c>
    </row>
    <row r="782">
      <c r="A782" s="3" t="inlineStr">
        <is>
          <t>compra</t>
        </is>
      </c>
      <c r="B782" s="3" t="inlineStr">
        <is>
          <t>ccaa:07</t>
        </is>
      </c>
      <c r="C782" s="3" t="inlineStr">
        <is>
          <t>P4</t>
        </is>
      </c>
      <c r="D782" s="3" t="inlineStr">
        <is>
          <t>factor_comun</t>
        </is>
      </c>
      <c r="E782" s="3" t="inlineStr">
        <is>
          <t>regional_ccaa_ols</t>
        </is>
      </c>
      <c r="F782" s="3" t="inlineStr">
        <is>
          <t>ols_solo_factor</t>
        </is>
      </c>
      <c r="G782" s="3" t="n">
        <v>-3.75871</v>
      </c>
      <c r="H782" s="3" t="n">
        <v>59.7925</v>
      </c>
      <c r="I782" s="3" t="n">
        <v>-5.93664</v>
      </c>
      <c r="J782" s="3" t="n">
        <v>-1.78908</v>
      </c>
      <c r="K782" s="3" t="n">
        <v>-6.28625</v>
      </c>
      <c r="L782" s="3" t="n"/>
      <c r="M782" s="3" t="inlineStr">
        <is>
          <t>no</t>
        </is>
      </c>
      <c r="N782" s="3" t="inlineStr">
        <is>
          <t>no designado (contraste C4: no hay svar_hd regional)</t>
        </is>
      </c>
      <c r="O782" s="3" t="inlineStr">
        <is>
          <t>CCAA: ranking por c_f·sign(dY) del panel FE (M8); asociacion, sin lectura causal; el factor comun es un resumen de comovimiento (pendiente ~1 mecanica, J23)</t>
        </is>
      </c>
      <c r="P782" s="3" t="inlineStr">
        <is>
          <t>output/v8/F5/regional_ranking.csv</t>
        </is>
      </c>
    </row>
    <row r="783">
      <c r="A783" s="3" t="inlineStr">
        <is>
          <t>compra</t>
        </is>
      </c>
      <c r="B783" s="3" t="inlineStr">
        <is>
          <t>ccaa:07</t>
        </is>
      </c>
      <c r="C783" s="3" t="inlineStr">
        <is>
          <t>P4</t>
        </is>
      </c>
      <c r="D783" s="3" t="inlineStr">
        <is>
          <t>residuo</t>
        </is>
      </c>
      <c r="E783" s="3" t="inlineStr">
        <is>
          <t>regional_ccaa_ols</t>
        </is>
      </c>
      <c r="F783" s="3" t="inlineStr">
        <is>
          <t>ols_solo_factor</t>
        </is>
      </c>
      <c r="G783" s="3" t="n">
        <v>-2.52755</v>
      </c>
      <c r="H783" s="3" t="n">
        <v>40.2075</v>
      </c>
      <c r="I783" s="3" t="n"/>
      <c r="J783" s="3" t="n"/>
      <c r="K783" s="3" t="n">
        <v>-6.28625</v>
      </c>
      <c r="L783" s="3" t="n"/>
      <c r="M783" s="3" t="inlineStr">
        <is>
          <t>no</t>
        </is>
      </c>
      <c r="N783" s="3" t="inlineStr">
        <is>
          <t>no designado (contraste C4: no hay svar_hd regional)</t>
        </is>
      </c>
      <c r="O783" s="3" t="inlineStr">
        <is>
          <t>CCAA: ranking por c_f·sign(dY) del panel FE (M8); asociacion, sin lectura causal; el factor comun es un resumen de comovimiento (pendiente ~1 mecanica, J23)</t>
        </is>
      </c>
      <c r="P783" s="3" t="inlineStr">
        <is>
          <t>output/v8/F5/regional_ranking.csv</t>
        </is>
      </c>
    </row>
    <row r="784">
      <c r="A784" s="3" t="inlineStr">
        <is>
          <t>compra</t>
        </is>
      </c>
      <c r="B784" s="3" t="inlineStr">
        <is>
          <t>ccaa:07</t>
        </is>
      </c>
      <c r="C784" s="3" t="inlineStr">
        <is>
          <t>P4</t>
        </is>
      </c>
      <c r="D784" s="3" t="inlineStr">
        <is>
          <t>factor_comun</t>
        </is>
      </c>
      <c r="E784" s="3" t="inlineStr">
        <is>
          <t>regional_panel</t>
        </is>
      </c>
      <c r="F784" s="3" t="inlineStr">
        <is>
          <t>panel_covariables</t>
        </is>
      </c>
      <c r="G784" s="3" t="n">
        <v>-4.21608</v>
      </c>
      <c r="H784" s="3" t="n">
        <v>67.06829999999999</v>
      </c>
      <c r="I784" s="3" t="n">
        <v>-5.07352</v>
      </c>
      <c r="J784" s="3" t="n">
        <v>-2.674</v>
      </c>
      <c r="K784" s="3" t="n">
        <v>-6.28625</v>
      </c>
      <c r="L784" s="3" t="n"/>
      <c r="M784" s="3" t="inlineStr">
        <is>
          <t>no</t>
        </is>
      </c>
      <c r="N784" s="3" t="inlineStr">
        <is>
          <t>no designado (contraste C4: no hay svar_hd regional)</t>
        </is>
      </c>
      <c r="O784" s="3" t="inlineStr">
        <is>
          <t>CCAA: ranking por c_f·sign(dY) del panel FE (M8); asociacion, sin lectura causal; el factor comun es un resumen de comovimiento (pendiente ~1 mecanica, J23)</t>
        </is>
      </c>
      <c r="P784" s="3" t="inlineStr">
        <is>
          <t>output/v8/F5/regional_ranking.csv</t>
        </is>
      </c>
    </row>
    <row r="785">
      <c r="A785" s="3" t="inlineStr">
        <is>
          <t>compra</t>
        </is>
      </c>
      <c r="B785" s="3" t="inlineStr">
        <is>
          <t>ccaa:07</t>
        </is>
      </c>
      <c r="C785" s="3" t="inlineStr">
        <is>
          <t>P4</t>
        </is>
      </c>
      <c r="D785" s="3" t="inlineStr">
        <is>
          <t>empleo_renta</t>
        </is>
      </c>
      <c r="E785" s="3" t="inlineStr">
        <is>
          <t>regional_panel</t>
        </is>
      </c>
      <c r="F785" s="3" t="inlineStr">
        <is>
          <t>panel_covariables</t>
        </is>
      </c>
      <c r="G785" s="3" t="n">
        <v>0.277544</v>
      </c>
      <c r="H785" s="3" t="n">
        <v>-4.41509</v>
      </c>
      <c r="I785" s="3" t="n">
        <v>0.0200983</v>
      </c>
      <c r="J785" s="3" t="n">
        <v>0.482391</v>
      </c>
      <c r="K785" s="3" t="n">
        <v>-6.28625</v>
      </c>
      <c r="L785" s="3" t="n">
        <v>3</v>
      </c>
      <c r="M785" s="3" t="inlineStr">
        <is>
          <t>si</t>
        </is>
      </c>
      <c r="N785" s="3" t="inlineStr">
        <is>
          <t>no designado (contraste C4: no hay svar_hd regional)</t>
        </is>
      </c>
      <c r="O785" s="3" t="inlineStr">
        <is>
          <t>CCAA: ranking por c_f·sign(dY) del panel FE (M8); asociacion, sin lectura causal; el factor comun es un resumen de comovimiento (pendiente ~1 mecanica, J23)</t>
        </is>
      </c>
      <c r="P785" s="3" t="inlineStr">
        <is>
          <t>output/v8/F5/regional_ranking.csv</t>
        </is>
      </c>
    </row>
    <row r="786">
      <c r="A786" s="3" t="inlineStr">
        <is>
          <t>compra</t>
        </is>
      </c>
      <c r="B786" s="3" t="inlineStr">
        <is>
          <t>ccaa:07</t>
        </is>
      </c>
      <c r="C786" s="3" t="inlineStr">
        <is>
          <t>P4</t>
        </is>
      </c>
      <c r="D786" s="3" t="inlineStr">
        <is>
          <t>demografia</t>
        </is>
      </c>
      <c r="E786" s="3" t="inlineStr">
        <is>
          <t>regional_panel</t>
        </is>
      </c>
      <c r="F786" s="3" t="inlineStr">
        <is>
          <t>panel_covariables</t>
        </is>
      </c>
      <c r="G786" s="3" t="n">
        <v>3.39533</v>
      </c>
      <c r="H786" s="3" t="n">
        <v>-54.012</v>
      </c>
      <c r="I786" s="3" t="n">
        <v>0.112477</v>
      </c>
      <c r="J786" s="3" t="n">
        <v>6.18261</v>
      </c>
      <c r="K786" s="3" t="n">
        <v>-6.28625</v>
      </c>
      <c r="L786" s="3" t="n">
        <v>4</v>
      </c>
      <c r="M786" s="3" t="inlineStr">
        <is>
          <t>si</t>
        </is>
      </c>
      <c r="N786" s="3" t="inlineStr">
        <is>
          <t>no designado (contraste C4: no hay svar_hd regional)</t>
        </is>
      </c>
      <c r="O786" s="3" t="inlineStr">
        <is>
          <t>CCAA: ranking por c_f·sign(dY) del panel FE (M8); asociacion, sin lectura causal; el factor comun es un resumen de comovimiento (pendiente ~1 mecanica, J23)</t>
        </is>
      </c>
      <c r="P786" s="3" t="inlineStr">
        <is>
          <t>output/v8/F5/regional_ranking.csv</t>
        </is>
      </c>
    </row>
    <row r="787">
      <c r="A787" s="3" t="inlineStr">
        <is>
          <t>compra</t>
        </is>
      </c>
      <c r="B787" s="3" t="inlineStr">
        <is>
          <t>ccaa:07</t>
        </is>
      </c>
      <c r="C787" s="3" t="inlineStr">
        <is>
          <t>P4</t>
        </is>
      </c>
      <c r="D787" s="3" t="inlineStr">
        <is>
          <t>oferta</t>
        </is>
      </c>
      <c r="E787" s="3" t="inlineStr">
        <is>
          <t>regional_panel</t>
        </is>
      </c>
      <c r="F787" s="3" t="inlineStr">
        <is>
          <t>panel_covariables</t>
        </is>
      </c>
      <c r="G787" s="3" t="n">
        <v>0.0391724</v>
      </c>
      <c r="H787" s="3" t="n">
        <v>-0.623144</v>
      </c>
      <c r="I787" s="3" t="n">
        <v>-0.0398214</v>
      </c>
      <c r="J787" s="3" t="n">
        <v>0.0956678</v>
      </c>
      <c r="K787" s="3" t="n">
        <v>-6.28625</v>
      </c>
      <c r="L787" s="3" t="n">
        <v>1</v>
      </c>
      <c r="M787" s="3" t="inlineStr">
        <is>
          <t>si</t>
        </is>
      </c>
      <c r="N787" s="3" t="inlineStr">
        <is>
          <t>no designado (contraste C4: no hay svar_hd regional)</t>
        </is>
      </c>
      <c r="O787" s="3" t="inlineStr">
        <is>
          <t>CCAA: ranking por c_f·sign(dY) del panel FE (M8); asociacion, sin lectura causal; el factor comun es un resumen de comovimiento (pendiente ~1 mecanica, J23)</t>
        </is>
      </c>
      <c r="P787" s="3" t="inlineStr">
        <is>
          <t>output/v8/F5/regional_ranking.csv</t>
        </is>
      </c>
    </row>
    <row r="788">
      <c r="A788" s="3" t="inlineStr">
        <is>
          <t>compra</t>
        </is>
      </c>
      <c r="B788" s="3" t="inlineStr">
        <is>
          <t>ccaa:07</t>
        </is>
      </c>
      <c r="C788" s="3" t="inlineStr">
        <is>
          <t>P4</t>
        </is>
      </c>
      <c r="D788" s="3" t="inlineStr">
        <is>
          <t>demanda_externa</t>
        </is>
      </c>
      <c r="E788" s="3" t="inlineStr">
        <is>
          <t>regional_panel</t>
        </is>
      </c>
      <c r="F788" s="3" t="inlineStr">
        <is>
          <t>panel_covariables</t>
        </is>
      </c>
      <c r="G788" s="3" t="n">
        <v>0.142072</v>
      </c>
      <c r="H788" s="3" t="n">
        <v>-2.26004</v>
      </c>
      <c r="I788" s="3" t="n">
        <v>-0.04644</v>
      </c>
      <c r="J788" s="3" t="n">
        <v>0.223424</v>
      </c>
      <c r="K788" s="3" t="n">
        <v>-6.28625</v>
      </c>
      <c r="L788" s="3" t="n">
        <v>2</v>
      </c>
      <c r="M788" s="3" t="inlineStr">
        <is>
          <t>si</t>
        </is>
      </c>
      <c r="N788" s="3" t="inlineStr">
        <is>
          <t>no designado (contraste C4: no hay svar_hd regional)</t>
        </is>
      </c>
      <c r="O788" s="3" t="inlineStr">
        <is>
          <t>CCAA: ranking por c_f·sign(dY) del panel FE (M8); asociacion, sin lectura causal; el factor comun es un resumen de comovimiento (pendiente ~1 mecanica, J23)</t>
        </is>
      </c>
      <c r="P788" s="3" t="inlineStr">
        <is>
          <t>output/v8/F5/regional_ranking.csv</t>
        </is>
      </c>
    </row>
    <row r="789">
      <c r="A789" s="3" t="inlineStr">
        <is>
          <t>compra</t>
        </is>
      </c>
      <c r="B789" s="3" t="inlineStr">
        <is>
          <t>ccaa:07</t>
        </is>
      </c>
      <c r="C789" s="3" t="inlineStr">
        <is>
          <t>P4</t>
        </is>
      </c>
      <c r="D789" s="3" t="inlineStr">
        <is>
          <t>residuo</t>
        </is>
      </c>
      <c r="E789" s="3" t="inlineStr">
        <is>
          <t>regional_panel</t>
        </is>
      </c>
      <c r="F789" s="3" t="inlineStr">
        <is>
          <t>panel_covariables</t>
        </is>
      </c>
      <c r="G789" s="3" t="n">
        <v>-5.92429</v>
      </c>
      <c r="H789" s="3" t="n">
        <v>94.242</v>
      </c>
      <c r="I789" s="3" t="n">
        <v>-8.93647</v>
      </c>
      <c r="J789" s="3" t="n">
        <v>-2.94781</v>
      </c>
      <c r="K789" s="3" t="n">
        <v>-6.28625</v>
      </c>
      <c r="L789" s="3" t="n"/>
      <c r="M789" s="3" t="inlineStr">
        <is>
          <t>no</t>
        </is>
      </c>
      <c r="N789" s="3" t="inlineStr">
        <is>
          <t>no designado (contraste C4: no hay svar_hd regional)</t>
        </is>
      </c>
      <c r="O789" s="3" t="inlineStr">
        <is>
          <t>CCAA: ranking por c_f·sign(dY) del panel FE (M8); asociacion, sin lectura causal; el factor comun es un resumen de comovimiento (pendiente ~1 mecanica, J23)</t>
        </is>
      </c>
      <c r="P789" s="3" t="inlineStr">
        <is>
          <t>output/v8/F5/regional_ranking.csv</t>
        </is>
      </c>
    </row>
    <row r="790">
      <c r="A790" s="3" t="inlineStr">
        <is>
          <t>compra</t>
        </is>
      </c>
      <c r="B790" s="3" t="inlineStr">
        <is>
          <t>ccaa:07</t>
        </is>
      </c>
      <c r="C790" s="3" t="inlineStr">
        <is>
          <t>P5</t>
        </is>
      </c>
      <c r="D790" s="3" t="inlineStr">
        <is>
          <t>factor_comun</t>
        </is>
      </c>
      <c r="E790" s="3" t="inlineStr">
        <is>
          <t>regional_ccaa_ols</t>
        </is>
      </c>
      <c r="F790" s="3" t="inlineStr">
        <is>
          <t>ols_solo_factor</t>
        </is>
      </c>
      <c r="G790" s="3" t="n">
        <v>10.735</v>
      </c>
      <c r="H790" s="3" t="n">
        <v>387.377</v>
      </c>
      <c r="I790" s="3" t="n">
        <v>3.59664</v>
      </c>
      <c r="J790" s="3" t="n">
        <v>18.3233</v>
      </c>
      <c r="K790" s="3" t="n">
        <v>-4.61042</v>
      </c>
      <c r="L790" s="3" t="n"/>
      <c r="M790" s="3" t="inlineStr">
        <is>
          <t>no</t>
        </is>
      </c>
      <c r="N790" s="3" t="inlineStr">
        <is>
          <t>no designado (contraste C4: no hay svar_hd regional)</t>
        </is>
      </c>
      <c r="O790" s="3" t="inlineStr">
        <is>
          <t>CCAA: ranking por c_f·sign(dY) del panel FE (M8); asociacion, sin lectura causal; el factor comun es un resumen de comovimiento (pendiente ~1 mecanica, J23)</t>
        </is>
      </c>
      <c r="P790" s="3" t="inlineStr">
        <is>
          <t>output/v8/F5/regional_ranking.csv</t>
        </is>
      </c>
    </row>
    <row r="791">
      <c r="A791" s="3" t="inlineStr">
        <is>
          <t>compra</t>
        </is>
      </c>
      <c r="B791" s="3" t="inlineStr">
        <is>
          <t>ccaa:07</t>
        </is>
      </c>
      <c r="C791" s="3" t="inlineStr">
        <is>
          <t>P5</t>
        </is>
      </c>
      <c r="D791" s="3" t="inlineStr">
        <is>
          <t>residuo</t>
        </is>
      </c>
      <c r="E791" s="3" t="inlineStr">
        <is>
          <t>regional_ccaa_ols</t>
        </is>
      </c>
      <c r="F791" s="3" t="inlineStr">
        <is>
          <t>ols_solo_factor</t>
        </is>
      </c>
      <c r="G791" s="3" t="n">
        <v>-7.96377</v>
      </c>
      <c r="H791" s="3" t="n">
        <v>-287.377</v>
      </c>
      <c r="I791" s="3" t="n"/>
      <c r="J791" s="3" t="n"/>
      <c r="K791" s="3" t="n">
        <v>-4.61042</v>
      </c>
      <c r="L791" s="3" t="n"/>
      <c r="M791" s="3" t="inlineStr">
        <is>
          <t>no</t>
        </is>
      </c>
      <c r="N791" s="3" t="inlineStr">
        <is>
          <t>no designado (contraste C4: no hay svar_hd regional)</t>
        </is>
      </c>
      <c r="O791" s="3" t="inlineStr">
        <is>
          <t>CCAA: ranking por c_f·sign(dY) del panel FE (M8); asociacion, sin lectura causal; el factor comun es un resumen de comovimiento (pendiente ~1 mecanica, J23)</t>
        </is>
      </c>
      <c r="P791" s="3" t="inlineStr">
        <is>
          <t>output/v8/F5/regional_ranking.csv</t>
        </is>
      </c>
    </row>
    <row r="792">
      <c r="A792" s="3" t="inlineStr">
        <is>
          <t>compra</t>
        </is>
      </c>
      <c r="B792" s="3" t="inlineStr">
        <is>
          <t>ccaa:07</t>
        </is>
      </c>
      <c r="C792" s="3" t="inlineStr">
        <is>
          <t>P5</t>
        </is>
      </c>
      <c r="D792" s="3" t="inlineStr">
        <is>
          <t>factor_comun</t>
        </is>
      </c>
      <c r="E792" s="3" t="inlineStr">
        <is>
          <t>regional_panel</t>
        </is>
      </c>
      <c r="F792" s="3" t="inlineStr">
        <is>
          <t>panel_covariables</t>
        </is>
      </c>
      <c r="G792" s="3" t="n">
        <v>1.50215</v>
      </c>
      <c r="H792" s="3" t="n">
        <v>-32.5816</v>
      </c>
      <c r="I792" s="3" t="n">
        <v>-1.20824</v>
      </c>
      <c r="J792" s="3" t="n">
        <v>4.46537</v>
      </c>
      <c r="K792" s="3" t="n">
        <v>-4.61042</v>
      </c>
      <c r="L792" s="3" t="n"/>
      <c r="M792" s="3" t="inlineStr">
        <is>
          <t>no</t>
        </is>
      </c>
      <c r="N792" s="3" t="inlineStr">
        <is>
          <t>no designado (contraste C4: no hay svar_hd regional)</t>
        </is>
      </c>
      <c r="O792" s="3" t="inlineStr">
        <is>
          <t>CCAA: ranking por c_f·sign(dY) del panel FE (M8); asociacion, sin lectura causal; el factor comun es un resumen de comovimiento (pendiente ~1 mecanica, J23)</t>
        </is>
      </c>
      <c r="P792" s="3" t="inlineStr">
        <is>
          <t>output/v8/F5/regional_ranking.csv</t>
        </is>
      </c>
    </row>
    <row r="793">
      <c r="A793" s="3" t="inlineStr">
        <is>
          <t>compra</t>
        </is>
      </c>
      <c r="B793" s="3" t="inlineStr">
        <is>
          <t>ccaa:07</t>
        </is>
      </c>
      <c r="C793" s="3" t="inlineStr">
        <is>
          <t>P5</t>
        </is>
      </c>
      <c r="D793" s="3" t="inlineStr">
        <is>
          <t>empleo_renta</t>
        </is>
      </c>
      <c r="E793" s="3" t="inlineStr">
        <is>
          <t>regional_panel</t>
        </is>
      </c>
      <c r="F793" s="3" t="inlineStr">
        <is>
          <t>panel_covariables</t>
        </is>
      </c>
      <c r="G793" s="3" t="n">
        <v>0.37755</v>
      </c>
      <c r="H793" s="3" t="n">
        <v>-8.18905</v>
      </c>
      <c r="I793" s="3" t="n">
        <v>0.0510904</v>
      </c>
      <c r="J793" s="3" t="n">
        <v>0.885707</v>
      </c>
      <c r="K793" s="3" t="n">
        <v>-4.61042</v>
      </c>
      <c r="L793" s="3" t="n">
        <v>4</v>
      </c>
      <c r="M793" s="3" t="inlineStr">
        <is>
          <t>si</t>
        </is>
      </c>
      <c r="N793" s="3" t="inlineStr">
        <is>
          <t>no designado (contraste C4: no hay svar_hd regional)</t>
        </is>
      </c>
      <c r="O793" s="3" t="inlineStr">
        <is>
          <t>CCAA: ranking por c_f·sign(dY) del panel FE (M8); asociacion, sin lectura causal; el factor comun es un resumen de comovimiento (pendiente ~1 mecanica, J23)</t>
        </is>
      </c>
      <c r="P793" s="3" t="inlineStr">
        <is>
          <t>output/v8/F5/regional_ranking.csv</t>
        </is>
      </c>
    </row>
    <row r="794">
      <c r="A794" s="3" t="inlineStr">
        <is>
          <t>compra</t>
        </is>
      </c>
      <c r="B794" s="3" t="inlineStr">
        <is>
          <t>ccaa:07</t>
        </is>
      </c>
      <c r="C794" s="3" t="inlineStr">
        <is>
          <t>P5</t>
        </is>
      </c>
      <c r="D794" s="3" t="inlineStr">
        <is>
          <t>demografia</t>
        </is>
      </c>
      <c r="E794" s="3" t="inlineStr">
        <is>
          <t>regional_panel</t>
        </is>
      </c>
      <c r="F794" s="3" t="inlineStr">
        <is>
          <t>panel_covariables</t>
        </is>
      </c>
      <c r="G794" s="3" t="n">
        <v>-0.888665</v>
      </c>
      <c r="H794" s="3" t="n">
        <v>19.2751</v>
      </c>
      <c r="I794" s="3" t="n">
        <v>-2.01422</v>
      </c>
      <c r="J794" s="3" t="n">
        <v>1.26001</v>
      </c>
      <c r="K794" s="3" t="n">
        <v>-4.61042</v>
      </c>
      <c r="L794" s="3" t="n">
        <v>1</v>
      </c>
      <c r="M794" s="3" t="inlineStr">
        <is>
          <t>si</t>
        </is>
      </c>
      <c r="N794" s="3" t="inlineStr">
        <is>
          <t>no designado (contraste C4: no hay svar_hd regional)</t>
        </is>
      </c>
      <c r="O794" s="3" t="inlineStr">
        <is>
          <t>CCAA: ranking por c_f·sign(dY) del panel FE (M8); asociacion, sin lectura causal; el factor comun es un resumen de comovimiento (pendiente ~1 mecanica, J23)</t>
        </is>
      </c>
      <c r="P794" s="3" t="inlineStr">
        <is>
          <t>output/v8/F5/regional_ranking.csv</t>
        </is>
      </c>
    </row>
    <row r="795">
      <c r="A795" s="3" t="inlineStr">
        <is>
          <t>compra</t>
        </is>
      </c>
      <c r="B795" s="3" t="inlineStr">
        <is>
          <t>ccaa:07</t>
        </is>
      </c>
      <c r="C795" s="3" t="inlineStr">
        <is>
          <t>P5</t>
        </is>
      </c>
      <c r="D795" s="3" t="inlineStr">
        <is>
          <t>oferta</t>
        </is>
      </c>
      <c r="E795" s="3" t="inlineStr">
        <is>
          <t>regional_panel</t>
        </is>
      </c>
      <c r="F795" s="3" t="inlineStr">
        <is>
          <t>panel_covariables</t>
        </is>
      </c>
      <c r="G795" s="3" t="n">
        <v>0.000356844</v>
      </c>
      <c r="H795" s="3" t="n">
        <v>-0.00773994</v>
      </c>
      <c r="I795" s="3" t="n">
        <v>-0.120094</v>
      </c>
      <c r="J795" s="3" t="n">
        <v>0.0212053</v>
      </c>
      <c r="K795" s="3" t="n">
        <v>-4.61042</v>
      </c>
      <c r="L795" s="3" t="n">
        <v>3</v>
      </c>
      <c r="M795" s="3" t="inlineStr">
        <is>
          <t>si</t>
        </is>
      </c>
      <c r="N795" s="3" t="inlineStr">
        <is>
          <t>no designado (contraste C4: no hay svar_hd regional)</t>
        </is>
      </c>
      <c r="O795" s="3" t="inlineStr">
        <is>
          <t>CCAA: ranking por c_f·sign(dY) del panel FE (M8); asociacion, sin lectura causal; el factor comun es un resumen de comovimiento (pendiente ~1 mecanica, J23)</t>
        </is>
      </c>
      <c r="P795" s="3" t="inlineStr">
        <is>
          <t>output/v8/F5/regional_ranking.csv</t>
        </is>
      </c>
    </row>
    <row r="796">
      <c r="A796" s="3" t="inlineStr">
        <is>
          <t>compra</t>
        </is>
      </c>
      <c r="B796" s="3" t="inlineStr">
        <is>
          <t>ccaa:07</t>
        </is>
      </c>
      <c r="C796" s="3" t="inlineStr">
        <is>
          <t>P5</t>
        </is>
      </c>
      <c r="D796" s="3" t="inlineStr">
        <is>
          <t>demanda_externa</t>
        </is>
      </c>
      <c r="E796" s="3" t="inlineStr">
        <is>
          <t>regional_panel</t>
        </is>
      </c>
      <c r="F796" s="3" t="inlineStr">
        <is>
          <t>panel_covariables</t>
        </is>
      </c>
      <c r="G796" s="3" t="n">
        <v>-0.0374832</v>
      </c>
      <c r="H796" s="3" t="n">
        <v>0.813009</v>
      </c>
      <c r="I796" s="3" t="n">
        <v>-0.46652</v>
      </c>
      <c r="J796" s="3" t="n">
        <v>0.457973</v>
      </c>
      <c r="K796" s="3" t="n">
        <v>-4.61042</v>
      </c>
      <c r="L796" s="3" t="n">
        <v>2</v>
      </c>
      <c r="M796" s="3" t="inlineStr">
        <is>
          <t>si</t>
        </is>
      </c>
      <c r="N796" s="3" t="inlineStr">
        <is>
          <t>no designado (contraste C4: no hay svar_hd regional)</t>
        </is>
      </c>
      <c r="O796" s="3" t="inlineStr">
        <is>
          <t>CCAA: ranking por c_f·sign(dY) del panel FE (M8); asociacion, sin lectura causal; el factor comun es un resumen de comovimiento (pendiente ~1 mecanica, J23)</t>
        </is>
      </c>
      <c r="P796" s="3" t="inlineStr">
        <is>
          <t>output/v8/F5/regional_ranking.csv</t>
        </is>
      </c>
    </row>
    <row r="797">
      <c r="A797" s="3" t="inlineStr">
        <is>
          <t>compra</t>
        </is>
      </c>
      <c r="B797" s="3" t="inlineStr">
        <is>
          <t>ccaa:07</t>
        </is>
      </c>
      <c r="C797" s="3" t="inlineStr">
        <is>
          <t>P5</t>
        </is>
      </c>
      <c r="D797" s="3" t="inlineStr">
        <is>
          <t>residuo</t>
        </is>
      </c>
      <c r="E797" s="3" t="inlineStr">
        <is>
          <t>regional_panel</t>
        </is>
      </c>
      <c r="F797" s="3" t="inlineStr">
        <is>
          <t>panel_covariables</t>
        </is>
      </c>
      <c r="G797" s="3" t="n">
        <v>-5.56433</v>
      </c>
      <c r="H797" s="3" t="n">
        <v>120.69</v>
      </c>
      <c r="I797" s="3" t="n">
        <v>-8.471959999999999</v>
      </c>
      <c r="J797" s="3" t="n">
        <v>-4.05708</v>
      </c>
      <c r="K797" s="3" t="n">
        <v>-4.61042</v>
      </c>
      <c r="L797" s="3" t="n"/>
      <c r="M797" s="3" t="inlineStr">
        <is>
          <t>no</t>
        </is>
      </c>
      <c r="N797" s="3" t="inlineStr">
        <is>
          <t>no designado (contraste C4: no hay svar_hd regional)</t>
        </is>
      </c>
      <c r="O797" s="3" t="inlineStr">
        <is>
          <t>CCAA: ranking por c_f·sign(dY) del panel FE (M8); asociacion, sin lectura causal; el factor comun es un resumen de comovimiento (pendiente ~1 mecanica, J23)</t>
        </is>
      </c>
      <c r="P797" s="3" t="inlineStr">
        <is>
          <t>output/v8/F5/regional_ranking.csv</t>
        </is>
      </c>
    </row>
    <row r="798">
      <c r="A798" s="3" t="inlineStr">
        <is>
          <t>compra</t>
        </is>
      </c>
      <c r="B798" s="3" t="inlineStr">
        <is>
          <t>ccaa:08</t>
        </is>
      </c>
      <c r="C798" s="3" t="inlineStr">
        <is>
          <t>P1</t>
        </is>
      </c>
      <c r="D798" s="3" t="inlineStr">
        <is>
          <t>factor_comun</t>
        </is>
      </c>
      <c r="E798" s="3" t="inlineStr">
        <is>
          <t>regional_ccaa_ols</t>
        </is>
      </c>
      <c r="F798" s="3" t="inlineStr">
        <is>
          <t>ols_solo_factor</t>
        </is>
      </c>
      <c r="G798" s="3" t="n">
        <v>85.1808</v>
      </c>
      <c r="H798" s="3" t="n">
        <v>123.298</v>
      </c>
      <c r="I798" s="3" t="n">
        <v>63.1549</v>
      </c>
      <c r="J798" s="3" t="n">
        <v>111.35</v>
      </c>
      <c r="K798" s="3" t="n">
        <v>69.0852</v>
      </c>
      <c r="L798" s="3" t="n"/>
      <c r="M798" s="3" t="inlineStr">
        <is>
          <t>no</t>
        </is>
      </c>
      <c r="N798" s="3" t="inlineStr">
        <is>
          <t>no designado (contraste C4: no hay svar_hd regional)</t>
        </is>
      </c>
      <c r="O798" s="3" t="inlineStr">
        <is>
          <t>CCAA: ranking por c_f·sign(dY) del panel FE (M8); asociacion, sin lectura causal; el factor comun es un resumen de comovimiento (pendiente ~1 mecanica, J23)</t>
        </is>
      </c>
      <c r="P798" s="3" t="inlineStr">
        <is>
          <t>output/v8/F5/regional_ranking.csv</t>
        </is>
      </c>
    </row>
    <row r="799">
      <c r="A799" s="3" t="inlineStr">
        <is>
          <t>compra</t>
        </is>
      </c>
      <c r="B799" s="3" t="inlineStr">
        <is>
          <t>ccaa:08</t>
        </is>
      </c>
      <c r="C799" s="3" t="inlineStr">
        <is>
          <t>P1</t>
        </is>
      </c>
      <c r="D799" s="3" t="inlineStr">
        <is>
          <t>residuo</t>
        </is>
      </c>
      <c r="E799" s="3" t="inlineStr">
        <is>
          <t>regional_ccaa_ols</t>
        </is>
      </c>
      <c r="F799" s="3" t="inlineStr">
        <is>
          <t>ols_solo_factor</t>
        </is>
      </c>
      <c r="G799" s="3" t="n">
        <v>-16.0956</v>
      </c>
      <c r="H799" s="3" t="n">
        <v>-23.2981</v>
      </c>
      <c r="I799" s="3" t="n"/>
      <c r="J799" s="3" t="n"/>
      <c r="K799" s="3" t="n">
        <v>69.0852</v>
      </c>
      <c r="L799" s="3" t="n"/>
      <c r="M799" s="3" t="inlineStr">
        <is>
          <t>no</t>
        </is>
      </c>
      <c r="N799" s="3" t="inlineStr">
        <is>
          <t>no designado (contraste C4: no hay svar_hd regional)</t>
        </is>
      </c>
      <c r="O799" s="3" t="inlineStr">
        <is>
          <t>CCAA: ranking por c_f·sign(dY) del panel FE (M8); asociacion, sin lectura causal; el factor comun es un resumen de comovimiento (pendiente ~1 mecanica, J23)</t>
        </is>
      </c>
      <c r="P799" s="3" t="inlineStr">
        <is>
          <t>output/v8/F5/regional_ranking.csv</t>
        </is>
      </c>
    </row>
    <row r="800">
      <c r="A800" s="3" t="inlineStr">
        <is>
          <t>compra</t>
        </is>
      </c>
      <c r="B800" s="3" t="inlineStr">
        <is>
          <t>ccaa:08</t>
        </is>
      </c>
      <c r="C800" s="3" t="inlineStr">
        <is>
          <t>P1</t>
        </is>
      </c>
      <c r="D800" s="3" t="inlineStr">
        <is>
          <t>factor_comun</t>
        </is>
      </c>
      <c r="E800" s="3" t="inlineStr">
        <is>
          <t>regional_panel</t>
        </is>
      </c>
      <c r="F800" s="3" t="inlineStr">
        <is>
          <t>panel_covariables</t>
        </is>
      </c>
      <c r="G800" s="3" t="n">
        <v>74.3853</v>
      </c>
      <c r="H800" s="3" t="n">
        <v>107.672</v>
      </c>
      <c r="I800" s="3" t="n">
        <v>63.2347</v>
      </c>
      <c r="J800" s="3" t="n">
        <v>88.0656</v>
      </c>
      <c r="K800" s="3" t="n">
        <v>69.0852</v>
      </c>
      <c r="L800" s="3" t="n"/>
      <c r="M800" s="3" t="inlineStr">
        <is>
          <t>no</t>
        </is>
      </c>
      <c r="N800" s="3" t="inlineStr">
        <is>
          <t>no designado (contraste C4: no hay svar_hd regional)</t>
        </is>
      </c>
      <c r="O800" s="3" t="inlineStr">
        <is>
          <t>CCAA: ranking por c_f·sign(dY) del panel FE (M8); asociacion, sin lectura causal; el factor comun es un resumen de comovimiento (pendiente ~1 mecanica, J23)</t>
        </is>
      </c>
      <c r="P800" s="3" t="inlineStr">
        <is>
          <t>output/v8/F5/regional_ranking.csv</t>
        </is>
      </c>
    </row>
    <row r="801">
      <c r="A801" s="3" t="inlineStr">
        <is>
          <t>compra</t>
        </is>
      </c>
      <c r="B801" s="3" t="inlineStr">
        <is>
          <t>ccaa:08</t>
        </is>
      </c>
      <c r="C801" s="3" t="inlineStr">
        <is>
          <t>P1</t>
        </is>
      </c>
      <c r="D801" s="3" t="inlineStr">
        <is>
          <t>residuo</t>
        </is>
      </c>
      <c r="E801" s="3" t="inlineStr">
        <is>
          <t>regional_panel</t>
        </is>
      </c>
      <c r="F801" s="3" t="inlineStr">
        <is>
          <t>panel_covariables</t>
        </is>
      </c>
      <c r="G801" s="3" t="n">
        <v>-5.30002</v>
      </c>
      <c r="H801" s="3" t="n">
        <v>-7.67172</v>
      </c>
      <c r="I801" s="3" t="n">
        <v>-15.0234</v>
      </c>
      <c r="J801" s="3" t="n">
        <v>4.82911</v>
      </c>
      <c r="K801" s="3" t="n">
        <v>69.0852</v>
      </c>
      <c r="L801" s="3" t="n"/>
      <c r="M801" s="3" t="inlineStr">
        <is>
          <t>no</t>
        </is>
      </c>
      <c r="N801" s="3" t="inlineStr">
        <is>
          <t>no designado (contraste C4: no hay svar_hd regional)</t>
        </is>
      </c>
      <c r="O801" s="3" t="inlineStr">
        <is>
          <t>CCAA: ranking por c_f·sign(dY) del panel FE (M8); asociacion, sin lectura causal; el factor comun es un resumen de comovimiento (pendiente ~1 mecanica, J23)</t>
        </is>
      </c>
      <c r="P801" s="3" t="inlineStr">
        <is>
          <t>output/v8/F5/regional_ranking.csv</t>
        </is>
      </c>
    </row>
    <row r="802">
      <c r="A802" s="3" t="inlineStr">
        <is>
          <t>compra</t>
        </is>
      </c>
      <c r="B802" s="3" t="inlineStr">
        <is>
          <t>ccaa:08</t>
        </is>
      </c>
      <c r="C802" s="3" t="inlineStr">
        <is>
          <t>P2</t>
        </is>
      </c>
      <c r="D802" s="3" t="inlineStr">
        <is>
          <t>factor_comun</t>
        </is>
      </c>
      <c r="E802" s="3" t="inlineStr">
        <is>
          <t>regional_ccaa_ols</t>
        </is>
      </c>
      <c r="F802" s="3" t="inlineStr">
        <is>
          <t>ols_solo_factor</t>
        </is>
      </c>
      <c r="G802" s="3" t="n">
        <v>-53.8136</v>
      </c>
      <c r="H802" s="3" t="n">
        <v>102.635</v>
      </c>
      <c r="I802" s="3" t="n">
        <v>-69.9731</v>
      </c>
      <c r="J802" s="3" t="n">
        <v>-36.8515</v>
      </c>
      <c r="K802" s="3" t="n">
        <v>-48.1154</v>
      </c>
      <c r="L802" s="3" t="n"/>
      <c r="M802" s="3" t="inlineStr">
        <is>
          <t>no</t>
        </is>
      </c>
      <c r="N802" s="3" t="inlineStr">
        <is>
          <t>no designado (contraste C4: no hay svar_hd regional)</t>
        </is>
      </c>
      <c r="O802" s="3" t="inlineStr">
        <is>
          <t>CCAA: ranking por c_f·sign(dY) del panel FE (M8); asociacion, sin lectura causal; el factor comun es un resumen de comovimiento (pendiente ~1 mecanica, J23)</t>
        </is>
      </c>
      <c r="P802" s="3" t="inlineStr">
        <is>
          <t>output/v8/F5/regional_ranking.csv</t>
        </is>
      </c>
    </row>
    <row r="803">
      <c r="A803" s="3" t="inlineStr">
        <is>
          <t>compra</t>
        </is>
      </c>
      <c r="B803" s="3" t="inlineStr">
        <is>
          <t>ccaa:08</t>
        </is>
      </c>
      <c r="C803" s="3" t="inlineStr">
        <is>
          <t>P2</t>
        </is>
      </c>
      <c r="D803" s="3" t="inlineStr">
        <is>
          <t>residuo</t>
        </is>
      </c>
      <c r="E803" s="3" t="inlineStr">
        <is>
          <t>regional_ccaa_ols</t>
        </is>
      </c>
      <c r="F803" s="3" t="inlineStr">
        <is>
          <t>ols_solo_factor</t>
        </is>
      </c>
      <c r="G803" s="3" t="n">
        <v>1.38149</v>
      </c>
      <c r="H803" s="3" t="n">
        <v>-2.63482</v>
      </c>
      <c r="I803" s="3" t="n"/>
      <c r="J803" s="3" t="n"/>
      <c r="K803" s="3" t="n">
        <v>-48.1154</v>
      </c>
      <c r="L803" s="3" t="n"/>
      <c r="M803" s="3" t="inlineStr">
        <is>
          <t>no</t>
        </is>
      </c>
      <c r="N803" s="3" t="inlineStr">
        <is>
          <t>no designado (contraste C4: no hay svar_hd regional)</t>
        </is>
      </c>
      <c r="O803" s="3" t="inlineStr">
        <is>
          <t>CCAA: ranking por c_f·sign(dY) del panel FE (M8); asociacion, sin lectura causal; el factor comun es un resumen de comovimiento (pendiente ~1 mecanica, J23)</t>
        </is>
      </c>
      <c r="P803" s="3" t="inlineStr">
        <is>
          <t>output/v8/F5/regional_ranking.csv</t>
        </is>
      </c>
    </row>
    <row r="804">
      <c r="A804" s="3" t="inlineStr">
        <is>
          <t>compra</t>
        </is>
      </c>
      <c r="B804" s="3" t="inlineStr">
        <is>
          <t>ccaa:08</t>
        </is>
      </c>
      <c r="C804" s="3" t="inlineStr">
        <is>
          <t>P2</t>
        </is>
      </c>
      <c r="D804" s="3" t="inlineStr">
        <is>
          <t>factor_comun</t>
        </is>
      </c>
      <c r="E804" s="3" t="inlineStr">
        <is>
          <t>regional_panel</t>
        </is>
      </c>
      <c r="F804" s="3" t="inlineStr">
        <is>
          <t>panel_covariables</t>
        </is>
      </c>
      <c r="G804" s="3" t="n">
        <v>-35.0812</v>
      </c>
      <c r="H804" s="3" t="n">
        <v>72.9106</v>
      </c>
      <c r="I804" s="3" t="n">
        <v>-41.5124</v>
      </c>
      <c r="J804" s="3" t="n">
        <v>-30.6884</v>
      </c>
      <c r="K804" s="3" t="n">
        <v>-48.1154</v>
      </c>
      <c r="L804" s="3" t="n"/>
      <c r="M804" s="3" t="inlineStr">
        <is>
          <t>no</t>
        </is>
      </c>
      <c r="N804" s="3" t="inlineStr">
        <is>
          <t>no designado (contraste C4: no hay svar_hd regional)</t>
        </is>
      </c>
      <c r="O804" s="3" t="inlineStr">
        <is>
          <t>CCAA: ranking por c_f·sign(dY) del panel FE (M8); asociacion, sin lectura causal; el factor comun es un resumen de comovimiento (pendiente ~1 mecanica, J23)</t>
        </is>
      </c>
      <c r="P804" s="3" t="inlineStr">
        <is>
          <t>output/v8/F5/regional_ranking.csv</t>
        </is>
      </c>
    </row>
    <row r="805">
      <c r="A805" s="3" t="inlineStr">
        <is>
          <t>compra</t>
        </is>
      </c>
      <c r="B805" s="3" t="inlineStr">
        <is>
          <t>ccaa:08</t>
        </is>
      </c>
      <c r="C805" s="3" t="inlineStr">
        <is>
          <t>P2</t>
        </is>
      </c>
      <c r="D805" s="3" t="inlineStr">
        <is>
          <t>empleo_renta</t>
        </is>
      </c>
      <c r="E805" s="3" t="inlineStr">
        <is>
          <t>regional_panel</t>
        </is>
      </c>
      <c r="F805" s="3" t="inlineStr">
        <is>
          <t>panel_covariables</t>
        </is>
      </c>
      <c r="G805" s="3" t="n">
        <v>-2.3915</v>
      </c>
      <c r="H805" s="3" t="n">
        <v>4.97034</v>
      </c>
      <c r="I805" s="3" t="n">
        <v>-4.36642</v>
      </c>
      <c r="J805" s="3" t="n">
        <v>-0.5331669999999999</v>
      </c>
      <c r="K805" s="3" t="n">
        <v>-48.1154</v>
      </c>
      <c r="L805" s="3" t="n">
        <v>1</v>
      </c>
      <c r="M805" s="3" t="inlineStr">
        <is>
          <t>si</t>
        </is>
      </c>
      <c r="N805" s="3" t="inlineStr">
        <is>
          <t>no designado (contraste C4: no hay svar_hd regional)</t>
        </is>
      </c>
      <c r="O805" s="3" t="inlineStr">
        <is>
          <t>CCAA: ranking por c_f·sign(dY) del panel FE (M8); asociacion, sin lectura causal; el factor comun es un resumen de comovimiento (pendiente ~1 mecanica, J23)</t>
        </is>
      </c>
      <c r="P805" s="3" t="inlineStr">
        <is>
          <t>output/v8/F5/regional_ranking.csv</t>
        </is>
      </c>
    </row>
    <row r="806">
      <c r="A806" s="3" t="inlineStr">
        <is>
          <t>compra</t>
        </is>
      </c>
      <c r="B806" s="3" t="inlineStr">
        <is>
          <t>ccaa:08</t>
        </is>
      </c>
      <c r="C806" s="3" t="inlineStr">
        <is>
          <t>P2</t>
        </is>
      </c>
      <c r="D806" s="3" t="inlineStr">
        <is>
          <t>demografia</t>
        </is>
      </c>
      <c r="E806" s="3" t="inlineStr">
        <is>
          <t>regional_panel</t>
        </is>
      </c>
      <c r="F806" s="3" t="inlineStr">
        <is>
          <t>panel_covariables</t>
        </is>
      </c>
      <c r="G806" s="3" t="n">
        <v>2.15007</v>
      </c>
      <c r="H806" s="3" t="n">
        <v>-4.46858</v>
      </c>
      <c r="I806" s="3" t="n">
        <v>-0.443884</v>
      </c>
      <c r="J806" s="3" t="n">
        <v>7.33114</v>
      </c>
      <c r="K806" s="3" t="n">
        <v>-48.1154</v>
      </c>
      <c r="L806" s="3" t="n">
        <v>4</v>
      </c>
      <c r="M806" s="3" t="inlineStr">
        <is>
          <t>si</t>
        </is>
      </c>
      <c r="N806" s="3" t="inlineStr">
        <is>
          <t>no designado (contraste C4: no hay svar_hd regional)</t>
        </is>
      </c>
      <c r="O806" s="3" t="inlineStr">
        <is>
          <t>CCAA: ranking por c_f·sign(dY) del panel FE (M8); asociacion, sin lectura causal; el factor comun es un resumen de comovimiento (pendiente ~1 mecanica, J23)</t>
        </is>
      </c>
      <c r="P806" s="3" t="inlineStr">
        <is>
          <t>output/v8/F5/regional_ranking.csv</t>
        </is>
      </c>
    </row>
    <row r="807">
      <c r="A807" s="3" t="inlineStr">
        <is>
          <t>compra</t>
        </is>
      </c>
      <c r="B807" s="3" t="inlineStr">
        <is>
          <t>ccaa:08</t>
        </is>
      </c>
      <c r="C807" s="3" t="inlineStr">
        <is>
          <t>P2</t>
        </is>
      </c>
      <c r="D807" s="3" t="inlineStr">
        <is>
          <t>oferta</t>
        </is>
      </c>
      <c r="E807" s="3" t="inlineStr">
        <is>
          <t>regional_panel</t>
        </is>
      </c>
      <c r="F807" s="3" t="inlineStr">
        <is>
          <t>panel_covariables</t>
        </is>
      </c>
      <c r="G807" s="3" t="n">
        <v>-0.0653634</v>
      </c>
      <c r="H807" s="3" t="n">
        <v>0.135847</v>
      </c>
      <c r="I807" s="3" t="n">
        <v>-0.503448</v>
      </c>
      <c r="J807" s="3" t="n">
        <v>0.385046</v>
      </c>
      <c r="K807" s="3" t="n">
        <v>-48.1154</v>
      </c>
      <c r="L807" s="3" t="n">
        <v>2</v>
      </c>
      <c r="M807" s="3" t="inlineStr">
        <is>
          <t>si</t>
        </is>
      </c>
      <c r="N807" s="3" t="inlineStr">
        <is>
          <t>no designado (contraste C4: no hay svar_hd regional)</t>
        </is>
      </c>
      <c r="O807" s="3" t="inlineStr">
        <is>
          <t>CCAA: ranking por c_f·sign(dY) del panel FE (M8); asociacion, sin lectura causal; el factor comun es un resumen de comovimiento (pendiente ~1 mecanica, J23)</t>
        </is>
      </c>
      <c r="P807" s="3" t="inlineStr">
        <is>
          <t>output/v8/F5/regional_ranking.csv</t>
        </is>
      </c>
    </row>
    <row r="808">
      <c r="A808" s="3" t="inlineStr">
        <is>
          <t>compra</t>
        </is>
      </c>
      <c r="B808" s="3" t="inlineStr">
        <is>
          <t>ccaa:08</t>
        </is>
      </c>
      <c r="C808" s="3" t="inlineStr">
        <is>
          <t>P2</t>
        </is>
      </c>
      <c r="D808" s="3" t="inlineStr">
        <is>
          <t>demanda_externa</t>
        </is>
      </c>
      <c r="E808" s="3" t="inlineStr">
        <is>
          <t>regional_panel</t>
        </is>
      </c>
      <c r="F808" s="3" t="inlineStr">
        <is>
          <t>panel_covariables</t>
        </is>
      </c>
      <c r="G808" s="3" t="n">
        <v>0.5253949999999999</v>
      </c>
      <c r="H808" s="3" t="n">
        <v>-1.09195</v>
      </c>
      <c r="I808" s="3" t="n">
        <v>-0.0122893</v>
      </c>
      <c r="J808" s="3" t="n">
        <v>1.63524</v>
      </c>
      <c r="K808" s="3" t="n">
        <v>-48.1154</v>
      </c>
      <c r="L808" s="3" t="n">
        <v>3</v>
      </c>
      <c r="M808" s="3" t="inlineStr">
        <is>
          <t>si</t>
        </is>
      </c>
      <c r="N808" s="3" t="inlineStr">
        <is>
          <t>no designado (contraste C4: no hay svar_hd regional)</t>
        </is>
      </c>
      <c r="O808" s="3" t="inlineStr">
        <is>
          <t>CCAA: ranking por c_f·sign(dY) del panel FE (M8); asociacion, sin lectura causal; el factor comun es un resumen de comovimiento (pendiente ~1 mecanica, J23)</t>
        </is>
      </c>
      <c r="P808" s="3" t="inlineStr">
        <is>
          <t>output/v8/F5/regional_ranking.csv</t>
        </is>
      </c>
    </row>
    <row r="809">
      <c r="A809" s="3" t="inlineStr">
        <is>
          <t>compra</t>
        </is>
      </c>
      <c r="B809" s="3" t="inlineStr">
        <is>
          <t>ccaa:08</t>
        </is>
      </c>
      <c r="C809" s="3" t="inlineStr">
        <is>
          <t>P2</t>
        </is>
      </c>
      <c r="D809" s="3" t="inlineStr">
        <is>
          <t>residuo</t>
        </is>
      </c>
      <c r="E809" s="3" t="inlineStr">
        <is>
          <t>regional_panel</t>
        </is>
      </c>
      <c r="F809" s="3" t="inlineStr">
        <is>
          <t>panel_covariables</t>
        </is>
      </c>
      <c r="G809" s="3" t="n">
        <v>-13.2528</v>
      </c>
      <c r="H809" s="3" t="n">
        <v>27.5438</v>
      </c>
      <c r="I809" s="3" t="n">
        <v>-16.8597</v>
      </c>
      <c r="J809" s="3" t="n">
        <v>-9.64301</v>
      </c>
      <c r="K809" s="3" t="n">
        <v>-48.1154</v>
      </c>
      <c r="L809" s="3" t="n"/>
      <c r="M809" s="3" t="inlineStr">
        <is>
          <t>no</t>
        </is>
      </c>
      <c r="N809" s="3" t="inlineStr">
        <is>
          <t>no designado (contraste C4: no hay svar_hd regional)</t>
        </is>
      </c>
      <c r="O809" s="3" t="inlineStr">
        <is>
          <t>CCAA: ranking por c_f·sign(dY) del panel FE (M8); asociacion, sin lectura causal; el factor comun es un resumen de comovimiento (pendiente ~1 mecanica, J23)</t>
        </is>
      </c>
      <c r="P809" s="3" t="inlineStr">
        <is>
          <t>output/v8/F5/regional_ranking.csv</t>
        </is>
      </c>
    </row>
    <row r="810">
      <c r="A810" s="3" t="inlineStr">
        <is>
          <t>compra</t>
        </is>
      </c>
      <c r="B810" s="3" t="inlineStr">
        <is>
          <t>ccaa:08</t>
        </is>
      </c>
      <c r="C810" s="3" t="inlineStr">
        <is>
          <t>P3</t>
        </is>
      </c>
      <c r="D810" s="3" t="inlineStr">
        <is>
          <t>factor_comun</t>
        </is>
      </c>
      <c r="E810" s="3" t="inlineStr">
        <is>
          <t>regional_ccaa_ols</t>
        </is>
      </c>
      <c r="F810" s="3" t="inlineStr">
        <is>
          <t>ols_solo_factor</t>
        </is>
      </c>
      <c r="G810" s="3" t="n">
        <v>-0.576809</v>
      </c>
      <c r="H810" s="3" t="n">
        <v>5.84199</v>
      </c>
      <c r="I810" s="3" t="n">
        <v>-4.45906</v>
      </c>
      <c r="J810" s="3" t="n">
        <v>2.9644</v>
      </c>
      <c r="K810" s="3" t="n">
        <v>-8.57024</v>
      </c>
      <c r="L810" s="3" t="n"/>
      <c r="M810" s="3" t="inlineStr">
        <is>
          <t>no</t>
        </is>
      </c>
      <c r="N810" s="3" t="inlineStr">
        <is>
          <t>no designado (contraste C4: no hay svar_hd regional)</t>
        </is>
      </c>
      <c r="O810" s="3" t="inlineStr">
        <is>
          <t>CCAA: ranking por c_f·sign(dY) del panel FE (M8); asociacion, sin lectura causal; el factor comun es un resumen de comovimiento (pendiente ~1 mecanica, J23)</t>
        </is>
      </c>
      <c r="P810" s="3" t="inlineStr">
        <is>
          <t>output/v8/F5/regional_ranking.csv</t>
        </is>
      </c>
    </row>
    <row r="811">
      <c r="A811" s="3" t="inlineStr">
        <is>
          <t>compra</t>
        </is>
      </c>
      <c r="B811" s="3" t="inlineStr">
        <is>
          <t>ccaa:08</t>
        </is>
      </c>
      <c r="C811" s="3" t="inlineStr">
        <is>
          <t>P3</t>
        </is>
      </c>
      <c r="D811" s="3" t="inlineStr">
        <is>
          <t>residuo</t>
        </is>
      </c>
      <c r="E811" s="3" t="inlineStr">
        <is>
          <t>regional_ccaa_ols</t>
        </is>
      </c>
      <c r="F811" s="3" t="inlineStr">
        <is>
          <t>ols_solo_factor</t>
        </is>
      </c>
      <c r="G811" s="3" t="n">
        <v>-9.2967</v>
      </c>
      <c r="H811" s="3" t="n">
        <v>94.158</v>
      </c>
      <c r="I811" s="3" t="n"/>
      <c r="J811" s="3" t="n"/>
      <c r="K811" s="3" t="n">
        <v>-8.57024</v>
      </c>
      <c r="L811" s="3" t="n"/>
      <c r="M811" s="3" t="inlineStr">
        <is>
          <t>no</t>
        </is>
      </c>
      <c r="N811" s="3" t="inlineStr">
        <is>
          <t>no designado (contraste C4: no hay svar_hd regional)</t>
        </is>
      </c>
      <c r="O811" s="3" t="inlineStr">
        <is>
          <t>CCAA: ranking por c_f·sign(dY) del panel FE (M8); asociacion, sin lectura causal; el factor comun es un resumen de comovimiento (pendiente ~1 mecanica, J23)</t>
        </is>
      </c>
      <c r="P811" s="3" t="inlineStr">
        <is>
          <t>output/v8/F5/regional_ranking.csv</t>
        </is>
      </c>
    </row>
    <row r="812">
      <c r="A812" s="3" t="inlineStr">
        <is>
          <t>compra</t>
        </is>
      </c>
      <c r="B812" s="3" t="inlineStr">
        <is>
          <t>ccaa:08</t>
        </is>
      </c>
      <c r="C812" s="3" t="inlineStr">
        <is>
          <t>P3</t>
        </is>
      </c>
      <c r="D812" s="3" t="inlineStr">
        <is>
          <t>factor_comun</t>
        </is>
      </c>
      <c r="E812" s="3" t="inlineStr">
        <is>
          <t>regional_panel</t>
        </is>
      </c>
      <c r="F812" s="3" t="inlineStr">
        <is>
          <t>panel_covariables</t>
        </is>
      </c>
      <c r="G812" s="3" t="n">
        <v>-0.548472</v>
      </c>
      <c r="H812" s="3" t="n">
        <v>6.39973</v>
      </c>
      <c r="I812" s="3" t="n">
        <v>-3.50001</v>
      </c>
      <c r="J812" s="3" t="n">
        <v>2.45383</v>
      </c>
      <c r="K812" s="3" t="n">
        <v>-8.57024</v>
      </c>
      <c r="L812" s="3" t="n"/>
      <c r="M812" s="3" t="inlineStr">
        <is>
          <t>no</t>
        </is>
      </c>
      <c r="N812" s="3" t="inlineStr">
        <is>
          <t>no designado (contraste C4: no hay svar_hd regional)</t>
        </is>
      </c>
      <c r="O812" s="3" t="inlineStr">
        <is>
          <t>CCAA: ranking por c_f·sign(dY) del panel FE (M8); asociacion, sin lectura causal; el factor comun es un resumen de comovimiento (pendiente ~1 mecanica, J23)</t>
        </is>
      </c>
      <c r="P812" s="3" t="inlineStr">
        <is>
          <t>output/v8/F5/regional_ranking.csv</t>
        </is>
      </c>
    </row>
    <row r="813">
      <c r="A813" s="3" t="inlineStr">
        <is>
          <t>compra</t>
        </is>
      </c>
      <c r="B813" s="3" t="inlineStr">
        <is>
          <t>ccaa:08</t>
        </is>
      </c>
      <c r="C813" s="3" t="inlineStr">
        <is>
          <t>P3</t>
        </is>
      </c>
      <c r="D813" s="3" t="inlineStr">
        <is>
          <t>empleo_renta</t>
        </is>
      </c>
      <c r="E813" s="3" t="inlineStr">
        <is>
          <t>regional_panel</t>
        </is>
      </c>
      <c r="F813" s="3" t="inlineStr">
        <is>
          <t>panel_covariables</t>
        </is>
      </c>
      <c r="G813" s="3" t="n">
        <v>0.63994</v>
      </c>
      <c r="H813" s="3" t="n">
        <v>-7.467</v>
      </c>
      <c r="I813" s="3" t="n">
        <v>-0.0408231</v>
      </c>
      <c r="J813" s="3" t="n">
        <v>1.59877</v>
      </c>
      <c r="K813" s="3" t="n">
        <v>-8.57024</v>
      </c>
      <c r="L813" s="3" t="n">
        <v>3</v>
      </c>
      <c r="M813" s="3" t="inlineStr">
        <is>
          <t>si</t>
        </is>
      </c>
      <c r="N813" s="3" t="inlineStr">
        <is>
          <t>no designado (contraste C4: no hay svar_hd regional)</t>
        </is>
      </c>
      <c r="O813" s="3" t="inlineStr">
        <is>
          <t>CCAA: ranking por c_f·sign(dY) del panel FE (M8); asociacion, sin lectura causal; el factor comun es un resumen de comovimiento (pendiente ~1 mecanica, J23)</t>
        </is>
      </c>
      <c r="P813" s="3" t="inlineStr">
        <is>
          <t>output/v8/F5/regional_ranking.csv</t>
        </is>
      </c>
    </row>
    <row r="814">
      <c r="A814" s="3" t="inlineStr">
        <is>
          <t>compra</t>
        </is>
      </c>
      <c r="B814" s="3" t="inlineStr">
        <is>
          <t>ccaa:08</t>
        </is>
      </c>
      <c r="C814" s="3" t="inlineStr">
        <is>
          <t>P3</t>
        </is>
      </c>
      <c r="D814" s="3" t="inlineStr">
        <is>
          <t>demografia</t>
        </is>
      </c>
      <c r="E814" s="3" t="inlineStr">
        <is>
          <t>regional_panel</t>
        </is>
      </c>
      <c r="F814" s="3" t="inlineStr">
        <is>
          <t>panel_covariables</t>
        </is>
      </c>
      <c r="G814" s="3" t="n">
        <v>-1.77694</v>
      </c>
      <c r="H814" s="3" t="n">
        <v>20.7338</v>
      </c>
      <c r="I814" s="3" t="n">
        <v>-2.93551</v>
      </c>
      <c r="J814" s="3" t="n">
        <v>-1.01543</v>
      </c>
      <c r="K814" s="3" t="n">
        <v>-8.57024</v>
      </c>
      <c r="L814" s="3" t="n">
        <v>1</v>
      </c>
      <c r="M814" s="3" t="inlineStr">
        <is>
          <t>si</t>
        </is>
      </c>
      <c r="N814" s="3" t="inlineStr">
        <is>
          <t>no designado (contraste C4: no hay svar_hd regional)</t>
        </is>
      </c>
      <c r="O814" s="3" t="inlineStr">
        <is>
          <t>CCAA: ranking por c_f·sign(dY) del panel FE (M8); asociacion, sin lectura causal; el factor comun es un resumen de comovimiento (pendiente ~1 mecanica, J23)</t>
        </is>
      </c>
      <c r="P814" s="3" t="inlineStr">
        <is>
          <t>output/v8/F5/regional_ranking.csv</t>
        </is>
      </c>
    </row>
    <row r="815">
      <c r="A815" s="3" t="inlineStr">
        <is>
          <t>compra</t>
        </is>
      </c>
      <c r="B815" s="3" t="inlineStr">
        <is>
          <t>ccaa:08</t>
        </is>
      </c>
      <c r="C815" s="3" t="inlineStr">
        <is>
          <t>P3</t>
        </is>
      </c>
      <c r="D815" s="3" t="inlineStr">
        <is>
          <t>oferta</t>
        </is>
      </c>
      <c r="E815" s="3" t="inlineStr">
        <is>
          <t>regional_panel</t>
        </is>
      </c>
      <c r="F815" s="3" t="inlineStr">
        <is>
          <t>panel_covariables</t>
        </is>
      </c>
      <c r="G815" s="3" t="n">
        <v>-0.16176</v>
      </c>
      <c r="H815" s="3" t="n">
        <v>1.88746</v>
      </c>
      <c r="I815" s="3" t="n">
        <v>-0.261832</v>
      </c>
      <c r="J815" s="3" t="n">
        <v>0.00670541</v>
      </c>
      <c r="K815" s="3" t="n">
        <v>-8.57024</v>
      </c>
      <c r="L815" s="3" t="n">
        <v>2</v>
      </c>
      <c r="M815" s="3" t="inlineStr">
        <is>
          <t>si</t>
        </is>
      </c>
      <c r="N815" s="3" t="inlineStr">
        <is>
          <t>no designado (contraste C4: no hay svar_hd regional)</t>
        </is>
      </c>
      <c r="O815" s="3" t="inlineStr">
        <is>
          <t>CCAA: ranking por c_f·sign(dY) del panel FE (M8); asociacion, sin lectura causal; el factor comun es un resumen de comovimiento (pendiente ~1 mecanica, J23)</t>
        </is>
      </c>
      <c r="P815" s="3" t="inlineStr">
        <is>
          <t>output/v8/F5/regional_ranking.csv</t>
        </is>
      </c>
    </row>
    <row r="816">
      <c r="A816" s="3" t="inlineStr">
        <is>
          <t>compra</t>
        </is>
      </c>
      <c r="B816" s="3" t="inlineStr">
        <is>
          <t>ccaa:08</t>
        </is>
      </c>
      <c r="C816" s="3" t="inlineStr">
        <is>
          <t>P3</t>
        </is>
      </c>
      <c r="D816" s="3" t="inlineStr">
        <is>
          <t>demanda_externa</t>
        </is>
      </c>
      <c r="E816" s="3" t="inlineStr">
        <is>
          <t>regional_panel</t>
        </is>
      </c>
      <c r="F816" s="3" t="inlineStr">
        <is>
          <t>panel_covariables</t>
        </is>
      </c>
      <c r="G816" s="3" t="n">
        <v>1.60184</v>
      </c>
      <c r="H816" s="3" t="n">
        <v>-18.6907</v>
      </c>
      <c r="I816" s="3" t="n">
        <v>0.679443</v>
      </c>
      <c r="J816" s="3" t="n">
        <v>2.42634</v>
      </c>
      <c r="K816" s="3" t="n">
        <v>-8.57024</v>
      </c>
      <c r="L816" s="3" t="n">
        <v>4</v>
      </c>
      <c r="M816" s="3" t="inlineStr">
        <is>
          <t>si</t>
        </is>
      </c>
      <c r="N816" s="3" t="inlineStr">
        <is>
          <t>no designado (contraste C4: no hay svar_hd regional)</t>
        </is>
      </c>
      <c r="O816" s="3" t="inlineStr">
        <is>
          <t>CCAA: ranking por c_f·sign(dY) del panel FE (M8); asociacion, sin lectura causal; el factor comun es un resumen de comovimiento (pendiente ~1 mecanica, J23)</t>
        </is>
      </c>
      <c r="P816" s="3" t="inlineStr">
        <is>
          <t>output/v8/F5/regional_ranking.csv</t>
        </is>
      </c>
    </row>
    <row r="817">
      <c r="A817" s="3" t="inlineStr">
        <is>
          <t>compra</t>
        </is>
      </c>
      <c r="B817" s="3" t="inlineStr">
        <is>
          <t>ccaa:08</t>
        </is>
      </c>
      <c r="C817" s="3" t="inlineStr">
        <is>
          <t>P3</t>
        </is>
      </c>
      <c r="D817" s="3" t="inlineStr">
        <is>
          <t>residuo</t>
        </is>
      </c>
      <c r="E817" s="3" t="inlineStr">
        <is>
          <t>regional_panel</t>
        </is>
      </c>
      <c r="F817" s="3" t="inlineStr">
        <is>
          <t>panel_covariables</t>
        </is>
      </c>
      <c r="G817" s="3" t="n">
        <v>-8.324859999999999</v>
      </c>
      <c r="H817" s="3" t="n">
        <v>97.13679999999999</v>
      </c>
      <c r="I817" s="3" t="n">
        <v>-10.3546</v>
      </c>
      <c r="J817" s="3" t="n">
        <v>-5.99393</v>
      </c>
      <c r="K817" s="3" t="n">
        <v>-8.57024</v>
      </c>
      <c r="L817" s="3" t="n"/>
      <c r="M817" s="3" t="inlineStr">
        <is>
          <t>no</t>
        </is>
      </c>
      <c r="N817" s="3" t="inlineStr">
        <is>
          <t>no designado (contraste C4: no hay svar_hd regional)</t>
        </is>
      </c>
      <c r="O817" s="3" t="inlineStr">
        <is>
          <t>CCAA: ranking por c_f·sign(dY) del panel FE (M8); asociacion, sin lectura causal; el factor comun es un resumen de comovimiento (pendiente ~1 mecanica, J23)</t>
        </is>
      </c>
      <c r="P817" s="3" t="inlineStr">
        <is>
          <t>output/v8/F5/regional_ranking.csv</t>
        </is>
      </c>
    </row>
    <row r="818">
      <c r="A818" s="3" t="inlineStr">
        <is>
          <t>compra</t>
        </is>
      </c>
      <c r="B818" s="3" t="inlineStr">
        <is>
          <t>ccaa:08</t>
        </is>
      </c>
      <c r="C818" s="3" t="inlineStr">
        <is>
          <t>P4</t>
        </is>
      </c>
      <c r="D818" s="3" t="inlineStr">
        <is>
          <t>factor_comun</t>
        </is>
      </c>
      <c r="E818" s="3" t="inlineStr">
        <is>
          <t>regional_ccaa_ols</t>
        </is>
      </c>
      <c r="F818" s="3" t="inlineStr">
        <is>
          <t>ols_solo_factor</t>
        </is>
      </c>
      <c r="G818" s="3" t="n">
        <v>-5.78588</v>
      </c>
      <c r="H818" s="3" t="n">
        <v>138.245</v>
      </c>
      <c r="I818" s="3" t="n">
        <v>-6.76962</v>
      </c>
      <c r="J818" s="3" t="n">
        <v>-4.82594</v>
      </c>
      <c r="K818" s="3" t="n">
        <v>-4.18525</v>
      </c>
      <c r="L818" s="3" t="n"/>
      <c r="M818" s="3" t="inlineStr">
        <is>
          <t>no</t>
        </is>
      </c>
      <c r="N818" s="3" t="inlineStr">
        <is>
          <t>no designado (contraste C4: no hay svar_hd regional)</t>
        </is>
      </c>
      <c r="O818" s="3" t="inlineStr">
        <is>
          <t>CCAA: ranking por c_f·sign(dY) del panel FE (M8); asociacion, sin lectura causal; el factor comun es un resumen de comovimiento (pendiente ~1 mecanica, J23)</t>
        </is>
      </c>
      <c r="P818" s="3" t="inlineStr">
        <is>
          <t>output/v8/F5/regional_ranking.csv</t>
        </is>
      </c>
    </row>
    <row r="819">
      <c r="A819" s="3" t="inlineStr">
        <is>
          <t>compra</t>
        </is>
      </c>
      <c r="B819" s="3" t="inlineStr">
        <is>
          <t>ccaa:08</t>
        </is>
      </c>
      <c r="C819" s="3" t="inlineStr">
        <is>
          <t>P4</t>
        </is>
      </c>
      <c r="D819" s="3" t="inlineStr">
        <is>
          <t>residuo</t>
        </is>
      </c>
      <c r="E819" s="3" t="inlineStr">
        <is>
          <t>regional_ccaa_ols</t>
        </is>
      </c>
      <c r="F819" s="3" t="inlineStr">
        <is>
          <t>ols_solo_factor</t>
        </is>
      </c>
      <c r="G819" s="3" t="n">
        <v>1.60063</v>
      </c>
      <c r="H819" s="3" t="n">
        <v>-38.2446</v>
      </c>
      <c r="I819" s="3" t="n"/>
      <c r="J819" s="3" t="n"/>
      <c r="K819" s="3" t="n">
        <v>-4.18525</v>
      </c>
      <c r="L819" s="3" t="n"/>
      <c r="M819" s="3" t="inlineStr">
        <is>
          <t>no</t>
        </is>
      </c>
      <c r="N819" s="3" t="inlineStr">
        <is>
          <t>no designado (contraste C4: no hay svar_hd regional)</t>
        </is>
      </c>
      <c r="O819" s="3" t="inlineStr">
        <is>
          <t>CCAA: ranking por c_f·sign(dY) del panel FE (M8); asociacion, sin lectura causal; el factor comun es un resumen de comovimiento (pendiente ~1 mecanica, J23)</t>
        </is>
      </c>
      <c r="P819" s="3" t="inlineStr">
        <is>
          <t>output/v8/F5/regional_ranking.csv</t>
        </is>
      </c>
    </row>
    <row r="820">
      <c r="A820" s="3" t="inlineStr">
        <is>
          <t>compra</t>
        </is>
      </c>
      <c r="B820" s="3" t="inlineStr">
        <is>
          <t>ccaa:08</t>
        </is>
      </c>
      <c r="C820" s="3" t="inlineStr">
        <is>
          <t>P4</t>
        </is>
      </c>
      <c r="D820" s="3" t="inlineStr">
        <is>
          <t>factor_comun</t>
        </is>
      </c>
      <c r="E820" s="3" t="inlineStr">
        <is>
          <t>regional_panel</t>
        </is>
      </c>
      <c r="F820" s="3" t="inlineStr">
        <is>
          <t>panel_covariables</t>
        </is>
      </c>
      <c r="G820" s="3" t="n">
        <v>-4.21608</v>
      </c>
      <c r="H820" s="3" t="n">
        <v>100.737</v>
      </c>
      <c r="I820" s="3" t="n">
        <v>-5.07352</v>
      </c>
      <c r="J820" s="3" t="n">
        <v>-2.674</v>
      </c>
      <c r="K820" s="3" t="n">
        <v>-4.18525</v>
      </c>
      <c r="L820" s="3" t="n"/>
      <c r="M820" s="3" t="inlineStr">
        <is>
          <t>no</t>
        </is>
      </c>
      <c r="N820" s="3" t="inlineStr">
        <is>
          <t>no designado (contraste C4: no hay svar_hd regional)</t>
        </is>
      </c>
      <c r="O820" s="3" t="inlineStr">
        <is>
          <t>CCAA: ranking por c_f·sign(dY) del panel FE (M8); asociacion, sin lectura causal; el factor comun es un resumen de comovimiento (pendiente ~1 mecanica, J23)</t>
        </is>
      </c>
      <c r="P820" s="3" t="inlineStr">
        <is>
          <t>output/v8/F5/regional_ranking.csv</t>
        </is>
      </c>
    </row>
    <row r="821">
      <c r="A821" s="3" t="inlineStr">
        <is>
          <t>compra</t>
        </is>
      </c>
      <c r="B821" s="3" t="inlineStr">
        <is>
          <t>ccaa:08</t>
        </is>
      </c>
      <c r="C821" s="3" t="inlineStr">
        <is>
          <t>P4</t>
        </is>
      </c>
      <c r="D821" s="3" t="inlineStr">
        <is>
          <t>empleo_renta</t>
        </is>
      </c>
      <c r="E821" s="3" t="inlineStr">
        <is>
          <t>regional_panel</t>
        </is>
      </c>
      <c r="F821" s="3" t="inlineStr">
        <is>
          <t>panel_covariables</t>
        </is>
      </c>
      <c r="G821" s="3" t="n">
        <v>0.424511</v>
      </c>
      <c r="H821" s="3" t="n">
        <v>-10.143</v>
      </c>
      <c r="I821" s="3" t="n">
        <v>-0.0558549</v>
      </c>
      <c r="J821" s="3" t="n">
        <v>0.951406</v>
      </c>
      <c r="K821" s="3" t="n">
        <v>-4.18525</v>
      </c>
      <c r="L821" s="3" t="n">
        <v>3</v>
      </c>
      <c r="M821" s="3" t="inlineStr">
        <is>
          <t>si</t>
        </is>
      </c>
      <c r="N821" s="3" t="inlineStr">
        <is>
          <t>no designado (contraste C4: no hay svar_hd regional)</t>
        </is>
      </c>
      <c r="O821" s="3" t="inlineStr">
        <is>
          <t>CCAA: ranking por c_f·sign(dY) del panel FE (M8); asociacion, sin lectura causal; el factor comun es un resumen de comovimiento (pendiente ~1 mecanica, J23)</t>
        </is>
      </c>
      <c r="P821" s="3" t="inlineStr">
        <is>
          <t>output/v8/F5/regional_ranking.csv</t>
        </is>
      </c>
    </row>
    <row r="822">
      <c r="A822" s="3" t="inlineStr">
        <is>
          <t>compra</t>
        </is>
      </c>
      <c r="B822" s="3" t="inlineStr">
        <is>
          <t>ccaa:08</t>
        </is>
      </c>
      <c r="C822" s="3" t="inlineStr">
        <is>
          <t>P4</t>
        </is>
      </c>
      <c r="D822" s="3" t="inlineStr">
        <is>
          <t>demografia</t>
        </is>
      </c>
      <c r="E822" s="3" t="inlineStr">
        <is>
          <t>regional_panel</t>
        </is>
      </c>
      <c r="F822" s="3" t="inlineStr">
        <is>
          <t>panel_covariables</t>
        </is>
      </c>
      <c r="G822" s="3" t="n">
        <v>1.41865</v>
      </c>
      <c r="H822" s="3" t="n">
        <v>-33.8964</v>
      </c>
      <c r="I822" s="3" t="n">
        <v>0.599969</v>
      </c>
      <c r="J822" s="3" t="n">
        <v>1.8925</v>
      </c>
      <c r="K822" s="3" t="n">
        <v>-4.18525</v>
      </c>
      <c r="L822" s="3" t="n">
        <v>4</v>
      </c>
      <c r="M822" s="3" t="inlineStr">
        <is>
          <t>si</t>
        </is>
      </c>
      <c r="N822" s="3" t="inlineStr">
        <is>
          <t>no designado (contraste C4: no hay svar_hd regional)</t>
        </is>
      </c>
      <c r="O822" s="3" t="inlineStr">
        <is>
          <t>CCAA: ranking por c_f·sign(dY) del panel FE (M8); asociacion, sin lectura causal; el factor comun es un resumen de comovimiento (pendiente ~1 mecanica, J23)</t>
        </is>
      </c>
      <c r="P822" s="3" t="inlineStr">
        <is>
          <t>output/v8/F5/regional_ranking.csv</t>
        </is>
      </c>
    </row>
    <row r="823">
      <c r="A823" s="3" t="inlineStr">
        <is>
          <t>compra</t>
        </is>
      </c>
      <c r="B823" s="3" t="inlineStr">
        <is>
          <t>ccaa:08</t>
        </is>
      </c>
      <c r="C823" s="3" t="inlineStr">
        <is>
          <t>P4</t>
        </is>
      </c>
      <c r="D823" s="3" t="inlineStr">
        <is>
          <t>oferta</t>
        </is>
      </c>
      <c r="E823" s="3" t="inlineStr">
        <is>
          <t>regional_panel</t>
        </is>
      </c>
      <c r="F823" s="3" t="inlineStr">
        <is>
          <t>panel_covariables</t>
        </is>
      </c>
      <c r="G823" s="3" t="n">
        <v>0.0580586</v>
      </c>
      <c r="H823" s="3" t="n">
        <v>-1.38722</v>
      </c>
      <c r="I823" s="3" t="n">
        <v>0.000412163</v>
      </c>
      <c r="J823" s="3" t="n">
        <v>0.100915</v>
      </c>
      <c r="K823" s="3" t="n">
        <v>-4.18525</v>
      </c>
      <c r="L823" s="3" t="n">
        <v>1</v>
      </c>
      <c r="M823" s="3" t="inlineStr">
        <is>
          <t>si</t>
        </is>
      </c>
      <c r="N823" s="3" t="inlineStr">
        <is>
          <t>no designado (contraste C4: no hay svar_hd regional)</t>
        </is>
      </c>
      <c r="O823" s="3" t="inlineStr">
        <is>
          <t>CCAA: ranking por c_f·sign(dY) del panel FE (M8); asociacion, sin lectura causal; el factor comun es un resumen de comovimiento (pendiente ~1 mecanica, J23)</t>
        </is>
      </c>
      <c r="P823" s="3" t="inlineStr">
        <is>
          <t>output/v8/F5/regional_ranking.csv</t>
        </is>
      </c>
    </row>
    <row r="824">
      <c r="A824" s="3" t="inlineStr">
        <is>
          <t>compra</t>
        </is>
      </c>
      <c r="B824" s="3" t="inlineStr">
        <is>
          <t>ccaa:08</t>
        </is>
      </c>
      <c r="C824" s="3" t="inlineStr">
        <is>
          <t>P4</t>
        </is>
      </c>
      <c r="D824" s="3" t="inlineStr">
        <is>
          <t>demanda_externa</t>
        </is>
      </c>
      <c r="E824" s="3" t="inlineStr">
        <is>
          <t>regional_panel</t>
        </is>
      </c>
      <c r="F824" s="3" t="inlineStr">
        <is>
          <t>panel_covariables</t>
        </is>
      </c>
      <c r="G824" s="3" t="n">
        <v>0.147326</v>
      </c>
      <c r="H824" s="3" t="n">
        <v>-3.52012</v>
      </c>
      <c r="I824" s="3" t="n">
        <v>-0.06931909999999999</v>
      </c>
      <c r="J824" s="3" t="n">
        <v>0.24577</v>
      </c>
      <c r="K824" s="3" t="n">
        <v>-4.18525</v>
      </c>
      <c r="L824" s="3" t="n">
        <v>2</v>
      </c>
      <c r="M824" s="3" t="inlineStr">
        <is>
          <t>si</t>
        </is>
      </c>
      <c r="N824" s="3" t="inlineStr">
        <is>
          <t>no designado (contraste C4: no hay svar_hd regional)</t>
        </is>
      </c>
      <c r="O824" s="3" t="inlineStr">
        <is>
          <t>CCAA: ranking por c_f·sign(dY) del panel FE (M8); asociacion, sin lectura causal; el factor comun es un resumen de comovimiento (pendiente ~1 mecanica, J23)</t>
        </is>
      </c>
      <c r="P824" s="3" t="inlineStr">
        <is>
          <t>output/v8/F5/regional_ranking.csv</t>
        </is>
      </c>
    </row>
    <row r="825">
      <c r="A825" s="3" t="inlineStr">
        <is>
          <t>compra</t>
        </is>
      </c>
      <c r="B825" s="3" t="inlineStr">
        <is>
          <t>ccaa:08</t>
        </is>
      </c>
      <c r="C825" s="3" t="inlineStr">
        <is>
          <t>P4</t>
        </is>
      </c>
      <c r="D825" s="3" t="inlineStr">
        <is>
          <t>residuo</t>
        </is>
      </c>
      <c r="E825" s="3" t="inlineStr">
        <is>
          <t>regional_panel</t>
        </is>
      </c>
      <c r="F825" s="3" t="inlineStr">
        <is>
          <t>panel_covariables</t>
        </is>
      </c>
      <c r="G825" s="3" t="n">
        <v>-2.01771</v>
      </c>
      <c r="H825" s="3" t="n">
        <v>48.21</v>
      </c>
      <c r="I825" s="3" t="n">
        <v>-3.60005</v>
      </c>
      <c r="J825" s="3" t="n">
        <v>-0.322271</v>
      </c>
      <c r="K825" s="3" t="n">
        <v>-4.18525</v>
      </c>
      <c r="L825" s="3" t="n"/>
      <c r="M825" s="3" t="inlineStr">
        <is>
          <t>no</t>
        </is>
      </c>
      <c r="N825" s="3" t="inlineStr">
        <is>
          <t>no designado (contraste C4: no hay svar_hd regional)</t>
        </is>
      </c>
      <c r="O825" s="3" t="inlineStr">
        <is>
          <t>CCAA: ranking por c_f·sign(dY) del panel FE (M8); asociacion, sin lectura causal; el factor comun es un resumen de comovimiento (pendiente ~1 mecanica, J23)</t>
        </is>
      </c>
      <c r="P825" s="3" t="inlineStr">
        <is>
          <t>output/v8/F5/regional_ranking.csv</t>
        </is>
      </c>
    </row>
    <row r="826">
      <c r="A826" s="3" t="inlineStr">
        <is>
          <t>compra</t>
        </is>
      </c>
      <c r="B826" s="3" t="inlineStr">
        <is>
          <t>ccaa:08</t>
        </is>
      </c>
      <c r="C826" s="3" t="inlineStr">
        <is>
          <t>P5</t>
        </is>
      </c>
      <c r="D826" s="3" t="inlineStr">
        <is>
          <t>factor_comun</t>
        </is>
      </c>
      <c r="E826" s="3" t="inlineStr">
        <is>
          <t>regional_ccaa_ols</t>
        </is>
      </c>
      <c r="F826" s="3" t="inlineStr">
        <is>
          <t>ols_solo_factor</t>
        </is>
      </c>
      <c r="G826" s="3" t="n">
        <v>10.3965</v>
      </c>
      <c r="H826" s="3" t="n">
        <v>150.578</v>
      </c>
      <c r="I826" s="3" t="n">
        <v>4.79755</v>
      </c>
      <c r="J826" s="3" t="n">
        <v>17.4154</v>
      </c>
      <c r="K826" s="3" t="n">
        <v>-1.12491</v>
      </c>
      <c r="L826" s="3" t="n"/>
      <c r="M826" s="3" t="inlineStr">
        <is>
          <t>no</t>
        </is>
      </c>
      <c r="N826" s="3" t="inlineStr">
        <is>
          <t>no designado (contraste C4: no hay svar_hd regional)</t>
        </is>
      </c>
      <c r="O826" s="3" t="inlineStr">
        <is>
          <t>CCAA: ranking por c_f·sign(dY) del panel FE (M8); asociacion, sin lectura causal; el factor comun es un resumen de comovimiento (pendiente ~1 mecanica, J23)</t>
        </is>
      </c>
      <c r="P826" s="3" t="inlineStr">
        <is>
          <t>output/v8/F5/regional_ranking.csv</t>
        </is>
      </c>
    </row>
    <row r="827">
      <c r="A827" s="3" t="inlineStr">
        <is>
          <t>compra</t>
        </is>
      </c>
      <c r="B827" s="3" t="inlineStr">
        <is>
          <t>ccaa:08</t>
        </is>
      </c>
      <c r="C827" s="3" t="inlineStr">
        <is>
          <t>P5</t>
        </is>
      </c>
      <c r="D827" s="3" t="inlineStr">
        <is>
          <t>residuo</t>
        </is>
      </c>
      <c r="E827" s="3" t="inlineStr">
        <is>
          <t>regional_ccaa_ols</t>
        </is>
      </c>
      <c r="F827" s="3" t="inlineStr">
        <is>
          <t>ols_solo_factor</t>
        </is>
      </c>
      <c r="G827" s="3" t="n">
        <v>-3.4921</v>
      </c>
      <c r="H827" s="3" t="n">
        <v>-50.5782</v>
      </c>
      <c r="I827" s="3" t="n"/>
      <c r="J827" s="3" t="n"/>
      <c r="K827" s="3" t="n">
        <v>-1.12491</v>
      </c>
      <c r="L827" s="3" t="n"/>
      <c r="M827" s="3" t="inlineStr">
        <is>
          <t>no</t>
        </is>
      </c>
      <c r="N827" s="3" t="inlineStr">
        <is>
          <t>no designado (contraste C4: no hay svar_hd regional)</t>
        </is>
      </c>
      <c r="O827" s="3" t="inlineStr">
        <is>
          <t>CCAA: ranking por c_f·sign(dY) del panel FE (M8); asociacion, sin lectura causal; el factor comun es un resumen de comovimiento (pendiente ~1 mecanica, J23)</t>
        </is>
      </c>
      <c r="P827" s="3" t="inlineStr">
        <is>
          <t>output/v8/F5/regional_ranking.csv</t>
        </is>
      </c>
    </row>
    <row r="828">
      <c r="A828" s="3" t="inlineStr">
        <is>
          <t>compra</t>
        </is>
      </c>
      <c r="B828" s="3" t="inlineStr">
        <is>
          <t>ccaa:08</t>
        </is>
      </c>
      <c r="C828" s="3" t="inlineStr">
        <is>
          <t>P5</t>
        </is>
      </c>
      <c r="D828" s="3" t="inlineStr">
        <is>
          <t>factor_comun</t>
        </is>
      </c>
      <c r="E828" s="3" t="inlineStr">
        <is>
          <t>regional_panel</t>
        </is>
      </c>
      <c r="F828" s="3" t="inlineStr">
        <is>
          <t>panel_covariables</t>
        </is>
      </c>
      <c r="G828" s="3" t="n">
        <v>1.50215</v>
      </c>
      <c r="H828" s="3" t="n">
        <v>-133.535</v>
      </c>
      <c r="I828" s="3" t="n">
        <v>-1.20824</v>
      </c>
      <c r="J828" s="3" t="n">
        <v>4.46537</v>
      </c>
      <c r="K828" s="3" t="n">
        <v>-1.12491</v>
      </c>
      <c r="L828" s="3" t="n"/>
      <c r="M828" s="3" t="inlineStr">
        <is>
          <t>no</t>
        </is>
      </c>
      <c r="N828" s="3" t="inlineStr">
        <is>
          <t>no designado (contraste C4: no hay svar_hd regional)</t>
        </is>
      </c>
      <c r="O828" s="3" t="inlineStr">
        <is>
          <t>CCAA: ranking por c_f·sign(dY) del panel FE (M8); asociacion, sin lectura causal; el factor comun es un resumen de comovimiento (pendiente ~1 mecanica, J23)</t>
        </is>
      </c>
      <c r="P828" s="3" t="inlineStr">
        <is>
          <t>output/v8/F5/regional_ranking.csv</t>
        </is>
      </c>
    </row>
    <row r="829">
      <c r="A829" s="3" t="inlineStr">
        <is>
          <t>compra</t>
        </is>
      </c>
      <c r="B829" s="3" t="inlineStr">
        <is>
          <t>ccaa:08</t>
        </is>
      </c>
      <c r="C829" s="3" t="inlineStr">
        <is>
          <t>P5</t>
        </is>
      </c>
      <c r="D829" s="3" t="inlineStr">
        <is>
          <t>empleo_renta</t>
        </is>
      </c>
      <c r="E829" s="3" t="inlineStr">
        <is>
          <t>regional_panel</t>
        </is>
      </c>
      <c r="F829" s="3" t="inlineStr">
        <is>
          <t>panel_covariables</t>
        </is>
      </c>
      <c r="G829" s="3" t="n">
        <v>0.538365</v>
      </c>
      <c r="H829" s="3" t="n">
        <v>-47.8585</v>
      </c>
      <c r="I829" s="3" t="n">
        <v>0.182188</v>
      </c>
      <c r="J829" s="3" t="n">
        <v>0.979186</v>
      </c>
      <c r="K829" s="3" t="n">
        <v>-1.12491</v>
      </c>
      <c r="L829" s="3" t="n">
        <v>4</v>
      </c>
      <c r="M829" s="3" t="inlineStr">
        <is>
          <t>si</t>
        </is>
      </c>
      <c r="N829" s="3" t="inlineStr">
        <is>
          <t>no designado (contraste C4: no hay svar_hd regional)</t>
        </is>
      </c>
      <c r="O829" s="3" t="inlineStr">
        <is>
          <t>CCAA: ranking por c_f·sign(dY) del panel FE (M8); asociacion, sin lectura causal; el factor comun es un resumen de comovimiento (pendiente ~1 mecanica, J23)</t>
        </is>
      </c>
      <c r="P829" s="3" t="inlineStr">
        <is>
          <t>output/v8/F5/regional_ranking.csv</t>
        </is>
      </c>
    </row>
    <row r="830">
      <c r="A830" s="3" t="inlineStr">
        <is>
          <t>compra</t>
        </is>
      </c>
      <c r="B830" s="3" t="inlineStr">
        <is>
          <t>ccaa:08</t>
        </is>
      </c>
      <c r="C830" s="3" t="inlineStr">
        <is>
          <t>P5</t>
        </is>
      </c>
      <c r="D830" s="3" t="inlineStr">
        <is>
          <t>demografia</t>
        </is>
      </c>
      <c r="E830" s="3" t="inlineStr">
        <is>
          <t>regional_panel</t>
        </is>
      </c>
      <c r="F830" s="3" t="inlineStr">
        <is>
          <t>panel_covariables</t>
        </is>
      </c>
      <c r="G830" s="3" t="n">
        <v>-0.887331</v>
      </c>
      <c r="H830" s="3" t="n">
        <v>78.88</v>
      </c>
      <c r="I830" s="3" t="n">
        <v>-4.06742</v>
      </c>
      <c r="J830" s="3" t="n">
        <v>1.97742</v>
      </c>
      <c r="K830" s="3" t="n">
        <v>-1.12491</v>
      </c>
      <c r="L830" s="3" t="n">
        <v>1</v>
      </c>
      <c r="M830" s="3" t="inlineStr">
        <is>
          <t>si</t>
        </is>
      </c>
      <c r="N830" s="3" t="inlineStr">
        <is>
          <t>no designado (contraste C4: no hay svar_hd regional)</t>
        </is>
      </c>
      <c r="O830" s="3" t="inlineStr">
        <is>
          <t>CCAA: ranking por c_f·sign(dY) del panel FE (M8); asociacion, sin lectura causal; el factor comun es un resumen de comovimiento (pendiente ~1 mecanica, J23)</t>
        </is>
      </c>
      <c r="P830" s="3" t="inlineStr">
        <is>
          <t>output/v8/F5/regional_ranking.csv</t>
        </is>
      </c>
    </row>
    <row r="831">
      <c r="A831" s="3" t="inlineStr">
        <is>
          <t>compra</t>
        </is>
      </c>
      <c r="B831" s="3" t="inlineStr">
        <is>
          <t>ccaa:08</t>
        </is>
      </c>
      <c r="C831" s="3" t="inlineStr">
        <is>
          <t>P5</t>
        </is>
      </c>
      <c r="D831" s="3" t="inlineStr">
        <is>
          <t>oferta</t>
        </is>
      </c>
      <c r="E831" s="3" t="inlineStr">
        <is>
          <t>regional_panel</t>
        </is>
      </c>
      <c r="F831" s="3" t="inlineStr">
        <is>
          <t>panel_covariables</t>
        </is>
      </c>
      <c r="G831" s="3" t="n">
        <v>-0.000280937</v>
      </c>
      <c r="H831" s="3" t="n">
        <v>0.0249741</v>
      </c>
      <c r="I831" s="3" t="n">
        <v>-0.0966215</v>
      </c>
      <c r="J831" s="3" t="n">
        <v>0.0215054</v>
      </c>
      <c r="K831" s="3" t="n">
        <v>-1.12491</v>
      </c>
      <c r="L831" s="3" t="n">
        <v>3</v>
      </c>
      <c r="M831" s="3" t="inlineStr">
        <is>
          <t>si</t>
        </is>
      </c>
      <c r="N831" s="3" t="inlineStr">
        <is>
          <t>no designado (contraste C4: no hay svar_hd regional)</t>
        </is>
      </c>
      <c r="O831" s="3" t="inlineStr">
        <is>
          <t>CCAA: ranking por c_f·sign(dY) del panel FE (M8); asociacion, sin lectura causal; el factor comun es un resumen de comovimiento (pendiente ~1 mecanica, J23)</t>
        </is>
      </c>
      <c r="P831" s="3" t="inlineStr">
        <is>
          <t>output/v8/F5/regional_ranking.csv</t>
        </is>
      </c>
    </row>
    <row r="832">
      <c r="A832" s="3" t="inlineStr">
        <is>
          <t>compra</t>
        </is>
      </c>
      <c r="B832" s="3" t="inlineStr">
        <is>
          <t>ccaa:08</t>
        </is>
      </c>
      <c r="C832" s="3" t="inlineStr">
        <is>
          <t>P5</t>
        </is>
      </c>
      <c r="D832" s="3" t="inlineStr">
        <is>
          <t>demanda_externa</t>
        </is>
      </c>
      <c r="E832" s="3" t="inlineStr">
        <is>
          <t>regional_panel</t>
        </is>
      </c>
      <c r="F832" s="3" t="inlineStr">
        <is>
          <t>panel_covariables</t>
        </is>
      </c>
      <c r="G832" s="3" t="n">
        <v>-0.020433</v>
      </c>
      <c r="H832" s="3" t="n">
        <v>1.81641</v>
      </c>
      <c r="I832" s="3" t="n">
        <v>-0.201383</v>
      </c>
      <c r="J832" s="3" t="n">
        <v>0.313278</v>
      </c>
      <c r="K832" s="3" t="n">
        <v>-1.12491</v>
      </c>
      <c r="L832" s="3" t="n">
        <v>2</v>
      </c>
      <c r="M832" s="3" t="inlineStr">
        <is>
          <t>si</t>
        </is>
      </c>
      <c r="N832" s="3" t="inlineStr">
        <is>
          <t>no designado (contraste C4: no hay svar_hd regional)</t>
        </is>
      </c>
      <c r="O832" s="3" t="inlineStr">
        <is>
          <t>CCAA: ranking por c_f·sign(dY) del panel FE (M8); asociacion, sin lectura causal; el factor comun es un resumen de comovimiento (pendiente ~1 mecanica, J23)</t>
        </is>
      </c>
      <c r="P832" s="3" t="inlineStr">
        <is>
          <t>output/v8/F5/regional_ranking.csv</t>
        </is>
      </c>
    </row>
    <row r="833">
      <c r="A833" s="3" t="inlineStr">
        <is>
          <t>compra</t>
        </is>
      </c>
      <c r="B833" s="3" t="inlineStr">
        <is>
          <t>ccaa:08</t>
        </is>
      </c>
      <c r="C833" s="3" t="inlineStr">
        <is>
          <t>P5</t>
        </is>
      </c>
      <c r="D833" s="3" t="inlineStr">
        <is>
          <t>residuo</t>
        </is>
      </c>
      <c r="E833" s="3" t="inlineStr">
        <is>
          <t>regional_panel</t>
        </is>
      </c>
      <c r="F833" s="3" t="inlineStr">
        <is>
          <t>panel_covariables</t>
        </is>
      </c>
      <c r="G833" s="3" t="n">
        <v>-2.25738</v>
      </c>
      <c r="H833" s="3" t="n">
        <v>200.672</v>
      </c>
      <c r="I833" s="3" t="n">
        <v>-5.41526</v>
      </c>
      <c r="J833" s="3" t="n">
        <v>0.7143080000000001</v>
      </c>
      <c r="K833" s="3" t="n">
        <v>-1.12491</v>
      </c>
      <c r="L833" s="3" t="n"/>
      <c r="M833" s="3" t="inlineStr">
        <is>
          <t>no</t>
        </is>
      </c>
      <c r="N833" s="3" t="inlineStr">
        <is>
          <t>no designado (contraste C4: no hay svar_hd regional)</t>
        </is>
      </c>
      <c r="O833" s="3" t="inlineStr">
        <is>
          <t>CCAA: ranking por c_f·sign(dY) del panel FE (M8); asociacion, sin lectura causal; el factor comun es un resumen de comovimiento (pendiente ~1 mecanica, J23)</t>
        </is>
      </c>
      <c r="P833" s="3" t="inlineStr">
        <is>
          <t>output/v8/F5/regional_ranking.csv</t>
        </is>
      </c>
    </row>
    <row r="834">
      <c r="A834" s="3" t="inlineStr">
        <is>
          <t>compra</t>
        </is>
      </c>
      <c r="B834" s="3" t="inlineStr">
        <is>
          <t>ccaa:09</t>
        </is>
      </c>
      <c r="C834" s="3" t="inlineStr">
        <is>
          <t>P1</t>
        </is>
      </c>
      <c r="D834" s="3" t="inlineStr">
        <is>
          <t>factor_comun</t>
        </is>
      </c>
      <c r="E834" s="3" t="inlineStr">
        <is>
          <t>regional_ccaa_ols</t>
        </is>
      </c>
      <c r="F834" s="3" t="inlineStr">
        <is>
          <t>ols_solo_factor</t>
        </is>
      </c>
      <c r="G834" s="3" t="n">
        <v>71.1011</v>
      </c>
      <c r="H834" s="3" t="n">
        <v>86.48990000000001</v>
      </c>
      <c r="I834" s="3" t="n">
        <v>58.0341</v>
      </c>
      <c r="J834" s="3" t="n">
        <v>82.7334</v>
      </c>
      <c r="K834" s="3" t="n">
        <v>82.2073</v>
      </c>
      <c r="L834" s="3" t="n"/>
      <c r="M834" s="3" t="inlineStr">
        <is>
          <t>no</t>
        </is>
      </c>
      <c r="N834" s="3" t="inlineStr">
        <is>
          <t>no designado (contraste C4: no hay svar_hd regional)</t>
        </is>
      </c>
      <c r="O834" s="3" t="inlineStr">
        <is>
          <t>CCAA: ranking por c_f·sign(dY) del panel FE (M8); asociacion, sin lectura causal; el factor comun es un resumen de comovimiento (pendiente ~1 mecanica, J23)</t>
        </is>
      </c>
      <c r="P834" s="3" t="inlineStr">
        <is>
          <t>output/v8/F5/regional_ranking.csv</t>
        </is>
      </c>
    </row>
    <row r="835">
      <c r="A835" s="3" t="inlineStr">
        <is>
          <t>compra</t>
        </is>
      </c>
      <c r="B835" s="3" t="inlineStr">
        <is>
          <t>ccaa:09</t>
        </is>
      </c>
      <c r="C835" s="3" t="inlineStr">
        <is>
          <t>P1</t>
        </is>
      </c>
      <c r="D835" s="3" t="inlineStr">
        <is>
          <t>residuo</t>
        </is>
      </c>
      <c r="E835" s="3" t="inlineStr">
        <is>
          <t>regional_ccaa_ols</t>
        </is>
      </c>
      <c r="F835" s="3" t="inlineStr">
        <is>
          <t>ols_solo_factor</t>
        </is>
      </c>
      <c r="G835" s="3" t="n">
        <v>11.1063</v>
      </c>
      <c r="H835" s="3" t="n">
        <v>13.5101</v>
      </c>
      <c r="I835" s="3" t="n"/>
      <c r="J835" s="3" t="n"/>
      <c r="K835" s="3" t="n">
        <v>82.2073</v>
      </c>
      <c r="L835" s="3" t="n"/>
      <c r="M835" s="3" t="inlineStr">
        <is>
          <t>no</t>
        </is>
      </c>
      <c r="N835" s="3" t="inlineStr">
        <is>
          <t>no designado (contraste C4: no hay svar_hd regional)</t>
        </is>
      </c>
      <c r="O835" s="3" t="inlineStr">
        <is>
          <t>CCAA: ranking por c_f·sign(dY) del panel FE (M8); asociacion, sin lectura causal; el factor comun es un resumen de comovimiento (pendiente ~1 mecanica, J23)</t>
        </is>
      </c>
      <c r="P835" s="3" t="inlineStr">
        <is>
          <t>output/v8/F5/regional_ranking.csv</t>
        </is>
      </c>
    </row>
    <row r="836">
      <c r="A836" s="3" t="inlineStr">
        <is>
          <t>compra</t>
        </is>
      </c>
      <c r="B836" s="3" t="inlineStr">
        <is>
          <t>ccaa:09</t>
        </is>
      </c>
      <c r="C836" s="3" t="inlineStr">
        <is>
          <t>P1</t>
        </is>
      </c>
      <c r="D836" s="3" t="inlineStr">
        <is>
          <t>factor_comun</t>
        </is>
      </c>
      <c r="E836" s="3" t="inlineStr">
        <is>
          <t>regional_panel</t>
        </is>
      </c>
      <c r="F836" s="3" t="inlineStr">
        <is>
          <t>panel_covariables</t>
        </is>
      </c>
      <c r="G836" s="3" t="n">
        <v>74.3853</v>
      </c>
      <c r="H836" s="3" t="n">
        <v>90.4849</v>
      </c>
      <c r="I836" s="3" t="n">
        <v>63.2347</v>
      </c>
      <c r="J836" s="3" t="n">
        <v>88.0656</v>
      </c>
      <c r="K836" s="3" t="n">
        <v>82.2073</v>
      </c>
      <c r="L836" s="3" t="n"/>
      <c r="M836" s="3" t="inlineStr">
        <is>
          <t>no</t>
        </is>
      </c>
      <c r="N836" s="3" t="inlineStr">
        <is>
          <t>no designado (contraste C4: no hay svar_hd regional)</t>
        </is>
      </c>
      <c r="O836" s="3" t="inlineStr">
        <is>
          <t>CCAA: ranking por c_f·sign(dY) del panel FE (M8); asociacion, sin lectura causal; el factor comun es un resumen de comovimiento (pendiente ~1 mecanica, J23)</t>
        </is>
      </c>
      <c r="P836" s="3" t="inlineStr">
        <is>
          <t>output/v8/F5/regional_ranking.csv</t>
        </is>
      </c>
    </row>
    <row r="837">
      <c r="A837" s="3" t="inlineStr">
        <is>
          <t>compra</t>
        </is>
      </c>
      <c r="B837" s="3" t="inlineStr">
        <is>
          <t>ccaa:09</t>
        </is>
      </c>
      <c r="C837" s="3" t="inlineStr">
        <is>
          <t>P1</t>
        </is>
      </c>
      <c r="D837" s="3" t="inlineStr">
        <is>
          <t>residuo</t>
        </is>
      </c>
      <c r="E837" s="3" t="inlineStr">
        <is>
          <t>regional_panel</t>
        </is>
      </c>
      <c r="F837" s="3" t="inlineStr">
        <is>
          <t>panel_covariables</t>
        </is>
      </c>
      <c r="G837" s="3" t="n">
        <v>7.82209</v>
      </c>
      <c r="H837" s="3" t="n">
        <v>9.51507</v>
      </c>
      <c r="I837" s="3" t="n">
        <v>3.47372</v>
      </c>
      <c r="J837" s="3" t="n">
        <v>12.5148</v>
      </c>
      <c r="K837" s="3" t="n">
        <v>82.2073</v>
      </c>
      <c r="L837" s="3" t="n"/>
      <c r="M837" s="3" t="inlineStr">
        <is>
          <t>no</t>
        </is>
      </c>
      <c r="N837" s="3" t="inlineStr">
        <is>
          <t>no designado (contraste C4: no hay svar_hd regional)</t>
        </is>
      </c>
      <c r="O837" s="3" t="inlineStr">
        <is>
          <t>CCAA: ranking por c_f·sign(dY) del panel FE (M8); asociacion, sin lectura causal; el factor comun es un resumen de comovimiento (pendiente ~1 mecanica, J23)</t>
        </is>
      </c>
      <c r="P837" s="3" t="inlineStr">
        <is>
          <t>output/v8/F5/regional_ranking.csv</t>
        </is>
      </c>
    </row>
    <row r="838">
      <c r="A838" s="3" t="inlineStr">
        <is>
          <t>compra</t>
        </is>
      </c>
      <c r="B838" s="3" t="inlineStr">
        <is>
          <t>ccaa:09</t>
        </is>
      </c>
      <c r="C838" s="3" t="inlineStr">
        <is>
          <t>P2</t>
        </is>
      </c>
      <c r="D838" s="3" t="inlineStr">
        <is>
          <t>factor_comun</t>
        </is>
      </c>
      <c r="E838" s="3" t="inlineStr">
        <is>
          <t>regional_ccaa_ols</t>
        </is>
      </c>
      <c r="F838" s="3" t="inlineStr">
        <is>
          <t>ols_solo_factor</t>
        </is>
      </c>
      <c r="G838" s="3" t="n">
        <v>-59.8862</v>
      </c>
      <c r="H838" s="3" t="n">
        <v>127.607</v>
      </c>
      <c r="I838" s="3" t="n">
        <v>-66.8488</v>
      </c>
      <c r="J838" s="3" t="n">
        <v>-50.1486</v>
      </c>
      <c r="K838" s="3" t="n">
        <v>-45.6892</v>
      </c>
      <c r="L838" s="3" t="n"/>
      <c r="M838" s="3" t="inlineStr">
        <is>
          <t>no</t>
        </is>
      </c>
      <c r="N838" s="3" t="inlineStr">
        <is>
          <t>no designado (contraste C4: no hay svar_hd regional)</t>
        </is>
      </c>
      <c r="O838" s="3" t="inlineStr">
        <is>
          <t>CCAA: ranking por c_f·sign(dY) del panel FE (M8); asociacion, sin lectura causal; el factor comun es un resumen de comovimiento (pendiente ~1 mecanica, J23)</t>
        </is>
      </c>
      <c r="P838" s="3" t="inlineStr">
        <is>
          <t>output/v8/F5/regional_ranking.csv</t>
        </is>
      </c>
    </row>
    <row r="839">
      <c r="A839" s="3" t="inlineStr">
        <is>
          <t>compra</t>
        </is>
      </c>
      <c r="B839" s="3" t="inlineStr">
        <is>
          <t>ccaa:09</t>
        </is>
      </c>
      <c r="C839" s="3" t="inlineStr">
        <is>
          <t>P2</t>
        </is>
      </c>
      <c r="D839" s="3" t="inlineStr">
        <is>
          <t>residuo</t>
        </is>
      </c>
      <c r="E839" s="3" t="inlineStr">
        <is>
          <t>regional_ccaa_ols</t>
        </is>
      </c>
      <c r="F839" s="3" t="inlineStr">
        <is>
          <t>ols_solo_factor</t>
        </is>
      </c>
      <c r="G839" s="3" t="n">
        <v>12.956</v>
      </c>
      <c r="H839" s="3" t="n">
        <v>-27.6069</v>
      </c>
      <c r="I839" s="3" t="n"/>
      <c r="J839" s="3" t="n"/>
      <c r="K839" s="3" t="n">
        <v>-45.6892</v>
      </c>
      <c r="L839" s="3" t="n"/>
      <c r="M839" s="3" t="inlineStr">
        <is>
          <t>no</t>
        </is>
      </c>
      <c r="N839" s="3" t="inlineStr">
        <is>
          <t>no designado (contraste C4: no hay svar_hd regional)</t>
        </is>
      </c>
      <c r="O839" s="3" t="inlineStr">
        <is>
          <t>CCAA: ranking por c_f·sign(dY) del panel FE (M8); asociacion, sin lectura causal; el factor comun es un resumen de comovimiento (pendiente ~1 mecanica, J23)</t>
        </is>
      </c>
      <c r="P839" s="3" t="inlineStr">
        <is>
          <t>output/v8/F5/regional_ranking.csv</t>
        </is>
      </c>
    </row>
    <row r="840">
      <c r="A840" s="3" t="inlineStr">
        <is>
          <t>compra</t>
        </is>
      </c>
      <c r="B840" s="3" t="inlineStr">
        <is>
          <t>ccaa:09</t>
        </is>
      </c>
      <c r="C840" s="3" t="inlineStr">
        <is>
          <t>P2</t>
        </is>
      </c>
      <c r="D840" s="3" t="inlineStr">
        <is>
          <t>factor_comun</t>
        </is>
      </c>
      <c r="E840" s="3" t="inlineStr">
        <is>
          <t>regional_panel</t>
        </is>
      </c>
      <c r="F840" s="3" t="inlineStr">
        <is>
          <t>panel_covariables</t>
        </is>
      </c>
      <c r="G840" s="3" t="n">
        <v>-35.0812</v>
      </c>
      <c r="H840" s="3" t="n">
        <v>76.7822</v>
      </c>
      <c r="I840" s="3" t="n">
        <v>-41.5124</v>
      </c>
      <c r="J840" s="3" t="n">
        <v>-30.6884</v>
      </c>
      <c r="K840" s="3" t="n">
        <v>-45.6892</v>
      </c>
      <c r="L840" s="3" t="n"/>
      <c r="M840" s="3" t="inlineStr">
        <is>
          <t>no</t>
        </is>
      </c>
      <c r="N840" s="3" t="inlineStr">
        <is>
          <t>no designado (contraste C4: no hay svar_hd regional)</t>
        </is>
      </c>
      <c r="O840" s="3" t="inlineStr">
        <is>
          <t>CCAA: ranking por c_f·sign(dY) del panel FE (M8); asociacion, sin lectura causal; el factor comun es un resumen de comovimiento (pendiente ~1 mecanica, J23)</t>
        </is>
      </c>
      <c r="P840" s="3" t="inlineStr">
        <is>
          <t>output/v8/F5/regional_ranking.csv</t>
        </is>
      </c>
    </row>
    <row r="841">
      <c r="A841" s="3" t="inlineStr">
        <is>
          <t>compra</t>
        </is>
      </c>
      <c r="B841" s="3" t="inlineStr">
        <is>
          <t>ccaa:09</t>
        </is>
      </c>
      <c r="C841" s="3" t="inlineStr">
        <is>
          <t>P2</t>
        </is>
      </c>
      <c r="D841" s="3" t="inlineStr">
        <is>
          <t>empleo_renta</t>
        </is>
      </c>
      <c r="E841" s="3" t="inlineStr">
        <is>
          <t>regional_panel</t>
        </is>
      </c>
      <c r="F841" s="3" t="inlineStr">
        <is>
          <t>panel_covariables</t>
        </is>
      </c>
      <c r="G841" s="3" t="n">
        <v>-1.2411</v>
      </c>
      <c r="H841" s="3" t="n">
        <v>2.7164</v>
      </c>
      <c r="I841" s="3" t="n">
        <v>-2.43917</v>
      </c>
      <c r="J841" s="3" t="n">
        <v>-0.120663</v>
      </c>
      <c r="K841" s="3" t="n">
        <v>-45.6892</v>
      </c>
      <c r="L841" s="3" t="n">
        <v>1</v>
      </c>
      <c r="M841" s="3" t="inlineStr">
        <is>
          <t>si</t>
        </is>
      </c>
      <c r="N841" s="3" t="inlineStr">
        <is>
          <t>no designado (contraste C4: no hay svar_hd regional)</t>
        </is>
      </c>
      <c r="O841" s="3" t="inlineStr">
        <is>
          <t>CCAA: ranking por c_f·sign(dY) del panel FE (M8); asociacion, sin lectura causal; el factor comun es un resumen de comovimiento (pendiente ~1 mecanica, J23)</t>
        </is>
      </c>
      <c r="P841" s="3" t="inlineStr">
        <is>
          <t>output/v8/F5/regional_ranking.csv</t>
        </is>
      </c>
    </row>
    <row r="842">
      <c r="A842" s="3" t="inlineStr">
        <is>
          <t>compra</t>
        </is>
      </c>
      <c r="B842" s="3" t="inlineStr">
        <is>
          <t>ccaa:09</t>
        </is>
      </c>
      <c r="C842" s="3" t="inlineStr">
        <is>
          <t>P2</t>
        </is>
      </c>
      <c r="D842" s="3" t="inlineStr">
        <is>
          <t>demografia</t>
        </is>
      </c>
      <c r="E842" s="3" t="inlineStr">
        <is>
          <t>regional_panel</t>
        </is>
      </c>
      <c r="F842" s="3" t="inlineStr">
        <is>
          <t>panel_covariables</t>
        </is>
      </c>
      <c r="G842" s="3" t="n">
        <v>1.70081</v>
      </c>
      <c r="H842" s="3" t="n">
        <v>-3.72257</v>
      </c>
      <c r="I842" s="3" t="n">
        <v>-0.738605</v>
      </c>
      <c r="J842" s="3" t="n">
        <v>7.17992</v>
      </c>
      <c r="K842" s="3" t="n">
        <v>-45.6892</v>
      </c>
      <c r="L842" s="3" t="n">
        <v>4</v>
      </c>
      <c r="M842" s="3" t="inlineStr">
        <is>
          <t>si</t>
        </is>
      </c>
      <c r="N842" s="3" t="inlineStr">
        <is>
          <t>no designado (contraste C4: no hay svar_hd regional)</t>
        </is>
      </c>
      <c r="O842" s="3" t="inlineStr">
        <is>
          <t>CCAA: ranking por c_f·sign(dY) del panel FE (M8); asociacion, sin lectura causal; el factor comun es un resumen de comovimiento (pendiente ~1 mecanica, J23)</t>
        </is>
      </c>
      <c r="P842" s="3" t="inlineStr">
        <is>
          <t>output/v8/F5/regional_ranking.csv</t>
        </is>
      </c>
    </row>
    <row r="843">
      <c r="A843" s="3" t="inlineStr">
        <is>
          <t>compra</t>
        </is>
      </c>
      <c r="B843" s="3" t="inlineStr">
        <is>
          <t>ccaa:09</t>
        </is>
      </c>
      <c r="C843" s="3" t="inlineStr">
        <is>
          <t>P2</t>
        </is>
      </c>
      <c r="D843" s="3" t="inlineStr">
        <is>
          <t>oferta</t>
        </is>
      </c>
      <c r="E843" s="3" t="inlineStr">
        <is>
          <t>regional_panel</t>
        </is>
      </c>
      <c r="F843" s="3" t="inlineStr">
        <is>
          <t>panel_covariables</t>
        </is>
      </c>
      <c r="G843" s="3" t="n">
        <v>-0.0656492</v>
      </c>
      <c r="H843" s="3" t="n">
        <v>0.143686</v>
      </c>
      <c r="I843" s="3" t="n">
        <v>-0.491293</v>
      </c>
      <c r="J843" s="3" t="n">
        <v>0.434242</v>
      </c>
      <c r="K843" s="3" t="n">
        <v>-45.6892</v>
      </c>
      <c r="L843" s="3" t="n">
        <v>3</v>
      </c>
      <c r="M843" s="3" t="inlineStr">
        <is>
          <t>si</t>
        </is>
      </c>
      <c r="N843" s="3" t="inlineStr">
        <is>
          <t>no designado (contraste C4: no hay svar_hd regional)</t>
        </is>
      </c>
      <c r="O843" s="3" t="inlineStr">
        <is>
          <t>CCAA: ranking por c_f·sign(dY) del panel FE (M8); asociacion, sin lectura causal; el factor comun es un resumen de comovimiento (pendiente ~1 mecanica, J23)</t>
        </is>
      </c>
      <c r="P843" s="3" t="inlineStr">
        <is>
          <t>output/v8/F5/regional_ranking.csv</t>
        </is>
      </c>
    </row>
    <row r="844">
      <c r="A844" s="3" t="inlineStr">
        <is>
          <t>compra</t>
        </is>
      </c>
      <c r="B844" s="3" t="inlineStr">
        <is>
          <t>ccaa:09</t>
        </is>
      </c>
      <c r="C844" s="3" t="inlineStr">
        <is>
          <t>P2</t>
        </is>
      </c>
      <c r="D844" s="3" t="inlineStr">
        <is>
          <t>demanda_externa</t>
        </is>
      </c>
      <c r="E844" s="3" t="inlineStr">
        <is>
          <t>regional_panel</t>
        </is>
      </c>
      <c r="F844" s="3" t="inlineStr">
        <is>
          <t>panel_covariables</t>
        </is>
      </c>
      <c r="G844" s="3" t="n">
        <v>-0.561595</v>
      </c>
      <c r="H844" s="3" t="n">
        <v>1.22916</v>
      </c>
      <c r="I844" s="3" t="n">
        <v>-0.961738</v>
      </c>
      <c r="J844" s="3" t="n">
        <v>-0.174459</v>
      </c>
      <c r="K844" s="3" t="n">
        <v>-45.6892</v>
      </c>
      <c r="L844" s="3" t="n">
        <v>2</v>
      </c>
      <c r="M844" s="3" t="inlineStr">
        <is>
          <t>si</t>
        </is>
      </c>
      <c r="N844" s="3" t="inlineStr">
        <is>
          <t>no designado (contraste C4: no hay svar_hd regional)</t>
        </is>
      </c>
      <c r="O844" s="3" t="inlineStr">
        <is>
          <t>CCAA: ranking por c_f·sign(dY) del panel FE (M8); asociacion, sin lectura causal; el factor comun es un resumen de comovimiento (pendiente ~1 mecanica, J23)</t>
        </is>
      </c>
      <c r="P844" s="3" t="inlineStr">
        <is>
          <t>output/v8/F5/regional_ranking.csv</t>
        </is>
      </c>
    </row>
    <row r="845">
      <c r="A845" s="3" t="inlineStr">
        <is>
          <t>compra</t>
        </is>
      </c>
      <c r="B845" s="3" t="inlineStr">
        <is>
          <t>ccaa:09</t>
        </is>
      </c>
      <c r="C845" s="3" t="inlineStr">
        <is>
          <t>P2</t>
        </is>
      </c>
      <c r="D845" s="3" t="inlineStr">
        <is>
          <t>residuo</t>
        </is>
      </c>
      <c r="E845" s="3" t="inlineStr">
        <is>
          <t>regional_panel</t>
        </is>
      </c>
      <c r="F845" s="3" t="inlineStr">
        <is>
          <t>panel_covariables</t>
        </is>
      </c>
      <c r="G845" s="3" t="n">
        <v>-10.4405</v>
      </c>
      <c r="H845" s="3" t="n">
        <v>22.8511</v>
      </c>
      <c r="I845" s="3" t="n">
        <v>-15.999</v>
      </c>
      <c r="J845" s="3" t="n">
        <v>-6.31436</v>
      </c>
      <c r="K845" s="3" t="n">
        <v>-45.6892</v>
      </c>
      <c r="L845" s="3" t="n"/>
      <c r="M845" s="3" t="inlineStr">
        <is>
          <t>no</t>
        </is>
      </c>
      <c r="N845" s="3" t="inlineStr">
        <is>
          <t>no designado (contraste C4: no hay svar_hd regional)</t>
        </is>
      </c>
      <c r="O845" s="3" t="inlineStr">
        <is>
          <t>CCAA: ranking por c_f·sign(dY) del panel FE (M8); asociacion, sin lectura causal; el factor comun es un resumen de comovimiento (pendiente ~1 mecanica, J23)</t>
        </is>
      </c>
      <c r="P845" s="3" t="inlineStr">
        <is>
          <t>output/v8/F5/regional_ranking.csv</t>
        </is>
      </c>
    </row>
    <row r="846">
      <c r="A846" s="3" t="inlineStr">
        <is>
          <t>compra</t>
        </is>
      </c>
      <c r="B846" s="3" t="inlineStr">
        <is>
          <t>ccaa:09</t>
        </is>
      </c>
      <c r="C846" s="3" t="inlineStr">
        <is>
          <t>P3</t>
        </is>
      </c>
      <c r="D846" s="3" t="inlineStr">
        <is>
          <t>factor_comun</t>
        </is>
      </c>
      <c r="E846" s="3" t="inlineStr">
        <is>
          <t>regional_ccaa_ols</t>
        </is>
      </c>
      <c r="F846" s="3" t="inlineStr">
        <is>
          <t>ols_solo_factor</t>
        </is>
      </c>
      <c r="G846" s="3" t="n">
        <v>-0.5094</v>
      </c>
      <c r="H846" s="3" t="n">
        <v>-3.53632</v>
      </c>
      <c r="I846" s="3" t="n">
        <v>-3.86172</v>
      </c>
      <c r="J846" s="3" t="n">
        <v>1.88301</v>
      </c>
      <c r="K846" s="3" t="n">
        <v>11.4123</v>
      </c>
      <c r="L846" s="3" t="n"/>
      <c r="M846" s="3" t="inlineStr">
        <is>
          <t>no</t>
        </is>
      </c>
      <c r="N846" s="3" t="inlineStr">
        <is>
          <t>no designado (contraste C4: no hay svar_hd regional)</t>
        </is>
      </c>
      <c r="O846" s="3" t="inlineStr">
        <is>
          <t>CCAA: ranking por c_f·sign(dY) del panel FE (M8); asociacion, sin lectura causal; el factor comun es un resumen de comovimiento (pendiente ~1 mecanica, J23)</t>
        </is>
      </c>
      <c r="P846" s="3" t="inlineStr">
        <is>
          <t>output/v8/F5/regional_ranking.csv</t>
        </is>
      </c>
    </row>
    <row r="847">
      <c r="A847" s="3" t="inlineStr">
        <is>
          <t>compra</t>
        </is>
      </c>
      <c r="B847" s="3" t="inlineStr">
        <is>
          <t>ccaa:09</t>
        </is>
      </c>
      <c r="C847" s="3" t="inlineStr">
        <is>
          <t>P3</t>
        </is>
      </c>
      <c r="D847" s="3" t="inlineStr">
        <is>
          <t>residuo</t>
        </is>
      </c>
      <c r="E847" s="3" t="inlineStr">
        <is>
          <t>regional_ccaa_ols</t>
        </is>
      </c>
      <c r="F847" s="3" t="inlineStr">
        <is>
          <t>ols_solo_factor</t>
        </is>
      </c>
      <c r="G847" s="3" t="n">
        <v>14.9142</v>
      </c>
      <c r="H847" s="3" t="n">
        <v>103.536</v>
      </c>
      <c r="I847" s="3" t="n"/>
      <c r="J847" s="3" t="n"/>
      <c r="K847" s="3" t="n">
        <v>11.4123</v>
      </c>
      <c r="L847" s="3" t="n"/>
      <c r="M847" s="3" t="inlineStr">
        <is>
          <t>no</t>
        </is>
      </c>
      <c r="N847" s="3" t="inlineStr">
        <is>
          <t>no designado (contraste C4: no hay svar_hd regional)</t>
        </is>
      </c>
      <c r="O847" s="3" t="inlineStr">
        <is>
          <t>CCAA: ranking por c_f·sign(dY) del panel FE (M8); asociacion, sin lectura causal; el factor comun es un resumen de comovimiento (pendiente ~1 mecanica, J23)</t>
        </is>
      </c>
      <c r="P847" s="3" t="inlineStr">
        <is>
          <t>output/v8/F5/regional_ranking.csv</t>
        </is>
      </c>
    </row>
    <row r="848">
      <c r="A848" s="3" t="inlineStr">
        <is>
          <t>compra</t>
        </is>
      </c>
      <c r="B848" s="3" t="inlineStr">
        <is>
          <t>ccaa:09</t>
        </is>
      </c>
      <c r="C848" s="3" t="inlineStr">
        <is>
          <t>P3</t>
        </is>
      </c>
      <c r="D848" s="3" t="inlineStr">
        <is>
          <t>factor_comun</t>
        </is>
      </c>
      <c r="E848" s="3" t="inlineStr">
        <is>
          <t>regional_panel</t>
        </is>
      </c>
      <c r="F848" s="3" t="inlineStr">
        <is>
          <t>panel_covariables</t>
        </is>
      </c>
      <c r="G848" s="3" t="n">
        <v>-0.548472</v>
      </c>
      <c r="H848" s="3" t="n">
        <v>-4.80597</v>
      </c>
      <c r="I848" s="3" t="n">
        <v>-3.50001</v>
      </c>
      <c r="J848" s="3" t="n">
        <v>2.45383</v>
      </c>
      <c r="K848" s="3" t="n">
        <v>11.4123</v>
      </c>
      <c r="L848" s="3" t="n"/>
      <c r="M848" s="3" t="inlineStr">
        <is>
          <t>no</t>
        </is>
      </c>
      <c r="N848" s="3" t="inlineStr">
        <is>
          <t>no designado (contraste C4: no hay svar_hd regional)</t>
        </is>
      </c>
      <c r="O848" s="3" t="inlineStr">
        <is>
          <t>CCAA: ranking por c_f·sign(dY) del panel FE (M8); asociacion, sin lectura causal; el factor comun es un resumen de comovimiento (pendiente ~1 mecanica, J23)</t>
        </is>
      </c>
      <c r="P848" s="3" t="inlineStr">
        <is>
          <t>output/v8/F5/regional_ranking.csv</t>
        </is>
      </c>
    </row>
    <row r="849">
      <c r="A849" s="3" t="inlineStr">
        <is>
          <t>compra</t>
        </is>
      </c>
      <c r="B849" s="3" t="inlineStr">
        <is>
          <t>ccaa:09</t>
        </is>
      </c>
      <c r="C849" s="3" t="inlineStr">
        <is>
          <t>P3</t>
        </is>
      </c>
      <c r="D849" s="3" t="inlineStr">
        <is>
          <t>empleo_renta</t>
        </is>
      </c>
      <c r="E849" s="3" t="inlineStr">
        <is>
          <t>regional_panel</t>
        </is>
      </c>
      <c r="F849" s="3" t="inlineStr">
        <is>
          <t>panel_covariables</t>
        </is>
      </c>
      <c r="G849" s="3" t="n">
        <v>0.586863</v>
      </c>
      <c r="H849" s="3" t="n">
        <v>5.14237</v>
      </c>
      <c r="I849" s="3" t="n">
        <v>-0.0809901</v>
      </c>
      <c r="J849" s="3" t="n">
        <v>1.3533</v>
      </c>
      <c r="K849" s="3" t="n">
        <v>11.4123</v>
      </c>
      <c r="L849" s="3" t="n">
        <v>3</v>
      </c>
      <c r="M849" s="3" t="inlineStr">
        <is>
          <t>si</t>
        </is>
      </c>
      <c r="N849" s="3" t="inlineStr">
        <is>
          <t>no designado (contraste C4: no hay svar_hd regional)</t>
        </is>
      </c>
      <c r="O849" s="3" t="inlineStr">
        <is>
          <t>CCAA: ranking por c_f·sign(dY) del panel FE (M8); asociacion, sin lectura causal; el factor comun es un resumen de comovimiento (pendiente ~1 mecanica, J23)</t>
        </is>
      </c>
      <c r="P849" s="3" t="inlineStr">
        <is>
          <t>output/v8/F5/regional_ranking.csv</t>
        </is>
      </c>
    </row>
    <row r="850">
      <c r="A850" s="3" t="inlineStr">
        <is>
          <t>compra</t>
        </is>
      </c>
      <c r="B850" s="3" t="inlineStr">
        <is>
          <t>ccaa:09</t>
        </is>
      </c>
      <c r="C850" s="3" t="inlineStr">
        <is>
          <t>P3</t>
        </is>
      </c>
      <c r="D850" s="3" t="inlineStr">
        <is>
          <t>demografia</t>
        </is>
      </c>
      <c r="E850" s="3" t="inlineStr">
        <is>
          <t>regional_panel</t>
        </is>
      </c>
      <c r="F850" s="3" t="inlineStr">
        <is>
          <t>panel_covariables</t>
        </is>
      </c>
      <c r="G850" s="3" t="n">
        <v>2.12685</v>
      </c>
      <c r="H850" s="3" t="n">
        <v>18.6365</v>
      </c>
      <c r="I850" s="3" t="n">
        <v>1.05998</v>
      </c>
      <c r="J850" s="3" t="n">
        <v>4.59567</v>
      </c>
      <c r="K850" s="3" t="n">
        <v>11.4123</v>
      </c>
      <c r="L850" s="3" t="n">
        <v>1</v>
      </c>
      <c r="M850" s="3" t="inlineStr">
        <is>
          <t>si</t>
        </is>
      </c>
      <c r="N850" s="3" t="inlineStr">
        <is>
          <t>no designado (contraste C4: no hay svar_hd regional)</t>
        </is>
      </c>
      <c r="O850" s="3" t="inlineStr">
        <is>
          <t>CCAA: ranking por c_f·sign(dY) del panel FE (M8); asociacion, sin lectura causal; el factor comun es un resumen de comovimiento (pendiente ~1 mecanica, J23)</t>
        </is>
      </c>
      <c r="P850" s="3" t="inlineStr">
        <is>
          <t>output/v8/F5/regional_ranking.csv</t>
        </is>
      </c>
    </row>
    <row r="851">
      <c r="A851" s="3" t="inlineStr">
        <is>
          <t>compra</t>
        </is>
      </c>
      <c r="B851" s="3" t="inlineStr">
        <is>
          <t>ccaa:09</t>
        </is>
      </c>
      <c r="C851" s="3" t="inlineStr">
        <is>
          <t>P3</t>
        </is>
      </c>
      <c r="D851" s="3" t="inlineStr">
        <is>
          <t>oferta</t>
        </is>
      </c>
      <c r="E851" s="3" t="inlineStr">
        <is>
          <t>regional_panel</t>
        </is>
      </c>
      <c r="F851" s="3" t="inlineStr">
        <is>
          <t>panel_covariables</t>
        </is>
      </c>
      <c r="G851" s="3" t="n">
        <v>-0.596011</v>
      </c>
      <c r="H851" s="3" t="n">
        <v>-5.22253</v>
      </c>
      <c r="I851" s="3" t="n">
        <v>-1.14692</v>
      </c>
      <c r="J851" s="3" t="n">
        <v>-0.128316</v>
      </c>
      <c r="K851" s="3" t="n">
        <v>11.4123</v>
      </c>
      <c r="L851" s="3" t="n">
        <v>4</v>
      </c>
      <c r="M851" s="3" t="inlineStr">
        <is>
          <t>si</t>
        </is>
      </c>
      <c r="N851" s="3" t="inlineStr">
        <is>
          <t>no designado (contraste C4: no hay svar_hd regional)</t>
        </is>
      </c>
      <c r="O851" s="3" t="inlineStr">
        <is>
          <t>CCAA: ranking por c_f·sign(dY) del panel FE (M8); asociacion, sin lectura causal; el factor comun es un resumen de comovimiento (pendiente ~1 mecanica, J23)</t>
        </is>
      </c>
      <c r="P851" s="3" t="inlineStr">
        <is>
          <t>output/v8/F5/regional_ranking.csv</t>
        </is>
      </c>
    </row>
    <row r="852">
      <c r="A852" s="3" t="inlineStr">
        <is>
          <t>compra</t>
        </is>
      </c>
      <c r="B852" s="3" t="inlineStr">
        <is>
          <t>ccaa:09</t>
        </is>
      </c>
      <c r="C852" s="3" t="inlineStr">
        <is>
          <t>P3</t>
        </is>
      </c>
      <c r="D852" s="3" t="inlineStr">
        <is>
          <t>demanda_externa</t>
        </is>
      </c>
      <c r="E852" s="3" t="inlineStr">
        <is>
          <t>regional_panel</t>
        </is>
      </c>
      <c r="F852" s="3" t="inlineStr">
        <is>
          <t>panel_covariables</t>
        </is>
      </c>
      <c r="G852" s="3" t="n">
        <v>0.74342</v>
      </c>
      <c r="H852" s="3" t="n">
        <v>6.51419</v>
      </c>
      <c r="I852" s="3" t="n">
        <v>0.299213</v>
      </c>
      <c r="J852" s="3" t="n">
        <v>1.07546</v>
      </c>
      <c r="K852" s="3" t="n">
        <v>11.4123</v>
      </c>
      <c r="L852" s="3" t="n">
        <v>2</v>
      </c>
      <c r="M852" s="3" t="inlineStr">
        <is>
          <t>si</t>
        </is>
      </c>
      <c r="N852" s="3" t="inlineStr">
        <is>
          <t>no designado (contraste C4: no hay svar_hd regional)</t>
        </is>
      </c>
      <c r="O852" s="3" t="inlineStr">
        <is>
          <t>CCAA: ranking por c_f·sign(dY) del panel FE (M8); asociacion, sin lectura causal; el factor comun es un resumen de comovimiento (pendiente ~1 mecanica, J23)</t>
        </is>
      </c>
      <c r="P852" s="3" t="inlineStr">
        <is>
          <t>output/v8/F5/regional_ranking.csv</t>
        </is>
      </c>
    </row>
    <row r="853">
      <c r="A853" s="3" t="inlineStr">
        <is>
          <t>compra</t>
        </is>
      </c>
      <c r="B853" s="3" t="inlineStr">
        <is>
          <t>ccaa:09</t>
        </is>
      </c>
      <c r="C853" s="3" t="inlineStr">
        <is>
          <t>P3</t>
        </is>
      </c>
      <c r="D853" s="3" t="inlineStr">
        <is>
          <t>residuo</t>
        </is>
      </c>
      <c r="E853" s="3" t="inlineStr">
        <is>
          <t>regional_panel</t>
        </is>
      </c>
      <c r="F853" s="3" t="inlineStr">
        <is>
          <t>panel_covariables</t>
        </is>
      </c>
      <c r="G853" s="3" t="n">
        <v>9.09965</v>
      </c>
      <c r="H853" s="3" t="n">
        <v>79.7354</v>
      </c>
      <c r="I853" s="3" t="n">
        <v>6.32569</v>
      </c>
      <c r="J853" s="3" t="n">
        <v>11.2739</v>
      </c>
      <c r="K853" s="3" t="n">
        <v>11.4123</v>
      </c>
      <c r="L853" s="3" t="n"/>
      <c r="M853" s="3" t="inlineStr">
        <is>
          <t>no</t>
        </is>
      </c>
      <c r="N853" s="3" t="inlineStr">
        <is>
          <t>no designado (contraste C4: no hay svar_hd regional)</t>
        </is>
      </c>
      <c r="O853" s="3" t="inlineStr">
        <is>
          <t>CCAA: ranking por c_f·sign(dY) del panel FE (M8); asociacion, sin lectura causal; el factor comun es un resumen de comovimiento (pendiente ~1 mecanica, J23)</t>
        </is>
      </c>
      <c r="P853" s="3" t="inlineStr">
        <is>
          <t>output/v8/F5/regional_ranking.csv</t>
        </is>
      </c>
    </row>
    <row r="854">
      <c r="A854" s="3" t="inlineStr">
        <is>
          <t>compra</t>
        </is>
      </c>
      <c r="B854" s="3" t="inlineStr">
        <is>
          <t>ccaa:09</t>
        </is>
      </c>
      <c r="C854" s="3" t="inlineStr">
        <is>
          <t>P4</t>
        </is>
      </c>
      <c r="D854" s="3" t="inlineStr">
        <is>
          <t>factor_comun</t>
        </is>
      </c>
      <c r="E854" s="3" t="inlineStr">
        <is>
          <t>regional_ccaa_ols</t>
        </is>
      </c>
      <c r="F854" s="3" t="inlineStr">
        <is>
          <t>ols_solo_factor</t>
        </is>
      </c>
      <c r="G854" s="3" t="n">
        <v>-2.27327</v>
      </c>
      <c r="H854" s="3" t="n">
        <v>75.1673</v>
      </c>
      <c r="I854" s="3" t="n">
        <v>-3.42139</v>
      </c>
      <c r="J854" s="3" t="n">
        <v>-0.37078</v>
      </c>
      <c r="K854" s="3" t="n">
        <v>-3.02428</v>
      </c>
      <c r="L854" s="3" t="n"/>
      <c r="M854" s="3" t="inlineStr">
        <is>
          <t>no</t>
        </is>
      </c>
      <c r="N854" s="3" t="inlineStr">
        <is>
          <t>no designado (contraste C4: no hay svar_hd regional)</t>
        </is>
      </c>
      <c r="O854" s="3" t="inlineStr">
        <is>
          <t>CCAA: ranking por c_f·sign(dY) del panel FE (M8); asociacion, sin lectura causal; el factor comun es un resumen de comovimiento (pendiente ~1 mecanica, J23)</t>
        </is>
      </c>
      <c r="P854" s="3" t="inlineStr">
        <is>
          <t>output/v8/F5/regional_ranking.csv</t>
        </is>
      </c>
    </row>
    <row r="855">
      <c r="A855" s="3" t="inlineStr">
        <is>
          <t>compra</t>
        </is>
      </c>
      <c r="B855" s="3" t="inlineStr">
        <is>
          <t>ccaa:09</t>
        </is>
      </c>
      <c r="C855" s="3" t="inlineStr">
        <is>
          <t>P4</t>
        </is>
      </c>
      <c r="D855" s="3" t="inlineStr">
        <is>
          <t>residuo</t>
        </is>
      </c>
      <c r="E855" s="3" t="inlineStr">
        <is>
          <t>regional_ccaa_ols</t>
        </is>
      </c>
      <c r="F855" s="3" t="inlineStr">
        <is>
          <t>ols_solo_factor</t>
        </is>
      </c>
      <c r="G855" s="3" t="n">
        <v>-0.751009</v>
      </c>
      <c r="H855" s="3" t="n">
        <v>24.8327</v>
      </c>
      <c r="I855" s="3" t="n"/>
      <c r="J855" s="3" t="n"/>
      <c r="K855" s="3" t="n">
        <v>-3.02428</v>
      </c>
      <c r="L855" s="3" t="n"/>
      <c r="M855" s="3" t="inlineStr">
        <is>
          <t>no</t>
        </is>
      </c>
      <c r="N855" s="3" t="inlineStr">
        <is>
          <t>no designado (contraste C4: no hay svar_hd regional)</t>
        </is>
      </c>
      <c r="O855" s="3" t="inlineStr">
        <is>
          <t>CCAA: ranking por c_f·sign(dY) del panel FE (M8); asociacion, sin lectura causal; el factor comun es un resumen de comovimiento (pendiente ~1 mecanica, J23)</t>
        </is>
      </c>
      <c r="P855" s="3" t="inlineStr">
        <is>
          <t>output/v8/F5/regional_ranking.csv</t>
        </is>
      </c>
    </row>
    <row r="856">
      <c r="A856" s="3" t="inlineStr">
        <is>
          <t>compra</t>
        </is>
      </c>
      <c r="B856" s="3" t="inlineStr">
        <is>
          <t>ccaa:09</t>
        </is>
      </c>
      <c r="C856" s="3" t="inlineStr">
        <is>
          <t>P4</t>
        </is>
      </c>
      <c r="D856" s="3" t="inlineStr">
        <is>
          <t>factor_comun</t>
        </is>
      </c>
      <c r="E856" s="3" t="inlineStr">
        <is>
          <t>regional_panel</t>
        </is>
      </c>
      <c r="F856" s="3" t="inlineStr">
        <is>
          <t>panel_covariables</t>
        </is>
      </c>
      <c r="G856" s="3" t="n">
        <v>-4.21608</v>
      </c>
      <c r="H856" s="3" t="n">
        <v>139.408</v>
      </c>
      <c r="I856" s="3" t="n">
        <v>-5.07352</v>
      </c>
      <c r="J856" s="3" t="n">
        <v>-2.674</v>
      </c>
      <c r="K856" s="3" t="n">
        <v>-3.02428</v>
      </c>
      <c r="L856" s="3" t="n"/>
      <c r="M856" s="3" t="inlineStr">
        <is>
          <t>no</t>
        </is>
      </c>
      <c r="N856" s="3" t="inlineStr">
        <is>
          <t>no designado (contraste C4: no hay svar_hd regional)</t>
        </is>
      </c>
      <c r="O856" s="3" t="inlineStr">
        <is>
          <t>CCAA: ranking por c_f·sign(dY) del panel FE (M8); asociacion, sin lectura causal; el factor comun es un resumen de comovimiento (pendiente ~1 mecanica, J23)</t>
        </is>
      </c>
      <c r="P856" s="3" t="inlineStr">
        <is>
          <t>output/v8/F5/regional_ranking.csv</t>
        </is>
      </c>
    </row>
    <row r="857">
      <c r="A857" s="3" t="inlineStr">
        <is>
          <t>compra</t>
        </is>
      </c>
      <c r="B857" s="3" t="inlineStr">
        <is>
          <t>ccaa:09</t>
        </is>
      </c>
      <c r="C857" s="3" t="inlineStr">
        <is>
          <t>P4</t>
        </is>
      </c>
      <c r="D857" s="3" t="inlineStr">
        <is>
          <t>empleo_renta</t>
        </is>
      </c>
      <c r="E857" s="3" t="inlineStr">
        <is>
          <t>regional_panel</t>
        </is>
      </c>
      <c r="F857" s="3" t="inlineStr">
        <is>
          <t>panel_covariables</t>
        </is>
      </c>
      <c r="G857" s="3" t="n">
        <v>-0.00280055</v>
      </c>
      <c r="H857" s="3" t="n">
        <v>0.0926022</v>
      </c>
      <c r="I857" s="3" t="n">
        <v>-0.6832589999999999</v>
      </c>
      <c r="J857" s="3" t="n">
        <v>0.680796</v>
      </c>
      <c r="K857" s="3" t="n">
        <v>-3.02428</v>
      </c>
      <c r="L857" s="3" t="n">
        <v>2</v>
      </c>
      <c r="M857" s="3" t="inlineStr">
        <is>
          <t>si</t>
        </is>
      </c>
      <c r="N857" s="3" t="inlineStr">
        <is>
          <t>no designado (contraste C4: no hay svar_hd regional)</t>
        </is>
      </c>
      <c r="O857" s="3" t="inlineStr">
        <is>
          <t>CCAA: ranking por c_f·sign(dY) del panel FE (M8); asociacion, sin lectura causal; el factor comun es un resumen de comovimiento (pendiente ~1 mecanica, J23)</t>
        </is>
      </c>
      <c r="P857" s="3" t="inlineStr">
        <is>
          <t>output/v8/F5/regional_ranking.csv</t>
        </is>
      </c>
    </row>
    <row r="858">
      <c r="A858" s="3" t="inlineStr">
        <is>
          <t>compra</t>
        </is>
      </c>
      <c r="B858" s="3" t="inlineStr">
        <is>
          <t>ccaa:09</t>
        </is>
      </c>
      <c r="C858" s="3" t="inlineStr">
        <is>
          <t>P4</t>
        </is>
      </c>
      <c r="D858" s="3" t="inlineStr">
        <is>
          <t>demografia</t>
        </is>
      </c>
      <c r="E858" s="3" t="inlineStr">
        <is>
          <t>regional_panel</t>
        </is>
      </c>
      <c r="F858" s="3" t="inlineStr">
        <is>
          <t>panel_covariables</t>
        </is>
      </c>
      <c r="G858" s="3" t="n">
        <v>0.688137</v>
      </c>
      <c r="H858" s="3" t="n">
        <v>-22.7538</v>
      </c>
      <c r="I858" s="3" t="n">
        <v>-0.0750203</v>
      </c>
      <c r="J858" s="3" t="n">
        <v>1.27772</v>
      </c>
      <c r="K858" s="3" t="n">
        <v>-3.02428</v>
      </c>
      <c r="L858" s="3" t="n">
        <v>4</v>
      </c>
      <c r="M858" s="3" t="inlineStr">
        <is>
          <t>si</t>
        </is>
      </c>
      <c r="N858" s="3" t="inlineStr">
        <is>
          <t>no designado (contraste C4: no hay svar_hd regional)</t>
        </is>
      </c>
      <c r="O858" s="3" t="inlineStr">
        <is>
          <t>CCAA: ranking por c_f·sign(dY) del panel FE (M8); asociacion, sin lectura causal; el factor comun es un resumen de comovimiento (pendiente ~1 mecanica, J23)</t>
        </is>
      </c>
      <c r="P858" s="3" t="inlineStr">
        <is>
          <t>output/v8/F5/regional_ranking.csv</t>
        </is>
      </c>
    </row>
    <row r="859">
      <c r="A859" s="3" t="inlineStr">
        <is>
          <t>compra</t>
        </is>
      </c>
      <c r="B859" s="3" t="inlineStr">
        <is>
          <t>ccaa:09</t>
        </is>
      </c>
      <c r="C859" s="3" t="inlineStr">
        <is>
          <t>P4</t>
        </is>
      </c>
      <c r="D859" s="3" t="inlineStr">
        <is>
          <t>oferta</t>
        </is>
      </c>
      <c r="E859" s="3" t="inlineStr">
        <is>
          <t>regional_panel</t>
        </is>
      </c>
      <c r="F859" s="3" t="inlineStr">
        <is>
          <t>panel_covariables</t>
        </is>
      </c>
      <c r="G859" s="3" t="n">
        <v>-0.0156651</v>
      </c>
      <c r="H859" s="3" t="n">
        <v>0.517978</v>
      </c>
      <c r="I859" s="3" t="n">
        <v>-0.0919909</v>
      </c>
      <c r="J859" s="3" t="n">
        <v>0.014348</v>
      </c>
      <c r="K859" s="3" t="n">
        <v>-3.02428</v>
      </c>
      <c r="L859" s="3" t="n">
        <v>1</v>
      </c>
      <c r="M859" s="3" t="inlineStr">
        <is>
          <t>si</t>
        </is>
      </c>
      <c r="N859" s="3" t="inlineStr">
        <is>
          <t>no designado (contraste C4: no hay svar_hd regional)</t>
        </is>
      </c>
      <c r="O859" s="3" t="inlineStr">
        <is>
          <t>CCAA: ranking por c_f·sign(dY) del panel FE (M8); asociacion, sin lectura causal; el factor comun es un resumen de comovimiento (pendiente ~1 mecanica, J23)</t>
        </is>
      </c>
      <c r="P859" s="3" t="inlineStr">
        <is>
          <t>output/v8/F5/regional_ranking.csv</t>
        </is>
      </c>
    </row>
    <row r="860">
      <c r="A860" s="3" t="inlineStr">
        <is>
          <t>compra</t>
        </is>
      </c>
      <c r="B860" s="3" t="inlineStr">
        <is>
          <t>ccaa:09</t>
        </is>
      </c>
      <c r="C860" s="3" t="inlineStr">
        <is>
          <t>P4</t>
        </is>
      </c>
      <c r="D860" s="3" t="inlineStr">
        <is>
          <t>demanda_externa</t>
        </is>
      </c>
      <c r="E860" s="3" t="inlineStr">
        <is>
          <t>regional_panel</t>
        </is>
      </c>
      <c r="F860" s="3" t="inlineStr">
        <is>
          <t>panel_covariables</t>
        </is>
      </c>
      <c r="G860" s="3" t="n">
        <v>0.115262</v>
      </c>
      <c r="H860" s="3" t="n">
        <v>-3.81122</v>
      </c>
      <c r="I860" s="3" t="n">
        <v>-0.09698759999999999</v>
      </c>
      <c r="J860" s="3" t="n">
        <v>0.203317</v>
      </c>
      <c r="K860" s="3" t="n">
        <v>-3.02428</v>
      </c>
      <c r="L860" s="3" t="n">
        <v>3</v>
      </c>
      <c r="M860" s="3" t="inlineStr">
        <is>
          <t>si</t>
        </is>
      </c>
      <c r="N860" s="3" t="inlineStr">
        <is>
          <t>no designado (contraste C4: no hay svar_hd regional)</t>
        </is>
      </c>
      <c r="O860" s="3" t="inlineStr">
        <is>
          <t>CCAA: ranking por c_f·sign(dY) del panel FE (M8); asociacion, sin lectura causal; el factor comun es un resumen de comovimiento (pendiente ~1 mecanica, J23)</t>
        </is>
      </c>
      <c r="P860" s="3" t="inlineStr">
        <is>
          <t>output/v8/F5/regional_ranking.csv</t>
        </is>
      </c>
    </row>
    <row r="861">
      <c r="A861" s="3" t="inlineStr">
        <is>
          <t>compra</t>
        </is>
      </c>
      <c r="B861" s="3" t="inlineStr">
        <is>
          <t>ccaa:09</t>
        </is>
      </c>
      <c r="C861" s="3" t="inlineStr">
        <is>
          <t>P4</t>
        </is>
      </c>
      <c r="D861" s="3" t="inlineStr">
        <is>
          <t>residuo</t>
        </is>
      </c>
      <c r="E861" s="3" t="inlineStr">
        <is>
          <t>regional_panel</t>
        </is>
      </c>
      <c r="F861" s="3" t="inlineStr">
        <is>
          <t>panel_covariables</t>
        </is>
      </c>
      <c r="G861" s="3" t="n">
        <v>0.406875</v>
      </c>
      <c r="H861" s="3" t="n">
        <v>-13.4536</v>
      </c>
      <c r="I861" s="3" t="n">
        <v>-0.592875</v>
      </c>
      <c r="J861" s="3" t="n">
        <v>1.60998</v>
      </c>
      <c r="K861" s="3" t="n">
        <v>-3.02428</v>
      </c>
      <c r="L861" s="3" t="n"/>
      <c r="M861" s="3" t="inlineStr">
        <is>
          <t>no</t>
        </is>
      </c>
      <c r="N861" s="3" t="inlineStr">
        <is>
          <t>no designado (contraste C4: no hay svar_hd regional)</t>
        </is>
      </c>
      <c r="O861" s="3" t="inlineStr">
        <is>
          <t>CCAA: ranking por c_f·sign(dY) del panel FE (M8); asociacion, sin lectura causal; el factor comun es un resumen de comovimiento (pendiente ~1 mecanica, J23)</t>
        </is>
      </c>
      <c r="P861" s="3" t="inlineStr">
        <is>
          <t>output/v8/F5/regional_ranking.csv</t>
        </is>
      </c>
    </row>
    <row r="862">
      <c r="A862" s="3" t="inlineStr">
        <is>
          <t>compra</t>
        </is>
      </c>
      <c r="B862" s="3" t="inlineStr">
        <is>
          <t>ccaa:09</t>
        </is>
      </c>
      <c r="C862" s="3" t="inlineStr">
        <is>
          <t>P5</t>
        </is>
      </c>
      <c r="D862" s="3" t="inlineStr">
        <is>
          <t>factor_comun</t>
        </is>
      </c>
      <c r="E862" s="3" t="inlineStr">
        <is>
          <t>regional_ccaa_ols</t>
        </is>
      </c>
      <c r="F862" s="3" t="inlineStr">
        <is>
          <t>ols_solo_factor</t>
        </is>
      </c>
      <c r="G862" s="3" t="n">
        <v>9.67343</v>
      </c>
      <c r="H862" s="3" t="n">
        <v>123.514</v>
      </c>
      <c r="I862" s="3" t="n">
        <v>4.0458</v>
      </c>
      <c r="J862" s="3" t="n">
        <v>16.1365</v>
      </c>
      <c r="K862" s="3" t="n">
        <v>0.162336</v>
      </c>
      <c r="L862" s="3" t="n"/>
      <c r="M862" s="3" t="inlineStr">
        <is>
          <t>no</t>
        </is>
      </c>
      <c r="N862" s="3" t="inlineStr">
        <is>
          <t>no designado (contraste C4: no hay svar_hd regional)</t>
        </is>
      </c>
      <c r="O862" s="3" t="inlineStr">
        <is>
          <t>CCAA: ranking por c_f·sign(dY) del panel FE (M8); asociacion, sin lectura causal; el factor comun es un resumen de comovimiento (pendiente ~1 mecanica, J23)</t>
        </is>
      </c>
      <c r="P862" s="3" t="inlineStr">
        <is>
          <t>output/v8/F5/regional_ranking.csv</t>
        </is>
      </c>
    </row>
    <row r="863">
      <c r="A863" s="3" t="inlineStr">
        <is>
          <t>compra</t>
        </is>
      </c>
      <c r="B863" s="3" t="inlineStr">
        <is>
          <t>ccaa:09</t>
        </is>
      </c>
      <c r="C863" s="3" t="inlineStr">
        <is>
          <t>P5</t>
        </is>
      </c>
      <c r="D863" s="3" t="inlineStr">
        <is>
          <t>residuo</t>
        </is>
      </c>
      <c r="E863" s="3" t="inlineStr">
        <is>
          <t>regional_ccaa_ols</t>
        </is>
      </c>
      <c r="F863" s="3" t="inlineStr">
        <is>
          <t>ols_solo_factor</t>
        </is>
      </c>
      <c r="G863" s="3" t="n">
        <v>-1.84159</v>
      </c>
      <c r="H863" s="3" t="n">
        <v>-23.5141</v>
      </c>
      <c r="I863" s="3" t="n"/>
      <c r="J863" s="3" t="n"/>
      <c r="K863" s="3" t="n">
        <v>0.162336</v>
      </c>
      <c r="L863" s="3" t="n"/>
      <c r="M863" s="3" t="inlineStr">
        <is>
          <t>no</t>
        </is>
      </c>
      <c r="N863" s="3" t="inlineStr">
        <is>
          <t>no designado (contraste C4: no hay svar_hd regional)</t>
        </is>
      </c>
      <c r="O863" s="3" t="inlineStr">
        <is>
          <t>CCAA: ranking por c_f·sign(dY) del panel FE (M8); asociacion, sin lectura causal; el factor comun es un resumen de comovimiento (pendiente ~1 mecanica, J23)</t>
        </is>
      </c>
      <c r="P863" s="3" t="inlineStr">
        <is>
          <t>output/v8/F5/regional_ranking.csv</t>
        </is>
      </c>
    </row>
    <row r="864">
      <c r="A864" s="3" t="inlineStr">
        <is>
          <t>compra</t>
        </is>
      </c>
      <c r="B864" s="3" t="inlineStr">
        <is>
          <t>ccaa:09</t>
        </is>
      </c>
      <c r="C864" s="3" t="inlineStr">
        <is>
          <t>P5</t>
        </is>
      </c>
      <c r="D864" s="3" t="inlineStr">
        <is>
          <t>factor_comun</t>
        </is>
      </c>
      <c r="E864" s="3" t="inlineStr">
        <is>
          <t>regional_panel</t>
        </is>
      </c>
      <c r="F864" s="3" t="inlineStr">
        <is>
          <t>panel_covariables</t>
        </is>
      </c>
      <c r="G864" s="3" t="n">
        <v>1.50215</v>
      </c>
      <c r="H864" s="3" t="n">
        <v>925.33</v>
      </c>
      <c r="I864" s="3" t="n">
        <v>-1.20824</v>
      </c>
      <c r="J864" s="3" t="n">
        <v>4.46537</v>
      </c>
      <c r="K864" s="3" t="n">
        <v>0.162336</v>
      </c>
      <c r="L864" s="3" t="n"/>
      <c r="M864" s="3" t="inlineStr">
        <is>
          <t>no</t>
        </is>
      </c>
      <c r="N864" s="3" t="inlineStr">
        <is>
          <t>no designado (contraste C4: no hay svar_hd regional)</t>
        </is>
      </c>
      <c r="O864" s="3" t="inlineStr">
        <is>
          <t>CCAA: ranking por c_f·sign(dY) del panel FE (M8); asociacion, sin lectura causal; el factor comun es un resumen de comovimiento (pendiente ~1 mecanica, J23)</t>
        </is>
      </c>
      <c r="P864" s="3" t="inlineStr">
        <is>
          <t>output/v8/F5/regional_ranking.csv</t>
        </is>
      </c>
    </row>
    <row r="865">
      <c r="A865" s="3" t="inlineStr">
        <is>
          <t>compra</t>
        </is>
      </c>
      <c r="B865" s="3" t="inlineStr">
        <is>
          <t>ccaa:09</t>
        </is>
      </c>
      <c r="C865" s="3" t="inlineStr">
        <is>
          <t>P5</t>
        </is>
      </c>
      <c r="D865" s="3" t="inlineStr">
        <is>
          <t>empleo_renta</t>
        </is>
      </c>
      <c r="E865" s="3" t="inlineStr">
        <is>
          <t>regional_panel</t>
        </is>
      </c>
      <c r="F865" s="3" t="inlineStr">
        <is>
          <t>panel_covariables</t>
        </is>
      </c>
      <c r="G865" s="3" t="n">
        <v>1.27949</v>
      </c>
      <c r="H865" s="3" t="n">
        <v>788.172</v>
      </c>
      <c r="I865" s="3" t="n">
        <v>0.883152</v>
      </c>
      <c r="J865" s="3" t="n">
        <v>1.79603</v>
      </c>
      <c r="K865" s="3" t="n">
        <v>0.162336</v>
      </c>
      <c r="L865" s="3" t="n">
        <v>1</v>
      </c>
      <c r="M865" s="3" t="inlineStr">
        <is>
          <t>si</t>
        </is>
      </c>
      <c r="N865" s="3" t="inlineStr">
        <is>
          <t>no designado (contraste C4: no hay svar_hd regional)</t>
        </is>
      </c>
      <c r="O865" s="3" t="inlineStr">
        <is>
          <t>CCAA: ranking por c_f·sign(dY) del panel FE (M8); asociacion, sin lectura causal; el factor comun es un resumen de comovimiento (pendiente ~1 mecanica, J23)</t>
        </is>
      </c>
      <c r="P865" s="3" t="inlineStr">
        <is>
          <t>output/v8/F5/regional_ranking.csv</t>
        </is>
      </c>
    </row>
    <row r="866">
      <c r="A866" s="3" t="inlineStr">
        <is>
          <t>compra</t>
        </is>
      </c>
      <c r="B866" s="3" t="inlineStr">
        <is>
          <t>ccaa:09</t>
        </is>
      </c>
      <c r="C866" s="3" t="inlineStr">
        <is>
          <t>P5</t>
        </is>
      </c>
      <c r="D866" s="3" t="inlineStr">
        <is>
          <t>demografia</t>
        </is>
      </c>
      <c r="E866" s="3" t="inlineStr">
        <is>
          <t>regional_panel</t>
        </is>
      </c>
      <c r="F866" s="3" t="inlineStr">
        <is>
          <t>panel_covariables</t>
        </is>
      </c>
      <c r="G866" s="3" t="n">
        <v>-0.782005</v>
      </c>
      <c r="H866" s="3" t="n">
        <v>-481.719</v>
      </c>
      <c r="I866" s="3" t="n">
        <v>-6.15634</v>
      </c>
      <c r="J866" s="3" t="n">
        <v>3.24459</v>
      </c>
      <c r="K866" s="3" t="n">
        <v>0.162336</v>
      </c>
      <c r="L866" s="3" t="n">
        <v>4</v>
      </c>
      <c r="M866" s="3" t="inlineStr">
        <is>
          <t>si</t>
        </is>
      </c>
      <c r="N866" s="3" t="inlineStr">
        <is>
          <t>no designado (contraste C4: no hay svar_hd regional)</t>
        </is>
      </c>
      <c r="O866" s="3" t="inlineStr">
        <is>
          <t>CCAA: ranking por c_f·sign(dY) del panel FE (M8); asociacion, sin lectura causal; el factor comun es un resumen de comovimiento (pendiente ~1 mecanica, J23)</t>
        </is>
      </c>
      <c r="P866" s="3" t="inlineStr">
        <is>
          <t>output/v8/F5/regional_ranking.csv</t>
        </is>
      </c>
    </row>
    <row r="867">
      <c r="A867" s="3" t="inlineStr">
        <is>
          <t>compra</t>
        </is>
      </c>
      <c r="B867" s="3" t="inlineStr">
        <is>
          <t>ccaa:09</t>
        </is>
      </c>
      <c r="C867" s="3" t="inlineStr">
        <is>
          <t>P5</t>
        </is>
      </c>
      <c r="D867" s="3" t="inlineStr">
        <is>
          <t>oferta</t>
        </is>
      </c>
      <c r="E867" s="3" t="inlineStr">
        <is>
          <t>regional_panel</t>
        </is>
      </c>
      <c r="F867" s="3" t="inlineStr">
        <is>
          <t>panel_covariables</t>
        </is>
      </c>
      <c r="G867" s="3" t="n">
        <v>0.000809075</v>
      </c>
      <c r="H867" s="3" t="n">
        <v>0.498394</v>
      </c>
      <c r="I867" s="3" t="n">
        <v>-0.047268</v>
      </c>
      <c r="J867" s="3" t="n">
        <v>0.07707840000000001</v>
      </c>
      <c r="K867" s="3" t="n">
        <v>0.162336</v>
      </c>
      <c r="L867" s="3" t="n">
        <v>2</v>
      </c>
      <c r="M867" s="3" t="inlineStr">
        <is>
          <t>si</t>
        </is>
      </c>
      <c r="N867" s="3" t="inlineStr">
        <is>
          <t>no designado (contraste C4: no hay svar_hd regional)</t>
        </is>
      </c>
      <c r="O867" s="3" t="inlineStr">
        <is>
          <t>CCAA: ranking por c_f·sign(dY) del panel FE (M8); asociacion, sin lectura causal; el factor comun es un resumen de comovimiento (pendiente ~1 mecanica, J23)</t>
        </is>
      </c>
      <c r="P867" s="3" t="inlineStr">
        <is>
          <t>output/v8/F5/regional_ranking.csv</t>
        </is>
      </c>
    </row>
    <row r="868">
      <c r="A868" s="3" t="inlineStr">
        <is>
          <t>compra</t>
        </is>
      </c>
      <c r="B868" s="3" t="inlineStr">
        <is>
          <t>ccaa:09</t>
        </is>
      </c>
      <c r="C868" s="3" t="inlineStr">
        <is>
          <t>P5</t>
        </is>
      </c>
      <c r="D868" s="3" t="inlineStr">
        <is>
          <t>demanda_externa</t>
        </is>
      </c>
      <c r="E868" s="3" t="inlineStr">
        <is>
          <t>regional_panel</t>
        </is>
      </c>
      <c r="F868" s="3" t="inlineStr">
        <is>
          <t>panel_covariables</t>
        </is>
      </c>
      <c r="G868" s="3" t="n">
        <v>-0.0169692</v>
      </c>
      <c r="H868" s="3" t="n">
        <v>-10.4531</v>
      </c>
      <c r="I868" s="3" t="n">
        <v>-0.258032</v>
      </c>
      <c r="J868" s="3" t="n">
        <v>0.135698</v>
      </c>
      <c r="K868" s="3" t="n">
        <v>0.162336</v>
      </c>
      <c r="L868" s="3" t="n">
        <v>3</v>
      </c>
      <c r="M868" s="3" t="inlineStr">
        <is>
          <t>si</t>
        </is>
      </c>
      <c r="N868" s="3" t="inlineStr">
        <is>
          <t>no designado (contraste C4: no hay svar_hd regional)</t>
        </is>
      </c>
      <c r="O868" s="3" t="inlineStr">
        <is>
          <t>CCAA: ranking por c_f·sign(dY) del panel FE (M8); asociacion, sin lectura causal; el factor comun es un resumen de comovimiento (pendiente ~1 mecanica, J23)</t>
        </is>
      </c>
      <c r="P868" s="3" t="inlineStr">
        <is>
          <t>output/v8/F5/regional_ranking.csv</t>
        </is>
      </c>
    </row>
    <row r="869">
      <c r="A869" s="3" t="inlineStr">
        <is>
          <t>compra</t>
        </is>
      </c>
      <c r="B869" s="3" t="inlineStr">
        <is>
          <t>ccaa:09</t>
        </is>
      </c>
      <c r="C869" s="3" t="inlineStr">
        <is>
          <t>P5</t>
        </is>
      </c>
      <c r="D869" s="3" t="inlineStr">
        <is>
          <t>residuo</t>
        </is>
      </c>
      <c r="E869" s="3" t="inlineStr">
        <is>
          <t>regional_panel</t>
        </is>
      </c>
      <c r="F869" s="3" t="inlineStr">
        <is>
          <t>panel_covariables</t>
        </is>
      </c>
      <c r="G869" s="3" t="n">
        <v>-1.82114</v>
      </c>
      <c r="H869" s="3" t="n">
        <v>-1121.83</v>
      </c>
      <c r="I869" s="3" t="n">
        <v>-5.49694</v>
      </c>
      <c r="J869" s="3" t="n">
        <v>3.19513</v>
      </c>
      <c r="K869" s="3" t="n">
        <v>0.162336</v>
      </c>
      <c r="L869" s="3" t="n"/>
      <c r="M869" s="3" t="inlineStr">
        <is>
          <t>no</t>
        </is>
      </c>
      <c r="N869" s="3" t="inlineStr">
        <is>
          <t>no designado (contraste C4: no hay svar_hd regional)</t>
        </is>
      </c>
      <c r="O869" s="3" t="inlineStr">
        <is>
          <t>CCAA: ranking por c_f·sign(dY) del panel FE (M8); asociacion, sin lectura causal; el factor comun es un resumen de comovimiento (pendiente ~1 mecanica, J23)</t>
        </is>
      </c>
      <c r="P869" s="3" t="inlineStr">
        <is>
          <t>output/v8/F5/regional_ranking.csv</t>
        </is>
      </c>
    </row>
    <row r="870">
      <c r="A870" s="3" t="inlineStr">
        <is>
          <t>compra</t>
        </is>
      </c>
      <c r="B870" s="3" t="inlineStr">
        <is>
          <t>ccaa:10</t>
        </is>
      </c>
      <c r="C870" s="3" t="inlineStr">
        <is>
          <t>P1</t>
        </is>
      </c>
      <c r="D870" s="3" t="inlineStr">
        <is>
          <t>factor_comun</t>
        </is>
      </c>
      <c r="E870" s="3" t="inlineStr">
        <is>
          <t>regional_ccaa_ols</t>
        </is>
      </c>
      <c r="F870" s="3" t="inlineStr">
        <is>
          <t>ols_solo_factor</t>
        </is>
      </c>
      <c r="G870" s="3" t="n">
        <v>75.4834</v>
      </c>
      <c r="H870" s="3" t="n">
        <v>85.98050000000001</v>
      </c>
      <c r="I870" s="3" t="n">
        <v>59.6942</v>
      </c>
      <c r="J870" s="3" t="n">
        <v>93.4487</v>
      </c>
      <c r="K870" s="3" t="n">
        <v>87.79130000000001</v>
      </c>
      <c r="L870" s="3" t="n"/>
      <c r="M870" s="3" t="inlineStr">
        <is>
          <t>no</t>
        </is>
      </c>
      <c r="N870" s="3" t="inlineStr">
        <is>
          <t>no designado (contraste C4: no hay svar_hd regional)</t>
        </is>
      </c>
      <c r="O870" s="3" t="inlineStr">
        <is>
          <t>CCAA: ranking por c_f·sign(dY) del panel FE (M8); asociacion, sin lectura causal; el factor comun es un resumen de comovimiento (pendiente ~1 mecanica, J23)</t>
        </is>
      </c>
      <c r="P870" s="3" t="inlineStr">
        <is>
          <t>output/v8/F5/regional_ranking.csv</t>
        </is>
      </c>
    </row>
    <row r="871">
      <c r="A871" s="3" t="inlineStr">
        <is>
          <t>compra</t>
        </is>
      </c>
      <c r="B871" s="3" t="inlineStr">
        <is>
          <t>ccaa:10</t>
        </is>
      </c>
      <c r="C871" s="3" t="inlineStr">
        <is>
          <t>P1</t>
        </is>
      </c>
      <c r="D871" s="3" t="inlineStr">
        <is>
          <t>residuo</t>
        </is>
      </c>
      <c r="E871" s="3" t="inlineStr">
        <is>
          <t>regional_ccaa_ols</t>
        </is>
      </c>
      <c r="F871" s="3" t="inlineStr">
        <is>
          <t>ols_solo_factor</t>
        </is>
      </c>
      <c r="G871" s="3" t="n">
        <v>12.3079</v>
      </c>
      <c r="H871" s="3" t="n">
        <v>14.0195</v>
      </c>
      <c r="I871" s="3" t="n"/>
      <c r="J871" s="3" t="n"/>
      <c r="K871" s="3" t="n">
        <v>87.79130000000001</v>
      </c>
      <c r="L871" s="3" t="n"/>
      <c r="M871" s="3" t="inlineStr">
        <is>
          <t>no</t>
        </is>
      </c>
      <c r="N871" s="3" t="inlineStr">
        <is>
          <t>no designado (contraste C4: no hay svar_hd regional)</t>
        </is>
      </c>
      <c r="O871" s="3" t="inlineStr">
        <is>
          <t>CCAA: ranking por c_f·sign(dY) del panel FE (M8); asociacion, sin lectura causal; el factor comun es un resumen de comovimiento (pendiente ~1 mecanica, J23)</t>
        </is>
      </c>
      <c r="P871" s="3" t="inlineStr">
        <is>
          <t>output/v8/F5/regional_ranking.csv</t>
        </is>
      </c>
    </row>
    <row r="872">
      <c r="A872" s="3" t="inlineStr">
        <is>
          <t>compra</t>
        </is>
      </c>
      <c r="B872" s="3" t="inlineStr">
        <is>
          <t>ccaa:10</t>
        </is>
      </c>
      <c r="C872" s="3" t="inlineStr">
        <is>
          <t>P1</t>
        </is>
      </c>
      <c r="D872" s="3" t="inlineStr">
        <is>
          <t>factor_comun</t>
        </is>
      </c>
      <c r="E872" s="3" t="inlineStr">
        <is>
          <t>regional_panel</t>
        </is>
      </c>
      <c r="F872" s="3" t="inlineStr">
        <is>
          <t>panel_covariables</t>
        </is>
      </c>
      <c r="G872" s="3" t="n">
        <v>74.3853</v>
      </c>
      <c r="H872" s="3" t="n">
        <v>84.7296</v>
      </c>
      <c r="I872" s="3" t="n">
        <v>63.2347</v>
      </c>
      <c r="J872" s="3" t="n">
        <v>88.0656</v>
      </c>
      <c r="K872" s="3" t="n">
        <v>87.79130000000001</v>
      </c>
      <c r="L872" s="3" t="n"/>
      <c r="M872" s="3" t="inlineStr">
        <is>
          <t>no</t>
        </is>
      </c>
      <c r="N872" s="3" t="inlineStr">
        <is>
          <t>no designado (contraste C4: no hay svar_hd regional)</t>
        </is>
      </c>
      <c r="O872" s="3" t="inlineStr">
        <is>
          <t>CCAA: ranking por c_f·sign(dY) del panel FE (M8); asociacion, sin lectura causal; el factor comun es un resumen de comovimiento (pendiente ~1 mecanica, J23)</t>
        </is>
      </c>
      <c r="P872" s="3" t="inlineStr">
        <is>
          <t>output/v8/F5/regional_ranking.csv</t>
        </is>
      </c>
    </row>
    <row r="873">
      <c r="A873" s="3" t="inlineStr">
        <is>
          <t>compra</t>
        </is>
      </c>
      <c r="B873" s="3" t="inlineStr">
        <is>
          <t>ccaa:10</t>
        </is>
      </c>
      <c r="C873" s="3" t="inlineStr">
        <is>
          <t>P1</t>
        </is>
      </c>
      <c r="D873" s="3" t="inlineStr">
        <is>
          <t>residuo</t>
        </is>
      </c>
      <c r="E873" s="3" t="inlineStr">
        <is>
          <t>regional_panel</t>
        </is>
      </c>
      <c r="F873" s="3" t="inlineStr">
        <is>
          <t>panel_covariables</t>
        </is>
      </c>
      <c r="G873" s="3" t="n">
        <v>13.4061</v>
      </c>
      <c r="H873" s="3" t="n">
        <v>15.2704</v>
      </c>
      <c r="I873" s="3" t="n">
        <v>8.426909999999999</v>
      </c>
      <c r="J873" s="3" t="n">
        <v>18.0653</v>
      </c>
      <c r="K873" s="3" t="n">
        <v>87.79130000000001</v>
      </c>
      <c r="L873" s="3" t="n"/>
      <c r="M873" s="3" t="inlineStr">
        <is>
          <t>no</t>
        </is>
      </c>
      <c r="N873" s="3" t="inlineStr">
        <is>
          <t>no designado (contraste C4: no hay svar_hd regional)</t>
        </is>
      </c>
      <c r="O873" s="3" t="inlineStr">
        <is>
          <t>CCAA: ranking por c_f·sign(dY) del panel FE (M8); asociacion, sin lectura causal; el factor comun es un resumen de comovimiento (pendiente ~1 mecanica, J23)</t>
        </is>
      </c>
      <c r="P873" s="3" t="inlineStr">
        <is>
          <t>output/v8/F5/regional_ranking.csv</t>
        </is>
      </c>
    </row>
    <row r="874">
      <c r="A874" s="3" t="inlineStr">
        <is>
          <t>compra</t>
        </is>
      </c>
      <c r="B874" s="3" t="inlineStr">
        <is>
          <t>ccaa:10</t>
        </is>
      </c>
      <c r="C874" s="3" t="inlineStr">
        <is>
          <t>P2</t>
        </is>
      </c>
      <c r="D874" s="3" t="inlineStr">
        <is>
          <t>factor_comun</t>
        </is>
      </c>
      <c r="E874" s="3" t="inlineStr">
        <is>
          <t>regional_ccaa_ols</t>
        </is>
      </c>
      <c r="F874" s="3" t="inlineStr">
        <is>
          <t>ols_solo_factor</t>
        </is>
      </c>
      <c r="G874" s="3" t="n">
        <v>-54.6502</v>
      </c>
      <c r="H874" s="3" t="n">
        <v>113.071</v>
      </c>
      <c r="I874" s="3" t="n">
        <v>-71.5941</v>
      </c>
      <c r="J874" s="3" t="n">
        <v>-33.9549</v>
      </c>
      <c r="K874" s="3" t="n">
        <v>-46.4317</v>
      </c>
      <c r="L874" s="3" t="n"/>
      <c r="M874" s="3" t="inlineStr">
        <is>
          <t>no</t>
        </is>
      </c>
      <c r="N874" s="3" t="inlineStr">
        <is>
          <t>no designado (contraste C4: no hay svar_hd regional)</t>
        </is>
      </c>
      <c r="O874" s="3" t="inlineStr">
        <is>
          <t>CCAA: ranking por c_f·sign(dY) del panel FE (M8); asociacion, sin lectura causal; el factor comun es un resumen de comovimiento (pendiente ~1 mecanica, J23)</t>
        </is>
      </c>
      <c r="P874" s="3" t="inlineStr">
        <is>
          <t>output/v8/F5/regional_ranking.csv</t>
        </is>
      </c>
    </row>
    <row r="875">
      <c r="A875" s="3" t="inlineStr">
        <is>
          <t>compra</t>
        </is>
      </c>
      <c r="B875" s="3" t="inlineStr">
        <is>
          <t>ccaa:10</t>
        </is>
      </c>
      <c r="C875" s="3" t="inlineStr">
        <is>
          <t>P2</t>
        </is>
      </c>
      <c r="D875" s="3" t="inlineStr">
        <is>
          <t>residuo</t>
        </is>
      </c>
      <c r="E875" s="3" t="inlineStr">
        <is>
          <t>regional_ccaa_ols</t>
        </is>
      </c>
      <c r="F875" s="3" t="inlineStr">
        <is>
          <t>ols_solo_factor</t>
        </is>
      </c>
      <c r="G875" s="3" t="n">
        <v>6.31744</v>
      </c>
      <c r="H875" s="3" t="n">
        <v>-13.0707</v>
      </c>
      <c r="I875" s="3" t="n"/>
      <c r="J875" s="3" t="n"/>
      <c r="K875" s="3" t="n">
        <v>-46.4317</v>
      </c>
      <c r="L875" s="3" t="n"/>
      <c r="M875" s="3" t="inlineStr">
        <is>
          <t>no</t>
        </is>
      </c>
      <c r="N875" s="3" t="inlineStr">
        <is>
          <t>no designado (contraste C4: no hay svar_hd regional)</t>
        </is>
      </c>
      <c r="O875" s="3" t="inlineStr">
        <is>
          <t>CCAA: ranking por c_f·sign(dY) del panel FE (M8); asociacion, sin lectura causal; el factor comun es un resumen de comovimiento (pendiente ~1 mecanica, J23)</t>
        </is>
      </c>
      <c r="P875" s="3" t="inlineStr">
        <is>
          <t>output/v8/F5/regional_ranking.csv</t>
        </is>
      </c>
    </row>
    <row r="876">
      <c r="A876" s="3" t="inlineStr">
        <is>
          <t>compra</t>
        </is>
      </c>
      <c r="B876" s="3" t="inlineStr">
        <is>
          <t>ccaa:10</t>
        </is>
      </c>
      <c r="C876" s="3" t="inlineStr">
        <is>
          <t>P2</t>
        </is>
      </c>
      <c r="D876" s="3" t="inlineStr">
        <is>
          <t>factor_comun</t>
        </is>
      </c>
      <c r="E876" s="3" t="inlineStr">
        <is>
          <t>regional_panel</t>
        </is>
      </c>
      <c r="F876" s="3" t="inlineStr">
        <is>
          <t>panel_covariables</t>
        </is>
      </c>
      <c r="G876" s="3" t="n">
        <v>-35.0812</v>
      </c>
      <c r="H876" s="3" t="n">
        <v>75.5544</v>
      </c>
      <c r="I876" s="3" t="n">
        <v>-41.5124</v>
      </c>
      <c r="J876" s="3" t="n">
        <v>-30.6884</v>
      </c>
      <c r="K876" s="3" t="n">
        <v>-46.4317</v>
      </c>
      <c r="L876" s="3" t="n"/>
      <c r="M876" s="3" t="inlineStr">
        <is>
          <t>no</t>
        </is>
      </c>
      <c r="N876" s="3" t="inlineStr">
        <is>
          <t>no designado (contraste C4: no hay svar_hd regional)</t>
        </is>
      </c>
      <c r="O876" s="3" t="inlineStr">
        <is>
          <t>CCAA: ranking por c_f·sign(dY) del panel FE (M8); asociacion, sin lectura causal; el factor comun es un resumen de comovimiento (pendiente ~1 mecanica, J23)</t>
        </is>
      </c>
      <c r="P876" s="3" t="inlineStr">
        <is>
          <t>output/v8/F5/regional_ranking.csv</t>
        </is>
      </c>
    </row>
    <row r="877">
      <c r="A877" s="3" t="inlineStr">
        <is>
          <t>compra</t>
        </is>
      </c>
      <c r="B877" s="3" t="inlineStr">
        <is>
          <t>ccaa:10</t>
        </is>
      </c>
      <c r="C877" s="3" t="inlineStr">
        <is>
          <t>P2</t>
        </is>
      </c>
      <c r="D877" s="3" t="inlineStr">
        <is>
          <t>empleo_renta</t>
        </is>
      </c>
      <c r="E877" s="3" t="inlineStr">
        <is>
          <t>regional_panel</t>
        </is>
      </c>
      <c r="F877" s="3" t="inlineStr">
        <is>
          <t>panel_covariables</t>
        </is>
      </c>
      <c r="G877" s="3" t="n">
        <v>-1.19872</v>
      </c>
      <c r="H877" s="3" t="n">
        <v>2.58168</v>
      </c>
      <c r="I877" s="3" t="n">
        <v>-2.65026</v>
      </c>
      <c r="J877" s="3" t="n">
        <v>0.281112</v>
      </c>
      <c r="K877" s="3" t="n">
        <v>-46.4317</v>
      </c>
      <c r="L877" s="3" t="n">
        <v>1</v>
      </c>
      <c r="M877" s="3" t="inlineStr">
        <is>
          <t>si</t>
        </is>
      </c>
      <c r="N877" s="3" t="inlineStr">
        <is>
          <t>no designado (contraste C4: no hay svar_hd regional)</t>
        </is>
      </c>
      <c r="O877" s="3" t="inlineStr">
        <is>
          <t>CCAA: ranking por c_f·sign(dY) del panel FE (M8); asociacion, sin lectura causal; el factor comun es un resumen de comovimiento (pendiente ~1 mecanica, J23)</t>
        </is>
      </c>
      <c r="P877" s="3" t="inlineStr">
        <is>
          <t>output/v8/F5/regional_ranking.csv</t>
        </is>
      </c>
    </row>
    <row r="878">
      <c r="A878" s="3" t="inlineStr">
        <is>
          <t>compra</t>
        </is>
      </c>
      <c r="B878" s="3" t="inlineStr">
        <is>
          <t>ccaa:10</t>
        </is>
      </c>
      <c r="C878" s="3" t="inlineStr">
        <is>
          <t>P2</t>
        </is>
      </c>
      <c r="D878" s="3" t="inlineStr">
        <is>
          <t>demografia</t>
        </is>
      </c>
      <c r="E878" s="3" t="inlineStr">
        <is>
          <t>regional_panel</t>
        </is>
      </c>
      <c r="F878" s="3" t="inlineStr">
        <is>
          <t>panel_covariables</t>
        </is>
      </c>
      <c r="G878" s="3" t="n">
        <v>0.787569</v>
      </c>
      <c r="H878" s="3" t="n">
        <v>-1.69619</v>
      </c>
      <c r="I878" s="3" t="n">
        <v>-1.23382</v>
      </c>
      <c r="J878" s="3" t="n">
        <v>5.87747</v>
      </c>
      <c r="K878" s="3" t="n">
        <v>-46.4317</v>
      </c>
      <c r="L878" s="3" t="n">
        <v>4</v>
      </c>
      <c r="M878" s="3" t="inlineStr">
        <is>
          <t>si</t>
        </is>
      </c>
      <c r="N878" s="3" t="inlineStr">
        <is>
          <t>no designado (contraste C4: no hay svar_hd regional)</t>
        </is>
      </c>
      <c r="O878" s="3" t="inlineStr">
        <is>
          <t>CCAA: ranking por c_f·sign(dY) del panel FE (M8); asociacion, sin lectura causal; el factor comun es un resumen de comovimiento (pendiente ~1 mecanica, J23)</t>
        </is>
      </c>
      <c r="P878" s="3" t="inlineStr">
        <is>
          <t>output/v8/F5/regional_ranking.csv</t>
        </is>
      </c>
    </row>
    <row r="879">
      <c r="A879" s="3" t="inlineStr">
        <is>
          <t>compra</t>
        </is>
      </c>
      <c r="B879" s="3" t="inlineStr">
        <is>
          <t>ccaa:10</t>
        </is>
      </c>
      <c r="C879" s="3" t="inlineStr">
        <is>
          <t>P2</t>
        </is>
      </c>
      <c r="D879" s="3" t="inlineStr">
        <is>
          <t>oferta</t>
        </is>
      </c>
      <c r="E879" s="3" t="inlineStr">
        <is>
          <t>regional_panel</t>
        </is>
      </c>
      <c r="F879" s="3" t="inlineStr">
        <is>
          <t>panel_covariables</t>
        </is>
      </c>
      <c r="G879" s="3" t="n">
        <v>-0.0558472</v>
      </c>
      <c r="H879" s="3" t="n">
        <v>0.120278</v>
      </c>
      <c r="I879" s="3" t="n">
        <v>-0.503912</v>
      </c>
      <c r="J879" s="3" t="n">
        <v>0.213013</v>
      </c>
      <c r="K879" s="3" t="n">
        <v>-46.4317</v>
      </c>
      <c r="L879" s="3" t="n">
        <v>3</v>
      </c>
      <c r="M879" s="3" t="inlineStr">
        <is>
          <t>si</t>
        </is>
      </c>
      <c r="N879" s="3" t="inlineStr">
        <is>
          <t>no designado (contraste C4: no hay svar_hd regional)</t>
        </is>
      </c>
      <c r="O879" s="3" t="inlineStr">
        <is>
          <t>CCAA: ranking por c_f·sign(dY) del panel FE (M8); asociacion, sin lectura causal; el factor comun es un resumen de comovimiento (pendiente ~1 mecanica, J23)</t>
        </is>
      </c>
      <c r="P879" s="3" t="inlineStr">
        <is>
          <t>output/v8/F5/regional_ranking.csv</t>
        </is>
      </c>
    </row>
    <row r="880">
      <c r="A880" s="3" t="inlineStr">
        <is>
          <t>compra</t>
        </is>
      </c>
      <c r="B880" s="3" t="inlineStr">
        <is>
          <t>ccaa:10</t>
        </is>
      </c>
      <c r="C880" s="3" t="inlineStr">
        <is>
          <t>P2</t>
        </is>
      </c>
      <c r="D880" s="3" t="inlineStr">
        <is>
          <t>demanda_externa</t>
        </is>
      </c>
      <c r="E880" s="3" t="inlineStr">
        <is>
          <t>regional_panel</t>
        </is>
      </c>
      <c r="F880" s="3" t="inlineStr">
        <is>
          <t>panel_covariables</t>
        </is>
      </c>
      <c r="G880" s="3" t="n">
        <v>-0.531877</v>
      </c>
      <c r="H880" s="3" t="n">
        <v>1.14551</v>
      </c>
      <c r="I880" s="3" t="n">
        <v>-0.926268</v>
      </c>
      <c r="J880" s="3" t="n">
        <v>-0.197097</v>
      </c>
      <c r="K880" s="3" t="n">
        <v>-46.4317</v>
      </c>
      <c r="L880" s="3" t="n">
        <v>2</v>
      </c>
      <c r="M880" s="3" t="inlineStr">
        <is>
          <t>si</t>
        </is>
      </c>
      <c r="N880" s="3" t="inlineStr">
        <is>
          <t>no designado (contraste C4: no hay svar_hd regional)</t>
        </is>
      </c>
      <c r="O880" s="3" t="inlineStr">
        <is>
          <t>CCAA: ranking por c_f·sign(dY) del panel FE (M8); asociacion, sin lectura causal; el factor comun es un resumen de comovimiento (pendiente ~1 mecanica, J23)</t>
        </is>
      </c>
      <c r="P880" s="3" t="inlineStr">
        <is>
          <t>output/v8/F5/regional_ranking.csv</t>
        </is>
      </c>
    </row>
    <row r="881">
      <c r="A881" s="3" t="inlineStr">
        <is>
          <t>compra</t>
        </is>
      </c>
      <c r="B881" s="3" t="inlineStr">
        <is>
          <t>ccaa:10</t>
        </is>
      </c>
      <c r="C881" s="3" t="inlineStr">
        <is>
          <t>P2</t>
        </is>
      </c>
      <c r="D881" s="3" t="inlineStr">
        <is>
          <t>residuo</t>
        </is>
      </c>
      <c r="E881" s="3" t="inlineStr">
        <is>
          <t>regional_panel</t>
        </is>
      </c>
      <c r="F881" s="3" t="inlineStr">
        <is>
          <t>panel_covariables</t>
        </is>
      </c>
      <c r="G881" s="3" t="n">
        <v>-10.3516</v>
      </c>
      <c r="H881" s="3" t="n">
        <v>22.2943</v>
      </c>
      <c r="I881" s="3" t="n">
        <v>-19.0693</v>
      </c>
      <c r="J881" s="3" t="n">
        <v>-3.55227</v>
      </c>
      <c r="K881" s="3" t="n">
        <v>-46.4317</v>
      </c>
      <c r="L881" s="3" t="n"/>
      <c r="M881" s="3" t="inlineStr">
        <is>
          <t>no</t>
        </is>
      </c>
      <c r="N881" s="3" t="inlineStr">
        <is>
          <t>no designado (contraste C4: no hay svar_hd regional)</t>
        </is>
      </c>
      <c r="O881" s="3" t="inlineStr">
        <is>
          <t>CCAA: ranking por c_f·sign(dY) del panel FE (M8); asociacion, sin lectura causal; el factor comun es un resumen de comovimiento (pendiente ~1 mecanica, J23)</t>
        </is>
      </c>
      <c r="P881" s="3" t="inlineStr">
        <is>
          <t>output/v8/F5/regional_ranking.csv</t>
        </is>
      </c>
    </row>
    <row r="882">
      <c r="A882" s="3" t="inlineStr">
        <is>
          <t>compra</t>
        </is>
      </c>
      <c r="B882" s="3" t="inlineStr">
        <is>
          <t>ccaa:10</t>
        </is>
      </c>
      <c r="C882" s="3" t="inlineStr">
        <is>
          <t>P3</t>
        </is>
      </c>
      <c r="D882" s="3" t="inlineStr">
        <is>
          <t>factor_comun</t>
        </is>
      </c>
      <c r="E882" s="3" t="inlineStr">
        <is>
          <t>regional_ccaa_ols</t>
        </is>
      </c>
      <c r="F882" s="3" t="inlineStr">
        <is>
          <t>ols_solo_factor</t>
        </is>
      </c>
      <c r="G882" s="3" t="n">
        <v>-0.467452</v>
      </c>
      <c r="H882" s="3" t="n">
        <v>-13.1382</v>
      </c>
      <c r="I882" s="3" t="n">
        <v>-3.98666</v>
      </c>
      <c r="J882" s="3" t="n">
        <v>2.82569</v>
      </c>
      <c r="K882" s="3" t="n">
        <v>3.37593</v>
      </c>
      <c r="L882" s="3" t="n"/>
      <c r="M882" s="3" t="inlineStr">
        <is>
          <t>no</t>
        </is>
      </c>
      <c r="N882" s="3" t="inlineStr">
        <is>
          <t>no designado (contraste C4: no hay svar_hd regional)</t>
        </is>
      </c>
      <c r="O882" s="3" t="inlineStr">
        <is>
          <t>CCAA: ranking por c_f·sign(dY) del panel FE (M8); asociacion, sin lectura causal; el factor comun es un resumen de comovimiento (pendiente ~1 mecanica, J23)</t>
        </is>
      </c>
      <c r="P882" s="3" t="inlineStr">
        <is>
          <t>output/v8/F5/regional_ranking.csv</t>
        </is>
      </c>
    </row>
    <row r="883">
      <c r="A883" s="3" t="inlineStr">
        <is>
          <t>compra</t>
        </is>
      </c>
      <c r="B883" s="3" t="inlineStr">
        <is>
          <t>ccaa:10</t>
        </is>
      </c>
      <c r="C883" s="3" t="inlineStr">
        <is>
          <t>P3</t>
        </is>
      </c>
      <c r="D883" s="3" t="inlineStr">
        <is>
          <t>residuo</t>
        </is>
      </c>
      <c r="E883" s="3" t="inlineStr">
        <is>
          <t>regional_ccaa_ols</t>
        </is>
      </c>
      <c r="F883" s="3" t="inlineStr">
        <is>
          <t>ols_solo_factor</t>
        </is>
      </c>
      <c r="G883" s="3" t="n">
        <v>4.0254</v>
      </c>
      <c r="H883" s="3" t="n">
        <v>113.138</v>
      </c>
      <c r="I883" s="3" t="n"/>
      <c r="J883" s="3" t="n"/>
      <c r="K883" s="3" t="n">
        <v>3.37593</v>
      </c>
      <c r="L883" s="3" t="n"/>
      <c r="M883" s="3" t="inlineStr">
        <is>
          <t>no</t>
        </is>
      </c>
      <c r="N883" s="3" t="inlineStr">
        <is>
          <t>no designado (contraste C4: no hay svar_hd regional)</t>
        </is>
      </c>
      <c r="O883" s="3" t="inlineStr">
        <is>
          <t>CCAA: ranking por c_f·sign(dY) del panel FE (M8); asociacion, sin lectura causal; el factor comun es un resumen de comovimiento (pendiente ~1 mecanica, J23)</t>
        </is>
      </c>
      <c r="P883" s="3" t="inlineStr">
        <is>
          <t>output/v8/F5/regional_ranking.csv</t>
        </is>
      </c>
    </row>
    <row r="884">
      <c r="A884" s="3" t="inlineStr">
        <is>
          <t>compra</t>
        </is>
      </c>
      <c r="B884" s="3" t="inlineStr">
        <is>
          <t>ccaa:10</t>
        </is>
      </c>
      <c r="C884" s="3" t="inlineStr">
        <is>
          <t>P3</t>
        </is>
      </c>
      <c r="D884" s="3" t="inlineStr">
        <is>
          <t>factor_comun</t>
        </is>
      </c>
      <c r="E884" s="3" t="inlineStr">
        <is>
          <t>regional_panel</t>
        </is>
      </c>
      <c r="F884" s="3" t="inlineStr">
        <is>
          <t>panel_covariables</t>
        </is>
      </c>
      <c r="G884" s="3" t="n">
        <v>-0.548472</v>
      </c>
      <c r="H884" s="3" t="n">
        <v>-16.2465</v>
      </c>
      <c r="I884" s="3" t="n">
        <v>-3.50001</v>
      </c>
      <c r="J884" s="3" t="n">
        <v>2.45383</v>
      </c>
      <c r="K884" s="3" t="n">
        <v>3.37593</v>
      </c>
      <c r="L884" s="3" t="n"/>
      <c r="M884" s="3" t="inlineStr">
        <is>
          <t>no</t>
        </is>
      </c>
      <c r="N884" s="3" t="inlineStr">
        <is>
          <t>no designado (contraste C4: no hay svar_hd regional)</t>
        </is>
      </c>
      <c r="O884" s="3" t="inlineStr">
        <is>
          <t>CCAA: ranking por c_f·sign(dY) del panel FE (M8); asociacion, sin lectura causal; el factor comun es un resumen de comovimiento (pendiente ~1 mecanica, J23)</t>
        </is>
      </c>
      <c r="P884" s="3" t="inlineStr">
        <is>
          <t>output/v8/F5/regional_ranking.csv</t>
        </is>
      </c>
    </row>
    <row r="885">
      <c r="A885" s="3" t="inlineStr">
        <is>
          <t>compra</t>
        </is>
      </c>
      <c r="B885" s="3" t="inlineStr">
        <is>
          <t>ccaa:10</t>
        </is>
      </c>
      <c r="C885" s="3" t="inlineStr">
        <is>
          <t>P3</t>
        </is>
      </c>
      <c r="D885" s="3" t="inlineStr">
        <is>
          <t>empleo_renta</t>
        </is>
      </c>
      <c r="E885" s="3" t="inlineStr">
        <is>
          <t>regional_panel</t>
        </is>
      </c>
      <c r="F885" s="3" t="inlineStr">
        <is>
          <t>panel_covariables</t>
        </is>
      </c>
      <c r="G885" s="3" t="n">
        <v>0.683518</v>
      </c>
      <c r="H885" s="3" t="n">
        <v>20.2468</v>
      </c>
      <c r="I885" s="3" t="n">
        <v>-0.090725</v>
      </c>
      <c r="J885" s="3" t="n">
        <v>1.51198</v>
      </c>
      <c r="K885" s="3" t="n">
        <v>3.37593</v>
      </c>
      <c r="L885" s="3" t="n">
        <v>1</v>
      </c>
      <c r="M885" s="3" t="inlineStr">
        <is>
          <t>si</t>
        </is>
      </c>
      <c r="N885" s="3" t="inlineStr">
        <is>
          <t>no designado (contraste C4: no hay svar_hd regional)</t>
        </is>
      </c>
      <c r="O885" s="3" t="inlineStr">
        <is>
          <t>CCAA: ranking por c_f·sign(dY) del panel FE (M8); asociacion, sin lectura causal; el factor comun es un resumen de comovimiento (pendiente ~1 mecanica, J23)</t>
        </is>
      </c>
      <c r="P885" s="3" t="inlineStr">
        <is>
          <t>output/v8/F5/regional_ranking.csv</t>
        </is>
      </c>
    </row>
    <row r="886">
      <c r="A886" s="3" t="inlineStr">
        <is>
          <t>compra</t>
        </is>
      </c>
      <c r="B886" s="3" t="inlineStr">
        <is>
          <t>ccaa:10</t>
        </is>
      </c>
      <c r="C886" s="3" t="inlineStr">
        <is>
          <t>P3</t>
        </is>
      </c>
      <c r="D886" s="3" t="inlineStr">
        <is>
          <t>demografia</t>
        </is>
      </c>
      <c r="E886" s="3" t="inlineStr">
        <is>
          <t>regional_panel</t>
        </is>
      </c>
      <c r="F886" s="3" t="inlineStr">
        <is>
          <t>panel_covariables</t>
        </is>
      </c>
      <c r="G886" s="3" t="n">
        <v>0.636966</v>
      </c>
      <c r="H886" s="3" t="n">
        <v>18.8678</v>
      </c>
      <c r="I886" s="3" t="n">
        <v>0.012464</v>
      </c>
      <c r="J886" s="3" t="n">
        <v>1.83351</v>
      </c>
      <c r="K886" s="3" t="n">
        <v>3.37593</v>
      </c>
      <c r="L886" s="3" t="n">
        <v>3</v>
      </c>
      <c r="M886" s="3" t="inlineStr">
        <is>
          <t>si</t>
        </is>
      </c>
      <c r="N886" s="3" t="inlineStr">
        <is>
          <t>no designado (contraste C4: no hay svar_hd regional)</t>
        </is>
      </c>
      <c r="O886" s="3" t="inlineStr">
        <is>
          <t>CCAA: ranking por c_f·sign(dY) del panel FE (M8); asociacion, sin lectura causal; el factor comun es un resumen de comovimiento (pendiente ~1 mecanica, J23)</t>
        </is>
      </c>
      <c r="P886" s="3" t="inlineStr">
        <is>
          <t>output/v8/F5/regional_ranking.csv</t>
        </is>
      </c>
    </row>
    <row r="887">
      <c r="A887" s="3" t="inlineStr">
        <is>
          <t>compra</t>
        </is>
      </c>
      <c r="B887" s="3" t="inlineStr">
        <is>
          <t>ccaa:10</t>
        </is>
      </c>
      <c r="C887" s="3" t="inlineStr">
        <is>
          <t>P3</t>
        </is>
      </c>
      <c r="D887" s="3" t="inlineStr">
        <is>
          <t>oferta</t>
        </is>
      </c>
      <c r="E887" s="3" t="inlineStr">
        <is>
          <t>regional_panel</t>
        </is>
      </c>
      <c r="F887" s="3" t="inlineStr">
        <is>
          <t>panel_covariables</t>
        </is>
      </c>
      <c r="G887" s="3" t="n">
        <v>-0.444999</v>
      </c>
      <c r="H887" s="3" t="n">
        <v>-13.1815</v>
      </c>
      <c r="I887" s="3" t="n">
        <v>-0.737862</v>
      </c>
      <c r="J887" s="3" t="n">
        <v>-0.0806794</v>
      </c>
      <c r="K887" s="3" t="n">
        <v>3.37593</v>
      </c>
      <c r="L887" s="3" t="n">
        <v>4</v>
      </c>
      <c r="M887" s="3" t="inlineStr">
        <is>
          <t>si</t>
        </is>
      </c>
      <c r="N887" s="3" t="inlineStr">
        <is>
          <t>no designado (contraste C4: no hay svar_hd regional)</t>
        </is>
      </c>
      <c r="O887" s="3" t="inlineStr">
        <is>
          <t>CCAA: ranking por c_f·sign(dY) del panel FE (M8); asociacion, sin lectura causal; el factor comun es un resumen de comovimiento (pendiente ~1 mecanica, J23)</t>
        </is>
      </c>
      <c r="P887" s="3" t="inlineStr">
        <is>
          <t>output/v8/F5/regional_ranking.csv</t>
        </is>
      </c>
    </row>
    <row r="888">
      <c r="A888" s="3" t="inlineStr">
        <is>
          <t>compra</t>
        </is>
      </c>
      <c r="B888" s="3" t="inlineStr">
        <is>
          <t>ccaa:10</t>
        </is>
      </c>
      <c r="C888" s="3" t="inlineStr">
        <is>
          <t>P3</t>
        </is>
      </c>
      <c r="D888" s="3" t="inlineStr">
        <is>
          <t>demanda_externa</t>
        </is>
      </c>
      <c r="E888" s="3" t="inlineStr">
        <is>
          <t>regional_panel</t>
        </is>
      </c>
      <c r="F888" s="3" t="inlineStr">
        <is>
          <t>panel_covariables</t>
        </is>
      </c>
      <c r="G888" s="3" t="n">
        <v>0.660199</v>
      </c>
      <c r="H888" s="3" t="n">
        <v>19.556</v>
      </c>
      <c r="I888" s="3" t="n">
        <v>0.247744</v>
      </c>
      <c r="J888" s="3" t="n">
        <v>1.17507</v>
      </c>
      <c r="K888" s="3" t="n">
        <v>3.37593</v>
      </c>
      <c r="L888" s="3" t="n">
        <v>2</v>
      </c>
      <c r="M888" s="3" t="inlineStr">
        <is>
          <t>si</t>
        </is>
      </c>
      <c r="N888" s="3" t="inlineStr">
        <is>
          <t>no designado (contraste C4: no hay svar_hd regional)</t>
        </is>
      </c>
      <c r="O888" s="3" t="inlineStr">
        <is>
          <t>CCAA: ranking por c_f·sign(dY) del panel FE (M8); asociacion, sin lectura causal; el factor comun es un resumen de comovimiento (pendiente ~1 mecanica, J23)</t>
        </is>
      </c>
      <c r="P888" s="3" t="inlineStr">
        <is>
          <t>output/v8/F5/regional_ranking.csv</t>
        </is>
      </c>
    </row>
    <row r="889">
      <c r="A889" s="3" t="inlineStr">
        <is>
          <t>compra</t>
        </is>
      </c>
      <c r="B889" s="3" t="inlineStr">
        <is>
          <t>ccaa:10</t>
        </is>
      </c>
      <c r="C889" s="3" t="inlineStr">
        <is>
          <t>P3</t>
        </is>
      </c>
      <c r="D889" s="3" t="inlineStr">
        <is>
          <t>residuo</t>
        </is>
      </c>
      <c r="E889" s="3" t="inlineStr">
        <is>
          <t>regional_panel</t>
        </is>
      </c>
      <c r="F889" s="3" t="inlineStr">
        <is>
          <t>panel_covariables</t>
        </is>
      </c>
      <c r="G889" s="3" t="n">
        <v>2.38872</v>
      </c>
      <c r="H889" s="3" t="n">
        <v>70.7574</v>
      </c>
      <c r="I889" s="3" t="n">
        <v>-1.29424</v>
      </c>
      <c r="J889" s="3" t="n">
        <v>5.39855</v>
      </c>
      <c r="K889" s="3" t="n">
        <v>3.37593</v>
      </c>
      <c r="L889" s="3" t="n"/>
      <c r="M889" s="3" t="inlineStr">
        <is>
          <t>no</t>
        </is>
      </c>
      <c r="N889" s="3" t="inlineStr">
        <is>
          <t>no designado (contraste C4: no hay svar_hd regional)</t>
        </is>
      </c>
      <c r="O889" s="3" t="inlineStr">
        <is>
          <t>CCAA: ranking por c_f·sign(dY) del panel FE (M8); asociacion, sin lectura causal; el factor comun es un resumen de comovimiento (pendiente ~1 mecanica, J23)</t>
        </is>
      </c>
      <c r="P889" s="3" t="inlineStr">
        <is>
          <t>output/v8/F5/regional_ranking.csv</t>
        </is>
      </c>
    </row>
    <row r="890">
      <c r="A890" s="3" t="inlineStr">
        <is>
          <t>compra</t>
        </is>
      </c>
      <c r="B890" s="3" t="inlineStr">
        <is>
          <t>ccaa:10</t>
        </is>
      </c>
      <c r="C890" s="3" t="inlineStr">
        <is>
          <t>P4</t>
        </is>
      </c>
      <c r="D890" s="3" t="inlineStr">
        <is>
          <t>factor_comun</t>
        </is>
      </c>
      <c r="E890" s="3" t="inlineStr">
        <is>
          <t>regional_ccaa_ols</t>
        </is>
      </c>
      <c r="F890" s="3" t="inlineStr">
        <is>
          <t>ols_solo_factor</t>
        </is>
      </c>
      <c r="G890" s="3" t="n">
        <v>-2.74085</v>
      </c>
      <c r="H890" s="3" t="n">
        <v>354.141</v>
      </c>
      <c r="I890" s="3" t="n">
        <v>-4.02365</v>
      </c>
      <c r="J890" s="3" t="n">
        <v>-1.49237</v>
      </c>
      <c r="K890" s="3" t="n">
        <v>-0.773942</v>
      </c>
      <c r="L890" s="3" t="n"/>
      <c r="M890" s="3" t="inlineStr">
        <is>
          <t>no</t>
        </is>
      </c>
      <c r="N890" s="3" t="inlineStr">
        <is>
          <t>no designado (contraste C4: no hay svar_hd regional)</t>
        </is>
      </c>
      <c r="O890" s="3" t="inlineStr">
        <is>
          <t>CCAA: ranking por c_f·sign(dY) del panel FE (M8); asociacion, sin lectura causal; el factor comun es un resumen de comovimiento (pendiente ~1 mecanica, J23)</t>
        </is>
      </c>
      <c r="P890" s="3" t="inlineStr">
        <is>
          <t>output/v8/F5/regional_ranking.csv</t>
        </is>
      </c>
    </row>
    <row r="891">
      <c r="A891" s="3" t="inlineStr">
        <is>
          <t>compra</t>
        </is>
      </c>
      <c r="B891" s="3" t="inlineStr">
        <is>
          <t>ccaa:10</t>
        </is>
      </c>
      <c r="C891" s="3" t="inlineStr">
        <is>
          <t>P4</t>
        </is>
      </c>
      <c r="D891" s="3" t="inlineStr">
        <is>
          <t>residuo</t>
        </is>
      </c>
      <c r="E891" s="3" t="inlineStr">
        <is>
          <t>regional_ccaa_ols</t>
        </is>
      </c>
      <c r="F891" s="3" t="inlineStr">
        <is>
          <t>ols_solo_factor</t>
        </is>
      </c>
      <c r="G891" s="3" t="n">
        <v>1.9669</v>
      </c>
      <c r="H891" s="3" t="n">
        <v>-254.141</v>
      </c>
      <c r="I891" s="3" t="n"/>
      <c r="J891" s="3" t="n"/>
      <c r="K891" s="3" t="n">
        <v>-0.773942</v>
      </c>
      <c r="L891" s="3" t="n"/>
      <c r="M891" s="3" t="inlineStr">
        <is>
          <t>no</t>
        </is>
      </c>
      <c r="N891" s="3" t="inlineStr">
        <is>
          <t>no designado (contraste C4: no hay svar_hd regional)</t>
        </is>
      </c>
      <c r="O891" s="3" t="inlineStr">
        <is>
          <t>CCAA: ranking por c_f·sign(dY) del panel FE (M8); asociacion, sin lectura causal; el factor comun es un resumen de comovimiento (pendiente ~1 mecanica, J23)</t>
        </is>
      </c>
      <c r="P891" s="3" t="inlineStr">
        <is>
          <t>output/v8/F5/regional_ranking.csv</t>
        </is>
      </c>
    </row>
    <row r="892">
      <c r="A892" s="3" t="inlineStr">
        <is>
          <t>compra</t>
        </is>
      </c>
      <c r="B892" s="3" t="inlineStr">
        <is>
          <t>ccaa:10</t>
        </is>
      </c>
      <c r="C892" s="3" t="inlineStr">
        <is>
          <t>P4</t>
        </is>
      </c>
      <c r="D892" s="3" t="inlineStr">
        <is>
          <t>factor_comun</t>
        </is>
      </c>
      <c r="E892" s="3" t="inlineStr">
        <is>
          <t>regional_panel</t>
        </is>
      </c>
      <c r="F892" s="3" t="inlineStr">
        <is>
          <t>panel_covariables</t>
        </is>
      </c>
      <c r="G892" s="3" t="n">
        <v>-4.21608</v>
      </c>
      <c r="H892" s="3" t="n">
        <v>544.754</v>
      </c>
      <c r="I892" s="3" t="n">
        <v>-5.07352</v>
      </c>
      <c r="J892" s="3" t="n">
        <v>-2.674</v>
      </c>
      <c r="K892" s="3" t="n">
        <v>-0.773942</v>
      </c>
      <c r="L892" s="3" t="n"/>
      <c r="M892" s="3" t="inlineStr">
        <is>
          <t>no</t>
        </is>
      </c>
      <c r="N892" s="3" t="inlineStr">
        <is>
          <t>no designado (contraste C4: no hay svar_hd regional)</t>
        </is>
      </c>
      <c r="O892" s="3" t="inlineStr">
        <is>
          <t>CCAA: ranking por c_f·sign(dY) del panel FE (M8); asociacion, sin lectura causal; el factor comun es un resumen de comovimiento (pendiente ~1 mecanica, J23)</t>
        </is>
      </c>
      <c r="P892" s="3" t="inlineStr">
        <is>
          <t>output/v8/F5/regional_ranking.csv</t>
        </is>
      </c>
    </row>
    <row r="893">
      <c r="A893" s="3" t="inlineStr">
        <is>
          <t>compra</t>
        </is>
      </c>
      <c r="B893" s="3" t="inlineStr">
        <is>
          <t>ccaa:10</t>
        </is>
      </c>
      <c r="C893" s="3" t="inlineStr">
        <is>
          <t>P4</t>
        </is>
      </c>
      <c r="D893" s="3" t="inlineStr">
        <is>
          <t>empleo_renta</t>
        </is>
      </c>
      <c r="E893" s="3" t="inlineStr">
        <is>
          <t>regional_panel</t>
        </is>
      </c>
      <c r="F893" s="3" t="inlineStr">
        <is>
          <t>panel_covariables</t>
        </is>
      </c>
      <c r="G893" s="3" t="n">
        <v>-0.137407</v>
      </c>
      <c r="H893" s="3" t="n">
        <v>17.7542</v>
      </c>
      <c r="I893" s="3" t="n">
        <v>-0.676633</v>
      </c>
      <c r="J893" s="3" t="n">
        <v>0.677952</v>
      </c>
      <c r="K893" s="3" t="n">
        <v>-0.773942</v>
      </c>
      <c r="L893" s="3" t="n">
        <v>1</v>
      </c>
      <c r="M893" s="3" t="inlineStr">
        <is>
          <t>si</t>
        </is>
      </c>
      <c r="N893" s="3" t="inlineStr">
        <is>
          <t>no designado (contraste C4: no hay svar_hd regional)</t>
        </is>
      </c>
      <c r="O893" s="3" t="inlineStr">
        <is>
          <t>CCAA: ranking por c_f·sign(dY) del panel FE (M8); asociacion, sin lectura causal; el factor comun es un resumen de comovimiento (pendiente ~1 mecanica, J23)</t>
        </is>
      </c>
      <c r="P893" s="3" t="inlineStr">
        <is>
          <t>output/v8/F5/regional_ranking.csv</t>
        </is>
      </c>
    </row>
    <row r="894">
      <c r="A894" s="3" t="inlineStr">
        <is>
          <t>compra</t>
        </is>
      </c>
      <c r="B894" s="3" t="inlineStr">
        <is>
          <t>ccaa:10</t>
        </is>
      </c>
      <c r="C894" s="3" t="inlineStr">
        <is>
          <t>P4</t>
        </is>
      </c>
      <c r="D894" s="3" t="inlineStr">
        <is>
          <t>demografia</t>
        </is>
      </c>
      <c r="E894" s="3" t="inlineStr">
        <is>
          <t>regional_panel</t>
        </is>
      </c>
      <c r="F894" s="3" t="inlineStr">
        <is>
          <t>panel_covariables</t>
        </is>
      </c>
      <c r="G894" s="3" t="n">
        <v>0.664717</v>
      </c>
      <c r="H894" s="3" t="n">
        <v>-85.88720000000001</v>
      </c>
      <c r="I894" s="3" t="n">
        <v>-0.388921</v>
      </c>
      <c r="J894" s="3" t="n">
        <v>1.47198</v>
      </c>
      <c r="K894" s="3" t="n">
        <v>-0.773942</v>
      </c>
      <c r="L894" s="3" t="n">
        <v>4</v>
      </c>
      <c r="M894" s="3" t="inlineStr">
        <is>
          <t>si</t>
        </is>
      </c>
      <c r="N894" s="3" t="inlineStr">
        <is>
          <t>no designado (contraste C4: no hay svar_hd regional)</t>
        </is>
      </c>
      <c r="O894" s="3" t="inlineStr">
        <is>
          <t>CCAA: ranking por c_f·sign(dY) del panel FE (M8); asociacion, sin lectura causal; el factor comun es un resumen de comovimiento (pendiente ~1 mecanica, J23)</t>
        </is>
      </c>
      <c r="P894" s="3" t="inlineStr">
        <is>
          <t>output/v8/F5/regional_ranking.csv</t>
        </is>
      </c>
    </row>
    <row r="895">
      <c r="A895" s="3" t="inlineStr">
        <is>
          <t>compra</t>
        </is>
      </c>
      <c r="B895" s="3" t="inlineStr">
        <is>
          <t>ccaa:10</t>
        </is>
      </c>
      <c r="C895" s="3" t="inlineStr">
        <is>
          <t>P4</t>
        </is>
      </c>
      <c r="D895" s="3" t="inlineStr">
        <is>
          <t>oferta</t>
        </is>
      </c>
      <c r="E895" s="3" t="inlineStr">
        <is>
          <t>regional_panel</t>
        </is>
      </c>
      <c r="F895" s="3" t="inlineStr">
        <is>
          <t>panel_covariables</t>
        </is>
      </c>
      <c r="G895" s="3" t="n">
        <v>-0.0186889</v>
      </c>
      <c r="H895" s="3" t="n">
        <v>2.41477</v>
      </c>
      <c r="I895" s="3" t="n">
        <v>-0.13243</v>
      </c>
      <c r="J895" s="3" t="n">
        <v>0.0323967</v>
      </c>
      <c r="K895" s="3" t="n">
        <v>-0.773942</v>
      </c>
      <c r="L895" s="3" t="n">
        <v>2</v>
      </c>
      <c r="M895" s="3" t="inlineStr">
        <is>
          <t>si</t>
        </is>
      </c>
      <c r="N895" s="3" t="inlineStr">
        <is>
          <t>no designado (contraste C4: no hay svar_hd regional)</t>
        </is>
      </c>
      <c r="O895" s="3" t="inlineStr">
        <is>
          <t>CCAA: ranking por c_f·sign(dY) del panel FE (M8); asociacion, sin lectura causal; el factor comun es un resumen de comovimiento (pendiente ~1 mecanica, J23)</t>
        </is>
      </c>
      <c r="P895" s="3" t="inlineStr">
        <is>
          <t>output/v8/F5/regional_ranking.csv</t>
        </is>
      </c>
    </row>
    <row r="896">
      <c r="A896" s="3" t="inlineStr">
        <is>
          <t>compra</t>
        </is>
      </c>
      <c r="B896" s="3" t="inlineStr">
        <is>
          <t>ccaa:10</t>
        </is>
      </c>
      <c r="C896" s="3" t="inlineStr">
        <is>
          <t>P4</t>
        </is>
      </c>
      <c r="D896" s="3" t="inlineStr">
        <is>
          <t>demanda_externa</t>
        </is>
      </c>
      <c r="E896" s="3" t="inlineStr">
        <is>
          <t>regional_panel</t>
        </is>
      </c>
      <c r="F896" s="3" t="inlineStr">
        <is>
          <t>panel_covariables</t>
        </is>
      </c>
      <c r="G896" s="3" t="n">
        <v>0.114623</v>
      </c>
      <c r="H896" s="3" t="n">
        <v>-14.8103</v>
      </c>
      <c r="I896" s="3" t="n">
        <v>-0.118066</v>
      </c>
      <c r="J896" s="3" t="n">
        <v>0.216383</v>
      </c>
      <c r="K896" s="3" t="n">
        <v>-0.773942</v>
      </c>
      <c r="L896" s="3" t="n">
        <v>3</v>
      </c>
      <c r="M896" s="3" t="inlineStr">
        <is>
          <t>si</t>
        </is>
      </c>
      <c r="N896" s="3" t="inlineStr">
        <is>
          <t>no designado (contraste C4: no hay svar_hd regional)</t>
        </is>
      </c>
      <c r="O896" s="3" t="inlineStr">
        <is>
          <t>CCAA: ranking por c_f·sign(dY) del panel FE (M8); asociacion, sin lectura causal; el factor comun es un resumen de comovimiento (pendiente ~1 mecanica, J23)</t>
        </is>
      </c>
      <c r="P896" s="3" t="inlineStr">
        <is>
          <t>output/v8/F5/regional_ranking.csv</t>
        </is>
      </c>
    </row>
    <row r="897">
      <c r="A897" s="3" t="inlineStr">
        <is>
          <t>compra</t>
        </is>
      </c>
      <c r="B897" s="3" t="inlineStr">
        <is>
          <t>ccaa:10</t>
        </is>
      </c>
      <c r="C897" s="3" t="inlineStr">
        <is>
          <t>P4</t>
        </is>
      </c>
      <c r="D897" s="3" t="inlineStr">
        <is>
          <t>residuo</t>
        </is>
      </c>
      <c r="E897" s="3" t="inlineStr">
        <is>
          <t>regional_panel</t>
        </is>
      </c>
      <c r="F897" s="3" t="inlineStr">
        <is>
          <t>panel_covariables</t>
        </is>
      </c>
      <c r="G897" s="3" t="n">
        <v>2.8189</v>
      </c>
      <c r="H897" s="3" t="n">
        <v>-364.226</v>
      </c>
      <c r="I897" s="3" t="n">
        <v>1.75704</v>
      </c>
      <c r="J897" s="3" t="n">
        <v>3.91593</v>
      </c>
      <c r="K897" s="3" t="n">
        <v>-0.773942</v>
      </c>
      <c r="L897" s="3" t="n"/>
      <c r="M897" s="3" t="inlineStr">
        <is>
          <t>no</t>
        </is>
      </c>
      <c r="N897" s="3" t="inlineStr">
        <is>
          <t>no designado (contraste C4: no hay svar_hd regional)</t>
        </is>
      </c>
      <c r="O897" s="3" t="inlineStr">
        <is>
          <t>CCAA: ranking por c_f·sign(dY) del panel FE (M8); asociacion, sin lectura causal; el factor comun es un resumen de comovimiento (pendiente ~1 mecanica, J23)</t>
        </is>
      </c>
      <c r="P897" s="3" t="inlineStr">
        <is>
          <t>output/v8/F5/regional_ranking.csv</t>
        </is>
      </c>
    </row>
    <row r="898">
      <c r="A898" s="3" t="inlineStr">
        <is>
          <t>compra</t>
        </is>
      </c>
      <c r="B898" s="3" t="inlineStr">
        <is>
          <t>ccaa:10</t>
        </is>
      </c>
      <c r="C898" s="3" t="inlineStr">
        <is>
          <t>P5</t>
        </is>
      </c>
      <c r="D898" s="3" t="inlineStr">
        <is>
          <t>factor_comun</t>
        </is>
      </c>
      <c r="E898" s="3" t="inlineStr">
        <is>
          <t>regional_ccaa_ols</t>
        </is>
      </c>
      <c r="F898" s="3" t="inlineStr">
        <is>
          <t>ols_solo_factor</t>
        </is>
      </c>
      <c r="G898" s="3" t="n">
        <v>12.1347</v>
      </c>
      <c r="H898" s="3" t="n">
        <v>67.5579</v>
      </c>
      <c r="I898" s="3" t="n">
        <v>6.14233</v>
      </c>
      <c r="J898" s="3" t="n">
        <v>18.6347</v>
      </c>
      <c r="K898" s="3" t="n">
        <v>6.38788</v>
      </c>
      <c r="L898" s="3" t="n"/>
      <c r="M898" s="3" t="inlineStr">
        <is>
          <t>no</t>
        </is>
      </c>
      <c r="N898" s="3" t="inlineStr">
        <is>
          <t>no designado (contraste C4: no hay svar_hd regional)</t>
        </is>
      </c>
      <c r="O898" s="3" t="inlineStr">
        <is>
          <t>CCAA: ranking por c_f·sign(dY) del panel FE (M8); asociacion, sin lectura causal; el factor comun es un resumen de comovimiento (pendiente ~1 mecanica, J23)</t>
        </is>
      </c>
      <c r="P898" s="3" t="inlineStr">
        <is>
          <t>output/v8/F5/regional_ranking.csv</t>
        </is>
      </c>
    </row>
    <row r="899">
      <c r="A899" s="3" t="inlineStr">
        <is>
          <t>compra</t>
        </is>
      </c>
      <c r="B899" s="3" t="inlineStr">
        <is>
          <t>ccaa:10</t>
        </is>
      </c>
      <c r="C899" s="3" t="inlineStr">
        <is>
          <t>P5</t>
        </is>
      </c>
      <c r="D899" s="3" t="inlineStr">
        <is>
          <t>residuo</t>
        </is>
      </c>
      <c r="E899" s="3" t="inlineStr">
        <is>
          <t>regional_ccaa_ols</t>
        </is>
      </c>
      <c r="F899" s="3" t="inlineStr">
        <is>
          <t>ols_solo_factor</t>
        </is>
      </c>
      <c r="G899" s="3" t="n">
        <v>5.82726</v>
      </c>
      <c r="H899" s="3" t="n">
        <v>32.4421</v>
      </c>
      <c r="I899" s="3" t="n"/>
      <c r="J899" s="3" t="n"/>
      <c r="K899" s="3" t="n">
        <v>6.38788</v>
      </c>
      <c r="L899" s="3" t="n"/>
      <c r="M899" s="3" t="inlineStr">
        <is>
          <t>no</t>
        </is>
      </c>
      <c r="N899" s="3" t="inlineStr">
        <is>
          <t>no designado (contraste C4: no hay svar_hd regional)</t>
        </is>
      </c>
      <c r="O899" s="3" t="inlineStr">
        <is>
          <t>CCAA: ranking por c_f·sign(dY) del panel FE (M8); asociacion, sin lectura causal; el factor comun es un resumen de comovimiento (pendiente ~1 mecanica, J23)</t>
        </is>
      </c>
      <c r="P899" s="3" t="inlineStr">
        <is>
          <t>output/v8/F5/regional_ranking.csv</t>
        </is>
      </c>
    </row>
    <row r="900">
      <c r="A900" s="3" t="inlineStr">
        <is>
          <t>compra</t>
        </is>
      </c>
      <c r="B900" s="3" t="inlineStr">
        <is>
          <t>ccaa:10</t>
        </is>
      </c>
      <c r="C900" s="3" t="inlineStr">
        <is>
          <t>P5</t>
        </is>
      </c>
      <c r="D900" s="3" t="inlineStr">
        <is>
          <t>factor_comun</t>
        </is>
      </c>
      <c r="E900" s="3" t="inlineStr">
        <is>
          <t>regional_panel</t>
        </is>
      </c>
      <c r="F900" s="3" t="inlineStr">
        <is>
          <t>panel_covariables</t>
        </is>
      </c>
      <c r="G900" s="3" t="n">
        <v>1.50215</v>
      </c>
      <c r="H900" s="3" t="n">
        <v>23.5156</v>
      </c>
      <c r="I900" s="3" t="n">
        <v>-1.20824</v>
      </c>
      <c r="J900" s="3" t="n">
        <v>4.46537</v>
      </c>
      <c r="K900" s="3" t="n">
        <v>6.38788</v>
      </c>
      <c r="L900" s="3" t="n"/>
      <c r="M900" s="3" t="inlineStr">
        <is>
          <t>no</t>
        </is>
      </c>
      <c r="N900" s="3" t="inlineStr">
        <is>
          <t>no designado (contraste C4: no hay svar_hd regional)</t>
        </is>
      </c>
      <c r="O900" s="3" t="inlineStr">
        <is>
          <t>CCAA: ranking por c_f·sign(dY) del panel FE (M8); asociacion, sin lectura causal; el factor comun es un resumen de comovimiento (pendiente ~1 mecanica, J23)</t>
        </is>
      </c>
      <c r="P900" s="3" t="inlineStr">
        <is>
          <t>output/v8/F5/regional_ranking.csv</t>
        </is>
      </c>
    </row>
    <row r="901">
      <c r="A901" s="3" t="inlineStr">
        <is>
          <t>compra</t>
        </is>
      </c>
      <c r="B901" s="3" t="inlineStr">
        <is>
          <t>ccaa:10</t>
        </is>
      </c>
      <c r="C901" s="3" t="inlineStr">
        <is>
          <t>P5</t>
        </is>
      </c>
      <c r="D901" s="3" t="inlineStr">
        <is>
          <t>empleo_renta</t>
        </is>
      </c>
      <c r="E901" s="3" t="inlineStr">
        <is>
          <t>regional_panel</t>
        </is>
      </c>
      <c r="F901" s="3" t="inlineStr">
        <is>
          <t>panel_covariables</t>
        </is>
      </c>
      <c r="G901" s="3" t="n">
        <v>1.50611</v>
      </c>
      <c r="H901" s="3" t="n">
        <v>23.5777</v>
      </c>
      <c r="I901" s="3" t="n">
        <v>1.05596</v>
      </c>
      <c r="J901" s="3" t="n">
        <v>2.07597</v>
      </c>
      <c r="K901" s="3" t="n">
        <v>6.38788</v>
      </c>
      <c r="L901" s="3" t="n">
        <v>1</v>
      </c>
      <c r="M901" s="3" t="inlineStr">
        <is>
          <t>si</t>
        </is>
      </c>
      <c r="N901" s="3" t="inlineStr">
        <is>
          <t>no designado (contraste C4: no hay svar_hd regional)</t>
        </is>
      </c>
      <c r="O901" s="3" t="inlineStr">
        <is>
          <t>CCAA: ranking por c_f·sign(dY) del panel FE (M8); asociacion, sin lectura causal; el factor comun es un resumen de comovimiento (pendiente ~1 mecanica, J23)</t>
        </is>
      </c>
      <c r="P901" s="3" t="inlineStr">
        <is>
          <t>output/v8/F5/regional_ranking.csv</t>
        </is>
      </c>
    </row>
    <row r="902">
      <c r="A902" s="3" t="inlineStr">
        <is>
          <t>compra</t>
        </is>
      </c>
      <c r="B902" s="3" t="inlineStr">
        <is>
          <t>ccaa:10</t>
        </is>
      </c>
      <c r="C902" s="3" t="inlineStr">
        <is>
          <t>P5</t>
        </is>
      </c>
      <c r="D902" s="3" t="inlineStr">
        <is>
          <t>demografia</t>
        </is>
      </c>
      <c r="E902" s="3" t="inlineStr">
        <is>
          <t>regional_panel</t>
        </is>
      </c>
      <c r="F902" s="3" t="inlineStr">
        <is>
          <t>panel_covariables</t>
        </is>
      </c>
      <c r="G902" s="3" t="n">
        <v>-1.08927</v>
      </c>
      <c r="H902" s="3" t="n">
        <v>-17.0521</v>
      </c>
      <c r="I902" s="3" t="n">
        <v>-8.03379</v>
      </c>
      <c r="J902" s="3" t="n">
        <v>4.50895</v>
      </c>
      <c r="K902" s="3" t="n">
        <v>6.38788</v>
      </c>
      <c r="L902" s="3" t="n">
        <v>4</v>
      </c>
      <c r="M902" s="3" t="inlineStr">
        <is>
          <t>si</t>
        </is>
      </c>
      <c r="N902" s="3" t="inlineStr">
        <is>
          <t>no designado (contraste C4: no hay svar_hd regional)</t>
        </is>
      </c>
      <c r="O902" s="3" t="inlineStr">
        <is>
          <t>CCAA: ranking por c_f·sign(dY) del panel FE (M8); asociacion, sin lectura causal; el factor comun es un resumen de comovimiento (pendiente ~1 mecanica, J23)</t>
        </is>
      </c>
      <c r="P902" s="3" t="inlineStr">
        <is>
          <t>output/v8/F5/regional_ranking.csv</t>
        </is>
      </c>
    </row>
    <row r="903">
      <c r="A903" s="3" t="inlineStr">
        <is>
          <t>compra</t>
        </is>
      </c>
      <c r="B903" s="3" t="inlineStr">
        <is>
          <t>ccaa:10</t>
        </is>
      </c>
      <c r="C903" s="3" t="inlineStr">
        <is>
          <t>P5</t>
        </is>
      </c>
      <c r="D903" s="3" t="inlineStr">
        <is>
          <t>oferta</t>
        </is>
      </c>
      <c r="E903" s="3" t="inlineStr">
        <is>
          <t>regional_panel</t>
        </is>
      </c>
      <c r="F903" s="3" t="inlineStr">
        <is>
          <t>panel_covariables</t>
        </is>
      </c>
      <c r="G903" s="3" t="n">
        <v>0.00116018</v>
      </c>
      <c r="H903" s="3" t="n">
        <v>0.0181623</v>
      </c>
      <c r="I903" s="3" t="n">
        <v>-0.08567900000000001</v>
      </c>
      <c r="J903" s="3" t="n">
        <v>0.115064</v>
      </c>
      <c r="K903" s="3" t="n">
        <v>6.38788</v>
      </c>
      <c r="L903" s="3" t="n">
        <v>2</v>
      </c>
      <c r="M903" s="3" t="inlineStr">
        <is>
          <t>si</t>
        </is>
      </c>
      <c r="N903" s="3" t="inlineStr">
        <is>
          <t>no designado (contraste C4: no hay svar_hd regional)</t>
        </is>
      </c>
      <c r="O903" s="3" t="inlineStr">
        <is>
          <t>CCAA: ranking por c_f·sign(dY) del panel FE (M8); asociacion, sin lectura causal; el factor comun es un resumen de comovimiento (pendiente ~1 mecanica, J23)</t>
        </is>
      </c>
      <c r="P903" s="3" t="inlineStr">
        <is>
          <t>output/v8/F5/regional_ranking.csv</t>
        </is>
      </c>
    </row>
    <row r="904">
      <c r="A904" s="3" t="inlineStr">
        <is>
          <t>compra</t>
        </is>
      </c>
      <c r="B904" s="3" t="inlineStr">
        <is>
          <t>ccaa:10</t>
        </is>
      </c>
      <c r="C904" s="3" t="inlineStr">
        <is>
          <t>P5</t>
        </is>
      </c>
      <c r="D904" s="3" t="inlineStr">
        <is>
          <t>demanda_externa</t>
        </is>
      </c>
      <c r="E904" s="3" t="inlineStr">
        <is>
          <t>regional_panel</t>
        </is>
      </c>
      <c r="F904" s="3" t="inlineStr">
        <is>
          <t>panel_covariables</t>
        </is>
      </c>
      <c r="G904" s="3" t="n">
        <v>-0.0123774</v>
      </c>
      <c r="H904" s="3" t="n">
        <v>-0.193764</v>
      </c>
      <c r="I904" s="3" t="n">
        <v>-0.274285</v>
      </c>
      <c r="J904" s="3" t="n">
        <v>0.0455374</v>
      </c>
      <c r="K904" s="3" t="n">
        <v>6.38788</v>
      </c>
      <c r="L904" s="3" t="n">
        <v>3</v>
      </c>
      <c r="M904" s="3" t="inlineStr">
        <is>
          <t>si</t>
        </is>
      </c>
      <c r="N904" s="3" t="inlineStr">
        <is>
          <t>no designado (contraste C4: no hay svar_hd regional)</t>
        </is>
      </c>
      <c r="O904" s="3" t="inlineStr">
        <is>
          <t>CCAA: ranking por c_f·sign(dY) del panel FE (M8); asociacion, sin lectura causal; el factor comun es un resumen de comovimiento (pendiente ~1 mecanica, J23)</t>
        </is>
      </c>
      <c r="P904" s="3" t="inlineStr">
        <is>
          <t>output/v8/F5/regional_ranking.csv</t>
        </is>
      </c>
    </row>
    <row r="905">
      <c r="A905" s="3" t="inlineStr">
        <is>
          <t>compra</t>
        </is>
      </c>
      <c r="B905" s="3" t="inlineStr">
        <is>
          <t>ccaa:10</t>
        </is>
      </c>
      <c r="C905" s="3" t="inlineStr">
        <is>
          <t>P5</t>
        </is>
      </c>
      <c r="D905" s="3" t="inlineStr">
        <is>
          <t>residuo</t>
        </is>
      </c>
      <c r="E905" s="3" t="inlineStr">
        <is>
          <t>regional_panel</t>
        </is>
      </c>
      <c r="F905" s="3" t="inlineStr">
        <is>
          <t>panel_covariables</t>
        </is>
      </c>
      <c r="G905" s="3" t="n">
        <v>4.4801</v>
      </c>
      <c r="H905" s="3" t="n">
        <v>70.1344</v>
      </c>
      <c r="I905" s="3" t="n">
        <v>-0.388296</v>
      </c>
      <c r="J905" s="3" t="n">
        <v>11.6041</v>
      </c>
      <c r="K905" s="3" t="n">
        <v>6.38788</v>
      </c>
      <c r="L905" s="3" t="n"/>
      <c r="M905" s="3" t="inlineStr">
        <is>
          <t>no</t>
        </is>
      </c>
      <c r="N905" s="3" t="inlineStr">
        <is>
          <t>no designado (contraste C4: no hay svar_hd regional)</t>
        </is>
      </c>
      <c r="O905" s="3" t="inlineStr">
        <is>
          <t>CCAA: ranking por c_f·sign(dY) del panel FE (M8); asociacion, sin lectura causal; el factor comun es un resumen de comovimiento (pendiente ~1 mecanica, J23)</t>
        </is>
      </c>
      <c r="P905" s="3" t="inlineStr">
        <is>
          <t>output/v8/F5/regional_ranking.csv</t>
        </is>
      </c>
    </row>
    <row r="906">
      <c r="A906" s="3" t="inlineStr">
        <is>
          <t>compra</t>
        </is>
      </c>
      <c r="B906" s="3" t="inlineStr">
        <is>
          <t>ccaa:11</t>
        </is>
      </c>
      <c r="C906" s="3" t="inlineStr">
        <is>
          <t>P1</t>
        </is>
      </c>
      <c r="D906" s="3" t="inlineStr">
        <is>
          <t>factor_comun</t>
        </is>
      </c>
      <c r="E906" s="3" t="inlineStr">
        <is>
          <t>regional_ccaa_ols</t>
        </is>
      </c>
      <c r="F906" s="3" t="inlineStr">
        <is>
          <t>ols_solo_factor</t>
        </is>
      </c>
      <c r="G906" s="3" t="n">
        <v>64.7882</v>
      </c>
      <c r="H906" s="3" t="n">
        <v>110.66</v>
      </c>
      <c r="I906" s="3" t="n">
        <v>48.714</v>
      </c>
      <c r="J906" s="3" t="n">
        <v>83.99079999999999</v>
      </c>
      <c r="K906" s="3" t="n">
        <v>58.5469</v>
      </c>
      <c r="L906" s="3" t="n"/>
      <c r="M906" s="3" t="inlineStr">
        <is>
          <t>no</t>
        </is>
      </c>
      <c r="N906" s="3" t="inlineStr">
        <is>
          <t>no designado (contraste C4: no hay svar_hd regional)</t>
        </is>
      </c>
      <c r="O906" s="3" t="inlineStr">
        <is>
          <t>CCAA: ranking por c_f·sign(dY) del panel FE (M8); asociacion, sin lectura causal; el factor comun es un resumen de comovimiento (pendiente ~1 mecanica, J23)</t>
        </is>
      </c>
      <c r="P906" s="3" t="inlineStr">
        <is>
          <t>output/v8/F5/regional_ranking.csv</t>
        </is>
      </c>
    </row>
    <row r="907">
      <c r="A907" s="3" t="inlineStr">
        <is>
          <t>compra</t>
        </is>
      </c>
      <c r="B907" s="3" t="inlineStr">
        <is>
          <t>ccaa:11</t>
        </is>
      </c>
      <c r="C907" s="3" t="inlineStr">
        <is>
          <t>P1</t>
        </is>
      </c>
      <c r="D907" s="3" t="inlineStr">
        <is>
          <t>residuo</t>
        </is>
      </c>
      <c r="E907" s="3" t="inlineStr">
        <is>
          <t>regional_ccaa_ols</t>
        </is>
      </c>
      <c r="F907" s="3" t="inlineStr">
        <is>
          <t>ols_solo_factor</t>
        </is>
      </c>
      <c r="G907" s="3" t="n">
        <v>-6.24131</v>
      </c>
      <c r="H907" s="3" t="n">
        <v>-10.6604</v>
      </c>
      <c r="I907" s="3" t="n"/>
      <c r="J907" s="3" t="n"/>
      <c r="K907" s="3" t="n">
        <v>58.5469</v>
      </c>
      <c r="L907" s="3" t="n"/>
      <c r="M907" s="3" t="inlineStr">
        <is>
          <t>no</t>
        </is>
      </c>
      <c r="N907" s="3" t="inlineStr">
        <is>
          <t>no designado (contraste C4: no hay svar_hd regional)</t>
        </is>
      </c>
      <c r="O907" s="3" t="inlineStr">
        <is>
          <t>CCAA: ranking por c_f·sign(dY) del panel FE (M8); asociacion, sin lectura causal; el factor comun es un resumen de comovimiento (pendiente ~1 mecanica, J23)</t>
        </is>
      </c>
      <c r="P907" s="3" t="inlineStr">
        <is>
          <t>output/v8/F5/regional_ranking.csv</t>
        </is>
      </c>
    </row>
    <row r="908">
      <c r="A908" s="3" t="inlineStr">
        <is>
          <t>compra</t>
        </is>
      </c>
      <c r="B908" s="3" t="inlineStr">
        <is>
          <t>ccaa:11</t>
        </is>
      </c>
      <c r="C908" s="3" t="inlineStr">
        <is>
          <t>P1</t>
        </is>
      </c>
      <c r="D908" s="3" t="inlineStr">
        <is>
          <t>factor_comun</t>
        </is>
      </c>
      <c r="E908" s="3" t="inlineStr">
        <is>
          <t>regional_panel</t>
        </is>
      </c>
      <c r="F908" s="3" t="inlineStr">
        <is>
          <t>panel_covariables</t>
        </is>
      </c>
      <c r="G908" s="3" t="n">
        <v>74.3853</v>
      </c>
      <c r="H908" s="3" t="n">
        <v>127.052</v>
      </c>
      <c r="I908" s="3" t="n">
        <v>63.2347</v>
      </c>
      <c r="J908" s="3" t="n">
        <v>88.0656</v>
      </c>
      <c r="K908" s="3" t="n">
        <v>58.5469</v>
      </c>
      <c r="L908" s="3" t="n"/>
      <c r="M908" s="3" t="inlineStr">
        <is>
          <t>no</t>
        </is>
      </c>
      <c r="N908" s="3" t="inlineStr">
        <is>
          <t>no designado (contraste C4: no hay svar_hd regional)</t>
        </is>
      </c>
      <c r="O908" s="3" t="inlineStr">
        <is>
          <t>CCAA: ranking por c_f·sign(dY) del panel FE (M8); asociacion, sin lectura causal; el factor comun es un resumen de comovimiento (pendiente ~1 mecanica, J23)</t>
        </is>
      </c>
      <c r="P908" s="3" t="inlineStr">
        <is>
          <t>output/v8/F5/regional_ranking.csv</t>
        </is>
      </c>
    </row>
    <row r="909">
      <c r="A909" s="3" t="inlineStr">
        <is>
          <t>compra</t>
        </is>
      </c>
      <c r="B909" s="3" t="inlineStr">
        <is>
          <t>ccaa:11</t>
        </is>
      </c>
      <c r="C909" s="3" t="inlineStr">
        <is>
          <t>P1</t>
        </is>
      </c>
      <c r="D909" s="3" t="inlineStr">
        <is>
          <t>residuo</t>
        </is>
      </c>
      <c r="E909" s="3" t="inlineStr">
        <is>
          <t>regional_panel</t>
        </is>
      </c>
      <c r="F909" s="3" t="inlineStr">
        <is>
          <t>panel_covariables</t>
        </is>
      </c>
      <c r="G909" s="3" t="n">
        <v>-15.8383</v>
      </c>
      <c r="H909" s="3" t="n">
        <v>-27.0524</v>
      </c>
      <c r="I909" s="3" t="n">
        <v>-23.2499</v>
      </c>
      <c r="J909" s="3" t="n">
        <v>-9.08741</v>
      </c>
      <c r="K909" s="3" t="n">
        <v>58.5469</v>
      </c>
      <c r="L909" s="3" t="n"/>
      <c r="M909" s="3" t="inlineStr">
        <is>
          <t>no</t>
        </is>
      </c>
      <c r="N909" s="3" t="inlineStr">
        <is>
          <t>no designado (contraste C4: no hay svar_hd regional)</t>
        </is>
      </c>
      <c r="O909" s="3" t="inlineStr">
        <is>
          <t>CCAA: ranking por c_f·sign(dY) del panel FE (M8); asociacion, sin lectura causal; el factor comun es un resumen de comovimiento (pendiente ~1 mecanica, J23)</t>
        </is>
      </c>
      <c r="P909" s="3" t="inlineStr">
        <is>
          <t>output/v8/F5/regional_ranking.csv</t>
        </is>
      </c>
    </row>
    <row r="910">
      <c r="A910" s="3" t="inlineStr">
        <is>
          <t>compra</t>
        </is>
      </c>
      <c r="B910" s="3" t="inlineStr">
        <is>
          <t>ccaa:11</t>
        </is>
      </c>
      <c r="C910" s="3" t="inlineStr">
        <is>
          <t>P2</t>
        </is>
      </c>
      <c r="D910" s="3" t="inlineStr">
        <is>
          <t>factor_comun</t>
        </is>
      </c>
      <c r="E910" s="3" t="inlineStr">
        <is>
          <t>regional_ccaa_ols</t>
        </is>
      </c>
      <c r="F910" s="3" t="inlineStr">
        <is>
          <t>ols_solo_factor</t>
        </is>
      </c>
      <c r="G910" s="3" t="n">
        <v>-49.4374</v>
      </c>
      <c r="H910" s="3" t="n">
        <v>197.362</v>
      </c>
      <c r="I910" s="3" t="n">
        <v>-69.8396</v>
      </c>
      <c r="J910" s="3" t="n">
        <v>-22.4145</v>
      </c>
      <c r="K910" s="3" t="n">
        <v>-23.3047</v>
      </c>
      <c r="L910" s="3" t="n"/>
      <c r="M910" s="3" t="inlineStr">
        <is>
          <t>no</t>
        </is>
      </c>
      <c r="N910" s="3" t="inlineStr">
        <is>
          <t>no designado (contraste C4: no hay svar_hd regional)</t>
        </is>
      </c>
      <c r="O910" s="3" t="inlineStr">
        <is>
          <t>CCAA: ranking por c_f·sign(dY) del panel FE (M8); asociacion, sin lectura causal; el factor comun es un resumen de comovimiento (pendiente ~1 mecanica, J23)</t>
        </is>
      </c>
      <c r="P910" s="3" t="inlineStr">
        <is>
          <t>output/v8/F5/regional_ranking.csv</t>
        </is>
      </c>
    </row>
    <row r="911">
      <c r="A911" s="3" t="inlineStr">
        <is>
          <t>compra</t>
        </is>
      </c>
      <c r="B911" s="3" t="inlineStr">
        <is>
          <t>ccaa:11</t>
        </is>
      </c>
      <c r="C911" s="3" t="inlineStr">
        <is>
          <t>P2</t>
        </is>
      </c>
      <c r="D911" s="3" t="inlineStr">
        <is>
          <t>residuo</t>
        </is>
      </c>
      <c r="E911" s="3" t="inlineStr">
        <is>
          <t>regional_ccaa_ols</t>
        </is>
      </c>
      <c r="F911" s="3" t="inlineStr">
        <is>
          <t>ols_solo_factor</t>
        </is>
      </c>
      <c r="G911" s="3" t="n">
        <v>24.3883</v>
      </c>
      <c r="H911" s="3" t="n">
        <v>-97.3616</v>
      </c>
      <c r="I911" s="3" t="n"/>
      <c r="J911" s="3" t="n"/>
      <c r="K911" s="3" t="n">
        <v>-23.3047</v>
      </c>
      <c r="L911" s="3" t="n"/>
      <c r="M911" s="3" t="inlineStr">
        <is>
          <t>no</t>
        </is>
      </c>
      <c r="N911" s="3" t="inlineStr">
        <is>
          <t>no designado (contraste C4: no hay svar_hd regional)</t>
        </is>
      </c>
      <c r="O911" s="3" t="inlineStr">
        <is>
          <t>CCAA: ranking por c_f·sign(dY) del panel FE (M8); asociacion, sin lectura causal; el factor comun es un resumen de comovimiento (pendiente ~1 mecanica, J23)</t>
        </is>
      </c>
      <c r="P911" s="3" t="inlineStr">
        <is>
          <t>output/v8/F5/regional_ranking.csv</t>
        </is>
      </c>
    </row>
    <row r="912">
      <c r="A912" s="3" t="inlineStr">
        <is>
          <t>compra</t>
        </is>
      </c>
      <c r="B912" s="3" t="inlineStr">
        <is>
          <t>ccaa:11</t>
        </is>
      </c>
      <c r="C912" s="3" t="inlineStr">
        <is>
          <t>P2</t>
        </is>
      </c>
      <c r="D912" s="3" t="inlineStr">
        <is>
          <t>factor_comun</t>
        </is>
      </c>
      <c r="E912" s="3" t="inlineStr">
        <is>
          <t>regional_panel</t>
        </is>
      </c>
      <c r="F912" s="3" t="inlineStr">
        <is>
          <t>panel_covariables</t>
        </is>
      </c>
      <c r="G912" s="3" t="n">
        <v>-35.0812</v>
      </c>
      <c r="H912" s="3" t="n">
        <v>150.533</v>
      </c>
      <c r="I912" s="3" t="n">
        <v>-41.5124</v>
      </c>
      <c r="J912" s="3" t="n">
        <v>-30.6884</v>
      </c>
      <c r="K912" s="3" t="n">
        <v>-23.3047</v>
      </c>
      <c r="L912" s="3" t="n"/>
      <c r="M912" s="3" t="inlineStr">
        <is>
          <t>no</t>
        </is>
      </c>
      <c r="N912" s="3" t="inlineStr">
        <is>
          <t>no designado (contraste C4: no hay svar_hd regional)</t>
        </is>
      </c>
      <c r="O912" s="3" t="inlineStr">
        <is>
          <t>CCAA: ranking por c_f·sign(dY) del panel FE (M8); asociacion, sin lectura causal; el factor comun es un resumen de comovimiento (pendiente ~1 mecanica, J23)</t>
        </is>
      </c>
      <c r="P912" s="3" t="inlineStr">
        <is>
          <t>output/v8/F5/regional_ranking.csv</t>
        </is>
      </c>
    </row>
    <row r="913">
      <c r="A913" s="3" t="inlineStr">
        <is>
          <t>compra</t>
        </is>
      </c>
      <c r="B913" s="3" t="inlineStr">
        <is>
          <t>ccaa:11</t>
        </is>
      </c>
      <c r="C913" s="3" t="inlineStr">
        <is>
          <t>P2</t>
        </is>
      </c>
      <c r="D913" s="3" t="inlineStr">
        <is>
          <t>empleo_renta</t>
        </is>
      </c>
      <c r="E913" s="3" t="inlineStr">
        <is>
          <t>regional_panel</t>
        </is>
      </c>
      <c r="F913" s="3" t="inlineStr">
        <is>
          <t>panel_covariables</t>
        </is>
      </c>
      <c r="G913" s="3" t="n">
        <v>-2.46216</v>
      </c>
      <c r="H913" s="3" t="n">
        <v>10.5651</v>
      </c>
      <c r="I913" s="3" t="n">
        <v>-5.34629</v>
      </c>
      <c r="J913" s="3" t="n">
        <v>-0.462536</v>
      </c>
      <c r="K913" s="3" t="n">
        <v>-23.3047</v>
      </c>
      <c r="L913" s="3" t="n">
        <v>1</v>
      </c>
      <c r="M913" s="3" t="inlineStr">
        <is>
          <t>si</t>
        </is>
      </c>
      <c r="N913" s="3" t="inlineStr">
        <is>
          <t>no designado (contraste C4: no hay svar_hd regional)</t>
        </is>
      </c>
      <c r="O913" s="3" t="inlineStr">
        <is>
          <t>CCAA: ranking por c_f·sign(dY) del panel FE (M8); asociacion, sin lectura causal; el factor comun es un resumen de comovimiento (pendiente ~1 mecanica, J23)</t>
        </is>
      </c>
      <c r="P913" s="3" t="inlineStr">
        <is>
          <t>output/v8/F5/regional_ranking.csv</t>
        </is>
      </c>
    </row>
    <row r="914">
      <c r="A914" s="3" t="inlineStr">
        <is>
          <t>compra</t>
        </is>
      </c>
      <c r="B914" s="3" t="inlineStr">
        <is>
          <t>ccaa:11</t>
        </is>
      </c>
      <c r="C914" s="3" t="inlineStr">
        <is>
          <t>P2</t>
        </is>
      </c>
      <c r="D914" s="3" t="inlineStr">
        <is>
          <t>demografia</t>
        </is>
      </c>
      <c r="E914" s="3" t="inlineStr">
        <is>
          <t>regional_panel</t>
        </is>
      </c>
      <c r="F914" s="3" t="inlineStr">
        <is>
          <t>panel_covariables</t>
        </is>
      </c>
      <c r="G914" s="3" t="n">
        <v>0.635068</v>
      </c>
      <c r="H914" s="3" t="n">
        <v>-2.72506</v>
      </c>
      <c r="I914" s="3" t="n">
        <v>-1.47598</v>
      </c>
      <c r="J914" s="3" t="n">
        <v>0.932381</v>
      </c>
      <c r="K914" s="3" t="n">
        <v>-23.3047</v>
      </c>
      <c r="L914" s="3" t="n">
        <v>3</v>
      </c>
      <c r="M914" s="3" t="inlineStr">
        <is>
          <t>si</t>
        </is>
      </c>
      <c r="N914" s="3" t="inlineStr">
        <is>
          <t>no designado (contraste C4: no hay svar_hd regional)</t>
        </is>
      </c>
      <c r="O914" s="3" t="inlineStr">
        <is>
          <t>CCAA: ranking por c_f·sign(dY) del panel FE (M8); asociacion, sin lectura causal; el factor comun es un resumen de comovimiento (pendiente ~1 mecanica, J23)</t>
        </is>
      </c>
      <c r="P914" s="3" t="inlineStr">
        <is>
          <t>output/v8/F5/regional_ranking.csv</t>
        </is>
      </c>
    </row>
    <row r="915">
      <c r="A915" s="3" t="inlineStr">
        <is>
          <t>compra</t>
        </is>
      </c>
      <c r="B915" s="3" t="inlineStr">
        <is>
          <t>ccaa:11</t>
        </is>
      </c>
      <c r="C915" s="3" t="inlineStr">
        <is>
          <t>P2</t>
        </is>
      </c>
      <c r="D915" s="3" t="inlineStr">
        <is>
          <t>oferta</t>
        </is>
      </c>
      <c r="E915" s="3" t="inlineStr">
        <is>
          <t>regional_panel</t>
        </is>
      </c>
      <c r="F915" s="3" t="inlineStr">
        <is>
          <t>panel_covariables</t>
        </is>
      </c>
      <c r="G915" s="3" t="n">
        <v>-0.0495749</v>
      </c>
      <c r="H915" s="3" t="n">
        <v>0.212725</v>
      </c>
      <c r="I915" s="3" t="n">
        <v>-0.458786</v>
      </c>
      <c r="J915" s="3" t="n">
        <v>0.23868</v>
      </c>
      <c r="K915" s="3" t="n">
        <v>-23.3047</v>
      </c>
      <c r="L915" s="3" t="n">
        <v>2</v>
      </c>
      <c r="M915" s="3" t="inlineStr">
        <is>
          <t>si</t>
        </is>
      </c>
      <c r="N915" s="3" t="inlineStr">
        <is>
          <t>no designado (contraste C4: no hay svar_hd regional)</t>
        </is>
      </c>
      <c r="O915" s="3" t="inlineStr">
        <is>
          <t>CCAA: ranking por c_f·sign(dY) del panel FE (M8); asociacion, sin lectura causal; el factor comun es un resumen de comovimiento (pendiente ~1 mecanica, J23)</t>
        </is>
      </c>
      <c r="P915" s="3" t="inlineStr">
        <is>
          <t>output/v8/F5/regional_ranking.csv</t>
        </is>
      </c>
    </row>
    <row r="916">
      <c r="A916" s="3" t="inlineStr">
        <is>
          <t>compra</t>
        </is>
      </c>
      <c r="B916" s="3" t="inlineStr">
        <is>
          <t>ccaa:11</t>
        </is>
      </c>
      <c r="C916" s="3" t="inlineStr">
        <is>
          <t>P2</t>
        </is>
      </c>
      <c r="D916" s="3" t="inlineStr">
        <is>
          <t>demanda_externa</t>
        </is>
      </c>
      <c r="E916" s="3" t="inlineStr">
        <is>
          <t>regional_panel</t>
        </is>
      </c>
      <c r="F916" s="3" t="inlineStr">
        <is>
          <t>panel_covariables</t>
        </is>
      </c>
      <c r="G916" s="3" t="n">
        <v>1.13961</v>
      </c>
      <c r="H916" s="3" t="n">
        <v>-4.89005</v>
      </c>
      <c r="I916" s="3" t="n">
        <v>0.119094</v>
      </c>
      <c r="J916" s="3" t="n">
        <v>3.21295</v>
      </c>
      <c r="K916" s="3" t="n">
        <v>-23.3047</v>
      </c>
      <c r="L916" s="3" t="n">
        <v>4</v>
      </c>
      <c r="M916" s="3" t="inlineStr">
        <is>
          <t>si</t>
        </is>
      </c>
      <c r="N916" s="3" t="inlineStr">
        <is>
          <t>no designado (contraste C4: no hay svar_hd regional)</t>
        </is>
      </c>
      <c r="O916" s="3" t="inlineStr">
        <is>
          <t>CCAA: ranking por c_f·sign(dY) del panel FE (M8); asociacion, sin lectura causal; el factor comun es un resumen de comovimiento (pendiente ~1 mecanica, J23)</t>
        </is>
      </c>
      <c r="P916" s="3" t="inlineStr">
        <is>
          <t>output/v8/F5/regional_ranking.csv</t>
        </is>
      </c>
    </row>
    <row r="917">
      <c r="A917" s="3" t="inlineStr">
        <is>
          <t>compra</t>
        </is>
      </c>
      <c r="B917" s="3" t="inlineStr">
        <is>
          <t>ccaa:11</t>
        </is>
      </c>
      <c r="C917" s="3" t="inlineStr">
        <is>
          <t>P2</t>
        </is>
      </c>
      <c r="D917" s="3" t="inlineStr">
        <is>
          <t>residuo</t>
        </is>
      </c>
      <c r="E917" s="3" t="inlineStr">
        <is>
          <t>regional_panel</t>
        </is>
      </c>
      <c r="F917" s="3" t="inlineStr">
        <is>
          <t>panel_covariables</t>
        </is>
      </c>
      <c r="G917" s="3" t="n">
        <v>12.5136</v>
      </c>
      <c r="H917" s="3" t="n">
        <v>-53.6955</v>
      </c>
      <c r="I917" s="3" t="n">
        <v>7.27304</v>
      </c>
      <c r="J917" s="3" t="n">
        <v>20.3151</v>
      </c>
      <c r="K917" s="3" t="n">
        <v>-23.3047</v>
      </c>
      <c r="L917" s="3" t="n"/>
      <c r="M917" s="3" t="inlineStr">
        <is>
          <t>no</t>
        </is>
      </c>
      <c r="N917" s="3" t="inlineStr">
        <is>
          <t>no designado (contraste C4: no hay svar_hd regional)</t>
        </is>
      </c>
      <c r="O917" s="3" t="inlineStr">
        <is>
          <t>CCAA: ranking por c_f·sign(dY) del panel FE (M8); asociacion, sin lectura causal; el factor comun es un resumen de comovimiento (pendiente ~1 mecanica, J23)</t>
        </is>
      </c>
      <c r="P917" s="3" t="inlineStr">
        <is>
          <t>output/v8/F5/regional_ranking.csv</t>
        </is>
      </c>
    </row>
    <row r="918">
      <c r="A918" s="3" t="inlineStr">
        <is>
          <t>compra</t>
        </is>
      </c>
      <c r="B918" s="3" t="inlineStr">
        <is>
          <t>ccaa:11</t>
        </is>
      </c>
      <c r="C918" s="3" t="inlineStr">
        <is>
          <t>P3</t>
        </is>
      </c>
      <c r="D918" s="3" t="inlineStr">
        <is>
          <t>factor_comun</t>
        </is>
      </c>
      <c r="E918" s="3" t="inlineStr">
        <is>
          <t>regional_ccaa_ols</t>
        </is>
      </c>
      <c r="F918" s="3" t="inlineStr">
        <is>
          <t>ols_solo_factor</t>
        </is>
      </c>
      <c r="G918" s="3" t="n">
        <v>-0.61951</v>
      </c>
      <c r="H918" s="3" t="n">
        <v>9.730650000000001</v>
      </c>
      <c r="I918" s="3" t="n">
        <v>-5.06542</v>
      </c>
      <c r="J918" s="3" t="n">
        <v>3.83196</v>
      </c>
      <c r="K918" s="3" t="n">
        <v>-5.57</v>
      </c>
      <c r="L918" s="3" t="n"/>
      <c r="M918" s="3" t="inlineStr">
        <is>
          <t>no</t>
        </is>
      </c>
      <c r="N918" s="3" t="inlineStr">
        <is>
          <t>no designado (contraste C4: no hay svar_hd regional)</t>
        </is>
      </c>
      <c r="O918" s="3" t="inlineStr">
        <is>
          <t>CCAA: ranking por c_f·sign(dY) del panel FE (M8); asociacion, sin lectura causal; el factor comun es un resumen de comovimiento (pendiente ~1 mecanica, J23)</t>
        </is>
      </c>
      <c r="P918" s="3" t="inlineStr">
        <is>
          <t>output/v8/F5/regional_ranking.csv</t>
        </is>
      </c>
    </row>
    <row r="919">
      <c r="A919" s="3" t="inlineStr">
        <is>
          <t>compra</t>
        </is>
      </c>
      <c r="B919" s="3" t="inlineStr">
        <is>
          <t>ccaa:11</t>
        </is>
      </c>
      <c r="C919" s="3" t="inlineStr">
        <is>
          <t>P3</t>
        </is>
      </c>
      <c r="D919" s="3" t="inlineStr">
        <is>
          <t>residuo</t>
        </is>
      </c>
      <c r="E919" s="3" t="inlineStr">
        <is>
          <t>regional_ccaa_ols</t>
        </is>
      </c>
      <c r="F919" s="3" t="inlineStr">
        <is>
          <t>ols_solo_factor</t>
        </is>
      </c>
      <c r="G919" s="3" t="n">
        <v>-5.74708</v>
      </c>
      <c r="H919" s="3" t="n">
        <v>90.2694</v>
      </c>
      <c r="I919" s="3" t="n"/>
      <c r="J919" s="3" t="n"/>
      <c r="K919" s="3" t="n">
        <v>-5.57</v>
      </c>
      <c r="L919" s="3" t="n"/>
      <c r="M919" s="3" t="inlineStr">
        <is>
          <t>no</t>
        </is>
      </c>
      <c r="N919" s="3" t="inlineStr">
        <is>
          <t>no designado (contraste C4: no hay svar_hd regional)</t>
        </is>
      </c>
      <c r="O919" s="3" t="inlineStr">
        <is>
          <t>CCAA: ranking por c_f·sign(dY) del panel FE (M8); asociacion, sin lectura causal; el factor comun es un resumen de comovimiento (pendiente ~1 mecanica, J23)</t>
        </is>
      </c>
      <c r="P919" s="3" t="inlineStr">
        <is>
          <t>output/v8/F5/regional_ranking.csv</t>
        </is>
      </c>
    </row>
    <row r="920">
      <c r="A920" s="3" t="inlineStr">
        <is>
          <t>compra</t>
        </is>
      </c>
      <c r="B920" s="3" t="inlineStr">
        <is>
          <t>ccaa:11</t>
        </is>
      </c>
      <c r="C920" s="3" t="inlineStr">
        <is>
          <t>P3</t>
        </is>
      </c>
      <c r="D920" s="3" t="inlineStr">
        <is>
          <t>factor_comun</t>
        </is>
      </c>
      <c r="E920" s="3" t="inlineStr">
        <is>
          <t>regional_panel</t>
        </is>
      </c>
      <c r="F920" s="3" t="inlineStr">
        <is>
          <t>panel_covariables</t>
        </is>
      </c>
      <c r="G920" s="3" t="n">
        <v>-0.548472</v>
      </c>
      <c r="H920" s="3" t="n">
        <v>9.8469</v>
      </c>
      <c r="I920" s="3" t="n">
        <v>-3.50001</v>
      </c>
      <c r="J920" s="3" t="n">
        <v>2.45383</v>
      </c>
      <c r="K920" s="3" t="n">
        <v>-5.57</v>
      </c>
      <c r="L920" s="3" t="n"/>
      <c r="M920" s="3" t="inlineStr">
        <is>
          <t>no</t>
        </is>
      </c>
      <c r="N920" s="3" t="inlineStr">
        <is>
          <t>no designado (contraste C4: no hay svar_hd regional)</t>
        </is>
      </c>
      <c r="O920" s="3" t="inlineStr">
        <is>
          <t>CCAA: ranking por c_f·sign(dY) del panel FE (M8); asociacion, sin lectura causal; el factor comun es un resumen de comovimiento (pendiente ~1 mecanica, J23)</t>
        </is>
      </c>
      <c r="P920" s="3" t="inlineStr">
        <is>
          <t>output/v8/F5/regional_ranking.csv</t>
        </is>
      </c>
    </row>
    <row r="921">
      <c r="A921" s="3" t="inlineStr">
        <is>
          <t>compra</t>
        </is>
      </c>
      <c r="B921" s="3" t="inlineStr">
        <is>
          <t>ccaa:11</t>
        </is>
      </c>
      <c r="C921" s="3" t="inlineStr">
        <is>
          <t>P3</t>
        </is>
      </c>
      <c r="D921" s="3" t="inlineStr">
        <is>
          <t>empleo_renta</t>
        </is>
      </c>
      <c r="E921" s="3" t="inlineStr">
        <is>
          <t>regional_panel</t>
        </is>
      </c>
      <c r="F921" s="3" t="inlineStr">
        <is>
          <t>panel_covariables</t>
        </is>
      </c>
      <c r="G921" s="3" t="n">
        <v>0.609766</v>
      </c>
      <c r="H921" s="3" t="n">
        <v>-10.9473</v>
      </c>
      <c r="I921" s="3" t="n">
        <v>-0.131174</v>
      </c>
      <c r="J921" s="3" t="n">
        <v>1.24251</v>
      </c>
      <c r="K921" s="3" t="n">
        <v>-5.57</v>
      </c>
      <c r="L921" s="3" t="n">
        <v>3</v>
      </c>
      <c r="M921" s="3" t="inlineStr">
        <is>
          <t>si</t>
        </is>
      </c>
      <c r="N921" s="3" t="inlineStr">
        <is>
          <t>no designado (contraste C4: no hay svar_hd regional)</t>
        </is>
      </c>
      <c r="O921" s="3" t="inlineStr">
        <is>
          <t>CCAA: ranking por c_f·sign(dY) del panel FE (M8); asociacion, sin lectura causal; el factor comun es un resumen de comovimiento (pendiente ~1 mecanica, J23)</t>
        </is>
      </c>
      <c r="P921" s="3" t="inlineStr">
        <is>
          <t>output/v8/F5/regional_ranking.csv</t>
        </is>
      </c>
    </row>
    <row r="922">
      <c r="A922" s="3" t="inlineStr">
        <is>
          <t>compra</t>
        </is>
      </c>
      <c r="B922" s="3" t="inlineStr">
        <is>
          <t>ccaa:11</t>
        </is>
      </c>
      <c r="C922" s="3" t="inlineStr">
        <is>
          <t>P3</t>
        </is>
      </c>
      <c r="D922" s="3" t="inlineStr">
        <is>
          <t>demografia</t>
        </is>
      </c>
      <c r="E922" s="3" t="inlineStr">
        <is>
          <t>regional_panel</t>
        </is>
      </c>
      <c r="F922" s="3" t="inlineStr">
        <is>
          <t>panel_covariables</t>
        </is>
      </c>
      <c r="G922" s="3" t="n">
        <v>-2.47236</v>
      </c>
      <c r="H922" s="3" t="n">
        <v>44.3871</v>
      </c>
      <c r="I922" s="3" t="n">
        <v>-4.09206</v>
      </c>
      <c r="J922" s="3" t="n">
        <v>-1.57931</v>
      </c>
      <c r="K922" s="3" t="n">
        <v>-5.57</v>
      </c>
      <c r="L922" s="3" t="n">
        <v>1</v>
      </c>
      <c r="M922" s="3" t="inlineStr">
        <is>
          <t>si</t>
        </is>
      </c>
      <c r="N922" s="3" t="inlineStr">
        <is>
          <t>no designado (contraste C4: no hay svar_hd regional)</t>
        </is>
      </c>
      <c r="O922" s="3" t="inlineStr">
        <is>
          <t>CCAA: ranking por c_f·sign(dY) del panel FE (M8); asociacion, sin lectura causal; el factor comun es un resumen de comovimiento (pendiente ~1 mecanica, J23)</t>
        </is>
      </c>
      <c r="P922" s="3" t="inlineStr">
        <is>
          <t>output/v8/F5/regional_ranking.csv</t>
        </is>
      </c>
    </row>
    <row r="923">
      <c r="A923" s="3" t="inlineStr">
        <is>
          <t>compra</t>
        </is>
      </c>
      <c r="B923" s="3" t="inlineStr">
        <is>
          <t>ccaa:11</t>
        </is>
      </c>
      <c r="C923" s="3" t="inlineStr">
        <is>
          <t>P3</t>
        </is>
      </c>
      <c r="D923" s="3" t="inlineStr">
        <is>
          <t>oferta</t>
        </is>
      </c>
      <c r="E923" s="3" t="inlineStr">
        <is>
          <t>regional_panel</t>
        </is>
      </c>
      <c r="F923" s="3" t="inlineStr">
        <is>
          <t>panel_covariables</t>
        </is>
      </c>
      <c r="G923" s="3" t="n">
        <v>-0.146655</v>
      </c>
      <c r="H923" s="3" t="n">
        <v>2.63295</v>
      </c>
      <c r="I923" s="3" t="n">
        <v>-0.314333</v>
      </c>
      <c r="J923" s="3" t="n">
        <v>0.0449379</v>
      </c>
      <c r="K923" s="3" t="n">
        <v>-5.57</v>
      </c>
      <c r="L923" s="3" t="n">
        <v>2</v>
      </c>
      <c r="M923" s="3" t="inlineStr">
        <is>
          <t>si</t>
        </is>
      </c>
      <c r="N923" s="3" t="inlineStr">
        <is>
          <t>no designado (contraste C4: no hay svar_hd regional)</t>
        </is>
      </c>
      <c r="O923" s="3" t="inlineStr">
        <is>
          <t>CCAA: ranking por c_f·sign(dY) del panel FE (M8); asociacion, sin lectura causal; el factor comun es un resumen de comovimiento (pendiente ~1 mecanica, J23)</t>
        </is>
      </c>
      <c r="P923" s="3" t="inlineStr">
        <is>
          <t>output/v8/F5/regional_ranking.csv</t>
        </is>
      </c>
    </row>
    <row r="924">
      <c r="A924" s="3" t="inlineStr">
        <is>
          <t>compra</t>
        </is>
      </c>
      <c r="B924" s="3" t="inlineStr">
        <is>
          <t>ccaa:11</t>
        </is>
      </c>
      <c r="C924" s="3" t="inlineStr">
        <is>
          <t>P3</t>
        </is>
      </c>
      <c r="D924" s="3" t="inlineStr">
        <is>
          <t>demanda_externa</t>
        </is>
      </c>
      <c r="E924" s="3" t="inlineStr">
        <is>
          <t>regional_panel</t>
        </is>
      </c>
      <c r="F924" s="3" t="inlineStr">
        <is>
          <t>panel_covariables</t>
        </is>
      </c>
      <c r="G924" s="3" t="n">
        <v>1.13806</v>
      </c>
      <c r="H924" s="3" t="n">
        <v>-20.4319</v>
      </c>
      <c r="I924" s="3" t="n">
        <v>0.450108</v>
      </c>
      <c r="J924" s="3" t="n">
        <v>1.7861</v>
      </c>
      <c r="K924" s="3" t="n">
        <v>-5.57</v>
      </c>
      <c r="L924" s="3" t="n">
        <v>4</v>
      </c>
      <c r="M924" s="3" t="inlineStr">
        <is>
          <t>si</t>
        </is>
      </c>
      <c r="N924" s="3" t="inlineStr">
        <is>
          <t>no designado (contraste C4: no hay svar_hd regional)</t>
        </is>
      </c>
      <c r="O924" s="3" t="inlineStr">
        <is>
          <t>CCAA: ranking por c_f·sign(dY) del panel FE (M8); asociacion, sin lectura causal; el factor comun es un resumen de comovimiento (pendiente ~1 mecanica, J23)</t>
        </is>
      </c>
      <c r="P924" s="3" t="inlineStr">
        <is>
          <t>output/v8/F5/regional_ranking.csv</t>
        </is>
      </c>
    </row>
    <row r="925">
      <c r="A925" s="3" t="inlineStr">
        <is>
          <t>compra</t>
        </is>
      </c>
      <c r="B925" s="3" t="inlineStr">
        <is>
          <t>ccaa:11</t>
        </is>
      </c>
      <c r="C925" s="3" t="inlineStr">
        <is>
          <t>P3</t>
        </is>
      </c>
      <c r="D925" s="3" t="inlineStr">
        <is>
          <t>residuo</t>
        </is>
      </c>
      <c r="E925" s="3" t="inlineStr">
        <is>
          <t>regional_panel</t>
        </is>
      </c>
      <c r="F925" s="3" t="inlineStr">
        <is>
          <t>panel_covariables</t>
        </is>
      </c>
      <c r="G925" s="3" t="n">
        <v>-4.15034</v>
      </c>
      <c r="H925" s="3" t="n">
        <v>74.5123</v>
      </c>
      <c r="I925" s="3" t="n">
        <v>-7.36251</v>
      </c>
      <c r="J925" s="3" t="n">
        <v>-0.142912</v>
      </c>
      <c r="K925" s="3" t="n">
        <v>-5.57</v>
      </c>
      <c r="L925" s="3" t="n"/>
      <c r="M925" s="3" t="inlineStr">
        <is>
          <t>no</t>
        </is>
      </c>
      <c r="N925" s="3" t="inlineStr">
        <is>
          <t>no designado (contraste C4: no hay svar_hd regional)</t>
        </is>
      </c>
      <c r="O925" s="3" t="inlineStr">
        <is>
          <t>CCAA: ranking por c_f·sign(dY) del panel FE (M8); asociacion, sin lectura causal; el factor comun es un resumen de comovimiento (pendiente ~1 mecanica, J23)</t>
        </is>
      </c>
      <c r="P925" s="3" t="inlineStr">
        <is>
          <t>output/v8/F5/regional_ranking.csv</t>
        </is>
      </c>
    </row>
    <row r="926">
      <c r="A926" s="3" t="inlineStr">
        <is>
          <t>compra</t>
        </is>
      </c>
      <c r="B926" s="3" t="inlineStr">
        <is>
          <t>ccaa:11</t>
        </is>
      </c>
      <c r="C926" s="3" t="inlineStr">
        <is>
          <t>P4</t>
        </is>
      </c>
      <c r="D926" s="3" t="inlineStr">
        <is>
          <t>factor_comun</t>
        </is>
      </c>
      <c r="E926" s="3" t="inlineStr">
        <is>
          <t>regional_ccaa_ols</t>
        </is>
      </c>
      <c r="F926" s="3" t="inlineStr">
        <is>
          <t>ols_solo_factor</t>
        </is>
      </c>
      <c r="G926" s="3" t="n">
        <v>-3.72865</v>
      </c>
      <c r="H926" s="3" t="n">
        <v>58.0609</v>
      </c>
      <c r="I926" s="3" t="n">
        <v>-5.64341</v>
      </c>
      <c r="J926" s="3" t="n">
        <v>-2.87101</v>
      </c>
      <c r="K926" s="3" t="n">
        <v>-6.42197</v>
      </c>
      <c r="L926" s="3" t="n"/>
      <c r="M926" s="3" t="inlineStr">
        <is>
          <t>no</t>
        </is>
      </c>
      <c r="N926" s="3" t="inlineStr">
        <is>
          <t>no designado (contraste C4: no hay svar_hd regional)</t>
        </is>
      </c>
      <c r="O926" s="3" t="inlineStr">
        <is>
          <t>CCAA: ranking por c_f·sign(dY) del panel FE (M8); asociacion, sin lectura causal; el factor comun es un resumen de comovimiento (pendiente ~1 mecanica, J23)</t>
        </is>
      </c>
      <c r="P926" s="3" t="inlineStr">
        <is>
          <t>output/v8/F5/regional_ranking.csv</t>
        </is>
      </c>
    </row>
    <row r="927">
      <c r="A927" s="3" t="inlineStr">
        <is>
          <t>compra</t>
        </is>
      </c>
      <c r="B927" s="3" t="inlineStr">
        <is>
          <t>ccaa:11</t>
        </is>
      </c>
      <c r="C927" s="3" t="inlineStr">
        <is>
          <t>P4</t>
        </is>
      </c>
      <c r="D927" s="3" t="inlineStr">
        <is>
          <t>residuo</t>
        </is>
      </c>
      <c r="E927" s="3" t="inlineStr">
        <is>
          <t>regional_ccaa_ols</t>
        </is>
      </c>
      <c r="F927" s="3" t="inlineStr">
        <is>
          <t>ols_solo_factor</t>
        </is>
      </c>
      <c r="G927" s="3" t="n">
        <v>-2.69332</v>
      </c>
      <c r="H927" s="3" t="n">
        <v>41.9391</v>
      </c>
      <c r="I927" s="3" t="n"/>
      <c r="J927" s="3" t="n"/>
      <c r="K927" s="3" t="n">
        <v>-6.42197</v>
      </c>
      <c r="L927" s="3" t="n"/>
      <c r="M927" s="3" t="inlineStr">
        <is>
          <t>no</t>
        </is>
      </c>
      <c r="N927" s="3" t="inlineStr">
        <is>
          <t>no designado (contraste C4: no hay svar_hd regional)</t>
        </is>
      </c>
      <c r="O927" s="3" t="inlineStr">
        <is>
          <t>CCAA: ranking por c_f·sign(dY) del panel FE (M8); asociacion, sin lectura causal; el factor comun es un resumen de comovimiento (pendiente ~1 mecanica, J23)</t>
        </is>
      </c>
      <c r="P927" s="3" t="inlineStr">
        <is>
          <t>output/v8/F5/regional_ranking.csv</t>
        </is>
      </c>
    </row>
    <row r="928">
      <c r="A928" s="3" t="inlineStr">
        <is>
          <t>compra</t>
        </is>
      </c>
      <c r="B928" s="3" t="inlineStr">
        <is>
          <t>ccaa:11</t>
        </is>
      </c>
      <c r="C928" s="3" t="inlineStr">
        <is>
          <t>P4</t>
        </is>
      </c>
      <c r="D928" s="3" t="inlineStr">
        <is>
          <t>factor_comun</t>
        </is>
      </c>
      <c r="E928" s="3" t="inlineStr">
        <is>
          <t>regional_panel</t>
        </is>
      </c>
      <c r="F928" s="3" t="inlineStr">
        <is>
          <t>panel_covariables</t>
        </is>
      </c>
      <c r="G928" s="3" t="n">
        <v>-4.21608</v>
      </c>
      <c r="H928" s="3" t="n">
        <v>65.65089999999999</v>
      </c>
      <c r="I928" s="3" t="n">
        <v>-5.07352</v>
      </c>
      <c r="J928" s="3" t="n">
        <v>-2.674</v>
      </c>
      <c r="K928" s="3" t="n">
        <v>-6.42197</v>
      </c>
      <c r="L928" s="3" t="n"/>
      <c r="M928" s="3" t="inlineStr">
        <is>
          <t>no</t>
        </is>
      </c>
      <c r="N928" s="3" t="inlineStr">
        <is>
          <t>no designado (contraste C4: no hay svar_hd regional)</t>
        </is>
      </c>
      <c r="O928" s="3" t="inlineStr">
        <is>
          <t>CCAA: ranking por c_f·sign(dY) del panel FE (M8); asociacion, sin lectura causal; el factor comun es un resumen de comovimiento (pendiente ~1 mecanica, J23)</t>
        </is>
      </c>
      <c r="P928" s="3" t="inlineStr">
        <is>
          <t>output/v8/F5/regional_ranking.csv</t>
        </is>
      </c>
    </row>
    <row r="929">
      <c r="A929" s="3" t="inlineStr">
        <is>
          <t>compra</t>
        </is>
      </c>
      <c r="B929" s="3" t="inlineStr">
        <is>
          <t>ccaa:11</t>
        </is>
      </c>
      <c r="C929" s="3" t="inlineStr">
        <is>
          <t>P4</t>
        </is>
      </c>
      <c r="D929" s="3" t="inlineStr">
        <is>
          <t>empleo_renta</t>
        </is>
      </c>
      <c r="E929" s="3" t="inlineStr">
        <is>
          <t>regional_panel</t>
        </is>
      </c>
      <c r="F929" s="3" t="inlineStr">
        <is>
          <t>panel_covariables</t>
        </is>
      </c>
      <c r="G929" s="3" t="n">
        <v>0.773329</v>
      </c>
      <c r="H929" s="3" t="n">
        <v>-12.0419</v>
      </c>
      <c r="I929" s="3" t="n">
        <v>0.530578</v>
      </c>
      <c r="J929" s="3" t="n">
        <v>0.986574</v>
      </c>
      <c r="K929" s="3" t="n">
        <v>-6.42197</v>
      </c>
      <c r="L929" s="3" t="n">
        <v>3</v>
      </c>
      <c r="M929" s="3" t="inlineStr">
        <is>
          <t>si</t>
        </is>
      </c>
      <c r="N929" s="3" t="inlineStr">
        <is>
          <t>no designado (contraste C4: no hay svar_hd regional)</t>
        </is>
      </c>
      <c r="O929" s="3" t="inlineStr">
        <is>
          <t>CCAA: ranking por c_f·sign(dY) del panel FE (M8); asociacion, sin lectura causal; el factor comun es un resumen de comovimiento (pendiente ~1 mecanica, J23)</t>
        </is>
      </c>
      <c r="P929" s="3" t="inlineStr">
        <is>
          <t>output/v8/F5/regional_ranking.csv</t>
        </is>
      </c>
    </row>
    <row r="930">
      <c r="A930" s="3" t="inlineStr">
        <is>
          <t>compra</t>
        </is>
      </c>
      <c r="B930" s="3" t="inlineStr">
        <is>
          <t>ccaa:11</t>
        </is>
      </c>
      <c r="C930" s="3" t="inlineStr">
        <is>
          <t>P4</t>
        </is>
      </c>
      <c r="D930" s="3" t="inlineStr">
        <is>
          <t>demografia</t>
        </is>
      </c>
      <c r="E930" s="3" t="inlineStr">
        <is>
          <t>regional_panel</t>
        </is>
      </c>
      <c r="F930" s="3" t="inlineStr">
        <is>
          <t>panel_covariables</t>
        </is>
      </c>
      <c r="G930" s="3" t="n">
        <v>3.04781</v>
      </c>
      <c r="H930" s="3" t="n">
        <v>-47.4592</v>
      </c>
      <c r="I930" s="3" t="n">
        <v>0.168493</v>
      </c>
      <c r="J930" s="3" t="n">
        <v>5.45961</v>
      </c>
      <c r="K930" s="3" t="n">
        <v>-6.42197</v>
      </c>
      <c r="L930" s="3" t="n">
        <v>4</v>
      </c>
      <c r="M930" s="3" t="inlineStr">
        <is>
          <t>si</t>
        </is>
      </c>
      <c r="N930" s="3" t="inlineStr">
        <is>
          <t>no designado (contraste C4: no hay svar_hd regional)</t>
        </is>
      </c>
      <c r="O930" s="3" t="inlineStr">
        <is>
          <t>CCAA: ranking por c_f·sign(dY) del panel FE (M8); asociacion, sin lectura causal; el factor comun es un resumen de comovimiento (pendiente ~1 mecanica, J23)</t>
        </is>
      </c>
      <c r="P930" s="3" t="inlineStr">
        <is>
          <t>output/v8/F5/regional_ranking.csv</t>
        </is>
      </c>
    </row>
    <row r="931">
      <c r="A931" s="3" t="inlineStr">
        <is>
          <t>compra</t>
        </is>
      </c>
      <c r="B931" s="3" t="inlineStr">
        <is>
          <t>ccaa:11</t>
        </is>
      </c>
      <c r="C931" s="3" t="inlineStr">
        <is>
          <t>P4</t>
        </is>
      </c>
      <c r="D931" s="3" t="inlineStr">
        <is>
          <t>oferta</t>
        </is>
      </c>
      <c r="E931" s="3" t="inlineStr">
        <is>
          <t>regional_panel</t>
        </is>
      </c>
      <c r="F931" s="3" t="inlineStr">
        <is>
          <t>panel_covariables</t>
        </is>
      </c>
      <c r="G931" s="3" t="n">
        <v>0.0362015</v>
      </c>
      <c r="H931" s="3" t="n">
        <v>-0.563713</v>
      </c>
      <c r="I931" s="3" t="n">
        <v>-0.0566042</v>
      </c>
      <c r="J931" s="3" t="n">
        <v>0.09183769999999999</v>
      </c>
      <c r="K931" s="3" t="n">
        <v>-6.42197</v>
      </c>
      <c r="L931" s="3" t="n">
        <v>1</v>
      </c>
      <c r="M931" s="3" t="inlineStr">
        <is>
          <t>si</t>
        </is>
      </c>
      <c r="N931" s="3" t="inlineStr">
        <is>
          <t>no designado (contraste C4: no hay svar_hd regional)</t>
        </is>
      </c>
      <c r="O931" s="3" t="inlineStr">
        <is>
          <t>CCAA: ranking por c_f·sign(dY) del panel FE (M8); asociacion, sin lectura causal; el factor comun es un resumen de comovimiento (pendiente ~1 mecanica, J23)</t>
        </is>
      </c>
      <c r="P931" s="3" t="inlineStr">
        <is>
          <t>output/v8/F5/regional_ranking.csv</t>
        </is>
      </c>
    </row>
    <row r="932">
      <c r="A932" s="3" t="inlineStr">
        <is>
          <t>compra</t>
        </is>
      </c>
      <c r="B932" s="3" t="inlineStr">
        <is>
          <t>ccaa:11</t>
        </is>
      </c>
      <c r="C932" s="3" t="inlineStr">
        <is>
          <t>P4</t>
        </is>
      </c>
      <c r="D932" s="3" t="inlineStr">
        <is>
          <t>demanda_externa</t>
        </is>
      </c>
      <c r="E932" s="3" t="inlineStr">
        <is>
          <t>regional_panel</t>
        </is>
      </c>
      <c r="F932" s="3" t="inlineStr">
        <is>
          <t>panel_covariables</t>
        </is>
      </c>
      <c r="G932" s="3" t="n">
        <v>0.201724</v>
      </c>
      <c r="H932" s="3" t="n">
        <v>-3.14115</v>
      </c>
      <c r="I932" s="3" t="n">
        <v>-0.0140159</v>
      </c>
      <c r="J932" s="3" t="n">
        <v>0.289432</v>
      </c>
      <c r="K932" s="3" t="n">
        <v>-6.42197</v>
      </c>
      <c r="L932" s="3" t="n">
        <v>2</v>
      </c>
      <c r="M932" s="3" t="inlineStr">
        <is>
          <t>si</t>
        </is>
      </c>
      <c r="N932" s="3" t="inlineStr">
        <is>
          <t>no designado (contraste C4: no hay svar_hd regional)</t>
        </is>
      </c>
      <c r="O932" s="3" t="inlineStr">
        <is>
          <t>CCAA: ranking por c_f·sign(dY) del panel FE (M8); asociacion, sin lectura causal; el factor comun es un resumen de comovimiento (pendiente ~1 mecanica, J23)</t>
        </is>
      </c>
      <c r="P932" s="3" t="inlineStr">
        <is>
          <t>output/v8/F5/regional_ranking.csv</t>
        </is>
      </c>
    </row>
    <row r="933">
      <c r="A933" s="3" t="inlineStr">
        <is>
          <t>compra</t>
        </is>
      </c>
      <c r="B933" s="3" t="inlineStr">
        <is>
          <t>ccaa:11</t>
        </is>
      </c>
      <c r="C933" s="3" t="inlineStr">
        <is>
          <t>P4</t>
        </is>
      </c>
      <c r="D933" s="3" t="inlineStr">
        <is>
          <t>residuo</t>
        </is>
      </c>
      <c r="E933" s="3" t="inlineStr">
        <is>
          <t>regional_panel</t>
        </is>
      </c>
      <c r="F933" s="3" t="inlineStr">
        <is>
          <t>panel_covariables</t>
        </is>
      </c>
      <c r="G933" s="3" t="n">
        <v>-6.26496</v>
      </c>
      <c r="H933" s="3" t="n">
        <v>97.55500000000001</v>
      </c>
      <c r="I933" s="3" t="n">
        <v>-8.77765</v>
      </c>
      <c r="J933" s="3" t="n">
        <v>-4.03293</v>
      </c>
      <c r="K933" s="3" t="n">
        <v>-6.42197</v>
      </c>
      <c r="L933" s="3" t="n"/>
      <c r="M933" s="3" t="inlineStr">
        <is>
          <t>no</t>
        </is>
      </c>
      <c r="N933" s="3" t="inlineStr">
        <is>
          <t>no designado (contraste C4: no hay svar_hd regional)</t>
        </is>
      </c>
      <c r="O933" s="3" t="inlineStr">
        <is>
          <t>CCAA: ranking por c_f·sign(dY) del panel FE (M8); asociacion, sin lectura causal; el factor comun es un resumen de comovimiento (pendiente ~1 mecanica, J23)</t>
        </is>
      </c>
      <c r="P933" s="3" t="inlineStr">
        <is>
          <t>output/v8/F5/regional_ranking.csv</t>
        </is>
      </c>
    </row>
    <row r="934">
      <c r="A934" s="3" t="inlineStr">
        <is>
          <t>compra</t>
        </is>
      </c>
      <c r="B934" s="3" t="inlineStr">
        <is>
          <t>ccaa:11</t>
        </is>
      </c>
      <c r="C934" s="3" t="inlineStr">
        <is>
          <t>P5</t>
        </is>
      </c>
      <c r="D934" s="3" t="inlineStr">
        <is>
          <t>factor_comun</t>
        </is>
      </c>
      <c r="E934" s="3" t="inlineStr">
        <is>
          <t>regional_ccaa_ols</t>
        </is>
      </c>
      <c r="F934" s="3" t="inlineStr">
        <is>
          <t>ols_solo_factor</t>
        </is>
      </c>
      <c r="G934" s="3" t="n">
        <v>5.92567</v>
      </c>
      <c r="H934" s="3" t="n">
        <v>-112.598</v>
      </c>
      <c r="I934" s="3" t="n">
        <v>2.77266</v>
      </c>
      <c r="J934" s="3" t="n">
        <v>7.77603</v>
      </c>
      <c r="K934" s="3" t="n">
        <v>-6.44049</v>
      </c>
      <c r="L934" s="3" t="n"/>
      <c r="M934" s="3" t="inlineStr">
        <is>
          <t>no</t>
        </is>
      </c>
      <c r="N934" s="3" t="inlineStr">
        <is>
          <t>no designado (contraste C4: no hay svar_hd regional)</t>
        </is>
      </c>
      <c r="O934" s="3" t="inlineStr">
        <is>
          <t>CCAA: ranking por c_f·sign(dY) del panel FE (M8); asociacion, sin lectura causal; el factor comun es un resumen de comovimiento (pendiente ~1 mecanica, J23)</t>
        </is>
      </c>
      <c r="P934" s="3" t="inlineStr">
        <is>
          <t>output/v8/F5/regional_ranking.csv</t>
        </is>
      </c>
    </row>
    <row r="935">
      <c r="A935" s="3" t="inlineStr">
        <is>
          <t>compra</t>
        </is>
      </c>
      <c r="B935" s="3" t="inlineStr">
        <is>
          <t>ccaa:11</t>
        </is>
      </c>
      <c r="C935" s="3" t="inlineStr">
        <is>
          <t>P5</t>
        </is>
      </c>
      <c r="D935" s="3" t="inlineStr">
        <is>
          <t>residuo</t>
        </is>
      </c>
      <c r="E935" s="3" t="inlineStr">
        <is>
          <t>regional_ccaa_ols</t>
        </is>
      </c>
      <c r="F935" s="3" t="inlineStr">
        <is>
          <t>ols_solo_factor</t>
        </is>
      </c>
      <c r="G935" s="3" t="n">
        <v>-11.1883</v>
      </c>
      <c r="H935" s="3" t="n">
        <v>212.598</v>
      </c>
      <c r="I935" s="3" t="n"/>
      <c r="J935" s="3" t="n"/>
      <c r="K935" s="3" t="n">
        <v>-6.44049</v>
      </c>
      <c r="L935" s="3" t="n"/>
      <c r="M935" s="3" t="inlineStr">
        <is>
          <t>no</t>
        </is>
      </c>
      <c r="N935" s="3" t="inlineStr">
        <is>
          <t>no designado (contraste C4: no hay svar_hd regional)</t>
        </is>
      </c>
      <c r="O935" s="3" t="inlineStr">
        <is>
          <t>CCAA: ranking por c_f·sign(dY) del panel FE (M8); asociacion, sin lectura causal; el factor comun es un resumen de comovimiento (pendiente ~1 mecanica, J23)</t>
        </is>
      </c>
      <c r="P935" s="3" t="inlineStr">
        <is>
          <t>output/v8/F5/regional_ranking.csv</t>
        </is>
      </c>
    </row>
    <row r="936">
      <c r="A936" s="3" t="inlineStr">
        <is>
          <t>compra</t>
        </is>
      </c>
      <c r="B936" s="3" t="inlineStr">
        <is>
          <t>ccaa:11</t>
        </is>
      </c>
      <c r="C936" s="3" t="inlineStr">
        <is>
          <t>P5</t>
        </is>
      </c>
      <c r="D936" s="3" t="inlineStr">
        <is>
          <t>factor_comun</t>
        </is>
      </c>
      <c r="E936" s="3" t="inlineStr">
        <is>
          <t>regional_panel</t>
        </is>
      </c>
      <c r="F936" s="3" t="inlineStr">
        <is>
          <t>panel_covariables</t>
        </is>
      </c>
      <c r="G936" s="3" t="n">
        <v>1.50215</v>
      </c>
      <c r="H936" s="3" t="n">
        <v>-23.3235</v>
      </c>
      <c r="I936" s="3" t="n">
        <v>-1.20824</v>
      </c>
      <c r="J936" s="3" t="n">
        <v>4.46537</v>
      </c>
      <c r="K936" s="3" t="n">
        <v>-6.44049</v>
      </c>
      <c r="L936" s="3" t="n"/>
      <c r="M936" s="3" t="inlineStr">
        <is>
          <t>no</t>
        </is>
      </c>
      <c r="N936" s="3" t="inlineStr">
        <is>
          <t>no designado (contraste C4: no hay svar_hd regional)</t>
        </is>
      </c>
      <c r="O936" s="3" t="inlineStr">
        <is>
          <t>CCAA: ranking por c_f·sign(dY) del panel FE (M8); asociacion, sin lectura causal; el factor comun es un resumen de comovimiento (pendiente ~1 mecanica, J23)</t>
        </is>
      </c>
      <c r="P936" s="3" t="inlineStr">
        <is>
          <t>output/v8/F5/regional_ranking.csv</t>
        </is>
      </c>
    </row>
    <row r="937">
      <c r="A937" s="3" t="inlineStr">
        <is>
          <t>compra</t>
        </is>
      </c>
      <c r="B937" s="3" t="inlineStr">
        <is>
          <t>ccaa:11</t>
        </is>
      </c>
      <c r="C937" s="3" t="inlineStr">
        <is>
          <t>P5</t>
        </is>
      </c>
      <c r="D937" s="3" t="inlineStr">
        <is>
          <t>empleo_renta</t>
        </is>
      </c>
      <c r="E937" s="3" t="inlineStr">
        <is>
          <t>regional_panel</t>
        </is>
      </c>
      <c r="F937" s="3" t="inlineStr">
        <is>
          <t>panel_covariables</t>
        </is>
      </c>
      <c r="G937" s="3" t="n">
        <v>-0.14468</v>
      </c>
      <c r="H937" s="3" t="n">
        <v>2.24641</v>
      </c>
      <c r="I937" s="3" t="n">
        <v>-0.380021</v>
      </c>
      <c r="J937" s="3" t="n">
        <v>0.334112</v>
      </c>
      <c r="K937" s="3" t="n">
        <v>-6.44049</v>
      </c>
      <c r="L937" s="3" t="n">
        <v>2</v>
      </c>
      <c r="M937" s="3" t="inlineStr">
        <is>
          <t>si</t>
        </is>
      </c>
      <c r="N937" s="3" t="inlineStr">
        <is>
          <t>no designado (contraste C4: no hay svar_hd regional)</t>
        </is>
      </c>
      <c r="O937" s="3" t="inlineStr">
        <is>
          <t>CCAA: ranking por c_f·sign(dY) del panel FE (M8); asociacion, sin lectura causal; el factor comun es un resumen de comovimiento (pendiente ~1 mecanica, J23)</t>
        </is>
      </c>
      <c r="P937" s="3" t="inlineStr">
        <is>
          <t>output/v8/F5/regional_ranking.csv</t>
        </is>
      </c>
    </row>
    <row r="938">
      <c r="A938" s="3" t="inlineStr">
        <is>
          <t>compra</t>
        </is>
      </c>
      <c r="B938" s="3" t="inlineStr">
        <is>
          <t>ccaa:11</t>
        </is>
      </c>
      <c r="C938" s="3" t="inlineStr">
        <is>
          <t>P5</t>
        </is>
      </c>
      <c r="D938" s="3" t="inlineStr">
        <is>
          <t>demografia</t>
        </is>
      </c>
      <c r="E938" s="3" t="inlineStr">
        <is>
          <t>regional_panel</t>
        </is>
      </c>
      <c r="F938" s="3" t="inlineStr">
        <is>
          <t>panel_covariables</t>
        </is>
      </c>
      <c r="G938" s="3" t="n">
        <v>-0.675589</v>
      </c>
      <c r="H938" s="3" t="n">
        <v>10.4897</v>
      </c>
      <c r="I938" s="3" t="n">
        <v>-2.19947</v>
      </c>
      <c r="J938" s="3" t="n">
        <v>2.30007</v>
      </c>
      <c r="K938" s="3" t="n">
        <v>-6.44049</v>
      </c>
      <c r="L938" s="3" t="n">
        <v>1</v>
      </c>
      <c r="M938" s="3" t="inlineStr">
        <is>
          <t>si</t>
        </is>
      </c>
      <c r="N938" s="3" t="inlineStr">
        <is>
          <t>no designado (contraste C4: no hay svar_hd regional)</t>
        </is>
      </c>
      <c r="O938" s="3" t="inlineStr">
        <is>
          <t>CCAA: ranking por c_f·sign(dY) del panel FE (M8); asociacion, sin lectura causal; el factor comun es un resumen de comovimiento (pendiente ~1 mecanica, J23)</t>
        </is>
      </c>
      <c r="P938" s="3" t="inlineStr">
        <is>
          <t>output/v8/F5/regional_ranking.csv</t>
        </is>
      </c>
    </row>
    <row r="939">
      <c r="A939" s="3" t="inlineStr">
        <is>
          <t>compra</t>
        </is>
      </c>
      <c r="B939" s="3" t="inlineStr">
        <is>
          <t>ccaa:11</t>
        </is>
      </c>
      <c r="C939" s="3" t="inlineStr">
        <is>
          <t>P5</t>
        </is>
      </c>
      <c r="D939" s="3" t="inlineStr">
        <is>
          <t>oferta</t>
        </is>
      </c>
      <c r="E939" s="3" t="inlineStr">
        <is>
          <t>regional_panel</t>
        </is>
      </c>
      <c r="F939" s="3" t="inlineStr">
        <is>
          <t>panel_covariables</t>
        </is>
      </c>
      <c r="G939" s="3" t="n">
        <v>4.51438e-07</v>
      </c>
      <c r="H939" s="3" t="n">
        <v>-7.00937e-06</v>
      </c>
      <c r="I939" s="3" t="n">
        <v>-0.0943334</v>
      </c>
      <c r="J939" s="3" t="n">
        <v>0.0243114</v>
      </c>
      <c r="K939" s="3" t="n">
        <v>-6.44049</v>
      </c>
      <c r="L939" s="3" t="n">
        <v>4</v>
      </c>
      <c r="M939" s="3" t="inlineStr">
        <is>
          <t>si</t>
        </is>
      </c>
      <c r="N939" s="3" t="inlineStr">
        <is>
          <t>no designado (contraste C4: no hay svar_hd regional)</t>
        </is>
      </c>
      <c r="O939" s="3" t="inlineStr">
        <is>
          <t>CCAA: ranking por c_f·sign(dY) del panel FE (M8); asociacion, sin lectura causal; el factor comun es un resumen de comovimiento (pendiente ~1 mecanica, J23)</t>
        </is>
      </c>
      <c r="P939" s="3" t="inlineStr">
        <is>
          <t>output/v8/F5/regional_ranking.csv</t>
        </is>
      </c>
    </row>
    <row r="940">
      <c r="A940" s="3" t="inlineStr">
        <is>
          <t>compra</t>
        </is>
      </c>
      <c r="B940" s="3" t="inlineStr">
        <is>
          <t>ccaa:11</t>
        </is>
      </c>
      <c r="C940" s="3" t="inlineStr">
        <is>
          <t>P5</t>
        </is>
      </c>
      <c r="D940" s="3" t="inlineStr">
        <is>
          <t>demanda_externa</t>
        </is>
      </c>
      <c r="E940" s="3" t="inlineStr">
        <is>
          <t>regional_panel</t>
        </is>
      </c>
      <c r="F940" s="3" t="inlineStr">
        <is>
          <t>panel_covariables</t>
        </is>
      </c>
      <c r="G940" s="3" t="n">
        <v>-0.0277034</v>
      </c>
      <c r="H940" s="3" t="n">
        <v>0.430144</v>
      </c>
      <c r="I940" s="3" t="n">
        <v>-0.353922</v>
      </c>
      <c r="J940" s="3" t="n">
        <v>0.366674</v>
      </c>
      <c r="K940" s="3" t="n">
        <v>-6.44049</v>
      </c>
      <c r="L940" s="3" t="n">
        <v>3</v>
      </c>
      <c r="M940" s="3" t="inlineStr">
        <is>
          <t>si</t>
        </is>
      </c>
      <c r="N940" s="3" t="inlineStr">
        <is>
          <t>no designado (contraste C4: no hay svar_hd regional)</t>
        </is>
      </c>
      <c r="O940" s="3" t="inlineStr">
        <is>
          <t>CCAA: ranking por c_f·sign(dY) del panel FE (M8); asociacion, sin lectura causal; el factor comun es un resumen de comovimiento (pendiente ~1 mecanica, J23)</t>
        </is>
      </c>
      <c r="P940" s="3" t="inlineStr">
        <is>
          <t>output/v8/F5/regional_ranking.csv</t>
        </is>
      </c>
    </row>
    <row r="941">
      <c r="A941" s="3" t="inlineStr">
        <is>
          <t>compra</t>
        </is>
      </c>
      <c r="B941" s="3" t="inlineStr">
        <is>
          <t>ccaa:11</t>
        </is>
      </c>
      <c r="C941" s="3" t="inlineStr">
        <is>
          <t>P5</t>
        </is>
      </c>
      <c r="D941" s="3" t="inlineStr">
        <is>
          <t>residuo</t>
        </is>
      </c>
      <c r="E941" s="3" t="inlineStr">
        <is>
          <t>regional_panel</t>
        </is>
      </c>
      <c r="F941" s="3" t="inlineStr">
        <is>
          <t>panel_covariables</t>
        </is>
      </c>
      <c r="G941" s="3" t="n">
        <v>-7.09466</v>
      </c>
      <c r="H941" s="3" t="n">
        <v>110.157</v>
      </c>
      <c r="I941" s="3" t="n">
        <v>-10.3724</v>
      </c>
      <c r="J941" s="3" t="n">
        <v>-5.57549</v>
      </c>
      <c r="K941" s="3" t="n">
        <v>-6.44049</v>
      </c>
      <c r="L941" s="3" t="n"/>
      <c r="M941" s="3" t="inlineStr">
        <is>
          <t>no</t>
        </is>
      </c>
      <c r="N941" s="3" t="inlineStr">
        <is>
          <t>no designado (contraste C4: no hay svar_hd regional)</t>
        </is>
      </c>
      <c r="O941" s="3" t="inlineStr">
        <is>
          <t>CCAA: ranking por c_f·sign(dY) del panel FE (M8); asociacion, sin lectura causal; el factor comun es un resumen de comovimiento (pendiente ~1 mecanica, J23)</t>
        </is>
      </c>
      <c r="P941" s="3" t="inlineStr">
        <is>
          <t>output/v8/F5/regional_ranking.csv</t>
        </is>
      </c>
    </row>
    <row r="942">
      <c r="A942" s="3" t="inlineStr">
        <is>
          <t>compra</t>
        </is>
      </c>
      <c r="B942" s="3" t="inlineStr">
        <is>
          <t>ccaa:12</t>
        </is>
      </c>
      <c r="C942" s="3" t="inlineStr">
        <is>
          <t>P1</t>
        </is>
      </c>
      <c r="D942" s="3" t="inlineStr">
        <is>
          <t>factor_comun</t>
        </is>
      </c>
      <c r="E942" s="3" t="inlineStr">
        <is>
          <t>regional_ccaa_ols</t>
        </is>
      </c>
      <c r="F942" s="3" t="inlineStr">
        <is>
          <t>ols_solo_factor</t>
        </is>
      </c>
      <c r="G942" s="3" t="n">
        <v>53.7416</v>
      </c>
      <c r="H942" s="3" t="n">
        <v>93.4932</v>
      </c>
      <c r="I942" s="3" t="n">
        <v>38.3143</v>
      </c>
      <c r="J942" s="3" t="n">
        <v>63.6766</v>
      </c>
      <c r="K942" s="3" t="n">
        <v>57.4819</v>
      </c>
      <c r="L942" s="3" t="n"/>
      <c r="M942" s="3" t="inlineStr">
        <is>
          <t>no</t>
        </is>
      </c>
      <c r="N942" s="3" t="inlineStr">
        <is>
          <t>no designado (contraste C4: no hay svar_hd regional)</t>
        </is>
      </c>
      <c r="O942" s="3" t="inlineStr">
        <is>
          <t>CCAA: ranking por c_f·sign(dY) del panel FE (M8); asociacion, sin lectura causal; el factor comun es un resumen de comovimiento (pendiente ~1 mecanica, J23)</t>
        </is>
      </c>
      <c r="P942" s="3" t="inlineStr">
        <is>
          <t>output/v8/F5/regional_ranking.csv</t>
        </is>
      </c>
    </row>
    <row r="943">
      <c r="A943" s="3" t="inlineStr">
        <is>
          <t>compra</t>
        </is>
      </c>
      <c r="B943" s="3" t="inlineStr">
        <is>
          <t>ccaa:12</t>
        </is>
      </c>
      <c r="C943" s="3" t="inlineStr">
        <is>
          <t>P1</t>
        </is>
      </c>
      <c r="D943" s="3" t="inlineStr">
        <is>
          <t>residuo</t>
        </is>
      </c>
      <c r="E943" s="3" t="inlineStr">
        <is>
          <t>regional_ccaa_ols</t>
        </is>
      </c>
      <c r="F943" s="3" t="inlineStr">
        <is>
          <t>ols_solo_factor</t>
        </is>
      </c>
      <c r="G943" s="3" t="n">
        <v>3.74025</v>
      </c>
      <c r="H943" s="3" t="n">
        <v>6.50683</v>
      </c>
      <c r="I943" s="3" t="n"/>
      <c r="J943" s="3" t="n"/>
      <c r="K943" s="3" t="n">
        <v>57.4819</v>
      </c>
      <c r="L943" s="3" t="n"/>
      <c r="M943" s="3" t="inlineStr">
        <is>
          <t>no</t>
        </is>
      </c>
      <c r="N943" s="3" t="inlineStr">
        <is>
          <t>no designado (contraste C4: no hay svar_hd regional)</t>
        </is>
      </c>
      <c r="O943" s="3" t="inlineStr">
        <is>
          <t>CCAA: ranking por c_f·sign(dY) del panel FE (M8); asociacion, sin lectura causal; el factor comun es un resumen de comovimiento (pendiente ~1 mecanica, J23)</t>
        </is>
      </c>
      <c r="P943" s="3" t="inlineStr">
        <is>
          <t>output/v8/F5/regional_ranking.csv</t>
        </is>
      </c>
    </row>
    <row r="944">
      <c r="A944" s="3" t="inlineStr">
        <is>
          <t>compra</t>
        </is>
      </c>
      <c r="B944" s="3" t="inlineStr">
        <is>
          <t>ccaa:12</t>
        </is>
      </c>
      <c r="C944" s="3" t="inlineStr">
        <is>
          <t>P1</t>
        </is>
      </c>
      <c r="D944" s="3" t="inlineStr">
        <is>
          <t>factor_comun</t>
        </is>
      </c>
      <c r="E944" s="3" t="inlineStr">
        <is>
          <t>regional_panel</t>
        </is>
      </c>
      <c r="F944" s="3" t="inlineStr">
        <is>
          <t>panel_covariables</t>
        </is>
      </c>
      <c r="G944" s="3" t="n">
        <v>74.3853</v>
      </c>
      <c r="H944" s="3" t="n">
        <v>129.406</v>
      </c>
      <c r="I944" s="3" t="n">
        <v>63.2347</v>
      </c>
      <c r="J944" s="3" t="n">
        <v>88.0656</v>
      </c>
      <c r="K944" s="3" t="n">
        <v>57.4819</v>
      </c>
      <c r="L944" s="3" t="n"/>
      <c r="M944" s="3" t="inlineStr">
        <is>
          <t>no</t>
        </is>
      </c>
      <c r="N944" s="3" t="inlineStr">
        <is>
          <t>no designado (contraste C4: no hay svar_hd regional)</t>
        </is>
      </c>
      <c r="O944" s="3" t="inlineStr">
        <is>
          <t>CCAA: ranking por c_f·sign(dY) del panel FE (M8); asociacion, sin lectura causal; el factor comun es un resumen de comovimiento (pendiente ~1 mecanica, J23)</t>
        </is>
      </c>
      <c r="P944" s="3" t="inlineStr">
        <is>
          <t>output/v8/F5/regional_ranking.csv</t>
        </is>
      </c>
    </row>
    <row r="945">
      <c r="A945" s="3" t="inlineStr">
        <is>
          <t>compra</t>
        </is>
      </c>
      <c r="B945" s="3" t="inlineStr">
        <is>
          <t>ccaa:12</t>
        </is>
      </c>
      <c r="C945" s="3" t="inlineStr">
        <is>
          <t>P1</t>
        </is>
      </c>
      <c r="D945" s="3" t="inlineStr">
        <is>
          <t>residuo</t>
        </is>
      </c>
      <c r="E945" s="3" t="inlineStr">
        <is>
          <t>regional_panel</t>
        </is>
      </c>
      <c r="F945" s="3" t="inlineStr">
        <is>
          <t>panel_covariables</t>
        </is>
      </c>
      <c r="G945" s="3" t="n">
        <v>-16.9034</v>
      </c>
      <c r="H945" s="3" t="n">
        <v>-29.4064</v>
      </c>
      <c r="I945" s="3" t="n">
        <v>-27.5358</v>
      </c>
      <c r="J945" s="3" t="n">
        <v>-6.36542</v>
      </c>
      <c r="K945" s="3" t="n">
        <v>57.4819</v>
      </c>
      <c r="L945" s="3" t="n"/>
      <c r="M945" s="3" t="inlineStr">
        <is>
          <t>no</t>
        </is>
      </c>
      <c r="N945" s="3" t="inlineStr">
        <is>
          <t>no designado (contraste C4: no hay svar_hd regional)</t>
        </is>
      </c>
      <c r="O945" s="3" t="inlineStr">
        <is>
          <t>CCAA: ranking por c_f·sign(dY) del panel FE (M8); asociacion, sin lectura causal; el factor comun es un resumen de comovimiento (pendiente ~1 mecanica, J23)</t>
        </is>
      </c>
      <c r="P945" s="3" t="inlineStr">
        <is>
          <t>output/v8/F5/regional_ranking.csv</t>
        </is>
      </c>
    </row>
    <row r="946">
      <c r="A946" s="3" t="inlineStr">
        <is>
          <t>compra</t>
        </is>
      </c>
      <c r="B946" s="3" t="inlineStr">
        <is>
          <t>ccaa:12</t>
        </is>
      </c>
      <c r="C946" s="3" t="inlineStr">
        <is>
          <t>P2</t>
        </is>
      </c>
      <c r="D946" s="3" t="inlineStr">
        <is>
          <t>factor_comun</t>
        </is>
      </c>
      <c r="E946" s="3" t="inlineStr">
        <is>
          <t>regional_ccaa_ols</t>
        </is>
      </c>
      <c r="F946" s="3" t="inlineStr">
        <is>
          <t>ols_solo_factor</t>
        </is>
      </c>
      <c r="G946" s="3" t="n">
        <v>-69.6117</v>
      </c>
      <c r="H946" s="3" t="n">
        <v>199.102</v>
      </c>
      <c r="I946" s="3" t="n">
        <v>-78.6769</v>
      </c>
      <c r="J946" s="3" t="n">
        <v>-58.9422</v>
      </c>
      <c r="K946" s="3" t="n">
        <v>-33.3544</v>
      </c>
      <c r="L946" s="3" t="n"/>
      <c r="M946" s="3" t="inlineStr">
        <is>
          <t>no</t>
        </is>
      </c>
      <c r="N946" s="3" t="inlineStr">
        <is>
          <t>no designado (contraste C4: no hay svar_hd regional)</t>
        </is>
      </c>
      <c r="O946" s="3" t="inlineStr">
        <is>
          <t>CCAA: ranking por c_f·sign(dY) del panel FE (M8); asociacion, sin lectura causal; el factor comun es un resumen de comovimiento (pendiente ~1 mecanica, J23)</t>
        </is>
      </c>
      <c r="P946" s="3" t="inlineStr">
        <is>
          <t>output/v8/F5/regional_ranking.csv</t>
        </is>
      </c>
    </row>
    <row r="947">
      <c r="A947" s="3" t="inlineStr">
        <is>
          <t>compra</t>
        </is>
      </c>
      <c r="B947" s="3" t="inlineStr">
        <is>
          <t>ccaa:12</t>
        </is>
      </c>
      <c r="C947" s="3" t="inlineStr">
        <is>
          <t>P2</t>
        </is>
      </c>
      <c r="D947" s="3" t="inlineStr">
        <is>
          <t>residuo</t>
        </is>
      </c>
      <c r="E947" s="3" t="inlineStr">
        <is>
          <t>regional_ccaa_ols</t>
        </is>
      </c>
      <c r="F947" s="3" t="inlineStr">
        <is>
          <t>ols_solo_factor</t>
        </is>
      </c>
      <c r="G947" s="3" t="n">
        <v>34.6489</v>
      </c>
      <c r="H947" s="3" t="n">
        <v>-99.1024</v>
      </c>
      <c r="I947" s="3" t="n"/>
      <c r="J947" s="3" t="n"/>
      <c r="K947" s="3" t="n">
        <v>-33.3544</v>
      </c>
      <c r="L947" s="3" t="n"/>
      <c r="M947" s="3" t="inlineStr">
        <is>
          <t>no</t>
        </is>
      </c>
      <c r="N947" s="3" t="inlineStr">
        <is>
          <t>no designado (contraste C4: no hay svar_hd regional)</t>
        </is>
      </c>
      <c r="O947" s="3" t="inlineStr">
        <is>
          <t>CCAA: ranking por c_f·sign(dY) del panel FE (M8); asociacion, sin lectura causal; el factor comun es un resumen de comovimiento (pendiente ~1 mecanica, J23)</t>
        </is>
      </c>
      <c r="P947" s="3" t="inlineStr">
        <is>
          <t>output/v8/F5/regional_ranking.csv</t>
        </is>
      </c>
    </row>
    <row r="948">
      <c r="A948" s="3" t="inlineStr">
        <is>
          <t>compra</t>
        </is>
      </c>
      <c r="B948" s="3" t="inlineStr">
        <is>
          <t>ccaa:12</t>
        </is>
      </c>
      <c r="C948" s="3" t="inlineStr">
        <is>
          <t>P2</t>
        </is>
      </c>
      <c r="D948" s="3" t="inlineStr">
        <is>
          <t>factor_comun</t>
        </is>
      </c>
      <c r="E948" s="3" t="inlineStr">
        <is>
          <t>regional_panel</t>
        </is>
      </c>
      <c r="F948" s="3" t="inlineStr">
        <is>
          <t>panel_covariables</t>
        </is>
      </c>
      <c r="G948" s="3" t="n">
        <v>-35.0812</v>
      </c>
      <c r="H948" s="3" t="n">
        <v>105.177</v>
      </c>
      <c r="I948" s="3" t="n">
        <v>-41.5124</v>
      </c>
      <c r="J948" s="3" t="n">
        <v>-30.6884</v>
      </c>
      <c r="K948" s="3" t="n">
        <v>-33.3544</v>
      </c>
      <c r="L948" s="3" t="n"/>
      <c r="M948" s="3" t="inlineStr">
        <is>
          <t>no</t>
        </is>
      </c>
      <c r="N948" s="3" t="inlineStr">
        <is>
          <t>no designado (contraste C4: no hay svar_hd regional)</t>
        </is>
      </c>
      <c r="O948" s="3" t="inlineStr">
        <is>
          <t>CCAA: ranking por c_f·sign(dY) del panel FE (M8); asociacion, sin lectura causal; el factor comun es un resumen de comovimiento (pendiente ~1 mecanica, J23)</t>
        </is>
      </c>
      <c r="P948" s="3" t="inlineStr">
        <is>
          <t>output/v8/F5/regional_ranking.csv</t>
        </is>
      </c>
    </row>
    <row r="949">
      <c r="A949" s="3" t="inlineStr">
        <is>
          <t>compra</t>
        </is>
      </c>
      <c r="B949" s="3" t="inlineStr">
        <is>
          <t>ccaa:12</t>
        </is>
      </c>
      <c r="C949" s="3" t="inlineStr">
        <is>
          <t>P2</t>
        </is>
      </c>
      <c r="D949" s="3" t="inlineStr">
        <is>
          <t>empleo_renta</t>
        </is>
      </c>
      <c r="E949" s="3" t="inlineStr">
        <is>
          <t>regional_panel</t>
        </is>
      </c>
      <c r="F949" s="3" t="inlineStr">
        <is>
          <t>panel_covariables</t>
        </is>
      </c>
      <c r="G949" s="3" t="n">
        <v>-1.15942</v>
      </c>
      <c r="H949" s="3" t="n">
        <v>3.47607</v>
      </c>
      <c r="I949" s="3" t="n">
        <v>-2.22439</v>
      </c>
      <c r="J949" s="3" t="n">
        <v>0.234173</v>
      </c>
      <c r="K949" s="3" t="n">
        <v>-33.3544</v>
      </c>
      <c r="L949" s="3" t="n">
        <v>1</v>
      </c>
      <c r="M949" s="3" t="inlineStr">
        <is>
          <t>si</t>
        </is>
      </c>
      <c r="N949" s="3" t="inlineStr">
        <is>
          <t>no designado (contraste C4: no hay svar_hd regional)</t>
        </is>
      </c>
      <c r="O949" s="3" t="inlineStr">
        <is>
          <t>CCAA: ranking por c_f·sign(dY) del panel FE (M8); asociacion, sin lectura causal; el factor comun es un resumen de comovimiento (pendiente ~1 mecanica, J23)</t>
        </is>
      </c>
      <c r="P949" s="3" t="inlineStr">
        <is>
          <t>output/v8/F5/regional_ranking.csv</t>
        </is>
      </c>
    </row>
    <row r="950">
      <c r="A950" s="3" t="inlineStr">
        <is>
          <t>compra</t>
        </is>
      </c>
      <c r="B950" s="3" t="inlineStr">
        <is>
          <t>ccaa:12</t>
        </is>
      </c>
      <c r="C950" s="3" t="inlineStr">
        <is>
          <t>P2</t>
        </is>
      </c>
      <c r="D950" s="3" t="inlineStr">
        <is>
          <t>demografia</t>
        </is>
      </c>
      <c r="E950" s="3" t="inlineStr">
        <is>
          <t>regional_panel</t>
        </is>
      </c>
      <c r="F950" s="3" t="inlineStr">
        <is>
          <t>panel_covariables</t>
        </is>
      </c>
      <c r="G950" s="3" t="n">
        <v>-0.202006</v>
      </c>
      <c r="H950" s="3" t="n">
        <v>0.605636</v>
      </c>
      <c r="I950" s="3" t="n">
        <v>-1.58715</v>
      </c>
      <c r="J950" s="3" t="n">
        <v>0.109334</v>
      </c>
      <c r="K950" s="3" t="n">
        <v>-33.3544</v>
      </c>
      <c r="L950" s="3" t="n">
        <v>2</v>
      </c>
      <c r="M950" s="3" t="inlineStr">
        <is>
          <t>si</t>
        </is>
      </c>
      <c r="N950" s="3" t="inlineStr">
        <is>
          <t>no designado (contraste C4: no hay svar_hd regional)</t>
        </is>
      </c>
      <c r="O950" s="3" t="inlineStr">
        <is>
          <t>CCAA: ranking por c_f·sign(dY) del panel FE (M8); asociacion, sin lectura causal; el factor comun es un resumen de comovimiento (pendiente ~1 mecanica, J23)</t>
        </is>
      </c>
      <c r="P950" s="3" t="inlineStr">
        <is>
          <t>output/v8/F5/regional_ranking.csv</t>
        </is>
      </c>
    </row>
    <row r="951">
      <c r="A951" s="3" t="inlineStr">
        <is>
          <t>compra</t>
        </is>
      </c>
      <c r="B951" s="3" t="inlineStr">
        <is>
          <t>ccaa:12</t>
        </is>
      </c>
      <c r="C951" s="3" t="inlineStr">
        <is>
          <t>P2</t>
        </is>
      </c>
      <c r="D951" s="3" t="inlineStr">
        <is>
          <t>oferta</t>
        </is>
      </c>
      <c r="E951" s="3" t="inlineStr">
        <is>
          <t>regional_panel</t>
        </is>
      </c>
      <c r="F951" s="3" t="inlineStr">
        <is>
          <t>panel_covariables</t>
        </is>
      </c>
      <c r="G951" s="3" t="n">
        <v>-0.0652306</v>
      </c>
      <c r="H951" s="3" t="n">
        <v>0.195568</v>
      </c>
      <c r="I951" s="3" t="n">
        <v>-0.517265</v>
      </c>
      <c r="J951" s="3" t="n">
        <v>0.366</v>
      </c>
      <c r="K951" s="3" t="n">
        <v>-33.3544</v>
      </c>
      <c r="L951" s="3" t="n">
        <v>3</v>
      </c>
      <c r="M951" s="3" t="inlineStr">
        <is>
          <t>si</t>
        </is>
      </c>
      <c r="N951" s="3" t="inlineStr">
        <is>
          <t>no designado (contraste C4: no hay svar_hd regional)</t>
        </is>
      </c>
      <c r="O951" s="3" t="inlineStr">
        <is>
          <t>CCAA: ranking por c_f·sign(dY) del panel FE (M8); asociacion, sin lectura causal; el factor comun es un resumen de comovimiento (pendiente ~1 mecanica, J23)</t>
        </is>
      </c>
      <c r="P951" s="3" t="inlineStr">
        <is>
          <t>output/v8/F5/regional_ranking.csv</t>
        </is>
      </c>
    </row>
    <row r="952">
      <c r="A952" s="3" t="inlineStr">
        <is>
          <t>compra</t>
        </is>
      </c>
      <c r="B952" s="3" t="inlineStr">
        <is>
          <t>ccaa:12</t>
        </is>
      </c>
      <c r="C952" s="3" t="inlineStr">
        <is>
          <t>P2</t>
        </is>
      </c>
      <c r="D952" s="3" t="inlineStr">
        <is>
          <t>demanda_externa</t>
        </is>
      </c>
      <c r="E952" s="3" t="inlineStr">
        <is>
          <t>regional_panel</t>
        </is>
      </c>
      <c r="F952" s="3" t="inlineStr">
        <is>
          <t>panel_covariables</t>
        </is>
      </c>
      <c r="G952" s="3" t="n">
        <v>0.761556</v>
      </c>
      <c r="H952" s="3" t="n">
        <v>-2.28322</v>
      </c>
      <c r="I952" s="3" t="n">
        <v>0.102596</v>
      </c>
      <c r="J952" s="3" t="n">
        <v>2.05854</v>
      </c>
      <c r="K952" s="3" t="n">
        <v>-33.3544</v>
      </c>
      <c r="L952" s="3" t="n">
        <v>4</v>
      </c>
      <c r="M952" s="3" t="inlineStr">
        <is>
          <t>si</t>
        </is>
      </c>
      <c r="N952" s="3" t="inlineStr">
        <is>
          <t>no designado (contraste C4: no hay svar_hd regional)</t>
        </is>
      </c>
      <c r="O952" s="3" t="inlineStr">
        <is>
          <t>CCAA: ranking por c_f·sign(dY) del panel FE (M8); asociacion, sin lectura causal; el factor comun es un resumen de comovimiento (pendiente ~1 mecanica, J23)</t>
        </is>
      </c>
      <c r="P952" s="3" t="inlineStr">
        <is>
          <t>output/v8/F5/regional_ranking.csv</t>
        </is>
      </c>
    </row>
    <row r="953">
      <c r="A953" s="3" t="inlineStr">
        <is>
          <t>compra</t>
        </is>
      </c>
      <c r="B953" s="3" t="inlineStr">
        <is>
          <t>ccaa:12</t>
        </is>
      </c>
      <c r="C953" s="3" t="inlineStr">
        <is>
          <t>P2</t>
        </is>
      </c>
      <c r="D953" s="3" t="inlineStr">
        <is>
          <t>residuo</t>
        </is>
      </c>
      <c r="E953" s="3" t="inlineStr">
        <is>
          <t>regional_panel</t>
        </is>
      </c>
      <c r="F953" s="3" t="inlineStr">
        <is>
          <t>panel_covariables</t>
        </is>
      </c>
      <c r="G953" s="3" t="n">
        <v>2.39185</v>
      </c>
      <c r="H953" s="3" t="n">
        <v>-7.17103</v>
      </c>
      <c r="I953" s="3" t="n">
        <v>-0.22948</v>
      </c>
      <c r="J953" s="3" t="n">
        <v>6.97205</v>
      </c>
      <c r="K953" s="3" t="n">
        <v>-33.3544</v>
      </c>
      <c r="L953" s="3" t="n"/>
      <c r="M953" s="3" t="inlineStr">
        <is>
          <t>no</t>
        </is>
      </c>
      <c r="N953" s="3" t="inlineStr">
        <is>
          <t>no designado (contraste C4: no hay svar_hd regional)</t>
        </is>
      </c>
      <c r="O953" s="3" t="inlineStr">
        <is>
          <t>CCAA: ranking por c_f·sign(dY) del panel FE (M8); asociacion, sin lectura causal; el factor comun es un resumen de comovimiento (pendiente ~1 mecanica, J23)</t>
        </is>
      </c>
      <c r="P953" s="3" t="inlineStr">
        <is>
          <t>output/v8/F5/regional_ranking.csv</t>
        </is>
      </c>
    </row>
    <row r="954">
      <c r="A954" s="3" t="inlineStr">
        <is>
          <t>compra</t>
        </is>
      </c>
      <c r="B954" s="3" t="inlineStr">
        <is>
          <t>ccaa:12</t>
        </is>
      </c>
      <c r="C954" s="3" t="inlineStr">
        <is>
          <t>P3</t>
        </is>
      </c>
      <c r="D954" s="3" t="inlineStr">
        <is>
          <t>factor_comun</t>
        </is>
      </c>
      <c r="E954" s="3" t="inlineStr">
        <is>
          <t>regional_ccaa_ols</t>
        </is>
      </c>
      <c r="F954" s="3" t="inlineStr">
        <is>
          <t>ols_solo_factor</t>
        </is>
      </c>
      <c r="G954" s="3" t="n">
        <v>-0.360553</v>
      </c>
      <c r="H954" s="3" t="n">
        <v>8.285119999999999</v>
      </c>
      <c r="I954" s="3" t="n">
        <v>-2.31291</v>
      </c>
      <c r="J954" s="3" t="n">
        <v>3.00518</v>
      </c>
      <c r="K954" s="3" t="n">
        <v>-4.02899</v>
      </c>
      <c r="L954" s="3" t="n"/>
      <c r="M954" s="3" t="inlineStr">
        <is>
          <t>no</t>
        </is>
      </c>
      <c r="N954" s="3" t="inlineStr">
        <is>
          <t>no designado (contraste C4: no hay svar_hd regional)</t>
        </is>
      </c>
      <c r="O954" s="3" t="inlineStr">
        <is>
          <t>CCAA: ranking por c_f·sign(dY) del panel FE (M8); asociacion, sin lectura causal; el factor comun es un resumen de comovimiento (pendiente ~1 mecanica, J23)</t>
        </is>
      </c>
      <c r="P954" s="3" t="inlineStr">
        <is>
          <t>output/v8/F5/regional_ranking.csv</t>
        </is>
      </c>
    </row>
    <row r="955">
      <c r="A955" s="3" t="inlineStr">
        <is>
          <t>compra</t>
        </is>
      </c>
      <c r="B955" s="3" t="inlineStr">
        <is>
          <t>ccaa:12</t>
        </is>
      </c>
      <c r="C955" s="3" t="inlineStr">
        <is>
          <t>P3</t>
        </is>
      </c>
      <c r="D955" s="3" t="inlineStr">
        <is>
          <t>residuo</t>
        </is>
      </c>
      <c r="E955" s="3" t="inlineStr">
        <is>
          <t>regional_ccaa_ols</t>
        </is>
      </c>
      <c r="F955" s="3" t="inlineStr">
        <is>
          <t>ols_solo_factor</t>
        </is>
      </c>
      <c r="G955" s="3" t="n">
        <v>-3.99126</v>
      </c>
      <c r="H955" s="3" t="n">
        <v>91.7149</v>
      </c>
      <c r="I955" s="3" t="n"/>
      <c r="J955" s="3" t="n"/>
      <c r="K955" s="3" t="n">
        <v>-4.02899</v>
      </c>
      <c r="L955" s="3" t="n"/>
      <c r="M955" s="3" t="inlineStr">
        <is>
          <t>no</t>
        </is>
      </c>
      <c r="N955" s="3" t="inlineStr">
        <is>
          <t>no designado (contraste C4: no hay svar_hd regional)</t>
        </is>
      </c>
      <c r="O955" s="3" t="inlineStr">
        <is>
          <t>CCAA: ranking por c_f·sign(dY) del panel FE (M8); asociacion, sin lectura causal; el factor comun es un resumen de comovimiento (pendiente ~1 mecanica, J23)</t>
        </is>
      </c>
      <c r="P955" s="3" t="inlineStr">
        <is>
          <t>output/v8/F5/regional_ranking.csv</t>
        </is>
      </c>
    </row>
    <row r="956">
      <c r="A956" s="3" t="inlineStr">
        <is>
          <t>compra</t>
        </is>
      </c>
      <c r="B956" s="3" t="inlineStr">
        <is>
          <t>ccaa:12</t>
        </is>
      </c>
      <c r="C956" s="3" t="inlineStr">
        <is>
          <t>P3</t>
        </is>
      </c>
      <c r="D956" s="3" t="inlineStr">
        <is>
          <t>factor_comun</t>
        </is>
      </c>
      <c r="E956" s="3" t="inlineStr">
        <is>
          <t>regional_panel</t>
        </is>
      </c>
      <c r="F956" s="3" t="inlineStr">
        <is>
          <t>panel_covariables</t>
        </is>
      </c>
      <c r="G956" s="3" t="n">
        <v>-0.548472</v>
      </c>
      <c r="H956" s="3" t="n">
        <v>13.6131</v>
      </c>
      <c r="I956" s="3" t="n">
        <v>-3.50001</v>
      </c>
      <c r="J956" s="3" t="n">
        <v>2.45383</v>
      </c>
      <c r="K956" s="3" t="n">
        <v>-4.02899</v>
      </c>
      <c r="L956" s="3" t="n"/>
      <c r="M956" s="3" t="inlineStr">
        <is>
          <t>no</t>
        </is>
      </c>
      <c r="N956" s="3" t="inlineStr">
        <is>
          <t>no designado (contraste C4: no hay svar_hd regional)</t>
        </is>
      </c>
      <c r="O956" s="3" t="inlineStr">
        <is>
          <t>CCAA: ranking por c_f·sign(dY) del panel FE (M8); asociacion, sin lectura causal; el factor comun es un resumen de comovimiento (pendiente ~1 mecanica, J23)</t>
        </is>
      </c>
      <c r="P956" s="3" t="inlineStr">
        <is>
          <t>output/v8/F5/regional_ranking.csv</t>
        </is>
      </c>
    </row>
    <row r="957">
      <c r="A957" s="3" t="inlineStr">
        <is>
          <t>compra</t>
        </is>
      </c>
      <c r="B957" s="3" t="inlineStr">
        <is>
          <t>ccaa:12</t>
        </is>
      </c>
      <c r="C957" s="3" t="inlineStr">
        <is>
          <t>P3</t>
        </is>
      </c>
      <c r="D957" s="3" t="inlineStr">
        <is>
          <t>empleo_renta</t>
        </is>
      </c>
      <c r="E957" s="3" t="inlineStr">
        <is>
          <t>regional_panel</t>
        </is>
      </c>
      <c r="F957" s="3" t="inlineStr">
        <is>
          <t>panel_covariables</t>
        </is>
      </c>
      <c r="G957" s="3" t="n">
        <v>0.436582</v>
      </c>
      <c r="H957" s="3" t="n">
        <v>-10.836</v>
      </c>
      <c r="I957" s="3" t="n">
        <v>-0.0932379</v>
      </c>
      <c r="J957" s="3" t="n">
        <v>1.0807</v>
      </c>
      <c r="K957" s="3" t="n">
        <v>-4.02899</v>
      </c>
      <c r="L957" s="3" t="n">
        <v>3</v>
      </c>
      <c r="M957" s="3" t="inlineStr">
        <is>
          <t>si</t>
        </is>
      </c>
      <c r="N957" s="3" t="inlineStr">
        <is>
          <t>no designado (contraste C4: no hay svar_hd regional)</t>
        </is>
      </c>
      <c r="O957" s="3" t="inlineStr">
        <is>
          <t>CCAA: ranking por c_f·sign(dY) del panel FE (M8); asociacion, sin lectura causal; el factor comun es un resumen de comovimiento (pendiente ~1 mecanica, J23)</t>
        </is>
      </c>
      <c r="P957" s="3" t="inlineStr">
        <is>
          <t>output/v8/F5/regional_ranking.csv</t>
        </is>
      </c>
    </row>
    <row r="958">
      <c r="A958" s="3" t="inlineStr">
        <is>
          <t>compra</t>
        </is>
      </c>
      <c r="B958" s="3" t="inlineStr">
        <is>
          <t>ccaa:12</t>
        </is>
      </c>
      <c r="C958" s="3" t="inlineStr">
        <is>
          <t>P3</t>
        </is>
      </c>
      <c r="D958" s="3" t="inlineStr">
        <is>
          <t>demografia</t>
        </is>
      </c>
      <c r="E958" s="3" t="inlineStr">
        <is>
          <t>regional_panel</t>
        </is>
      </c>
      <c r="F958" s="3" t="inlineStr">
        <is>
          <t>panel_covariables</t>
        </is>
      </c>
      <c r="G958" s="3" t="n">
        <v>-1.91927</v>
      </c>
      <c r="H958" s="3" t="n">
        <v>47.6364</v>
      </c>
      <c r="I958" s="3" t="n">
        <v>-2.95856</v>
      </c>
      <c r="J958" s="3" t="n">
        <v>-0.956763</v>
      </c>
      <c r="K958" s="3" t="n">
        <v>-4.02899</v>
      </c>
      <c r="L958" s="3" t="n">
        <v>1</v>
      </c>
      <c r="M958" s="3" t="inlineStr">
        <is>
          <t>si</t>
        </is>
      </c>
      <c r="N958" s="3" t="inlineStr">
        <is>
          <t>no designado (contraste C4: no hay svar_hd regional)</t>
        </is>
      </c>
      <c r="O958" s="3" t="inlineStr">
        <is>
          <t>CCAA: ranking por c_f·sign(dY) del panel FE (M8); asociacion, sin lectura causal; el factor comun es un resumen de comovimiento (pendiente ~1 mecanica, J23)</t>
        </is>
      </c>
      <c r="P958" s="3" t="inlineStr">
        <is>
          <t>output/v8/F5/regional_ranking.csv</t>
        </is>
      </c>
    </row>
    <row r="959">
      <c r="A959" s="3" t="inlineStr">
        <is>
          <t>compra</t>
        </is>
      </c>
      <c r="B959" s="3" t="inlineStr">
        <is>
          <t>ccaa:12</t>
        </is>
      </c>
      <c r="C959" s="3" t="inlineStr">
        <is>
          <t>P3</t>
        </is>
      </c>
      <c r="D959" s="3" t="inlineStr">
        <is>
          <t>oferta</t>
        </is>
      </c>
      <c r="E959" s="3" t="inlineStr">
        <is>
          <t>regional_panel</t>
        </is>
      </c>
      <c r="F959" s="3" t="inlineStr">
        <is>
          <t>panel_covariables</t>
        </is>
      </c>
      <c r="G959" s="3" t="n">
        <v>-0.11806</v>
      </c>
      <c r="H959" s="3" t="n">
        <v>2.93027</v>
      </c>
      <c r="I959" s="3" t="n">
        <v>-0.303889</v>
      </c>
      <c r="J959" s="3" t="n">
        <v>0.161994</v>
      </c>
      <c r="K959" s="3" t="n">
        <v>-4.02899</v>
      </c>
      <c r="L959" s="3" t="n">
        <v>2</v>
      </c>
      <c r="M959" s="3" t="inlineStr">
        <is>
          <t>si</t>
        </is>
      </c>
      <c r="N959" s="3" t="inlineStr">
        <is>
          <t>no designado (contraste C4: no hay svar_hd regional)</t>
        </is>
      </c>
      <c r="O959" s="3" t="inlineStr">
        <is>
          <t>CCAA: ranking por c_f·sign(dY) del panel FE (M8); asociacion, sin lectura causal; el factor comun es un resumen de comovimiento (pendiente ~1 mecanica, J23)</t>
        </is>
      </c>
      <c r="P959" s="3" t="inlineStr">
        <is>
          <t>output/v8/F5/regional_ranking.csv</t>
        </is>
      </c>
    </row>
    <row r="960">
      <c r="A960" s="3" t="inlineStr">
        <is>
          <t>compra</t>
        </is>
      </c>
      <c r="B960" s="3" t="inlineStr">
        <is>
          <t>ccaa:12</t>
        </is>
      </c>
      <c r="C960" s="3" t="inlineStr">
        <is>
          <t>P3</t>
        </is>
      </c>
      <c r="D960" s="3" t="inlineStr">
        <is>
          <t>demanda_externa</t>
        </is>
      </c>
      <c r="E960" s="3" t="inlineStr">
        <is>
          <t>regional_panel</t>
        </is>
      </c>
      <c r="F960" s="3" t="inlineStr">
        <is>
          <t>panel_covariables</t>
        </is>
      </c>
      <c r="G960" s="3" t="n">
        <v>0.876563</v>
      </c>
      <c r="H960" s="3" t="n">
        <v>-21.7564</v>
      </c>
      <c r="I960" s="3" t="n">
        <v>0.314457</v>
      </c>
      <c r="J960" s="3" t="n">
        <v>1.33216</v>
      </c>
      <c r="K960" s="3" t="n">
        <v>-4.02899</v>
      </c>
      <c r="L960" s="3" t="n">
        <v>4</v>
      </c>
      <c r="M960" s="3" t="inlineStr">
        <is>
          <t>si</t>
        </is>
      </c>
      <c r="N960" s="3" t="inlineStr">
        <is>
          <t>no designado (contraste C4: no hay svar_hd regional)</t>
        </is>
      </c>
      <c r="O960" s="3" t="inlineStr">
        <is>
          <t>CCAA: ranking por c_f·sign(dY) del panel FE (M8); asociacion, sin lectura causal; el factor comun es un resumen de comovimiento (pendiente ~1 mecanica, J23)</t>
        </is>
      </c>
      <c r="P960" s="3" t="inlineStr">
        <is>
          <t>output/v8/F5/regional_ranking.csv</t>
        </is>
      </c>
    </row>
    <row r="961">
      <c r="A961" s="3" t="inlineStr">
        <is>
          <t>compra</t>
        </is>
      </c>
      <c r="B961" s="3" t="inlineStr">
        <is>
          <t>ccaa:12</t>
        </is>
      </c>
      <c r="C961" s="3" t="inlineStr">
        <is>
          <t>P3</t>
        </is>
      </c>
      <c r="D961" s="3" t="inlineStr">
        <is>
          <t>residuo</t>
        </is>
      </c>
      <c r="E961" s="3" t="inlineStr">
        <is>
          <t>regional_panel</t>
        </is>
      </c>
      <c r="F961" s="3" t="inlineStr">
        <is>
          <t>panel_covariables</t>
        </is>
      </c>
      <c r="G961" s="3" t="n">
        <v>-2.75634</v>
      </c>
      <c r="H961" s="3" t="n">
        <v>68.4126</v>
      </c>
      <c r="I961" s="3" t="n">
        <v>-4.81058</v>
      </c>
      <c r="J961" s="3" t="n">
        <v>-0.600538</v>
      </c>
      <c r="K961" s="3" t="n">
        <v>-4.02899</v>
      </c>
      <c r="L961" s="3" t="n"/>
      <c r="M961" s="3" t="inlineStr">
        <is>
          <t>no</t>
        </is>
      </c>
      <c r="N961" s="3" t="inlineStr">
        <is>
          <t>no designado (contraste C4: no hay svar_hd regional)</t>
        </is>
      </c>
      <c r="O961" s="3" t="inlineStr">
        <is>
          <t>CCAA: ranking por c_f·sign(dY) del panel FE (M8); asociacion, sin lectura causal; el factor comun es un resumen de comovimiento (pendiente ~1 mecanica, J23)</t>
        </is>
      </c>
      <c r="P961" s="3" t="inlineStr">
        <is>
          <t>output/v8/F5/regional_ranking.csv</t>
        </is>
      </c>
    </row>
    <row r="962">
      <c r="A962" s="3" t="inlineStr">
        <is>
          <t>compra</t>
        </is>
      </c>
      <c r="B962" s="3" t="inlineStr">
        <is>
          <t>ccaa:12</t>
        </is>
      </c>
      <c r="C962" s="3" t="inlineStr">
        <is>
          <t>P4</t>
        </is>
      </c>
      <c r="D962" s="3" t="inlineStr">
        <is>
          <t>factor_comun</t>
        </is>
      </c>
      <c r="E962" s="3" t="inlineStr">
        <is>
          <t>regional_ccaa_ols</t>
        </is>
      </c>
      <c r="F962" s="3" t="inlineStr">
        <is>
          <t>ols_solo_factor</t>
        </is>
      </c>
      <c r="G962" s="3" t="n">
        <v>-5.44357</v>
      </c>
      <c r="H962" s="3" t="n">
        <v>140.965</v>
      </c>
      <c r="I962" s="3" t="n">
        <v>-6.82056</v>
      </c>
      <c r="J962" s="3" t="n">
        <v>-3.33219</v>
      </c>
      <c r="K962" s="3" t="n">
        <v>-3.86165</v>
      </c>
      <c r="L962" s="3" t="n"/>
      <c r="M962" s="3" t="inlineStr">
        <is>
          <t>no</t>
        </is>
      </c>
      <c r="N962" s="3" t="inlineStr">
        <is>
          <t>no designado (contraste C4: no hay svar_hd regional)</t>
        </is>
      </c>
      <c r="O962" s="3" t="inlineStr">
        <is>
          <t>CCAA: ranking por c_f·sign(dY) del panel FE (M8); asociacion, sin lectura causal; el factor comun es un resumen de comovimiento (pendiente ~1 mecanica, J23)</t>
        </is>
      </c>
      <c r="P962" s="3" t="inlineStr">
        <is>
          <t>output/v8/F5/regional_ranking.csv</t>
        </is>
      </c>
    </row>
    <row r="963">
      <c r="A963" s="3" t="inlineStr">
        <is>
          <t>compra</t>
        </is>
      </c>
      <c r="B963" s="3" t="inlineStr">
        <is>
          <t>ccaa:12</t>
        </is>
      </c>
      <c r="C963" s="3" t="inlineStr">
        <is>
          <t>P4</t>
        </is>
      </c>
      <c r="D963" s="3" t="inlineStr">
        <is>
          <t>residuo</t>
        </is>
      </c>
      <c r="E963" s="3" t="inlineStr">
        <is>
          <t>regional_ccaa_ols</t>
        </is>
      </c>
      <c r="F963" s="3" t="inlineStr">
        <is>
          <t>ols_solo_factor</t>
        </is>
      </c>
      <c r="G963" s="3" t="n">
        <v>1.58192</v>
      </c>
      <c r="H963" s="3" t="n">
        <v>-40.965</v>
      </c>
      <c r="I963" s="3" t="n"/>
      <c r="J963" s="3" t="n"/>
      <c r="K963" s="3" t="n">
        <v>-3.86165</v>
      </c>
      <c r="L963" s="3" t="n"/>
      <c r="M963" s="3" t="inlineStr">
        <is>
          <t>no</t>
        </is>
      </c>
      <c r="N963" s="3" t="inlineStr">
        <is>
          <t>no designado (contraste C4: no hay svar_hd regional)</t>
        </is>
      </c>
      <c r="O963" s="3" t="inlineStr">
        <is>
          <t>CCAA: ranking por c_f·sign(dY) del panel FE (M8); asociacion, sin lectura causal; el factor comun es un resumen de comovimiento (pendiente ~1 mecanica, J23)</t>
        </is>
      </c>
      <c r="P963" s="3" t="inlineStr">
        <is>
          <t>output/v8/F5/regional_ranking.csv</t>
        </is>
      </c>
    </row>
    <row r="964">
      <c r="A964" s="3" t="inlineStr">
        <is>
          <t>compra</t>
        </is>
      </c>
      <c r="B964" s="3" t="inlineStr">
        <is>
          <t>ccaa:12</t>
        </is>
      </c>
      <c r="C964" s="3" t="inlineStr">
        <is>
          <t>P4</t>
        </is>
      </c>
      <c r="D964" s="3" t="inlineStr">
        <is>
          <t>factor_comun</t>
        </is>
      </c>
      <c r="E964" s="3" t="inlineStr">
        <is>
          <t>regional_panel</t>
        </is>
      </c>
      <c r="F964" s="3" t="inlineStr">
        <is>
          <t>panel_covariables</t>
        </is>
      </c>
      <c r="G964" s="3" t="n">
        <v>-4.21608</v>
      </c>
      <c r="H964" s="3" t="n">
        <v>109.178</v>
      </c>
      <c r="I964" s="3" t="n">
        <v>-5.07352</v>
      </c>
      <c r="J964" s="3" t="n">
        <v>-2.674</v>
      </c>
      <c r="K964" s="3" t="n">
        <v>-3.86165</v>
      </c>
      <c r="L964" s="3" t="n"/>
      <c r="M964" s="3" t="inlineStr">
        <is>
          <t>no</t>
        </is>
      </c>
      <c r="N964" s="3" t="inlineStr">
        <is>
          <t>no designado (contraste C4: no hay svar_hd regional)</t>
        </is>
      </c>
      <c r="O964" s="3" t="inlineStr">
        <is>
          <t>CCAA: ranking por c_f·sign(dY) del panel FE (M8); asociacion, sin lectura causal; el factor comun es un resumen de comovimiento (pendiente ~1 mecanica, J23)</t>
        </is>
      </c>
      <c r="P964" s="3" t="inlineStr">
        <is>
          <t>output/v8/F5/regional_ranking.csv</t>
        </is>
      </c>
    </row>
    <row r="965">
      <c r="A965" s="3" t="inlineStr">
        <is>
          <t>compra</t>
        </is>
      </c>
      <c r="B965" s="3" t="inlineStr">
        <is>
          <t>ccaa:12</t>
        </is>
      </c>
      <c r="C965" s="3" t="inlineStr">
        <is>
          <t>P4</t>
        </is>
      </c>
      <c r="D965" s="3" t="inlineStr">
        <is>
          <t>empleo_renta</t>
        </is>
      </c>
      <c r="E965" s="3" t="inlineStr">
        <is>
          <t>regional_panel</t>
        </is>
      </c>
      <c r="F965" s="3" t="inlineStr">
        <is>
          <t>panel_covariables</t>
        </is>
      </c>
      <c r="G965" s="3" t="n">
        <v>0.234475</v>
      </c>
      <c r="H965" s="3" t="n">
        <v>-6.07189</v>
      </c>
      <c r="I965" s="3" t="n">
        <v>0.120866</v>
      </c>
      <c r="J965" s="3" t="n">
        <v>0.339271</v>
      </c>
      <c r="K965" s="3" t="n">
        <v>-3.86165</v>
      </c>
      <c r="L965" s="3" t="n">
        <v>3</v>
      </c>
      <c r="M965" s="3" t="inlineStr">
        <is>
          <t>si</t>
        </is>
      </c>
      <c r="N965" s="3" t="inlineStr">
        <is>
          <t>no designado (contraste C4: no hay svar_hd regional)</t>
        </is>
      </c>
      <c r="O965" s="3" t="inlineStr">
        <is>
          <t>CCAA: ranking por c_f·sign(dY) del panel FE (M8); asociacion, sin lectura causal; el factor comun es un resumen de comovimiento (pendiente ~1 mecanica, J23)</t>
        </is>
      </c>
      <c r="P965" s="3" t="inlineStr">
        <is>
          <t>output/v8/F5/regional_ranking.csv</t>
        </is>
      </c>
    </row>
    <row r="966">
      <c r="A966" s="3" t="inlineStr">
        <is>
          <t>compra</t>
        </is>
      </c>
      <c r="B966" s="3" t="inlineStr">
        <is>
          <t>ccaa:12</t>
        </is>
      </c>
      <c r="C966" s="3" t="inlineStr">
        <is>
          <t>P4</t>
        </is>
      </c>
      <c r="D966" s="3" t="inlineStr">
        <is>
          <t>demografia</t>
        </is>
      </c>
      <c r="E966" s="3" t="inlineStr">
        <is>
          <t>regional_panel</t>
        </is>
      </c>
      <c r="F966" s="3" t="inlineStr">
        <is>
          <t>panel_covariables</t>
        </is>
      </c>
      <c r="G966" s="3" t="n">
        <v>4.07281</v>
      </c>
      <c r="H966" s="3" t="n">
        <v>-105.468</v>
      </c>
      <c r="I966" s="3" t="n">
        <v>0.719458</v>
      </c>
      <c r="J966" s="3" t="n">
        <v>6.97072</v>
      </c>
      <c r="K966" s="3" t="n">
        <v>-3.86165</v>
      </c>
      <c r="L966" s="3" t="n">
        <v>4</v>
      </c>
      <c r="M966" s="3" t="inlineStr">
        <is>
          <t>si</t>
        </is>
      </c>
      <c r="N966" s="3" t="inlineStr">
        <is>
          <t>no designado (contraste C4: no hay svar_hd regional)</t>
        </is>
      </c>
      <c r="O966" s="3" t="inlineStr">
        <is>
          <t>CCAA: ranking por c_f·sign(dY) del panel FE (M8); asociacion, sin lectura causal; el factor comun es un resumen de comovimiento (pendiente ~1 mecanica, J23)</t>
        </is>
      </c>
      <c r="P966" s="3" t="inlineStr">
        <is>
          <t>output/v8/F5/regional_ranking.csv</t>
        </is>
      </c>
    </row>
    <row r="967">
      <c r="A967" s="3" t="inlineStr">
        <is>
          <t>compra</t>
        </is>
      </c>
      <c r="B967" s="3" t="inlineStr">
        <is>
          <t>ccaa:12</t>
        </is>
      </c>
      <c r="C967" s="3" t="inlineStr">
        <is>
          <t>P4</t>
        </is>
      </c>
      <c r="D967" s="3" t="inlineStr">
        <is>
          <t>oferta</t>
        </is>
      </c>
      <c r="E967" s="3" t="inlineStr">
        <is>
          <t>regional_panel</t>
        </is>
      </c>
      <c r="F967" s="3" t="inlineStr">
        <is>
          <t>panel_covariables</t>
        </is>
      </c>
      <c r="G967" s="3" t="n">
        <v>0.0534832</v>
      </c>
      <c r="H967" s="3" t="n">
        <v>-1.38498</v>
      </c>
      <c r="I967" s="3" t="n">
        <v>-0.0225178</v>
      </c>
      <c r="J967" s="3" t="n">
        <v>0.133405</v>
      </c>
      <c r="K967" s="3" t="n">
        <v>-3.86165</v>
      </c>
      <c r="L967" s="3" t="n">
        <v>1</v>
      </c>
      <c r="M967" s="3" t="inlineStr">
        <is>
          <t>si</t>
        </is>
      </c>
      <c r="N967" s="3" t="inlineStr">
        <is>
          <t>no designado (contraste C4: no hay svar_hd regional)</t>
        </is>
      </c>
      <c r="O967" s="3" t="inlineStr">
        <is>
          <t>CCAA: ranking por c_f·sign(dY) del panel FE (M8); asociacion, sin lectura causal; el factor comun es un resumen de comovimiento (pendiente ~1 mecanica, J23)</t>
        </is>
      </c>
      <c r="P967" s="3" t="inlineStr">
        <is>
          <t>output/v8/F5/regional_ranking.csv</t>
        </is>
      </c>
    </row>
    <row r="968">
      <c r="A968" s="3" t="inlineStr">
        <is>
          <t>compra</t>
        </is>
      </c>
      <c r="B968" s="3" t="inlineStr">
        <is>
          <t>ccaa:12</t>
        </is>
      </c>
      <c r="C968" s="3" t="inlineStr">
        <is>
          <t>P4</t>
        </is>
      </c>
      <c r="D968" s="3" t="inlineStr">
        <is>
          <t>demanda_externa</t>
        </is>
      </c>
      <c r="E968" s="3" t="inlineStr">
        <is>
          <t>regional_panel</t>
        </is>
      </c>
      <c r="F968" s="3" t="inlineStr">
        <is>
          <t>panel_covariables</t>
        </is>
      </c>
      <c r="G968" s="3" t="n">
        <v>0.167186</v>
      </c>
      <c r="H968" s="3" t="n">
        <v>-4.32939</v>
      </c>
      <c r="I968" s="3" t="n">
        <v>-0.08239970000000001</v>
      </c>
      <c r="J968" s="3" t="n">
        <v>0.293443</v>
      </c>
      <c r="K968" s="3" t="n">
        <v>-3.86165</v>
      </c>
      <c r="L968" s="3" t="n">
        <v>2</v>
      </c>
      <c r="M968" s="3" t="inlineStr">
        <is>
          <t>si</t>
        </is>
      </c>
      <c r="N968" s="3" t="inlineStr">
        <is>
          <t>no designado (contraste C4: no hay svar_hd regional)</t>
        </is>
      </c>
      <c r="O968" s="3" t="inlineStr">
        <is>
          <t>CCAA: ranking por c_f·sign(dY) del panel FE (M8); asociacion, sin lectura causal; el factor comun es un resumen de comovimiento (pendiente ~1 mecanica, J23)</t>
        </is>
      </c>
      <c r="P968" s="3" t="inlineStr">
        <is>
          <t>output/v8/F5/regional_ranking.csv</t>
        </is>
      </c>
    </row>
    <row r="969">
      <c r="A969" s="3" t="inlineStr">
        <is>
          <t>compra</t>
        </is>
      </c>
      <c r="B969" s="3" t="inlineStr">
        <is>
          <t>ccaa:12</t>
        </is>
      </c>
      <c r="C969" s="3" t="inlineStr">
        <is>
          <t>P4</t>
        </is>
      </c>
      <c r="D969" s="3" t="inlineStr">
        <is>
          <t>residuo</t>
        </is>
      </c>
      <c r="E969" s="3" t="inlineStr">
        <is>
          <t>regional_panel</t>
        </is>
      </c>
      <c r="F969" s="3" t="inlineStr">
        <is>
          <t>panel_covariables</t>
        </is>
      </c>
      <c r="G969" s="3" t="n">
        <v>-4.17351</v>
      </c>
      <c r="H969" s="3" t="n">
        <v>108.076</v>
      </c>
      <c r="I969" s="3" t="n">
        <v>-7.56265</v>
      </c>
      <c r="J969" s="3" t="n">
        <v>-0.483441</v>
      </c>
      <c r="K969" s="3" t="n">
        <v>-3.86165</v>
      </c>
      <c r="L969" s="3" t="n"/>
      <c r="M969" s="3" t="inlineStr">
        <is>
          <t>no</t>
        </is>
      </c>
      <c r="N969" s="3" t="inlineStr">
        <is>
          <t>no designado (contraste C4: no hay svar_hd regional)</t>
        </is>
      </c>
      <c r="O969" s="3" t="inlineStr">
        <is>
          <t>CCAA: ranking por c_f·sign(dY) del panel FE (M8); asociacion, sin lectura causal; el factor comun es un resumen de comovimiento (pendiente ~1 mecanica, J23)</t>
        </is>
      </c>
      <c r="P969" s="3" t="inlineStr">
        <is>
          <t>output/v8/F5/regional_ranking.csv</t>
        </is>
      </c>
    </row>
    <row r="970">
      <c r="A970" s="3" t="inlineStr">
        <is>
          <t>compra</t>
        </is>
      </c>
      <c r="B970" s="3" t="inlineStr">
        <is>
          <t>ccaa:12</t>
        </is>
      </c>
      <c r="C970" s="3" t="inlineStr">
        <is>
          <t>P5</t>
        </is>
      </c>
      <c r="D970" s="3" t="inlineStr">
        <is>
          <t>factor_comun</t>
        </is>
      </c>
      <c r="E970" s="3" t="inlineStr">
        <is>
          <t>regional_ccaa_ols</t>
        </is>
      </c>
      <c r="F970" s="3" t="inlineStr">
        <is>
          <t>ols_solo_factor</t>
        </is>
      </c>
      <c r="G970" s="3" t="n">
        <v>9.47831</v>
      </c>
      <c r="H970" s="3" t="n">
        <v>105.009</v>
      </c>
      <c r="I970" s="3" t="n">
        <v>3.93352</v>
      </c>
      <c r="J970" s="3" t="n">
        <v>15.2666</v>
      </c>
      <c r="K970" s="3" t="n">
        <v>0.921126</v>
      </c>
      <c r="L970" s="3" t="n"/>
      <c r="M970" s="3" t="inlineStr">
        <is>
          <t>no</t>
        </is>
      </c>
      <c r="N970" s="3" t="inlineStr">
        <is>
          <t>no designado (contraste C4: no hay svar_hd regional)</t>
        </is>
      </c>
      <c r="O970" s="3" t="inlineStr">
        <is>
          <t>CCAA: ranking por c_f·sign(dY) del panel FE (M8); asociacion, sin lectura causal; el factor comun es un resumen de comovimiento (pendiente ~1 mecanica, J23)</t>
        </is>
      </c>
      <c r="P970" s="3" t="inlineStr">
        <is>
          <t>output/v8/F5/regional_ranking.csv</t>
        </is>
      </c>
    </row>
    <row r="971">
      <c r="A971" s="3" t="inlineStr">
        <is>
          <t>compra</t>
        </is>
      </c>
      <c r="B971" s="3" t="inlineStr">
        <is>
          <t>ccaa:12</t>
        </is>
      </c>
      <c r="C971" s="3" t="inlineStr">
        <is>
          <t>P5</t>
        </is>
      </c>
      <c r="D971" s="3" t="inlineStr">
        <is>
          <t>residuo</t>
        </is>
      </c>
      <c r="E971" s="3" t="inlineStr">
        <is>
          <t>regional_ccaa_ols</t>
        </is>
      </c>
      <c r="F971" s="3" t="inlineStr">
        <is>
          <t>ols_solo_factor</t>
        </is>
      </c>
      <c r="G971" s="3" t="n">
        <v>-0.452093</v>
      </c>
      <c r="H971" s="3" t="n">
        <v>-5.00867</v>
      </c>
      <c r="I971" s="3" t="n"/>
      <c r="J971" s="3" t="n"/>
      <c r="K971" s="3" t="n">
        <v>0.921126</v>
      </c>
      <c r="L971" s="3" t="n"/>
      <c r="M971" s="3" t="inlineStr">
        <is>
          <t>no</t>
        </is>
      </c>
      <c r="N971" s="3" t="inlineStr">
        <is>
          <t>no designado (contraste C4: no hay svar_hd regional)</t>
        </is>
      </c>
      <c r="O971" s="3" t="inlineStr">
        <is>
          <t>CCAA: ranking por c_f·sign(dY) del panel FE (M8); asociacion, sin lectura causal; el factor comun es un resumen de comovimiento (pendiente ~1 mecanica, J23)</t>
        </is>
      </c>
      <c r="P971" s="3" t="inlineStr">
        <is>
          <t>output/v8/F5/regional_ranking.csv</t>
        </is>
      </c>
    </row>
    <row r="972">
      <c r="A972" s="3" t="inlineStr">
        <is>
          <t>compra</t>
        </is>
      </c>
      <c r="B972" s="3" t="inlineStr">
        <is>
          <t>ccaa:12</t>
        </is>
      </c>
      <c r="C972" s="3" t="inlineStr">
        <is>
          <t>P5</t>
        </is>
      </c>
      <c r="D972" s="3" t="inlineStr">
        <is>
          <t>factor_comun</t>
        </is>
      </c>
      <c r="E972" s="3" t="inlineStr">
        <is>
          <t>regional_panel</t>
        </is>
      </c>
      <c r="F972" s="3" t="inlineStr">
        <is>
          <t>panel_covariables</t>
        </is>
      </c>
      <c r="G972" s="3" t="n">
        <v>1.50215</v>
      </c>
      <c r="H972" s="3" t="n">
        <v>163.078</v>
      </c>
      <c r="I972" s="3" t="n">
        <v>-1.20824</v>
      </c>
      <c r="J972" s="3" t="n">
        <v>4.46537</v>
      </c>
      <c r="K972" s="3" t="n">
        <v>0.921126</v>
      </c>
      <c r="L972" s="3" t="n"/>
      <c r="M972" s="3" t="inlineStr">
        <is>
          <t>no</t>
        </is>
      </c>
      <c r="N972" s="3" t="inlineStr">
        <is>
          <t>no designado (contraste C4: no hay svar_hd regional)</t>
        </is>
      </c>
      <c r="O972" s="3" t="inlineStr">
        <is>
          <t>CCAA: ranking por c_f·sign(dY) del panel FE (M8); asociacion, sin lectura causal; el factor comun es un resumen de comovimiento (pendiente ~1 mecanica, J23)</t>
        </is>
      </c>
      <c r="P972" s="3" t="inlineStr">
        <is>
          <t>output/v8/F5/regional_ranking.csv</t>
        </is>
      </c>
    </row>
    <row r="973">
      <c r="A973" s="3" t="inlineStr">
        <is>
          <t>compra</t>
        </is>
      </c>
      <c r="B973" s="3" t="inlineStr">
        <is>
          <t>ccaa:12</t>
        </is>
      </c>
      <c r="C973" s="3" t="inlineStr">
        <is>
          <t>P5</t>
        </is>
      </c>
      <c r="D973" s="3" t="inlineStr">
        <is>
          <t>empleo_renta</t>
        </is>
      </c>
      <c r="E973" s="3" t="inlineStr">
        <is>
          <t>regional_panel</t>
        </is>
      </c>
      <c r="F973" s="3" t="inlineStr">
        <is>
          <t>panel_covariables</t>
        </is>
      </c>
      <c r="G973" s="3" t="n">
        <v>0.405041</v>
      </c>
      <c r="H973" s="3" t="n">
        <v>43.9724</v>
      </c>
      <c r="I973" s="3" t="n">
        <v>0.118571</v>
      </c>
      <c r="J973" s="3" t="n">
        <v>0.83927</v>
      </c>
      <c r="K973" s="3" t="n">
        <v>0.921126</v>
      </c>
      <c r="L973" s="3" t="n">
        <v>1</v>
      </c>
      <c r="M973" s="3" t="inlineStr">
        <is>
          <t>si</t>
        </is>
      </c>
      <c r="N973" s="3" t="inlineStr">
        <is>
          <t>no designado (contraste C4: no hay svar_hd regional)</t>
        </is>
      </c>
      <c r="O973" s="3" t="inlineStr">
        <is>
          <t>CCAA: ranking por c_f·sign(dY) del panel FE (M8); asociacion, sin lectura causal; el factor comun es un resumen de comovimiento (pendiente ~1 mecanica, J23)</t>
        </is>
      </c>
      <c r="P973" s="3" t="inlineStr">
        <is>
          <t>output/v8/F5/regional_ranking.csv</t>
        </is>
      </c>
    </row>
    <row r="974">
      <c r="A974" s="3" t="inlineStr">
        <is>
          <t>compra</t>
        </is>
      </c>
      <c r="B974" s="3" t="inlineStr">
        <is>
          <t>ccaa:12</t>
        </is>
      </c>
      <c r="C974" s="3" t="inlineStr">
        <is>
          <t>P5</t>
        </is>
      </c>
      <c r="D974" s="3" t="inlineStr">
        <is>
          <t>demografia</t>
        </is>
      </c>
      <c r="E974" s="3" t="inlineStr">
        <is>
          <t>regional_panel</t>
        </is>
      </c>
      <c r="F974" s="3" t="inlineStr">
        <is>
          <t>panel_covariables</t>
        </is>
      </c>
      <c r="G974" s="3" t="n">
        <v>-1.03793</v>
      </c>
      <c r="H974" s="3" t="n">
        <v>-112.68</v>
      </c>
      <c r="I974" s="3" t="n">
        <v>-2.56656</v>
      </c>
      <c r="J974" s="3" t="n">
        <v>1.84782</v>
      </c>
      <c r="K974" s="3" t="n">
        <v>0.921126</v>
      </c>
      <c r="L974" s="3" t="n">
        <v>4</v>
      </c>
      <c r="M974" s="3" t="inlineStr">
        <is>
          <t>si</t>
        </is>
      </c>
      <c r="N974" s="3" t="inlineStr">
        <is>
          <t>no designado (contraste C4: no hay svar_hd regional)</t>
        </is>
      </c>
      <c r="O974" s="3" t="inlineStr">
        <is>
          <t>CCAA: ranking por c_f·sign(dY) del panel FE (M8); asociacion, sin lectura causal; el factor comun es un resumen de comovimiento (pendiente ~1 mecanica, J23)</t>
        </is>
      </c>
      <c r="P974" s="3" t="inlineStr">
        <is>
          <t>output/v8/F5/regional_ranking.csv</t>
        </is>
      </c>
    </row>
    <row r="975">
      <c r="A975" s="3" t="inlineStr">
        <is>
          <t>compra</t>
        </is>
      </c>
      <c r="B975" s="3" t="inlineStr">
        <is>
          <t>ccaa:12</t>
        </is>
      </c>
      <c r="C975" s="3" t="inlineStr">
        <is>
          <t>P5</t>
        </is>
      </c>
      <c r="D975" s="3" t="inlineStr">
        <is>
          <t>oferta</t>
        </is>
      </c>
      <c r="E975" s="3" t="inlineStr">
        <is>
          <t>regional_panel</t>
        </is>
      </c>
      <c r="F975" s="3" t="inlineStr">
        <is>
          <t>panel_covariables</t>
        </is>
      </c>
      <c r="G975" s="3" t="n">
        <v>0.000204642</v>
      </c>
      <c r="H975" s="3" t="n">
        <v>0.0222165</v>
      </c>
      <c r="I975" s="3" t="n">
        <v>-0.0998967</v>
      </c>
      <c r="J975" s="3" t="n">
        <v>0.0251382</v>
      </c>
      <c r="K975" s="3" t="n">
        <v>0.921126</v>
      </c>
      <c r="L975" s="3" t="n">
        <v>2</v>
      </c>
      <c r="M975" s="3" t="inlineStr">
        <is>
          <t>si</t>
        </is>
      </c>
      <c r="N975" s="3" t="inlineStr">
        <is>
          <t>no designado (contraste C4: no hay svar_hd regional)</t>
        </is>
      </c>
      <c r="O975" s="3" t="inlineStr">
        <is>
          <t>CCAA: ranking por c_f·sign(dY) del panel FE (M8); asociacion, sin lectura causal; el factor comun es un resumen de comovimiento (pendiente ~1 mecanica, J23)</t>
        </is>
      </c>
      <c r="P975" s="3" t="inlineStr">
        <is>
          <t>output/v8/F5/regional_ranking.csv</t>
        </is>
      </c>
    </row>
    <row r="976">
      <c r="A976" s="3" t="inlineStr">
        <is>
          <t>compra</t>
        </is>
      </c>
      <c r="B976" s="3" t="inlineStr">
        <is>
          <t>ccaa:12</t>
        </is>
      </c>
      <c r="C976" s="3" t="inlineStr">
        <is>
          <t>P5</t>
        </is>
      </c>
      <c r="D976" s="3" t="inlineStr">
        <is>
          <t>demanda_externa</t>
        </is>
      </c>
      <c r="E976" s="3" t="inlineStr">
        <is>
          <t>regional_panel</t>
        </is>
      </c>
      <c r="F976" s="3" t="inlineStr">
        <is>
          <t>panel_covariables</t>
        </is>
      </c>
      <c r="G976" s="3" t="n">
        <v>-0.0402385</v>
      </c>
      <c r="H976" s="3" t="n">
        <v>-4.36841</v>
      </c>
      <c r="I976" s="3" t="n">
        <v>-0.595659</v>
      </c>
      <c r="J976" s="3" t="n">
        <v>0.382352</v>
      </c>
      <c r="K976" s="3" t="n">
        <v>0.921126</v>
      </c>
      <c r="L976" s="3" t="n">
        <v>3</v>
      </c>
      <c r="M976" s="3" t="inlineStr">
        <is>
          <t>si</t>
        </is>
      </c>
      <c r="N976" s="3" t="inlineStr">
        <is>
          <t>no designado (contraste C4: no hay svar_hd regional)</t>
        </is>
      </c>
      <c r="O976" s="3" t="inlineStr">
        <is>
          <t>CCAA: ranking por c_f·sign(dY) del panel FE (M8); asociacion, sin lectura causal; el factor comun es un resumen de comovimiento (pendiente ~1 mecanica, J23)</t>
        </is>
      </c>
      <c r="P976" s="3" t="inlineStr">
        <is>
          <t>output/v8/F5/regional_ranking.csv</t>
        </is>
      </c>
    </row>
    <row r="977">
      <c r="A977" s="3" t="inlineStr">
        <is>
          <t>compra</t>
        </is>
      </c>
      <c r="B977" s="3" t="inlineStr">
        <is>
          <t>ccaa:12</t>
        </is>
      </c>
      <c r="C977" s="3" t="inlineStr">
        <is>
          <t>P5</t>
        </is>
      </c>
      <c r="D977" s="3" t="inlineStr">
        <is>
          <t>residuo</t>
        </is>
      </c>
      <c r="E977" s="3" t="inlineStr">
        <is>
          <t>regional_panel</t>
        </is>
      </c>
      <c r="F977" s="3" t="inlineStr">
        <is>
          <t>panel_covariables</t>
        </is>
      </c>
      <c r="G977" s="3" t="n">
        <v>0.0918973</v>
      </c>
      <c r="H977" s="3" t="n">
        <v>9.97664</v>
      </c>
      <c r="I977" s="3" t="n">
        <v>-3.65226</v>
      </c>
      <c r="J977" s="3" t="n">
        <v>2.3658</v>
      </c>
      <c r="K977" s="3" t="n">
        <v>0.921126</v>
      </c>
      <c r="L977" s="3" t="n"/>
      <c r="M977" s="3" t="inlineStr">
        <is>
          <t>no</t>
        </is>
      </c>
      <c r="N977" s="3" t="inlineStr">
        <is>
          <t>no designado (contraste C4: no hay svar_hd regional)</t>
        </is>
      </c>
      <c r="O977" s="3" t="inlineStr">
        <is>
          <t>CCAA: ranking por c_f·sign(dY) del panel FE (M8); asociacion, sin lectura causal; el factor comun es un resumen de comovimiento (pendiente ~1 mecanica, J23)</t>
        </is>
      </c>
      <c r="P977" s="3" t="inlineStr">
        <is>
          <t>output/v8/F5/regional_ranking.csv</t>
        </is>
      </c>
    </row>
    <row r="978">
      <c r="A978" s="3" t="inlineStr">
        <is>
          <t>compra</t>
        </is>
      </c>
      <c r="B978" s="3" t="inlineStr">
        <is>
          <t>ccaa:13</t>
        </is>
      </c>
      <c r="C978" s="3" t="inlineStr">
        <is>
          <t>P1</t>
        </is>
      </c>
      <c r="D978" s="3" t="inlineStr">
        <is>
          <t>factor_comun</t>
        </is>
      </c>
      <c r="E978" s="3" t="inlineStr">
        <is>
          <t>regional_ccaa_ols</t>
        </is>
      </c>
      <c r="F978" s="3" t="inlineStr">
        <is>
          <t>ols_solo_factor</t>
        </is>
      </c>
      <c r="G978" s="3" t="n">
        <v>114.309</v>
      </c>
      <c r="H978" s="3" t="n">
        <v>171.116</v>
      </c>
      <c r="I978" s="3" t="n">
        <v>86.2629</v>
      </c>
      <c r="J978" s="3" t="n">
        <v>142.057</v>
      </c>
      <c r="K978" s="3" t="n">
        <v>66.8017</v>
      </c>
      <c r="L978" s="3" t="n"/>
      <c r="M978" s="3" t="inlineStr">
        <is>
          <t>no</t>
        </is>
      </c>
      <c r="N978" s="3" t="inlineStr">
        <is>
          <t>no designado (contraste C4: no hay svar_hd regional)</t>
        </is>
      </c>
      <c r="O978" s="3" t="inlineStr">
        <is>
          <t>CCAA: ranking por c_f·sign(dY) del panel FE (M8); asociacion, sin lectura causal; el factor comun es un resumen de comovimiento (pendiente ~1 mecanica, J23)</t>
        </is>
      </c>
      <c r="P978" s="3" t="inlineStr">
        <is>
          <t>output/v8/F5/regional_ranking.csv</t>
        </is>
      </c>
    </row>
    <row r="979">
      <c r="A979" s="3" t="inlineStr">
        <is>
          <t>compra</t>
        </is>
      </c>
      <c r="B979" s="3" t="inlineStr">
        <is>
          <t>ccaa:13</t>
        </is>
      </c>
      <c r="C979" s="3" t="inlineStr">
        <is>
          <t>P1</t>
        </is>
      </c>
      <c r="D979" s="3" t="inlineStr">
        <is>
          <t>residuo</t>
        </is>
      </c>
      <c r="E979" s="3" t="inlineStr">
        <is>
          <t>regional_ccaa_ols</t>
        </is>
      </c>
      <c r="F979" s="3" t="inlineStr">
        <is>
          <t>ols_solo_factor</t>
        </is>
      </c>
      <c r="G979" s="3" t="n">
        <v>-47.5068</v>
      </c>
      <c r="H979" s="3" t="n">
        <v>-71.11620000000001</v>
      </c>
      <c r="I979" s="3" t="n"/>
      <c r="J979" s="3" t="n"/>
      <c r="K979" s="3" t="n">
        <v>66.8017</v>
      </c>
      <c r="L979" s="3" t="n"/>
      <c r="M979" s="3" t="inlineStr">
        <is>
          <t>no</t>
        </is>
      </c>
      <c r="N979" s="3" t="inlineStr">
        <is>
          <t>no designado (contraste C4: no hay svar_hd regional)</t>
        </is>
      </c>
      <c r="O979" s="3" t="inlineStr">
        <is>
          <t>CCAA: ranking por c_f·sign(dY) del panel FE (M8); asociacion, sin lectura causal; el factor comun es un resumen de comovimiento (pendiente ~1 mecanica, J23)</t>
        </is>
      </c>
      <c r="P979" s="3" t="inlineStr">
        <is>
          <t>output/v8/F5/regional_ranking.csv</t>
        </is>
      </c>
    </row>
    <row r="980">
      <c r="A980" s="3" t="inlineStr">
        <is>
          <t>compra</t>
        </is>
      </c>
      <c r="B980" s="3" t="inlineStr">
        <is>
          <t>ccaa:13</t>
        </is>
      </c>
      <c r="C980" s="3" t="inlineStr">
        <is>
          <t>P1</t>
        </is>
      </c>
      <c r="D980" s="3" t="inlineStr">
        <is>
          <t>factor_comun</t>
        </is>
      </c>
      <c r="E980" s="3" t="inlineStr">
        <is>
          <t>regional_panel</t>
        </is>
      </c>
      <c r="F980" s="3" t="inlineStr">
        <is>
          <t>panel_covariables</t>
        </is>
      </c>
      <c r="G980" s="3" t="n">
        <v>74.3853</v>
      </c>
      <c r="H980" s="3" t="n">
        <v>111.352</v>
      </c>
      <c r="I980" s="3" t="n">
        <v>63.2347</v>
      </c>
      <c r="J980" s="3" t="n">
        <v>88.0656</v>
      </c>
      <c r="K980" s="3" t="n">
        <v>66.8017</v>
      </c>
      <c r="L980" s="3" t="n"/>
      <c r="M980" s="3" t="inlineStr">
        <is>
          <t>no</t>
        </is>
      </c>
      <c r="N980" s="3" t="inlineStr">
        <is>
          <t>no designado (contraste C4: no hay svar_hd regional)</t>
        </is>
      </c>
      <c r="O980" s="3" t="inlineStr">
        <is>
          <t>CCAA: ranking por c_f·sign(dY) del panel FE (M8); asociacion, sin lectura causal; el factor comun es un resumen de comovimiento (pendiente ~1 mecanica, J23)</t>
        </is>
      </c>
      <c r="P980" s="3" t="inlineStr">
        <is>
          <t>output/v8/F5/regional_ranking.csv</t>
        </is>
      </c>
    </row>
    <row r="981">
      <c r="A981" s="3" t="inlineStr">
        <is>
          <t>compra</t>
        </is>
      </c>
      <c r="B981" s="3" t="inlineStr">
        <is>
          <t>ccaa:13</t>
        </is>
      </c>
      <c r="C981" s="3" t="inlineStr">
        <is>
          <t>P1</t>
        </is>
      </c>
      <c r="D981" s="3" t="inlineStr">
        <is>
          <t>residuo</t>
        </is>
      </c>
      <c r="E981" s="3" t="inlineStr">
        <is>
          <t>regional_panel</t>
        </is>
      </c>
      <c r="F981" s="3" t="inlineStr">
        <is>
          <t>panel_covariables</t>
        </is>
      </c>
      <c r="G981" s="3" t="n">
        <v>-7.58353</v>
      </c>
      <c r="H981" s="3" t="n">
        <v>-11.3523</v>
      </c>
      <c r="I981" s="3" t="n">
        <v>-19.6059</v>
      </c>
      <c r="J981" s="3" t="n">
        <v>7.18633</v>
      </c>
      <c r="K981" s="3" t="n">
        <v>66.8017</v>
      </c>
      <c r="L981" s="3" t="n"/>
      <c r="M981" s="3" t="inlineStr">
        <is>
          <t>no</t>
        </is>
      </c>
      <c r="N981" s="3" t="inlineStr">
        <is>
          <t>no designado (contraste C4: no hay svar_hd regional)</t>
        </is>
      </c>
      <c r="O981" s="3" t="inlineStr">
        <is>
          <t>CCAA: ranking por c_f·sign(dY) del panel FE (M8); asociacion, sin lectura causal; el factor comun es un resumen de comovimiento (pendiente ~1 mecanica, J23)</t>
        </is>
      </c>
      <c r="P981" s="3" t="inlineStr">
        <is>
          <t>output/v8/F5/regional_ranking.csv</t>
        </is>
      </c>
    </row>
    <row r="982">
      <c r="A982" s="3" t="inlineStr">
        <is>
          <t>compra</t>
        </is>
      </c>
      <c r="B982" s="3" t="inlineStr">
        <is>
          <t>ccaa:13</t>
        </is>
      </c>
      <c r="C982" s="3" t="inlineStr">
        <is>
          <t>P2</t>
        </is>
      </c>
      <c r="D982" s="3" t="inlineStr">
        <is>
          <t>factor_comun</t>
        </is>
      </c>
      <c r="E982" s="3" t="inlineStr">
        <is>
          <t>regional_ccaa_ols</t>
        </is>
      </c>
      <c r="F982" s="3" t="inlineStr">
        <is>
          <t>ols_solo_factor</t>
        </is>
      </c>
      <c r="G982" s="3" t="n">
        <v>-47.7815</v>
      </c>
      <c r="H982" s="3" t="n">
        <v>96.2319</v>
      </c>
      <c r="I982" s="3" t="n">
        <v>-62.1596</v>
      </c>
      <c r="J982" s="3" t="n">
        <v>-34.3838</v>
      </c>
      <c r="K982" s="3" t="n">
        <v>-44.937</v>
      </c>
      <c r="L982" s="3" t="n"/>
      <c r="M982" s="3" t="inlineStr">
        <is>
          <t>no</t>
        </is>
      </c>
      <c r="N982" s="3" t="inlineStr">
        <is>
          <t>no designado (contraste C4: no hay svar_hd regional)</t>
        </is>
      </c>
      <c r="O982" s="3" t="inlineStr">
        <is>
          <t>CCAA: ranking por c_f·sign(dY) del panel FE (M8); asociacion, sin lectura causal; el factor comun es un resumen de comovimiento (pendiente ~1 mecanica, J23)</t>
        </is>
      </c>
      <c r="P982" s="3" t="inlineStr">
        <is>
          <t>output/v8/F5/regional_ranking.csv</t>
        </is>
      </c>
    </row>
    <row r="983">
      <c r="A983" s="3" t="inlineStr">
        <is>
          <t>compra</t>
        </is>
      </c>
      <c r="B983" s="3" t="inlineStr">
        <is>
          <t>ccaa:13</t>
        </is>
      </c>
      <c r="C983" s="3" t="inlineStr">
        <is>
          <t>P2</t>
        </is>
      </c>
      <c r="D983" s="3" t="inlineStr">
        <is>
          <t>residuo</t>
        </is>
      </c>
      <c r="E983" s="3" t="inlineStr">
        <is>
          <t>regional_ccaa_ols</t>
        </is>
      </c>
      <c r="F983" s="3" t="inlineStr">
        <is>
          <t>ols_solo_factor</t>
        </is>
      </c>
      <c r="G983" s="3" t="n">
        <v>-1.87097</v>
      </c>
      <c r="H983" s="3" t="n">
        <v>3.76814</v>
      </c>
      <c r="I983" s="3" t="n"/>
      <c r="J983" s="3" t="n"/>
      <c r="K983" s="3" t="n">
        <v>-44.937</v>
      </c>
      <c r="L983" s="3" t="n"/>
      <c r="M983" s="3" t="inlineStr">
        <is>
          <t>no</t>
        </is>
      </c>
      <c r="N983" s="3" t="inlineStr">
        <is>
          <t>no designado (contraste C4: no hay svar_hd regional)</t>
        </is>
      </c>
      <c r="O983" s="3" t="inlineStr">
        <is>
          <t>CCAA: ranking por c_f·sign(dY) del panel FE (M8); asociacion, sin lectura causal; el factor comun es un resumen de comovimiento (pendiente ~1 mecanica, J23)</t>
        </is>
      </c>
      <c r="P983" s="3" t="inlineStr">
        <is>
          <t>output/v8/F5/regional_ranking.csv</t>
        </is>
      </c>
    </row>
    <row r="984">
      <c r="A984" s="3" t="inlineStr">
        <is>
          <t>compra</t>
        </is>
      </c>
      <c r="B984" s="3" t="inlineStr">
        <is>
          <t>ccaa:13</t>
        </is>
      </c>
      <c r="C984" s="3" t="inlineStr">
        <is>
          <t>P2</t>
        </is>
      </c>
      <c r="D984" s="3" t="inlineStr">
        <is>
          <t>factor_comun</t>
        </is>
      </c>
      <c r="E984" s="3" t="inlineStr">
        <is>
          <t>regional_panel</t>
        </is>
      </c>
      <c r="F984" s="3" t="inlineStr">
        <is>
          <t>panel_covariables</t>
        </is>
      </c>
      <c r="G984" s="3" t="n">
        <v>-35.0812</v>
      </c>
      <c r="H984" s="3" t="n">
        <v>78.0675</v>
      </c>
      <c r="I984" s="3" t="n">
        <v>-41.5124</v>
      </c>
      <c r="J984" s="3" t="n">
        <v>-30.6884</v>
      </c>
      <c r="K984" s="3" t="n">
        <v>-44.937</v>
      </c>
      <c r="L984" s="3" t="n"/>
      <c r="M984" s="3" t="inlineStr">
        <is>
          <t>no</t>
        </is>
      </c>
      <c r="N984" s="3" t="inlineStr">
        <is>
          <t>no designado (contraste C4: no hay svar_hd regional)</t>
        </is>
      </c>
      <c r="O984" s="3" t="inlineStr">
        <is>
          <t>CCAA: ranking por c_f·sign(dY) del panel FE (M8); asociacion, sin lectura causal; el factor comun es un resumen de comovimiento (pendiente ~1 mecanica, J23)</t>
        </is>
      </c>
      <c r="P984" s="3" t="inlineStr">
        <is>
          <t>output/v8/F5/regional_ranking.csv</t>
        </is>
      </c>
    </row>
    <row r="985">
      <c r="A985" s="3" t="inlineStr">
        <is>
          <t>compra</t>
        </is>
      </c>
      <c r="B985" s="3" t="inlineStr">
        <is>
          <t>ccaa:13</t>
        </is>
      </c>
      <c r="C985" s="3" t="inlineStr">
        <is>
          <t>P2</t>
        </is>
      </c>
      <c r="D985" s="3" t="inlineStr">
        <is>
          <t>empleo_renta</t>
        </is>
      </c>
      <c r="E985" s="3" t="inlineStr">
        <is>
          <t>regional_panel</t>
        </is>
      </c>
      <c r="F985" s="3" t="inlineStr">
        <is>
          <t>panel_covariables</t>
        </is>
      </c>
      <c r="G985" s="3" t="n">
        <v>-1.05247</v>
      </c>
      <c r="H985" s="3" t="n">
        <v>2.34211</v>
      </c>
      <c r="I985" s="3" t="n">
        <v>-2.05818</v>
      </c>
      <c r="J985" s="3" t="n">
        <v>0.0193504</v>
      </c>
      <c r="K985" s="3" t="n">
        <v>-44.937</v>
      </c>
      <c r="L985" s="3" t="n">
        <v>1</v>
      </c>
      <c r="M985" s="3" t="inlineStr">
        <is>
          <t>si</t>
        </is>
      </c>
      <c r="N985" s="3" t="inlineStr">
        <is>
          <t>no designado (contraste C4: no hay svar_hd regional)</t>
        </is>
      </c>
      <c r="O985" s="3" t="inlineStr">
        <is>
          <t>CCAA: ranking por c_f·sign(dY) del panel FE (M8); asociacion, sin lectura causal; el factor comun es un resumen de comovimiento (pendiente ~1 mecanica, J23)</t>
        </is>
      </c>
      <c r="P985" s="3" t="inlineStr">
        <is>
          <t>output/v8/F5/regional_ranking.csv</t>
        </is>
      </c>
    </row>
    <row r="986">
      <c r="A986" s="3" t="inlineStr">
        <is>
          <t>compra</t>
        </is>
      </c>
      <c r="B986" s="3" t="inlineStr">
        <is>
          <t>ccaa:13</t>
        </is>
      </c>
      <c r="C986" s="3" t="inlineStr">
        <is>
          <t>P2</t>
        </is>
      </c>
      <c r="D986" s="3" t="inlineStr">
        <is>
          <t>demografia</t>
        </is>
      </c>
      <c r="E986" s="3" t="inlineStr">
        <is>
          <t>regional_panel</t>
        </is>
      </c>
      <c r="F986" s="3" t="inlineStr">
        <is>
          <t>panel_covariables</t>
        </is>
      </c>
      <c r="G986" s="3" t="n">
        <v>2.41755</v>
      </c>
      <c r="H986" s="3" t="n">
        <v>-5.37987</v>
      </c>
      <c r="I986" s="3" t="n">
        <v>-1.17554</v>
      </c>
      <c r="J986" s="3" t="n">
        <v>11.0719</v>
      </c>
      <c r="K986" s="3" t="n">
        <v>-44.937</v>
      </c>
      <c r="L986" s="3" t="n">
        <v>4</v>
      </c>
      <c r="M986" s="3" t="inlineStr">
        <is>
          <t>si</t>
        </is>
      </c>
      <c r="N986" s="3" t="inlineStr">
        <is>
          <t>no designado (contraste C4: no hay svar_hd regional)</t>
        </is>
      </c>
      <c r="O986" s="3" t="inlineStr">
        <is>
          <t>CCAA: ranking por c_f·sign(dY) del panel FE (M8); asociacion, sin lectura causal; el factor comun es un resumen de comovimiento (pendiente ~1 mecanica, J23)</t>
        </is>
      </c>
      <c r="P986" s="3" t="inlineStr">
        <is>
          <t>output/v8/F5/regional_ranking.csv</t>
        </is>
      </c>
    </row>
    <row r="987">
      <c r="A987" s="3" t="inlineStr">
        <is>
          <t>compra</t>
        </is>
      </c>
      <c r="B987" s="3" t="inlineStr">
        <is>
          <t>ccaa:13</t>
        </is>
      </c>
      <c r="C987" s="3" t="inlineStr">
        <is>
          <t>P2</t>
        </is>
      </c>
      <c r="D987" s="3" t="inlineStr">
        <is>
          <t>oferta</t>
        </is>
      </c>
      <c r="E987" s="3" t="inlineStr">
        <is>
          <t>regional_panel</t>
        </is>
      </c>
      <c r="F987" s="3" t="inlineStr">
        <is>
          <t>panel_covariables</t>
        </is>
      </c>
      <c r="G987" s="3" t="n">
        <v>-0.0400412</v>
      </c>
      <c r="H987" s="3" t="n">
        <v>0.0891053</v>
      </c>
      <c r="I987" s="3" t="n">
        <v>-0.385534</v>
      </c>
      <c r="J987" s="3" t="n">
        <v>0.16388</v>
      </c>
      <c r="K987" s="3" t="n">
        <v>-44.937</v>
      </c>
      <c r="L987" s="3" t="n">
        <v>3</v>
      </c>
      <c r="M987" s="3" t="inlineStr">
        <is>
          <t>si</t>
        </is>
      </c>
      <c r="N987" s="3" t="inlineStr">
        <is>
          <t>no designado (contraste C4: no hay svar_hd regional)</t>
        </is>
      </c>
      <c r="O987" s="3" t="inlineStr">
        <is>
          <t>CCAA: ranking por c_f·sign(dY) del panel FE (M8); asociacion, sin lectura causal; el factor comun es un resumen de comovimiento (pendiente ~1 mecanica, J23)</t>
        </is>
      </c>
      <c r="P987" s="3" t="inlineStr">
        <is>
          <t>output/v8/F5/regional_ranking.csv</t>
        </is>
      </c>
    </row>
    <row r="988">
      <c r="A988" s="3" t="inlineStr">
        <is>
          <t>compra</t>
        </is>
      </c>
      <c r="B988" s="3" t="inlineStr">
        <is>
          <t>ccaa:13</t>
        </is>
      </c>
      <c r="C988" s="3" t="inlineStr">
        <is>
          <t>P2</t>
        </is>
      </c>
      <c r="D988" s="3" t="inlineStr">
        <is>
          <t>demanda_externa</t>
        </is>
      </c>
      <c r="E988" s="3" t="inlineStr">
        <is>
          <t>regional_panel</t>
        </is>
      </c>
      <c r="F988" s="3" t="inlineStr">
        <is>
          <t>panel_covariables</t>
        </is>
      </c>
      <c r="G988" s="3" t="n">
        <v>-0.433083</v>
      </c>
      <c r="H988" s="3" t="n">
        <v>0.963757</v>
      </c>
      <c r="I988" s="3" t="n">
        <v>-0.808622</v>
      </c>
      <c r="J988" s="3" t="n">
        <v>0.325284</v>
      </c>
      <c r="K988" s="3" t="n">
        <v>-44.937</v>
      </c>
      <c r="L988" s="3" t="n">
        <v>2</v>
      </c>
      <c r="M988" s="3" t="inlineStr">
        <is>
          <t>si</t>
        </is>
      </c>
      <c r="N988" s="3" t="inlineStr">
        <is>
          <t>no designado (contraste C4: no hay svar_hd regional)</t>
        </is>
      </c>
      <c r="O988" s="3" t="inlineStr">
        <is>
          <t>CCAA: ranking por c_f·sign(dY) del panel FE (M8); asociacion, sin lectura causal; el factor comun es un resumen de comovimiento (pendiente ~1 mecanica, J23)</t>
        </is>
      </c>
      <c r="P988" s="3" t="inlineStr">
        <is>
          <t>output/v8/F5/regional_ranking.csv</t>
        </is>
      </c>
    </row>
    <row r="989">
      <c r="A989" s="3" t="inlineStr">
        <is>
          <t>compra</t>
        </is>
      </c>
      <c r="B989" s="3" t="inlineStr">
        <is>
          <t>ccaa:13</t>
        </is>
      </c>
      <c r="C989" s="3" t="inlineStr">
        <is>
          <t>P2</t>
        </is>
      </c>
      <c r="D989" s="3" t="inlineStr">
        <is>
          <t>residuo</t>
        </is>
      </c>
      <c r="E989" s="3" t="inlineStr">
        <is>
          <t>regional_panel</t>
        </is>
      </c>
      <c r="F989" s="3" t="inlineStr">
        <is>
          <t>panel_covariables</t>
        </is>
      </c>
      <c r="G989" s="3" t="n">
        <v>-10.7477</v>
      </c>
      <c r="H989" s="3" t="n">
        <v>23.9174</v>
      </c>
      <c r="I989" s="3" t="n">
        <v>-24.1858</v>
      </c>
      <c r="J989" s="3" t="n">
        <v>-0.805508</v>
      </c>
      <c r="K989" s="3" t="n">
        <v>-44.937</v>
      </c>
      <c r="L989" s="3" t="n"/>
      <c r="M989" s="3" t="inlineStr">
        <is>
          <t>no</t>
        </is>
      </c>
      <c r="N989" s="3" t="inlineStr">
        <is>
          <t>no designado (contraste C4: no hay svar_hd regional)</t>
        </is>
      </c>
      <c r="O989" s="3" t="inlineStr">
        <is>
          <t>CCAA: ranking por c_f·sign(dY) del panel FE (M8); asociacion, sin lectura causal; el factor comun es un resumen de comovimiento (pendiente ~1 mecanica, J23)</t>
        </is>
      </c>
      <c r="P989" s="3" t="inlineStr">
        <is>
          <t>output/v8/F5/regional_ranking.csv</t>
        </is>
      </c>
    </row>
    <row r="990">
      <c r="A990" s="3" t="inlineStr">
        <is>
          <t>compra</t>
        </is>
      </c>
      <c r="B990" s="3" t="inlineStr">
        <is>
          <t>ccaa:13</t>
        </is>
      </c>
      <c r="C990" s="3" t="inlineStr">
        <is>
          <t>P3</t>
        </is>
      </c>
      <c r="D990" s="3" t="inlineStr">
        <is>
          <t>factor_comun</t>
        </is>
      </c>
      <c r="E990" s="3" t="inlineStr">
        <is>
          <t>regional_ccaa_ols</t>
        </is>
      </c>
      <c r="F990" s="3" t="inlineStr">
        <is>
          <t>ols_solo_factor</t>
        </is>
      </c>
      <c r="G990" s="3" t="n">
        <v>-0.434024</v>
      </c>
      <c r="H990" s="3" t="n">
        <v>-1.91328</v>
      </c>
      <c r="I990" s="3" t="n">
        <v>-3.63077</v>
      </c>
      <c r="J990" s="3" t="n">
        <v>1.41411</v>
      </c>
      <c r="K990" s="3" t="n">
        <v>18.9519</v>
      </c>
      <c r="L990" s="3" t="n"/>
      <c r="M990" s="3" t="inlineStr">
        <is>
          <t>no</t>
        </is>
      </c>
      <c r="N990" s="3" t="inlineStr">
        <is>
          <t>no designado (contraste C4: no hay svar_hd regional)</t>
        </is>
      </c>
      <c r="O990" s="3" t="inlineStr">
        <is>
          <t>CCAA: ranking por c_f·sign(dY) del panel FE (M8); asociacion, sin lectura causal; el factor comun es un resumen de comovimiento (pendiente ~1 mecanica, J23)</t>
        </is>
      </c>
      <c r="P990" s="3" t="inlineStr">
        <is>
          <t>output/v8/F5/regional_ranking.csv</t>
        </is>
      </c>
    </row>
    <row r="991">
      <c r="A991" s="3" t="inlineStr">
        <is>
          <t>compra</t>
        </is>
      </c>
      <c r="B991" s="3" t="inlineStr">
        <is>
          <t>ccaa:13</t>
        </is>
      </c>
      <c r="C991" s="3" t="inlineStr">
        <is>
          <t>P3</t>
        </is>
      </c>
      <c r="D991" s="3" t="inlineStr">
        <is>
          <t>residuo</t>
        </is>
      </c>
      <c r="E991" s="3" t="inlineStr">
        <is>
          <t>regional_ccaa_ols</t>
        </is>
      </c>
      <c r="F991" s="3" t="inlineStr">
        <is>
          <t>ols_solo_factor</t>
        </is>
      </c>
      <c r="G991" s="3" t="n">
        <v>23.1188</v>
      </c>
      <c r="H991" s="3" t="n">
        <v>101.913</v>
      </c>
      <c r="I991" s="3" t="n"/>
      <c r="J991" s="3" t="n"/>
      <c r="K991" s="3" t="n">
        <v>18.9519</v>
      </c>
      <c r="L991" s="3" t="n"/>
      <c r="M991" s="3" t="inlineStr">
        <is>
          <t>no</t>
        </is>
      </c>
      <c r="N991" s="3" t="inlineStr">
        <is>
          <t>no designado (contraste C4: no hay svar_hd regional)</t>
        </is>
      </c>
      <c r="O991" s="3" t="inlineStr">
        <is>
          <t>CCAA: ranking por c_f·sign(dY) del panel FE (M8); asociacion, sin lectura causal; el factor comun es un resumen de comovimiento (pendiente ~1 mecanica, J23)</t>
        </is>
      </c>
      <c r="P991" s="3" t="inlineStr">
        <is>
          <t>output/v8/F5/regional_ranking.csv</t>
        </is>
      </c>
    </row>
    <row r="992">
      <c r="A992" s="3" t="inlineStr">
        <is>
          <t>compra</t>
        </is>
      </c>
      <c r="B992" s="3" t="inlineStr">
        <is>
          <t>ccaa:13</t>
        </is>
      </c>
      <c r="C992" s="3" t="inlineStr">
        <is>
          <t>P3</t>
        </is>
      </c>
      <c r="D992" s="3" t="inlineStr">
        <is>
          <t>factor_comun</t>
        </is>
      </c>
      <c r="E992" s="3" t="inlineStr">
        <is>
          <t>regional_panel</t>
        </is>
      </c>
      <c r="F992" s="3" t="inlineStr">
        <is>
          <t>panel_covariables</t>
        </is>
      </c>
      <c r="G992" s="3" t="n">
        <v>-0.548472</v>
      </c>
      <c r="H992" s="3" t="n">
        <v>-2.89403</v>
      </c>
      <c r="I992" s="3" t="n">
        <v>-3.50001</v>
      </c>
      <c r="J992" s="3" t="n">
        <v>2.45383</v>
      </c>
      <c r="K992" s="3" t="n">
        <v>18.9519</v>
      </c>
      <c r="L992" s="3" t="n"/>
      <c r="M992" s="3" t="inlineStr">
        <is>
          <t>no</t>
        </is>
      </c>
      <c r="N992" s="3" t="inlineStr">
        <is>
          <t>no designado (contraste C4: no hay svar_hd regional)</t>
        </is>
      </c>
      <c r="O992" s="3" t="inlineStr">
        <is>
          <t>CCAA: ranking por c_f·sign(dY) del panel FE (M8); asociacion, sin lectura causal; el factor comun es un resumen de comovimiento (pendiente ~1 mecanica, J23)</t>
        </is>
      </c>
      <c r="P992" s="3" t="inlineStr">
        <is>
          <t>output/v8/F5/regional_ranking.csv</t>
        </is>
      </c>
    </row>
    <row r="993">
      <c r="A993" s="3" t="inlineStr">
        <is>
          <t>compra</t>
        </is>
      </c>
      <c r="B993" s="3" t="inlineStr">
        <is>
          <t>ccaa:13</t>
        </is>
      </c>
      <c r="C993" s="3" t="inlineStr">
        <is>
          <t>P3</t>
        </is>
      </c>
      <c r="D993" s="3" t="inlineStr">
        <is>
          <t>empleo_renta</t>
        </is>
      </c>
      <c r="E993" s="3" t="inlineStr">
        <is>
          <t>regional_panel</t>
        </is>
      </c>
      <c r="F993" s="3" t="inlineStr">
        <is>
          <t>panel_covariables</t>
        </is>
      </c>
      <c r="G993" s="3" t="n">
        <v>0.483573</v>
      </c>
      <c r="H993" s="3" t="n">
        <v>2.55159</v>
      </c>
      <c r="I993" s="3" t="n">
        <v>-0.186273</v>
      </c>
      <c r="J993" s="3" t="n">
        <v>1.30446</v>
      </c>
      <c r="K993" s="3" t="n">
        <v>18.9519</v>
      </c>
      <c r="L993" s="3" t="n">
        <v>3</v>
      </c>
      <c r="M993" s="3" t="inlineStr">
        <is>
          <t>si</t>
        </is>
      </c>
      <c r="N993" s="3" t="inlineStr">
        <is>
          <t>no designado (contraste C4: no hay svar_hd regional)</t>
        </is>
      </c>
      <c r="O993" s="3" t="inlineStr">
        <is>
          <t>CCAA: ranking por c_f·sign(dY) del panel FE (M8); asociacion, sin lectura causal; el factor comun es un resumen de comovimiento (pendiente ~1 mecanica, J23)</t>
        </is>
      </c>
      <c r="P993" s="3" t="inlineStr">
        <is>
          <t>output/v8/F5/regional_ranking.csv</t>
        </is>
      </c>
    </row>
    <row r="994">
      <c r="A994" s="3" t="inlineStr">
        <is>
          <t>compra</t>
        </is>
      </c>
      <c r="B994" s="3" t="inlineStr">
        <is>
          <t>ccaa:13</t>
        </is>
      </c>
      <c r="C994" s="3" t="inlineStr">
        <is>
          <t>P3</t>
        </is>
      </c>
      <c r="D994" s="3" t="inlineStr">
        <is>
          <t>demografia</t>
        </is>
      </c>
      <c r="E994" s="3" t="inlineStr">
        <is>
          <t>regional_panel</t>
        </is>
      </c>
      <c r="F994" s="3" t="inlineStr">
        <is>
          <t>panel_covariables</t>
        </is>
      </c>
      <c r="G994" s="3" t="n">
        <v>3.63093</v>
      </c>
      <c r="H994" s="3" t="n">
        <v>19.1587</v>
      </c>
      <c r="I994" s="3" t="n">
        <v>1.95787</v>
      </c>
      <c r="J994" s="3" t="n">
        <v>6.97565</v>
      </c>
      <c r="K994" s="3" t="n">
        <v>18.9519</v>
      </c>
      <c r="L994" s="3" t="n">
        <v>1</v>
      </c>
      <c r="M994" s="3" t="inlineStr">
        <is>
          <t>si</t>
        </is>
      </c>
      <c r="N994" s="3" t="inlineStr">
        <is>
          <t>no designado (contraste C4: no hay svar_hd regional)</t>
        </is>
      </c>
      <c r="O994" s="3" t="inlineStr">
        <is>
          <t>CCAA: ranking por c_f·sign(dY) del panel FE (M8); asociacion, sin lectura causal; el factor comun es un resumen de comovimiento (pendiente ~1 mecanica, J23)</t>
        </is>
      </c>
      <c r="P994" s="3" t="inlineStr">
        <is>
          <t>output/v8/F5/regional_ranking.csv</t>
        </is>
      </c>
    </row>
    <row r="995">
      <c r="A995" s="3" t="inlineStr">
        <is>
          <t>compra</t>
        </is>
      </c>
      <c r="B995" s="3" t="inlineStr">
        <is>
          <t>ccaa:13</t>
        </is>
      </c>
      <c r="C995" s="3" t="inlineStr">
        <is>
          <t>P3</t>
        </is>
      </c>
      <c r="D995" s="3" t="inlineStr">
        <is>
          <t>oferta</t>
        </is>
      </c>
      <c r="E995" s="3" t="inlineStr">
        <is>
          <t>regional_panel</t>
        </is>
      </c>
      <c r="F995" s="3" t="inlineStr">
        <is>
          <t>panel_covariables</t>
        </is>
      </c>
      <c r="G995" s="3" t="n">
        <v>-0.737247</v>
      </c>
      <c r="H995" s="3" t="n">
        <v>-3.89011</v>
      </c>
      <c r="I995" s="3" t="n">
        <v>-1.40203</v>
      </c>
      <c r="J995" s="3" t="n">
        <v>-0.152467</v>
      </c>
      <c r="K995" s="3" t="n">
        <v>18.9519</v>
      </c>
      <c r="L995" s="3" t="n">
        <v>4</v>
      </c>
      <c r="M995" s="3" t="inlineStr">
        <is>
          <t>si</t>
        </is>
      </c>
      <c r="N995" s="3" t="inlineStr">
        <is>
          <t>no designado (contraste C4: no hay svar_hd regional)</t>
        </is>
      </c>
      <c r="O995" s="3" t="inlineStr">
        <is>
          <t>CCAA: ranking por c_f·sign(dY) del panel FE (M8); asociacion, sin lectura causal; el factor comun es un resumen de comovimiento (pendiente ~1 mecanica, J23)</t>
        </is>
      </c>
      <c r="P995" s="3" t="inlineStr">
        <is>
          <t>output/v8/F5/regional_ranking.csv</t>
        </is>
      </c>
    </row>
    <row r="996">
      <c r="A996" s="3" t="inlineStr">
        <is>
          <t>compra</t>
        </is>
      </c>
      <c r="B996" s="3" t="inlineStr">
        <is>
          <t>ccaa:13</t>
        </is>
      </c>
      <c r="C996" s="3" t="inlineStr">
        <is>
          <t>P3</t>
        </is>
      </c>
      <c r="D996" s="3" t="inlineStr">
        <is>
          <t>demanda_externa</t>
        </is>
      </c>
      <c r="E996" s="3" t="inlineStr">
        <is>
          <t>regional_panel</t>
        </is>
      </c>
      <c r="F996" s="3" t="inlineStr">
        <is>
          <t>panel_covariables</t>
        </is>
      </c>
      <c r="G996" s="3" t="n">
        <v>0.864141</v>
      </c>
      <c r="H996" s="3" t="n">
        <v>4.55967</v>
      </c>
      <c r="I996" s="3" t="n">
        <v>0.232854</v>
      </c>
      <c r="J996" s="3" t="n">
        <v>1.13703</v>
      </c>
      <c r="K996" s="3" t="n">
        <v>18.9519</v>
      </c>
      <c r="L996" s="3" t="n">
        <v>2</v>
      </c>
      <c r="M996" s="3" t="inlineStr">
        <is>
          <t>si</t>
        </is>
      </c>
      <c r="N996" s="3" t="inlineStr">
        <is>
          <t>no designado (contraste C4: no hay svar_hd regional)</t>
        </is>
      </c>
      <c r="O996" s="3" t="inlineStr">
        <is>
          <t>CCAA: ranking por c_f·sign(dY) del panel FE (M8); asociacion, sin lectura causal; el factor comun es un resumen de comovimiento (pendiente ~1 mecanica, J23)</t>
        </is>
      </c>
      <c r="P996" s="3" t="inlineStr">
        <is>
          <t>output/v8/F5/regional_ranking.csv</t>
        </is>
      </c>
    </row>
    <row r="997">
      <c r="A997" s="3" t="inlineStr">
        <is>
          <t>compra</t>
        </is>
      </c>
      <c r="B997" s="3" t="inlineStr">
        <is>
          <t>ccaa:13</t>
        </is>
      </c>
      <c r="C997" s="3" t="inlineStr">
        <is>
          <t>P3</t>
        </is>
      </c>
      <c r="D997" s="3" t="inlineStr">
        <is>
          <t>residuo</t>
        </is>
      </c>
      <c r="E997" s="3" t="inlineStr">
        <is>
          <t>regional_panel</t>
        </is>
      </c>
      <c r="F997" s="3" t="inlineStr">
        <is>
          <t>panel_covariables</t>
        </is>
      </c>
      <c r="G997" s="3" t="n">
        <v>15.2589</v>
      </c>
      <c r="H997" s="3" t="n">
        <v>80.5142</v>
      </c>
      <c r="I997" s="3" t="n">
        <v>12.367</v>
      </c>
      <c r="J997" s="3" t="n">
        <v>17.0955</v>
      </c>
      <c r="K997" s="3" t="n">
        <v>18.9519</v>
      </c>
      <c r="L997" s="3" t="n"/>
      <c r="M997" s="3" t="inlineStr">
        <is>
          <t>no</t>
        </is>
      </c>
      <c r="N997" s="3" t="inlineStr">
        <is>
          <t>no designado (contraste C4: no hay svar_hd regional)</t>
        </is>
      </c>
      <c r="O997" s="3" t="inlineStr">
        <is>
          <t>CCAA: ranking por c_f·sign(dY) del panel FE (M8); asociacion, sin lectura causal; el factor comun es un resumen de comovimiento (pendiente ~1 mecanica, J23)</t>
        </is>
      </c>
      <c r="P997" s="3" t="inlineStr">
        <is>
          <t>output/v8/F5/regional_ranking.csv</t>
        </is>
      </c>
    </row>
    <row r="998">
      <c r="A998" s="3" t="inlineStr">
        <is>
          <t>compra</t>
        </is>
      </c>
      <c r="B998" s="3" t="inlineStr">
        <is>
          <t>ccaa:13</t>
        </is>
      </c>
      <c r="C998" s="3" t="inlineStr">
        <is>
          <t>P4</t>
        </is>
      </c>
      <c r="D998" s="3" t="inlineStr">
        <is>
          <t>factor_comun</t>
        </is>
      </c>
      <c r="E998" s="3" t="inlineStr">
        <is>
          <t>regional_ccaa_ols</t>
        </is>
      </c>
      <c r="F998" s="3" t="inlineStr">
        <is>
          <t>ols_solo_factor</t>
        </is>
      </c>
      <c r="G998" s="3" t="n">
        <v>1.73365</v>
      </c>
      <c r="H998" s="3" t="n">
        <v>-299.517</v>
      </c>
      <c r="I998" s="3" t="n">
        <v>0.255699</v>
      </c>
      <c r="J998" s="3" t="n">
        <v>2.5486</v>
      </c>
      <c r="K998" s="3" t="n">
        <v>-0.5788140000000001</v>
      </c>
      <c r="L998" s="3" t="n"/>
      <c r="M998" s="3" t="inlineStr">
        <is>
          <t>no</t>
        </is>
      </c>
      <c r="N998" s="3" t="inlineStr">
        <is>
          <t>no designado (contraste C4: no hay svar_hd regional)</t>
        </is>
      </c>
      <c r="O998" s="3" t="inlineStr">
        <is>
          <t>CCAA: ranking por c_f·sign(dY) del panel FE (M8); asociacion, sin lectura causal; el factor comun es un resumen de comovimiento (pendiente ~1 mecanica, J23)</t>
        </is>
      </c>
      <c r="P998" s="3" t="inlineStr">
        <is>
          <t>output/v8/F5/regional_ranking.csv</t>
        </is>
      </c>
    </row>
    <row r="999">
      <c r="A999" s="3" t="inlineStr">
        <is>
          <t>compra</t>
        </is>
      </c>
      <c r="B999" s="3" t="inlineStr">
        <is>
          <t>ccaa:13</t>
        </is>
      </c>
      <c r="C999" s="3" t="inlineStr">
        <is>
          <t>P4</t>
        </is>
      </c>
      <c r="D999" s="3" t="inlineStr">
        <is>
          <t>residuo</t>
        </is>
      </c>
      <c r="E999" s="3" t="inlineStr">
        <is>
          <t>regional_ccaa_ols</t>
        </is>
      </c>
      <c r="F999" s="3" t="inlineStr">
        <is>
          <t>ols_solo_factor</t>
        </is>
      </c>
      <c r="G999" s="3" t="n">
        <v>-2.31246</v>
      </c>
      <c r="H999" s="3" t="n">
        <v>399.517</v>
      </c>
      <c r="I999" s="3" t="n"/>
      <c r="J999" s="3" t="n"/>
      <c r="K999" s="3" t="n">
        <v>-0.5788140000000001</v>
      </c>
      <c r="L999" s="3" t="n"/>
      <c r="M999" s="3" t="inlineStr">
        <is>
          <t>no</t>
        </is>
      </c>
      <c r="N999" s="3" t="inlineStr">
        <is>
          <t>no designado (contraste C4: no hay svar_hd regional)</t>
        </is>
      </c>
      <c r="O999" s="3" t="inlineStr">
        <is>
          <t>CCAA: ranking por c_f·sign(dY) del panel FE (M8); asociacion, sin lectura causal; el factor comun es un resumen de comovimiento (pendiente ~1 mecanica, J23)</t>
        </is>
      </c>
      <c r="P999" s="3" t="inlineStr">
        <is>
          <t>output/v8/F5/regional_ranking.csv</t>
        </is>
      </c>
    </row>
    <row r="1000">
      <c r="A1000" s="3" t="inlineStr">
        <is>
          <t>compra</t>
        </is>
      </c>
      <c r="B1000" s="3" t="inlineStr">
        <is>
          <t>ccaa:13</t>
        </is>
      </c>
      <c r="C1000" s="3" t="inlineStr">
        <is>
          <t>P4</t>
        </is>
      </c>
      <c r="D1000" s="3" t="inlineStr">
        <is>
          <t>factor_comun</t>
        </is>
      </c>
      <c r="E1000" s="3" t="inlineStr">
        <is>
          <t>regional_panel</t>
        </is>
      </c>
      <c r="F1000" s="3" t="inlineStr">
        <is>
          <t>panel_covariables</t>
        </is>
      </c>
      <c r="G1000" s="3" t="n">
        <v>-4.21608</v>
      </c>
      <c r="H1000" s="3" t="n">
        <v>728.4</v>
      </c>
      <c r="I1000" s="3" t="n">
        <v>-5.07352</v>
      </c>
      <c r="J1000" s="3" t="n">
        <v>-2.674</v>
      </c>
      <c r="K1000" s="3" t="n">
        <v>-0.5788140000000001</v>
      </c>
      <c r="L1000" s="3" t="n"/>
      <c r="M1000" s="3" t="inlineStr">
        <is>
          <t>no</t>
        </is>
      </c>
      <c r="N1000" s="3" t="inlineStr">
        <is>
          <t>no designado (contraste C4: no hay svar_hd regional)</t>
        </is>
      </c>
      <c r="O1000" s="3" t="inlineStr">
        <is>
          <t>CCAA: ranking por c_f·sign(dY) del panel FE (M8); asociacion, sin lectura causal; el factor comun es un resumen de comovimiento (pendiente ~1 mecanica, J23)</t>
        </is>
      </c>
      <c r="P1000" s="3" t="inlineStr">
        <is>
          <t>output/v8/F5/regional_ranking.csv</t>
        </is>
      </c>
    </row>
    <row r="1001">
      <c r="A1001" s="3" t="inlineStr">
        <is>
          <t>compra</t>
        </is>
      </c>
      <c r="B1001" s="3" t="inlineStr">
        <is>
          <t>ccaa:13</t>
        </is>
      </c>
      <c r="C1001" s="3" t="inlineStr">
        <is>
          <t>P4</t>
        </is>
      </c>
      <c r="D1001" s="3" t="inlineStr">
        <is>
          <t>empleo_renta</t>
        </is>
      </c>
      <c r="E1001" s="3" t="inlineStr">
        <is>
          <t>regional_panel</t>
        </is>
      </c>
      <c r="F1001" s="3" t="inlineStr">
        <is>
          <t>panel_covariables</t>
        </is>
      </c>
      <c r="G1001" s="3" t="n">
        <v>-0.337249</v>
      </c>
      <c r="H1001" s="3" t="n">
        <v>58.2656</v>
      </c>
      <c r="I1001" s="3" t="n">
        <v>-0.952244</v>
      </c>
      <c r="J1001" s="3" t="n">
        <v>0.381773</v>
      </c>
      <c r="K1001" s="3" t="n">
        <v>-0.5788140000000001</v>
      </c>
      <c r="L1001" s="3" t="n">
        <v>1</v>
      </c>
      <c r="M1001" s="3" t="inlineStr">
        <is>
          <t>si</t>
        </is>
      </c>
      <c r="N1001" s="3" t="inlineStr">
        <is>
          <t>no designado (contraste C4: no hay svar_hd regional)</t>
        </is>
      </c>
      <c r="O1001" s="3" t="inlineStr">
        <is>
          <t>CCAA: ranking por c_f·sign(dY) del panel FE (M8); asociacion, sin lectura causal; el factor comun es un resumen de comovimiento (pendiente ~1 mecanica, J23)</t>
        </is>
      </c>
      <c r="P1001" s="3" t="inlineStr">
        <is>
          <t>output/v8/F5/regional_ranking.csv</t>
        </is>
      </c>
    </row>
    <row r="1002">
      <c r="A1002" s="3" t="inlineStr">
        <is>
          <t>compra</t>
        </is>
      </c>
      <c r="B1002" s="3" t="inlineStr">
        <is>
          <t>ccaa:13</t>
        </is>
      </c>
      <c r="C1002" s="3" t="inlineStr">
        <is>
          <t>P4</t>
        </is>
      </c>
      <c r="D1002" s="3" t="inlineStr">
        <is>
          <t>demografia</t>
        </is>
      </c>
      <c r="E1002" s="3" t="inlineStr">
        <is>
          <t>regional_panel</t>
        </is>
      </c>
      <c r="F1002" s="3" t="inlineStr">
        <is>
          <t>panel_covariables</t>
        </is>
      </c>
      <c r="G1002" s="3" t="n">
        <v>1.11341</v>
      </c>
      <c r="H1002" s="3" t="n">
        <v>-192.361</v>
      </c>
      <c r="I1002" s="3" t="n">
        <v>0.0326985</v>
      </c>
      <c r="J1002" s="3" t="n">
        <v>1.61836</v>
      </c>
      <c r="K1002" s="3" t="n">
        <v>-0.5788140000000001</v>
      </c>
      <c r="L1002" s="3" t="n">
        <v>4</v>
      </c>
      <c r="M1002" s="3" t="inlineStr">
        <is>
          <t>si</t>
        </is>
      </c>
      <c r="N1002" s="3" t="inlineStr">
        <is>
          <t>no designado (contraste C4: no hay svar_hd regional)</t>
        </is>
      </c>
      <c r="O1002" s="3" t="inlineStr">
        <is>
          <t>CCAA: ranking por c_f·sign(dY) del panel FE (M8); asociacion, sin lectura causal; el factor comun es un resumen de comovimiento (pendiente ~1 mecanica, J23)</t>
        </is>
      </c>
      <c r="P1002" s="3" t="inlineStr">
        <is>
          <t>output/v8/F5/regional_ranking.csv</t>
        </is>
      </c>
    </row>
    <row r="1003">
      <c r="A1003" s="3" t="inlineStr">
        <is>
          <t>compra</t>
        </is>
      </c>
      <c r="B1003" s="3" t="inlineStr">
        <is>
          <t>ccaa:13</t>
        </is>
      </c>
      <c r="C1003" s="3" t="inlineStr">
        <is>
          <t>P4</t>
        </is>
      </c>
      <c r="D1003" s="3" t="inlineStr">
        <is>
          <t>oferta</t>
        </is>
      </c>
      <c r="E1003" s="3" t="inlineStr">
        <is>
          <t>regional_panel</t>
        </is>
      </c>
      <c r="F1003" s="3" t="inlineStr">
        <is>
          <t>panel_covariables</t>
        </is>
      </c>
      <c r="G1003" s="3" t="n">
        <v>0.009818260000000001</v>
      </c>
      <c r="H1003" s="3" t="n">
        <v>-1.69627</v>
      </c>
      <c r="I1003" s="3" t="n">
        <v>-0.0716319</v>
      </c>
      <c r="J1003" s="3" t="n">
        <v>0.0537999</v>
      </c>
      <c r="K1003" s="3" t="n">
        <v>-0.5788140000000001</v>
      </c>
      <c r="L1003" s="3" t="n">
        <v>2</v>
      </c>
      <c r="M1003" s="3" t="inlineStr">
        <is>
          <t>si</t>
        </is>
      </c>
      <c r="N1003" s="3" t="inlineStr">
        <is>
          <t>no designado (contraste C4: no hay svar_hd regional)</t>
        </is>
      </c>
      <c r="O1003" s="3" t="inlineStr">
        <is>
          <t>CCAA: ranking por c_f·sign(dY) del panel FE (M8); asociacion, sin lectura causal; el factor comun es un resumen de comovimiento (pendiente ~1 mecanica, J23)</t>
        </is>
      </c>
      <c r="P1003" s="3" t="inlineStr">
        <is>
          <t>output/v8/F5/regional_ranking.csv</t>
        </is>
      </c>
    </row>
    <row r="1004">
      <c r="A1004" s="3" t="inlineStr">
        <is>
          <t>compra</t>
        </is>
      </c>
      <c r="B1004" s="3" t="inlineStr">
        <is>
          <t>ccaa:13</t>
        </is>
      </c>
      <c r="C1004" s="3" t="inlineStr">
        <is>
          <t>P4</t>
        </is>
      </c>
      <c r="D1004" s="3" t="inlineStr">
        <is>
          <t>demanda_externa</t>
        </is>
      </c>
      <c r="E1004" s="3" t="inlineStr">
        <is>
          <t>regional_panel</t>
        </is>
      </c>
      <c r="F1004" s="3" t="inlineStr">
        <is>
          <t>panel_covariables</t>
        </is>
      </c>
      <c r="G1004" s="3" t="n">
        <v>0.058376</v>
      </c>
      <c r="H1004" s="3" t="n">
        <v>-10.0855</v>
      </c>
      <c r="I1004" s="3" t="n">
        <v>-0.136034</v>
      </c>
      <c r="J1004" s="3" t="n">
        <v>0.142816</v>
      </c>
      <c r="K1004" s="3" t="n">
        <v>-0.5788140000000001</v>
      </c>
      <c r="L1004" s="3" t="n">
        <v>3</v>
      </c>
      <c r="M1004" s="3" t="inlineStr">
        <is>
          <t>si</t>
        </is>
      </c>
      <c r="N1004" s="3" t="inlineStr">
        <is>
          <t>no designado (contraste C4: no hay svar_hd regional)</t>
        </is>
      </c>
      <c r="O1004" s="3" t="inlineStr">
        <is>
          <t>CCAA: ranking por c_f·sign(dY) del panel FE (M8); asociacion, sin lectura causal; el factor comun es un resumen de comovimiento (pendiente ~1 mecanica, J23)</t>
        </is>
      </c>
      <c r="P1004" s="3" t="inlineStr">
        <is>
          <t>output/v8/F5/regional_ranking.csv</t>
        </is>
      </c>
    </row>
    <row r="1005">
      <c r="A1005" s="3" t="inlineStr">
        <is>
          <t>compra</t>
        </is>
      </c>
      <c r="B1005" s="3" t="inlineStr">
        <is>
          <t>ccaa:13</t>
        </is>
      </c>
      <c r="C1005" s="3" t="inlineStr">
        <is>
          <t>P4</t>
        </is>
      </c>
      <c r="D1005" s="3" t="inlineStr">
        <is>
          <t>residuo</t>
        </is>
      </c>
      <c r="E1005" s="3" t="inlineStr">
        <is>
          <t>regional_panel</t>
        </is>
      </c>
      <c r="F1005" s="3" t="inlineStr">
        <is>
          <t>panel_covariables</t>
        </is>
      </c>
      <c r="G1005" s="3" t="n">
        <v>2.79291</v>
      </c>
      <c r="H1005" s="3" t="n">
        <v>-482.523</v>
      </c>
      <c r="I1005" s="3" t="n">
        <v>-0.0120854</v>
      </c>
      <c r="J1005" s="3" t="n">
        <v>5.23789</v>
      </c>
      <c r="K1005" s="3" t="n">
        <v>-0.5788140000000001</v>
      </c>
      <c r="L1005" s="3" t="n"/>
      <c r="M1005" s="3" t="inlineStr">
        <is>
          <t>no</t>
        </is>
      </c>
      <c r="N1005" s="3" t="inlineStr">
        <is>
          <t>no designado (contraste C4: no hay svar_hd regional)</t>
        </is>
      </c>
      <c r="O1005" s="3" t="inlineStr">
        <is>
          <t>CCAA: ranking por c_f·sign(dY) del panel FE (M8); asociacion, sin lectura causal; el factor comun es un resumen de comovimiento (pendiente ~1 mecanica, J23)</t>
        </is>
      </c>
      <c r="P1005" s="3" t="inlineStr">
        <is>
          <t>output/v8/F5/regional_ranking.csv</t>
        </is>
      </c>
    </row>
    <row r="1006">
      <c r="A1006" s="3" t="inlineStr">
        <is>
          <t>compra</t>
        </is>
      </c>
      <c r="B1006" s="3" t="inlineStr">
        <is>
          <t>ccaa:13</t>
        </is>
      </c>
      <c r="C1006" s="3" t="inlineStr">
        <is>
          <t>P5</t>
        </is>
      </c>
      <c r="D1006" s="3" t="inlineStr">
        <is>
          <t>factor_comun</t>
        </is>
      </c>
      <c r="E1006" s="3" t="inlineStr">
        <is>
          <t>regional_ccaa_ols</t>
        </is>
      </c>
      <c r="F1006" s="3" t="inlineStr">
        <is>
          <t>ols_solo_factor</t>
        </is>
      </c>
      <c r="G1006" s="3" t="n">
        <v>10.9244</v>
      </c>
      <c r="H1006" s="3" t="n">
        <v>61.357</v>
      </c>
      <c r="I1006" s="3" t="n">
        <v>5.21927</v>
      </c>
      <c r="J1006" s="3" t="n">
        <v>18.6504</v>
      </c>
      <c r="K1006" s="3" t="n">
        <v>6.52459</v>
      </c>
      <c r="L1006" s="3" t="n"/>
      <c r="M1006" s="3" t="inlineStr">
        <is>
          <t>no</t>
        </is>
      </c>
      <c r="N1006" s="3" t="inlineStr">
        <is>
          <t>no designado (contraste C4: no hay svar_hd regional)</t>
        </is>
      </c>
      <c r="O1006" s="3" t="inlineStr">
        <is>
          <t>CCAA: ranking por c_f·sign(dY) del panel FE (M8); asociacion, sin lectura causal; el factor comun es un resumen de comovimiento (pendiente ~1 mecanica, J23)</t>
        </is>
      </c>
      <c r="P1006" s="3" t="inlineStr">
        <is>
          <t>output/v8/F5/regional_ranking.csv</t>
        </is>
      </c>
    </row>
    <row r="1007">
      <c r="A1007" s="3" t="inlineStr">
        <is>
          <t>compra</t>
        </is>
      </c>
      <c r="B1007" s="3" t="inlineStr">
        <is>
          <t>ccaa:13</t>
        </is>
      </c>
      <c r="C1007" s="3" t="inlineStr">
        <is>
          <t>P5</t>
        </is>
      </c>
      <c r="D1007" s="3" t="inlineStr">
        <is>
          <t>residuo</t>
        </is>
      </c>
      <c r="E1007" s="3" t="inlineStr">
        <is>
          <t>regional_ccaa_ols</t>
        </is>
      </c>
      <c r="F1007" s="3" t="inlineStr">
        <is>
          <t>ols_solo_factor</t>
        </is>
      </c>
      <c r="G1007" s="3" t="n">
        <v>6.88023</v>
      </c>
      <c r="H1007" s="3" t="n">
        <v>38.643</v>
      </c>
      <c r="I1007" s="3" t="n"/>
      <c r="J1007" s="3" t="n"/>
      <c r="K1007" s="3" t="n">
        <v>6.52459</v>
      </c>
      <c r="L1007" s="3" t="n"/>
      <c r="M1007" s="3" t="inlineStr">
        <is>
          <t>no</t>
        </is>
      </c>
      <c r="N1007" s="3" t="inlineStr">
        <is>
          <t>no designado (contraste C4: no hay svar_hd regional)</t>
        </is>
      </c>
      <c r="O1007" s="3" t="inlineStr">
        <is>
          <t>CCAA: ranking por c_f·sign(dY) del panel FE (M8); asociacion, sin lectura causal; el factor comun es un resumen de comovimiento (pendiente ~1 mecanica, J23)</t>
        </is>
      </c>
      <c r="P1007" s="3" t="inlineStr">
        <is>
          <t>output/v8/F5/regional_ranking.csv</t>
        </is>
      </c>
    </row>
    <row r="1008">
      <c r="A1008" s="3" t="inlineStr">
        <is>
          <t>compra</t>
        </is>
      </c>
      <c r="B1008" s="3" t="inlineStr">
        <is>
          <t>ccaa:13</t>
        </is>
      </c>
      <c r="C1008" s="3" t="inlineStr">
        <is>
          <t>P5</t>
        </is>
      </c>
      <c r="D1008" s="3" t="inlineStr">
        <is>
          <t>factor_comun</t>
        </is>
      </c>
      <c r="E1008" s="3" t="inlineStr">
        <is>
          <t>regional_panel</t>
        </is>
      </c>
      <c r="F1008" s="3" t="inlineStr">
        <is>
          <t>panel_covariables</t>
        </is>
      </c>
      <c r="G1008" s="3" t="n">
        <v>1.50215</v>
      </c>
      <c r="H1008" s="3" t="n">
        <v>23.0229</v>
      </c>
      <c r="I1008" s="3" t="n">
        <v>-1.20824</v>
      </c>
      <c r="J1008" s="3" t="n">
        <v>4.46537</v>
      </c>
      <c r="K1008" s="3" t="n">
        <v>6.52459</v>
      </c>
      <c r="L1008" s="3" t="n"/>
      <c r="M1008" s="3" t="inlineStr">
        <is>
          <t>no</t>
        </is>
      </c>
      <c r="N1008" s="3" t="inlineStr">
        <is>
          <t>no designado (contraste C4: no hay svar_hd regional)</t>
        </is>
      </c>
      <c r="O1008" s="3" t="inlineStr">
        <is>
          <t>CCAA: ranking por c_f·sign(dY) del panel FE (M8); asociacion, sin lectura causal; el factor comun es un resumen de comovimiento (pendiente ~1 mecanica, J23)</t>
        </is>
      </c>
      <c r="P1008" s="3" t="inlineStr">
        <is>
          <t>output/v8/F5/regional_ranking.csv</t>
        </is>
      </c>
    </row>
    <row r="1009">
      <c r="A1009" s="3" t="inlineStr">
        <is>
          <t>compra</t>
        </is>
      </c>
      <c r="B1009" s="3" t="inlineStr">
        <is>
          <t>ccaa:13</t>
        </is>
      </c>
      <c r="C1009" s="3" t="inlineStr">
        <is>
          <t>P5</t>
        </is>
      </c>
      <c r="D1009" s="3" t="inlineStr">
        <is>
          <t>empleo_renta</t>
        </is>
      </c>
      <c r="E1009" s="3" t="inlineStr">
        <is>
          <t>regional_panel</t>
        </is>
      </c>
      <c r="F1009" s="3" t="inlineStr">
        <is>
          <t>panel_covariables</t>
        </is>
      </c>
      <c r="G1009" s="3" t="n">
        <v>1.22193</v>
      </c>
      <c r="H1009" s="3" t="n">
        <v>18.7281</v>
      </c>
      <c r="I1009" s="3" t="n">
        <v>0.796956</v>
      </c>
      <c r="J1009" s="3" t="n">
        <v>2.03751</v>
      </c>
      <c r="K1009" s="3" t="n">
        <v>6.52459</v>
      </c>
      <c r="L1009" s="3" t="n">
        <v>1</v>
      </c>
      <c r="M1009" s="3" t="inlineStr">
        <is>
          <t>si</t>
        </is>
      </c>
      <c r="N1009" s="3" t="inlineStr">
        <is>
          <t>no designado (contraste C4: no hay svar_hd regional)</t>
        </is>
      </c>
      <c r="O1009" s="3" t="inlineStr">
        <is>
          <t>CCAA: ranking por c_f·sign(dY) del panel FE (M8); asociacion, sin lectura causal; el factor comun es un resumen de comovimiento (pendiente ~1 mecanica, J23)</t>
        </is>
      </c>
      <c r="P1009" s="3" t="inlineStr">
        <is>
          <t>output/v8/F5/regional_ranking.csv</t>
        </is>
      </c>
    </row>
    <row r="1010">
      <c r="A1010" s="3" t="inlineStr">
        <is>
          <t>compra</t>
        </is>
      </c>
      <c r="B1010" s="3" t="inlineStr">
        <is>
          <t>ccaa:13</t>
        </is>
      </c>
      <c r="C1010" s="3" t="inlineStr">
        <is>
          <t>P5</t>
        </is>
      </c>
      <c r="D1010" s="3" t="inlineStr">
        <is>
          <t>demografia</t>
        </is>
      </c>
      <c r="E1010" s="3" t="inlineStr">
        <is>
          <t>regional_panel</t>
        </is>
      </c>
      <c r="F1010" s="3" t="inlineStr">
        <is>
          <t>panel_covariables</t>
        </is>
      </c>
      <c r="G1010" s="3" t="n">
        <v>-0.898736</v>
      </c>
      <c r="H1010" s="3" t="n">
        <v>-13.7746</v>
      </c>
      <c r="I1010" s="3" t="n">
        <v>-7.3512</v>
      </c>
      <c r="J1010" s="3" t="n">
        <v>3.94253</v>
      </c>
      <c r="K1010" s="3" t="n">
        <v>6.52459</v>
      </c>
      <c r="L1010" s="3" t="n">
        <v>4</v>
      </c>
      <c r="M1010" s="3" t="inlineStr">
        <is>
          <t>si</t>
        </is>
      </c>
      <c r="N1010" s="3" t="inlineStr">
        <is>
          <t>no designado (contraste C4: no hay svar_hd regional)</t>
        </is>
      </c>
      <c r="O1010" s="3" t="inlineStr">
        <is>
          <t>CCAA: ranking por c_f·sign(dY) del panel FE (M8); asociacion, sin lectura causal; el factor comun es un resumen de comovimiento (pendiente ~1 mecanica, J23)</t>
        </is>
      </c>
      <c r="P1010" s="3" t="inlineStr">
        <is>
          <t>output/v8/F5/regional_ranking.csv</t>
        </is>
      </c>
    </row>
    <row r="1011">
      <c r="A1011" s="3" t="inlineStr">
        <is>
          <t>compra</t>
        </is>
      </c>
      <c r="B1011" s="3" t="inlineStr">
        <is>
          <t>ccaa:13</t>
        </is>
      </c>
      <c r="C1011" s="3" t="inlineStr">
        <is>
          <t>P5</t>
        </is>
      </c>
      <c r="D1011" s="3" t="inlineStr">
        <is>
          <t>oferta</t>
        </is>
      </c>
      <c r="E1011" s="3" t="inlineStr">
        <is>
          <t>regional_panel</t>
        </is>
      </c>
      <c r="F1011" s="3" t="inlineStr">
        <is>
          <t>panel_covariables</t>
        </is>
      </c>
      <c r="G1011" s="3" t="n">
        <v>-0.000300821</v>
      </c>
      <c r="H1011" s="3" t="n">
        <v>-0.00461057</v>
      </c>
      <c r="I1011" s="3" t="n">
        <v>-0.104523</v>
      </c>
      <c r="J1011" s="3" t="n">
        <v>0.0132619</v>
      </c>
      <c r="K1011" s="3" t="n">
        <v>6.52459</v>
      </c>
      <c r="L1011" s="3" t="n">
        <v>2</v>
      </c>
      <c r="M1011" s="3" t="inlineStr">
        <is>
          <t>si</t>
        </is>
      </c>
      <c r="N1011" s="3" t="inlineStr">
        <is>
          <t>no designado (contraste C4: no hay svar_hd regional)</t>
        </is>
      </c>
      <c r="O1011" s="3" t="inlineStr">
        <is>
          <t>CCAA: ranking por c_f·sign(dY) del panel FE (M8); asociacion, sin lectura causal; el factor comun es un resumen de comovimiento (pendiente ~1 mecanica, J23)</t>
        </is>
      </c>
      <c r="P1011" s="3" t="inlineStr">
        <is>
          <t>output/v8/F5/regional_ranking.csv</t>
        </is>
      </c>
    </row>
    <row r="1012">
      <c r="A1012" s="3" t="inlineStr">
        <is>
          <t>compra</t>
        </is>
      </c>
      <c r="B1012" s="3" t="inlineStr">
        <is>
          <t>ccaa:13</t>
        </is>
      </c>
      <c r="C1012" s="3" t="inlineStr">
        <is>
          <t>P5</t>
        </is>
      </c>
      <c r="D1012" s="3" t="inlineStr">
        <is>
          <t>demanda_externa</t>
        </is>
      </c>
      <c r="E1012" s="3" t="inlineStr">
        <is>
          <t>regional_panel</t>
        </is>
      </c>
      <c r="F1012" s="3" t="inlineStr">
        <is>
          <t>panel_covariables</t>
        </is>
      </c>
      <c r="G1012" s="3" t="n">
        <v>-0.008493209999999999</v>
      </c>
      <c r="H1012" s="3" t="n">
        <v>-0.130172</v>
      </c>
      <c r="I1012" s="3" t="n">
        <v>-0.129626</v>
      </c>
      <c r="J1012" s="3" t="n">
        <v>0.200162</v>
      </c>
      <c r="K1012" s="3" t="n">
        <v>6.52459</v>
      </c>
      <c r="L1012" s="3" t="n">
        <v>3</v>
      </c>
      <c r="M1012" s="3" t="inlineStr">
        <is>
          <t>si</t>
        </is>
      </c>
      <c r="N1012" s="3" t="inlineStr">
        <is>
          <t>no designado (contraste C4: no hay svar_hd regional)</t>
        </is>
      </c>
      <c r="O1012" s="3" t="inlineStr">
        <is>
          <t>CCAA: ranking por c_f·sign(dY) del panel FE (M8); asociacion, sin lectura causal; el factor comun es un resumen de comovimiento (pendiente ~1 mecanica, J23)</t>
        </is>
      </c>
      <c r="P1012" s="3" t="inlineStr">
        <is>
          <t>output/v8/F5/regional_ranking.csv</t>
        </is>
      </c>
    </row>
    <row r="1013">
      <c r="A1013" s="3" t="inlineStr">
        <is>
          <t>compra</t>
        </is>
      </c>
      <c r="B1013" s="3" t="inlineStr">
        <is>
          <t>ccaa:13</t>
        </is>
      </c>
      <c r="C1013" s="3" t="inlineStr">
        <is>
          <t>P5</t>
        </is>
      </c>
      <c r="D1013" s="3" t="inlineStr">
        <is>
          <t>residuo</t>
        </is>
      </c>
      <c r="E1013" s="3" t="inlineStr">
        <is>
          <t>regional_panel</t>
        </is>
      </c>
      <c r="F1013" s="3" t="inlineStr">
        <is>
          <t>panel_covariables</t>
        </is>
      </c>
      <c r="G1013" s="3" t="n">
        <v>4.70804</v>
      </c>
      <c r="H1013" s="3" t="n">
        <v>72.1584</v>
      </c>
      <c r="I1013" s="3" t="n">
        <v>0.554467</v>
      </c>
      <c r="J1013" s="3" t="n">
        <v>10.5635</v>
      </c>
      <c r="K1013" s="3" t="n">
        <v>6.52459</v>
      </c>
      <c r="L1013" s="3" t="n"/>
      <c r="M1013" s="3" t="inlineStr">
        <is>
          <t>no</t>
        </is>
      </c>
      <c r="N1013" s="3" t="inlineStr">
        <is>
          <t>no designado (contraste C4: no hay svar_hd regional)</t>
        </is>
      </c>
      <c r="O1013" s="3" t="inlineStr">
        <is>
          <t>CCAA: ranking por c_f·sign(dY) del panel FE (M8); asociacion, sin lectura causal; el factor comun es un resumen de comovimiento (pendiente ~1 mecanica, J23)</t>
        </is>
      </c>
      <c r="P1013" s="3" t="inlineStr">
        <is>
          <t>output/v8/F5/regional_ranking.csv</t>
        </is>
      </c>
    </row>
    <row r="1014">
      <c r="A1014" s="3" t="inlineStr">
        <is>
          <t>compra</t>
        </is>
      </c>
      <c r="B1014" s="3" t="inlineStr">
        <is>
          <t>ccaa:14</t>
        </is>
      </c>
      <c r="C1014" s="3" t="inlineStr">
        <is>
          <t>P1</t>
        </is>
      </c>
      <c r="D1014" s="3" t="inlineStr">
        <is>
          <t>factor_comun</t>
        </is>
      </c>
      <c r="E1014" s="3" t="inlineStr">
        <is>
          <t>regional_ccaa_ols</t>
        </is>
      </c>
      <c r="F1014" s="3" t="inlineStr">
        <is>
          <t>ols_solo_factor</t>
        </is>
      </c>
      <c r="G1014" s="3" t="n">
        <v>95.50490000000001</v>
      </c>
      <c r="H1014" s="3" t="n">
        <v>98.646</v>
      </c>
      <c r="I1014" s="3" t="n">
        <v>72.0939</v>
      </c>
      <c r="J1014" s="3" t="n">
        <v>123.593</v>
      </c>
      <c r="K1014" s="3" t="n">
        <v>96.8158</v>
      </c>
      <c r="L1014" s="3" t="n"/>
      <c r="M1014" s="3" t="inlineStr">
        <is>
          <t>no</t>
        </is>
      </c>
      <c r="N1014" s="3" t="inlineStr">
        <is>
          <t>no designado (contraste C4: no hay svar_hd regional)</t>
        </is>
      </c>
      <c r="O1014" s="3" t="inlineStr">
        <is>
          <t>CCAA: ranking por c_f·sign(dY) del panel FE (M8); asociacion, sin lectura causal; el factor comun es un resumen de comovimiento (pendiente ~1 mecanica, J23)</t>
        </is>
      </c>
      <c r="P1014" s="3" t="inlineStr">
        <is>
          <t>output/v8/F5/regional_ranking.csv</t>
        </is>
      </c>
    </row>
    <row r="1015">
      <c r="A1015" s="3" t="inlineStr">
        <is>
          <t>compra</t>
        </is>
      </c>
      <c r="B1015" s="3" t="inlineStr">
        <is>
          <t>ccaa:14</t>
        </is>
      </c>
      <c r="C1015" s="3" t="inlineStr">
        <is>
          <t>P1</t>
        </is>
      </c>
      <c r="D1015" s="3" t="inlineStr">
        <is>
          <t>residuo</t>
        </is>
      </c>
      <c r="E1015" s="3" t="inlineStr">
        <is>
          <t>regional_ccaa_ols</t>
        </is>
      </c>
      <c r="F1015" s="3" t="inlineStr">
        <is>
          <t>ols_solo_factor</t>
        </is>
      </c>
      <c r="G1015" s="3" t="n">
        <v>1.31093</v>
      </c>
      <c r="H1015" s="3" t="n">
        <v>1.35405</v>
      </c>
      <c r="I1015" s="3" t="n"/>
      <c r="J1015" s="3" t="n"/>
      <c r="K1015" s="3" t="n">
        <v>96.8158</v>
      </c>
      <c r="L1015" s="3" t="n"/>
      <c r="M1015" s="3" t="inlineStr">
        <is>
          <t>no</t>
        </is>
      </c>
      <c r="N1015" s="3" t="inlineStr">
        <is>
          <t>no designado (contraste C4: no hay svar_hd regional)</t>
        </is>
      </c>
      <c r="O1015" s="3" t="inlineStr">
        <is>
          <t>CCAA: ranking por c_f·sign(dY) del panel FE (M8); asociacion, sin lectura causal; el factor comun es un resumen de comovimiento (pendiente ~1 mecanica, J23)</t>
        </is>
      </c>
      <c r="P1015" s="3" t="inlineStr">
        <is>
          <t>output/v8/F5/regional_ranking.csv</t>
        </is>
      </c>
    </row>
    <row r="1016">
      <c r="A1016" s="3" t="inlineStr">
        <is>
          <t>compra</t>
        </is>
      </c>
      <c r="B1016" s="3" t="inlineStr">
        <is>
          <t>ccaa:14</t>
        </is>
      </c>
      <c r="C1016" s="3" t="inlineStr">
        <is>
          <t>P1</t>
        </is>
      </c>
      <c r="D1016" s="3" t="inlineStr">
        <is>
          <t>factor_comun</t>
        </is>
      </c>
      <c r="E1016" s="3" t="inlineStr">
        <is>
          <t>regional_panel</t>
        </is>
      </c>
      <c r="F1016" s="3" t="inlineStr">
        <is>
          <t>panel_covariables</t>
        </is>
      </c>
      <c r="G1016" s="3" t="n">
        <v>74.3853</v>
      </c>
      <c r="H1016" s="3" t="n">
        <v>76.8317</v>
      </c>
      <c r="I1016" s="3" t="n">
        <v>63.2347</v>
      </c>
      <c r="J1016" s="3" t="n">
        <v>88.0656</v>
      </c>
      <c r="K1016" s="3" t="n">
        <v>96.8158</v>
      </c>
      <c r="L1016" s="3" t="n"/>
      <c r="M1016" s="3" t="inlineStr">
        <is>
          <t>no</t>
        </is>
      </c>
      <c r="N1016" s="3" t="inlineStr">
        <is>
          <t>no designado (contraste C4: no hay svar_hd regional)</t>
        </is>
      </c>
      <c r="O1016" s="3" t="inlineStr">
        <is>
          <t>CCAA: ranking por c_f·sign(dY) del panel FE (M8); asociacion, sin lectura causal; el factor comun es un resumen de comovimiento (pendiente ~1 mecanica, J23)</t>
        </is>
      </c>
      <c r="P1016" s="3" t="inlineStr">
        <is>
          <t>output/v8/F5/regional_ranking.csv</t>
        </is>
      </c>
    </row>
    <row r="1017">
      <c r="A1017" s="3" t="inlineStr">
        <is>
          <t>compra</t>
        </is>
      </c>
      <c r="B1017" s="3" t="inlineStr">
        <is>
          <t>ccaa:14</t>
        </is>
      </c>
      <c r="C1017" s="3" t="inlineStr">
        <is>
          <t>P1</t>
        </is>
      </c>
      <c r="D1017" s="3" t="inlineStr">
        <is>
          <t>residuo</t>
        </is>
      </c>
      <c r="E1017" s="3" t="inlineStr">
        <is>
          <t>regional_panel</t>
        </is>
      </c>
      <c r="F1017" s="3" t="inlineStr">
        <is>
          <t>panel_covariables</t>
        </is>
      </c>
      <c r="G1017" s="3" t="n">
        <v>22.4306</v>
      </c>
      <c r="H1017" s="3" t="n">
        <v>23.1683</v>
      </c>
      <c r="I1017" s="3" t="n">
        <v>11.4105</v>
      </c>
      <c r="J1017" s="3" t="n">
        <v>32.9095</v>
      </c>
      <c r="K1017" s="3" t="n">
        <v>96.8158</v>
      </c>
      <c r="L1017" s="3" t="n"/>
      <c r="M1017" s="3" t="inlineStr">
        <is>
          <t>no</t>
        </is>
      </c>
      <c r="N1017" s="3" t="inlineStr">
        <is>
          <t>no designado (contraste C4: no hay svar_hd regional)</t>
        </is>
      </c>
      <c r="O1017" s="3" t="inlineStr">
        <is>
          <t>CCAA: ranking por c_f·sign(dY) del panel FE (M8); asociacion, sin lectura causal; el factor comun es un resumen de comovimiento (pendiente ~1 mecanica, J23)</t>
        </is>
      </c>
      <c r="P1017" s="3" t="inlineStr">
        <is>
          <t>output/v8/F5/regional_ranking.csv</t>
        </is>
      </c>
    </row>
    <row r="1018">
      <c r="A1018" s="3" t="inlineStr">
        <is>
          <t>compra</t>
        </is>
      </c>
      <c r="B1018" s="3" t="inlineStr">
        <is>
          <t>ccaa:14</t>
        </is>
      </c>
      <c r="C1018" s="3" t="inlineStr">
        <is>
          <t>P2</t>
        </is>
      </c>
      <c r="D1018" s="3" t="inlineStr">
        <is>
          <t>factor_comun</t>
        </is>
      </c>
      <c r="E1018" s="3" t="inlineStr">
        <is>
          <t>regional_ccaa_ols</t>
        </is>
      </c>
      <c r="F1018" s="3" t="inlineStr">
        <is>
          <t>ols_solo_factor</t>
        </is>
      </c>
      <c r="G1018" s="3" t="n">
        <v>-53.7079</v>
      </c>
      <c r="H1018" s="3" t="n">
        <v>100.284</v>
      </c>
      <c r="I1018" s="3" t="n">
        <v>-63.6917</v>
      </c>
      <c r="J1018" s="3" t="n">
        <v>-46.7229</v>
      </c>
      <c r="K1018" s="3" t="n">
        <v>-50.1145</v>
      </c>
      <c r="L1018" s="3" t="n"/>
      <c r="M1018" s="3" t="inlineStr">
        <is>
          <t>no</t>
        </is>
      </c>
      <c r="N1018" s="3" t="inlineStr">
        <is>
          <t>no designado (contraste C4: no hay svar_hd regional)</t>
        </is>
      </c>
      <c r="O1018" s="3" t="inlineStr">
        <is>
          <t>CCAA: ranking por c_f·sign(dY) del panel FE (M8); asociacion, sin lectura causal; el factor comun es un resumen de comovimiento (pendiente ~1 mecanica, J23)</t>
        </is>
      </c>
      <c r="P1018" s="3" t="inlineStr">
        <is>
          <t>output/v8/F5/regional_ranking.csv</t>
        </is>
      </c>
    </row>
    <row r="1019">
      <c r="A1019" s="3" t="inlineStr">
        <is>
          <t>compra</t>
        </is>
      </c>
      <c r="B1019" s="3" t="inlineStr">
        <is>
          <t>ccaa:14</t>
        </is>
      </c>
      <c r="C1019" s="3" t="inlineStr">
        <is>
          <t>P2</t>
        </is>
      </c>
      <c r="D1019" s="3" t="inlineStr">
        <is>
          <t>residuo</t>
        </is>
      </c>
      <c r="E1019" s="3" t="inlineStr">
        <is>
          <t>regional_ccaa_ols</t>
        </is>
      </c>
      <c r="F1019" s="3" t="inlineStr">
        <is>
          <t>ols_solo_factor</t>
        </is>
      </c>
      <c r="G1019" s="3" t="n">
        <v>0.152196</v>
      </c>
      <c r="H1019" s="3" t="n">
        <v>-0.284182</v>
      </c>
      <c r="I1019" s="3" t="n"/>
      <c r="J1019" s="3" t="n"/>
      <c r="K1019" s="3" t="n">
        <v>-50.1145</v>
      </c>
      <c r="L1019" s="3" t="n"/>
      <c r="M1019" s="3" t="inlineStr">
        <is>
          <t>no</t>
        </is>
      </c>
      <c r="N1019" s="3" t="inlineStr">
        <is>
          <t>no designado (contraste C4: no hay svar_hd regional)</t>
        </is>
      </c>
      <c r="O1019" s="3" t="inlineStr">
        <is>
          <t>CCAA: ranking por c_f·sign(dY) del panel FE (M8); asociacion, sin lectura causal; el factor comun es un resumen de comovimiento (pendiente ~1 mecanica, J23)</t>
        </is>
      </c>
      <c r="P1019" s="3" t="inlineStr">
        <is>
          <t>output/v8/F5/regional_ranking.csv</t>
        </is>
      </c>
    </row>
    <row r="1020">
      <c r="A1020" s="3" t="inlineStr">
        <is>
          <t>compra</t>
        </is>
      </c>
      <c r="B1020" s="3" t="inlineStr">
        <is>
          <t>ccaa:14</t>
        </is>
      </c>
      <c r="C1020" s="3" t="inlineStr">
        <is>
          <t>P2</t>
        </is>
      </c>
      <c r="D1020" s="3" t="inlineStr">
        <is>
          <t>factor_comun</t>
        </is>
      </c>
      <c r="E1020" s="3" t="inlineStr">
        <is>
          <t>regional_panel</t>
        </is>
      </c>
      <c r="F1020" s="3" t="inlineStr">
        <is>
          <t>panel_covariables</t>
        </is>
      </c>
      <c r="G1020" s="3" t="n">
        <v>-35.0812</v>
      </c>
      <c r="H1020" s="3" t="n">
        <v>70.0021</v>
      </c>
      <c r="I1020" s="3" t="n">
        <v>-41.5124</v>
      </c>
      <c r="J1020" s="3" t="n">
        <v>-30.6884</v>
      </c>
      <c r="K1020" s="3" t="n">
        <v>-50.1145</v>
      </c>
      <c r="L1020" s="3" t="n"/>
      <c r="M1020" s="3" t="inlineStr">
        <is>
          <t>no</t>
        </is>
      </c>
      <c r="N1020" s="3" t="inlineStr">
        <is>
          <t>no designado (contraste C4: no hay svar_hd regional)</t>
        </is>
      </c>
      <c r="O1020" s="3" t="inlineStr">
        <is>
          <t>CCAA: ranking por c_f·sign(dY) del panel FE (M8); asociacion, sin lectura causal; el factor comun es un resumen de comovimiento (pendiente ~1 mecanica, J23)</t>
        </is>
      </c>
      <c r="P1020" s="3" t="inlineStr">
        <is>
          <t>output/v8/F5/regional_ranking.csv</t>
        </is>
      </c>
    </row>
    <row r="1021">
      <c r="A1021" s="3" t="inlineStr">
        <is>
          <t>compra</t>
        </is>
      </c>
      <c r="B1021" s="3" t="inlineStr">
        <is>
          <t>ccaa:14</t>
        </is>
      </c>
      <c r="C1021" s="3" t="inlineStr">
        <is>
          <t>P2</t>
        </is>
      </c>
      <c r="D1021" s="3" t="inlineStr">
        <is>
          <t>empleo_renta</t>
        </is>
      </c>
      <c r="E1021" s="3" t="inlineStr">
        <is>
          <t>regional_panel</t>
        </is>
      </c>
      <c r="F1021" s="3" t="inlineStr">
        <is>
          <t>panel_covariables</t>
        </is>
      </c>
      <c r="G1021" s="3" t="n">
        <v>-1.79301</v>
      </c>
      <c r="H1021" s="3" t="n">
        <v>3.57782</v>
      </c>
      <c r="I1021" s="3" t="n">
        <v>-3.41012</v>
      </c>
      <c r="J1021" s="3" t="n">
        <v>-0.324491</v>
      </c>
      <c r="K1021" s="3" t="n">
        <v>-50.1145</v>
      </c>
      <c r="L1021" s="3" t="n">
        <v>1</v>
      </c>
      <c r="M1021" s="3" t="inlineStr">
        <is>
          <t>si</t>
        </is>
      </c>
      <c r="N1021" s="3" t="inlineStr">
        <is>
          <t>no designado (contraste C4: no hay svar_hd regional)</t>
        </is>
      </c>
      <c r="O1021" s="3" t="inlineStr">
        <is>
          <t>CCAA: ranking por c_f·sign(dY) del panel FE (M8); asociacion, sin lectura causal; el factor comun es un resumen de comovimiento (pendiente ~1 mecanica, J23)</t>
        </is>
      </c>
      <c r="P1021" s="3" t="inlineStr">
        <is>
          <t>output/v8/F5/regional_ranking.csv</t>
        </is>
      </c>
    </row>
    <row r="1022">
      <c r="A1022" s="3" t="inlineStr">
        <is>
          <t>compra</t>
        </is>
      </c>
      <c r="B1022" s="3" t="inlineStr">
        <is>
          <t>ccaa:14</t>
        </is>
      </c>
      <c r="C1022" s="3" t="inlineStr">
        <is>
          <t>P2</t>
        </is>
      </c>
      <c r="D1022" s="3" t="inlineStr">
        <is>
          <t>demografia</t>
        </is>
      </c>
      <c r="E1022" s="3" t="inlineStr">
        <is>
          <t>regional_panel</t>
        </is>
      </c>
      <c r="F1022" s="3" t="inlineStr">
        <is>
          <t>panel_covariables</t>
        </is>
      </c>
      <c r="G1022" s="3" t="n">
        <v>2.55515</v>
      </c>
      <c r="H1022" s="3" t="n">
        <v>-5.09862</v>
      </c>
      <c r="I1022" s="3" t="n">
        <v>0.159319</v>
      </c>
      <c r="J1022" s="3" t="n">
        <v>8.244339999999999</v>
      </c>
      <c r="K1022" s="3" t="n">
        <v>-50.1145</v>
      </c>
      <c r="L1022" s="3" t="n">
        <v>4</v>
      </c>
      <c r="M1022" s="3" t="inlineStr">
        <is>
          <t>si</t>
        </is>
      </c>
      <c r="N1022" s="3" t="inlineStr">
        <is>
          <t>no designado (contraste C4: no hay svar_hd regional)</t>
        </is>
      </c>
      <c r="O1022" s="3" t="inlineStr">
        <is>
          <t>CCAA: ranking por c_f·sign(dY) del panel FE (M8); asociacion, sin lectura causal; el factor comun es un resumen de comovimiento (pendiente ~1 mecanica, J23)</t>
        </is>
      </c>
      <c r="P1022" s="3" t="inlineStr">
        <is>
          <t>output/v8/F5/regional_ranking.csv</t>
        </is>
      </c>
    </row>
    <row r="1023">
      <c r="A1023" s="3" t="inlineStr">
        <is>
          <t>compra</t>
        </is>
      </c>
      <c r="B1023" s="3" t="inlineStr">
        <is>
          <t>ccaa:14</t>
        </is>
      </c>
      <c r="C1023" s="3" t="inlineStr">
        <is>
          <t>P2</t>
        </is>
      </c>
      <c r="D1023" s="3" t="inlineStr">
        <is>
          <t>oferta</t>
        </is>
      </c>
      <c r="E1023" s="3" t="inlineStr">
        <is>
          <t>regional_panel</t>
        </is>
      </c>
      <c r="F1023" s="3" t="inlineStr">
        <is>
          <t>panel_covariables</t>
        </is>
      </c>
      <c r="G1023" s="3" t="n">
        <v>-0.093407</v>
      </c>
      <c r="H1023" s="3" t="n">
        <v>0.186387</v>
      </c>
      <c r="I1023" s="3" t="n">
        <v>-0.729331</v>
      </c>
      <c r="J1023" s="3" t="n">
        <v>0.570781</v>
      </c>
      <c r="K1023" s="3" t="n">
        <v>-50.1145</v>
      </c>
      <c r="L1023" s="3" t="n">
        <v>2</v>
      </c>
      <c r="M1023" s="3" t="inlineStr">
        <is>
          <t>si</t>
        </is>
      </c>
      <c r="N1023" s="3" t="inlineStr">
        <is>
          <t>no designado (contraste C4: no hay svar_hd regional)</t>
        </is>
      </c>
      <c r="O1023" s="3" t="inlineStr">
        <is>
          <t>CCAA: ranking por c_f·sign(dY) del panel FE (M8); asociacion, sin lectura causal; el factor comun es un resumen de comovimiento (pendiente ~1 mecanica, J23)</t>
        </is>
      </c>
      <c r="P1023" s="3" t="inlineStr">
        <is>
          <t>output/v8/F5/regional_ranking.csv</t>
        </is>
      </c>
    </row>
    <row r="1024">
      <c r="A1024" s="3" t="inlineStr">
        <is>
          <t>compra</t>
        </is>
      </c>
      <c r="B1024" s="3" t="inlineStr">
        <is>
          <t>ccaa:14</t>
        </is>
      </c>
      <c r="C1024" s="3" t="inlineStr">
        <is>
          <t>P2</t>
        </is>
      </c>
      <c r="D1024" s="3" t="inlineStr">
        <is>
          <t>demanda_externa</t>
        </is>
      </c>
      <c r="E1024" s="3" t="inlineStr">
        <is>
          <t>regional_panel</t>
        </is>
      </c>
      <c r="F1024" s="3" t="inlineStr">
        <is>
          <t>panel_covariables</t>
        </is>
      </c>
      <c r="G1024" s="3" t="n">
        <v>0.162584</v>
      </c>
      <c r="H1024" s="3" t="n">
        <v>-0.324425</v>
      </c>
      <c r="I1024" s="3" t="n">
        <v>-0.367557</v>
      </c>
      <c r="J1024" s="3" t="n">
        <v>0.316669</v>
      </c>
      <c r="K1024" s="3" t="n">
        <v>-50.1145</v>
      </c>
      <c r="L1024" s="3" t="n">
        <v>3</v>
      </c>
      <c r="M1024" s="3" t="inlineStr">
        <is>
          <t>si</t>
        </is>
      </c>
      <c r="N1024" s="3" t="inlineStr">
        <is>
          <t>no designado (contraste C4: no hay svar_hd regional)</t>
        </is>
      </c>
      <c r="O1024" s="3" t="inlineStr">
        <is>
          <t>CCAA: ranking por c_f·sign(dY) del panel FE (M8); asociacion, sin lectura causal; el factor comun es un resumen de comovimiento (pendiente ~1 mecanica, J23)</t>
        </is>
      </c>
      <c r="P1024" s="3" t="inlineStr">
        <is>
          <t>output/v8/F5/regional_ranking.csv</t>
        </is>
      </c>
    </row>
    <row r="1025">
      <c r="A1025" s="3" t="inlineStr">
        <is>
          <t>compra</t>
        </is>
      </c>
      <c r="B1025" s="3" t="inlineStr">
        <is>
          <t>ccaa:14</t>
        </is>
      </c>
      <c r="C1025" s="3" t="inlineStr">
        <is>
          <t>P2</t>
        </is>
      </c>
      <c r="D1025" s="3" t="inlineStr">
        <is>
          <t>residuo</t>
        </is>
      </c>
      <c r="E1025" s="3" t="inlineStr">
        <is>
          <t>regional_panel</t>
        </is>
      </c>
      <c r="F1025" s="3" t="inlineStr">
        <is>
          <t>panel_covariables</t>
        </is>
      </c>
      <c r="G1025" s="3" t="n">
        <v>-15.8646</v>
      </c>
      <c r="H1025" s="3" t="n">
        <v>31.6568</v>
      </c>
      <c r="I1025" s="3" t="n">
        <v>-21.0774</v>
      </c>
      <c r="J1025" s="3" t="n">
        <v>-11.2087</v>
      </c>
      <c r="K1025" s="3" t="n">
        <v>-50.1145</v>
      </c>
      <c r="L1025" s="3" t="n"/>
      <c r="M1025" s="3" t="inlineStr">
        <is>
          <t>no</t>
        </is>
      </c>
      <c r="N1025" s="3" t="inlineStr">
        <is>
          <t>no designado (contraste C4: no hay svar_hd regional)</t>
        </is>
      </c>
      <c r="O1025" s="3" t="inlineStr">
        <is>
          <t>CCAA: ranking por c_f·sign(dY) del panel FE (M8); asociacion, sin lectura causal; el factor comun es un resumen de comovimiento (pendiente ~1 mecanica, J23)</t>
        </is>
      </c>
      <c r="P1025" s="3" t="inlineStr">
        <is>
          <t>output/v8/F5/regional_ranking.csv</t>
        </is>
      </c>
    </row>
    <row r="1026">
      <c r="A1026" s="3" t="inlineStr">
        <is>
          <t>compra</t>
        </is>
      </c>
      <c r="B1026" s="3" t="inlineStr">
        <is>
          <t>ccaa:14</t>
        </is>
      </c>
      <c r="C1026" s="3" t="inlineStr">
        <is>
          <t>P3</t>
        </is>
      </c>
      <c r="D1026" s="3" t="inlineStr">
        <is>
          <t>factor_comun</t>
        </is>
      </c>
      <c r="E1026" s="3" t="inlineStr">
        <is>
          <t>regional_ccaa_ols</t>
        </is>
      </c>
      <c r="F1026" s="3" t="inlineStr">
        <is>
          <t>ols_solo_factor</t>
        </is>
      </c>
      <c r="G1026" s="3" t="n">
        <v>-0.553439</v>
      </c>
      <c r="H1026" s="3" t="n">
        <v>6.45489</v>
      </c>
      <c r="I1026" s="3" t="n">
        <v>-4.65541</v>
      </c>
      <c r="J1026" s="3" t="n">
        <v>2.96861</v>
      </c>
      <c r="K1026" s="3" t="n">
        <v>-7.81723</v>
      </c>
      <c r="L1026" s="3" t="n"/>
      <c r="M1026" s="3" t="inlineStr">
        <is>
          <t>no</t>
        </is>
      </c>
      <c r="N1026" s="3" t="inlineStr">
        <is>
          <t>no designado (contraste C4: no hay svar_hd regional)</t>
        </is>
      </c>
      <c r="O1026" s="3" t="inlineStr">
        <is>
          <t>CCAA: ranking por c_f·sign(dY) del panel FE (M8); asociacion, sin lectura causal; el factor comun es un resumen de comovimiento (pendiente ~1 mecanica, J23)</t>
        </is>
      </c>
      <c r="P1026" s="3" t="inlineStr">
        <is>
          <t>output/v8/F5/regional_ranking.csv</t>
        </is>
      </c>
    </row>
    <row r="1027">
      <c r="A1027" s="3" t="inlineStr">
        <is>
          <t>compra</t>
        </is>
      </c>
      <c r="B1027" s="3" t="inlineStr">
        <is>
          <t>ccaa:14</t>
        </is>
      </c>
      <c r="C1027" s="3" t="inlineStr">
        <is>
          <t>P3</t>
        </is>
      </c>
      <c r="D1027" s="3" t="inlineStr">
        <is>
          <t>residuo</t>
        </is>
      </c>
      <c r="E1027" s="3" t="inlineStr">
        <is>
          <t>regional_ccaa_ols</t>
        </is>
      </c>
      <c r="F1027" s="3" t="inlineStr">
        <is>
          <t>ols_solo_factor</t>
        </is>
      </c>
      <c r="G1027" s="3" t="n">
        <v>-8.02051</v>
      </c>
      <c r="H1027" s="3" t="n">
        <v>93.54510000000001</v>
      </c>
      <c r="I1027" s="3" t="n"/>
      <c r="J1027" s="3" t="n"/>
      <c r="K1027" s="3" t="n">
        <v>-7.81723</v>
      </c>
      <c r="L1027" s="3" t="n"/>
      <c r="M1027" s="3" t="inlineStr">
        <is>
          <t>no</t>
        </is>
      </c>
      <c r="N1027" s="3" t="inlineStr">
        <is>
          <t>no designado (contraste C4: no hay svar_hd regional)</t>
        </is>
      </c>
      <c r="O1027" s="3" t="inlineStr">
        <is>
          <t>CCAA: ranking por c_f·sign(dY) del panel FE (M8); asociacion, sin lectura causal; el factor comun es un resumen de comovimiento (pendiente ~1 mecanica, J23)</t>
        </is>
      </c>
      <c r="P1027" s="3" t="inlineStr">
        <is>
          <t>output/v8/F5/regional_ranking.csv</t>
        </is>
      </c>
    </row>
    <row r="1028">
      <c r="A1028" s="3" t="inlineStr">
        <is>
          <t>compra</t>
        </is>
      </c>
      <c r="B1028" s="3" t="inlineStr">
        <is>
          <t>ccaa:14</t>
        </is>
      </c>
      <c r="C1028" s="3" t="inlineStr">
        <is>
          <t>P3</t>
        </is>
      </c>
      <c r="D1028" s="3" t="inlineStr">
        <is>
          <t>factor_comun</t>
        </is>
      </c>
      <c r="E1028" s="3" t="inlineStr">
        <is>
          <t>regional_panel</t>
        </is>
      </c>
      <c r="F1028" s="3" t="inlineStr">
        <is>
          <t>panel_covariables</t>
        </is>
      </c>
      <c r="G1028" s="3" t="n">
        <v>-0.548472</v>
      </c>
      <c r="H1028" s="3" t="n">
        <v>7.01619</v>
      </c>
      <c r="I1028" s="3" t="n">
        <v>-3.50001</v>
      </c>
      <c r="J1028" s="3" t="n">
        <v>2.45383</v>
      </c>
      <c r="K1028" s="3" t="n">
        <v>-7.81723</v>
      </c>
      <c r="L1028" s="3" t="n"/>
      <c r="M1028" s="3" t="inlineStr">
        <is>
          <t>no</t>
        </is>
      </c>
      <c r="N1028" s="3" t="inlineStr">
        <is>
          <t>no designado (contraste C4: no hay svar_hd regional)</t>
        </is>
      </c>
      <c r="O1028" s="3" t="inlineStr">
        <is>
          <t>CCAA: ranking por c_f·sign(dY) del panel FE (M8); asociacion, sin lectura causal; el factor comun es un resumen de comovimiento (pendiente ~1 mecanica, J23)</t>
        </is>
      </c>
      <c r="P1028" s="3" t="inlineStr">
        <is>
          <t>output/v8/F5/regional_ranking.csv</t>
        </is>
      </c>
    </row>
    <row r="1029">
      <c r="A1029" s="3" t="inlineStr">
        <is>
          <t>compra</t>
        </is>
      </c>
      <c r="B1029" s="3" t="inlineStr">
        <is>
          <t>ccaa:14</t>
        </is>
      </c>
      <c r="C1029" s="3" t="inlineStr">
        <is>
          <t>P3</t>
        </is>
      </c>
      <c r="D1029" s="3" t="inlineStr">
        <is>
          <t>empleo_renta</t>
        </is>
      </c>
      <c r="E1029" s="3" t="inlineStr">
        <is>
          <t>regional_panel</t>
        </is>
      </c>
      <c r="F1029" s="3" t="inlineStr">
        <is>
          <t>panel_covariables</t>
        </is>
      </c>
      <c r="G1029" s="3" t="n">
        <v>0.700315</v>
      </c>
      <c r="H1029" s="3" t="n">
        <v>-8.958600000000001</v>
      </c>
      <c r="I1029" s="3" t="n">
        <v>-0.177574</v>
      </c>
      <c r="J1029" s="3" t="n">
        <v>1.73042</v>
      </c>
      <c r="K1029" s="3" t="n">
        <v>-7.81723</v>
      </c>
      <c r="L1029" s="3" t="n">
        <v>2</v>
      </c>
      <c r="M1029" s="3" t="inlineStr">
        <is>
          <t>si</t>
        </is>
      </c>
      <c r="N1029" s="3" t="inlineStr">
        <is>
          <t>no designado (contraste C4: no hay svar_hd regional)</t>
        </is>
      </c>
      <c r="O1029" s="3" t="inlineStr">
        <is>
          <t>CCAA: ranking por c_f·sign(dY) del panel FE (M8); asociacion, sin lectura causal; el factor comun es un resumen de comovimiento (pendiente ~1 mecanica, J23)</t>
        </is>
      </c>
      <c r="P1029" s="3" t="inlineStr">
        <is>
          <t>output/v8/F5/regional_ranking.csv</t>
        </is>
      </c>
    </row>
    <row r="1030">
      <c r="A1030" s="3" t="inlineStr">
        <is>
          <t>compra</t>
        </is>
      </c>
      <c r="B1030" s="3" t="inlineStr">
        <is>
          <t>ccaa:14</t>
        </is>
      </c>
      <c r="C1030" s="3" t="inlineStr">
        <is>
          <t>P3</t>
        </is>
      </c>
      <c r="D1030" s="3" t="inlineStr">
        <is>
          <t>demografia</t>
        </is>
      </c>
      <c r="E1030" s="3" t="inlineStr">
        <is>
          <t>regional_panel</t>
        </is>
      </c>
      <c r="F1030" s="3" t="inlineStr">
        <is>
          <t>panel_covariables</t>
        </is>
      </c>
      <c r="G1030" s="3" t="n">
        <v>2.35654</v>
      </c>
      <c r="H1030" s="3" t="n">
        <v>-30.1454</v>
      </c>
      <c r="I1030" s="3" t="n">
        <v>1.3283</v>
      </c>
      <c r="J1030" s="3" t="n">
        <v>4.00638</v>
      </c>
      <c r="K1030" s="3" t="n">
        <v>-7.81723</v>
      </c>
      <c r="L1030" s="3" t="n">
        <v>4</v>
      </c>
      <c r="M1030" s="3" t="inlineStr">
        <is>
          <t>si</t>
        </is>
      </c>
      <c r="N1030" s="3" t="inlineStr">
        <is>
          <t>no designado (contraste C4: no hay svar_hd regional)</t>
        </is>
      </c>
      <c r="O1030" s="3" t="inlineStr">
        <is>
          <t>CCAA: ranking por c_f·sign(dY) del panel FE (M8); asociacion, sin lectura causal; el factor comun es un resumen de comovimiento (pendiente ~1 mecanica, J23)</t>
        </is>
      </c>
      <c r="P1030" s="3" t="inlineStr">
        <is>
          <t>output/v8/F5/regional_ranking.csv</t>
        </is>
      </c>
    </row>
    <row r="1031">
      <c r="A1031" s="3" t="inlineStr">
        <is>
          <t>compra</t>
        </is>
      </c>
      <c r="B1031" s="3" t="inlineStr">
        <is>
          <t>ccaa:14</t>
        </is>
      </c>
      <c r="C1031" s="3" t="inlineStr">
        <is>
          <t>P3</t>
        </is>
      </c>
      <c r="D1031" s="3" t="inlineStr">
        <is>
          <t>oferta</t>
        </is>
      </c>
      <c r="E1031" s="3" t="inlineStr">
        <is>
          <t>regional_panel</t>
        </is>
      </c>
      <c r="F1031" s="3" t="inlineStr">
        <is>
          <t>panel_covariables</t>
        </is>
      </c>
      <c r="G1031" s="3" t="n">
        <v>-0.372653</v>
      </c>
      <c r="H1031" s="3" t="n">
        <v>4.76707</v>
      </c>
      <c r="I1031" s="3" t="n">
        <v>-0.592907</v>
      </c>
      <c r="J1031" s="3" t="n">
        <v>0.0408114</v>
      </c>
      <c r="K1031" s="3" t="n">
        <v>-7.81723</v>
      </c>
      <c r="L1031" s="3" t="n">
        <v>1</v>
      </c>
      <c r="M1031" s="3" t="inlineStr">
        <is>
          <t>si</t>
        </is>
      </c>
      <c r="N1031" s="3" t="inlineStr">
        <is>
          <t>no designado (contraste C4: no hay svar_hd regional)</t>
        </is>
      </c>
      <c r="O1031" s="3" t="inlineStr">
        <is>
          <t>CCAA: ranking por c_f·sign(dY) del panel FE (M8); asociacion, sin lectura causal; el factor comun es un resumen de comovimiento (pendiente ~1 mecanica, J23)</t>
        </is>
      </c>
      <c r="P1031" s="3" t="inlineStr">
        <is>
          <t>output/v8/F5/regional_ranking.csv</t>
        </is>
      </c>
    </row>
    <row r="1032">
      <c r="A1032" s="3" t="inlineStr">
        <is>
          <t>compra</t>
        </is>
      </c>
      <c r="B1032" s="3" t="inlineStr">
        <is>
          <t>ccaa:14</t>
        </is>
      </c>
      <c r="C1032" s="3" t="inlineStr">
        <is>
          <t>P3</t>
        </is>
      </c>
      <c r="D1032" s="3" t="inlineStr">
        <is>
          <t>demanda_externa</t>
        </is>
      </c>
      <c r="E1032" s="3" t="inlineStr">
        <is>
          <t>regional_panel</t>
        </is>
      </c>
      <c r="F1032" s="3" t="inlineStr">
        <is>
          <t>panel_covariables</t>
        </is>
      </c>
      <c r="G1032" s="3" t="n">
        <v>1.12511</v>
      </c>
      <c r="H1032" s="3" t="n">
        <v>-14.3927</v>
      </c>
      <c r="I1032" s="3" t="n">
        <v>0.346026</v>
      </c>
      <c r="J1032" s="3" t="n">
        <v>2.40587</v>
      </c>
      <c r="K1032" s="3" t="n">
        <v>-7.81723</v>
      </c>
      <c r="L1032" s="3" t="n">
        <v>3</v>
      </c>
      <c r="M1032" s="3" t="inlineStr">
        <is>
          <t>si</t>
        </is>
      </c>
      <c r="N1032" s="3" t="inlineStr">
        <is>
          <t>no designado (contraste C4: no hay svar_hd regional)</t>
        </is>
      </c>
      <c r="O1032" s="3" t="inlineStr">
        <is>
          <t>CCAA: ranking por c_f·sign(dY) del panel FE (M8); asociacion, sin lectura causal; el factor comun es un resumen de comovimiento (pendiente ~1 mecanica, J23)</t>
        </is>
      </c>
      <c r="P1032" s="3" t="inlineStr">
        <is>
          <t>output/v8/F5/regional_ranking.csv</t>
        </is>
      </c>
    </row>
    <row r="1033">
      <c r="A1033" s="3" t="inlineStr">
        <is>
          <t>compra</t>
        </is>
      </c>
      <c r="B1033" s="3" t="inlineStr">
        <is>
          <t>ccaa:14</t>
        </is>
      </c>
      <c r="C1033" s="3" t="inlineStr">
        <is>
          <t>P3</t>
        </is>
      </c>
      <c r="D1033" s="3" t="inlineStr">
        <is>
          <t>residuo</t>
        </is>
      </c>
      <c r="E1033" s="3" t="inlineStr">
        <is>
          <t>regional_panel</t>
        </is>
      </c>
      <c r="F1033" s="3" t="inlineStr">
        <is>
          <t>panel_covariables</t>
        </is>
      </c>
      <c r="G1033" s="3" t="n">
        <v>-11.0781</v>
      </c>
      <c r="H1033" s="3" t="n">
        <v>141.713</v>
      </c>
      <c r="I1033" s="3" t="n">
        <v>-14.5759</v>
      </c>
      <c r="J1033" s="3" t="n">
        <v>-9.193250000000001</v>
      </c>
      <c r="K1033" s="3" t="n">
        <v>-7.81723</v>
      </c>
      <c r="L1033" s="3" t="n"/>
      <c r="M1033" s="3" t="inlineStr">
        <is>
          <t>no</t>
        </is>
      </c>
      <c r="N1033" s="3" t="inlineStr">
        <is>
          <t>no designado (contraste C4: no hay svar_hd regional)</t>
        </is>
      </c>
      <c r="O1033" s="3" t="inlineStr">
        <is>
          <t>CCAA: ranking por c_f·sign(dY) del panel FE (M8); asociacion, sin lectura causal; el factor comun es un resumen de comovimiento (pendiente ~1 mecanica, J23)</t>
        </is>
      </c>
      <c r="P1033" s="3" t="inlineStr">
        <is>
          <t>output/v8/F5/regional_ranking.csv</t>
        </is>
      </c>
    </row>
    <row r="1034">
      <c r="A1034" s="3" t="inlineStr">
        <is>
          <t>compra</t>
        </is>
      </c>
      <c r="B1034" s="3" t="inlineStr">
        <is>
          <t>ccaa:14</t>
        </is>
      </c>
      <c r="C1034" s="3" t="inlineStr">
        <is>
          <t>P4</t>
        </is>
      </c>
      <c r="D1034" s="3" t="inlineStr">
        <is>
          <t>factor_comun</t>
        </is>
      </c>
      <c r="E1034" s="3" t="inlineStr">
        <is>
          <t>regional_ccaa_ols</t>
        </is>
      </c>
      <c r="F1034" s="3" t="inlineStr">
        <is>
          <t>ols_solo_factor</t>
        </is>
      </c>
      <c r="G1034" s="3" t="n">
        <v>-6.08936</v>
      </c>
      <c r="H1034" s="3" t="n">
        <v>180.29</v>
      </c>
      <c r="I1034" s="3" t="n">
        <v>-8.05597</v>
      </c>
      <c r="J1034" s="3" t="n">
        <v>-3.70808</v>
      </c>
      <c r="K1034" s="3" t="n">
        <v>-3.37754</v>
      </c>
      <c r="L1034" s="3" t="n"/>
      <c r="M1034" s="3" t="inlineStr">
        <is>
          <t>no</t>
        </is>
      </c>
      <c r="N1034" s="3" t="inlineStr">
        <is>
          <t>no designado (contraste C4: no hay svar_hd regional)</t>
        </is>
      </c>
      <c r="O1034" s="3" t="inlineStr">
        <is>
          <t>CCAA: ranking por c_f·sign(dY) del panel FE (M8); asociacion, sin lectura causal; el factor comun es un resumen de comovimiento (pendiente ~1 mecanica, J23)</t>
        </is>
      </c>
      <c r="P1034" s="3" t="inlineStr">
        <is>
          <t>output/v8/F5/regional_ranking.csv</t>
        </is>
      </c>
    </row>
    <row r="1035">
      <c r="A1035" s="3" t="inlineStr">
        <is>
          <t>compra</t>
        </is>
      </c>
      <c r="B1035" s="3" t="inlineStr">
        <is>
          <t>ccaa:14</t>
        </is>
      </c>
      <c r="C1035" s="3" t="inlineStr">
        <is>
          <t>P4</t>
        </is>
      </c>
      <c r="D1035" s="3" t="inlineStr">
        <is>
          <t>residuo</t>
        </is>
      </c>
      <c r="E1035" s="3" t="inlineStr">
        <is>
          <t>regional_ccaa_ols</t>
        </is>
      </c>
      <c r="F1035" s="3" t="inlineStr">
        <is>
          <t>ols_solo_factor</t>
        </is>
      </c>
      <c r="G1035" s="3" t="n">
        <v>2.71182</v>
      </c>
      <c r="H1035" s="3" t="n">
        <v>-80.28959999999999</v>
      </c>
      <c r="I1035" s="3" t="n"/>
      <c r="J1035" s="3" t="n"/>
      <c r="K1035" s="3" t="n">
        <v>-3.37754</v>
      </c>
      <c r="L1035" s="3" t="n"/>
      <c r="M1035" s="3" t="inlineStr">
        <is>
          <t>no</t>
        </is>
      </c>
      <c r="N1035" s="3" t="inlineStr">
        <is>
          <t>no designado (contraste C4: no hay svar_hd regional)</t>
        </is>
      </c>
      <c r="O1035" s="3" t="inlineStr">
        <is>
          <t>CCAA: ranking por c_f·sign(dY) del panel FE (M8); asociacion, sin lectura causal; el factor comun es un resumen de comovimiento (pendiente ~1 mecanica, J23)</t>
        </is>
      </c>
      <c r="P1035" s="3" t="inlineStr">
        <is>
          <t>output/v8/F5/regional_ranking.csv</t>
        </is>
      </c>
    </row>
    <row r="1036">
      <c r="A1036" s="3" t="inlineStr">
        <is>
          <t>compra</t>
        </is>
      </c>
      <c r="B1036" s="3" t="inlineStr">
        <is>
          <t>ccaa:14</t>
        </is>
      </c>
      <c r="C1036" s="3" t="inlineStr">
        <is>
          <t>P4</t>
        </is>
      </c>
      <c r="D1036" s="3" t="inlineStr">
        <is>
          <t>factor_comun</t>
        </is>
      </c>
      <c r="E1036" s="3" t="inlineStr">
        <is>
          <t>regional_panel</t>
        </is>
      </c>
      <c r="F1036" s="3" t="inlineStr">
        <is>
          <t>panel_covariables</t>
        </is>
      </c>
      <c r="G1036" s="3" t="n">
        <v>-4.21608</v>
      </c>
      <c r="H1036" s="3" t="n">
        <v>124.827</v>
      </c>
      <c r="I1036" s="3" t="n">
        <v>-5.07352</v>
      </c>
      <c r="J1036" s="3" t="n">
        <v>-2.674</v>
      </c>
      <c r="K1036" s="3" t="n">
        <v>-3.37754</v>
      </c>
      <c r="L1036" s="3" t="n"/>
      <c r="M1036" s="3" t="inlineStr">
        <is>
          <t>no</t>
        </is>
      </c>
      <c r="N1036" s="3" t="inlineStr">
        <is>
          <t>no designado (contraste C4: no hay svar_hd regional)</t>
        </is>
      </c>
      <c r="O1036" s="3" t="inlineStr">
        <is>
          <t>CCAA: ranking por c_f·sign(dY) del panel FE (M8); asociacion, sin lectura causal; el factor comun es un resumen de comovimiento (pendiente ~1 mecanica, J23)</t>
        </is>
      </c>
      <c r="P1036" s="3" t="inlineStr">
        <is>
          <t>output/v8/F5/regional_ranking.csv</t>
        </is>
      </c>
    </row>
    <row r="1037">
      <c r="A1037" s="3" t="inlineStr">
        <is>
          <t>compra</t>
        </is>
      </c>
      <c r="B1037" s="3" t="inlineStr">
        <is>
          <t>ccaa:14</t>
        </is>
      </c>
      <c r="C1037" s="3" t="inlineStr">
        <is>
          <t>P4</t>
        </is>
      </c>
      <c r="D1037" s="3" t="inlineStr">
        <is>
          <t>empleo_renta</t>
        </is>
      </c>
      <c r="E1037" s="3" t="inlineStr">
        <is>
          <t>regional_panel</t>
        </is>
      </c>
      <c r="F1037" s="3" t="inlineStr">
        <is>
          <t>panel_covariables</t>
        </is>
      </c>
      <c r="G1037" s="3" t="n">
        <v>0.127468</v>
      </c>
      <c r="H1037" s="3" t="n">
        <v>-3.77398</v>
      </c>
      <c r="I1037" s="3" t="n">
        <v>-0.282013</v>
      </c>
      <c r="J1037" s="3" t="n">
        <v>0.748657</v>
      </c>
      <c r="K1037" s="3" t="n">
        <v>-3.37754</v>
      </c>
      <c r="L1037" s="3" t="n">
        <v>4</v>
      </c>
      <c r="M1037" s="3" t="inlineStr">
        <is>
          <t>si</t>
        </is>
      </c>
      <c r="N1037" s="3" t="inlineStr">
        <is>
          <t>no designado (contraste C4: no hay svar_hd regional)</t>
        </is>
      </c>
      <c r="O1037" s="3" t="inlineStr">
        <is>
          <t>CCAA: ranking por c_f·sign(dY) del panel FE (M8); asociacion, sin lectura causal; el factor comun es un resumen de comovimiento (pendiente ~1 mecanica, J23)</t>
        </is>
      </c>
      <c r="P1037" s="3" t="inlineStr">
        <is>
          <t>output/v8/F5/regional_ranking.csv</t>
        </is>
      </c>
    </row>
    <row r="1038">
      <c r="A1038" s="3" t="inlineStr">
        <is>
          <t>compra</t>
        </is>
      </c>
      <c r="B1038" s="3" t="inlineStr">
        <is>
          <t>ccaa:14</t>
        </is>
      </c>
      <c r="C1038" s="3" t="inlineStr">
        <is>
          <t>P4</t>
        </is>
      </c>
      <c r="D1038" s="3" t="inlineStr">
        <is>
          <t>demografia</t>
        </is>
      </c>
      <c r="E1038" s="3" t="inlineStr">
        <is>
          <t>regional_panel</t>
        </is>
      </c>
      <c r="F1038" s="3" t="inlineStr">
        <is>
          <t>panel_covariables</t>
        </is>
      </c>
      <c r="G1038" s="3" t="n">
        <v>-0.938151</v>
      </c>
      <c r="H1038" s="3" t="n">
        <v>27.7761</v>
      </c>
      <c r="I1038" s="3" t="n">
        <v>-2.88209</v>
      </c>
      <c r="J1038" s="3" t="n">
        <v>1.12397</v>
      </c>
      <c r="K1038" s="3" t="n">
        <v>-3.37754</v>
      </c>
      <c r="L1038" s="3" t="n">
        <v>1</v>
      </c>
      <c r="M1038" s="3" t="inlineStr">
        <is>
          <t>si</t>
        </is>
      </c>
      <c r="N1038" s="3" t="inlineStr">
        <is>
          <t>no designado (contraste C4: no hay svar_hd regional)</t>
        </is>
      </c>
      <c r="O1038" s="3" t="inlineStr">
        <is>
          <t>CCAA: ranking por c_f·sign(dY) del panel FE (M8); asociacion, sin lectura causal; el factor comun es un resumen de comovimiento (pendiente ~1 mecanica, J23)</t>
        </is>
      </c>
      <c r="P1038" s="3" t="inlineStr">
        <is>
          <t>output/v8/F5/regional_ranking.csv</t>
        </is>
      </c>
    </row>
    <row r="1039">
      <c r="A1039" s="3" t="inlineStr">
        <is>
          <t>compra</t>
        </is>
      </c>
      <c r="B1039" s="3" t="inlineStr">
        <is>
          <t>ccaa:14</t>
        </is>
      </c>
      <c r="C1039" s="3" t="inlineStr">
        <is>
          <t>P4</t>
        </is>
      </c>
      <c r="D1039" s="3" t="inlineStr">
        <is>
          <t>oferta</t>
        </is>
      </c>
      <c r="E1039" s="3" t="inlineStr">
        <is>
          <t>regional_panel</t>
        </is>
      </c>
      <c r="F1039" s="3" t="inlineStr">
        <is>
          <t>panel_covariables</t>
        </is>
      </c>
      <c r="G1039" s="3" t="n">
        <v>0.06740599999999999</v>
      </c>
      <c r="H1039" s="3" t="n">
        <v>-1.99571</v>
      </c>
      <c r="I1039" s="3" t="n">
        <v>-0.0496335</v>
      </c>
      <c r="J1039" s="3" t="n">
        <v>0.165954</v>
      </c>
      <c r="K1039" s="3" t="n">
        <v>-3.37754</v>
      </c>
      <c r="L1039" s="3" t="n">
        <v>2</v>
      </c>
      <c r="M1039" s="3" t="inlineStr">
        <is>
          <t>si</t>
        </is>
      </c>
      <c r="N1039" s="3" t="inlineStr">
        <is>
          <t>no designado (contraste C4: no hay svar_hd regional)</t>
        </is>
      </c>
      <c r="O1039" s="3" t="inlineStr">
        <is>
          <t>CCAA: ranking por c_f·sign(dY) del panel FE (M8); asociacion, sin lectura causal; el factor comun es un resumen de comovimiento (pendiente ~1 mecanica, J23)</t>
        </is>
      </c>
      <c r="P1039" s="3" t="inlineStr">
        <is>
          <t>output/v8/F5/regional_ranking.csv</t>
        </is>
      </c>
    </row>
    <row r="1040">
      <c r="A1040" s="3" t="inlineStr">
        <is>
          <t>compra</t>
        </is>
      </c>
      <c r="B1040" s="3" t="inlineStr">
        <is>
          <t>ccaa:14</t>
        </is>
      </c>
      <c r="C1040" s="3" t="inlineStr">
        <is>
          <t>P4</t>
        </is>
      </c>
      <c r="D1040" s="3" t="inlineStr">
        <is>
          <t>demanda_externa</t>
        </is>
      </c>
      <c r="E1040" s="3" t="inlineStr">
        <is>
          <t>regional_panel</t>
        </is>
      </c>
      <c r="F1040" s="3" t="inlineStr">
        <is>
          <t>panel_covariables</t>
        </is>
      </c>
      <c r="G1040" s="3" t="n">
        <v>0.113707</v>
      </c>
      <c r="H1040" s="3" t="n">
        <v>-3.36655</v>
      </c>
      <c r="I1040" s="3" t="n">
        <v>-0.09297999999999999</v>
      </c>
      <c r="J1040" s="3" t="n">
        <v>0.216399</v>
      </c>
      <c r="K1040" s="3" t="n">
        <v>-3.37754</v>
      </c>
      <c r="L1040" s="3" t="n">
        <v>3</v>
      </c>
      <c r="M1040" s="3" t="inlineStr">
        <is>
          <t>si</t>
        </is>
      </c>
      <c r="N1040" s="3" t="inlineStr">
        <is>
          <t>no designado (contraste C4: no hay svar_hd regional)</t>
        </is>
      </c>
      <c r="O1040" s="3" t="inlineStr">
        <is>
          <t>CCAA: ranking por c_f·sign(dY) del panel FE (M8); asociacion, sin lectura causal; el factor comun es un resumen de comovimiento (pendiente ~1 mecanica, J23)</t>
        </is>
      </c>
      <c r="P1040" s="3" t="inlineStr">
        <is>
          <t>output/v8/F5/regional_ranking.csv</t>
        </is>
      </c>
    </row>
    <row r="1041">
      <c r="A1041" s="3" t="inlineStr">
        <is>
          <t>compra</t>
        </is>
      </c>
      <c r="B1041" s="3" t="inlineStr">
        <is>
          <t>ccaa:14</t>
        </is>
      </c>
      <c r="C1041" s="3" t="inlineStr">
        <is>
          <t>P4</t>
        </is>
      </c>
      <c r="D1041" s="3" t="inlineStr">
        <is>
          <t>residuo</t>
        </is>
      </c>
      <c r="E1041" s="3" t="inlineStr">
        <is>
          <t>regional_panel</t>
        </is>
      </c>
      <c r="F1041" s="3" t="inlineStr">
        <is>
          <t>panel_covariables</t>
        </is>
      </c>
      <c r="G1041" s="3" t="n">
        <v>1.46811</v>
      </c>
      <c r="H1041" s="3" t="n">
        <v>-43.4669</v>
      </c>
      <c r="I1041" s="3" t="n">
        <v>-0.386541</v>
      </c>
      <c r="J1041" s="3" t="n">
        <v>3.24502</v>
      </c>
      <c r="K1041" s="3" t="n">
        <v>-3.37754</v>
      </c>
      <c r="L1041" s="3" t="n"/>
      <c r="M1041" s="3" t="inlineStr">
        <is>
          <t>no</t>
        </is>
      </c>
      <c r="N1041" s="3" t="inlineStr">
        <is>
          <t>no designado (contraste C4: no hay svar_hd regional)</t>
        </is>
      </c>
      <c r="O1041" s="3" t="inlineStr">
        <is>
          <t>CCAA: ranking por c_f·sign(dY) del panel FE (M8); asociacion, sin lectura causal; el factor comun es un resumen de comovimiento (pendiente ~1 mecanica, J23)</t>
        </is>
      </c>
      <c r="P1041" s="3" t="inlineStr">
        <is>
          <t>output/v8/F5/regional_ranking.csv</t>
        </is>
      </c>
    </row>
    <row r="1042">
      <c r="A1042" s="3" t="inlineStr">
        <is>
          <t>compra</t>
        </is>
      </c>
      <c r="B1042" s="3" t="inlineStr">
        <is>
          <t>ccaa:14</t>
        </is>
      </c>
      <c r="C1042" s="3" t="inlineStr">
        <is>
          <t>P5</t>
        </is>
      </c>
      <c r="D1042" s="3" t="inlineStr">
        <is>
          <t>factor_comun</t>
        </is>
      </c>
      <c r="E1042" s="3" t="inlineStr">
        <is>
          <t>regional_ccaa_ols</t>
        </is>
      </c>
      <c r="F1042" s="3" t="inlineStr">
        <is>
          <t>ols_solo_factor</t>
        </is>
      </c>
      <c r="G1042" s="3" t="n">
        <v>10.1358</v>
      </c>
      <c r="H1042" s="3" t="n">
        <v>149.053</v>
      </c>
      <c r="I1042" s="3" t="n">
        <v>3.62363</v>
      </c>
      <c r="J1042" s="3" t="n">
        <v>15.5425</v>
      </c>
      <c r="K1042" s="3" t="n">
        <v>-0.979915</v>
      </c>
      <c r="L1042" s="3" t="n"/>
      <c r="M1042" s="3" t="inlineStr">
        <is>
          <t>no</t>
        </is>
      </c>
      <c r="N1042" s="3" t="inlineStr">
        <is>
          <t>no designado (contraste C4: no hay svar_hd regional)</t>
        </is>
      </c>
      <c r="O1042" s="3" t="inlineStr">
        <is>
          <t>CCAA: ranking por c_f·sign(dY) del panel FE (M8); asociacion, sin lectura causal; el factor comun es un resumen de comovimiento (pendiente ~1 mecanica, J23)</t>
        </is>
      </c>
      <c r="P1042" s="3" t="inlineStr">
        <is>
          <t>output/v8/F5/regional_ranking.csv</t>
        </is>
      </c>
    </row>
    <row r="1043">
      <c r="A1043" s="3" t="inlineStr">
        <is>
          <t>compra</t>
        </is>
      </c>
      <c r="B1043" s="3" t="inlineStr">
        <is>
          <t>ccaa:14</t>
        </is>
      </c>
      <c r="C1043" s="3" t="inlineStr">
        <is>
          <t>P5</t>
        </is>
      </c>
      <c r="D1043" s="3" t="inlineStr">
        <is>
          <t>residuo</t>
        </is>
      </c>
      <c r="E1043" s="3" t="inlineStr">
        <is>
          <t>regional_ccaa_ols</t>
        </is>
      </c>
      <c r="F1043" s="3" t="inlineStr">
        <is>
          <t>ols_solo_factor</t>
        </is>
      </c>
      <c r="G1043" s="3" t="n">
        <v>-3.33568</v>
      </c>
      <c r="H1043" s="3" t="n">
        <v>-49.0535</v>
      </c>
      <c r="I1043" s="3" t="n"/>
      <c r="J1043" s="3" t="n"/>
      <c r="K1043" s="3" t="n">
        <v>-0.979915</v>
      </c>
      <c r="L1043" s="3" t="n"/>
      <c r="M1043" s="3" t="inlineStr">
        <is>
          <t>no</t>
        </is>
      </c>
      <c r="N1043" s="3" t="inlineStr">
        <is>
          <t>no designado (contraste C4: no hay svar_hd regional)</t>
        </is>
      </c>
      <c r="O1043" s="3" t="inlineStr">
        <is>
          <t>CCAA: ranking por c_f·sign(dY) del panel FE (M8); asociacion, sin lectura causal; el factor comun es un resumen de comovimiento (pendiente ~1 mecanica, J23)</t>
        </is>
      </c>
      <c r="P1043" s="3" t="inlineStr">
        <is>
          <t>output/v8/F5/regional_ranking.csv</t>
        </is>
      </c>
    </row>
    <row r="1044">
      <c r="A1044" s="3" t="inlineStr">
        <is>
          <t>compra</t>
        </is>
      </c>
      <c r="B1044" s="3" t="inlineStr">
        <is>
          <t>ccaa:14</t>
        </is>
      </c>
      <c r="C1044" s="3" t="inlineStr">
        <is>
          <t>P5</t>
        </is>
      </c>
      <c r="D1044" s="3" t="inlineStr">
        <is>
          <t>factor_comun</t>
        </is>
      </c>
      <c r="E1044" s="3" t="inlineStr">
        <is>
          <t>regional_panel</t>
        </is>
      </c>
      <c r="F1044" s="3" t="inlineStr">
        <is>
          <t>panel_covariables</t>
        </is>
      </c>
      <c r="G1044" s="3" t="n">
        <v>1.50215</v>
      </c>
      <c r="H1044" s="3" t="n">
        <v>-153.294</v>
      </c>
      <c r="I1044" s="3" t="n">
        <v>-1.20824</v>
      </c>
      <c r="J1044" s="3" t="n">
        <v>4.46537</v>
      </c>
      <c r="K1044" s="3" t="n">
        <v>-0.979915</v>
      </c>
      <c r="L1044" s="3" t="n"/>
      <c r="M1044" s="3" t="inlineStr">
        <is>
          <t>no</t>
        </is>
      </c>
      <c r="N1044" s="3" t="inlineStr">
        <is>
          <t>no designado (contraste C4: no hay svar_hd regional)</t>
        </is>
      </c>
      <c r="O1044" s="3" t="inlineStr">
        <is>
          <t>CCAA: ranking por c_f·sign(dY) del panel FE (M8); asociacion, sin lectura causal; el factor comun es un resumen de comovimiento (pendiente ~1 mecanica, J23)</t>
        </is>
      </c>
      <c r="P1044" s="3" t="inlineStr">
        <is>
          <t>output/v8/F5/regional_ranking.csv</t>
        </is>
      </c>
    </row>
    <row r="1045">
      <c r="A1045" s="3" t="inlineStr">
        <is>
          <t>compra</t>
        </is>
      </c>
      <c r="B1045" s="3" t="inlineStr">
        <is>
          <t>ccaa:14</t>
        </is>
      </c>
      <c r="C1045" s="3" t="inlineStr">
        <is>
          <t>P5</t>
        </is>
      </c>
      <c r="D1045" s="3" t="inlineStr">
        <is>
          <t>empleo_renta</t>
        </is>
      </c>
      <c r="E1045" s="3" t="inlineStr">
        <is>
          <t>regional_panel</t>
        </is>
      </c>
      <c r="F1045" s="3" t="inlineStr">
        <is>
          <t>panel_covariables</t>
        </is>
      </c>
      <c r="G1045" s="3" t="n">
        <v>0.750939</v>
      </c>
      <c r="H1045" s="3" t="n">
        <v>-76.6331</v>
      </c>
      <c r="I1045" s="3" t="n">
        <v>0.383425</v>
      </c>
      <c r="J1045" s="3" t="n">
        <v>1.29033</v>
      </c>
      <c r="K1045" s="3" t="n">
        <v>-0.979915</v>
      </c>
      <c r="L1045" s="3" t="n">
        <v>4</v>
      </c>
      <c r="M1045" s="3" t="inlineStr">
        <is>
          <t>si</t>
        </is>
      </c>
      <c r="N1045" s="3" t="inlineStr">
        <is>
          <t>no designado (contraste C4: no hay svar_hd regional)</t>
        </is>
      </c>
      <c r="O1045" s="3" t="inlineStr">
        <is>
          <t>CCAA: ranking por c_f·sign(dY) del panel FE (M8); asociacion, sin lectura causal; el factor comun es un resumen de comovimiento (pendiente ~1 mecanica, J23)</t>
        </is>
      </c>
      <c r="P1045" s="3" t="inlineStr">
        <is>
          <t>output/v8/F5/regional_ranking.csv</t>
        </is>
      </c>
    </row>
    <row r="1046">
      <c r="A1046" s="3" t="inlineStr">
        <is>
          <t>compra</t>
        </is>
      </c>
      <c r="B1046" s="3" t="inlineStr">
        <is>
          <t>ccaa:14</t>
        </is>
      </c>
      <c r="C1046" s="3" t="inlineStr">
        <is>
          <t>P5</t>
        </is>
      </c>
      <c r="D1046" s="3" t="inlineStr">
        <is>
          <t>demografia</t>
        </is>
      </c>
      <c r="E1046" s="3" t="inlineStr">
        <is>
          <t>regional_panel</t>
        </is>
      </c>
      <c r="F1046" s="3" t="inlineStr">
        <is>
          <t>panel_covariables</t>
        </is>
      </c>
      <c r="G1046" s="3" t="n">
        <v>-0.504459</v>
      </c>
      <c r="H1046" s="3" t="n">
        <v>51.4799</v>
      </c>
      <c r="I1046" s="3" t="n">
        <v>-5.38627</v>
      </c>
      <c r="J1046" s="3" t="n">
        <v>2.89911</v>
      </c>
      <c r="K1046" s="3" t="n">
        <v>-0.979915</v>
      </c>
      <c r="L1046" s="3" t="n">
        <v>1</v>
      </c>
      <c r="M1046" s="3" t="inlineStr">
        <is>
          <t>si</t>
        </is>
      </c>
      <c r="N1046" s="3" t="inlineStr">
        <is>
          <t>no designado (contraste C4: no hay svar_hd regional)</t>
        </is>
      </c>
      <c r="O1046" s="3" t="inlineStr">
        <is>
          <t>CCAA: ranking por c_f·sign(dY) del panel FE (M8); asociacion, sin lectura causal; el factor comun es un resumen de comovimiento (pendiente ~1 mecanica, J23)</t>
        </is>
      </c>
      <c r="P1046" s="3" t="inlineStr">
        <is>
          <t>output/v8/F5/regional_ranking.csv</t>
        </is>
      </c>
    </row>
    <row r="1047">
      <c r="A1047" s="3" t="inlineStr">
        <is>
          <t>compra</t>
        </is>
      </c>
      <c r="B1047" s="3" t="inlineStr">
        <is>
          <t>ccaa:14</t>
        </is>
      </c>
      <c r="C1047" s="3" t="inlineStr">
        <is>
          <t>P5</t>
        </is>
      </c>
      <c r="D1047" s="3" t="inlineStr">
        <is>
          <t>oferta</t>
        </is>
      </c>
      <c r="E1047" s="3" t="inlineStr">
        <is>
          <t>regional_panel</t>
        </is>
      </c>
      <c r="F1047" s="3" t="inlineStr">
        <is>
          <t>panel_covariables</t>
        </is>
      </c>
      <c r="G1047" s="3" t="n">
        <v>0.0005343909999999999</v>
      </c>
      <c r="H1047" s="3" t="n">
        <v>-0.0545344</v>
      </c>
      <c r="I1047" s="3" t="n">
        <v>-0.0744213</v>
      </c>
      <c r="J1047" s="3" t="n">
        <v>0.0593337</v>
      </c>
      <c r="K1047" s="3" t="n">
        <v>-0.979915</v>
      </c>
      <c r="L1047" s="3" t="n">
        <v>3</v>
      </c>
      <c r="M1047" s="3" t="inlineStr">
        <is>
          <t>si</t>
        </is>
      </c>
      <c r="N1047" s="3" t="inlineStr">
        <is>
          <t>no designado (contraste C4: no hay svar_hd regional)</t>
        </is>
      </c>
      <c r="O1047" s="3" t="inlineStr">
        <is>
          <t>CCAA: ranking por c_f·sign(dY) del panel FE (M8); asociacion, sin lectura causal; el factor comun es un resumen de comovimiento (pendiente ~1 mecanica, J23)</t>
        </is>
      </c>
      <c r="P1047" s="3" t="inlineStr">
        <is>
          <t>output/v8/F5/regional_ranking.csv</t>
        </is>
      </c>
    </row>
    <row r="1048">
      <c r="A1048" s="3" t="inlineStr">
        <is>
          <t>compra</t>
        </is>
      </c>
      <c r="B1048" s="3" t="inlineStr">
        <is>
          <t>ccaa:14</t>
        </is>
      </c>
      <c r="C1048" s="3" t="inlineStr">
        <is>
          <t>P5</t>
        </is>
      </c>
      <c r="D1048" s="3" t="inlineStr">
        <is>
          <t>demanda_externa</t>
        </is>
      </c>
      <c r="E1048" s="3" t="inlineStr">
        <is>
          <t>regional_panel</t>
        </is>
      </c>
      <c r="F1048" s="3" t="inlineStr">
        <is>
          <t>panel_covariables</t>
        </is>
      </c>
      <c r="G1048" s="3" t="n">
        <v>-0.00607026</v>
      </c>
      <c r="H1048" s="3" t="n">
        <v>0.619468</v>
      </c>
      <c r="I1048" s="3" t="n">
        <v>-0.108329</v>
      </c>
      <c r="J1048" s="3" t="n">
        <v>0.068484</v>
      </c>
      <c r="K1048" s="3" t="n">
        <v>-0.979915</v>
      </c>
      <c r="L1048" s="3" t="n">
        <v>2</v>
      </c>
      <c r="M1048" s="3" t="inlineStr">
        <is>
          <t>si</t>
        </is>
      </c>
      <c r="N1048" s="3" t="inlineStr">
        <is>
          <t>no designado (contraste C4: no hay svar_hd regional)</t>
        </is>
      </c>
      <c r="O1048" s="3" t="inlineStr">
        <is>
          <t>CCAA: ranking por c_f·sign(dY) del panel FE (M8); asociacion, sin lectura causal; el factor comun es un resumen de comovimiento (pendiente ~1 mecanica, J23)</t>
        </is>
      </c>
      <c r="P1048" s="3" t="inlineStr">
        <is>
          <t>output/v8/F5/regional_ranking.csv</t>
        </is>
      </c>
    </row>
    <row r="1049">
      <c r="A1049" s="3" t="inlineStr">
        <is>
          <t>compra</t>
        </is>
      </c>
      <c r="B1049" s="3" t="inlineStr">
        <is>
          <t>ccaa:14</t>
        </is>
      </c>
      <c r="C1049" s="3" t="inlineStr">
        <is>
          <t>P5</t>
        </is>
      </c>
      <c r="D1049" s="3" t="inlineStr">
        <is>
          <t>residuo</t>
        </is>
      </c>
      <c r="E1049" s="3" t="inlineStr">
        <is>
          <t>regional_panel</t>
        </is>
      </c>
      <c r="F1049" s="3" t="inlineStr">
        <is>
          <t>panel_covariables</t>
        </is>
      </c>
      <c r="G1049" s="3" t="n">
        <v>-2.72301</v>
      </c>
      <c r="H1049" s="3" t="n">
        <v>277.882</v>
      </c>
      <c r="I1049" s="3" t="n">
        <v>-6.79078</v>
      </c>
      <c r="J1049" s="3" t="n">
        <v>2.84417</v>
      </c>
      <c r="K1049" s="3" t="n">
        <v>-0.979915</v>
      </c>
      <c r="L1049" s="3" t="n"/>
      <c r="M1049" s="3" t="inlineStr">
        <is>
          <t>no</t>
        </is>
      </c>
      <c r="N1049" s="3" t="inlineStr">
        <is>
          <t>no designado (contraste C4: no hay svar_hd regional)</t>
        </is>
      </c>
      <c r="O1049" s="3" t="inlineStr">
        <is>
          <t>CCAA: ranking por c_f·sign(dY) del panel FE (M8); asociacion, sin lectura causal; el factor comun es un resumen de comovimiento (pendiente ~1 mecanica, J23)</t>
        </is>
      </c>
      <c r="P1049" s="3" t="inlineStr">
        <is>
          <t>output/v8/F5/regional_ranking.csv</t>
        </is>
      </c>
    </row>
    <row r="1050">
      <c r="A1050" s="3" t="inlineStr">
        <is>
          <t>compra</t>
        </is>
      </c>
      <c r="B1050" s="3" t="inlineStr">
        <is>
          <t>ccaa:15</t>
        </is>
      </c>
      <c r="C1050" s="3" t="inlineStr">
        <is>
          <t>P1</t>
        </is>
      </c>
      <c r="D1050" s="3" t="inlineStr">
        <is>
          <t>factor_comun</t>
        </is>
      </c>
      <c r="E1050" s="3" t="inlineStr">
        <is>
          <t>regional_ccaa_ols</t>
        </is>
      </c>
      <c r="F1050" s="3" t="inlineStr">
        <is>
          <t>ols_solo_factor</t>
        </is>
      </c>
      <c r="G1050" s="3" t="n">
        <v>52.3045</v>
      </c>
      <c r="H1050" s="3" t="n">
        <v>105.825</v>
      </c>
      <c r="I1050" s="3" t="n">
        <v>32.5465</v>
      </c>
      <c r="J1050" s="3" t="n">
        <v>65.4866</v>
      </c>
      <c r="K1050" s="3" t="n">
        <v>49.4256</v>
      </c>
      <c r="L1050" s="3" t="n"/>
      <c r="M1050" s="3" t="inlineStr">
        <is>
          <t>no</t>
        </is>
      </c>
      <c r="N1050" s="3" t="inlineStr">
        <is>
          <t>no designado (contraste C4: no hay svar_hd regional)</t>
        </is>
      </c>
      <c r="O1050" s="3" t="inlineStr">
        <is>
          <t>CCAA: ranking por c_f·sign(dY) del panel FE (M8); asociacion, sin lectura causal; el factor comun es un resumen de comovimiento (pendiente ~1 mecanica, J23)</t>
        </is>
      </c>
      <c r="P1050" s="3" t="inlineStr">
        <is>
          <t>output/v8/F5/regional_ranking.csv</t>
        </is>
      </c>
    </row>
    <row r="1051">
      <c r="A1051" s="3" t="inlineStr">
        <is>
          <t>compra</t>
        </is>
      </c>
      <c r="B1051" s="3" t="inlineStr">
        <is>
          <t>ccaa:15</t>
        </is>
      </c>
      <c r="C1051" s="3" t="inlineStr">
        <is>
          <t>P1</t>
        </is>
      </c>
      <c r="D1051" s="3" t="inlineStr">
        <is>
          <t>residuo</t>
        </is>
      </c>
      <c r="E1051" s="3" t="inlineStr">
        <is>
          <t>regional_ccaa_ols</t>
        </is>
      </c>
      <c r="F1051" s="3" t="inlineStr">
        <is>
          <t>ols_solo_factor</t>
        </is>
      </c>
      <c r="G1051" s="3" t="n">
        <v>-2.8789</v>
      </c>
      <c r="H1051" s="3" t="n">
        <v>-5.82471</v>
      </c>
      <c r="I1051" s="3" t="n"/>
      <c r="J1051" s="3" t="n"/>
      <c r="K1051" s="3" t="n">
        <v>49.4256</v>
      </c>
      <c r="L1051" s="3" t="n"/>
      <c r="M1051" s="3" t="inlineStr">
        <is>
          <t>no</t>
        </is>
      </c>
      <c r="N1051" s="3" t="inlineStr">
        <is>
          <t>no designado (contraste C4: no hay svar_hd regional)</t>
        </is>
      </c>
      <c r="O1051" s="3" t="inlineStr">
        <is>
          <t>CCAA: ranking por c_f·sign(dY) del panel FE (M8); asociacion, sin lectura causal; el factor comun es un resumen de comovimiento (pendiente ~1 mecanica, J23)</t>
        </is>
      </c>
      <c r="P1051" s="3" t="inlineStr">
        <is>
          <t>output/v8/F5/regional_ranking.csv</t>
        </is>
      </c>
    </row>
    <row r="1052">
      <c r="A1052" s="3" t="inlineStr">
        <is>
          <t>compra</t>
        </is>
      </c>
      <c r="B1052" s="3" t="inlineStr">
        <is>
          <t>ccaa:15</t>
        </is>
      </c>
      <c r="C1052" s="3" t="inlineStr">
        <is>
          <t>P1</t>
        </is>
      </c>
      <c r="D1052" s="3" t="inlineStr">
        <is>
          <t>factor_comun</t>
        </is>
      </c>
      <c r="E1052" s="3" t="inlineStr">
        <is>
          <t>regional_panel</t>
        </is>
      </c>
      <c r="F1052" s="3" t="inlineStr">
        <is>
          <t>panel_covariables</t>
        </is>
      </c>
      <c r="G1052" s="3" t="n">
        <v>74.3853</v>
      </c>
      <c r="H1052" s="3" t="n">
        <v>150.5</v>
      </c>
      <c r="I1052" s="3" t="n">
        <v>63.2347</v>
      </c>
      <c r="J1052" s="3" t="n">
        <v>88.0656</v>
      </c>
      <c r="K1052" s="3" t="n">
        <v>49.4256</v>
      </c>
      <c r="L1052" s="3" t="n"/>
      <c r="M1052" s="3" t="inlineStr">
        <is>
          <t>no</t>
        </is>
      </c>
      <c r="N1052" s="3" t="inlineStr">
        <is>
          <t>no designado (contraste C4: no hay svar_hd regional)</t>
        </is>
      </c>
      <c r="O1052" s="3" t="inlineStr">
        <is>
          <t>CCAA: ranking por c_f·sign(dY) del panel FE (M8); asociacion, sin lectura causal; el factor comun es un resumen de comovimiento (pendiente ~1 mecanica, J23)</t>
        </is>
      </c>
      <c r="P1052" s="3" t="inlineStr">
        <is>
          <t>output/v8/F5/regional_ranking.csv</t>
        </is>
      </c>
    </row>
    <row r="1053">
      <c r="A1053" s="3" t="inlineStr">
        <is>
          <t>compra</t>
        </is>
      </c>
      <c r="B1053" s="3" t="inlineStr">
        <is>
          <t>ccaa:15</t>
        </is>
      </c>
      <c r="C1053" s="3" t="inlineStr">
        <is>
          <t>P1</t>
        </is>
      </c>
      <c r="D1053" s="3" t="inlineStr">
        <is>
          <t>residuo</t>
        </is>
      </c>
      <c r="E1053" s="3" t="inlineStr">
        <is>
          <t>regional_panel</t>
        </is>
      </c>
      <c r="F1053" s="3" t="inlineStr">
        <is>
          <t>panel_covariables</t>
        </is>
      </c>
      <c r="G1053" s="3" t="n">
        <v>-24.9597</v>
      </c>
      <c r="H1053" s="3" t="n">
        <v>-50.4995</v>
      </c>
      <c r="I1053" s="3" t="n">
        <v>-34.5386</v>
      </c>
      <c r="J1053" s="3" t="n">
        <v>-15.0256</v>
      </c>
      <c r="K1053" s="3" t="n">
        <v>49.4256</v>
      </c>
      <c r="L1053" s="3" t="n"/>
      <c r="M1053" s="3" t="inlineStr">
        <is>
          <t>no</t>
        </is>
      </c>
      <c r="N1053" s="3" t="inlineStr">
        <is>
          <t>no designado (contraste C4: no hay svar_hd regional)</t>
        </is>
      </c>
      <c r="O1053" s="3" t="inlineStr">
        <is>
          <t>CCAA: ranking por c_f·sign(dY) del panel FE (M8); asociacion, sin lectura causal; el factor comun es un resumen de comovimiento (pendiente ~1 mecanica, J23)</t>
        </is>
      </c>
      <c r="P1053" s="3" t="inlineStr">
        <is>
          <t>output/v8/F5/regional_ranking.csv</t>
        </is>
      </c>
    </row>
    <row r="1054">
      <c r="A1054" s="3" t="inlineStr">
        <is>
          <t>compra</t>
        </is>
      </c>
      <c r="B1054" s="3" t="inlineStr">
        <is>
          <t>ccaa:15</t>
        </is>
      </c>
      <c r="C1054" s="3" t="inlineStr">
        <is>
          <t>P2</t>
        </is>
      </c>
      <c r="D1054" s="3" t="inlineStr">
        <is>
          <t>factor_comun</t>
        </is>
      </c>
      <c r="E1054" s="3" t="inlineStr">
        <is>
          <t>regional_ccaa_ols</t>
        </is>
      </c>
      <c r="F1054" s="3" t="inlineStr">
        <is>
          <t>ols_solo_factor</t>
        </is>
      </c>
      <c r="G1054" s="3" t="n">
        <v>-14.5199</v>
      </c>
      <c r="H1054" s="3" t="n">
        <v>46.8133</v>
      </c>
      <c r="I1054" s="3" t="n">
        <v>-34.0723</v>
      </c>
      <c r="J1054" s="3" t="n">
        <v>0.745384</v>
      </c>
      <c r="K1054" s="3" t="n">
        <v>-30.9819</v>
      </c>
      <c r="L1054" s="3" t="n"/>
      <c r="M1054" s="3" t="inlineStr">
        <is>
          <t>no</t>
        </is>
      </c>
      <c r="N1054" s="3" t="inlineStr">
        <is>
          <t>no designado (contraste C4: no hay svar_hd regional)</t>
        </is>
      </c>
      <c r="O1054" s="3" t="inlineStr">
        <is>
          <t>CCAA: ranking por c_f·sign(dY) del panel FE (M8); asociacion, sin lectura causal; el factor comun es un resumen de comovimiento (pendiente ~1 mecanica, J23)</t>
        </is>
      </c>
      <c r="P1054" s="3" t="inlineStr">
        <is>
          <t>output/v8/F5/regional_ranking.csv</t>
        </is>
      </c>
    </row>
    <row r="1055">
      <c r="A1055" s="3" t="inlineStr">
        <is>
          <t>compra</t>
        </is>
      </c>
      <c r="B1055" s="3" t="inlineStr">
        <is>
          <t>ccaa:15</t>
        </is>
      </c>
      <c r="C1055" s="3" t="inlineStr">
        <is>
          <t>P2</t>
        </is>
      </c>
      <c r="D1055" s="3" t="inlineStr">
        <is>
          <t>residuo</t>
        </is>
      </c>
      <c r="E1055" s="3" t="inlineStr">
        <is>
          <t>regional_ccaa_ols</t>
        </is>
      </c>
      <c r="F1055" s="3" t="inlineStr">
        <is>
          <t>ols_solo_factor</t>
        </is>
      </c>
      <c r="G1055" s="3" t="n">
        <v>-16.4967</v>
      </c>
      <c r="H1055" s="3" t="n">
        <v>53.1867</v>
      </c>
      <c r="I1055" s="3" t="n"/>
      <c r="J1055" s="3" t="n"/>
      <c r="K1055" s="3" t="n">
        <v>-30.9819</v>
      </c>
      <c r="L1055" s="3" t="n"/>
      <c r="M1055" s="3" t="inlineStr">
        <is>
          <t>no</t>
        </is>
      </c>
      <c r="N1055" s="3" t="inlineStr">
        <is>
          <t>no designado (contraste C4: no hay svar_hd regional)</t>
        </is>
      </c>
      <c r="O1055" s="3" t="inlineStr">
        <is>
          <t>CCAA: ranking por c_f·sign(dY) del panel FE (M8); asociacion, sin lectura causal; el factor comun es un resumen de comovimiento (pendiente ~1 mecanica, J23)</t>
        </is>
      </c>
      <c r="P1055" s="3" t="inlineStr">
        <is>
          <t>output/v8/F5/regional_ranking.csv</t>
        </is>
      </c>
    </row>
    <row r="1056">
      <c r="A1056" s="3" t="inlineStr">
        <is>
          <t>compra</t>
        </is>
      </c>
      <c r="B1056" s="3" t="inlineStr">
        <is>
          <t>ccaa:15</t>
        </is>
      </c>
      <c r="C1056" s="3" t="inlineStr">
        <is>
          <t>P2</t>
        </is>
      </c>
      <c r="D1056" s="3" t="inlineStr">
        <is>
          <t>factor_comun</t>
        </is>
      </c>
      <c r="E1056" s="3" t="inlineStr">
        <is>
          <t>regional_panel</t>
        </is>
      </c>
      <c r="F1056" s="3" t="inlineStr">
        <is>
          <t>panel_covariables</t>
        </is>
      </c>
      <c r="G1056" s="3" t="n">
        <v>-35.0812</v>
      </c>
      <c r="H1056" s="3" t="n">
        <v>113.231</v>
      </c>
      <c r="I1056" s="3" t="n">
        <v>-41.5124</v>
      </c>
      <c r="J1056" s="3" t="n">
        <v>-30.6884</v>
      </c>
      <c r="K1056" s="3" t="n">
        <v>-30.9819</v>
      </c>
      <c r="L1056" s="3" t="n"/>
      <c r="M1056" s="3" t="inlineStr">
        <is>
          <t>no</t>
        </is>
      </c>
      <c r="N1056" s="3" t="inlineStr">
        <is>
          <t>no designado (contraste C4: no hay svar_hd regional)</t>
        </is>
      </c>
      <c r="O1056" s="3" t="inlineStr">
        <is>
          <t>CCAA: ranking por c_f·sign(dY) del panel FE (M8); asociacion, sin lectura causal; el factor comun es un resumen de comovimiento (pendiente ~1 mecanica, J23)</t>
        </is>
      </c>
      <c r="P1056" s="3" t="inlineStr">
        <is>
          <t>output/v8/F5/regional_ranking.csv</t>
        </is>
      </c>
    </row>
    <row r="1057">
      <c r="A1057" s="3" t="inlineStr">
        <is>
          <t>compra</t>
        </is>
      </c>
      <c r="B1057" s="3" t="inlineStr">
        <is>
          <t>ccaa:15</t>
        </is>
      </c>
      <c r="C1057" s="3" t="inlineStr">
        <is>
          <t>P2</t>
        </is>
      </c>
      <c r="D1057" s="3" t="inlineStr">
        <is>
          <t>empleo_renta</t>
        </is>
      </c>
      <c r="E1057" s="3" t="inlineStr">
        <is>
          <t>regional_panel</t>
        </is>
      </c>
      <c r="F1057" s="3" t="inlineStr">
        <is>
          <t>panel_covariables</t>
        </is>
      </c>
      <c r="G1057" s="3" t="n">
        <v>-1.14109</v>
      </c>
      <c r="H1057" s="3" t="n">
        <v>3.6831</v>
      </c>
      <c r="I1057" s="3" t="n">
        <v>-2.30454</v>
      </c>
      <c r="J1057" s="3" t="n">
        <v>-0.161286</v>
      </c>
      <c r="K1057" s="3" t="n">
        <v>-30.9819</v>
      </c>
      <c r="L1057" s="3" t="n">
        <v>1</v>
      </c>
      <c r="M1057" s="3" t="inlineStr">
        <is>
          <t>si</t>
        </is>
      </c>
      <c r="N1057" s="3" t="inlineStr">
        <is>
          <t>no designado (contraste C4: no hay svar_hd regional)</t>
        </is>
      </c>
      <c r="O1057" s="3" t="inlineStr">
        <is>
          <t>CCAA: ranking por c_f·sign(dY) del panel FE (M8); asociacion, sin lectura causal; el factor comun es un resumen de comovimiento (pendiente ~1 mecanica, J23)</t>
        </is>
      </c>
      <c r="P1057" s="3" t="inlineStr">
        <is>
          <t>output/v8/F5/regional_ranking.csv</t>
        </is>
      </c>
    </row>
    <row r="1058">
      <c r="A1058" s="3" t="inlineStr">
        <is>
          <t>compra</t>
        </is>
      </c>
      <c r="B1058" s="3" t="inlineStr">
        <is>
          <t>ccaa:15</t>
        </is>
      </c>
      <c r="C1058" s="3" t="inlineStr">
        <is>
          <t>P2</t>
        </is>
      </c>
      <c r="D1058" s="3" t="inlineStr">
        <is>
          <t>demografia</t>
        </is>
      </c>
      <c r="E1058" s="3" t="inlineStr">
        <is>
          <t>regional_panel</t>
        </is>
      </c>
      <c r="F1058" s="3" t="inlineStr">
        <is>
          <t>panel_covariables</t>
        </is>
      </c>
      <c r="G1058" s="3" t="n">
        <v>3.0377</v>
      </c>
      <c r="H1058" s="3" t="n">
        <v>-9.804790000000001</v>
      </c>
      <c r="I1058" s="3" t="n">
        <v>-0.285882</v>
      </c>
      <c r="J1058" s="3" t="n">
        <v>10.2004</v>
      </c>
      <c r="K1058" s="3" t="n">
        <v>-30.9819</v>
      </c>
      <c r="L1058" s="3" t="n">
        <v>4</v>
      </c>
      <c r="M1058" s="3" t="inlineStr">
        <is>
          <t>si</t>
        </is>
      </c>
      <c r="N1058" s="3" t="inlineStr">
        <is>
          <t>no designado (contraste C4: no hay svar_hd regional)</t>
        </is>
      </c>
      <c r="O1058" s="3" t="inlineStr">
        <is>
          <t>CCAA: ranking por c_f·sign(dY) del panel FE (M8); asociacion, sin lectura causal; el factor comun es un resumen de comovimiento (pendiente ~1 mecanica, J23)</t>
        </is>
      </c>
      <c r="P1058" s="3" t="inlineStr">
        <is>
          <t>output/v8/F5/regional_ranking.csv</t>
        </is>
      </c>
    </row>
    <row r="1059">
      <c r="A1059" s="3" t="inlineStr">
        <is>
          <t>compra</t>
        </is>
      </c>
      <c r="B1059" s="3" t="inlineStr">
        <is>
          <t>ccaa:15</t>
        </is>
      </c>
      <c r="C1059" s="3" t="inlineStr">
        <is>
          <t>P2</t>
        </is>
      </c>
      <c r="D1059" s="3" t="inlineStr">
        <is>
          <t>oferta</t>
        </is>
      </c>
      <c r="E1059" s="3" t="inlineStr">
        <is>
          <t>regional_panel</t>
        </is>
      </c>
      <c r="F1059" s="3" t="inlineStr">
        <is>
          <t>panel_covariables</t>
        </is>
      </c>
      <c r="G1059" s="3" t="n">
        <v>-0.0545361</v>
      </c>
      <c r="H1059" s="3" t="n">
        <v>0.176026</v>
      </c>
      <c r="I1059" s="3" t="n">
        <v>-0.373256</v>
      </c>
      <c r="J1059" s="3" t="n">
        <v>0.348787</v>
      </c>
      <c r="K1059" s="3" t="n">
        <v>-30.9819</v>
      </c>
      <c r="L1059" s="3" t="n">
        <v>2</v>
      </c>
      <c r="M1059" s="3" t="inlineStr">
        <is>
          <t>si</t>
        </is>
      </c>
      <c r="N1059" s="3" t="inlineStr">
        <is>
          <t>no designado (contraste C4: no hay svar_hd regional)</t>
        </is>
      </c>
      <c r="O1059" s="3" t="inlineStr">
        <is>
          <t>CCAA: ranking por c_f·sign(dY) del panel FE (M8); asociacion, sin lectura causal; el factor comun es un resumen de comovimiento (pendiente ~1 mecanica, J23)</t>
        </is>
      </c>
      <c r="P1059" s="3" t="inlineStr">
        <is>
          <t>output/v8/F5/regional_ranking.csv</t>
        </is>
      </c>
    </row>
    <row r="1060">
      <c r="A1060" s="3" t="inlineStr">
        <is>
          <t>compra</t>
        </is>
      </c>
      <c r="B1060" s="3" t="inlineStr">
        <is>
          <t>ccaa:15</t>
        </is>
      </c>
      <c r="C1060" s="3" t="inlineStr">
        <is>
          <t>P2</t>
        </is>
      </c>
      <c r="D1060" s="3" t="inlineStr">
        <is>
          <t>demanda_externa</t>
        </is>
      </c>
      <c r="E1060" s="3" t="inlineStr">
        <is>
          <t>regional_panel</t>
        </is>
      </c>
      <c r="F1060" s="3" t="inlineStr">
        <is>
          <t>panel_covariables</t>
        </is>
      </c>
      <c r="G1060" s="3" t="n">
        <v>0.211024</v>
      </c>
      <c r="H1060" s="3" t="n">
        <v>-0.681121</v>
      </c>
      <c r="I1060" s="3" t="n">
        <v>-0.0854705</v>
      </c>
      <c r="J1060" s="3" t="n">
        <v>0.9403319999999999</v>
      </c>
      <c r="K1060" s="3" t="n">
        <v>-30.9819</v>
      </c>
      <c r="L1060" s="3" t="n">
        <v>3</v>
      </c>
      <c r="M1060" s="3" t="inlineStr">
        <is>
          <t>si</t>
        </is>
      </c>
      <c r="N1060" s="3" t="inlineStr">
        <is>
          <t>no designado (contraste C4: no hay svar_hd regional)</t>
        </is>
      </c>
      <c r="O1060" s="3" t="inlineStr">
        <is>
          <t>CCAA: ranking por c_f·sign(dY) del panel FE (M8); asociacion, sin lectura causal; el factor comun es un resumen de comovimiento (pendiente ~1 mecanica, J23)</t>
        </is>
      </c>
      <c r="P1060" s="3" t="inlineStr">
        <is>
          <t>output/v8/F5/regional_ranking.csv</t>
        </is>
      </c>
    </row>
    <row r="1061">
      <c r="A1061" s="3" t="inlineStr">
        <is>
          <t>compra</t>
        </is>
      </c>
      <c r="B1061" s="3" t="inlineStr">
        <is>
          <t>ccaa:15</t>
        </is>
      </c>
      <c r="C1061" s="3" t="inlineStr">
        <is>
          <t>P2</t>
        </is>
      </c>
      <c r="D1061" s="3" t="inlineStr">
        <is>
          <t>residuo</t>
        </is>
      </c>
      <c r="E1061" s="3" t="inlineStr">
        <is>
          <t>regional_panel</t>
        </is>
      </c>
      <c r="F1061" s="3" t="inlineStr">
        <is>
          <t>panel_covariables</t>
        </is>
      </c>
      <c r="G1061" s="3" t="n">
        <v>2.04623</v>
      </c>
      <c r="H1061" s="3" t="n">
        <v>-6.60459</v>
      </c>
      <c r="I1061" s="3" t="n">
        <v>-13.0409</v>
      </c>
      <c r="J1061" s="3" t="n">
        <v>14.97</v>
      </c>
      <c r="K1061" s="3" t="n">
        <v>-30.9819</v>
      </c>
      <c r="L1061" s="3" t="n"/>
      <c r="M1061" s="3" t="inlineStr">
        <is>
          <t>no</t>
        </is>
      </c>
      <c r="N1061" s="3" t="inlineStr">
        <is>
          <t>no designado (contraste C4: no hay svar_hd regional)</t>
        </is>
      </c>
      <c r="O1061" s="3" t="inlineStr">
        <is>
          <t>CCAA: ranking por c_f·sign(dY) del panel FE (M8); asociacion, sin lectura causal; el factor comun es un resumen de comovimiento (pendiente ~1 mecanica, J23)</t>
        </is>
      </c>
      <c r="P1061" s="3" t="inlineStr">
        <is>
          <t>output/v8/F5/regional_ranking.csv</t>
        </is>
      </c>
    </row>
    <row r="1062">
      <c r="A1062" s="3" t="inlineStr">
        <is>
          <t>compra</t>
        </is>
      </c>
      <c r="B1062" s="3" t="inlineStr">
        <is>
          <t>ccaa:15</t>
        </is>
      </c>
      <c r="C1062" s="3" t="inlineStr">
        <is>
          <t>P3</t>
        </is>
      </c>
      <c r="D1062" s="3" t="inlineStr">
        <is>
          <t>factor_comun</t>
        </is>
      </c>
      <c r="E1062" s="3" t="inlineStr">
        <is>
          <t>regional_ccaa_ols</t>
        </is>
      </c>
      <c r="F1062" s="3" t="inlineStr">
        <is>
          <t>ols_solo_factor</t>
        </is>
      </c>
      <c r="G1062" s="3" t="n">
        <v>-0.662621</v>
      </c>
      <c r="H1062" s="3" t="n">
        <v>89.2466</v>
      </c>
      <c r="I1062" s="3" t="n">
        <v>-5.64574</v>
      </c>
      <c r="J1062" s="3" t="n">
        <v>3.64135</v>
      </c>
      <c r="K1062" s="3" t="n">
        <v>-0.535811</v>
      </c>
      <c r="L1062" s="3" t="n"/>
      <c r="M1062" s="3" t="inlineStr">
        <is>
          <t>no</t>
        </is>
      </c>
      <c r="N1062" s="3" t="inlineStr">
        <is>
          <t>no designado (contraste C4: no hay svar_hd regional)</t>
        </is>
      </c>
      <c r="O1062" s="3" t="inlineStr">
        <is>
          <t>CCAA: ranking por c_f·sign(dY) del panel FE (M8); asociacion, sin lectura causal; el factor comun es un resumen de comovimiento (pendiente ~1 mecanica, J23)</t>
        </is>
      </c>
      <c r="P1062" s="3" t="inlineStr">
        <is>
          <t>output/v8/F5/regional_ranking.csv</t>
        </is>
      </c>
    </row>
    <row r="1063">
      <c r="A1063" s="3" t="inlineStr">
        <is>
          <t>compra</t>
        </is>
      </c>
      <c r="B1063" s="3" t="inlineStr">
        <is>
          <t>ccaa:15</t>
        </is>
      </c>
      <c r="C1063" s="3" t="inlineStr">
        <is>
          <t>P3</t>
        </is>
      </c>
      <c r="D1063" s="3" t="inlineStr">
        <is>
          <t>residuo</t>
        </is>
      </c>
      <c r="E1063" s="3" t="inlineStr">
        <is>
          <t>regional_ccaa_ols</t>
        </is>
      </c>
      <c r="F1063" s="3" t="inlineStr">
        <is>
          <t>ols_solo_factor</t>
        </is>
      </c>
      <c r="G1063" s="3" t="n">
        <v>-0.0798402</v>
      </c>
      <c r="H1063" s="3" t="n">
        <v>10.7534</v>
      </c>
      <c r="I1063" s="3" t="n"/>
      <c r="J1063" s="3" t="n"/>
      <c r="K1063" s="3" t="n">
        <v>-0.535811</v>
      </c>
      <c r="L1063" s="3" t="n"/>
      <c r="M1063" s="3" t="inlineStr">
        <is>
          <t>no</t>
        </is>
      </c>
      <c r="N1063" s="3" t="inlineStr">
        <is>
          <t>no designado (contraste C4: no hay svar_hd regional)</t>
        </is>
      </c>
      <c r="O1063" s="3" t="inlineStr">
        <is>
          <t>CCAA: ranking por c_f·sign(dY) del panel FE (M8); asociacion, sin lectura causal; el factor comun es un resumen de comovimiento (pendiente ~1 mecanica, J23)</t>
        </is>
      </c>
      <c r="P1063" s="3" t="inlineStr">
        <is>
          <t>output/v8/F5/regional_ranking.csv</t>
        </is>
      </c>
    </row>
    <row r="1064">
      <c r="A1064" s="3" t="inlineStr">
        <is>
          <t>compra</t>
        </is>
      </c>
      <c r="B1064" s="3" t="inlineStr">
        <is>
          <t>ccaa:15</t>
        </is>
      </c>
      <c r="C1064" s="3" t="inlineStr">
        <is>
          <t>P3</t>
        </is>
      </c>
      <c r="D1064" s="3" t="inlineStr">
        <is>
          <t>factor_comun</t>
        </is>
      </c>
      <c r="E1064" s="3" t="inlineStr">
        <is>
          <t>regional_panel</t>
        </is>
      </c>
      <c r="F1064" s="3" t="inlineStr">
        <is>
          <t>panel_covariables</t>
        </is>
      </c>
      <c r="G1064" s="3" t="n">
        <v>-0.548472</v>
      </c>
      <c r="H1064" s="3" t="n">
        <v>102.363</v>
      </c>
      <c r="I1064" s="3" t="n">
        <v>-3.50001</v>
      </c>
      <c r="J1064" s="3" t="n">
        <v>2.45383</v>
      </c>
      <c r="K1064" s="3" t="n">
        <v>-0.535811</v>
      </c>
      <c r="L1064" s="3" t="n"/>
      <c r="M1064" s="3" t="inlineStr">
        <is>
          <t>no</t>
        </is>
      </c>
      <c r="N1064" s="3" t="inlineStr">
        <is>
          <t>no designado (contraste C4: no hay svar_hd regional)</t>
        </is>
      </c>
      <c r="O1064" s="3" t="inlineStr">
        <is>
          <t>CCAA: ranking por c_f·sign(dY) del panel FE (M8); asociacion, sin lectura causal; el factor comun es un resumen de comovimiento (pendiente ~1 mecanica, J23)</t>
        </is>
      </c>
      <c r="P1064" s="3" t="inlineStr">
        <is>
          <t>output/v8/F5/regional_ranking.csv</t>
        </is>
      </c>
    </row>
    <row r="1065">
      <c r="A1065" s="3" t="inlineStr">
        <is>
          <t>compra</t>
        </is>
      </c>
      <c r="B1065" s="3" t="inlineStr">
        <is>
          <t>ccaa:15</t>
        </is>
      </c>
      <c r="C1065" s="3" t="inlineStr">
        <is>
          <t>P3</t>
        </is>
      </c>
      <c r="D1065" s="3" t="inlineStr">
        <is>
          <t>empleo_renta</t>
        </is>
      </c>
      <c r="E1065" s="3" t="inlineStr">
        <is>
          <t>regional_panel</t>
        </is>
      </c>
      <c r="F1065" s="3" t="inlineStr">
        <is>
          <t>panel_covariables</t>
        </is>
      </c>
      <c r="G1065" s="3" t="n">
        <v>0.496631</v>
      </c>
      <c r="H1065" s="3" t="n">
        <v>-92.68770000000001</v>
      </c>
      <c r="I1065" s="3" t="n">
        <v>-0.0657021</v>
      </c>
      <c r="J1065" s="3" t="n">
        <v>1.18485</v>
      </c>
      <c r="K1065" s="3" t="n">
        <v>-0.535811</v>
      </c>
      <c r="L1065" s="3" t="n">
        <v>2</v>
      </c>
      <c r="M1065" s="3" t="inlineStr">
        <is>
          <t>si</t>
        </is>
      </c>
      <c r="N1065" s="3" t="inlineStr">
        <is>
          <t>no designado (contraste C4: no hay svar_hd regional)</t>
        </is>
      </c>
      <c r="O1065" s="3" t="inlineStr">
        <is>
          <t>CCAA: ranking por c_f·sign(dY) del panel FE (M8); asociacion, sin lectura causal; el factor comun es un resumen de comovimiento (pendiente ~1 mecanica, J23)</t>
        </is>
      </c>
      <c r="P1065" s="3" t="inlineStr">
        <is>
          <t>output/v8/F5/regional_ranking.csv</t>
        </is>
      </c>
    </row>
    <row r="1066">
      <c r="A1066" s="3" t="inlineStr">
        <is>
          <t>compra</t>
        </is>
      </c>
      <c r="B1066" s="3" t="inlineStr">
        <is>
          <t>ccaa:15</t>
        </is>
      </c>
      <c r="C1066" s="3" t="inlineStr">
        <is>
          <t>P3</t>
        </is>
      </c>
      <c r="D1066" s="3" t="inlineStr">
        <is>
          <t>demografia</t>
        </is>
      </c>
      <c r="E1066" s="3" t="inlineStr">
        <is>
          <t>regional_panel</t>
        </is>
      </c>
      <c r="F1066" s="3" t="inlineStr">
        <is>
          <t>panel_covariables</t>
        </is>
      </c>
      <c r="G1066" s="3" t="n">
        <v>2.27023</v>
      </c>
      <c r="H1066" s="3" t="n">
        <v>-423.701</v>
      </c>
      <c r="I1066" s="3" t="n">
        <v>1.31807</v>
      </c>
      <c r="J1066" s="3" t="n">
        <v>4.2836</v>
      </c>
      <c r="K1066" s="3" t="n">
        <v>-0.535811</v>
      </c>
      <c r="L1066" s="3" t="n">
        <v>4</v>
      </c>
      <c r="M1066" s="3" t="inlineStr">
        <is>
          <t>si</t>
        </is>
      </c>
      <c r="N1066" s="3" t="inlineStr">
        <is>
          <t>no designado (contraste C4: no hay svar_hd regional)</t>
        </is>
      </c>
      <c r="O1066" s="3" t="inlineStr">
        <is>
          <t>CCAA: ranking por c_f·sign(dY) del panel FE (M8); asociacion, sin lectura causal; el factor comun es un resumen de comovimiento (pendiente ~1 mecanica, J23)</t>
        </is>
      </c>
      <c r="P1066" s="3" t="inlineStr">
        <is>
          <t>output/v8/F5/regional_ranking.csv</t>
        </is>
      </c>
    </row>
    <row r="1067">
      <c r="A1067" s="3" t="inlineStr">
        <is>
          <t>compra</t>
        </is>
      </c>
      <c r="B1067" s="3" t="inlineStr">
        <is>
          <t>ccaa:15</t>
        </is>
      </c>
      <c r="C1067" s="3" t="inlineStr">
        <is>
          <t>P3</t>
        </is>
      </c>
      <c r="D1067" s="3" t="inlineStr">
        <is>
          <t>oferta</t>
        </is>
      </c>
      <c r="E1067" s="3" t="inlineStr">
        <is>
          <t>regional_panel</t>
        </is>
      </c>
      <c r="F1067" s="3" t="inlineStr">
        <is>
          <t>panel_covariables</t>
        </is>
      </c>
      <c r="G1067" s="3" t="n">
        <v>-0.708111</v>
      </c>
      <c r="H1067" s="3" t="n">
        <v>132.157</v>
      </c>
      <c r="I1067" s="3" t="n">
        <v>-1.3995</v>
      </c>
      <c r="J1067" s="3" t="n">
        <v>-0.0373964</v>
      </c>
      <c r="K1067" s="3" t="n">
        <v>-0.535811</v>
      </c>
      <c r="L1067" s="3" t="n">
        <v>1</v>
      </c>
      <c r="M1067" s="3" t="inlineStr">
        <is>
          <t>si</t>
        </is>
      </c>
      <c r="N1067" s="3" t="inlineStr">
        <is>
          <t>no designado (contraste C4: no hay svar_hd regional)</t>
        </is>
      </c>
      <c r="O1067" s="3" t="inlineStr">
        <is>
          <t>CCAA: ranking por c_f·sign(dY) del panel FE (M8); asociacion, sin lectura causal; el factor comun es un resumen de comovimiento (pendiente ~1 mecanica, J23)</t>
        </is>
      </c>
      <c r="P1067" s="3" t="inlineStr">
        <is>
          <t>output/v8/F5/regional_ranking.csv</t>
        </is>
      </c>
    </row>
    <row r="1068">
      <c r="A1068" s="3" t="inlineStr">
        <is>
          <t>compra</t>
        </is>
      </c>
      <c r="B1068" s="3" t="inlineStr">
        <is>
          <t>ccaa:15</t>
        </is>
      </c>
      <c r="C1068" s="3" t="inlineStr">
        <is>
          <t>P3</t>
        </is>
      </c>
      <c r="D1068" s="3" t="inlineStr">
        <is>
          <t>demanda_externa</t>
        </is>
      </c>
      <c r="E1068" s="3" t="inlineStr">
        <is>
          <t>regional_panel</t>
        </is>
      </c>
      <c r="F1068" s="3" t="inlineStr">
        <is>
          <t>panel_covariables</t>
        </is>
      </c>
      <c r="G1068" s="3" t="n">
        <v>1.33184</v>
      </c>
      <c r="H1068" s="3" t="n">
        <v>-248.565</v>
      </c>
      <c r="I1068" s="3" t="n">
        <v>0.514304</v>
      </c>
      <c r="J1068" s="3" t="n">
        <v>2.02522</v>
      </c>
      <c r="K1068" s="3" t="n">
        <v>-0.535811</v>
      </c>
      <c r="L1068" s="3" t="n">
        <v>3</v>
      </c>
      <c r="M1068" s="3" t="inlineStr">
        <is>
          <t>si</t>
        </is>
      </c>
      <c r="N1068" s="3" t="inlineStr">
        <is>
          <t>no designado (contraste C4: no hay svar_hd regional)</t>
        </is>
      </c>
      <c r="O1068" s="3" t="inlineStr">
        <is>
          <t>CCAA: ranking por c_f·sign(dY) del panel FE (M8); asociacion, sin lectura causal; el factor comun es un resumen de comovimiento (pendiente ~1 mecanica, J23)</t>
        </is>
      </c>
      <c r="P1068" s="3" t="inlineStr">
        <is>
          <t>output/v8/F5/regional_ranking.csv</t>
        </is>
      </c>
    </row>
    <row r="1069">
      <c r="A1069" s="3" t="inlineStr">
        <is>
          <t>compra</t>
        </is>
      </c>
      <c r="B1069" s="3" t="inlineStr">
        <is>
          <t>ccaa:15</t>
        </is>
      </c>
      <c r="C1069" s="3" t="inlineStr">
        <is>
          <t>P3</t>
        </is>
      </c>
      <c r="D1069" s="3" t="inlineStr">
        <is>
          <t>residuo</t>
        </is>
      </c>
      <c r="E1069" s="3" t="inlineStr">
        <is>
          <t>regional_panel</t>
        </is>
      </c>
      <c r="F1069" s="3" t="inlineStr">
        <is>
          <t>panel_covariables</t>
        </is>
      </c>
      <c r="G1069" s="3" t="n">
        <v>-3.37793</v>
      </c>
      <c r="H1069" s="3" t="n">
        <v>630.434</v>
      </c>
      <c r="I1069" s="3" t="n">
        <v>-6.11106</v>
      </c>
      <c r="J1069" s="3" t="n">
        <v>-1.67646</v>
      </c>
      <c r="K1069" s="3" t="n">
        <v>-0.535811</v>
      </c>
      <c r="L1069" s="3" t="n"/>
      <c r="M1069" s="3" t="inlineStr">
        <is>
          <t>no</t>
        </is>
      </c>
      <c r="N1069" s="3" t="inlineStr">
        <is>
          <t>no designado (contraste C4: no hay svar_hd regional)</t>
        </is>
      </c>
      <c r="O1069" s="3" t="inlineStr">
        <is>
          <t>CCAA: ranking por c_f·sign(dY) del panel FE (M8); asociacion, sin lectura causal; el factor comun es un resumen de comovimiento (pendiente ~1 mecanica, J23)</t>
        </is>
      </c>
      <c r="P1069" s="3" t="inlineStr">
        <is>
          <t>output/v8/F5/regional_ranking.csv</t>
        </is>
      </c>
    </row>
    <row r="1070">
      <c r="A1070" s="3" t="inlineStr">
        <is>
          <t>compra</t>
        </is>
      </c>
      <c r="B1070" s="3" t="inlineStr">
        <is>
          <t>ccaa:15</t>
        </is>
      </c>
      <c r="C1070" s="3" t="inlineStr">
        <is>
          <t>P4</t>
        </is>
      </c>
      <c r="D1070" s="3" t="inlineStr">
        <is>
          <t>factor_comun</t>
        </is>
      </c>
      <c r="E1070" s="3" t="inlineStr">
        <is>
          <t>regional_ccaa_ols</t>
        </is>
      </c>
      <c r="F1070" s="3" t="inlineStr">
        <is>
          <t>ols_solo_factor</t>
        </is>
      </c>
      <c r="G1070" s="3" t="n">
        <v>0.806167</v>
      </c>
      <c r="H1070" s="3" t="n">
        <v>-20.7875</v>
      </c>
      <c r="I1070" s="3" t="n">
        <v>-0.19964</v>
      </c>
      <c r="J1070" s="3" t="n">
        <v>1.48516</v>
      </c>
      <c r="K1070" s="3" t="n">
        <v>-3.87814</v>
      </c>
      <c r="L1070" s="3" t="n"/>
      <c r="M1070" s="3" t="inlineStr">
        <is>
          <t>no</t>
        </is>
      </c>
      <c r="N1070" s="3" t="inlineStr">
        <is>
          <t>no designado (contraste C4: no hay svar_hd regional)</t>
        </is>
      </c>
      <c r="O1070" s="3" t="inlineStr">
        <is>
          <t>CCAA: ranking por c_f·sign(dY) del panel FE (M8); asociacion, sin lectura causal; el factor comun es un resumen de comovimiento (pendiente ~1 mecanica, J23)</t>
        </is>
      </c>
      <c r="P1070" s="3" t="inlineStr">
        <is>
          <t>output/v8/F5/regional_ranking.csv</t>
        </is>
      </c>
    </row>
    <row r="1071">
      <c r="A1071" s="3" t="inlineStr">
        <is>
          <t>compra</t>
        </is>
      </c>
      <c r="B1071" s="3" t="inlineStr">
        <is>
          <t>ccaa:15</t>
        </is>
      </c>
      <c r="C1071" s="3" t="inlineStr">
        <is>
          <t>P4</t>
        </is>
      </c>
      <c r="D1071" s="3" t="inlineStr">
        <is>
          <t>residuo</t>
        </is>
      </c>
      <c r="E1071" s="3" t="inlineStr">
        <is>
          <t>regional_ccaa_ols</t>
        </is>
      </c>
      <c r="F1071" s="3" t="inlineStr">
        <is>
          <t>ols_solo_factor</t>
        </is>
      </c>
      <c r="G1071" s="3" t="n">
        <v>-4.6843</v>
      </c>
      <c r="H1071" s="3" t="n">
        <v>120.787</v>
      </c>
      <c r="I1071" s="3" t="n"/>
      <c r="J1071" s="3" t="n"/>
      <c r="K1071" s="3" t="n">
        <v>-3.87814</v>
      </c>
      <c r="L1071" s="3" t="n"/>
      <c r="M1071" s="3" t="inlineStr">
        <is>
          <t>no</t>
        </is>
      </c>
      <c r="N1071" s="3" t="inlineStr">
        <is>
          <t>no designado (contraste C4: no hay svar_hd regional)</t>
        </is>
      </c>
      <c r="O1071" s="3" t="inlineStr">
        <is>
          <t>CCAA: ranking por c_f·sign(dY) del panel FE (M8); asociacion, sin lectura causal; el factor comun es un resumen de comovimiento (pendiente ~1 mecanica, J23)</t>
        </is>
      </c>
      <c r="P1071" s="3" t="inlineStr">
        <is>
          <t>output/v8/F5/regional_ranking.csv</t>
        </is>
      </c>
    </row>
    <row r="1072">
      <c r="A1072" s="3" t="inlineStr">
        <is>
          <t>compra</t>
        </is>
      </c>
      <c r="B1072" s="3" t="inlineStr">
        <is>
          <t>ccaa:15</t>
        </is>
      </c>
      <c r="C1072" s="3" t="inlineStr">
        <is>
          <t>P4</t>
        </is>
      </c>
      <c r="D1072" s="3" t="inlineStr">
        <is>
          <t>factor_comun</t>
        </is>
      </c>
      <c r="E1072" s="3" t="inlineStr">
        <is>
          <t>regional_panel</t>
        </is>
      </c>
      <c r="F1072" s="3" t="inlineStr">
        <is>
          <t>panel_covariables</t>
        </is>
      </c>
      <c r="G1072" s="3" t="n">
        <v>-4.21608</v>
      </c>
      <c r="H1072" s="3" t="n">
        <v>108.714</v>
      </c>
      <c r="I1072" s="3" t="n">
        <v>-5.07352</v>
      </c>
      <c r="J1072" s="3" t="n">
        <v>-2.674</v>
      </c>
      <c r="K1072" s="3" t="n">
        <v>-3.87814</v>
      </c>
      <c r="L1072" s="3" t="n"/>
      <c r="M1072" s="3" t="inlineStr">
        <is>
          <t>no</t>
        </is>
      </c>
      <c r="N1072" s="3" t="inlineStr">
        <is>
          <t>no designado (contraste C4: no hay svar_hd regional)</t>
        </is>
      </c>
      <c r="O1072" s="3" t="inlineStr">
        <is>
          <t>CCAA: ranking por c_f·sign(dY) del panel FE (M8); asociacion, sin lectura causal; el factor comun es un resumen de comovimiento (pendiente ~1 mecanica, J23)</t>
        </is>
      </c>
      <c r="P1072" s="3" t="inlineStr">
        <is>
          <t>output/v8/F5/regional_ranking.csv</t>
        </is>
      </c>
    </row>
    <row r="1073">
      <c r="A1073" s="3" t="inlineStr">
        <is>
          <t>compra</t>
        </is>
      </c>
      <c r="B1073" s="3" t="inlineStr">
        <is>
          <t>ccaa:15</t>
        </is>
      </c>
      <c r="C1073" s="3" t="inlineStr">
        <is>
          <t>P4</t>
        </is>
      </c>
      <c r="D1073" s="3" t="inlineStr">
        <is>
          <t>empleo_renta</t>
        </is>
      </c>
      <c r="E1073" s="3" t="inlineStr">
        <is>
          <t>regional_panel</t>
        </is>
      </c>
      <c r="F1073" s="3" t="inlineStr">
        <is>
          <t>panel_covariables</t>
        </is>
      </c>
      <c r="G1073" s="3" t="n">
        <v>-0.593542</v>
      </c>
      <c r="H1073" s="3" t="n">
        <v>15.3048</v>
      </c>
      <c r="I1073" s="3" t="n">
        <v>-0.997543</v>
      </c>
      <c r="J1073" s="3" t="n">
        <v>0.160995</v>
      </c>
      <c r="K1073" s="3" t="n">
        <v>-3.87814</v>
      </c>
      <c r="L1073" s="3" t="n">
        <v>1</v>
      </c>
      <c r="M1073" s="3" t="inlineStr">
        <is>
          <t>si</t>
        </is>
      </c>
      <c r="N1073" s="3" t="inlineStr">
        <is>
          <t>no designado (contraste C4: no hay svar_hd regional)</t>
        </is>
      </c>
      <c r="O1073" s="3" t="inlineStr">
        <is>
          <t>CCAA: ranking por c_f·sign(dY) del panel FE (M8); asociacion, sin lectura causal; el factor comun es un resumen de comovimiento (pendiente ~1 mecanica, J23)</t>
        </is>
      </c>
      <c r="P1073" s="3" t="inlineStr">
        <is>
          <t>output/v8/F5/regional_ranking.csv</t>
        </is>
      </c>
    </row>
    <row r="1074">
      <c r="A1074" s="3" t="inlineStr">
        <is>
          <t>compra</t>
        </is>
      </c>
      <c r="B1074" s="3" t="inlineStr">
        <is>
          <t>ccaa:15</t>
        </is>
      </c>
      <c r="C1074" s="3" t="inlineStr">
        <is>
          <t>P4</t>
        </is>
      </c>
      <c r="D1074" s="3" t="inlineStr">
        <is>
          <t>demografia</t>
        </is>
      </c>
      <c r="E1074" s="3" t="inlineStr">
        <is>
          <t>regional_panel</t>
        </is>
      </c>
      <c r="F1074" s="3" t="inlineStr">
        <is>
          <t>panel_covariables</t>
        </is>
      </c>
      <c r="G1074" s="3" t="n">
        <v>1.36836</v>
      </c>
      <c r="H1074" s="3" t="n">
        <v>-35.284</v>
      </c>
      <c r="I1074" s="3" t="n">
        <v>0.539757</v>
      </c>
      <c r="J1074" s="3" t="n">
        <v>1.81191</v>
      </c>
      <c r="K1074" s="3" t="n">
        <v>-3.87814</v>
      </c>
      <c r="L1074" s="3" t="n">
        <v>4</v>
      </c>
      <c r="M1074" s="3" t="inlineStr">
        <is>
          <t>si</t>
        </is>
      </c>
      <c r="N1074" s="3" t="inlineStr">
        <is>
          <t>no designado (contraste C4: no hay svar_hd regional)</t>
        </is>
      </c>
      <c r="O1074" s="3" t="inlineStr">
        <is>
          <t>CCAA: ranking por c_f·sign(dY) del panel FE (M8); asociacion, sin lectura causal; el factor comun es un resumen de comovimiento (pendiente ~1 mecanica, J23)</t>
        </is>
      </c>
      <c r="P1074" s="3" t="inlineStr">
        <is>
          <t>output/v8/F5/regional_ranking.csv</t>
        </is>
      </c>
    </row>
    <row r="1075">
      <c r="A1075" s="3" t="inlineStr">
        <is>
          <t>compra</t>
        </is>
      </c>
      <c r="B1075" s="3" t="inlineStr">
        <is>
          <t>ccaa:15</t>
        </is>
      </c>
      <c r="C1075" s="3" t="inlineStr">
        <is>
          <t>P4</t>
        </is>
      </c>
      <c r="D1075" s="3" t="inlineStr">
        <is>
          <t>oferta</t>
        </is>
      </c>
      <c r="E1075" s="3" t="inlineStr">
        <is>
          <t>regional_panel</t>
        </is>
      </c>
      <c r="F1075" s="3" t="inlineStr">
        <is>
          <t>panel_covariables</t>
        </is>
      </c>
      <c r="G1075" s="3" t="n">
        <v>-0.0143847</v>
      </c>
      <c r="H1075" s="3" t="n">
        <v>0.370918</v>
      </c>
      <c r="I1075" s="3" t="n">
        <v>-0.105982</v>
      </c>
      <c r="J1075" s="3" t="n">
        <v>0.0519609</v>
      </c>
      <c r="K1075" s="3" t="n">
        <v>-3.87814</v>
      </c>
      <c r="L1075" s="3" t="n">
        <v>2</v>
      </c>
      <c r="M1075" s="3" t="inlineStr">
        <is>
          <t>si</t>
        </is>
      </c>
      <c r="N1075" s="3" t="inlineStr">
        <is>
          <t>no designado (contraste C4: no hay svar_hd regional)</t>
        </is>
      </c>
      <c r="O1075" s="3" t="inlineStr">
        <is>
          <t>CCAA: ranking por c_f·sign(dY) del panel FE (M8); asociacion, sin lectura causal; el factor comun es un resumen de comovimiento (pendiente ~1 mecanica, J23)</t>
        </is>
      </c>
      <c r="P1075" s="3" t="inlineStr">
        <is>
          <t>output/v8/F5/regional_ranking.csv</t>
        </is>
      </c>
    </row>
    <row r="1076">
      <c r="A1076" s="3" t="inlineStr">
        <is>
          <t>compra</t>
        </is>
      </c>
      <c r="B1076" s="3" t="inlineStr">
        <is>
          <t>ccaa:15</t>
        </is>
      </c>
      <c r="C1076" s="3" t="inlineStr">
        <is>
          <t>P4</t>
        </is>
      </c>
      <c r="D1076" s="3" t="inlineStr">
        <is>
          <t>demanda_externa</t>
        </is>
      </c>
      <c r="E1076" s="3" t="inlineStr">
        <is>
          <t>regional_panel</t>
        </is>
      </c>
      <c r="F1076" s="3" t="inlineStr">
        <is>
          <t>panel_covariables</t>
        </is>
      </c>
      <c r="G1076" s="3" t="n">
        <v>0.13294</v>
      </c>
      <c r="H1076" s="3" t="n">
        <v>-3.42794</v>
      </c>
      <c r="I1076" s="3" t="n">
        <v>-0.0442362</v>
      </c>
      <c r="J1076" s="3" t="n">
        <v>0.209185</v>
      </c>
      <c r="K1076" s="3" t="n">
        <v>-3.87814</v>
      </c>
      <c r="L1076" s="3" t="n">
        <v>3</v>
      </c>
      <c r="M1076" s="3" t="inlineStr">
        <is>
          <t>si</t>
        </is>
      </c>
      <c r="N1076" s="3" t="inlineStr">
        <is>
          <t>no designado (contraste C4: no hay svar_hd regional)</t>
        </is>
      </c>
      <c r="O1076" s="3" t="inlineStr">
        <is>
          <t>CCAA: ranking por c_f·sign(dY) del panel FE (M8); asociacion, sin lectura causal; el factor comun es un resumen de comovimiento (pendiente ~1 mecanica, J23)</t>
        </is>
      </c>
      <c r="P1076" s="3" t="inlineStr">
        <is>
          <t>output/v8/F5/regional_ranking.csv</t>
        </is>
      </c>
    </row>
    <row r="1077">
      <c r="A1077" s="3" t="inlineStr">
        <is>
          <t>compra</t>
        </is>
      </c>
      <c r="B1077" s="3" t="inlineStr">
        <is>
          <t>ccaa:15</t>
        </is>
      </c>
      <c r="C1077" s="3" t="inlineStr">
        <is>
          <t>P4</t>
        </is>
      </c>
      <c r="D1077" s="3" t="inlineStr">
        <is>
          <t>residuo</t>
        </is>
      </c>
      <c r="E1077" s="3" t="inlineStr">
        <is>
          <t>regional_panel</t>
        </is>
      </c>
      <c r="F1077" s="3" t="inlineStr">
        <is>
          <t>panel_covariables</t>
        </is>
      </c>
      <c r="G1077" s="3" t="n">
        <v>-0.555431</v>
      </c>
      <c r="H1077" s="3" t="n">
        <v>14.3221</v>
      </c>
      <c r="I1077" s="3" t="n">
        <v>-2.9761</v>
      </c>
      <c r="J1077" s="3" t="n">
        <v>1.1246</v>
      </c>
      <c r="K1077" s="3" t="n">
        <v>-3.87814</v>
      </c>
      <c r="L1077" s="3" t="n"/>
      <c r="M1077" s="3" t="inlineStr">
        <is>
          <t>no</t>
        </is>
      </c>
      <c r="N1077" s="3" t="inlineStr">
        <is>
          <t>no designado (contraste C4: no hay svar_hd regional)</t>
        </is>
      </c>
      <c r="O1077" s="3" t="inlineStr">
        <is>
          <t>CCAA: ranking por c_f·sign(dY) del panel FE (M8); asociacion, sin lectura causal; el factor comun es un resumen de comovimiento (pendiente ~1 mecanica, J23)</t>
        </is>
      </c>
      <c r="P1077" s="3" t="inlineStr">
        <is>
          <t>output/v8/F5/regional_ranking.csv</t>
        </is>
      </c>
    </row>
    <row r="1078">
      <c r="A1078" s="3" t="inlineStr">
        <is>
          <t>compra</t>
        </is>
      </c>
      <c r="B1078" s="3" t="inlineStr">
        <is>
          <t>ccaa:15</t>
        </is>
      </c>
      <c r="C1078" s="3" t="inlineStr">
        <is>
          <t>P5</t>
        </is>
      </c>
      <c r="D1078" s="3" t="inlineStr">
        <is>
          <t>factor_comun</t>
        </is>
      </c>
      <c r="E1078" s="3" t="inlineStr">
        <is>
          <t>regional_ccaa_ols</t>
        </is>
      </c>
      <c r="F1078" s="3" t="inlineStr">
        <is>
          <t>ols_solo_factor</t>
        </is>
      </c>
      <c r="G1078" s="3" t="n">
        <v>7.28035</v>
      </c>
      <c r="H1078" s="3" t="n">
        <v>85.5052</v>
      </c>
      <c r="I1078" s="3" t="n">
        <v>1.98537</v>
      </c>
      <c r="J1078" s="3" t="n">
        <v>12.3826</v>
      </c>
      <c r="K1078" s="3" t="n">
        <v>1.49674</v>
      </c>
      <c r="L1078" s="3" t="n"/>
      <c r="M1078" s="3" t="inlineStr">
        <is>
          <t>no</t>
        </is>
      </c>
      <c r="N1078" s="3" t="inlineStr">
        <is>
          <t>no designado (contraste C4: no hay svar_hd regional)</t>
        </is>
      </c>
      <c r="O1078" s="3" t="inlineStr">
        <is>
          <t>CCAA: ranking por c_f·sign(dY) del panel FE (M8); asociacion, sin lectura causal; el factor comun es un resumen de comovimiento (pendiente ~1 mecanica, J23)</t>
        </is>
      </c>
      <c r="P1078" s="3" t="inlineStr">
        <is>
          <t>output/v8/F5/regional_ranking.csv</t>
        </is>
      </c>
    </row>
    <row r="1079">
      <c r="A1079" s="3" t="inlineStr">
        <is>
          <t>compra</t>
        </is>
      </c>
      <c r="B1079" s="3" t="inlineStr">
        <is>
          <t>ccaa:15</t>
        </is>
      </c>
      <c r="C1079" s="3" t="inlineStr">
        <is>
          <t>P5</t>
        </is>
      </c>
      <c r="D1079" s="3" t="inlineStr">
        <is>
          <t>residuo</t>
        </is>
      </c>
      <c r="E1079" s="3" t="inlineStr">
        <is>
          <t>regional_ccaa_ols</t>
        </is>
      </c>
      <c r="F1079" s="3" t="inlineStr">
        <is>
          <t>ols_solo_factor</t>
        </is>
      </c>
      <c r="G1079" s="3" t="n">
        <v>1.23416</v>
      </c>
      <c r="H1079" s="3" t="n">
        <v>14.4948</v>
      </c>
      <c r="I1079" s="3" t="n"/>
      <c r="J1079" s="3" t="n"/>
      <c r="K1079" s="3" t="n">
        <v>1.49674</v>
      </c>
      <c r="L1079" s="3" t="n"/>
      <c r="M1079" s="3" t="inlineStr">
        <is>
          <t>no</t>
        </is>
      </c>
      <c r="N1079" s="3" t="inlineStr">
        <is>
          <t>no designado (contraste C4: no hay svar_hd regional)</t>
        </is>
      </c>
      <c r="O1079" s="3" t="inlineStr">
        <is>
          <t>CCAA: ranking por c_f·sign(dY) del panel FE (M8); asociacion, sin lectura causal; el factor comun es un resumen de comovimiento (pendiente ~1 mecanica, J23)</t>
        </is>
      </c>
      <c r="P1079" s="3" t="inlineStr">
        <is>
          <t>output/v8/F5/regional_ranking.csv</t>
        </is>
      </c>
    </row>
    <row r="1080">
      <c r="A1080" s="3" t="inlineStr">
        <is>
          <t>compra</t>
        </is>
      </c>
      <c r="B1080" s="3" t="inlineStr">
        <is>
          <t>ccaa:15</t>
        </is>
      </c>
      <c r="C1080" s="3" t="inlineStr">
        <is>
          <t>P5</t>
        </is>
      </c>
      <c r="D1080" s="3" t="inlineStr">
        <is>
          <t>factor_comun</t>
        </is>
      </c>
      <c r="E1080" s="3" t="inlineStr">
        <is>
          <t>regional_panel</t>
        </is>
      </c>
      <c r="F1080" s="3" t="inlineStr">
        <is>
          <t>panel_covariables</t>
        </is>
      </c>
      <c r="G1080" s="3" t="n">
        <v>1.50215</v>
      </c>
      <c r="H1080" s="3" t="n">
        <v>100.361</v>
      </c>
      <c r="I1080" s="3" t="n">
        <v>-1.20824</v>
      </c>
      <c r="J1080" s="3" t="n">
        <v>4.46537</v>
      </c>
      <c r="K1080" s="3" t="n">
        <v>1.49674</v>
      </c>
      <c r="L1080" s="3" t="n"/>
      <c r="M1080" s="3" t="inlineStr">
        <is>
          <t>no</t>
        </is>
      </c>
      <c r="N1080" s="3" t="inlineStr">
        <is>
          <t>no designado (contraste C4: no hay svar_hd regional)</t>
        </is>
      </c>
      <c r="O1080" s="3" t="inlineStr">
        <is>
          <t>CCAA: ranking por c_f·sign(dY) del panel FE (M8); asociacion, sin lectura causal; el factor comun es un resumen de comovimiento (pendiente ~1 mecanica, J23)</t>
        </is>
      </c>
      <c r="P1080" s="3" t="inlineStr">
        <is>
          <t>output/v8/F5/regional_ranking.csv</t>
        </is>
      </c>
    </row>
    <row r="1081">
      <c r="A1081" s="3" t="inlineStr">
        <is>
          <t>compra</t>
        </is>
      </c>
      <c r="B1081" s="3" t="inlineStr">
        <is>
          <t>ccaa:15</t>
        </is>
      </c>
      <c r="C1081" s="3" t="inlineStr">
        <is>
          <t>P5</t>
        </is>
      </c>
      <c r="D1081" s="3" t="inlineStr">
        <is>
          <t>empleo_renta</t>
        </is>
      </c>
      <c r="E1081" s="3" t="inlineStr">
        <is>
          <t>regional_panel</t>
        </is>
      </c>
      <c r="F1081" s="3" t="inlineStr">
        <is>
          <t>panel_covariables</t>
        </is>
      </c>
      <c r="G1081" s="3" t="n">
        <v>0.869236</v>
      </c>
      <c r="H1081" s="3" t="n">
        <v>58.0752</v>
      </c>
      <c r="I1081" s="3" t="n">
        <v>0.488173</v>
      </c>
      <c r="J1081" s="3" t="n">
        <v>1.77587</v>
      </c>
      <c r="K1081" s="3" t="n">
        <v>1.49674</v>
      </c>
      <c r="L1081" s="3" t="n">
        <v>1</v>
      </c>
      <c r="M1081" s="3" t="inlineStr">
        <is>
          <t>si</t>
        </is>
      </c>
      <c r="N1081" s="3" t="inlineStr">
        <is>
          <t>no designado (contraste C4: no hay svar_hd regional)</t>
        </is>
      </c>
      <c r="O1081" s="3" t="inlineStr">
        <is>
          <t>CCAA: ranking por c_f·sign(dY) del panel FE (M8); asociacion, sin lectura causal; el factor comun es un resumen de comovimiento (pendiente ~1 mecanica, J23)</t>
        </is>
      </c>
      <c r="P1081" s="3" t="inlineStr">
        <is>
          <t>output/v8/F5/regional_ranking.csv</t>
        </is>
      </c>
    </row>
    <row r="1082">
      <c r="A1082" s="3" t="inlineStr">
        <is>
          <t>compra</t>
        </is>
      </c>
      <c r="B1082" s="3" t="inlineStr">
        <is>
          <t>ccaa:15</t>
        </is>
      </c>
      <c r="C1082" s="3" t="inlineStr">
        <is>
          <t>P5</t>
        </is>
      </c>
      <c r="D1082" s="3" t="inlineStr">
        <is>
          <t>demografia</t>
        </is>
      </c>
      <c r="E1082" s="3" t="inlineStr">
        <is>
          <t>regional_panel</t>
        </is>
      </c>
      <c r="F1082" s="3" t="inlineStr">
        <is>
          <t>panel_covariables</t>
        </is>
      </c>
      <c r="G1082" s="3" t="n">
        <v>-0.704843</v>
      </c>
      <c r="H1082" s="3" t="n">
        <v>-47.0918</v>
      </c>
      <c r="I1082" s="3" t="n">
        <v>-3.89082</v>
      </c>
      <c r="J1082" s="3" t="n">
        <v>1.95394</v>
      </c>
      <c r="K1082" s="3" t="n">
        <v>1.49674</v>
      </c>
      <c r="L1082" s="3" t="n">
        <v>4</v>
      </c>
      <c r="M1082" s="3" t="inlineStr">
        <is>
          <t>si</t>
        </is>
      </c>
      <c r="N1082" s="3" t="inlineStr">
        <is>
          <t>no designado (contraste C4: no hay svar_hd regional)</t>
        </is>
      </c>
      <c r="O1082" s="3" t="inlineStr">
        <is>
          <t>CCAA: ranking por c_f·sign(dY) del panel FE (M8); asociacion, sin lectura causal; el factor comun es un resumen de comovimiento (pendiente ~1 mecanica, J23)</t>
        </is>
      </c>
      <c r="P1082" s="3" t="inlineStr">
        <is>
          <t>output/v8/F5/regional_ranking.csv</t>
        </is>
      </c>
    </row>
    <row r="1083">
      <c r="A1083" s="3" t="inlineStr">
        <is>
          <t>compra</t>
        </is>
      </c>
      <c r="B1083" s="3" t="inlineStr">
        <is>
          <t>ccaa:15</t>
        </is>
      </c>
      <c r="C1083" s="3" t="inlineStr">
        <is>
          <t>P5</t>
        </is>
      </c>
      <c r="D1083" s="3" t="inlineStr">
        <is>
          <t>oferta</t>
        </is>
      </c>
      <c r="E1083" s="3" t="inlineStr">
        <is>
          <t>regional_panel</t>
        </is>
      </c>
      <c r="F1083" s="3" t="inlineStr">
        <is>
          <t>panel_covariables</t>
        </is>
      </c>
      <c r="G1083" s="3" t="n">
        <v>0.00047271</v>
      </c>
      <c r="H1083" s="3" t="n">
        <v>0.0315826</v>
      </c>
      <c r="I1083" s="3" t="n">
        <v>-0.18822</v>
      </c>
      <c r="J1083" s="3" t="n">
        <v>0.109291</v>
      </c>
      <c r="K1083" s="3" t="n">
        <v>1.49674</v>
      </c>
      <c r="L1083" s="3" t="n">
        <v>3</v>
      </c>
      <c r="M1083" s="3" t="inlineStr">
        <is>
          <t>si</t>
        </is>
      </c>
      <c r="N1083" s="3" t="inlineStr">
        <is>
          <t>no designado (contraste C4: no hay svar_hd regional)</t>
        </is>
      </c>
      <c r="O1083" s="3" t="inlineStr">
        <is>
          <t>CCAA: ranking por c_f·sign(dY) del panel FE (M8); asociacion, sin lectura causal; el factor comun es un resumen de comovimiento (pendiente ~1 mecanica, J23)</t>
        </is>
      </c>
      <c r="P1083" s="3" t="inlineStr">
        <is>
          <t>output/v8/F5/regional_ranking.csv</t>
        </is>
      </c>
    </row>
    <row r="1084">
      <c r="A1084" s="3" t="inlineStr">
        <is>
          <t>compra</t>
        </is>
      </c>
      <c r="B1084" s="3" t="inlineStr">
        <is>
          <t>ccaa:15</t>
        </is>
      </c>
      <c r="C1084" s="3" t="inlineStr">
        <is>
          <t>P5</t>
        </is>
      </c>
      <c r="D1084" s="3" t="inlineStr">
        <is>
          <t>demanda_externa</t>
        </is>
      </c>
      <c r="E1084" s="3" t="inlineStr">
        <is>
          <t>regional_panel</t>
        </is>
      </c>
      <c r="F1084" s="3" t="inlineStr">
        <is>
          <t>panel_covariables</t>
        </is>
      </c>
      <c r="G1084" s="3" t="n">
        <v>0.0129376</v>
      </c>
      <c r="H1084" s="3" t="n">
        <v>0.864381</v>
      </c>
      <c r="I1084" s="3" t="n">
        <v>-0.138265</v>
      </c>
      <c r="J1084" s="3" t="n">
        <v>0.177118</v>
      </c>
      <c r="K1084" s="3" t="n">
        <v>1.49674</v>
      </c>
      <c r="L1084" s="3" t="n">
        <v>2</v>
      </c>
      <c r="M1084" s="3" t="inlineStr">
        <is>
          <t>si</t>
        </is>
      </c>
      <c r="N1084" s="3" t="inlineStr">
        <is>
          <t>no designado (contraste C4: no hay svar_hd regional)</t>
        </is>
      </c>
      <c r="O1084" s="3" t="inlineStr">
        <is>
          <t>CCAA: ranking por c_f·sign(dY) del panel FE (M8); asociacion, sin lectura causal; el factor comun es un resumen de comovimiento (pendiente ~1 mecanica, J23)</t>
        </is>
      </c>
      <c r="P1084" s="3" t="inlineStr">
        <is>
          <t>output/v8/F5/regional_ranking.csv</t>
        </is>
      </c>
    </row>
    <row r="1085">
      <c r="A1085" s="3" t="inlineStr">
        <is>
          <t>compra</t>
        </is>
      </c>
      <c r="B1085" s="3" t="inlineStr">
        <is>
          <t>ccaa:15</t>
        </is>
      </c>
      <c r="C1085" s="3" t="inlineStr">
        <is>
          <t>P5</t>
        </is>
      </c>
      <c r="D1085" s="3" t="inlineStr">
        <is>
          <t>residuo</t>
        </is>
      </c>
      <c r="E1085" s="3" t="inlineStr">
        <is>
          <t>regional_panel</t>
        </is>
      </c>
      <c r="F1085" s="3" t="inlineStr">
        <is>
          <t>panel_covariables</t>
        </is>
      </c>
      <c r="G1085" s="3" t="n">
        <v>-0.18321</v>
      </c>
      <c r="H1085" s="3" t="n">
        <v>-12.2406</v>
      </c>
      <c r="I1085" s="3" t="n">
        <v>-4.85349</v>
      </c>
      <c r="J1085" s="3" t="n">
        <v>4.62898</v>
      </c>
      <c r="K1085" s="3" t="n">
        <v>1.49674</v>
      </c>
      <c r="L1085" s="3" t="n"/>
      <c r="M1085" s="3" t="inlineStr">
        <is>
          <t>no</t>
        </is>
      </c>
      <c r="N1085" s="3" t="inlineStr">
        <is>
          <t>no designado (contraste C4: no hay svar_hd regional)</t>
        </is>
      </c>
      <c r="O1085" s="3" t="inlineStr">
        <is>
          <t>CCAA: ranking por c_f·sign(dY) del panel FE (M8); asociacion, sin lectura causal; el factor comun es un resumen de comovimiento (pendiente ~1 mecanica, J23)</t>
        </is>
      </c>
      <c r="P1085" s="3" t="inlineStr">
        <is>
          <t>output/v8/F5/regional_ranking.csv</t>
        </is>
      </c>
    </row>
    <row r="1086">
      <c r="A1086" s="3" t="inlineStr">
        <is>
          <t>compra</t>
        </is>
      </c>
      <c r="B1086" s="3" t="inlineStr">
        <is>
          <t>ccaa:16</t>
        </is>
      </c>
      <c r="C1086" s="3" t="inlineStr">
        <is>
          <t>P1</t>
        </is>
      </c>
      <c r="D1086" s="3" t="inlineStr">
        <is>
          <t>factor_comun</t>
        </is>
      </c>
      <c r="E1086" s="3" t="inlineStr">
        <is>
          <t>regional_ccaa_ols</t>
        </is>
      </c>
      <c r="F1086" s="3" t="inlineStr">
        <is>
          <t>ols_solo_factor</t>
        </is>
      </c>
      <c r="G1086" s="3" t="n">
        <v>78.24509999999999</v>
      </c>
      <c r="H1086" s="3" t="n">
        <v>96.07259999999999</v>
      </c>
      <c r="I1086" s="3" t="n">
        <v>60.9418</v>
      </c>
      <c r="J1086" s="3" t="n">
        <v>95.49379999999999</v>
      </c>
      <c r="K1086" s="3" t="n">
        <v>81.44370000000001</v>
      </c>
      <c r="L1086" s="3" t="n"/>
      <c r="M1086" s="3" t="inlineStr">
        <is>
          <t>no</t>
        </is>
      </c>
      <c r="N1086" s="3" t="inlineStr">
        <is>
          <t>no designado (contraste C4: no hay svar_hd regional)</t>
        </is>
      </c>
      <c r="O1086" s="3" t="inlineStr">
        <is>
          <t>CCAA: ranking por c_f·sign(dY) del panel FE (M8); asociacion, sin lectura causal; el factor comun es un resumen de comovimiento (pendiente ~1 mecanica, J23)</t>
        </is>
      </c>
      <c r="P1086" s="3" t="inlineStr">
        <is>
          <t>output/v8/F5/regional_ranking.csv</t>
        </is>
      </c>
    </row>
    <row r="1087">
      <c r="A1087" s="3" t="inlineStr">
        <is>
          <t>compra</t>
        </is>
      </c>
      <c r="B1087" s="3" t="inlineStr">
        <is>
          <t>ccaa:16</t>
        </is>
      </c>
      <c r="C1087" s="3" t="inlineStr">
        <is>
          <t>P1</t>
        </is>
      </c>
      <c r="D1087" s="3" t="inlineStr">
        <is>
          <t>residuo</t>
        </is>
      </c>
      <c r="E1087" s="3" t="inlineStr">
        <is>
          <t>regional_ccaa_ols</t>
        </is>
      </c>
      <c r="F1087" s="3" t="inlineStr">
        <is>
          <t>ols_solo_factor</t>
        </is>
      </c>
      <c r="G1087" s="3" t="n">
        <v>3.19865</v>
      </c>
      <c r="H1087" s="3" t="n">
        <v>3.92744</v>
      </c>
      <c r="I1087" s="3" t="n"/>
      <c r="J1087" s="3" t="n"/>
      <c r="K1087" s="3" t="n">
        <v>81.44370000000001</v>
      </c>
      <c r="L1087" s="3" t="n"/>
      <c r="M1087" s="3" t="inlineStr">
        <is>
          <t>no</t>
        </is>
      </c>
      <c r="N1087" s="3" t="inlineStr">
        <is>
          <t>no designado (contraste C4: no hay svar_hd regional)</t>
        </is>
      </c>
      <c r="O1087" s="3" t="inlineStr">
        <is>
          <t>CCAA: ranking por c_f·sign(dY) del panel FE (M8); asociacion, sin lectura causal; el factor comun es un resumen de comovimiento (pendiente ~1 mecanica, J23)</t>
        </is>
      </c>
      <c r="P1087" s="3" t="inlineStr">
        <is>
          <t>output/v8/F5/regional_ranking.csv</t>
        </is>
      </c>
    </row>
    <row r="1088">
      <c r="A1088" s="3" t="inlineStr">
        <is>
          <t>compra</t>
        </is>
      </c>
      <c r="B1088" s="3" t="inlineStr">
        <is>
          <t>ccaa:16</t>
        </is>
      </c>
      <c r="C1088" s="3" t="inlineStr">
        <is>
          <t>P1</t>
        </is>
      </c>
      <c r="D1088" s="3" t="inlineStr">
        <is>
          <t>factor_comun</t>
        </is>
      </c>
      <c r="E1088" s="3" t="inlineStr">
        <is>
          <t>regional_panel</t>
        </is>
      </c>
      <c r="F1088" s="3" t="inlineStr">
        <is>
          <t>panel_covariables</t>
        </is>
      </c>
      <c r="G1088" s="3" t="n">
        <v>74.3853</v>
      </c>
      <c r="H1088" s="3" t="n">
        <v>91.33329999999999</v>
      </c>
      <c r="I1088" s="3" t="n">
        <v>63.2347</v>
      </c>
      <c r="J1088" s="3" t="n">
        <v>88.0656</v>
      </c>
      <c r="K1088" s="3" t="n">
        <v>81.44370000000001</v>
      </c>
      <c r="L1088" s="3" t="n"/>
      <c r="M1088" s="3" t="inlineStr">
        <is>
          <t>no</t>
        </is>
      </c>
      <c r="N1088" s="3" t="inlineStr">
        <is>
          <t>no designado (contraste C4: no hay svar_hd regional)</t>
        </is>
      </c>
      <c r="O1088" s="3" t="inlineStr">
        <is>
          <t>CCAA: ranking por c_f·sign(dY) del panel FE (M8); asociacion, sin lectura causal; el factor comun es un resumen de comovimiento (pendiente ~1 mecanica, J23)</t>
        </is>
      </c>
      <c r="P1088" s="3" t="inlineStr">
        <is>
          <t>output/v8/F5/regional_ranking.csv</t>
        </is>
      </c>
    </row>
    <row r="1089">
      <c r="A1089" s="3" t="inlineStr">
        <is>
          <t>compra</t>
        </is>
      </c>
      <c r="B1089" s="3" t="inlineStr">
        <is>
          <t>ccaa:16</t>
        </is>
      </c>
      <c r="C1089" s="3" t="inlineStr">
        <is>
          <t>P1</t>
        </is>
      </c>
      <c r="D1089" s="3" t="inlineStr">
        <is>
          <t>residuo</t>
        </is>
      </c>
      <c r="E1089" s="3" t="inlineStr">
        <is>
          <t>regional_panel</t>
        </is>
      </c>
      <c r="F1089" s="3" t="inlineStr">
        <is>
          <t>panel_covariables</t>
        </is>
      </c>
      <c r="G1089" s="3" t="n">
        <v>7.05849</v>
      </c>
      <c r="H1089" s="3" t="n">
        <v>8.666700000000001</v>
      </c>
      <c r="I1089" s="3" t="n">
        <v>-3.22138</v>
      </c>
      <c r="J1089" s="3" t="n">
        <v>17.6406</v>
      </c>
      <c r="K1089" s="3" t="n">
        <v>81.44370000000001</v>
      </c>
      <c r="L1089" s="3" t="n"/>
      <c r="M1089" s="3" t="inlineStr">
        <is>
          <t>no</t>
        </is>
      </c>
      <c r="N1089" s="3" t="inlineStr">
        <is>
          <t>no designado (contraste C4: no hay svar_hd regional)</t>
        </is>
      </c>
      <c r="O1089" s="3" t="inlineStr">
        <is>
          <t>CCAA: ranking por c_f·sign(dY) del panel FE (M8); asociacion, sin lectura causal; el factor comun es un resumen de comovimiento (pendiente ~1 mecanica, J23)</t>
        </is>
      </c>
      <c r="P1089" s="3" t="inlineStr">
        <is>
          <t>output/v8/F5/regional_ranking.csv</t>
        </is>
      </c>
    </row>
    <row r="1090">
      <c r="A1090" s="3" t="inlineStr">
        <is>
          <t>compra</t>
        </is>
      </c>
      <c r="B1090" s="3" t="inlineStr">
        <is>
          <t>ccaa:16</t>
        </is>
      </c>
      <c r="C1090" s="3" t="inlineStr">
        <is>
          <t>P2</t>
        </is>
      </c>
      <c r="D1090" s="3" t="inlineStr">
        <is>
          <t>factor_comun</t>
        </is>
      </c>
      <c r="E1090" s="3" t="inlineStr">
        <is>
          <t>regional_ccaa_ols</t>
        </is>
      </c>
      <c r="F1090" s="3" t="inlineStr">
        <is>
          <t>ols_solo_factor</t>
        </is>
      </c>
      <c r="G1090" s="3" t="n">
        <v>-0.412174</v>
      </c>
      <c r="H1090" s="3" t="n">
        <v>1.46199</v>
      </c>
      <c r="I1090" s="3" t="n">
        <v>-10.6178</v>
      </c>
      <c r="J1090" s="3" t="n">
        <v>4.96558</v>
      </c>
      <c r="K1090" s="3" t="n">
        <v>-26.3598</v>
      </c>
      <c r="L1090" s="3" t="n"/>
      <c r="M1090" s="3" t="inlineStr">
        <is>
          <t>no</t>
        </is>
      </c>
      <c r="N1090" s="3" t="inlineStr">
        <is>
          <t>no designado (contraste C4: no hay svar_hd regional)</t>
        </is>
      </c>
      <c r="O1090" s="3" t="inlineStr">
        <is>
          <t>CCAA: ranking por c_f·sign(dY) del panel FE (M8); asociacion, sin lectura causal; el factor comun es un resumen de comovimiento (pendiente ~1 mecanica, J23)</t>
        </is>
      </c>
      <c r="P1090" s="3" t="inlineStr">
        <is>
          <t>output/v8/F5/regional_ranking.csv</t>
        </is>
      </c>
    </row>
    <row r="1091">
      <c r="A1091" s="3" t="inlineStr">
        <is>
          <t>compra</t>
        </is>
      </c>
      <c r="B1091" s="3" t="inlineStr">
        <is>
          <t>ccaa:16</t>
        </is>
      </c>
      <c r="C1091" s="3" t="inlineStr">
        <is>
          <t>P2</t>
        </is>
      </c>
      <c r="D1091" s="3" t="inlineStr">
        <is>
          <t>residuo</t>
        </is>
      </c>
      <c r="E1091" s="3" t="inlineStr">
        <is>
          <t>regional_ccaa_ols</t>
        </is>
      </c>
      <c r="F1091" s="3" t="inlineStr">
        <is>
          <t>ols_solo_factor</t>
        </is>
      </c>
      <c r="G1091" s="3" t="n">
        <v>-27.7804</v>
      </c>
      <c r="H1091" s="3" t="n">
        <v>98.538</v>
      </c>
      <c r="I1091" s="3" t="n"/>
      <c r="J1091" s="3" t="n"/>
      <c r="K1091" s="3" t="n">
        <v>-26.3598</v>
      </c>
      <c r="L1091" s="3" t="n"/>
      <c r="M1091" s="3" t="inlineStr">
        <is>
          <t>no</t>
        </is>
      </c>
      <c r="N1091" s="3" t="inlineStr">
        <is>
          <t>no designado (contraste C4: no hay svar_hd regional)</t>
        </is>
      </c>
      <c r="O1091" s="3" t="inlineStr">
        <is>
          <t>CCAA: ranking por c_f·sign(dY) del panel FE (M8); asociacion, sin lectura causal; el factor comun es un resumen de comovimiento (pendiente ~1 mecanica, J23)</t>
        </is>
      </c>
      <c r="P1091" s="3" t="inlineStr">
        <is>
          <t>output/v8/F5/regional_ranking.csv</t>
        </is>
      </c>
    </row>
    <row r="1092">
      <c r="A1092" s="3" t="inlineStr">
        <is>
          <t>compra</t>
        </is>
      </c>
      <c r="B1092" s="3" t="inlineStr">
        <is>
          <t>ccaa:16</t>
        </is>
      </c>
      <c r="C1092" s="3" t="inlineStr">
        <is>
          <t>P2</t>
        </is>
      </c>
      <c r="D1092" s="3" t="inlineStr">
        <is>
          <t>factor_comun</t>
        </is>
      </c>
      <c r="E1092" s="3" t="inlineStr">
        <is>
          <t>regional_panel</t>
        </is>
      </c>
      <c r="F1092" s="3" t="inlineStr">
        <is>
          <t>panel_covariables</t>
        </is>
      </c>
      <c r="G1092" s="3" t="n">
        <v>-35.0812</v>
      </c>
      <c r="H1092" s="3" t="n">
        <v>133.086</v>
      </c>
      <c r="I1092" s="3" t="n">
        <v>-41.5124</v>
      </c>
      <c r="J1092" s="3" t="n">
        <v>-30.6884</v>
      </c>
      <c r="K1092" s="3" t="n">
        <v>-26.3598</v>
      </c>
      <c r="L1092" s="3" t="n"/>
      <c r="M1092" s="3" t="inlineStr">
        <is>
          <t>no</t>
        </is>
      </c>
      <c r="N1092" s="3" t="inlineStr">
        <is>
          <t>no designado (contraste C4: no hay svar_hd regional)</t>
        </is>
      </c>
      <c r="O1092" s="3" t="inlineStr">
        <is>
          <t>CCAA: ranking por c_f·sign(dY) del panel FE (M8); asociacion, sin lectura causal; el factor comun es un resumen de comovimiento (pendiente ~1 mecanica, J23)</t>
        </is>
      </c>
      <c r="P1092" s="3" t="inlineStr">
        <is>
          <t>output/v8/F5/regional_ranking.csv</t>
        </is>
      </c>
    </row>
    <row r="1093">
      <c r="A1093" s="3" t="inlineStr">
        <is>
          <t>compra</t>
        </is>
      </c>
      <c r="B1093" s="3" t="inlineStr">
        <is>
          <t>ccaa:16</t>
        </is>
      </c>
      <c r="C1093" s="3" t="inlineStr">
        <is>
          <t>P2</t>
        </is>
      </c>
      <c r="D1093" s="3" t="inlineStr">
        <is>
          <t>empleo_renta</t>
        </is>
      </c>
      <c r="E1093" s="3" t="inlineStr">
        <is>
          <t>regional_panel</t>
        </is>
      </c>
      <c r="F1093" s="3" t="inlineStr">
        <is>
          <t>panel_covariables</t>
        </is>
      </c>
      <c r="G1093" s="3" t="n">
        <v>-0.644039</v>
      </c>
      <c r="H1093" s="3" t="n">
        <v>2.44326</v>
      </c>
      <c r="I1093" s="3" t="n">
        <v>-1.53804</v>
      </c>
      <c r="J1093" s="3" t="n">
        <v>0.217022</v>
      </c>
      <c r="K1093" s="3" t="n">
        <v>-26.3598</v>
      </c>
      <c r="L1093" s="3" t="n">
        <v>1</v>
      </c>
      <c r="M1093" s="3" t="inlineStr">
        <is>
          <t>si</t>
        </is>
      </c>
      <c r="N1093" s="3" t="inlineStr">
        <is>
          <t>no designado (contraste C4: no hay svar_hd regional)</t>
        </is>
      </c>
      <c r="O1093" s="3" t="inlineStr">
        <is>
          <t>CCAA: ranking por c_f·sign(dY) del panel FE (M8); asociacion, sin lectura causal; el factor comun es un resumen de comovimiento (pendiente ~1 mecanica, J23)</t>
        </is>
      </c>
      <c r="P1093" s="3" t="inlineStr">
        <is>
          <t>output/v8/F5/regional_ranking.csv</t>
        </is>
      </c>
    </row>
    <row r="1094">
      <c r="A1094" s="3" t="inlineStr">
        <is>
          <t>compra</t>
        </is>
      </c>
      <c r="B1094" s="3" t="inlineStr">
        <is>
          <t>ccaa:16</t>
        </is>
      </c>
      <c r="C1094" s="3" t="inlineStr">
        <is>
          <t>P2</t>
        </is>
      </c>
      <c r="D1094" s="3" t="inlineStr">
        <is>
          <t>demografia</t>
        </is>
      </c>
      <c r="E1094" s="3" t="inlineStr">
        <is>
          <t>regional_panel</t>
        </is>
      </c>
      <c r="F1094" s="3" t="inlineStr">
        <is>
          <t>panel_covariables</t>
        </is>
      </c>
      <c r="G1094" s="3" t="n">
        <v>0.572462</v>
      </c>
      <c r="H1094" s="3" t="n">
        <v>-2.17172</v>
      </c>
      <c r="I1094" s="3" t="n">
        <v>-0.774798</v>
      </c>
      <c r="J1094" s="3" t="n">
        <v>1.88558</v>
      </c>
      <c r="K1094" s="3" t="n">
        <v>-26.3598</v>
      </c>
      <c r="L1094" s="3" t="n">
        <v>4</v>
      </c>
      <c r="M1094" s="3" t="inlineStr">
        <is>
          <t>si</t>
        </is>
      </c>
      <c r="N1094" s="3" t="inlineStr">
        <is>
          <t>no designado (contraste C4: no hay svar_hd regional)</t>
        </is>
      </c>
      <c r="O1094" s="3" t="inlineStr">
        <is>
          <t>CCAA: ranking por c_f·sign(dY) del panel FE (M8); asociacion, sin lectura causal; el factor comun es un resumen de comovimiento (pendiente ~1 mecanica, J23)</t>
        </is>
      </c>
      <c r="P1094" s="3" t="inlineStr">
        <is>
          <t>output/v8/F5/regional_ranking.csv</t>
        </is>
      </c>
    </row>
    <row r="1095">
      <c r="A1095" s="3" t="inlineStr">
        <is>
          <t>compra</t>
        </is>
      </c>
      <c r="B1095" s="3" t="inlineStr">
        <is>
          <t>ccaa:16</t>
        </is>
      </c>
      <c r="C1095" s="3" t="inlineStr">
        <is>
          <t>P2</t>
        </is>
      </c>
      <c r="D1095" s="3" t="inlineStr">
        <is>
          <t>oferta</t>
        </is>
      </c>
      <c r="E1095" s="3" t="inlineStr">
        <is>
          <t>regional_panel</t>
        </is>
      </c>
      <c r="F1095" s="3" t="inlineStr">
        <is>
          <t>panel_covariables</t>
        </is>
      </c>
      <c r="G1095" s="3" t="n">
        <v>-0.032482</v>
      </c>
      <c r="H1095" s="3" t="n">
        <v>0.123225</v>
      </c>
      <c r="I1095" s="3" t="n">
        <v>-0.285175</v>
      </c>
      <c r="J1095" s="3" t="n">
        <v>0.176978</v>
      </c>
      <c r="K1095" s="3" t="n">
        <v>-26.3598</v>
      </c>
      <c r="L1095" s="3" t="n">
        <v>2</v>
      </c>
      <c r="M1095" s="3" t="inlineStr">
        <is>
          <t>si</t>
        </is>
      </c>
      <c r="N1095" s="3" t="inlineStr">
        <is>
          <t>no designado (contraste C4: no hay svar_hd regional)</t>
        </is>
      </c>
      <c r="O1095" s="3" t="inlineStr">
        <is>
          <t>CCAA: ranking por c_f·sign(dY) del panel FE (M8); asociacion, sin lectura causal; el factor comun es un resumen de comovimiento (pendiente ~1 mecanica, J23)</t>
        </is>
      </c>
      <c r="P1095" s="3" t="inlineStr">
        <is>
          <t>output/v8/F5/regional_ranking.csv</t>
        </is>
      </c>
    </row>
    <row r="1096">
      <c r="A1096" s="3" t="inlineStr">
        <is>
          <t>compra</t>
        </is>
      </c>
      <c r="B1096" s="3" t="inlineStr">
        <is>
          <t>ccaa:16</t>
        </is>
      </c>
      <c r="C1096" s="3" t="inlineStr">
        <is>
          <t>P2</t>
        </is>
      </c>
      <c r="D1096" s="3" t="inlineStr">
        <is>
          <t>demanda_externa</t>
        </is>
      </c>
      <c r="E1096" s="3" t="inlineStr">
        <is>
          <t>regional_panel</t>
        </is>
      </c>
      <c r="F1096" s="3" t="inlineStr">
        <is>
          <t>panel_covariables</t>
        </is>
      </c>
      <c r="G1096" s="3" t="n">
        <v>0.129831</v>
      </c>
      <c r="H1096" s="3" t="n">
        <v>-0.492535</v>
      </c>
      <c r="I1096" s="3" t="n">
        <v>-0.440298</v>
      </c>
      <c r="J1096" s="3" t="n">
        <v>1.38479</v>
      </c>
      <c r="K1096" s="3" t="n">
        <v>-26.3598</v>
      </c>
      <c r="L1096" s="3" t="n">
        <v>3</v>
      </c>
      <c r="M1096" s="3" t="inlineStr">
        <is>
          <t>si</t>
        </is>
      </c>
      <c r="N1096" s="3" t="inlineStr">
        <is>
          <t>no designado (contraste C4: no hay svar_hd regional)</t>
        </is>
      </c>
      <c r="O1096" s="3" t="inlineStr">
        <is>
          <t>CCAA: ranking por c_f·sign(dY) del panel FE (M8); asociacion, sin lectura causal; el factor comun es un resumen de comovimiento (pendiente ~1 mecanica, J23)</t>
        </is>
      </c>
      <c r="P1096" s="3" t="inlineStr">
        <is>
          <t>output/v8/F5/regional_ranking.csv</t>
        </is>
      </c>
    </row>
    <row r="1097">
      <c r="A1097" s="3" t="inlineStr">
        <is>
          <t>compra</t>
        </is>
      </c>
      <c r="B1097" s="3" t="inlineStr">
        <is>
          <t>ccaa:16</t>
        </is>
      </c>
      <c r="C1097" s="3" t="inlineStr">
        <is>
          <t>P2</t>
        </is>
      </c>
      <c r="D1097" s="3" t="inlineStr">
        <is>
          <t>residuo</t>
        </is>
      </c>
      <c r="E1097" s="3" t="inlineStr">
        <is>
          <t>regional_panel</t>
        </is>
      </c>
      <c r="F1097" s="3" t="inlineStr">
        <is>
          <t>panel_covariables</t>
        </is>
      </c>
      <c r="G1097" s="3" t="n">
        <v>8.69558</v>
      </c>
      <c r="H1097" s="3" t="n">
        <v>-32.988</v>
      </c>
      <c r="I1097" s="3" t="n">
        <v>1.8503</v>
      </c>
      <c r="J1097" s="3" t="n">
        <v>17.4326</v>
      </c>
      <c r="K1097" s="3" t="n">
        <v>-26.3598</v>
      </c>
      <c r="L1097" s="3" t="n"/>
      <c r="M1097" s="3" t="inlineStr">
        <is>
          <t>no</t>
        </is>
      </c>
      <c r="N1097" s="3" t="inlineStr">
        <is>
          <t>no designado (contraste C4: no hay svar_hd regional)</t>
        </is>
      </c>
      <c r="O1097" s="3" t="inlineStr">
        <is>
          <t>CCAA: ranking por c_f·sign(dY) del panel FE (M8); asociacion, sin lectura causal; el factor comun es un resumen de comovimiento (pendiente ~1 mecanica, J23)</t>
        </is>
      </c>
      <c r="P1097" s="3" t="inlineStr">
        <is>
          <t>output/v8/F5/regional_ranking.csv</t>
        </is>
      </c>
    </row>
    <row r="1098">
      <c r="A1098" s="3" t="inlineStr">
        <is>
          <t>compra</t>
        </is>
      </c>
      <c r="B1098" s="3" t="inlineStr">
        <is>
          <t>ccaa:16</t>
        </is>
      </c>
      <c r="C1098" s="3" t="inlineStr">
        <is>
          <t>P3</t>
        </is>
      </c>
      <c r="D1098" s="3" t="inlineStr">
        <is>
          <t>factor_comun</t>
        </is>
      </c>
      <c r="E1098" s="3" t="inlineStr">
        <is>
          <t>regional_ccaa_ols</t>
        </is>
      </c>
      <c r="F1098" s="3" t="inlineStr">
        <is>
          <t>ols_solo_factor</t>
        </is>
      </c>
      <c r="G1098" s="3" t="n">
        <v>-0.259139</v>
      </c>
      <c r="H1098" s="3" t="n">
        <v>3.41618</v>
      </c>
      <c r="I1098" s="3" t="n">
        <v>-2.11147</v>
      </c>
      <c r="J1098" s="3" t="n">
        <v>1.41301</v>
      </c>
      <c r="K1098" s="3" t="n">
        <v>-6.25998</v>
      </c>
      <c r="L1098" s="3" t="n"/>
      <c r="M1098" s="3" t="inlineStr">
        <is>
          <t>no</t>
        </is>
      </c>
      <c r="N1098" s="3" t="inlineStr">
        <is>
          <t>no designado (contraste C4: no hay svar_hd regional)</t>
        </is>
      </c>
      <c r="O1098" s="3" t="inlineStr">
        <is>
          <t>CCAA: ranking por c_f·sign(dY) del panel FE (M8); asociacion, sin lectura causal; el factor comun es un resumen de comovimiento (pendiente ~1 mecanica, J23)</t>
        </is>
      </c>
      <c r="P1098" s="3" t="inlineStr">
        <is>
          <t>output/v8/F5/regional_ranking.csv</t>
        </is>
      </c>
    </row>
    <row r="1099">
      <c r="A1099" s="3" t="inlineStr">
        <is>
          <t>compra</t>
        </is>
      </c>
      <c r="B1099" s="3" t="inlineStr">
        <is>
          <t>ccaa:16</t>
        </is>
      </c>
      <c r="C1099" s="3" t="inlineStr">
        <is>
          <t>P3</t>
        </is>
      </c>
      <c r="D1099" s="3" t="inlineStr">
        <is>
          <t>residuo</t>
        </is>
      </c>
      <c r="E1099" s="3" t="inlineStr">
        <is>
          <t>regional_ccaa_ols</t>
        </is>
      </c>
      <c r="F1099" s="3" t="inlineStr">
        <is>
          <t>ols_solo_factor</t>
        </is>
      </c>
      <c r="G1099" s="3" t="n">
        <v>-7.32648</v>
      </c>
      <c r="H1099" s="3" t="n">
        <v>96.5838</v>
      </c>
      <c r="I1099" s="3" t="n"/>
      <c r="J1099" s="3" t="n"/>
      <c r="K1099" s="3" t="n">
        <v>-6.25998</v>
      </c>
      <c r="L1099" s="3" t="n"/>
      <c r="M1099" s="3" t="inlineStr">
        <is>
          <t>no</t>
        </is>
      </c>
      <c r="N1099" s="3" t="inlineStr">
        <is>
          <t>no designado (contraste C4: no hay svar_hd regional)</t>
        </is>
      </c>
      <c r="O1099" s="3" t="inlineStr">
        <is>
          <t>CCAA: ranking por c_f·sign(dY) del panel FE (M8); asociacion, sin lectura causal; el factor comun es un resumen de comovimiento (pendiente ~1 mecanica, J23)</t>
        </is>
      </c>
      <c r="P1099" s="3" t="inlineStr">
        <is>
          <t>output/v8/F5/regional_ranking.csv</t>
        </is>
      </c>
    </row>
    <row r="1100">
      <c r="A1100" s="3" t="inlineStr">
        <is>
          <t>compra</t>
        </is>
      </c>
      <c r="B1100" s="3" t="inlineStr">
        <is>
          <t>ccaa:16</t>
        </is>
      </c>
      <c r="C1100" s="3" t="inlineStr">
        <is>
          <t>P3</t>
        </is>
      </c>
      <c r="D1100" s="3" t="inlineStr">
        <is>
          <t>factor_comun</t>
        </is>
      </c>
      <c r="E1100" s="3" t="inlineStr">
        <is>
          <t>regional_panel</t>
        </is>
      </c>
      <c r="F1100" s="3" t="inlineStr">
        <is>
          <t>panel_covariables</t>
        </is>
      </c>
      <c r="G1100" s="3" t="n">
        <v>-0.548472</v>
      </c>
      <c r="H1100" s="3" t="n">
        <v>8.761559999999999</v>
      </c>
      <c r="I1100" s="3" t="n">
        <v>-3.50001</v>
      </c>
      <c r="J1100" s="3" t="n">
        <v>2.45383</v>
      </c>
      <c r="K1100" s="3" t="n">
        <v>-6.25998</v>
      </c>
      <c r="L1100" s="3" t="n"/>
      <c r="M1100" s="3" t="inlineStr">
        <is>
          <t>no</t>
        </is>
      </c>
      <c r="N1100" s="3" t="inlineStr">
        <is>
          <t>no designado (contraste C4: no hay svar_hd regional)</t>
        </is>
      </c>
      <c r="O1100" s="3" t="inlineStr">
        <is>
          <t>CCAA: ranking por c_f·sign(dY) del panel FE (M8); asociacion, sin lectura causal; el factor comun es un resumen de comovimiento (pendiente ~1 mecanica, J23)</t>
        </is>
      </c>
      <c r="P1100" s="3" t="inlineStr">
        <is>
          <t>output/v8/F5/regional_ranking.csv</t>
        </is>
      </c>
    </row>
    <row r="1101">
      <c r="A1101" s="3" t="inlineStr">
        <is>
          <t>compra</t>
        </is>
      </c>
      <c r="B1101" s="3" t="inlineStr">
        <is>
          <t>ccaa:16</t>
        </is>
      </c>
      <c r="C1101" s="3" t="inlineStr">
        <is>
          <t>P3</t>
        </is>
      </c>
      <c r="D1101" s="3" t="inlineStr">
        <is>
          <t>empleo_renta</t>
        </is>
      </c>
      <c r="E1101" s="3" t="inlineStr">
        <is>
          <t>regional_panel</t>
        </is>
      </c>
      <c r="F1101" s="3" t="inlineStr">
        <is>
          <t>panel_covariables</t>
        </is>
      </c>
      <c r="G1101" s="3" t="n">
        <v>0.30439</v>
      </c>
      <c r="H1101" s="3" t="n">
        <v>-4.86247</v>
      </c>
      <c r="I1101" s="3" t="n">
        <v>-0.0607285</v>
      </c>
      <c r="J1101" s="3" t="n">
        <v>0.85159</v>
      </c>
      <c r="K1101" s="3" t="n">
        <v>-6.25998</v>
      </c>
      <c r="L1101" s="3" t="n">
        <v>2</v>
      </c>
      <c r="M1101" s="3" t="inlineStr">
        <is>
          <t>si</t>
        </is>
      </c>
      <c r="N1101" s="3" t="inlineStr">
        <is>
          <t>no designado (contraste C4: no hay svar_hd regional)</t>
        </is>
      </c>
      <c r="O1101" s="3" t="inlineStr">
        <is>
          <t>CCAA: ranking por c_f·sign(dY) del panel FE (M8); asociacion, sin lectura causal; el factor comun es un resumen de comovimiento (pendiente ~1 mecanica, J23)</t>
        </is>
      </c>
      <c r="P1101" s="3" t="inlineStr">
        <is>
          <t>output/v8/F5/regional_ranking.csv</t>
        </is>
      </c>
    </row>
    <row r="1102">
      <c r="A1102" s="3" t="inlineStr">
        <is>
          <t>compra</t>
        </is>
      </c>
      <c r="B1102" s="3" t="inlineStr">
        <is>
          <t>ccaa:16</t>
        </is>
      </c>
      <c r="C1102" s="3" t="inlineStr">
        <is>
          <t>P3</t>
        </is>
      </c>
      <c r="D1102" s="3" t="inlineStr">
        <is>
          <t>demografia</t>
        </is>
      </c>
      <c r="E1102" s="3" t="inlineStr">
        <is>
          <t>regional_panel</t>
        </is>
      </c>
      <c r="F1102" s="3" t="inlineStr">
        <is>
          <t>panel_covariables</t>
        </is>
      </c>
      <c r="G1102" s="3" t="n">
        <v>0.642182</v>
      </c>
      <c r="H1102" s="3" t="n">
        <v>-10.2585</v>
      </c>
      <c r="I1102" s="3" t="n">
        <v>0.342374</v>
      </c>
      <c r="J1102" s="3" t="n">
        <v>1.58527</v>
      </c>
      <c r="K1102" s="3" t="n">
        <v>-6.25998</v>
      </c>
      <c r="L1102" s="3" t="n">
        <v>3</v>
      </c>
      <c r="M1102" s="3" t="inlineStr">
        <is>
          <t>si</t>
        </is>
      </c>
      <c r="N1102" s="3" t="inlineStr">
        <is>
          <t>no designado (contraste C4: no hay svar_hd regional)</t>
        </is>
      </c>
      <c r="O1102" s="3" t="inlineStr">
        <is>
          <t>CCAA: ranking por c_f·sign(dY) del panel FE (M8); asociacion, sin lectura causal; el factor comun es un resumen de comovimiento (pendiente ~1 mecanica, J23)</t>
        </is>
      </c>
      <c r="P1102" s="3" t="inlineStr">
        <is>
          <t>output/v8/F5/regional_ranking.csv</t>
        </is>
      </c>
    </row>
    <row r="1103">
      <c r="A1103" s="3" t="inlineStr">
        <is>
          <t>compra</t>
        </is>
      </c>
      <c r="B1103" s="3" t="inlineStr">
        <is>
          <t>ccaa:16</t>
        </is>
      </c>
      <c r="C1103" s="3" t="inlineStr">
        <is>
          <t>P3</t>
        </is>
      </c>
      <c r="D1103" s="3" t="inlineStr">
        <is>
          <t>oferta</t>
        </is>
      </c>
      <c r="E1103" s="3" t="inlineStr">
        <is>
          <t>regional_panel</t>
        </is>
      </c>
      <c r="F1103" s="3" t="inlineStr">
        <is>
          <t>panel_covariables</t>
        </is>
      </c>
      <c r="G1103" s="3" t="n">
        <v>-0.268011</v>
      </c>
      <c r="H1103" s="3" t="n">
        <v>4.28134</v>
      </c>
      <c r="I1103" s="3" t="n">
        <v>-0.615486</v>
      </c>
      <c r="J1103" s="3" t="n">
        <v>0.0250759</v>
      </c>
      <c r="K1103" s="3" t="n">
        <v>-6.25998</v>
      </c>
      <c r="L1103" s="3" t="n">
        <v>1</v>
      </c>
      <c r="M1103" s="3" t="inlineStr">
        <is>
          <t>si</t>
        </is>
      </c>
      <c r="N1103" s="3" t="inlineStr">
        <is>
          <t>no designado (contraste C4: no hay svar_hd regional)</t>
        </is>
      </c>
      <c r="O1103" s="3" t="inlineStr">
        <is>
          <t>CCAA: ranking por c_f·sign(dY) del panel FE (M8); asociacion, sin lectura causal; el factor comun es un resumen de comovimiento (pendiente ~1 mecanica, J23)</t>
        </is>
      </c>
      <c r="P1103" s="3" t="inlineStr">
        <is>
          <t>output/v8/F5/regional_ranking.csv</t>
        </is>
      </c>
    </row>
    <row r="1104">
      <c r="A1104" s="3" t="inlineStr">
        <is>
          <t>compra</t>
        </is>
      </c>
      <c r="B1104" s="3" t="inlineStr">
        <is>
          <t>ccaa:16</t>
        </is>
      </c>
      <c r="C1104" s="3" t="inlineStr">
        <is>
          <t>P3</t>
        </is>
      </c>
      <c r="D1104" s="3" t="inlineStr">
        <is>
          <t>demanda_externa</t>
        </is>
      </c>
      <c r="E1104" s="3" t="inlineStr">
        <is>
          <t>regional_panel</t>
        </is>
      </c>
      <c r="F1104" s="3" t="inlineStr">
        <is>
          <t>panel_covariables</t>
        </is>
      </c>
      <c r="G1104" s="3" t="n">
        <v>1.38737</v>
      </c>
      <c r="H1104" s="3" t="n">
        <v>-22.1625</v>
      </c>
      <c r="I1104" s="3" t="n">
        <v>0.525654</v>
      </c>
      <c r="J1104" s="3" t="n">
        <v>1.87393</v>
      </c>
      <c r="K1104" s="3" t="n">
        <v>-6.25998</v>
      </c>
      <c r="L1104" s="3" t="n">
        <v>4</v>
      </c>
      <c r="M1104" s="3" t="inlineStr">
        <is>
          <t>si</t>
        </is>
      </c>
      <c r="N1104" s="3" t="inlineStr">
        <is>
          <t>no designado (contraste C4: no hay svar_hd regional)</t>
        </is>
      </c>
      <c r="O1104" s="3" t="inlineStr">
        <is>
          <t>CCAA: ranking por c_f·sign(dY) del panel FE (M8); asociacion, sin lectura causal; el factor comun es un resumen de comovimiento (pendiente ~1 mecanica, J23)</t>
        </is>
      </c>
      <c r="P1104" s="3" t="inlineStr">
        <is>
          <t>output/v8/F5/regional_ranking.csv</t>
        </is>
      </c>
    </row>
    <row r="1105">
      <c r="A1105" s="3" t="inlineStr">
        <is>
          <t>compra</t>
        </is>
      </c>
      <c r="B1105" s="3" t="inlineStr">
        <is>
          <t>ccaa:16</t>
        </is>
      </c>
      <c r="C1105" s="3" t="inlineStr">
        <is>
          <t>P3</t>
        </is>
      </c>
      <c r="D1105" s="3" t="inlineStr">
        <is>
          <t>residuo</t>
        </is>
      </c>
      <c r="E1105" s="3" t="inlineStr">
        <is>
          <t>regional_panel</t>
        </is>
      </c>
      <c r="F1105" s="3" t="inlineStr">
        <is>
          <t>panel_covariables</t>
        </is>
      </c>
      <c r="G1105" s="3" t="n">
        <v>-7.77744</v>
      </c>
      <c r="H1105" s="3" t="n">
        <v>124.241</v>
      </c>
      <c r="I1105" s="3" t="n">
        <v>-11.0028</v>
      </c>
      <c r="J1105" s="3" t="n">
        <v>-5.20952</v>
      </c>
      <c r="K1105" s="3" t="n">
        <v>-6.25998</v>
      </c>
      <c r="L1105" s="3" t="n"/>
      <c r="M1105" s="3" t="inlineStr">
        <is>
          <t>no</t>
        </is>
      </c>
      <c r="N1105" s="3" t="inlineStr">
        <is>
          <t>no designado (contraste C4: no hay svar_hd regional)</t>
        </is>
      </c>
      <c r="O1105" s="3" t="inlineStr">
        <is>
          <t>CCAA: ranking por c_f·sign(dY) del panel FE (M8); asociacion, sin lectura causal; el factor comun es un resumen de comovimiento (pendiente ~1 mecanica, J23)</t>
        </is>
      </c>
      <c r="P1105" s="3" t="inlineStr">
        <is>
          <t>output/v8/F5/regional_ranking.csv</t>
        </is>
      </c>
    </row>
    <row r="1106">
      <c r="A1106" s="3" t="inlineStr">
        <is>
          <t>compra</t>
        </is>
      </c>
      <c r="B1106" s="3" t="inlineStr">
        <is>
          <t>ccaa:16</t>
        </is>
      </c>
      <c r="C1106" s="3" t="inlineStr">
        <is>
          <t>P4</t>
        </is>
      </c>
      <c r="D1106" s="3" t="inlineStr">
        <is>
          <t>factor_comun</t>
        </is>
      </c>
      <c r="E1106" s="3" t="inlineStr">
        <is>
          <t>regional_ccaa_ols</t>
        </is>
      </c>
      <c r="F1106" s="3" t="inlineStr">
        <is>
          <t>ols_solo_factor</t>
        </is>
      </c>
      <c r="G1106" s="3" t="n">
        <v>-5.83052</v>
      </c>
      <c r="H1106" s="3" t="n">
        <v>151.403</v>
      </c>
      <c r="I1106" s="3" t="n">
        <v>-8.591559999999999</v>
      </c>
      <c r="J1106" s="3" t="n">
        <v>-1.42149</v>
      </c>
      <c r="K1106" s="3" t="n">
        <v>-3.851</v>
      </c>
      <c r="L1106" s="3" t="n"/>
      <c r="M1106" s="3" t="inlineStr">
        <is>
          <t>no</t>
        </is>
      </c>
      <c r="N1106" s="3" t="inlineStr">
        <is>
          <t>no designado (contraste C4: no hay svar_hd regional)</t>
        </is>
      </c>
      <c r="O1106" s="3" t="inlineStr">
        <is>
          <t>CCAA: ranking por c_f·sign(dY) del panel FE (M8); asociacion, sin lectura causal; el factor comun es un resumen de comovimiento (pendiente ~1 mecanica, J23)</t>
        </is>
      </c>
      <c r="P1106" s="3" t="inlineStr">
        <is>
          <t>output/v8/F5/regional_ranking.csv</t>
        </is>
      </c>
    </row>
    <row r="1107">
      <c r="A1107" s="3" t="inlineStr">
        <is>
          <t>compra</t>
        </is>
      </c>
      <c r="B1107" s="3" t="inlineStr">
        <is>
          <t>ccaa:16</t>
        </is>
      </c>
      <c r="C1107" s="3" t="inlineStr">
        <is>
          <t>P4</t>
        </is>
      </c>
      <c r="D1107" s="3" t="inlineStr">
        <is>
          <t>residuo</t>
        </is>
      </c>
      <c r="E1107" s="3" t="inlineStr">
        <is>
          <t>regional_ccaa_ols</t>
        </is>
      </c>
      <c r="F1107" s="3" t="inlineStr">
        <is>
          <t>ols_solo_factor</t>
        </is>
      </c>
      <c r="G1107" s="3" t="n">
        <v>1.97952</v>
      </c>
      <c r="H1107" s="3" t="n">
        <v>-51.4026</v>
      </c>
      <c r="I1107" s="3" t="n"/>
      <c r="J1107" s="3" t="n"/>
      <c r="K1107" s="3" t="n">
        <v>-3.851</v>
      </c>
      <c r="L1107" s="3" t="n"/>
      <c r="M1107" s="3" t="inlineStr">
        <is>
          <t>no</t>
        </is>
      </c>
      <c r="N1107" s="3" t="inlineStr">
        <is>
          <t>no designado (contraste C4: no hay svar_hd regional)</t>
        </is>
      </c>
      <c r="O1107" s="3" t="inlineStr">
        <is>
          <t>CCAA: ranking por c_f·sign(dY) del panel FE (M8); asociacion, sin lectura causal; el factor comun es un resumen de comovimiento (pendiente ~1 mecanica, J23)</t>
        </is>
      </c>
      <c r="P1107" s="3" t="inlineStr">
        <is>
          <t>output/v8/F5/regional_ranking.csv</t>
        </is>
      </c>
    </row>
    <row r="1108">
      <c r="A1108" s="3" t="inlineStr">
        <is>
          <t>compra</t>
        </is>
      </c>
      <c r="B1108" s="3" t="inlineStr">
        <is>
          <t>ccaa:16</t>
        </is>
      </c>
      <c r="C1108" s="3" t="inlineStr">
        <is>
          <t>P4</t>
        </is>
      </c>
      <c r="D1108" s="3" t="inlineStr">
        <is>
          <t>factor_comun</t>
        </is>
      </c>
      <c r="E1108" s="3" t="inlineStr">
        <is>
          <t>regional_panel</t>
        </is>
      </c>
      <c r="F1108" s="3" t="inlineStr">
        <is>
          <t>panel_covariables</t>
        </is>
      </c>
      <c r="G1108" s="3" t="n">
        <v>-4.21608</v>
      </c>
      <c r="H1108" s="3" t="n">
        <v>109.48</v>
      </c>
      <c r="I1108" s="3" t="n">
        <v>-5.07352</v>
      </c>
      <c r="J1108" s="3" t="n">
        <v>-2.674</v>
      </c>
      <c r="K1108" s="3" t="n">
        <v>-3.851</v>
      </c>
      <c r="L1108" s="3" t="n"/>
      <c r="M1108" s="3" t="inlineStr">
        <is>
          <t>no</t>
        </is>
      </c>
      <c r="N1108" s="3" t="inlineStr">
        <is>
          <t>no designado (contraste C4: no hay svar_hd regional)</t>
        </is>
      </c>
      <c r="O1108" s="3" t="inlineStr">
        <is>
          <t>CCAA: ranking por c_f·sign(dY) del panel FE (M8); asociacion, sin lectura causal; el factor comun es un resumen de comovimiento (pendiente ~1 mecanica, J23)</t>
        </is>
      </c>
      <c r="P1108" s="3" t="inlineStr">
        <is>
          <t>output/v8/F5/regional_ranking.csv</t>
        </is>
      </c>
    </row>
    <row r="1109">
      <c r="A1109" s="3" t="inlineStr">
        <is>
          <t>compra</t>
        </is>
      </c>
      <c r="B1109" s="3" t="inlineStr">
        <is>
          <t>ccaa:16</t>
        </is>
      </c>
      <c r="C1109" s="3" t="inlineStr">
        <is>
          <t>P4</t>
        </is>
      </c>
      <c r="D1109" s="3" t="inlineStr">
        <is>
          <t>empleo_renta</t>
        </is>
      </c>
      <c r="E1109" s="3" t="inlineStr">
        <is>
          <t>regional_panel</t>
        </is>
      </c>
      <c r="F1109" s="3" t="inlineStr">
        <is>
          <t>panel_covariables</t>
        </is>
      </c>
      <c r="G1109" s="3" t="n">
        <v>-0.273038</v>
      </c>
      <c r="H1109" s="3" t="n">
        <v>7.09004</v>
      </c>
      <c r="I1109" s="3" t="n">
        <v>-0.5715710000000001</v>
      </c>
      <c r="J1109" s="3" t="n">
        <v>0.404441</v>
      </c>
      <c r="K1109" s="3" t="n">
        <v>-3.851</v>
      </c>
      <c r="L1109" s="3" t="n">
        <v>1</v>
      </c>
      <c r="M1109" s="3" t="inlineStr">
        <is>
          <t>si</t>
        </is>
      </c>
      <c r="N1109" s="3" t="inlineStr">
        <is>
          <t>no designado (contraste C4: no hay svar_hd regional)</t>
        </is>
      </c>
      <c r="O1109" s="3" t="inlineStr">
        <is>
          <t>CCAA: ranking por c_f·sign(dY) del panel FE (M8); asociacion, sin lectura causal; el factor comun es un resumen de comovimiento (pendiente ~1 mecanica, J23)</t>
        </is>
      </c>
      <c r="P1109" s="3" t="inlineStr">
        <is>
          <t>output/v8/F5/regional_ranking.csv</t>
        </is>
      </c>
    </row>
    <row r="1110">
      <c r="A1110" s="3" t="inlineStr">
        <is>
          <t>compra</t>
        </is>
      </c>
      <c r="B1110" s="3" t="inlineStr">
        <is>
          <t>ccaa:16</t>
        </is>
      </c>
      <c r="C1110" s="3" t="inlineStr">
        <is>
          <t>P4</t>
        </is>
      </c>
      <c r="D1110" s="3" t="inlineStr">
        <is>
          <t>demografia</t>
        </is>
      </c>
      <c r="E1110" s="3" t="inlineStr">
        <is>
          <t>regional_panel</t>
        </is>
      </c>
      <c r="F1110" s="3" t="inlineStr">
        <is>
          <t>panel_covariables</t>
        </is>
      </c>
      <c r="G1110" s="3" t="n">
        <v>2.79262</v>
      </c>
      <c r="H1110" s="3" t="n">
        <v>-72.5166</v>
      </c>
      <c r="I1110" s="3" t="n">
        <v>0.702596</v>
      </c>
      <c r="J1110" s="3" t="n">
        <v>4.68095</v>
      </c>
      <c r="K1110" s="3" t="n">
        <v>-3.851</v>
      </c>
      <c r="L1110" s="3" t="n">
        <v>4</v>
      </c>
      <c r="M1110" s="3" t="inlineStr">
        <is>
          <t>si</t>
        </is>
      </c>
      <c r="N1110" s="3" t="inlineStr">
        <is>
          <t>no designado (contraste C4: no hay svar_hd regional)</t>
        </is>
      </c>
      <c r="O1110" s="3" t="inlineStr">
        <is>
          <t>CCAA: ranking por c_f·sign(dY) del panel FE (M8); asociacion, sin lectura causal; el factor comun es un resumen de comovimiento (pendiente ~1 mecanica, J23)</t>
        </is>
      </c>
      <c r="P1110" s="3" t="inlineStr">
        <is>
          <t>output/v8/F5/regional_ranking.csv</t>
        </is>
      </c>
    </row>
    <row r="1111">
      <c r="A1111" s="3" t="inlineStr">
        <is>
          <t>compra</t>
        </is>
      </c>
      <c r="B1111" s="3" t="inlineStr">
        <is>
          <t>ccaa:16</t>
        </is>
      </c>
      <c r="C1111" s="3" t="inlineStr">
        <is>
          <t>P4</t>
        </is>
      </c>
      <c r="D1111" s="3" t="inlineStr">
        <is>
          <t>oferta</t>
        </is>
      </c>
      <c r="E1111" s="3" t="inlineStr">
        <is>
          <t>regional_panel</t>
        </is>
      </c>
      <c r="F1111" s="3" t="inlineStr">
        <is>
          <t>panel_covariables</t>
        </is>
      </c>
      <c r="G1111" s="3" t="n">
        <v>-0.0642078</v>
      </c>
      <c r="H1111" s="3" t="n">
        <v>1.6673</v>
      </c>
      <c r="I1111" s="3" t="n">
        <v>-0.164762</v>
      </c>
      <c r="J1111" s="3" t="n">
        <v>0.0136056</v>
      </c>
      <c r="K1111" s="3" t="n">
        <v>-3.851</v>
      </c>
      <c r="L1111" s="3" t="n">
        <v>2</v>
      </c>
      <c r="M1111" s="3" t="inlineStr">
        <is>
          <t>si</t>
        </is>
      </c>
      <c r="N1111" s="3" t="inlineStr">
        <is>
          <t>no designado (contraste C4: no hay svar_hd regional)</t>
        </is>
      </c>
      <c r="O1111" s="3" t="inlineStr">
        <is>
          <t>CCAA: ranking por c_f·sign(dY) del panel FE (M8); asociacion, sin lectura causal; el factor comun es un resumen de comovimiento (pendiente ~1 mecanica, J23)</t>
        </is>
      </c>
      <c r="P1111" s="3" t="inlineStr">
        <is>
          <t>output/v8/F5/regional_ranking.csv</t>
        </is>
      </c>
    </row>
    <row r="1112">
      <c r="A1112" s="3" t="inlineStr">
        <is>
          <t>compra</t>
        </is>
      </c>
      <c r="B1112" s="3" t="inlineStr">
        <is>
          <t>ccaa:16</t>
        </is>
      </c>
      <c r="C1112" s="3" t="inlineStr">
        <is>
          <t>P4</t>
        </is>
      </c>
      <c r="D1112" s="3" t="inlineStr">
        <is>
          <t>demanda_externa</t>
        </is>
      </c>
      <c r="E1112" s="3" t="inlineStr">
        <is>
          <t>regional_panel</t>
        </is>
      </c>
      <c r="F1112" s="3" t="inlineStr">
        <is>
          <t>panel_covariables</t>
        </is>
      </c>
      <c r="G1112" s="3" t="n">
        <v>0.0689978</v>
      </c>
      <c r="H1112" s="3" t="n">
        <v>-1.79168</v>
      </c>
      <c r="I1112" s="3" t="n">
        <v>-0.0740315</v>
      </c>
      <c r="J1112" s="3" t="n">
        <v>0.131742</v>
      </c>
      <c r="K1112" s="3" t="n">
        <v>-3.851</v>
      </c>
      <c r="L1112" s="3" t="n">
        <v>3</v>
      </c>
      <c r="M1112" s="3" t="inlineStr">
        <is>
          <t>si</t>
        </is>
      </c>
      <c r="N1112" s="3" t="inlineStr">
        <is>
          <t>no designado (contraste C4: no hay svar_hd regional)</t>
        </is>
      </c>
      <c r="O1112" s="3" t="inlineStr">
        <is>
          <t>CCAA: ranking por c_f·sign(dY) del panel FE (M8); asociacion, sin lectura causal; el factor comun es un resumen de comovimiento (pendiente ~1 mecanica, J23)</t>
        </is>
      </c>
      <c r="P1112" s="3" t="inlineStr">
        <is>
          <t>output/v8/F5/regional_ranking.csv</t>
        </is>
      </c>
    </row>
    <row r="1113">
      <c r="A1113" s="3" t="inlineStr">
        <is>
          <t>compra</t>
        </is>
      </c>
      <c r="B1113" s="3" t="inlineStr">
        <is>
          <t>ccaa:16</t>
        </is>
      </c>
      <c r="C1113" s="3" t="inlineStr">
        <is>
          <t>P4</t>
        </is>
      </c>
      <c r="D1113" s="3" t="inlineStr">
        <is>
          <t>residuo</t>
        </is>
      </c>
      <c r="E1113" s="3" t="inlineStr">
        <is>
          <t>regional_panel</t>
        </is>
      </c>
      <c r="F1113" s="3" t="inlineStr">
        <is>
          <t>panel_covariables</t>
        </is>
      </c>
      <c r="G1113" s="3" t="n">
        <v>-2.15929</v>
      </c>
      <c r="H1113" s="3" t="n">
        <v>56.0708</v>
      </c>
      <c r="I1113" s="3" t="n">
        <v>-4.38931</v>
      </c>
      <c r="J1113" s="3" t="n">
        <v>-0.07422579999999999</v>
      </c>
      <c r="K1113" s="3" t="n">
        <v>-3.851</v>
      </c>
      <c r="L1113" s="3" t="n"/>
      <c r="M1113" s="3" t="inlineStr">
        <is>
          <t>no</t>
        </is>
      </c>
      <c r="N1113" s="3" t="inlineStr">
        <is>
          <t>no designado (contraste C4: no hay svar_hd regional)</t>
        </is>
      </c>
      <c r="O1113" s="3" t="inlineStr">
        <is>
          <t>CCAA: ranking por c_f·sign(dY) del panel FE (M8); asociacion, sin lectura causal; el factor comun es un resumen de comovimiento (pendiente ~1 mecanica, J23)</t>
        </is>
      </c>
      <c r="P1113" s="3" t="inlineStr">
        <is>
          <t>output/v8/F5/regional_ranking.csv</t>
        </is>
      </c>
    </row>
    <row r="1114">
      <c r="A1114" s="3" t="inlineStr">
        <is>
          <t>compra</t>
        </is>
      </c>
      <c r="B1114" s="3" t="inlineStr">
        <is>
          <t>ccaa:16</t>
        </is>
      </c>
      <c r="C1114" s="3" t="inlineStr">
        <is>
          <t>P5</t>
        </is>
      </c>
      <c r="D1114" s="3" t="inlineStr">
        <is>
          <t>factor_comun</t>
        </is>
      </c>
      <c r="E1114" s="3" t="inlineStr">
        <is>
          <t>regional_ccaa_ols</t>
        </is>
      </c>
      <c r="F1114" s="3" t="inlineStr">
        <is>
          <t>ols_solo_factor</t>
        </is>
      </c>
      <c r="G1114" s="3" t="n">
        <v>9.54176</v>
      </c>
      <c r="H1114" s="3" t="n">
        <v>313.446</v>
      </c>
      <c r="I1114" s="3" t="n">
        <v>2.74204</v>
      </c>
      <c r="J1114" s="3" t="n">
        <v>16.8443</v>
      </c>
      <c r="K1114" s="3" t="n">
        <v>-4.30803</v>
      </c>
      <c r="L1114" s="3" t="n"/>
      <c r="M1114" s="3" t="inlineStr">
        <is>
          <t>no</t>
        </is>
      </c>
      <c r="N1114" s="3" t="inlineStr">
        <is>
          <t>no designado (contraste C4: no hay svar_hd regional)</t>
        </is>
      </c>
      <c r="O1114" s="3" t="inlineStr">
        <is>
          <t>CCAA: ranking por c_f·sign(dY) del panel FE (M8); asociacion, sin lectura causal; el factor comun es un resumen de comovimiento (pendiente ~1 mecanica, J23)</t>
        </is>
      </c>
      <c r="P1114" s="3" t="inlineStr">
        <is>
          <t>output/v8/F5/regional_ranking.csv</t>
        </is>
      </c>
    </row>
    <row r="1115">
      <c r="A1115" s="3" t="inlineStr">
        <is>
          <t>compra</t>
        </is>
      </c>
      <c r="B1115" s="3" t="inlineStr">
        <is>
          <t>ccaa:16</t>
        </is>
      </c>
      <c r="C1115" s="3" t="inlineStr">
        <is>
          <t>P5</t>
        </is>
      </c>
      <c r="D1115" s="3" t="inlineStr">
        <is>
          <t>residuo</t>
        </is>
      </c>
      <c r="E1115" s="3" t="inlineStr">
        <is>
          <t>regional_ccaa_ols</t>
        </is>
      </c>
      <c r="F1115" s="3" t="inlineStr">
        <is>
          <t>ols_solo_factor</t>
        </is>
      </c>
      <c r="G1115" s="3" t="n">
        <v>-6.49761</v>
      </c>
      <c r="H1115" s="3" t="n">
        <v>-213.446</v>
      </c>
      <c r="I1115" s="3" t="n"/>
      <c r="J1115" s="3" t="n"/>
      <c r="K1115" s="3" t="n">
        <v>-4.30803</v>
      </c>
      <c r="L1115" s="3" t="n"/>
      <c r="M1115" s="3" t="inlineStr">
        <is>
          <t>no</t>
        </is>
      </c>
      <c r="N1115" s="3" t="inlineStr">
        <is>
          <t>no designado (contraste C4: no hay svar_hd regional)</t>
        </is>
      </c>
      <c r="O1115" s="3" t="inlineStr">
        <is>
          <t>CCAA: ranking por c_f·sign(dY) del panel FE (M8); asociacion, sin lectura causal; el factor comun es un resumen de comovimiento (pendiente ~1 mecanica, J23)</t>
        </is>
      </c>
      <c r="P1115" s="3" t="inlineStr">
        <is>
          <t>output/v8/F5/regional_ranking.csv</t>
        </is>
      </c>
    </row>
    <row r="1116">
      <c r="A1116" s="3" t="inlineStr">
        <is>
          <t>compra</t>
        </is>
      </c>
      <c r="B1116" s="3" t="inlineStr">
        <is>
          <t>ccaa:16</t>
        </is>
      </c>
      <c r="C1116" s="3" t="inlineStr">
        <is>
          <t>P5</t>
        </is>
      </c>
      <c r="D1116" s="3" t="inlineStr">
        <is>
          <t>factor_comun</t>
        </is>
      </c>
      <c r="E1116" s="3" t="inlineStr">
        <is>
          <t>regional_panel</t>
        </is>
      </c>
      <c r="F1116" s="3" t="inlineStr">
        <is>
          <t>panel_covariables</t>
        </is>
      </c>
      <c r="G1116" s="3" t="n">
        <v>1.50215</v>
      </c>
      <c r="H1116" s="3" t="n">
        <v>-34.8686</v>
      </c>
      <c r="I1116" s="3" t="n">
        <v>-1.20824</v>
      </c>
      <c r="J1116" s="3" t="n">
        <v>4.46537</v>
      </c>
      <c r="K1116" s="3" t="n">
        <v>-4.30803</v>
      </c>
      <c r="L1116" s="3" t="n"/>
      <c r="M1116" s="3" t="inlineStr">
        <is>
          <t>no</t>
        </is>
      </c>
      <c r="N1116" s="3" t="inlineStr">
        <is>
          <t>no designado (contraste C4: no hay svar_hd regional)</t>
        </is>
      </c>
      <c r="O1116" s="3" t="inlineStr">
        <is>
          <t>CCAA: ranking por c_f·sign(dY) del panel FE (M8); asociacion, sin lectura causal; el factor comun es un resumen de comovimiento (pendiente ~1 mecanica, J23)</t>
        </is>
      </c>
      <c r="P1116" s="3" t="inlineStr">
        <is>
          <t>output/v8/F5/regional_ranking.csv</t>
        </is>
      </c>
    </row>
    <row r="1117">
      <c r="A1117" s="3" t="inlineStr">
        <is>
          <t>compra</t>
        </is>
      </c>
      <c r="B1117" s="3" t="inlineStr">
        <is>
          <t>ccaa:16</t>
        </is>
      </c>
      <c r="C1117" s="3" t="inlineStr">
        <is>
          <t>P5</t>
        </is>
      </c>
      <c r="D1117" s="3" t="inlineStr">
        <is>
          <t>empleo_renta</t>
        </is>
      </c>
      <c r="E1117" s="3" t="inlineStr">
        <is>
          <t>regional_panel</t>
        </is>
      </c>
      <c r="F1117" s="3" t="inlineStr">
        <is>
          <t>panel_covariables</t>
        </is>
      </c>
      <c r="G1117" s="3" t="n">
        <v>0.178552</v>
      </c>
      <c r="H1117" s="3" t="n">
        <v>-4.14465</v>
      </c>
      <c r="I1117" s="3" t="n">
        <v>-0.315604</v>
      </c>
      <c r="J1117" s="3" t="n">
        <v>0.6071800000000001</v>
      </c>
      <c r="K1117" s="3" t="n">
        <v>-4.30803</v>
      </c>
      <c r="L1117" s="3" t="n">
        <v>4</v>
      </c>
      <c r="M1117" s="3" t="inlineStr">
        <is>
          <t>si</t>
        </is>
      </c>
      <c r="N1117" s="3" t="inlineStr">
        <is>
          <t>no designado (contraste C4: no hay svar_hd regional)</t>
        </is>
      </c>
      <c r="O1117" s="3" t="inlineStr">
        <is>
          <t>CCAA: ranking por c_f·sign(dY) del panel FE (M8); asociacion, sin lectura causal; el factor comun es un resumen de comovimiento (pendiente ~1 mecanica, J23)</t>
        </is>
      </c>
      <c r="P1117" s="3" t="inlineStr">
        <is>
          <t>output/v8/F5/regional_ranking.csv</t>
        </is>
      </c>
    </row>
    <row r="1118">
      <c r="A1118" s="3" t="inlineStr">
        <is>
          <t>compra</t>
        </is>
      </c>
      <c r="B1118" s="3" t="inlineStr">
        <is>
          <t>ccaa:16</t>
        </is>
      </c>
      <c r="C1118" s="3" t="inlineStr">
        <is>
          <t>P5</t>
        </is>
      </c>
      <c r="D1118" s="3" t="inlineStr">
        <is>
          <t>demografia</t>
        </is>
      </c>
      <c r="E1118" s="3" t="inlineStr">
        <is>
          <t>regional_panel</t>
        </is>
      </c>
      <c r="F1118" s="3" t="inlineStr">
        <is>
          <t>panel_covariables</t>
        </is>
      </c>
      <c r="G1118" s="3" t="n">
        <v>-0.678188</v>
      </c>
      <c r="H1118" s="3" t="n">
        <v>15.7424</v>
      </c>
      <c r="I1118" s="3" t="n">
        <v>-1.65087</v>
      </c>
      <c r="J1118" s="3" t="n">
        <v>0.8620679999999999</v>
      </c>
      <c r="K1118" s="3" t="n">
        <v>-4.30803</v>
      </c>
      <c r="L1118" s="3" t="n">
        <v>1</v>
      </c>
      <c r="M1118" s="3" t="inlineStr">
        <is>
          <t>si</t>
        </is>
      </c>
      <c r="N1118" s="3" t="inlineStr">
        <is>
          <t>no designado (contraste C4: no hay svar_hd regional)</t>
        </is>
      </c>
      <c r="O1118" s="3" t="inlineStr">
        <is>
          <t>CCAA: ranking por c_f·sign(dY) del panel FE (M8); asociacion, sin lectura causal; el factor comun es un resumen de comovimiento (pendiente ~1 mecanica, J23)</t>
        </is>
      </c>
      <c r="P1118" s="3" t="inlineStr">
        <is>
          <t>output/v8/F5/regional_ranking.csv</t>
        </is>
      </c>
    </row>
    <row r="1119">
      <c r="A1119" s="3" t="inlineStr">
        <is>
          <t>compra</t>
        </is>
      </c>
      <c r="B1119" s="3" t="inlineStr">
        <is>
          <t>ccaa:16</t>
        </is>
      </c>
      <c r="C1119" s="3" t="inlineStr">
        <is>
          <t>P5</t>
        </is>
      </c>
      <c r="D1119" s="3" t="inlineStr">
        <is>
          <t>oferta</t>
        </is>
      </c>
      <c r="E1119" s="3" t="inlineStr">
        <is>
          <t>regional_panel</t>
        </is>
      </c>
      <c r="F1119" s="3" t="inlineStr">
        <is>
          <t>panel_covariables</t>
        </is>
      </c>
      <c r="G1119" s="3" t="n">
        <v>0.00142263</v>
      </c>
      <c r="H1119" s="3" t="n">
        <v>-0.0330228</v>
      </c>
      <c r="I1119" s="3" t="n">
        <v>-0.0693825</v>
      </c>
      <c r="J1119" s="3" t="n">
        <v>0.202718</v>
      </c>
      <c r="K1119" s="3" t="n">
        <v>-4.30803</v>
      </c>
      <c r="L1119" s="3" t="n">
        <v>3</v>
      </c>
      <c r="M1119" s="3" t="inlineStr">
        <is>
          <t>si</t>
        </is>
      </c>
      <c r="N1119" s="3" t="inlineStr">
        <is>
          <t>no designado (contraste C4: no hay svar_hd regional)</t>
        </is>
      </c>
      <c r="O1119" s="3" t="inlineStr">
        <is>
          <t>CCAA: ranking por c_f·sign(dY) del panel FE (M8); asociacion, sin lectura causal; el factor comun es un resumen de comovimiento (pendiente ~1 mecanica, J23)</t>
        </is>
      </c>
      <c r="P1119" s="3" t="inlineStr">
        <is>
          <t>output/v8/F5/regional_ranking.csv</t>
        </is>
      </c>
    </row>
    <row r="1120">
      <c r="A1120" s="3" t="inlineStr">
        <is>
          <t>compra</t>
        </is>
      </c>
      <c r="B1120" s="3" t="inlineStr">
        <is>
          <t>ccaa:16</t>
        </is>
      </c>
      <c r="C1120" s="3" t="inlineStr">
        <is>
          <t>P5</t>
        </is>
      </c>
      <c r="D1120" s="3" t="inlineStr">
        <is>
          <t>demanda_externa</t>
        </is>
      </c>
      <c r="E1120" s="3" t="inlineStr">
        <is>
          <t>regional_panel</t>
        </is>
      </c>
      <c r="F1120" s="3" t="inlineStr">
        <is>
          <t>panel_covariables</t>
        </is>
      </c>
      <c r="G1120" s="3" t="n">
        <v>-0.0144447</v>
      </c>
      <c r="H1120" s="3" t="n">
        <v>0.335298</v>
      </c>
      <c r="I1120" s="3" t="n">
        <v>-0.204002</v>
      </c>
      <c r="J1120" s="3" t="n">
        <v>0.254189</v>
      </c>
      <c r="K1120" s="3" t="n">
        <v>-4.30803</v>
      </c>
      <c r="L1120" s="3" t="n">
        <v>2</v>
      </c>
      <c r="M1120" s="3" t="inlineStr">
        <is>
          <t>si</t>
        </is>
      </c>
      <c r="N1120" s="3" t="inlineStr">
        <is>
          <t>no designado (contraste C4: no hay svar_hd regional)</t>
        </is>
      </c>
      <c r="O1120" s="3" t="inlineStr">
        <is>
          <t>CCAA: ranking por c_f·sign(dY) del panel FE (M8); asociacion, sin lectura causal; el factor comun es un resumen de comovimiento (pendiente ~1 mecanica, J23)</t>
        </is>
      </c>
      <c r="P1120" s="3" t="inlineStr">
        <is>
          <t>output/v8/F5/regional_ranking.csv</t>
        </is>
      </c>
    </row>
    <row r="1121">
      <c r="A1121" s="3" t="inlineStr">
        <is>
          <t>compra</t>
        </is>
      </c>
      <c r="B1121" s="3" t="inlineStr">
        <is>
          <t>ccaa:16</t>
        </is>
      </c>
      <c r="C1121" s="3" t="inlineStr">
        <is>
          <t>P5</t>
        </is>
      </c>
      <c r="D1121" s="3" t="inlineStr">
        <is>
          <t>residuo</t>
        </is>
      </c>
      <c r="E1121" s="3" t="inlineStr">
        <is>
          <t>regional_panel</t>
        </is>
      </c>
      <c r="F1121" s="3" t="inlineStr">
        <is>
          <t>panel_covariables</t>
        </is>
      </c>
      <c r="G1121" s="3" t="n">
        <v>-5.29752</v>
      </c>
      <c r="H1121" s="3" t="n">
        <v>122.969</v>
      </c>
      <c r="I1121" s="3" t="n">
        <v>-8.149459999999999</v>
      </c>
      <c r="J1121" s="3" t="n">
        <v>-3.25968</v>
      </c>
      <c r="K1121" s="3" t="n">
        <v>-4.30803</v>
      </c>
      <c r="L1121" s="3" t="n"/>
      <c r="M1121" s="3" t="inlineStr">
        <is>
          <t>no</t>
        </is>
      </c>
      <c r="N1121" s="3" t="inlineStr">
        <is>
          <t>no designado (contraste C4: no hay svar_hd regional)</t>
        </is>
      </c>
      <c r="O1121" s="3" t="inlineStr">
        <is>
          <t>CCAA: ranking por c_f·sign(dY) del panel FE (M8); asociacion, sin lectura causal; el factor comun es un resumen de comovimiento (pendiente ~1 mecanica, J23)</t>
        </is>
      </c>
      <c r="P1121" s="3" t="inlineStr">
        <is>
          <t>output/v8/F5/regional_ranking.csv</t>
        </is>
      </c>
    </row>
    <row r="1122">
      <c r="A1122" s="3" t="inlineStr">
        <is>
          <t>compra</t>
        </is>
      </c>
      <c r="B1122" s="3" t="inlineStr">
        <is>
          <t>ccaa:17</t>
        </is>
      </c>
      <c r="C1122" s="3" t="inlineStr">
        <is>
          <t>P1</t>
        </is>
      </c>
      <c r="D1122" s="3" t="inlineStr">
        <is>
          <t>factor_comun</t>
        </is>
      </c>
      <c r="E1122" s="3" t="inlineStr">
        <is>
          <t>regional_ccaa_ols</t>
        </is>
      </c>
      <c r="F1122" s="3" t="inlineStr">
        <is>
          <t>ols_solo_factor</t>
        </is>
      </c>
      <c r="G1122" s="3" t="n">
        <v>85.2</v>
      </c>
      <c r="H1122" s="3" t="n">
        <v>135.055</v>
      </c>
      <c r="I1122" s="3" t="n">
        <v>66.265</v>
      </c>
      <c r="J1122" s="3" t="n">
        <v>103.29</v>
      </c>
      <c r="K1122" s="3" t="n">
        <v>63.0856</v>
      </c>
      <c r="L1122" s="3" t="n"/>
      <c r="M1122" s="3" t="inlineStr">
        <is>
          <t>no</t>
        </is>
      </c>
      <c r="N1122" s="3" t="inlineStr">
        <is>
          <t>no designado (contraste C4: no hay svar_hd regional)</t>
        </is>
      </c>
      <c r="O1122" s="3" t="inlineStr">
        <is>
          <t>CCAA: ranking por c_f·sign(dY) del panel FE (M8); asociacion, sin lectura causal; el factor comun es un resumen de comovimiento (pendiente ~1 mecanica, J23)</t>
        </is>
      </c>
      <c r="P1122" s="3" t="inlineStr">
        <is>
          <t>output/v8/F5/regional_ranking.csv</t>
        </is>
      </c>
    </row>
    <row r="1123">
      <c r="A1123" s="3" t="inlineStr">
        <is>
          <t>compra</t>
        </is>
      </c>
      <c r="B1123" s="3" t="inlineStr">
        <is>
          <t>ccaa:17</t>
        </is>
      </c>
      <c r="C1123" s="3" t="inlineStr">
        <is>
          <t>P1</t>
        </is>
      </c>
      <c r="D1123" s="3" t="inlineStr">
        <is>
          <t>residuo</t>
        </is>
      </c>
      <c r="E1123" s="3" t="inlineStr">
        <is>
          <t>regional_ccaa_ols</t>
        </is>
      </c>
      <c r="F1123" s="3" t="inlineStr">
        <is>
          <t>ols_solo_factor</t>
        </is>
      </c>
      <c r="G1123" s="3" t="n">
        <v>-22.1144</v>
      </c>
      <c r="H1123" s="3" t="n">
        <v>-35.0546</v>
      </c>
      <c r="I1123" s="3" t="n"/>
      <c r="J1123" s="3" t="n"/>
      <c r="K1123" s="3" t="n">
        <v>63.0856</v>
      </c>
      <c r="L1123" s="3" t="n"/>
      <c r="M1123" s="3" t="inlineStr">
        <is>
          <t>no</t>
        </is>
      </c>
      <c r="N1123" s="3" t="inlineStr">
        <is>
          <t>no designado (contraste C4: no hay svar_hd regional)</t>
        </is>
      </c>
      <c r="O1123" s="3" t="inlineStr">
        <is>
          <t>CCAA: ranking por c_f·sign(dY) del panel FE (M8); asociacion, sin lectura causal; el factor comun es un resumen de comovimiento (pendiente ~1 mecanica, J23)</t>
        </is>
      </c>
      <c r="P1123" s="3" t="inlineStr">
        <is>
          <t>output/v8/F5/regional_ranking.csv</t>
        </is>
      </c>
    </row>
    <row r="1124">
      <c r="A1124" s="3" t="inlineStr">
        <is>
          <t>compra</t>
        </is>
      </c>
      <c r="B1124" s="3" t="inlineStr">
        <is>
          <t>ccaa:17</t>
        </is>
      </c>
      <c r="C1124" s="3" t="inlineStr">
        <is>
          <t>P1</t>
        </is>
      </c>
      <c r="D1124" s="3" t="inlineStr">
        <is>
          <t>factor_comun</t>
        </is>
      </c>
      <c r="E1124" s="3" t="inlineStr">
        <is>
          <t>regional_panel</t>
        </is>
      </c>
      <c r="F1124" s="3" t="inlineStr">
        <is>
          <t>panel_covariables</t>
        </is>
      </c>
      <c r="G1124" s="3" t="n">
        <v>74.3853</v>
      </c>
      <c r="H1124" s="3" t="n">
        <v>117.912</v>
      </c>
      <c r="I1124" s="3" t="n">
        <v>63.2347</v>
      </c>
      <c r="J1124" s="3" t="n">
        <v>88.0656</v>
      </c>
      <c r="K1124" s="3" t="n">
        <v>63.0856</v>
      </c>
      <c r="L1124" s="3" t="n"/>
      <c r="M1124" s="3" t="inlineStr">
        <is>
          <t>no</t>
        </is>
      </c>
      <c r="N1124" s="3" t="inlineStr">
        <is>
          <t>no designado (contraste C4: no hay svar_hd regional)</t>
        </is>
      </c>
      <c r="O1124" s="3" t="inlineStr">
        <is>
          <t>CCAA: ranking por c_f·sign(dY) del panel FE (M8); asociacion, sin lectura causal; el factor comun es un resumen de comovimiento (pendiente ~1 mecanica, J23)</t>
        </is>
      </c>
      <c r="P1124" s="3" t="inlineStr">
        <is>
          <t>output/v8/F5/regional_ranking.csv</t>
        </is>
      </c>
    </row>
    <row r="1125">
      <c r="A1125" s="3" t="inlineStr">
        <is>
          <t>compra</t>
        </is>
      </c>
      <c r="B1125" s="3" t="inlineStr">
        <is>
          <t>ccaa:17</t>
        </is>
      </c>
      <c r="C1125" s="3" t="inlineStr">
        <is>
          <t>P1</t>
        </is>
      </c>
      <c r="D1125" s="3" t="inlineStr">
        <is>
          <t>residuo</t>
        </is>
      </c>
      <c r="E1125" s="3" t="inlineStr">
        <is>
          <t>regional_panel</t>
        </is>
      </c>
      <c r="F1125" s="3" t="inlineStr">
        <is>
          <t>panel_covariables</t>
        </is>
      </c>
      <c r="G1125" s="3" t="n">
        <v>-11.2997</v>
      </c>
      <c r="H1125" s="3" t="n">
        <v>-17.9116</v>
      </c>
      <c r="I1125" s="3" t="n">
        <v>-19.267</v>
      </c>
      <c r="J1125" s="3" t="n">
        <v>-3.50443</v>
      </c>
      <c r="K1125" s="3" t="n">
        <v>63.0856</v>
      </c>
      <c r="L1125" s="3" t="n"/>
      <c r="M1125" s="3" t="inlineStr">
        <is>
          <t>no</t>
        </is>
      </c>
      <c r="N1125" s="3" t="inlineStr">
        <is>
          <t>no designado (contraste C4: no hay svar_hd regional)</t>
        </is>
      </c>
      <c r="O1125" s="3" t="inlineStr">
        <is>
          <t>CCAA: ranking por c_f·sign(dY) del panel FE (M8); asociacion, sin lectura causal; el factor comun es un resumen de comovimiento (pendiente ~1 mecanica, J23)</t>
        </is>
      </c>
      <c r="P1125" s="3" t="inlineStr">
        <is>
          <t>output/v8/F5/regional_ranking.csv</t>
        </is>
      </c>
    </row>
    <row r="1126">
      <c r="A1126" s="3" t="inlineStr">
        <is>
          <t>compra</t>
        </is>
      </c>
      <c r="B1126" s="3" t="inlineStr">
        <is>
          <t>ccaa:17</t>
        </is>
      </c>
      <c r="C1126" s="3" t="inlineStr">
        <is>
          <t>P2</t>
        </is>
      </c>
      <c r="D1126" s="3" t="inlineStr">
        <is>
          <t>factor_comun</t>
        </is>
      </c>
      <c r="E1126" s="3" t="inlineStr">
        <is>
          <t>regional_ccaa_ols</t>
        </is>
      </c>
      <c r="F1126" s="3" t="inlineStr">
        <is>
          <t>ols_solo_factor</t>
        </is>
      </c>
      <c r="G1126" s="3" t="n">
        <v>-15.2806</v>
      </c>
      <c r="H1126" s="3" t="n">
        <v>35.1155</v>
      </c>
      <c r="I1126" s="3" t="n">
        <v>-29.4878</v>
      </c>
      <c r="J1126" s="3" t="n">
        <v>3.04206</v>
      </c>
      <c r="K1126" s="3" t="n">
        <v>-39.7734</v>
      </c>
      <c r="L1126" s="3" t="n"/>
      <c r="M1126" s="3" t="inlineStr">
        <is>
          <t>no</t>
        </is>
      </c>
      <c r="N1126" s="3" t="inlineStr">
        <is>
          <t>no designado (contraste C4: no hay svar_hd regional)</t>
        </is>
      </c>
      <c r="O1126" s="3" t="inlineStr">
        <is>
          <t>CCAA: ranking por c_f·sign(dY) del panel FE (M8); asociacion, sin lectura causal; el factor comun es un resumen de comovimiento (pendiente ~1 mecanica, J23)</t>
        </is>
      </c>
      <c r="P1126" s="3" t="inlineStr">
        <is>
          <t>output/v8/F5/regional_ranking.csv</t>
        </is>
      </c>
    </row>
    <row r="1127">
      <c r="A1127" s="3" t="inlineStr">
        <is>
          <t>compra</t>
        </is>
      </c>
      <c r="B1127" s="3" t="inlineStr">
        <is>
          <t>ccaa:17</t>
        </is>
      </c>
      <c r="C1127" s="3" t="inlineStr">
        <is>
          <t>P2</t>
        </is>
      </c>
      <c r="D1127" s="3" t="inlineStr">
        <is>
          <t>residuo</t>
        </is>
      </c>
      <c r="E1127" s="3" t="inlineStr">
        <is>
          <t>regional_ccaa_ols</t>
        </is>
      </c>
      <c r="F1127" s="3" t="inlineStr">
        <is>
          <t>ols_solo_factor</t>
        </is>
      </c>
      <c r="G1127" s="3" t="n">
        <v>-28.2348</v>
      </c>
      <c r="H1127" s="3" t="n">
        <v>64.8845</v>
      </c>
      <c r="I1127" s="3" t="n"/>
      <c r="J1127" s="3" t="n"/>
      <c r="K1127" s="3" t="n">
        <v>-39.7734</v>
      </c>
      <c r="L1127" s="3" t="n"/>
      <c r="M1127" s="3" t="inlineStr">
        <is>
          <t>no</t>
        </is>
      </c>
      <c r="N1127" s="3" t="inlineStr">
        <is>
          <t>no designado (contraste C4: no hay svar_hd regional)</t>
        </is>
      </c>
      <c r="O1127" s="3" t="inlineStr">
        <is>
          <t>CCAA: ranking por c_f·sign(dY) del panel FE (M8); asociacion, sin lectura causal; el factor comun es un resumen de comovimiento (pendiente ~1 mecanica, J23)</t>
        </is>
      </c>
      <c r="P1127" s="3" t="inlineStr">
        <is>
          <t>output/v8/F5/regional_ranking.csv</t>
        </is>
      </c>
    </row>
    <row r="1128">
      <c r="A1128" s="3" t="inlineStr">
        <is>
          <t>compra</t>
        </is>
      </c>
      <c r="B1128" s="3" t="inlineStr">
        <is>
          <t>ccaa:17</t>
        </is>
      </c>
      <c r="C1128" s="3" t="inlineStr">
        <is>
          <t>P2</t>
        </is>
      </c>
      <c r="D1128" s="3" t="inlineStr">
        <is>
          <t>factor_comun</t>
        </is>
      </c>
      <c r="E1128" s="3" t="inlineStr">
        <is>
          <t>regional_panel</t>
        </is>
      </c>
      <c r="F1128" s="3" t="inlineStr">
        <is>
          <t>panel_covariables</t>
        </is>
      </c>
      <c r="G1128" s="3" t="n">
        <v>-35.0812</v>
      </c>
      <c r="H1128" s="3" t="n">
        <v>88.2025</v>
      </c>
      <c r="I1128" s="3" t="n">
        <v>-41.5124</v>
      </c>
      <c r="J1128" s="3" t="n">
        <v>-30.6884</v>
      </c>
      <c r="K1128" s="3" t="n">
        <v>-39.7734</v>
      </c>
      <c r="L1128" s="3" t="n"/>
      <c r="M1128" s="3" t="inlineStr">
        <is>
          <t>no</t>
        </is>
      </c>
      <c r="N1128" s="3" t="inlineStr">
        <is>
          <t>no designado (contraste C4: no hay svar_hd regional)</t>
        </is>
      </c>
      <c r="O1128" s="3" t="inlineStr">
        <is>
          <t>CCAA: ranking por c_f·sign(dY) del panel FE (M8); asociacion, sin lectura causal; el factor comun es un resumen de comovimiento (pendiente ~1 mecanica, J23)</t>
        </is>
      </c>
      <c r="P1128" s="3" t="inlineStr">
        <is>
          <t>output/v8/F5/regional_ranking.csv</t>
        </is>
      </c>
    </row>
    <row r="1129">
      <c r="A1129" s="3" t="inlineStr">
        <is>
          <t>compra</t>
        </is>
      </c>
      <c r="B1129" s="3" t="inlineStr">
        <is>
          <t>ccaa:17</t>
        </is>
      </c>
      <c r="C1129" s="3" t="inlineStr">
        <is>
          <t>P2</t>
        </is>
      </c>
      <c r="D1129" s="3" t="inlineStr">
        <is>
          <t>empleo_renta</t>
        </is>
      </c>
      <c r="E1129" s="3" t="inlineStr">
        <is>
          <t>regional_panel</t>
        </is>
      </c>
      <c r="F1129" s="3" t="inlineStr">
        <is>
          <t>panel_covariables</t>
        </is>
      </c>
      <c r="G1129" s="3" t="n">
        <v>-0.766215</v>
      </c>
      <c r="H1129" s="3" t="n">
        <v>1.92645</v>
      </c>
      <c r="I1129" s="3" t="n">
        <v>-2.02093</v>
      </c>
      <c r="J1129" s="3" t="n">
        <v>0.622974</v>
      </c>
      <c r="K1129" s="3" t="n">
        <v>-39.7734</v>
      </c>
      <c r="L1129" s="3" t="n">
        <v>1</v>
      </c>
      <c r="M1129" s="3" t="inlineStr">
        <is>
          <t>si</t>
        </is>
      </c>
      <c r="N1129" s="3" t="inlineStr">
        <is>
          <t>no designado (contraste C4: no hay svar_hd regional)</t>
        </is>
      </c>
      <c r="O1129" s="3" t="inlineStr">
        <is>
          <t>CCAA: ranking por c_f·sign(dY) del panel FE (M8); asociacion, sin lectura causal; el factor comun es un resumen de comovimiento (pendiente ~1 mecanica, J23)</t>
        </is>
      </c>
      <c r="P1129" s="3" t="inlineStr">
        <is>
          <t>output/v8/F5/regional_ranking.csv</t>
        </is>
      </c>
    </row>
    <row r="1130">
      <c r="A1130" s="3" t="inlineStr">
        <is>
          <t>compra</t>
        </is>
      </c>
      <c r="B1130" s="3" t="inlineStr">
        <is>
          <t>ccaa:17</t>
        </is>
      </c>
      <c r="C1130" s="3" t="inlineStr">
        <is>
          <t>P2</t>
        </is>
      </c>
      <c r="D1130" s="3" t="inlineStr">
        <is>
          <t>demografia</t>
        </is>
      </c>
      <c r="E1130" s="3" t="inlineStr">
        <is>
          <t>regional_panel</t>
        </is>
      </c>
      <c r="F1130" s="3" t="inlineStr">
        <is>
          <t>panel_covariables</t>
        </is>
      </c>
      <c r="G1130" s="3" t="n">
        <v>0.231664</v>
      </c>
      <c r="H1130" s="3" t="n">
        <v>-0.582458</v>
      </c>
      <c r="I1130" s="3" t="n">
        <v>-2.00679</v>
      </c>
      <c r="J1130" s="3" t="n">
        <v>4.27329</v>
      </c>
      <c r="K1130" s="3" t="n">
        <v>-39.7734</v>
      </c>
      <c r="L1130" s="3" t="n">
        <v>3</v>
      </c>
      <c r="M1130" s="3" t="inlineStr">
        <is>
          <t>si</t>
        </is>
      </c>
      <c r="N1130" s="3" t="inlineStr">
        <is>
          <t>no designado (contraste C4: no hay svar_hd regional)</t>
        </is>
      </c>
      <c r="O1130" s="3" t="inlineStr">
        <is>
          <t>CCAA: ranking por c_f·sign(dY) del panel FE (M8); asociacion, sin lectura causal; el factor comun es un resumen de comovimiento (pendiente ~1 mecanica, J23)</t>
        </is>
      </c>
      <c r="P1130" s="3" t="inlineStr">
        <is>
          <t>output/v8/F5/regional_ranking.csv</t>
        </is>
      </c>
    </row>
    <row r="1131">
      <c r="A1131" s="3" t="inlineStr">
        <is>
          <t>compra</t>
        </is>
      </c>
      <c r="B1131" s="3" t="inlineStr">
        <is>
          <t>ccaa:17</t>
        </is>
      </c>
      <c r="C1131" s="3" t="inlineStr">
        <is>
          <t>P2</t>
        </is>
      </c>
      <c r="D1131" s="3" t="inlineStr">
        <is>
          <t>oferta</t>
        </is>
      </c>
      <c r="E1131" s="3" t="inlineStr">
        <is>
          <t>regional_panel</t>
        </is>
      </c>
      <c r="F1131" s="3" t="inlineStr">
        <is>
          <t>panel_covariables</t>
        </is>
      </c>
      <c r="G1131" s="3" t="n">
        <v>-0.0474744</v>
      </c>
      <c r="H1131" s="3" t="n">
        <v>0.119362</v>
      </c>
      <c r="I1131" s="3" t="n">
        <v>-0.265845</v>
      </c>
      <c r="J1131" s="3" t="n">
        <v>0.318144</v>
      </c>
      <c r="K1131" s="3" t="n">
        <v>-39.7734</v>
      </c>
      <c r="L1131" s="3" t="n">
        <v>2</v>
      </c>
      <c r="M1131" s="3" t="inlineStr">
        <is>
          <t>si</t>
        </is>
      </c>
      <c r="N1131" s="3" t="inlineStr">
        <is>
          <t>no designado (contraste C4: no hay svar_hd regional)</t>
        </is>
      </c>
      <c r="O1131" s="3" t="inlineStr">
        <is>
          <t>CCAA: ranking por c_f·sign(dY) del panel FE (M8); asociacion, sin lectura causal; el factor comun es un resumen de comovimiento (pendiente ~1 mecanica, J23)</t>
        </is>
      </c>
      <c r="P1131" s="3" t="inlineStr">
        <is>
          <t>output/v8/F5/regional_ranking.csv</t>
        </is>
      </c>
    </row>
    <row r="1132">
      <c r="A1132" s="3" t="inlineStr">
        <is>
          <t>compra</t>
        </is>
      </c>
      <c r="B1132" s="3" t="inlineStr">
        <is>
          <t>ccaa:17</t>
        </is>
      </c>
      <c r="C1132" s="3" t="inlineStr">
        <is>
          <t>P2</t>
        </is>
      </c>
      <c r="D1132" s="3" t="inlineStr">
        <is>
          <t>demanda_externa</t>
        </is>
      </c>
      <c r="E1132" s="3" t="inlineStr">
        <is>
          <t>regional_panel</t>
        </is>
      </c>
      <c r="F1132" s="3" t="inlineStr">
        <is>
          <t>panel_covariables</t>
        </is>
      </c>
      <c r="G1132" s="3" t="n">
        <v>0.742177</v>
      </c>
      <c r="H1132" s="3" t="n">
        <v>-1.86601</v>
      </c>
      <c r="I1132" s="3" t="n">
        <v>-0.127711</v>
      </c>
      <c r="J1132" s="3" t="n">
        <v>2.20031</v>
      </c>
      <c r="K1132" s="3" t="n">
        <v>-39.7734</v>
      </c>
      <c r="L1132" s="3" t="n">
        <v>4</v>
      </c>
      <c r="M1132" s="3" t="inlineStr">
        <is>
          <t>si</t>
        </is>
      </c>
      <c r="N1132" s="3" t="inlineStr">
        <is>
          <t>no designado (contraste C4: no hay svar_hd regional)</t>
        </is>
      </c>
      <c r="O1132" s="3" t="inlineStr">
        <is>
          <t>CCAA: ranking por c_f·sign(dY) del panel FE (M8); asociacion, sin lectura causal; el factor comun es un resumen de comovimiento (pendiente ~1 mecanica, J23)</t>
        </is>
      </c>
      <c r="P1132" s="3" t="inlineStr">
        <is>
          <t>output/v8/F5/regional_ranking.csv</t>
        </is>
      </c>
    </row>
    <row r="1133">
      <c r="A1133" s="3" t="inlineStr">
        <is>
          <t>compra</t>
        </is>
      </c>
      <c r="B1133" s="3" t="inlineStr">
        <is>
          <t>ccaa:17</t>
        </is>
      </c>
      <c r="C1133" s="3" t="inlineStr">
        <is>
          <t>P2</t>
        </is>
      </c>
      <c r="D1133" s="3" t="inlineStr">
        <is>
          <t>residuo</t>
        </is>
      </c>
      <c r="E1133" s="3" t="inlineStr">
        <is>
          <t>regional_panel</t>
        </is>
      </c>
      <c r="F1133" s="3" t="inlineStr">
        <is>
          <t>panel_covariables</t>
        </is>
      </c>
      <c r="G1133" s="3" t="n">
        <v>-4.85241</v>
      </c>
      <c r="H1133" s="3" t="n">
        <v>12.2001</v>
      </c>
      <c r="I1133" s="3" t="n">
        <v>-12.5693</v>
      </c>
      <c r="J1133" s="3" t="n">
        <v>2.293</v>
      </c>
      <c r="K1133" s="3" t="n">
        <v>-39.7734</v>
      </c>
      <c r="L1133" s="3" t="n"/>
      <c r="M1133" s="3" t="inlineStr">
        <is>
          <t>no</t>
        </is>
      </c>
      <c r="N1133" s="3" t="inlineStr">
        <is>
          <t>no designado (contraste C4: no hay svar_hd regional)</t>
        </is>
      </c>
      <c r="O1133" s="3" t="inlineStr">
        <is>
          <t>CCAA: ranking por c_f·sign(dY) del panel FE (M8); asociacion, sin lectura causal; el factor comun es un resumen de comovimiento (pendiente ~1 mecanica, J23)</t>
        </is>
      </c>
      <c r="P1133" s="3" t="inlineStr">
        <is>
          <t>output/v8/F5/regional_ranking.csv</t>
        </is>
      </c>
    </row>
    <row r="1134">
      <c r="A1134" s="3" t="inlineStr">
        <is>
          <t>compra</t>
        </is>
      </c>
      <c r="B1134" s="3" t="inlineStr">
        <is>
          <t>ccaa:17</t>
        </is>
      </c>
      <c r="C1134" s="3" t="inlineStr">
        <is>
          <t>P3</t>
        </is>
      </c>
      <c r="D1134" s="3" t="inlineStr">
        <is>
          <t>factor_comun</t>
        </is>
      </c>
      <c r="E1134" s="3" t="inlineStr">
        <is>
          <t>regional_ccaa_ols</t>
        </is>
      </c>
      <c r="F1134" s="3" t="inlineStr">
        <is>
          <t>ols_solo_factor</t>
        </is>
      </c>
      <c r="G1134" s="3" t="n">
        <v>-0.527878</v>
      </c>
      <c r="H1134" s="3" t="n">
        <v>6.01602</v>
      </c>
      <c r="I1134" s="3" t="n">
        <v>-4.59417</v>
      </c>
      <c r="J1134" s="3" t="n">
        <v>2.05583</v>
      </c>
      <c r="K1134" s="3" t="n">
        <v>-8.23132</v>
      </c>
      <c r="L1134" s="3" t="n"/>
      <c r="M1134" s="3" t="inlineStr">
        <is>
          <t>no</t>
        </is>
      </c>
      <c r="N1134" s="3" t="inlineStr">
        <is>
          <t>no designado (contraste C4: no hay svar_hd regional)</t>
        </is>
      </c>
      <c r="O1134" s="3" t="inlineStr">
        <is>
          <t>CCAA: ranking por c_f·sign(dY) del panel FE (M8); asociacion, sin lectura causal; el factor comun es un resumen de comovimiento (pendiente ~1 mecanica, J23)</t>
        </is>
      </c>
      <c r="P1134" s="3" t="inlineStr">
        <is>
          <t>output/v8/F5/regional_ranking.csv</t>
        </is>
      </c>
    </row>
    <row r="1135">
      <c r="A1135" s="3" t="inlineStr">
        <is>
          <t>compra</t>
        </is>
      </c>
      <c r="B1135" s="3" t="inlineStr">
        <is>
          <t>ccaa:17</t>
        </is>
      </c>
      <c r="C1135" s="3" t="inlineStr">
        <is>
          <t>P3</t>
        </is>
      </c>
      <c r="D1135" s="3" t="inlineStr">
        <is>
          <t>residuo</t>
        </is>
      </c>
      <c r="E1135" s="3" t="inlineStr">
        <is>
          <t>regional_ccaa_ols</t>
        </is>
      </c>
      <c r="F1135" s="3" t="inlineStr">
        <is>
          <t>ols_solo_factor</t>
        </is>
      </c>
      <c r="G1135" s="3" t="n">
        <v>-8.24666</v>
      </c>
      <c r="H1135" s="3" t="n">
        <v>93.98399999999999</v>
      </c>
      <c r="I1135" s="3" t="n"/>
      <c r="J1135" s="3" t="n"/>
      <c r="K1135" s="3" t="n">
        <v>-8.23132</v>
      </c>
      <c r="L1135" s="3" t="n"/>
      <c r="M1135" s="3" t="inlineStr">
        <is>
          <t>no</t>
        </is>
      </c>
      <c r="N1135" s="3" t="inlineStr">
        <is>
          <t>no designado (contraste C4: no hay svar_hd regional)</t>
        </is>
      </c>
      <c r="O1135" s="3" t="inlineStr">
        <is>
          <t>CCAA: ranking por c_f·sign(dY) del panel FE (M8); asociacion, sin lectura causal; el factor comun es un resumen de comovimiento (pendiente ~1 mecanica, J23)</t>
        </is>
      </c>
      <c r="P1135" s="3" t="inlineStr">
        <is>
          <t>output/v8/F5/regional_ranking.csv</t>
        </is>
      </c>
    </row>
    <row r="1136">
      <c r="A1136" s="3" t="inlineStr">
        <is>
          <t>compra</t>
        </is>
      </c>
      <c r="B1136" s="3" t="inlineStr">
        <is>
          <t>ccaa:17</t>
        </is>
      </c>
      <c r="C1136" s="3" t="inlineStr">
        <is>
          <t>P3</t>
        </is>
      </c>
      <c r="D1136" s="3" t="inlineStr">
        <is>
          <t>factor_comun</t>
        </is>
      </c>
      <c r="E1136" s="3" t="inlineStr">
        <is>
          <t>regional_panel</t>
        </is>
      </c>
      <c r="F1136" s="3" t="inlineStr">
        <is>
          <t>panel_covariables</t>
        </is>
      </c>
      <c r="G1136" s="3" t="n">
        <v>-0.548472</v>
      </c>
      <c r="H1136" s="3" t="n">
        <v>6.66324</v>
      </c>
      <c r="I1136" s="3" t="n">
        <v>-3.50001</v>
      </c>
      <c r="J1136" s="3" t="n">
        <v>2.45383</v>
      </c>
      <c r="K1136" s="3" t="n">
        <v>-8.23132</v>
      </c>
      <c r="L1136" s="3" t="n"/>
      <c r="M1136" s="3" t="inlineStr">
        <is>
          <t>no</t>
        </is>
      </c>
      <c r="N1136" s="3" t="inlineStr">
        <is>
          <t>no designado (contraste C4: no hay svar_hd regional)</t>
        </is>
      </c>
      <c r="O1136" s="3" t="inlineStr">
        <is>
          <t>CCAA: ranking por c_f·sign(dY) del panel FE (M8); asociacion, sin lectura causal; el factor comun es un resumen de comovimiento (pendiente ~1 mecanica, J23)</t>
        </is>
      </c>
      <c r="P1136" s="3" t="inlineStr">
        <is>
          <t>output/v8/F5/regional_ranking.csv</t>
        </is>
      </c>
    </row>
    <row r="1137">
      <c r="A1137" s="3" t="inlineStr">
        <is>
          <t>compra</t>
        </is>
      </c>
      <c r="B1137" s="3" t="inlineStr">
        <is>
          <t>ccaa:17</t>
        </is>
      </c>
      <c r="C1137" s="3" t="inlineStr">
        <is>
          <t>P3</t>
        </is>
      </c>
      <c r="D1137" s="3" t="inlineStr">
        <is>
          <t>empleo_renta</t>
        </is>
      </c>
      <c r="E1137" s="3" t="inlineStr">
        <is>
          <t>regional_panel</t>
        </is>
      </c>
      <c r="F1137" s="3" t="inlineStr">
        <is>
          <t>panel_covariables</t>
        </is>
      </c>
      <c r="G1137" s="3" t="n">
        <v>0.501627</v>
      </c>
      <c r="H1137" s="3" t="n">
        <v>-6.09413</v>
      </c>
      <c r="I1137" s="3" t="n">
        <v>-0.300247</v>
      </c>
      <c r="J1137" s="3" t="n">
        <v>1.06399</v>
      </c>
      <c r="K1137" s="3" t="n">
        <v>-8.23132</v>
      </c>
      <c r="L1137" s="3" t="n">
        <v>3</v>
      </c>
      <c r="M1137" s="3" t="inlineStr">
        <is>
          <t>si</t>
        </is>
      </c>
      <c r="N1137" s="3" t="inlineStr">
        <is>
          <t>no designado (contraste C4: no hay svar_hd regional)</t>
        </is>
      </c>
      <c r="O1137" s="3" t="inlineStr">
        <is>
          <t>CCAA: ranking por c_f·sign(dY) del panel FE (M8); asociacion, sin lectura causal; el factor comun es un resumen de comovimiento (pendiente ~1 mecanica, J23)</t>
        </is>
      </c>
      <c r="P1137" s="3" t="inlineStr">
        <is>
          <t>output/v8/F5/regional_ranking.csv</t>
        </is>
      </c>
    </row>
    <row r="1138">
      <c r="A1138" s="3" t="inlineStr">
        <is>
          <t>compra</t>
        </is>
      </c>
      <c r="B1138" s="3" t="inlineStr">
        <is>
          <t>ccaa:17</t>
        </is>
      </c>
      <c r="C1138" s="3" t="inlineStr">
        <is>
          <t>P3</t>
        </is>
      </c>
      <c r="D1138" s="3" t="inlineStr">
        <is>
          <t>demografia</t>
        </is>
      </c>
      <c r="E1138" s="3" t="inlineStr">
        <is>
          <t>regional_panel</t>
        </is>
      </c>
      <c r="F1138" s="3" t="inlineStr">
        <is>
          <t>panel_covariables</t>
        </is>
      </c>
      <c r="G1138" s="3" t="n">
        <v>-0.120798</v>
      </c>
      <c r="H1138" s="3" t="n">
        <v>1.46754</v>
      </c>
      <c r="I1138" s="3" t="n">
        <v>-0.564182</v>
      </c>
      <c r="J1138" s="3" t="n">
        <v>0.691143</v>
      </c>
      <c r="K1138" s="3" t="n">
        <v>-8.23132</v>
      </c>
      <c r="L1138" s="3" t="n">
        <v>2</v>
      </c>
      <c r="M1138" s="3" t="inlineStr">
        <is>
          <t>si</t>
        </is>
      </c>
      <c r="N1138" s="3" t="inlineStr">
        <is>
          <t>no designado (contraste C4: no hay svar_hd regional)</t>
        </is>
      </c>
      <c r="O1138" s="3" t="inlineStr">
        <is>
          <t>CCAA: ranking por c_f·sign(dY) del panel FE (M8); asociacion, sin lectura causal; el factor comun es un resumen de comovimiento (pendiente ~1 mecanica, J23)</t>
        </is>
      </c>
      <c r="P1138" s="3" t="inlineStr">
        <is>
          <t>output/v8/F5/regional_ranking.csv</t>
        </is>
      </c>
    </row>
    <row r="1139">
      <c r="A1139" s="3" t="inlineStr">
        <is>
          <t>compra</t>
        </is>
      </c>
      <c r="B1139" s="3" t="inlineStr">
        <is>
          <t>ccaa:17</t>
        </is>
      </c>
      <c r="C1139" s="3" t="inlineStr">
        <is>
          <t>P3</t>
        </is>
      </c>
      <c r="D1139" s="3" t="inlineStr">
        <is>
          <t>oferta</t>
        </is>
      </c>
      <c r="E1139" s="3" t="inlineStr">
        <is>
          <t>regional_panel</t>
        </is>
      </c>
      <c r="F1139" s="3" t="inlineStr">
        <is>
          <t>panel_covariables</t>
        </is>
      </c>
      <c r="G1139" s="3" t="n">
        <v>-0.210134</v>
      </c>
      <c r="H1139" s="3" t="n">
        <v>2.55286</v>
      </c>
      <c r="I1139" s="3" t="n">
        <v>-0.556871</v>
      </c>
      <c r="J1139" s="3" t="n">
        <v>0.151857</v>
      </c>
      <c r="K1139" s="3" t="n">
        <v>-8.23132</v>
      </c>
      <c r="L1139" s="3" t="n">
        <v>1</v>
      </c>
      <c r="M1139" s="3" t="inlineStr">
        <is>
          <t>si</t>
        </is>
      </c>
      <c r="N1139" s="3" t="inlineStr">
        <is>
          <t>no designado (contraste C4: no hay svar_hd regional)</t>
        </is>
      </c>
      <c r="O1139" s="3" t="inlineStr">
        <is>
          <t>CCAA: ranking por c_f·sign(dY) del panel FE (M8); asociacion, sin lectura causal; el factor comun es un resumen de comovimiento (pendiente ~1 mecanica, J23)</t>
        </is>
      </c>
      <c r="P1139" s="3" t="inlineStr">
        <is>
          <t>output/v8/F5/regional_ranking.csv</t>
        </is>
      </c>
    </row>
    <row r="1140">
      <c r="A1140" s="3" t="inlineStr">
        <is>
          <t>compra</t>
        </is>
      </c>
      <c r="B1140" s="3" t="inlineStr">
        <is>
          <t>ccaa:17</t>
        </is>
      </c>
      <c r="C1140" s="3" t="inlineStr">
        <is>
          <t>P3</t>
        </is>
      </c>
      <c r="D1140" s="3" t="inlineStr">
        <is>
          <t>demanda_externa</t>
        </is>
      </c>
      <c r="E1140" s="3" t="inlineStr">
        <is>
          <t>regional_panel</t>
        </is>
      </c>
      <c r="F1140" s="3" t="inlineStr">
        <is>
          <t>panel_covariables</t>
        </is>
      </c>
      <c r="G1140" s="3" t="n">
        <v>1.21591</v>
      </c>
      <c r="H1140" s="3" t="n">
        <v>-14.7718</v>
      </c>
      <c r="I1140" s="3" t="n">
        <v>0.48067</v>
      </c>
      <c r="J1140" s="3" t="n">
        <v>1.94485</v>
      </c>
      <c r="K1140" s="3" t="n">
        <v>-8.23132</v>
      </c>
      <c r="L1140" s="3" t="n">
        <v>4</v>
      </c>
      <c r="M1140" s="3" t="inlineStr">
        <is>
          <t>si</t>
        </is>
      </c>
      <c r="N1140" s="3" t="inlineStr">
        <is>
          <t>no designado (contraste C4: no hay svar_hd regional)</t>
        </is>
      </c>
      <c r="O1140" s="3" t="inlineStr">
        <is>
          <t>CCAA: ranking por c_f·sign(dY) del panel FE (M8); asociacion, sin lectura causal; el factor comun es un resumen de comovimiento (pendiente ~1 mecanica, J23)</t>
        </is>
      </c>
      <c r="P1140" s="3" t="inlineStr">
        <is>
          <t>output/v8/F5/regional_ranking.csv</t>
        </is>
      </c>
    </row>
    <row r="1141">
      <c r="A1141" s="3" t="inlineStr">
        <is>
          <t>compra</t>
        </is>
      </c>
      <c r="B1141" s="3" t="inlineStr">
        <is>
          <t>ccaa:17</t>
        </is>
      </c>
      <c r="C1141" s="3" t="inlineStr">
        <is>
          <t>P3</t>
        </is>
      </c>
      <c r="D1141" s="3" t="inlineStr">
        <is>
          <t>residuo</t>
        </is>
      </c>
      <c r="E1141" s="3" t="inlineStr">
        <is>
          <t>regional_panel</t>
        </is>
      </c>
      <c r="F1141" s="3" t="inlineStr">
        <is>
          <t>panel_covariables</t>
        </is>
      </c>
      <c r="G1141" s="3" t="n">
        <v>-9.069459999999999</v>
      </c>
      <c r="H1141" s="3" t="n">
        <v>110.182</v>
      </c>
      <c r="I1141" s="3" t="n">
        <v>-13.2015</v>
      </c>
      <c r="J1141" s="3" t="n">
        <v>-4.14015</v>
      </c>
      <c r="K1141" s="3" t="n">
        <v>-8.23132</v>
      </c>
      <c r="L1141" s="3" t="n"/>
      <c r="M1141" s="3" t="inlineStr">
        <is>
          <t>no</t>
        </is>
      </c>
      <c r="N1141" s="3" t="inlineStr">
        <is>
          <t>no designado (contraste C4: no hay svar_hd regional)</t>
        </is>
      </c>
      <c r="O1141" s="3" t="inlineStr">
        <is>
          <t>CCAA: ranking por c_f·sign(dY) del panel FE (M8); asociacion, sin lectura causal; el factor comun es un resumen de comovimiento (pendiente ~1 mecanica, J23)</t>
        </is>
      </c>
      <c r="P1141" s="3" t="inlineStr">
        <is>
          <t>output/v8/F5/regional_ranking.csv</t>
        </is>
      </c>
    </row>
    <row r="1142">
      <c r="A1142" s="3" t="inlineStr">
        <is>
          <t>compra</t>
        </is>
      </c>
      <c r="B1142" s="3" t="inlineStr">
        <is>
          <t>ccaa:17</t>
        </is>
      </c>
      <c r="C1142" s="3" t="inlineStr">
        <is>
          <t>P4</t>
        </is>
      </c>
      <c r="D1142" s="3" t="inlineStr">
        <is>
          <t>factor_comun</t>
        </is>
      </c>
      <c r="E1142" s="3" t="inlineStr">
        <is>
          <t>regional_ccaa_ols</t>
        </is>
      </c>
      <c r="F1142" s="3" t="inlineStr">
        <is>
          <t>ols_solo_factor</t>
        </is>
      </c>
      <c r="G1142" s="3" t="n">
        <v>-4.9932</v>
      </c>
      <c r="H1142" s="3" t="n">
        <v>128.38</v>
      </c>
      <c r="I1142" s="3" t="n">
        <v>-7.3626</v>
      </c>
      <c r="J1142" s="3" t="n">
        <v>-3.71415</v>
      </c>
      <c r="K1142" s="3" t="n">
        <v>-3.88939</v>
      </c>
      <c r="L1142" s="3" t="n"/>
      <c r="M1142" s="3" t="inlineStr">
        <is>
          <t>no</t>
        </is>
      </c>
      <c r="N1142" s="3" t="inlineStr">
        <is>
          <t>no designado (contraste C4: no hay svar_hd regional)</t>
        </is>
      </c>
      <c r="O1142" s="3" t="inlineStr">
        <is>
          <t>CCAA: ranking por c_f·sign(dY) del panel FE (M8); asociacion, sin lectura causal; el factor comun es un resumen de comovimiento (pendiente ~1 mecanica, J23)</t>
        </is>
      </c>
      <c r="P1142" s="3" t="inlineStr">
        <is>
          <t>output/v8/F5/regional_ranking.csv</t>
        </is>
      </c>
    </row>
    <row r="1143">
      <c r="A1143" s="3" t="inlineStr">
        <is>
          <t>compra</t>
        </is>
      </c>
      <c r="B1143" s="3" t="inlineStr">
        <is>
          <t>ccaa:17</t>
        </is>
      </c>
      <c r="C1143" s="3" t="inlineStr">
        <is>
          <t>P4</t>
        </is>
      </c>
      <c r="D1143" s="3" t="inlineStr">
        <is>
          <t>residuo</t>
        </is>
      </c>
      <c r="E1143" s="3" t="inlineStr">
        <is>
          <t>regional_ccaa_ols</t>
        </is>
      </c>
      <c r="F1143" s="3" t="inlineStr">
        <is>
          <t>ols_solo_factor</t>
        </is>
      </c>
      <c r="G1143" s="3" t="n">
        <v>1.10381</v>
      </c>
      <c r="H1143" s="3" t="n">
        <v>-28.38</v>
      </c>
      <c r="I1143" s="3" t="n"/>
      <c r="J1143" s="3" t="n"/>
      <c r="K1143" s="3" t="n">
        <v>-3.88939</v>
      </c>
      <c r="L1143" s="3" t="n"/>
      <c r="M1143" s="3" t="inlineStr">
        <is>
          <t>no</t>
        </is>
      </c>
      <c r="N1143" s="3" t="inlineStr">
        <is>
          <t>no designado (contraste C4: no hay svar_hd regional)</t>
        </is>
      </c>
      <c r="O1143" s="3" t="inlineStr">
        <is>
          <t>CCAA: ranking por c_f·sign(dY) del panel FE (M8); asociacion, sin lectura causal; el factor comun es un resumen de comovimiento (pendiente ~1 mecanica, J23)</t>
        </is>
      </c>
      <c r="P1143" s="3" t="inlineStr">
        <is>
          <t>output/v8/F5/regional_ranking.csv</t>
        </is>
      </c>
    </row>
    <row r="1144">
      <c r="A1144" s="3" t="inlineStr">
        <is>
          <t>compra</t>
        </is>
      </c>
      <c r="B1144" s="3" t="inlineStr">
        <is>
          <t>ccaa:17</t>
        </is>
      </c>
      <c r="C1144" s="3" t="inlineStr">
        <is>
          <t>P4</t>
        </is>
      </c>
      <c r="D1144" s="3" t="inlineStr">
        <is>
          <t>factor_comun</t>
        </is>
      </c>
      <c r="E1144" s="3" t="inlineStr">
        <is>
          <t>regional_panel</t>
        </is>
      </c>
      <c r="F1144" s="3" t="inlineStr">
        <is>
          <t>panel_covariables</t>
        </is>
      </c>
      <c r="G1144" s="3" t="n">
        <v>-4.21608</v>
      </c>
      <c r="H1144" s="3" t="n">
        <v>108.399</v>
      </c>
      <c r="I1144" s="3" t="n">
        <v>-5.07352</v>
      </c>
      <c r="J1144" s="3" t="n">
        <v>-2.674</v>
      </c>
      <c r="K1144" s="3" t="n">
        <v>-3.88939</v>
      </c>
      <c r="L1144" s="3" t="n"/>
      <c r="M1144" s="3" t="inlineStr">
        <is>
          <t>no</t>
        </is>
      </c>
      <c r="N1144" s="3" t="inlineStr">
        <is>
          <t>no designado (contraste C4: no hay svar_hd regional)</t>
        </is>
      </c>
      <c r="O1144" s="3" t="inlineStr">
        <is>
          <t>CCAA: ranking por c_f·sign(dY) del panel FE (M8); asociacion, sin lectura causal; el factor comun es un resumen de comovimiento (pendiente ~1 mecanica, J23)</t>
        </is>
      </c>
      <c r="P1144" s="3" t="inlineStr">
        <is>
          <t>output/v8/F5/regional_ranking.csv</t>
        </is>
      </c>
    </row>
    <row r="1145">
      <c r="A1145" s="3" t="inlineStr">
        <is>
          <t>compra</t>
        </is>
      </c>
      <c r="B1145" s="3" t="inlineStr">
        <is>
          <t>ccaa:17</t>
        </is>
      </c>
      <c r="C1145" s="3" t="inlineStr">
        <is>
          <t>P4</t>
        </is>
      </c>
      <c r="D1145" s="3" t="inlineStr">
        <is>
          <t>empleo_renta</t>
        </is>
      </c>
      <c r="E1145" s="3" t="inlineStr">
        <is>
          <t>regional_panel</t>
        </is>
      </c>
      <c r="F1145" s="3" t="inlineStr">
        <is>
          <t>panel_covariables</t>
        </is>
      </c>
      <c r="G1145" s="3" t="n">
        <v>-0.429788</v>
      </c>
      <c r="H1145" s="3" t="n">
        <v>11.0502</v>
      </c>
      <c r="I1145" s="3" t="n">
        <v>-0.565769</v>
      </c>
      <c r="J1145" s="3" t="n">
        <v>0.20377</v>
      </c>
      <c r="K1145" s="3" t="n">
        <v>-3.88939</v>
      </c>
      <c r="L1145" s="3" t="n">
        <v>1</v>
      </c>
      <c r="M1145" s="3" t="inlineStr">
        <is>
          <t>si</t>
        </is>
      </c>
      <c r="N1145" s="3" t="inlineStr">
        <is>
          <t>no designado (contraste C4: no hay svar_hd regional)</t>
        </is>
      </c>
      <c r="O1145" s="3" t="inlineStr">
        <is>
          <t>CCAA: ranking por c_f·sign(dY) del panel FE (M8); asociacion, sin lectura causal; el factor comun es un resumen de comovimiento (pendiente ~1 mecanica, J23)</t>
        </is>
      </c>
      <c r="P1145" s="3" t="inlineStr">
        <is>
          <t>output/v8/F5/regional_ranking.csv</t>
        </is>
      </c>
    </row>
    <row r="1146">
      <c r="A1146" s="3" t="inlineStr">
        <is>
          <t>compra</t>
        </is>
      </c>
      <c r="B1146" s="3" t="inlineStr">
        <is>
          <t>ccaa:17</t>
        </is>
      </c>
      <c r="C1146" s="3" t="inlineStr">
        <is>
          <t>P4</t>
        </is>
      </c>
      <c r="D1146" s="3" t="inlineStr">
        <is>
          <t>demografia</t>
        </is>
      </c>
      <c r="E1146" s="3" t="inlineStr">
        <is>
          <t>regional_panel</t>
        </is>
      </c>
      <c r="F1146" s="3" t="inlineStr">
        <is>
          <t>panel_covariables</t>
        </is>
      </c>
      <c r="G1146" s="3" t="n">
        <v>1.55439</v>
      </c>
      <c r="H1146" s="3" t="n">
        <v>-39.9649</v>
      </c>
      <c r="I1146" s="3" t="n">
        <v>0.731807</v>
      </c>
      <c r="J1146" s="3" t="n">
        <v>2.14424</v>
      </c>
      <c r="K1146" s="3" t="n">
        <v>-3.88939</v>
      </c>
      <c r="L1146" s="3" t="n">
        <v>4</v>
      </c>
      <c r="M1146" s="3" t="inlineStr">
        <is>
          <t>si</t>
        </is>
      </c>
      <c r="N1146" s="3" t="inlineStr">
        <is>
          <t>no designado (contraste C4: no hay svar_hd regional)</t>
        </is>
      </c>
      <c r="O1146" s="3" t="inlineStr">
        <is>
          <t>CCAA: ranking por c_f·sign(dY) del panel FE (M8); asociacion, sin lectura causal; el factor comun es un resumen de comovimiento (pendiente ~1 mecanica, J23)</t>
        </is>
      </c>
      <c r="P1146" s="3" t="inlineStr">
        <is>
          <t>output/v8/F5/regional_ranking.csv</t>
        </is>
      </c>
    </row>
    <row r="1147">
      <c r="A1147" s="3" t="inlineStr">
        <is>
          <t>compra</t>
        </is>
      </c>
      <c r="B1147" s="3" t="inlineStr">
        <is>
          <t>ccaa:17</t>
        </is>
      </c>
      <c r="C1147" s="3" t="inlineStr">
        <is>
          <t>P4</t>
        </is>
      </c>
      <c r="D1147" s="3" t="inlineStr">
        <is>
          <t>oferta</t>
        </is>
      </c>
      <c r="E1147" s="3" t="inlineStr">
        <is>
          <t>regional_panel</t>
        </is>
      </c>
      <c r="F1147" s="3" t="inlineStr">
        <is>
          <t>panel_covariables</t>
        </is>
      </c>
      <c r="G1147" s="3" t="n">
        <v>0.0495255</v>
      </c>
      <c r="H1147" s="3" t="n">
        <v>-1.27335</v>
      </c>
      <c r="I1147" s="3" t="n">
        <v>0.000946049</v>
      </c>
      <c r="J1147" s="3" t="n">
        <v>0.109563</v>
      </c>
      <c r="K1147" s="3" t="n">
        <v>-3.88939</v>
      </c>
      <c r="L1147" s="3" t="n">
        <v>2</v>
      </c>
      <c r="M1147" s="3" t="inlineStr">
        <is>
          <t>si</t>
        </is>
      </c>
      <c r="N1147" s="3" t="inlineStr">
        <is>
          <t>no designado (contraste C4: no hay svar_hd regional)</t>
        </is>
      </c>
      <c r="O1147" s="3" t="inlineStr">
        <is>
          <t>CCAA: ranking por c_f·sign(dY) del panel FE (M8); asociacion, sin lectura causal; el factor comun es un resumen de comovimiento (pendiente ~1 mecanica, J23)</t>
        </is>
      </c>
      <c r="P1147" s="3" t="inlineStr">
        <is>
          <t>output/v8/F5/regional_ranking.csv</t>
        </is>
      </c>
    </row>
    <row r="1148">
      <c r="A1148" s="3" t="inlineStr">
        <is>
          <t>compra</t>
        </is>
      </c>
      <c r="B1148" s="3" t="inlineStr">
        <is>
          <t>ccaa:17</t>
        </is>
      </c>
      <c r="C1148" s="3" t="inlineStr">
        <is>
          <t>P4</t>
        </is>
      </c>
      <c r="D1148" s="3" t="inlineStr">
        <is>
          <t>demanda_externa</t>
        </is>
      </c>
      <c r="E1148" s="3" t="inlineStr">
        <is>
          <t>regional_panel</t>
        </is>
      </c>
      <c r="F1148" s="3" t="inlineStr">
        <is>
          <t>panel_covariables</t>
        </is>
      </c>
      <c r="G1148" s="3" t="n">
        <v>0.113213</v>
      </c>
      <c r="H1148" s="3" t="n">
        <v>-2.91082</v>
      </c>
      <c r="I1148" s="3" t="n">
        <v>-0.0711296</v>
      </c>
      <c r="J1148" s="3" t="n">
        <v>0.227739</v>
      </c>
      <c r="K1148" s="3" t="n">
        <v>-3.88939</v>
      </c>
      <c r="L1148" s="3" t="n">
        <v>3</v>
      </c>
      <c r="M1148" s="3" t="inlineStr">
        <is>
          <t>si</t>
        </is>
      </c>
      <c r="N1148" s="3" t="inlineStr">
        <is>
          <t>no designado (contraste C4: no hay svar_hd regional)</t>
        </is>
      </c>
      <c r="O1148" s="3" t="inlineStr">
        <is>
          <t>CCAA: ranking por c_f·sign(dY) del panel FE (M8); asociacion, sin lectura causal; el factor comun es un resumen de comovimiento (pendiente ~1 mecanica, J23)</t>
        </is>
      </c>
      <c r="P1148" s="3" t="inlineStr">
        <is>
          <t>output/v8/F5/regional_ranking.csv</t>
        </is>
      </c>
    </row>
    <row r="1149">
      <c r="A1149" s="3" t="inlineStr">
        <is>
          <t>compra</t>
        </is>
      </c>
      <c r="B1149" s="3" t="inlineStr">
        <is>
          <t>ccaa:17</t>
        </is>
      </c>
      <c r="C1149" s="3" t="inlineStr">
        <is>
          <t>P4</t>
        </is>
      </c>
      <c r="D1149" s="3" t="inlineStr">
        <is>
          <t>residuo</t>
        </is>
      </c>
      <c r="E1149" s="3" t="inlineStr">
        <is>
          <t>regional_panel</t>
        </is>
      </c>
      <c r="F1149" s="3" t="inlineStr">
        <is>
          <t>panel_covariables</t>
        </is>
      </c>
      <c r="G1149" s="3" t="n">
        <v>-0.960654</v>
      </c>
      <c r="H1149" s="3" t="n">
        <v>24.6993</v>
      </c>
      <c r="I1149" s="3" t="n">
        <v>-3.86414</v>
      </c>
      <c r="J1149" s="3" t="n">
        <v>1.30894</v>
      </c>
      <c r="K1149" s="3" t="n">
        <v>-3.88939</v>
      </c>
      <c r="L1149" s="3" t="n"/>
      <c r="M1149" s="3" t="inlineStr">
        <is>
          <t>no</t>
        </is>
      </c>
      <c r="N1149" s="3" t="inlineStr">
        <is>
          <t>no designado (contraste C4: no hay svar_hd regional)</t>
        </is>
      </c>
      <c r="O1149" s="3" t="inlineStr">
        <is>
          <t>CCAA: ranking por c_f·sign(dY) del panel FE (M8); asociacion, sin lectura causal; el factor comun es un resumen de comovimiento (pendiente ~1 mecanica, J23)</t>
        </is>
      </c>
      <c r="P1149" s="3" t="inlineStr">
        <is>
          <t>output/v8/F5/regional_ranking.csv</t>
        </is>
      </c>
    </row>
    <row r="1150">
      <c r="A1150" s="3" t="inlineStr">
        <is>
          <t>compra</t>
        </is>
      </c>
      <c r="B1150" s="3" t="inlineStr">
        <is>
          <t>ccaa:17</t>
        </is>
      </c>
      <c r="C1150" s="3" t="inlineStr">
        <is>
          <t>P5</t>
        </is>
      </c>
      <c r="D1150" s="3" t="inlineStr">
        <is>
          <t>factor_comun</t>
        </is>
      </c>
      <c r="E1150" s="3" t="inlineStr">
        <is>
          <t>regional_ccaa_ols</t>
        </is>
      </c>
      <c r="F1150" s="3" t="inlineStr">
        <is>
          <t>ols_solo_factor</t>
        </is>
      </c>
      <c r="G1150" s="3" t="n">
        <v>8.21968</v>
      </c>
      <c r="H1150" s="3" t="n">
        <v>132.467</v>
      </c>
      <c r="I1150" s="3" t="n">
        <v>3.01228</v>
      </c>
      <c r="J1150" s="3" t="n">
        <v>14.078</v>
      </c>
      <c r="K1150" s="3" t="n">
        <v>-0.252197</v>
      </c>
      <c r="L1150" s="3" t="n"/>
      <c r="M1150" s="3" t="inlineStr">
        <is>
          <t>no</t>
        </is>
      </c>
      <c r="N1150" s="3" t="inlineStr">
        <is>
          <t>no designado (contraste C4: no hay svar_hd regional)</t>
        </is>
      </c>
      <c r="O1150" s="3" t="inlineStr">
        <is>
          <t>CCAA: ranking por c_f·sign(dY) del panel FE (M8); asociacion, sin lectura causal; el factor comun es un resumen de comovimiento (pendiente ~1 mecanica, J23)</t>
        </is>
      </c>
      <c r="P1150" s="3" t="inlineStr">
        <is>
          <t>output/v8/F5/regional_ranking.csv</t>
        </is>
      </c>
    </row>
    <row r="1151">
      <c r="A1151" s="3" t="inlineStr">
        <is>
          <t>compra</t>
        </is>
      </c>
      <c r="B1151" s="3" t="inlineStr">
        <is>
          <t>ccaa:17</t>
        </is>
      </c>
      <c r="C1151" s="3" t="inlineStr">
        <is>
          <t>P5</t>
        </is>
      </c>
      <c r="D1151" s="3" t="inlineStr">
        <is>
          <t>residuo</t>
        </is>
      </c>
      <c r="E1151" s="3" t="inlineStr">
        <is>
          <t>regional_ccaa_ols</t>
        </is>
      </c>
      <c r="F1151" s="3" t="inlineStr">
        <is>
          <t>ols_solo_factor</t>
        </is>
      </c>
      <c r="G1151" s="3" t="n">
        <v>-2.01458</v>
      </c>
      <c r="H1151" s="3" t="n">
        <v>-32.4666</v>
      </c>
      <c r="I1151" s="3" t="n"/>
      <c r="J1151" s="3" t="n"/>
      <c r="K1151" s="3" t="n">
        <v>-0.252197</v>
      </c>
      <c r="L1151" s="3" t="n"/>
      <c r="M1151" s="3" t="inlineStr">
        <is>
          <t>no</t>
        </is>
      </c>
      <c r="N1151" s="3" t="inlineStr">
        <is>
          <t>no designado (contraste C4: no hay svar_hd regional)</t>
        </is>
      </c>
      <c r="O1151" s="3" t="inlineStr">
        <is>
          <t>CCAA: ranking por c_f·sign(dY) del panel FE (M8); asociacion, sin lectura causal; el factor comun es un resumen de comovimiento (pendiente ~1 mecanica, J23)</t>
        </is>
      </c>
      <c r="P1151" s="3" t="inlineStr">
        <is>
          <t>output/v8/F5/regional_ranking.csv</t>
        </is>
      </c>
    </row>
    <row r="1152">
      <c r="A1152" s="3" t="inlineStr">
        <is>
          <t>compra</t>
        </is>
      </c>
      <c r="B1152" s="3" t="inlineStr">
        <is>
          <t>ccaa:17</t>
        </is>
      </c>
      <c r="C1152" s="3" t="inlineStr">
        <is>
          <t>P5</t>
        </is>
      </c>
      <c r="D1152" s="3" t="inlineStr">
        <is>
          <t>factor_comun</t>
        </is>
      </c>
      <c r="E1152" s="3" t="inlineStr">
        <is>
          <t>regional_panel</t>
        </is>
      </c>
      <c r="F1152" s="3" t="inlineStr">
        <is>
          <t>panel_covariables</t>
        </is>
      </c>
      <c r="G1152" s="3" t="n">
        <v>1.50215</v>
      </c>
      <c r="H1152" s="3" t="n">
        <v>-595.624</v>
      </c>
      <c r="I1152" s="3" t="n">
        <v>-1.20824</v>
      </c>
      <c r="J1152" s="3" t="n">
        <v>4.46537</v>
      </c>
      <c r="K1152" s="3" t="n">
        <v>-0.252197</v>
      </c>
      <c r="L1152" s="3" t="n"/>
      <c r="M1152" s="3" t="inlineStr">
        <is>
          <t>no</t>
        </is>
      </c>
      <c r="N1152" s="3" t="inlineStr">
        <is>
          <t>no designado (contraste C4: no hay svar_hd regional)</t>
        </is>
      </c>
      <c r="O1152" s="3" t="inlineStr">
        <is>
          <t>CCAA: ranking por c_f·sign(dY) del panel FE (M8); asociacion, sin lectura causal; el factor comun es un resumen de comovimiento (pendiente ~1 mecanica, J23)</t>
        </is>
      </c>
      <c r="P1152" s="3" t="inlineStr">
        <is>
          <t>output/v8/F5/regional_ranking.csv</t>
        </is>
      </c>
    </row>
    <row r="1153">
      <c r="A1153" s="3" t="inlineStr">
        <is>
          <t>compra</t>
        </is>
      </c>
      <c r="B1153" s="3" t="inlineStr">
        <is>
          <t>ccaa:17</t>
        </is>
      </c>
      <c r="C1153" s="3" t="inlineStr">
        <is>
          <t>P5</t>
        </is>
      </c>
      <c r="D1153" s="3" t="inlineStr">
        <is>
          <t>empleo_renta</t>
        </is>
      </c>
      <c r="E1153" s="3" t="inlineStr">
        <is>
          <t>regional_panel</t>
        </is>
      </c>
      <c r="F1153" s="3" t="inlineStr">
        <is>
          <t>panel_covariables</t>
        </is>
      </c>
      <c r="G1153" s="3" t="n">
        <v>0.0802918</v>
      </c>
      <c r="H1153" s="3" t="n">
        <v>-31.8369</v>
      </c>
      <c r="I1153" s="3" t="n">
        <v>-0.284452</v>
      </c>
      <c r="J1153" s="3" t="n">
        <v>0.48723</v>
      </c>
      <c r="K1153" s="3" t="n">
        <v>-0.252197</v>
      </c>
      <c r="L1153" s="3" t="n">
        <v>4</v>
      </c>
      <c r="M1153" s="3" t="inlineStr">
        <is>
          <t>si</t>
        </is>
      </c>
      <c r="N1153" s="3" t="inlineStr">
        <is>
          <t>no designado (contraste C4: no hay svar_hd regional)</t>
        </is>
      </c>
      <c r="O1153" s="3" t="inlineStr">
        <is>
          <t>CCAA: ranking por c_f·sign(dY) del panel FE (M8); asociacion, sin lectura causal; el factor comun es un resumen de comovimiento (pendiente ~1 mecanica, J23)</t>
        </is>
      </c>
      <c r="P1153" s="3" t="inlineStr">
        <is>
          <t>output/v8/F5/regional_ranking.csv</t>
        </is>
      </c>
    </row>
    <row r="1154">
      <c r="A1154" s="3" t="inlineStr">
        <is>
          <t>compra</t>
        </is>
      </c>
      <c r="B1154" s="3" t="inlineStr">
        <is>
          <t>ccaa:17</t>
        </is>
      </c>
      <c r="C1154" s="3" t="inlineStr">
        <is>
          <t>P5</t>
        </is>
      </c>
      <c r="D1154" s="3" t="inlineStr">
        <is>
          <t>demografia</t>
        </is>
      </c>
      <c r="E1154" s="3" t="inlineStr">
        <is>
          <t>regional_panel</t>
        </is>
      </c>
      <c r="F1154" s="3" t="inlineStr">
        <is>
          <t>panel_covariables</t>
        </is>
      </c>
      <c r="G1154" s="3" t="n">
        <v>-0.543178</v>
      </c>
      <c r="H1154" s="3" t="n">
        <v>215.378</v>
      </c>
      <c r="I1154" s="3" t="n">
        <v>-2.62636</v>
      </c>
      <c r="J1154" s="3" t="n">
        <v>1.46569</v>
      </c>
      <c r="K1154" s="3" t="n">
        <v>-0.252197</v>
      </c>
      <c r="L1154" s="3" t="n">
        <v>1</v>
      </c>
      <c r="M1154" s="3" t="inlineStr">
        <is>
          <t>si</t>
        </is>
      </c>
      <c r="N1154" s="3" t="inlineStr">
        <is>
          <t>no designado (contraste C4: no hay svar_hd regional)</t>
        </is>
      </c>
      <c r="O1154" s="3" t="inlineStr">
        <is>
          <t>CCAA: ranking por c_f·sign(dY) del panel FE (M8); asociacion, sin lectura causal; el factor comun es un resumen de comovimiento (pendiente ~1 mecanica, J23)</t>
        </is>
      </c>
      <c r="P1154" s="3" t="inlineStr">
        <is>
          <t>output/v8/F5/regional_ranking.csv</t>
        </is>
      </c>
    </row>
    <row r="1155">
      <c r="A1155" s="3" t="inlineStr">
        <is>
          <t>compra</t>
        </is>
      </c>
      <c r="B1155" s="3" t="inlineStr">
        <is>
          <t>ccaa:17</t>
        </is>
      </c>
      <c r="C1155" s="3" t="inlineStr">
        <is>
          <t>P5</t>
        </is>
      </c>
      <c r="D1155" s="3" t="inlineStr">
        <is>
          <t>oferta</t>
        </is>
      </c>
      <c r="E1155" s="3" t="inlineStr">
        <is>
          <t>regional_panel</t>
        </is>
      </c>
      <c r="F1155" s="3" t="inlineStr">
        <is>
          <t>panel_covariables</t>
        </is>
      </c>
      <c r="G1155" s="3" t="n">
        <v>-0.000203761</v>
      </c>
      <c r="H1155" s="3" t="n">
        <v>0.0807942</v>
      </c>
      <c r="I1155" s="3" t="n">
        <v>-0.114451</v>
      </c>
      <c r="J1155" s="3" t="n">
        <v>0.122743</v>
      </c>
      <c r="K1155" s="3" t="n">
        <v>-0.252197</v>
      </c>
      <c r="L1155" s="3" t="n">
        <v>3</v>
      </c>
      <c r="M1155" s="3" t="inlineStr">
        <is>
          <t>si</t>
        </is>
      </c>
      <c r="N1155" s="3" t="inlineStr">
        <is>
          <t>no designado (contraste C4: no hay svar_hd regional)</t>
        </is>
      </c>
      <c r="O1155" s="3" t="inlineStr">
        <is>
          <t>CCAA: ranking por c_f·sign(dY) del panel FE (M8); asociacion, sin lectura causal; el factor comun es un resumen de comovimiento (pendiente ~1 mecanica, J23)</t>
        </is>
      </c>
      <c r="P1155" s="3" t="inlineStr">
        <is>
          <t>output/v8/F5/regional_ranking.csv</t>
        </is>
      </c>
    </row>
    <row r="1156">
      <c r="A1156" s="3" t="inlineStr">
        <is>
          <t>compra</t>
        </is>
      </c>
      <c r="B1156" s="3" t="inlineStr">
        <is>
          <t>ccaa:17</t>
        </is>
      </c>
      <c r="C1156" s="3" t="inlineStr">
        <is>
          <t>P5</t>
        </is>
      </c>
      <c r="D1156" s="3" t="inlineStr">
        <is>
          <t>demanda_externa</t>
        </is>
      </c>
      <c r="E1156" s="3" t="inlineStr">
        <is>
          <t>regional_panel</t>
        </is>
      </c>
      <c r="F1156" s="3" t="inlineStr">
        <is>
          <t>panel_covariables</t>
        </is>
      </c>
      <c r="G1156" s="3" t="n">
        <v>-0.0113832</v>
      </c>
      <c r="H1156" s="3" t="n">
        <v>4.5136</v>
      </c>
      <c r="I1156" s="3" t="n">
        <v>-0.130682</v>
      </c>
      <c r="J1156" s="3" t="n">
        <v>0.182714</v>
      </c>
      <c r="K1156" s="3" t="n">
        <v>-0.252197</v>
      </c>
      <c r="L1156" s="3" t="n">
        <v>2</v>
      </c>
      <c r="M1156" s="3" t="inlineStr">
        <is>
          <t>si</t>
        </is>
      </c>
      <c r="N1156" s="3" t="inlineStr">
        <is>
          <t>no designado (contraste C4: no hay svar_hd regional)</t>
        </is>
      </c>
      <c r="O1156" s="3" t="inlineStr">
        <is>
          <t>CCAA: ranking por c_f·sign(dY) del panel FE (M8); asociacion, sin lectura causal; el factor comun es un resumen de comovimiento (pendiente ~1 mecanica, J23)</t>
        </is>
      </c>
      <c r="P1156" s="3" t="inlineStr">
        <is>
          <t>output/v8/F5/regional_ranking.csv</t>
        </is>
      </c>
    </row>
    <row r="1157">
      <c r="A1157" s="3" t="inlineStr">
        <is>
          <t>compra</t>
        </is>
      </c>
      <c r="B1157" s="3" t="inlineStr">
        <is>
          <t>ccaa:17</t>
        </is>
      </c>
      <c r="C1157" s="3" t="inlineStr">
        <is>
          <t>P5</t>
        </is>
      </c>
      <c r="D1157" s="3" t="inlineStr">
        <is>
          <t>residuo</t>
        </is>
      </c>
      <c r="E1157" s="3" t="inlineStr">
        <is>
          <t>regional_panel</t>
        </is>
      </c>
      <c r="F1157" s="3" t="inlineStr">
        <is>
          <t>panel_covariables</t>
        </is>
      </c>
      <c r="G1157" s="3" t="n">
        <v>-1.27987</v>
      </c>
      <c r="H1157" s="3" t="n">
        <v>507.488</v>
      </c>
      <c r="I1157" s="3" t="n">
        <v>-5.22443</v>
      </c>
      <c r="J1157" s="3" t="n">
        <v>2.75281</v>
      </c>
      <c r="K1157" s="3" t="n">
        <v>-0.252197</v>
      </c>
      <c r="L1157" s="3" t="n"/>
      <c r="M1157" s="3" t="inlineStr">
        <is>
          <t>no</t>
        </is>
      </c>
      <c r="N1157" s="3" t="inlineStr">
        <is>
          <t>no designado (contraste C4: no hay svar_hd regional)</t>
        </is>
      </c>
      <c r="O1157" s="3" t="inlineStr">
        <is>
          <t>CCAA: ranking por c_f·sign(dY) del panel FE (M8); asociacion, sin lectura causal; el factor comun es un resumen de comovimiento (pendiente ~1 mecanica, J23)</t>
        </is>
      </c>
      <c r="P1157" s="3" t="inlineStr">
        <is>
          <t>output/v8/F5/regional_ranking.csv</t>
        </is>
      </c>
    </row>
    <row r="1158">
      <c r="A1158" s="3" t="inlineStr">
        <is>
          <t>compra</t>
        </is>
      </c>
      <c r="B1158" s="3" t="inlineStr">
        <is>
          <t>cv_prov:03</t>
        </is>
      </c>
      <c r="C1158" s="3" t="inlineStr">
        <is>
          <t>P1</t>
        </is>
      </c>
      <c r="D1158" s="3" t="inlineStr">
        <is>
          <t>factor_comun</t>
        </is>
      </c>
      <c r="E1158" s="3" t="inlineStr">
        <is>
          <t>contabilidad</t>
        </is>
      </c>
      <c r="F1158" s="3" t="inlineStr">
        <is>
          <t>ols_factor_nacional</t>
        </is>
      </c>
      <c r="G1158" s="3" t="n">
        <v>80.9421</v>
      </c>
      <c r="H1158" s="3" t="n">
        <v>85.28319999999999</v>
      </c>
      <c r="I1158" s="3" t="n">
        <v>61.4336</v>
      </c>
      <c r="J1158" s="3" t="n">
        <v>98.10509999999999</v>
      </c>
      <c r="K1158" s="3" t="n">
        <v>94.9098</v>
      </c>
      <c r="L1158" s="3" t="n"/>
      <c r="M1158" s="3" t="inlineStr">
        <is>
          <t>no</t>
        </is>
      </c>
      <c r="N1158" s="3" t="inlineStr">
        <is>
          <t>no designado (contraste C4: no hay svar_hd regional)</t>
        </is>
      </c>
      <c r="O115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58" s="3" t="inlineStr">
        <is>
          <t>output/v8/F5/regional_ranking.csv</t>
        </is>
      </c>
    </row>
    <row r="1159">
      <c r="A1159" s="3" t="inlineStr">
        <is>
          <t>compra</t>
        </is>
      </c>
      <c r="B1159" s="3" t="inlineStr">
        <is>
          <t>cv_prov:03</t>
        </is>
      </c>
      <c r="C1159" s="3" t="inlineStr">
        <is>
          <t>P1</t>
        </is>
      </c>
      <c r="D1159" s="3" t="inlineStr">
        <is>
          <t>residuo</t>
        </is>
      </c>
      <c r="E1159" s="3" t="inlineStr">
        <is>
          <t>contabilidad</t>
        </is>
      </c>
      <c r="F1159" s="3" t="inlineStr">
        <is>
          <t>ols_factor_nacional</t>
        </is>
      </c>
      <c r="G1159" s="3" t="n">
        <v>13.9677</v>
      </c>
      <c r="H1159" s="3" t="n">
        <v>14.7168</v>
      </c>
      <c r="I1159" s="3" t="n"/>
      <c r="J1159" s="3" t="n"/>
      <c r="K1159" s="3" t="n">
        <v>94.9098</v>
      </c>
      <c r="L1159" s="3" t="n"/>
      <c r="M1159" s="3" t="inlineStr">
        <is>
          <t>no</t>
        </is>
      </c>
      <c r="N1159" s="3" t="inlineStr">
        <is>
          <t>no designado (contraste C4: no hay svar_hd regional)</t>
        </is>
      </c>
      <c r="O115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59" s="3" t="inlineStr">
        <is>
          <t>output/v8/F5/regional_ranking.csv</t>
        </is>
      </c>
    </row>
    <row r="1160">
      <c r="A1160" s="3" t="inlineStr">
        <is>
          <t>compra</t>
        </is>
      </c>
      <c r="B1160" s="3" t="inlineStr">
        <is>
          <t>cv_prov:03</t>
        </is>
      </c>
      <c r="C1160" s="3" t="inlineStr">
        <is>
          <t>P2</t>
        </is>
      </c>
      <c r="D1160" s="3" t="inlineStr">
        <is>
          <t>factor_comun</t>
        </is>
      </c>
      <c r="E1160" s="3" t="inlineStr">
        <is>
          <t>contabilidad</t>
        </is>
      </c>
      <c r="F1160" s="3" t="inlineStr">
        <is>
          <t>ols_factor_nacional</t>
        </is>
      </c>
      <c r="G1160" s="3" t="n">
        <v>-26.1861</v>
      </c>
      <c r="H1160" s="3" t="n">
        <v>56.2392</v>
      </c>
      <c r="I1160" s="3" t="n">
        <v>-43.3364</v>
      </c>
      <c r="J1160" s="3" t="n">
        <v>-11.0616</v>
      </c>
      <c r="K1160" s="3" t="n">
        <v>-46.5621</v>
      </c>
      <c r="L1160" s="3" t="n"/>
      <c r="M1160" s="3" t="inlineStr">
        <is>
          <t>no</t>
        </is>
      </c>
      <c r="N1160" s="3" t="inlineStr">
        <is>
          <t>no designado (contraste C4: no hay svar_hd regional)</t>
        </is>
      </c>
      <c r="O116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0" s="3" t="inlineStr">
        <is>
          <t>output/v8/F5/regional_ranking.csv</t>
        </is>
      </c>
    </row>
    <row r="1161">
      <c r="A1161" s="3" t="inlineStr">
        <is>
          <t>compra</t>
        </is>
      </c>
      <c r="B1161" s="3" t="inlineStr">
        <is>
          <t>cv_prov:03</t>
        </is>
      </c>
      <c r="C1161" s="3" t="inlineStr">
        <is>
          <t>P2</t>
        </is>
      </c>
      <c r="D1161" s="3" t="inlineStr">
        <is>
          <t>residuo</t>
        </is>
      </c>
      <c r="E1161" s="3" t="inlineStr">
        <is>
          <t>contabilidad</t>
        </is>
      </c>
      <c r="F1161" s="3" t="inlineStr">
        <is>
          <t>ols_factor_nacional</t>
        </is>
      </c>
      <c r="G1161" s="3" t="n">
        <v>-20.3759</v>
      </c>
      <c r="H1161" s="3" t="n">
        <v>43.7608</v>
      </c>
      <c r="I1161" s="3" t="n"/>
      <c r="J1161" s="3" t="n"/>
      <c r="K1161" s="3" t="n">
        <v>-46.5621</v>
      </c>
      <c r="L1161" s="3" t="n"/>
      <c r="M1161" s="3" t="inlineStr">
        <is>
          <t>no</t>
        </is>
      </c>
      <c r="N1161" s="3" t="inlineStr">
        <is>
          <t>no designado (contraste C4: no hay svar_hd regional)</t>
        </is>
      </c>
      <c r="O116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1" s="3" t="inlineStr">
        <is>
          <t>output/v8/F5/regional_ranking.csv</t>
        </is>
      </c>
    </row>
    <row r="1162">
      <c r="A1162" s="3" t="inlineStr">
        <is>
          <t>compra</t>
        </is>
      </c>
      <c r="B1162" s="3" t="inlineStr">
        <is>
          <t>cv_prov:03</t>
        </is>
      </c>
      <c r="C1162" s="3" t="inlineStr">
        <is>
          <t>P3</t>
        </is>
      </c>
      <c r="D1162" s="3" t="inlineStr">
        <is>
          <t>factor_comun</t>
        </is>
      </c>
      <c r="E1162" s="3" t="inlineStr">
        <is>
          <t>contabilidad</t>
        </is>
      </c>
      <c r="F1162" s="3" t="inlineStr">
        <is>
          <t>ols_factor_nacional</t>
        </is>
      </c>
      <c r="G1162" s="3" t="n">
        <v>-0.279076</v>
      </c>
      <c r="H1162" s="3" t="n">
        <v>-6.62561</v>
      </c>
      <c r="I1162" s="3" t="n">
        <v>-1.75766</v>
      </c>
      <c r="J1162" s="3" t="n">
        <v>1.87119</v>
      </c>
      <c r="K1162" s="3" t="n">
        <v>4.21208</v>
      </c>
      <c r="L1162" s="3" t="n"/>
      <c r="M1162" s="3" t="inlineStr">
        <is>
          <t>no</t>
        </is>
      </c>
      <c r="N1162" s="3" t="inlineStr">
        <is>
          <t>no designado (contraste C4: no hay svar_hd regional)</t>
        </is>
      </c>
      <c r="O116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2" s="3" t="inlineStr">
        <is>
          <t>output/v8/F5/regional_ranking.csv</t>
        </is>
      </c>
    </row>
    <row r="1163">
      <c r="A1163" s="3" t="inlineStr">
        <is>
          <t>compra</t>
        </is>
      </c>
      <c r="B1163" s="3" t="inlineStr">
        <is>
          <t>cv_prov:03</t>
        </is>
      </c>
      <c r="C1163" s="3" t="inlineStr">
        <is>
          <t>P3</t>
        </is>
      </c>
      <c r="D1163" s="3" t="inlineStr">
        <is>
          <t>residuo</t>
        </is>
      </c>
      <c r="E1163" s="3" t="inlineStr">
        <is>
          <t>contabilidad</t>
        </is>
      </c>
      <c r="F1163" s="3" t="inlineStr">
        <is>
          <t>ols_factor_nacional</t>
        </is>
      </c>
      <c r="G1163" s="3" t="n">
        <v>4.49116</v>
      </c>
      <c r="H1163" s="3" t="n">
        <v>106.626</v>
      </c>
      <c r="I1163" s="3" t="n"/>
      <c r="J1163" s="3" t="n"/>
      <c r="K1163" s="3" t="n">
        <v>4.21208</v>
      </c>
      <c r="L1163" s="3" t="n"/>
      <c r="M1163" s="3" t="inlineStr">
        <is>
          <t>no</t>
        </is>
      </c>
      <c r="N1163" s="3" t="inlineStr">
        <is>
          <t>no designado (contraste C4: no hay svar_hd regional)</t>
        </is>
      </c>
      <c r="O116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3" s="3" t="inlineStr">
        <is>
          <t>output/v8/F5/regional_ranking.csv</t>
        </is>
      </c>
    </row>
    <row r="1164">
      <c r="A1164" s="3" t="inlineStr">
        <is>
          <t>compra</t>
        </is>
      </c>
      <c r="B1164" s="3" t="inlineStr">
        <is>
          <t>cv_prov:03</t>
        </is>
      </c>
      <c r="C1164" s="3" t="inlineStr">
        <is>
          <t>P4</t>
        </is>
      </c>
      <c r="D1164" s="3" t="inlineStr">
        <is>
          <t>factor_comun</t>
        </is>
      </c>
      <c r="E1164" s="3" t="inlineStr">
        <is>
          <t>contabilidad</t>
        </is>
      </c>
      <c r="F1164" s="3" t="inlineStr">
        <is>
          <t>ols_factor_nacional</t>
        </is>
      </c>
      <c r="G1164" s="3" t="n">
        <v>-1.63847</v>
      </c>
      <c r="H1164" s="3" t="n">
        <v>147.253</v>
      </c>
      <c r="I1164" s="3" t="n">
        <v>-3.03906</v>
      </c>
      <c r="J1164" s="3" t="n">
        <v>-0.294285</v>
      </c>
      <c r="K1164" s="3" t="n">
        <v>-1.11269</v>
      </c>
      <c r="L1164" s="3" t="n"/>
      <c r="M1164" s="3" t="inlineStr">
        <is>
          <t>no</t>
        </is>
      </c>
      <c r="N1164" s="3" t="inlineStr">
        <is>
          <t>no designado (contraste C4: no hay svar_hd regional)</t>
        </is>
      </c>
      <c r="O116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4" s="3" t="inlineStr">
        <is>
          <t>output/v8/F5/regional_ranking.csv</t>
        </is>
      </c>
    </row>
    <row r="1165">
      <c r="A1165" s="3" t="inlineStr">
        <is>
          <t>compra</t>
        </is>
      </c>
      <c r="B1165" s="3" t="inlineStr">
        <is>
          <t>cv_prov:03</t>
        </is>
      </c>
      <c r="C1165" s="3" t="inlineStr">
        <is>
          <t>P4</t>
        </is>
      </c>
      <c r="D1165" s="3" t="inlineStr">
        <is>
          <t>residuo</t>
        </is>
      </c>
      <c r="E1165" s="3" t="inlineStr">
        <is>
          <t>contabilidad</t>
        </is>
      </c>
      <c r="F1165" s="3" t="inlineStr">
        <is>
          <t>ols_factor_nacional</t>
        </is>
      </c>
      <c r="G1165" s="3" t="n">
        <v>0.52578</v>
      </c>
      <c r="H1165" s="3" t="n">
        <v>-47.253</v>
      </c>
      <c r="I1165" s="3" t="n"/>
      <c r="J1165" s="3" t="n"/>
      <c r="K1165" s="3" t="n">
        <v>-1.11269</v>
      </c>
      <c r="L1165" s="3" t="n"/>
      <c r="M1165" s="3" t="inlineStr">
        <is>
          <t>no</t>
        </is>
      </c>
      <c r="N1165" s="3" t="inlineStr">
        <is>
          <t>no designado (contraste C4: no hay svar_hd regional)</t>
        </is>
      </c>
      <c r="O116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5" s="3" t="inlineStr">
        <is>
          <t>output/v8/F5/regional_ranking.csv</t>
        </is>
      </c>
    </row>
    <row r="1166">
      <c r="A1166" s="3" t="inlineStr">
        <is>
          <t>compra</t>
        </is>
      </c>
      <c r="B1166" s="3" t="inlineStr">
        <is>
          <t>cv_prov:03</t>
        </is>
      </c>
      <c r="C1166" s="3" t="inlineStr">
        <is>
          <t>P5</t>
        </is>
      </c>
      <c r="D1166" s="3" t="inlineStr">
        <is>
          <t>factor_comun</t>
        </is>
      </c>
      <c r="E1166" s="3" t="inlineStr">
        <is>
          <t>contabilidad</t>
        </is>
      </c>
      <c r="F1166" s="3" t="inlineStr">
        <is>
          <t>ols_factor_nacional</t>
        </is>
      </c>
      <c r="G1166" s="3" t="n">
        <v>11.2428</v>
      </c>
      <c r="H1166" s="3" t="n">
        <v>66.7504</v>
      </c>
      <c r="I1166" s="3" t="n">
        <v>4.58459</v>
      </c>
      <c r="J1166" s="3" t="n">
        <v>16.8005</v>
      </c>
      <c r="K1166" s="3" t="n">
        <v>16.8431</v>
      </c>
      <c r="L1166" s="3" t="n"/>
      <c r="M1166" s="3" t="inlineStr">
        <is>
          <t>no</t>
        </is>
      </c>
      <c r="N1166" s="3" t="inlineStr">
        <is>
          <t>no designado (contraste C4: no hay svar_hd regional)</t>
        </is>
      </c>
      <c r="O116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6" s="3" t="inlineStr">
        <is>
          <t>output/v8/F5/regional_ranking.csv</t>
        </is>
      </c>
    </row>
    <row r="1167">
      <c r="A1167" s="3" t="inlineStr">
        <is>
          <t>compra</t>
        </is>
      </c>
      <c r="B1167" s="3" t="inlineStr">
        <is>
          <t>cv_prov:03</t>
        </is>
      </c>
      <c r="C1167" s="3" t="inlineStr">
        <is>
          <t>P5</t>
        </is>
      </c>
      <c r="D1167" s="3" t="inlineStr">
        <is>
          <t>residuo</t>
        </is>
      </c>
      <c r="E1167" s="3" t="inlineStr">
        <is>
          <t>contabilidad</t>
        </is>
      </c>
      <c r="F1167" s="3" t="inlineStr">
        <is>
          <t>ols_factor_nacional</t>
        </is>
      </c>
      <c r="G1167" s="3" t="n">
        <v>5.60026</v>
      </c>
      <c r="H1167" s="3" t="n">
        <v>33.2496</v>
      </c>
      <c r="I1167" s="3" t="n"/>
      <c r="J1167" s="3" t="n"/>
      <c r="K1167" s="3" t="n">
        <v>16.8431</v>
      </c>
      <c r="L1167" s="3" t="n"/>
      <c r="M1167" s="3" t="inlineStr">
        <is>
          <t>no</t>
        </is>
      </c>
      <c r="N1167" s="3" t="inlineStr">
        <is>
          <t>no designado (contraste C4: no hay svar_hd regional)</t>
        </is>
      </c>
      <c r="O116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7" s="3" t="inlineStr">
        <is>
          <t>output/v8/F5/regional_ranking.csv</t>
        </is>
      </c>
    </row>
    <row r="1168">
      <c r="A1168" s="3" t="inlineStr">
        <is>
          <t>compra</t>
        </is>
      </c>
      <c r="B1168" s="3" t="inlineStr">
        <is>
          <t>cv_prov:12</t>
        </is>
      </c>
      <c r="C1168" s="3" t="inlineStr">
        <is>
          <t>P1</t>
        </is>
      </c>
      <c r="D1168" s="3" t="inlineStr">
        <is>
          <t>factor_comun</t>
        </is>
      </c>
      <c r="E1168" s="3" t="inlineStr">
        <is>
          <t>contabilidad</t>
        </is>
      </c>
      <c r="F1168" s="3" t="inlineStr">
        <is>
          <t>ols_factor_nacional</t>
        </is>
      </c>
      <c r="G1168" s="3" t="n">
        <v>70.8788</v>
      </c>
      <c r="H1168" s="3" t="n">
        <v>72.1793</v>
      </c>
      <c r="I1168" s="3" t="n">
        <v>55.4682</v>
      </c>
      <c r="J1168" s="3" t="n">
        <v>96.13339999999999</v>
      </c>
      <c r="K1168" s="3" t="n">
        <v>98.1983</v>
      </c>
      <c r="L1168" s="3" t="n"/>
      <c r="M1168" s="3" t="inlineStr">
        <is>
          <t>no</t>
        </is>
      </c>
      <c r="N1168" s="3" t="inlineStr">
        <is>
          <t>no designado (contraste C4: no hay svar_hd regional)</t>
        </is>
      </c>
      <c r="O116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8" s="3" t="inlineStr">
        <is>
          <t>output/v8/F5/regional_ranking.csv</t>
        </is>
      </c>
    </row>
    <row r="1169">
      <c r="A1169" s="3" t="inlineStr">
        <is>
          <t>compra</t>
        </is>
      </c>
      <c r="B1169" s="3" t="inlineStr">
        <is>
          <t>cv_prov:12</t>
        </is>
      </c>
      <c r="C1169" s="3" t="inlineStr">
        <is>
          <t>P1</t>
        </is>
      </c>
      <c r="D1169" s="3" t="inlineStr">
        <is>
          <t>residuo</t>
        </is>
      </c>
      <c r="E1169" s="3" t="inlineStr">
        <is>
          <t>contabilidad</t>
        </is>
      </c>
      <c r="F1169" s="3" t="inlineStr">
        <is>
          <t>ols_factor_nacional</t>
        </is>
      </c>
      <c r="G1169" s="3" t="n">
        <v>27.3195</v>
      </c>
      <c r="H1169" s="3" t="n">
        <v>27.8207</v>
      </c>
      <c r="I1169" s="3" t="n"/>
      <c r="J1169" s="3" t="n"/>
      <c r="K1169" s="3" t="n">
        <v>98.1983</v>
      </c>
      <c r="L1169" s="3" t="n"/>
      <c r="M1169" s="3" t="inlineStr">
        <is>
          <t>no</t>
        </is>
      </c>
      <c r="N1169" s="3" t="inlineStr">
        <is>
          <t>no designado (contraste C4: no hay svar_hd regional)</t>
        </is>
      </c>
      <c r="O116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9" s="3" t="inlineStr">
        <is>
          <t>output/v8/F5/regional_ranking.csv</t>
        </is>
      </c>
    </row>
    <row r="1170">
      <c r="A1170" s="3" t="inlineStr">
        <is>
          <t>compra</t>
        </is>
      </c>
      <c r="B1170" s="3" t="inlineStr">
        <is>
          <t>cv_prov:12</t>
        </is>
      </c>
      <c r="C1170" s="3" t="inlineStr">
        <is>
          <t>P2</t>
        </is>
      </c>
      <c r="D1170" s="3" t="inlineStr">
        <is>
          <t>factor_comun</t>
        </is>
      </c>
      <c r="E1170" s="3" t="inlineStr">
        <is>
          <t>contabilidad</t>
        </is>
      </c>
      <c r="F1170" s="3" t="inlineStr">
        <is>
          <t>ols_factor_nacional</t>
        </is>
      </c>
      <c r="G1170" s="3" t="n">
        <v>-65.9119</v>
      </c>
      <c r="H1170" s="3" t="n">
        <v>121.223</v>
      </c>
      <c r="I1170" s="3" t="n">
        <v>-80.8978</v>
      </c>
      <c r="J1170" s="3" t="n">
        <v>-47.1491</v>
      </c>
      <c r="K1170" s="3" t="n">
        <v>-54.3726</v>
      </c>
      <c r="L1170" s="3" t="n"/>
      <c r="M1170" s="3" t="inlineStr">
        <is>
          <t>no</t>
        </is>
      </c>
      <c r="N1170" s="3" t="inlineStr">
        <is>
          <t>no designado (contraste C4: no hay svar_hd regional)</t>
        </is>
      </c>
      <c r="O117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0" s="3" t="inlineStr">
        <is>
          <t>output/v8/F5/regional_ranking.csv</t>
        </is>
      </c>
    </row>
    <row r="1171">
      <c r="A1171" s="3" t="inlineStr">
        <is>
          <t>compra</t>
        </is>
      </c>
      <c r="B1171" s="3" t="inlineStr">
        <is>
          <t>cv_prov:12</t>
        </is>
      </c>
      <c r="C1171" s="3" t="inlineStr">
        <is>
          <t>P2</t>
        </is>
      </c>
      <c r="D1171" s="3" t="inlineStr">
        <is>
          <t>residuo</t>
        </is>
      </c>
      <c r="E1171" s="3" t="inlineStr">
        <is>
          <t>contabilidad</t>
        </is>
      </c>
      <c r="F1171" s="3" t="inlineStr">
        <is>
          <t>ols_factor_nacional</t>
        </is>
      </c>
      <c r="G1171" s="3" t="n">
        <v>11.5393</v>
      </c>
      <c r="H1171" s="3" t="n">
        <v>-21.2227</v>
      </c>
      <c r="I1171" s="3" t="n"/>
      <c r="J1171" s="3" t="n"/>
      <c r="K1171" s="3" t="n">
        <v>-54.3726</v>
      </c>
      <c r="L1171" s="3" t="n"/>
      <c r="M1171" s="3" t="inlineStr">
        <is>
          <t>no</t>
        </is>
      </c>
      <c r="N1171" s="3" t="inlineStr">
        <is>
          <t>no designado (contraste C4: no hay svar_hd regional)</t>
        </is>
      </c>
      <c r="O117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1" s="3" t="inlineStr">
        <is>
          <t>output/v8/F5/regional_ranking.csv</t>
        </is>
      </c>
    </row>
    <row r="1172">
      <c r="A1172" s="3" t="inlineStr">
        <is>
          <t>compra</t>
        </is>
      </c>
      <c r="B1172" s="3" t="inlineStr">
        <is>
          <t>cv_prov:12</t>
        </is>
      </c>
      <c r="C1172" s="3" t="inlineStr">
        <is>
          <t>P3</t>
        </is>
      </c>
      <c r="D1172" s="3" t="inlineStr">
        <is>
          <t>factor_comun</t>
        </is>
      </c>
      <c r="E1172" s="3" t="inlineStr">
        <is>
          <t>contabilidad</t>
        </is>
      </c>
      <c r="F1172" s="3" t="inlineStr">
        <is>
          <t>ols_factor_nacional</t>
        </is>
      </c>
      <c r="G1172" s="3" t="n">
        <v>-0.83027</v>
      </c>
      <c r="H1172" s="3" t="n">
        <v>10.0496</v>
      </c>
      <c r="I1172" s="3" t="n">
        <v>-5.9888</v>
      </c>
      <c r="J1172" s="3" t="n">
        <v>5.67178</v>
      </c>
      <c r="K1172" s="3" t="n">
        <v>-8.261760000000001</v>
      </c>
      <c r="L1172" s="3" t="n"/>
      <c r="M1172" s="3" t="inlineStr">
        <is>
          <t>no</t>
        </is>
      </c>
      <c r="N1172" s="3" t="inlineStr">
        <is>
          <t>no designado (contraste C4: no hay svar_hd regional)</t>
        </is>
      </c>
      <c r="O117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2" s="3" t="inlineStr">
        <is>
          <t>output/v8/F5/regional_ranking.csv</t>
        </is>
      </c>
    </row>
    <row r="1173">
      <c r="A1173" s="3" t="inlineStr">
        <is>
          <t>compra</t>
        </is>
      </c>
      <c r="B1173" s="3" t="inlineStr">
        <is>
          <t>cv_prov:12</t>
        </is>
      </c>
      <c r="C1173" s="3" t="inlineStr">
        <is>
          <t>P3</t>
        </is>
      </c>
      <c r="D1173" s="3" t="inlineStr">
        <is>
          <t>residuo</t>
        </is>
      </c>
      <c r="E1173" s="3" t="inlineStr">
        <is>
          <t>contabilidad</t>
        </is>
      </c>
      <c r="F1173" s="3" t="inlineStr">
        <is>
          <t>ols_factor_nacional</t>
        </is>
      </c>
      <c r="G1173" s="3" t="n">
        <v>-7.43149</v>
      </c>
      <c r="H1173" s="3" t="n">
        <v>89.9504</v>
      </c>
      <c r="I1173" s="3" t="n"/>
      <c r="J1173" s="3" t="n"/>
      <c r="K1173" s="3" t="n">
        <v>-8.261760000000001</v>
      </c>
      <c r="L1173" s="3" t="n"/>
      <c r="M1173" s="3" t="inlineStr">
        <is>
          <t>no</t>
        </is>
      </c>
      <c r="N1173" s="3" t="inlineStr">
        <is>
          <t>no designado (contraste C4: no hay svar_hd regional)</t>
        </is>
      </c>
      <c r="O117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3" s="3" t="inlineStr">
        <is>
          <t>output/v8/F5/regional_ranking.csv</t>
        </is>
      </c>
    </row>
    <row r="1174">
      <c r="A1174" s="3" t="inlineStr">
        <is>
          <t>compra</t>
        </is>
      </c>
      <c r="B1174" s="3" t="inlineStr">
        <is>
          <t>cv_prov:12</t>
        </is>
      </c>
      <c r="C1174" s="3" t="inlineStr">
        <is>
          <t>P4</t>
        </is>
      </c>
      <c r="D1174" s="3" t="inlineStr">
        <is>
          <t>factor_comun</t>
        </is>
      </c>
      <c r="E1174" s="3" t="inlineStr">
        <is>
          <t>contabilidad</t>
        </is>
      </c>
      <c r="F1174" s="3" t="inlineStr">
        <is>
          <t>ols_factor_nacional</t>
        </is>
      </c>
      <c r="G1174" s="3" t="n">
        <v>-4.26591</v>
      </c>
      <c r="H1174" s="3" t="n">
        <v>117.037</v>
      </c>
      <c r="I1174" s="3" t="n">
        <v>-6.01512</v>
      </c>
      <c r="J1174" s="3" t="n">
        <v>-1.37365</v>
      </c>
      <c r="K1174" s="3" t="n">
        <v>-3.64493</v>
      </c>
      <c r="L1174" s="3" t="n"/>
      <c r="M1174" s="3" t="inlineStr">
        <is>
          <t>no</t>
        </is>
      </c>
      <c r="N1174" s="3" t="inlineStr">
        <is>
          <t>no designado (contraste C4: no hay svar_hd regional)</t>
        </is>
      </c>
      <c r="O117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4" s="3" t="inlineStr">
        <is>
          <t>output/v8/F5/regional_ranking.csv</t>
        </is>
      </c>
    </row>
    <row r="1175">
      <c r="A1175" s="3" t="inlineStr">
        <is>
          <t>compra</t>
        </is>
      </c>
      <c r="B1175" s="3" t="inlineStr">
        <is>
          <t>cv_prov:12</t>
        </is>
      </c>
      <c r="C1175" s="3" t="inlineStr">
        <is>
          <t>P4</t>
        </is>
      </c>
      <c r="D1175" s="3" t="inlineStr">
        <is>
          <t>residuo</t>
        </is>
      </c>
      <c r="E1175" s="3" t="inlineStr">
        <is>
          <t>contabilidad</t>
        </is>
      </c>
      <c r="F1175" s="3" t="inlineStr">
        <is>
          <t>ols_factor_nacional</t>
        </is>
      </c>
      <c r="G1175" s="3" t="n">
        <v>0.620974</v>
      </c>
      <c r="H1175" s="3" t="n">
        <v>-17.0366</v>
      </c>
      <c r="I1175" s="3" t="n"/>
      <c r="J1175" s="3" t="n"/>
      <c r="K1175" s="3" t="n">
        <v>-3.64493</v>
      </c>
      <c r="L1175" s="3" t="n"/>
      <c r="M1175" s="3" t="inlineStr">
        <is>
          <t>no</t>
        </is>
      </c>
      <c r="N1175" s="3" t="inlineStr">
        <is>
          <t>no designado (contraste C4: no hay svar_hd regional)</t>
        </is>
      </c>
      <c r="O117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5" s="3" t="inlineStr">
        <is>
          <t>output/v8/F5/regional_ranking.csv</t>
        </is>
      </c>
    </row>
    <row r="1176">
      <c r="A1176" s="3" t="inlineStr">
        <is>
          <t>compra</t>
        </is>
      </c>
      <c r="B1176" s="3" t="inlineStr">
        <is>
          <t>cv_prov:12</t>
        </is>
      </c>
      <c r="C1176" s="3" t="inlineStr">
        <is>
          <t>P5</t>
        </is>
      </c>
      <c r="D1176" s="3" t="inlineStr">
        <is>
          <t>factor_comun</t>
        </is>
      </c>
      <c r="E1176" s="3" t="inlineStr">
        <is>
          <t>contabilidad</t>
        </is>
      </c>
      <c r="F1176" s="3" t="inlineStr">
        <is>
          <t>ols_factor_nacional</t>
        </is>
      </c>
      <c r="G1176" s="3" t="n">
        <v>14.6063</v>
      </c>
      <c r="H1176" s="3" t="n">
        <v>187.166</v>
      </c>
      <c r="I1176" s="3" t="n">
        <v>6.64604</v>
      </c>
      <c r="J1176" s="3" t="n">
        <v>21.3848</v>
      </c>
      <c r="K1176" s="3" t="n">
        <v>7.80397</v>
      </c>
      <c r="L1176" s="3" t="n"/>
      <c r="M1176" s="3" t="inlineStr">
        <is>
          <t>no</t>
        </is>
      </c>
      <c r="N1176" s="3" t="inlineStr">
        <is>
          <t>no designado (contraste C4: no hay svar_hd regional)</t>
        </is>
      </c>
      <c r="O117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6" s="3" t="inlineStr">
        <is>
          <t>output/v8/F5/regional_ranking.csv</t>
        </is>
      </c>
    </row>
    <row r="1177">
      <c r="A1177" s="3" t="inlineStr">
        <is>
          <t>compra</t>
        </is>
      </c>
      <c r="B1177" s="3" t="inlineStr">
        <is>
          <t>cv_prov:12</t>
        </is>
      </c>
      <c r="C1177" s="3" t="inlineStr">
        <is>
          <t>P5</t>
        </is>
      </c>
      <c r="D1177" s="3" t="inlineStr">
        <is>
          <t>residuo</t>
        </is>
      </c>
      <c r="E1177" s="3" t="inlineStr">
        <is>
          <t>contabilidad</t>
        </is>
      </c>
      <c r="F1177" s="3" t="inlineStr">
        <is>
          <t>ols_factor_nacional</t>
        </is>
      </c>
      <c r="G1177" s="3" t="n">
        <v>-6.80237</v>
      </c>
      <c r="H1177" s="3" t="n">
        <v>-87.16549999999999</v>
      </c>
      <c r="I1177" s="3" t="n"/>
      <c r="J1177" s="3" t="n"/>
      <c r="K1177" s="3" t="n">
        <v>7.80397</v>
      </c>
      <c r="L1177" s="3" t="n"/>
      <c r="M1177" s="3" t="inlineStr">
        <is>
          <t>no</t>
        </is>
      </c>
      <c r="N1177" s="3" t="inlineStr">
        <is>
          <t>no designado (contraste C4: no hay svar_hd regional)</t>
        </is>
      </c>
      <c r="O117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7" s="3" t="inlineStr">
        <is>
          <t>output/v8/F5/regional_ranking.csv</t>
        </is>
      </c>
    </row>
    <row r="1178">
      <c r="A1178" s="3" t="inlineStr">
        <is>
          <t>compra</t>
        </is>
      </c>
      <c r="B1178" s="3" t="inlineStr">
        <is>
          <t>cv_prov:46</t>
        </is>
      </c>
      <c r="C1178" s="3" t="inlineStr">
        <is>
          <t>P1</t>
        </is>
      </c>
      <c r="D1178" s="3" t="inlineStr">
        <is>
          <t>factor_comun</t>
        </is>
      </c>
      <c r="E1178" s="3" t="inlineStr">
        <is>
          <t>contabilidad</t>
        </is>
      </c>
      <c r="F1178" s="3" t="inlineStr">
        <is>
          <t>ols_factor_nacional</t>
        </is>
      </c>
      <c r="G1178" s="3" t="n">
        <v>64.8964</v>
      </c>
      <c r="H1178" s="3" t="n">
        <v>75.556</v>
      </c>
      <c r="I1178" s="3" t="n">
        <v>49.1353</v>
      </c>
      <c r="J1178" s="3" t="n">
        <v>78.7397</v>
      </c>
      <c r="K1178" s="3" t="n">
        <v>85.89190000000001</v>
      </c>
      <c r="L1178" s="3" t="n"/>
      <c r="M1178" s="3" t="inlineStr">
        <is>
          <t>no</t>
        </is>
      </c>
      <c r="N1178" s="3" t="inlineStr">
        <is>
          <t>no designado (contraste C4: no hay svar_hd regional)</t>
        </is>
      </c>
      <c r="O117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8" s="3" t="inlineStr">
        <is>
          <t>output/v8/F5/regional_ranking.csv</t>
        </is>
      </c>
    </row>
    <row r="1179">
      <c r="A1179" s="3" t="inlineStr">
        <is>
          <t>compra</t>
        </is>
      </c>
      <c r="B1179" s="3" t="inlineStr">
        <is>
          <t>cv_prov:46</t>
        </is>
      </c>
      <c r="C1179" s="3" t="inlineStr">
        <is>
          <t>P1</t>
        </is>
      </c>
      <c r="D1179" s="3" t="inlineStr">
        <is>
          <t>residuo</t>
        </is>
      </c>
      <c r="E1179" s="3" t="inlineStr">
        <is>
          <t>contabilidad</t>
        </is>
      </c>
      <c r="F1179" s="3" t="inlineStr">
        <is>
          <t>ols_factor_nacional</t>
        </is>
      </c>
      <c r="G1179" s="3" t="n">
        <v>20.9954</v>
      </c>
      <c r="H1179" s="3" t="n">
        <v>24.444</v>
      </c>
      <c r="I1179" s="3" t="n"/>
      <c r="J1179" s="3" t="n"/>
      <c r="K1179" s="3" t="n">
        <v>85.89190000000001</v>
      </c>
      <c r="L1179" s="3" t="n"/>
      <c r="M1179" s="3" t="inlineStr">
        <is>
          <t>no</t>
        </is>
      </c>
      <c r="N1179" s="3" t="inlineStr">
        <is>
          <t>no designado (contraste C4: no hay svar_hd regional)</t>
        </is>
      </c>
      <c r="O117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9" s="3" t="inlineStr">
        <is>
          <t>output/v8/F5/regional_ranking.csv</t>
        </is>
      </c>
    </row>
    <row r="1180">
      <c r="A1180" s="3" t="inlineStr">
        <is>
          <t>compra</t>
        </is>
      </c>
      <c r="B1180" s="3" t="inlineStr">
        <is>
          <t>cv_prov:46</t>
        </is>
      </c>
      <c r="C1180" s="3" t="inlineStr">
        <is>
          <t>P2</t>
        </is>
      </c>
      <c r="D1180" s="3" t="inlineStr">
        <is>
          <t>factor_comun</t>
        </is>
      </c>
      <c r="E1180" s="3" t="inlineStr">
        <is>
          <t>contabilidad</t>
        </is>
      </c>
      <c r="F1180" s="3" t="inlineStr">
        <is>
          <t>ols_factor_nacional</t>
        </is>
      </c>
      <c r="G1180" s="3" t="n">
        <v>-62.3437</v>
      </c>
      <c r="H1180" s="3" t="n">
        <v>128.779</v>
      </c>
      <c r="I1180" s="3" t="n">
        <v>-90.5609</v>
      </c>
      <c r="J1180" s="3" t="n">
        <v>-37.1046</v>
      </c>
      <c r="K1180" s="3" t="n">
        <v>-48.4113</v>
      </c>
      <c r="L1180" s="3" t="n"/>
      <c r="M1180" s="3" t="inlineStr">
        <is>
          <t>no</t>
        </is>
      </c>
      <c r="N1180" s="3" t="inlineStr">
        <is>
          <t>no designado (contraste C4: no hay svar_hd regional)</t>
        </is>
      </c>
      <c r="O118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0" s="3" t="inlineStr">
        <is>
          <t>output/v8/F5/regional_ranking.csv</t>
        </is>
      </c>
    </row>
    <row r="1181">
      <c r="A1181" s="3" t="inlineStr">
        <is>
          <t>compra</t>
        </is>
      </c>
      <c r="B1181" s="3" t="inlineStr">
        <is>
          <t>cv_prov:46</t>
        </is>
      </c>
      <c r="C1181" s="3" t="inlineStr">
        <is>
          <t>P2</t>
        </is>
      </c>
      <c r="D1181" s="3" t="inlineStr">
        <is>
          <t>residuo</t>
        </is>
      </c>
      <c r="E1181" s="3" t="inlineStr">
        <is>
          <t>contabilidad</t>
        </is>
      </c>
      <c r="F1181" s="3" t="inlineStr">
        <is>
          <t>ols_factor_nacional</t>
        </is>
      </c>
      <c r="G1181" s="3" t="n">
        <v>13.9324</v>
      </c>
      <c r="H1181" s="3" t="n">
        <v>-28.7792</v>
      </c>
      <c r="I1181" s="3" t="n"/>
      <c r="J1181" s="3" t="n"/>
      <c r="K1181" s="3" t="n">
        <v>-48.4113</v>
      </c>
      <c r="L1181" s="3" t="n"/>
      <c r="M1181" s="3" t="inlineStr">
        <is>
          <t>no</t>
        </is>
      </c>
      <c r="N1181" s="3" t="inlineStr">
        <is>
          <t>no designado (contraste C4: no hay svar_hd regional)</t>
        </is>
      </c>
      <c r="O118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1" s="3" t="inlineStr">
        <is>
          <t>output/v8/F5/regional_ranking.csv</t>
        </is>
      </c>
    </row>
    <row r="1182">
      <c r="A1182" s="3" t="inlineStr">
        <is>
          <t>compra</t>
        </is>
      </c>
      <c r="B1182" s="3" t="inlineStr">
        <is>
          <t>cv_prov:46</t>
        </is>
      </c>
      <c r="C1182" s="3" t="inlineStr">
        <is>
          <t>P3</t>
        </is>
      </c>
      <c r="D1182" s="3" t="inlineStr">
        <is>
          <t>factor_comun</t>
        </is>
      </c>
      <c r="E1182" s="3" t="inlineStr">
        <is>
          <t>contabilidad</t>
        </is>
      </c>
      <c r="F1182" s="3" t="inlineStr">
        <is>
          <t>ols_factor_nacional</t>
        </is>
      </c>
      <c r="G1182" s="3" t="n">
        <v>-0.597696</v>
      </c>
      <c r="H1182" s="3" t="n">
        <v>-13.3713</v>
      </c>
      <c r="I1182" s="3" t="n">
        <v>-4.66383</v>
      </c>
      <c r="J1182" s="3" t="n">
        <v>3.84016</v>
      </c>
      <c r="K1182" s="3" t="n">
        <v>4.46998</v>
      </c>
      <c r="L1182" s="3" t="n"/>
      <c r="M1182" s="3" t="inlineStr">
        <is>
          <t>no</t>
        </is>
      </c>
      <c r="N1182" s="3" t="inlineStr">
        <is>
          <t>no designado (contraste C4: no hay svar_hd regional)</t>
        </is>
      </c>
      <c r="O118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2" s="3" t="inlineStr">
        <is>
          <t>output/v8/F5/regional_ranking.csv</t>
        </is>
      </c>
    </row>
    <row r="1183">
      <c r="A1183" s="3" t="inlineStr">
        <is>
          <t>compra</t>
        </is>
      </c>
      <c r="B1183" s="3" t="inlineStr">
        <is>
          <t>cv_prov:46</t>
        </is>
      </c>
      <c r="C1183" s="3" t="inlineStr">
        <is>
          <t>P3</t>
        </is>
      </c>
      <c r="D1183" s="3" t="inlineStr">
        <is>
          <t>residuo</t>
        </is>
      </c>
      <c r="E1183" s="3" t="inlineStr">
        <is>
          <t>contabilidad</t>
        </is>
      </c>
      <c r="F1183" s="3" t="inlineStr">
        <is>
          <t>ols_factor_nacional</t>
        </is>
      </c>
      <c r="G1183" s="3" t="n">
        <v>5.06767</v>
      </c>
      <c r="H1183" s="3" t="n">
        <v>113.371</v>
      </c>
      <c r="I1183" s="3" t="n"/>
      <c r="J1183" s="3" t="n"/>
      <c r="K1183" s="3" t="n">
        <v>4.46998</v>
      </c>
      <c r="L1183" s="3" t="n"/>
      <c r="M1183" s="3" t="inlineStr">
        <is>
          <t>no</t>
        </is>
      </c>
      <c r="N1183" s="3" t="inlineStr">
        <is>
          <t>no designado (contraste C4: no hay svar_hd regional)</t>
        </is>
      </c>
      <c r="O118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3" s="3" t="inlineStr">
        <is>
          <t>output/v8/F5/regional_ranking.csv</t>
        </is>
      </c>
    </row>
    <row r="1184">
      <c r="A1184" s="3" t="inlineStr">
        <is>
          <t>compra</t>
        </is>
      </c>
      <c r="B1184" s="3" t="inlineStr">
        <is>
          <t>cv_prov:46</t>
        </is>
      </c>
      <c r="C1184" s="3" t="inlineStr">
        <is>
          <t>P4</t>
        </is>
      </c>
      <c r="D1184" s="3" t="inlineStr">
        <is>
          <t>factor_comun</t>
        </is>
      </c>
      <c r="E1184" s="3" t="inlineStr">
        <is>
          <t>contabilidad</t>
        </is>
      </c>
      <c r="F1184" s="3" t="inlineStr">
        <is>
          <t>ols_factor_nacional</t>
        </is>
      </c>
      <c r="G1184" s="3" t="n">
        <v>-3.58193</v>
      </c>
      <c r="H1184" s="3" t="n">
        <v>-622.433</v>
      </c>
      <c r="I1184" s="3" t="n">
        <v>-4.75256</v>
      </c>
      <c r="J1184" s="3" t="n">
        <v>-2.56711</v>
      </c>
      <c r="K1184" s="3" t="n">
        <v>0.575472</v>
      </c>
      <c r="L1184" s="3" t="n"/>
      <c r="M1184" s="3" t="inlineStr">
        <is>
          <t>no</t>
        </is>
      </c>
      <c r="N1184" s="3" t="inlineStr">
        <is>
          <t>no designado (contraste C4: no hay svar_hd regional)</t>
        </is>
      </c>
      <c r="O118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4" s="3" t="inlineStr">
        <is>
          <t>output/v8/F5/regional_ranking.csv</t>
        </is>
      </c>
    </row>
    <row r="1185">
      <c r="A1185" s="3" t="inlineStr">
        <is>
          <t>compra</t>
        </is>
      </c>
      <c r="B1185" s="3" t="inlineStr">
        <is>
          <t>cv_prov:46</t>
        </is>
      </c>
      <c r="C1185" s="3" t="inlineStr">
        <is>
          <t>P4</t>
        </is>
      </c>
      <c r="D1185" s="3" t="inlineStr">
        <is>
          <t>residuo</t>
        </is>
      </c>
      <c r="E1185" s="3" t="inlineStr">
        <is>
          <t>contabilidad</t>
        </is>
      </c>
      <c r="F1185" s="3" t="inlineStr">
        <is>
          <t>ols_factor_nacional</t>
        </is>
      </c>
      <c r="G1185" s="3" t="n">
        <v>4.1574</v>
      </c>
      <c r="H1185" s="3" t="n">
        <v>722.433</v>
      </c>
      <c r="I1185" s="3" t="n"/>
      <c r="J1185" s="3" t="n"/>
      <c r="K1185" s="3" t="n">
        <v>0.575472</v>
      </c>
      <c r="L1185" s="3" t="n"/>
      <c r="M1185" s="3" t="inlineStr">
        <is>
          <t>no</t>
        </is>
      </c>
      <c r="N1185" s="3" t="inlineStr">
        <is>
          <t>no designado (contraste C4: no hay svar_hd regional)</t>
        </is>
      </c>
      <c r="O118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5" s="3" t="inlineStr">
        <is>
          <t>output/v8/F5/regional_ranking.csv</t>
        </is>
      </c>
    </row>
    <row r="1186">
      <c r="A1186" s="3" t="inlineStr">
        <is>
          <t>compra</t>
        </is>
      </c>
      <c r="B1186" s="3" t="inlineStr">
        <is>
          <t>cv_prov:46</t>
        </is>
      </c>
      <c r="C1186" s="3" t="inlineStr">
        <is>
          <t>P5</t>
        </is>
      </c>
      <c r="D1186" s="3" t="inlineStr">
        <is>
          <t>factor_comun</t>
        </is>
      </c>
      <c r="E1186" s="3" t="inlineStr">
        <is>
          <t>contabilidad</t>
        </is>
      </c>
      <c r="F1186" s="3" t="inlineStr">
        <is>
          <t>ols_factor_nacional</t>
        </is>
      </c>
      <c r="G1186" s="3" t="n">
        <v>12.2358</v>
      </c>
      <c r="H1186" s="3" t="n">
        <v>57.9521</v>
      </c>
      <c r="I1186" s="3" t="n">
        <v>5.56355</v>
      </c>
      <c r="J1186" s="3" t="n">
        <v>18.2214</v>
      </c>
      <c r="K1186" s="3" t="n">
        <v>21.1136</v>
      </c>
      <c r="L1186" s="3" t="n"/>
      <c r="M1186" s="3" t="inlineStr">
        <is>
          <t>no</t>
        </is>
      </c>
      <c r="N1186" s="3" t="inlineStr">
        <is>
          <t>no designado (contraste C4: no hay svar_hd regional)</t>
        </is>
      </c>
      <c r="O118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6" s="3" t="inlineStr">
        <is>
          <t>output/v8/F5/regional_ranking.csv</t>
        </is>
      </c>
    </row>
    <row r="1187">
      <c r="A1187" s="3" t="inlineStr">
        <is>
          <t>compra</t>
        </is>
      </c>
      <c r="B1187" s="3" t="inlineStr">
        <is>
          <t>cv_prov:46</t>
        </is>
      </c>
      <c r="C1187" s="3" t="inlineStr">
        <is>
          <t>P5</t>
        </is>
      </c>
      <c r="D1187" s="3" t="inlineStr">
        <is>
          <t>residuo</t>
        </is>
      </c>
      <c r="E1187" s="3" t="inlineStr">
        <is>
          <t>contabilidad</t>
        </is>
      </c>
      <c r="F1187" s="3" t="inlineStr">
        <is>
          <t>ols_factor_nacional</t>
        </is>
      </c>
      <c r="G1187" s="3" t="n">
        <v>8.87785</v>
      </c>
      <c r="H1187" s="3" t="n">
        <v>42.0479</v>
      </c>
      <c r="I1187" s="3" t="n"/>
      <c r="J1187" s="3" t="n"/>
      <c r="K1187" s="3" t="n">
        <v>21.1136</v>
      </c>
      <c r="L1187" s="3" t="n"/>
      <c r="M1187" s="3" t="inlineStr">
        <is>
          <t>no</t>
        </is>
      </c>
      <c r="N1187" s="3" t="inlineStr">
        <is>
          <t>no designado (contraste C4: no hay svar_hd regional)</t>
        </is>
      </c>
      <c r="O118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7" s="3" t="inlineStr">
        <is>
          <t>output/v8/F5/regional_ranking.csv</t>
        </is>
      </c>
    </row>
    <row r="1188">
      <c r="A1188" s="3" t="inlineStr">
        <is>
          <t>compra</t>
        </is>
      </c>
      <c r="B1188" s="3" t="inlineStr">
        <is>
          <t>valencia_ciudad</t>
        </is>
      </c>
      <c r="C1188" s="3" t="inlineStr">
        <is>
          <t>P1</t>
        </is>
      </c>
      <c r="D1188" s="3" t="inlineStr">
        <is>
          <t>factor_comun</t>
        </is>
      </c>
      <c r="E1188" s="3" t="inlineStr">
        <is>
          <t>contabilidad</t>
        </is>
      </c>
      <c r="F1188" s="3" t="inlineStr">
        <is>
          <t>ols_factor_nacional</t>
        </is>
      </c>
      <c r="G1188" s="3" t="n">
        <v>5.30757</v>
      </c>
      <c r="H1188" s="3" t="n">
        <v>30.8277</v>
      </c>
      <c r="I1188" s="3" t="n">
        <v>-0.06939480000000001</v>
      </c>
      <c r="J1188" s="3" t="n">
        <v>11.7984</v>
      </c>
      <c r="K1188" s="3" t="n">
        <v>17.2169</v>
      </c>
      <c r="L1188" s="3" t="n"/>
      <c r="M1188" s="3" t="inlineStr">
        <is>
          <t>no</t>
        </is>
      </c>
      <c r="N1188" s="3" t="inlineStr">
        <is>
          <t>no designado (contraste C4: no hay svar_hd regional)</t>
        </is>
      </c>
      <c r="O118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8" s="3" t="inlineStr">
        <is>
          <t>output/v8/F5/regional_ranking.csv</t>
        </is>
      </c>
    </row>
    <row r="1189">
      <c r="A1189" s="3" t="inlineStr">
        <is>
          <t>compra</t>
        </is>
      </c>
      <c r="B1189" s="3" t="inlineStr">
        <is>
          <t>valencia_ciudad</t>
        </is>
      </c>
      <c r="C1189" s="3" t="inlineStr">
        <is>
          <t>P1</t>
        </is>
      </c>
      <c r="D1189" s="3" t="inlineStr">
        <is>
          <t>residuo</t>
        </is>
      </c>
      <c r="E1189" s="3" t="inlineStr">
        <is>
          <t>contabilidad</t>
        </is>
      </c>
      <c r="F1189" s="3" t="inlineStr">
        <is>
          <t>ols_factor_nacional</t>
        </is>
      </c>
      <c r="G1189" s="3" t="n">
        <v>11.9093</v>
      </c>
      <c r="H1189" s="3" t="n">
        <v>69.17230000000001</v>
      </c>
      <c r="I1189" s="3" t="n"/>
      <c r="J1189" s="3" t="n"/>
      <c r="K1189" s="3" t="n">
        <v>17.2169</v>
      </c>
      <c r="L1189" s="3" t="n"/>
      <c r="M1189" s="3" t="inlineStr">
        <is>
          <t>no</t>
        </is>
      </c>
      <c r="N1189" s="3" t="inlineStr">
        <is>
          <t>no designado (contraste C4: no hay svar_hd regional)</t>
        </is>
      </c>
      <c r="O118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9" s="3" t="inlineStr">
        <is>
          <t>output/v8/F5/regional_ranking.csv</t>
        </is>
      </c>
    </row>
    <row r="1190">
      <c r="A1190" s="3" t="inlineStr">
        <is>
          <t>compra</t>
        </is>
      </c>
      <c r="B1190" s="3" t="inlineStr">
        <is>
          <t>valencia_ciudad</t>
        </is>
      </c>
      <c r="C1190" s="3" t="inlineStr">
        <is>
          <t>P2</t>
        </is>
      </c>
      <c r="D1190" s="3" t="inlineStr">
        <is>
          <t>factor_comun</t>
        </is>
      </c>
      <c r="E1190" s="3" t="inlineStr">
        <is>
          <t>contabilidad</t>
        </is>
      </c>
      <c r="F1190" s="3" t="inlineStr">
        <is>
          <t>ols_factor_nacional</t>
        </is>
      </c>
      <c r="G1190" s="3" t="n">
        <v>-73.1439</v>
      </c>
      <c r="H1190" s="3" t="n">
        <v>106.681</v>
      </c>
      <c r="I1190" s="3" t="n">
        <v>-101.082</v>
      </c>
      <c r="J1190" s="3" t="n">
        <v>-51.9617</v>
      </c>
      <c r="K1190" s="3" t="n">
        <v>-68.5633</v>
      </c>
      <c r="L1190" s="3" t="n"/>
      <c r="M1190" s="3" t="inlineStr">
        <is>
          <t>no</t>
        </is>
      </c>
      <c r="N1190" s="3" t="inlineStr">
        <is>
          <t>no designado (contraste C4: no hay svar_hd regional)</t>
        </is>
      </c>
      <c r="O119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0" s="3" t="inlineStr">
        <is>
          <t>output/v8/F5/regional_ranking.csv</t>
        </is>
      </c>
    </row>
    <row r="1191">
      <c r="A1191" s="3" t="inlineStr">
        <is>
          <t>compra</t>
        </is>
      </c>
      <c r="B1191" s="3" t="inlineStr">
        <is>
          <t>valencia_ciudad</t>
        </is>
      </c>
      <c r="C1191" s="3" t="inlineStr">
        <is>
          <t>P2</t>
        </is>
      </c>
      <c r="D1191" s="3" t="inlineStr">
        <is>
          <t>residuo</t>
        </is>
      </c>
      <c r="E1191" s="3" t="inlineStr">
        <is>
          <t>contabilidad</t>
        </is>
      </c>
      <c r="F1191" s="3" t="inlineStr">
        <is>
          <t>ols_factor_nacional</t>
        </is>
      </c>
      <c r="G1191" s="3" t="n">
        <v>4.58062</v>
      </c>
      <c r="H1191" s="3" t="n">
        <v>-6.68086</v>
      </c>
      <c r="I1191" s="3" t="n"/>
      <c r="J1191" s="3" t="n"/>
      <c r="K1191" s="3" t="n">
        <v>-68.5633</v>
      </c>
      <c r="L1191" s="3" t="n"/>
      <c r="M1191" s="3" t="inlineStr">
        <is>
          <t>no</t>
        </is>
      </c>
      <c r="N1191" s="3" t="inlineStr">
        <is>
          <t>no designado (contraste C4: no hay svar_hd regional)</t>
        </is>
      </c>
      <c r="O119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1" s="3" t="inlineStr">
        <is>
          <t>output/v8/F5/regional_ranking.csv</t>
        </is>
      </c>
    </row>
    <row r="1192">
      <c r="A1192" s="3" t="inlineStr">
        <is>
          <t>compra</t>
        </is>
      </c>
      <c r="B1192" s="3" t="inlineStr">
        <is>
          <t>valencia_ciudad</t>
        </is>
      </c>
      <c r="C1192" s="3" t="inlineStr">
        <is>
          <t>P3</t>
        </is>
      </c>
      <c r="D1192" s="3" t="inlineStr">
        <is>
          <t>factor_comun</t>
        </is>
      </c>
      <c r="E1192" s="3" t="inlineStr">
        <is>
          <t>contabilidad</t>
        </is>
      </c>
      <c r="F1192" s="3" t="inlineStr">
        <is>
          <t>ols_factor_nacional</t>
        </is>
      </c>
      <c r="G1192" s="3" t="n">
        <v>-1.16708</v>
      </c>
      <c r="H1192" s="3" t="n">
        <v>-15.0448</v>
      </c>
      <c r="I1192" s="3" t="n">
        <v>-10.8886</v>
      </c>
      <c r="J1192" s="3" t="n">
        <v>4.60692</v>
      </c>
      <c r="K1192" s="3" t="n">
        <v>7.75737</v>
      </c>
      <c r="L1192" s="3" t="n"/>
      <c r="M1192" s="3" t="inlineStr">
        <is>
          <t>no</t>
        </is>
      </c>
      <c r="N1192" s="3" t="inlineStr">
        <is>
          <t>no designado (contraste C4: no hay svar_hd regional)</t>
        </is>
      </c>
      <c r="O119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2" s="3" t="inlineStr">
        <is>
          <t>output/v8/F5/regional_ranking.csv</t>
        </is>
      </c>
    </row>
    <row r="1193">
      <c r="A1193" s="3" t="inlineStr">
        <is>
          <t>compra</t>
        </is>
      </c>
      <c r="B1193" s="3" t="inlineStr">
        <is>
          <t>valencia_ciudad</t>
        </is>
      </c>
      <c r="C1193" s="3" t="inlineStr">
        <is>
          <t>P3</t>
        </is>
      </c>
      <c r="D1193" s="3" t="inlineStr">
        <is>
          <t>residuo</t>
        </is>
      </c>
      <c r="E1193" s="3" t="inlineStr">
        <is>
          <t>contabilidad</t>
        </is>
      </c>
      <c r="F1193" s="3" t="inlineStr">
        <is>
          <t>ols_factor_nacional</t>
        </is>
      </c>
      <c r="G1193" s="3" t="n">
        <v>8.92446</v>
      </c>
      <c r="H1193" s="3" t="n">
        <v>115.045</v>
      </c>
      <c r="I1193" s="3" t="n"/>
      <c r="J1193" s="3" t="n"/>
      <c r="K1193" s="3" t="n">
        <v>7.75737</v>
      </c>
      <c r="L1193" s="3" t="n"/>
      <c r="M1193" s="3" t="inlineStr">
        <is>
          <t>no</t>
        </is>
      </c>
      <c r="N1193" s="3" t="inlineStr">
        <is>
          <t>no designado (contraste C4: no hay svar_hd regional)</t>
        </is>
      </c>
      <c r="O119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3" s="3" t="inlineStr">
        <is>
          <t>output/v8/F5/regional_ranking.csv</t>
        </is>
      </c>
    </row>
    <row r="1194">
      <c r="A1194" s="3" t="inlineStr">
        <is>
          <t>compra</t>
        </is>
      </c>
      <c r="B1194" s="3" t="inlineStr">
        <is>
          <t>valencia_ciudad</t>
        </is>
      </c>
      <c r="C1194" s="3" t="inlineStr">
        <is>
          <t>P4</t>
        </is>
      </c>
      <c r="D1194" s="3" t="inlineStr">
        <is>
          <t>factor_comun</t>
        </is>
      </c>
      <c r="E1194" s="3" t="inlineStr">
        <is>
          <t>contabilidad</t>
        </is>
      </c>
      <c r="F1194" s="3" t="inlineStr">
        <is>
          <t>ols_factor_nacional</t>
        </is>
      </c>
      <c r="G1194" s="3" t="n">
        <v>-5.13147</v>
      </c>
      <c r="H1194" s="3" t="n">
        <v>-81.7997</v>
      </c>
      <c r="I1194" s="3" t="n">
        <v>-7.69963</v>
      </c>
      <c r="J1194" s="3" t="n">
        <v>-2.43579</v>
      </c>
      <c r="K1194" s="3" t="n">
        <v>6.27321</v>
      </c>
      <c r="L1194" s="3" t="n"/>
      <c r="M1194" s="3" t="inlineStr">
        <is>
          <t>no</t>
        </is>
      </c>
      <c r="N1194" s="3" t="inlineStr">
        <is>
          <t>no designado (contraste C4: no hay svar_hd regional)</t>
        </is>
      </c>
      <c r="O119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4" s="3" t="inlineStr">
        <is>
          <t>output/v8/F5/regional_ranking.csv</t>
        </is>
      </c>
    </row>
    <row r="1195">
      <c r="A1195" s="3" t="inlineStr">
        <is>
          <t>compra</t>
        </is>
      </c>
      <c r="B1195" s="3" t="inlineStr">
        <is>
          <t>valencia_ciudad</t>
        </is>
      </c>
      <c r="C1195" s="3" t="inlineStr">
        <is>
          <t>P4</t>
        </is>
      </c>
      <c r="D1195" s="3" t="inlineStr">
        <is>
          <t>residuo</t>
        </is>
      </c>
      <c r="E1195" s="3" t="inlineStr">
        <is>
          <t>contabilidad</t>
        </is>
      </c>
      <c r="F1195" s="3" t="inlineStr">
        <is>
          <t>ols_factor_nacional</t>
        </is>
      </c>
      <c r="G1195" s="3" t="n">
        <v>11.4047</v>
      </c>
      <c r="H1195" s="3" t="n">
        <v>181.8</v>
      </c>
      <c r="I1195" s="3" t="n"/>
      <c r="J1195" s="3" t="n"/>
      <c r="K1195" s="3" t="n">
        <v>6.27321</v>
      </c>
      <c r="L1195" s="3" t="n"/>
      <c r="M1195" s="3" t="inlineStr">
        <is>
          <t>no</t>
        </is>
      </c>
      <c r="N1195" s="3" t="inlineStr">
        <is>
          <t>no designado (contraste C4: no hay svar_hd regional)</t>
        </is>
      </c>
      <c r="O119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5" s="3" t="inlineStr">
        <is>
          <t>output/v8/F5/regional_ranking.csv</t>
        </is>
      </c>
    </row>
    <row r="1196">
      <c r="A1196" s="3" t="inlineStr">
        <is>
          <t>compra</t>
        </is>
      </c>
      <c r="B1196" s="3" t="inlineStr">
        <is>
          <t>valencia_ciudad</t>
        </is>
      </c>
      <c r="C1196" s="3" t="inlineStr">
        <is>
          <t>P5</t>
        </is>
      </c>
      <c r="D1196" s="3" t="inlineStr">
        <is>
          <t>factor_comun</t>
        </is>
      </c>
      <c r="E1196" s="3" t="inlineStr">
        <is>
          <t>contabilidad</t>
        </is>
      </c>
      <c r="F1196" s="3" t="inlineStr">
        <is>
          <t>ols_factor_nacional</t>
        </is>
      </c>
      <c r="G1196" s="3" t="n">
        <v>13.0001</v>
      </c>
      <c r="H1196" s="3" t="n">
        <v>35.7902</v>
      </c>
      <c r="I1196" s="3" t="n">
        <v>5.07962</v>
      </c>
      <c r="J1196" s="3" t="n">
        <v>19.9446</v>
      </c>
      <c r="K1196" s="3" t="n">
        <v>36.3231</v>
      </c>
      <c r="L1196" s="3" t="n"/>
      <c r="M1196" s="3" t="inlineStr">
        <is>
          <t>no</t>
        </is>
      </c>
      <c r="N1196" s="3" t="inlineStr">
        <is>
          <t>no designado (contraste C4: no hay svar_hd regional)</t>
        </is>
      </c>
      <c r="O119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6" s="3" t="inlineStr">
        <is>
          <t>output/v8/F5/regional_ranking.csv</t>
        </is>
      </c>
    </row>
    <row r="1197">
      <c r="A1197" s="3" t="inlineStr">
        <is>
          <t>compra</t>
        </is>
      </c>
      <c r="B1197" s="3" t="inlineStr">
        <is>
          <t>valencia_ciudad</t>
        </is>
      </c>
      <c r="C1197" s="3" t="inlineStr">
        <is>
          <t>P5</t>
        </is>
      </c>
      <c r="D1197" s="3" t="inlineStr">
        <is>
          <t>residuo</t>
        </is>
      </c>
      <c r="E1197" s="3" t="inlineStr">
        <is>
          <t>contabilidad</t>
        </is>
      </c>
      <c r="F1197" s="3" t="inlineStr">
        <is>
          <t>ols_factor_nacional</t>
        </is>
      </c>
      <c r="G1197" s="3" t="n">
        <v>23.323</v>
      </c>
      <c r="H1197" s="3" t="n">
        <v>64.2098</v>
      </c>
      <c r="I1197" s="3" t="n"/>
      <c r="J1197" s="3" t="n"/>
      <c r="K1197" s="3" t="n">
        <v>36.3231</v>
      </c>
      <c r="L1197" s="3" t="n"/>
      <c r="M1197" s="3" t="inlineStr">
        <is>
          <t>no</t>
        </is>
      </c>
      <c r="N1197" s="3" t="inlineStr">
        <is>
          <t>no designado (contraste C4: no hay svar_hd regional)</t>
        </is>
      </c>
      <c r="O119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7" s="3" t="inlineStr">
        <is>
          <t>output/v8/F5/regional_ranking.csv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4" customWidth="1" min="5" max="5"/>
    <col width="20" customWidth="1" min="6" max="6"/>
    <col width="19" customWidth="1" min="7" max="7"/>
    <col width="20" customWidth="1" min="8" max="8"/>
    <col width="21" customWidth="1" min="9" max="9"/>
    <col width="21" customWidth="1" min="10" max="10"/>
    <col width="21" customWidth="1" min="11" max="11"/>
    <col width="19" customWidth="1" min="12" max="12"/>
    <col width="20" customWidth="1" min="13" max="13"/>
    <col width="20" customWidth="1" min="14" max="14"/>
    <col width="21" customWidth="1" min="15" max="15"/>
    <col width="20" customWidth="1" min="16" max="16"/>
    <col width="11" customWidth="1" min="17" max="17"/>
    <col width="8" customWidth="1" min="18" max="18"/>
    <col width="37" customWidth="1" min="19" max="19"/>
  </cols>
  <sheetData>
    <row r="1">
      <c r="A1" s="5" t="inlineStr">
        <is>
          <t>mercado</t>
        </is>
      </c>
      <c r="B1" s="5" t="inlineStr">
        <is>
          <t>periodo</t>
        </is>
      </c>
      <c r="C1" s="5" t="inlineStr">
        <is>
          <t>factor</t>
        </is>
      </c>
      <c r="D1" s="5" t="inlineStr">
        <is>
          <t>variable</t>
        </is>
      </c>
      <c r="E1" s="5" t="inlineStr">
        <is>
          <t>n_multiverso</t>
        </is>
      </c>
      <c r="F1" s="5" t="inlineStr">
        <is>
          <t>pct_mismo_signo</t>
        </is>
      </c>
      <c r="G1" s="5" t="inlineStr">
        <is>
          <t>signo_mayoritario</t>
        </is>
      </c>
      <c r="H1" s="5" t="inlineStr">
        <is>
          <t>pct_sig_bh</t>
        </is>
      </c>
      <c r="I1" s="5" t="inlineStr">
        <is>
          <t>beta_std_mediana</t>
        </is>
      </c>
      <c r="J1" s="5" t="inlineStr">
        <is>
          <t>p05</t>
        </is>
      </c>
      <c r="K1" s="5" t="inlineStr">
        <is>
          <t>p95</t>
        </is>
      </c>
      <c r="L1" s="5" t="inlineStr">
        <is>
          <t>cumple_multiverso</t>
        </is>
      </c>
      <c r="M1" s="5" t="inlineStr">
        <is>
          <t>pct_interpoladas</t>
        </is>
      </c>
      <c r="N1" s="5" t="inlineStr">
        <is>
          <t>orientacion</t>
        </is>
      </c>
      <c r="O1" s="5" t="inlineStr">
        <is>
          <t>beta_orient_mediana</t>
        </is>
      </c>
      <c r="P1" s="5" t="inlineStr">
        <is>
          <t>variable_principal</t>
        </is>
      </c>
      <c r="Q1" s="5" t="inlineStr">
        <is>
          <t>cumple_R3</t>
        </is>
      </c>
      <c r="R1" s="5" t="inlineStr">
        <is>
          <t>capa</t>
        </is>
      </c>
      <c r="S1" s="5" t="inlineStr">
        <is>
          <t>fuente</t>
        </is>
      </c>
    </row>
    <row r="2">
      <c r="A2" s="3" t="inlineStr">
        <is>
          <t>alquiler</t>
        </is>
      </c>
      <c r="B2" s="3" t="inlineStr">
        <is>
          <t>P1</t>
        </is>
      </c>
      <c r="C2" s="3" t="inlineStr">
        <is>
          <t>credito_tipos</t>
        </is>
      </c>
      <c r="D2" s="3" t="inlineStr">
        <is>
          <t>TODAS</t>
        </is>
      </c>
      <c r="E2" s="3" t="n">
        <v>288</v>
      </c>
      <c r="F2" s="3" t="n">
        <v>0.6319444444444444</v>
      </c>
      <c r="G2" s="3" t="inlineStr">
        <is>
          <t>negativo</t>
        </is>
      </c>
      <c r="H2" s="3" t="n">
        <v>0.1909722222222222</v>
      </c>
      <c r="I2" s="3" t="n">
        <v>-0.0656863831308715</v>
      </c>
      <c r="J2" s="3" t="n">
        <v>-0.746656837748774</v>
      </c>
      <c r="K2" s="3" t="n">
        <v>0.760709611338785</v>
      </c>
      <c r="L2" s="3" t="inlineStr">
        <is>
          <t>no</t>
        </is>
      </c>
      <c r="M2" s="3" t="n">
        <v>0</v>
      </c>
      <c r="N2" s="3" t="inlineStr">
        <is>
          <t>mixta</t>
        </is>
      </c>
      <c r="O2" s="3" t="n">
        <v>-0.1643926976957927</v>
      </c>
      <c r="P2" s="3" t="inlineStr">
        <is>
          <t>tipo_hip_real</t>
        </is>
      </c>
      <c r="Q2" s="3" t="inlineStr">
        <is>
          <t>no</t>
        </is>
      </c>
      <c r="R2" s="3" t="inlineStr">
        <is>
          <t>C4</t>
        </is>
      </c>
      <c r="S2" s="3" t="inlineStr">
        <is>
          <t>output/v8/M7/resumen_multiverso.csv</t>
        </is>
      </c>
    </row>
    <row r="3">
      <c r="A3" s="3" t="inlineStr">
        <is>
          <t>alquiler</t>
        </is>
      </c>
      <c r="B3" s="3" t="inlineStr">
        <is>
          <t>P1</t>
        </is>
      </c>
      <c r="C3" s="3" t="inlineStr">
        <is>
          <t>credito_tipos</t>
        </is>
      </c>
      <c r="D3" s="3" t="inlineStr">
        <is>
          <t>credito_nuevo_real</t>
        </is>
      </c>
      <c r="E3" s="3" t="n">
        <v>96</v>
      </c>
      <c r="F3" s="3" t="n">
        <v>0.7291666666666666</v>
      </c>
      <c r="G3" s="3" t="inlineStr">
        <is>
          <t>negativo</t>
        </is>
      </c>
      <c r="H3" s="3" t="n">
        <v>0.21875</v>
      </c>
      <c r="I3" s="3" t="n">
        <v>-0.3144905829514268</v>
      </c>
      <c r="J3" s="3" t="n">
        <v>-0.8350374712281754</v>
      </c>
      <c r="K3" s="3" t="n">
        <v>0.5193619350256439</v>
      </c>
      <c r="L3" s="3" t="inlineStr">
        <is>
          <t>no</t>
        </is>
      </c>
      <c r="M3" s="3" t="n">
        <v>0</v>
      </c>
      <c r="N3" s="3" t="inlineStr">
        <is>
          <t>mas es mas presion</t>
        </is>
      </c>
      <c r="O3" s="3" t="n">
        <v>-0.3144905829514268</v>
      </c>
      <c r="P3" s="3" t="n"/>
      <c r="Q3" s="3" t="n"/>
      <c r="R3" s="3" t="inlineStr">
        <is>
          <t>C4</t>
        </is>
      </c>
      <c r="S3" s="3" t="inlineStr">
        <is>
          <t>output/v8/M7/resumen_multiverso.csv</t>
        </is>
      </c>
    </row>
    <row r="4">
      <c r="A4" s="3" t="inlineStr">
        <is>
          <t>alquiler</t>
        </is>
      </c>
      <c r="B4" s="3" t="inlineStr">
        <is>
          <t>P1</t>
        </is>
      </c>
      <c r="C4" s="3" t="inlineStr">
        <is>
          <t>credito_tipos</t>
        </is>
      </c>
      <c r="D4" s="3" t="inlineStr">
        <is>
          <t>credito_stock_real</t>
        </is>
      </c>
      <c r="E4" s="3" t="n">
        <v>96</v>
      </c>
      <c r="F4" s="3" t="n">
        <v>0.5625</v>
      </c>
      <c r="G4" s="3" t="inlineStr">
        <is>
          <t>negativo</t>
        </is>
      </c>
      <c r="H4" s="3" t="n">
        <v>0.09375</v>
      </c>
      <c r="I4" s="3" t="n">
        <v>-0.0703080936020106</v>
      </c>
      <c r="J4" s="3" t="n">
        <v>-0.6743740814859578</v>
      </c>
      <c r="K4" s="3" t="n">
        <v>0.262504866277855</v>
      </c>
      <c r="L4" s="3" t="inlineStr">
        <is>
          <t>no</t>
        </is>
      </c>
      <c r="M4" s="3" t="n">
        <v>0</v>
      </c>
      <c r="N4" s="3" t="inlineStr">
        <is>
          <t>mas es mas presion</t>
        </is>
      </c>
      <c r="O4" s="3" t="n">
        <v>-0.0703080936020106</v>
      </c>
      <c r="P4" s="3" t="n"/>
      <c r="Q4" s="3" t="n"/>
      <c r="R4" s="3" t="inlineStr">
        <is>
          <t>C4</t>
        </is>
      </c>
      <c r="S4" s="3" t="inlineStr">
        <is>
          <t>output/v8/M7/resumen_multiverso.csv</t>
        </is>
      </c>
    </row>
    <row r="5">
      <c r="A5" s="3" t="inlineStr">
        <is>
          <t>alquiler</t>
        </is>
      </c>
      <c r="B5" s="3" t="inlineStr">
        <is>
          <t>P1</t>
        </is>
      </c>
      <c r="C5" s="3" t="inlineStr">
        <is>
          <t>credito_tipos</t>
        </is>
      </c>
      <c r="D5" s="3" t="inlineStr">
        <is>
          <t>tipo_hip_real</t>
        </is>
      </c>
      <c r="E5" s="3" t="n">
        <v>96</v>
      </c>
      <c r="F5" s="3" t="n">
        <v>0.6041666666666666</v>
      </c>
      <c r="G5" s="3" t="inlineStr">
        <is>
          <t>negativo</t>
        </is>
      </c>
      <c r="H5" s="3" t="n">
        <v>0.2604166666666667</v>
      </c>
      <c r="I5" s="3" t="n">
        <v>0.1380293414770058</v>
      </c>
      <c r="J5" s="3" t="n">
        <v>-0.2969835044116284</v>
      </c>
      <c r="K5" s="3" t="n">
        <v>0.9915297165609736</v>
      </c>
      <c r="L5" s="3" t="inlineStr">
        <is>
          <t>no</t>
        </is>
      </c>
      <c r="M5" s="3" t="n">
        <v>0</v>
      </c>
      <c r="N5" s="3" t="inlineStr">
        <is>
          <t>tipo x-1</t>
        </is>
      </c>
      <c r="O5" s="3" t="n">
        <v>-0.1380293414770058</v>
      </c>
      <c r="P5" s="3" t="inlineStr">
        <is>
          <t>principal</t>
        </is>
      </c>
      <c r="Q5" s="3" t="n"/>
      <c r="R5" s="3" t="inlineStr">
        <is>
          <t>C4</t>
        </is>
      </c>
      <c r="S5" s="3" t="inlineStr">
        <is>
          <t>output/v8/M7/resumen_multiverso.csv</t>
        </is>
      </c>
    </row>
    <row r="6">
      <c r="A6" s="3" t="inlineStr">
        <is>
          <t>alquiler</t>
        </is>
      </c>
      <c r="B6" s="3" t="inlineStr">
        <is>
          <t>P1</t>
        </is>
      </c>
      <c r="C6" s="3" t="inlineStr">
        <is>
          <t>demografia</t>
        </is>
      </c>
      <c r="D6" s="3" t="inlineStr">
        <is>
          <t>TODAS</t>
        </is>
      </c>
      <c r="E6" s="3" t="n">
        <v>288</v>
      </c>
      <c r="F6" s="3" t="n">
        <v>0.5625</v>
      </c>
      <c r="G6" s="3" t="inlineStr">
        <is>
          <t>positivo</t>
        </is>
      </c>
      <c r="H6" s="3" t="n">
        <v>0.0729166666666666</v>
      </c>
      <c r="I6" s="3" t="n">
        <v>0.0234168178184474</v>
      </c>
      <c r="J6" s="3" t="n">
        <v>-0.4109207126403433</v>
      </c>
      <c r="K6" s="3" t="n">
        <v>0.4716471570838174</v>
      </c>
      <c r="L6" s="3" t="inlineStr">
        <is>
          <t>no</t>
        </is>
      </c>
      <c r="M6" s="3" t="n">
        <v>0.3333333333333333</v>
      </c>
      <c r="N6" s="3" t="inlineStr">
        <is>
          <t>mas es mas presion</t>
        </is>
      </c>
      <c r="O6" s="3" t="n">
        <v>0.0234168178184474</v>
      </c>
      <c r="P6" s="3" t="inlineStr">
        <is>
          <t>pob_total</t>
        </is>
      </c>
      <c r="Q6" s="3" t="inlineStr">
        <is>
          <t>no</t>
        </is>
      </c>
      <c r="R6" s="3" t="inlineStr">
        <is>
          <t>C4</t>
        </is>
      </c>
      <c r="S6" s="3" t="inlineStr">
        <is>
          <t>output/v8/M7/resumen_multiverso.csv</t>
        </is>
      </c>
    </row>
    <row r="7">
      <c r="A7" s="3" t="inlineStr">
        <is>
          <t>alquiler</t>
        </is>
      </c>
      <c r="B7" s="3" t="inlineStr">
        <is>
          <t>P1</t>
        </is>
      </c>
      <c r="C7" s="3" t="inlineStr">
        <is>
          <t>demografia</t>
        </is>
      </c>
      <c r="D7" s="3" t="inlineStr">
        <is>
          <t>hogares_epa</t>
        </is>
      </c>
      <c r="E7" s="3" t="n">
        <v>96</v>
      </c>
      <c r="F7" s="3" t="n">
        <v>0.5208333333333334</v>
      </c>
      <c r="G7" s="3" t="inlineStr">
        <is>
          <t>positivo</t>
        </is>
      </c>
      <c r="H7" s="3" t="n">
        <v>0.0520833333333333</v>
      </c>
      <c r="I7" s="3" t="n">
        <v>0.0238370473995665</v>
      </c>
      <c r="J7" s="3" t="n">
        <v>-0.4133080926631236</v>
      </c>
      <c r="K7" s="3" t="n">
        <v>0.4716471570837828</v>
      </c>
      <c r="L7" s="3" t="inlineStr">
        <is>
          <t>no</t>
        </is>
      </c>
      <c r="M7" s="3" t="n">
        <v>0</v>
      </c>
      <c r="N7" s="3" t="inlineStr">
        <is>
          <t>mas es mas presion</t>
        </is>
      </c>
      <c r="O7" s="3" t="n">
        <v>0.0238370473995665</v>
      </c>
      <c r="P7" s="3" t="n"/>
      <c r="Q7" s="3" t="n"/>
      <c r="R7" s="3" t="inlineStr">
        <is>
          <t>C4</t>
        </is>
      </c>
      <c r="S7" s="3" t="inlineStr">
        <is>
          <t>output/v8/M7/resumen_multiverso.csv</t>
        </is>
      </c>
    </row>
    <row r="8">
      <c r="A8" s="3" t="inlineStr">
        <is>
          <t>alquiler</t>
        </is>
      </c>
      <c r="B8" s="3" t="inlineStr">
        <is>
          <t>P1</t>
        </is>
      </c>
      <c r="C8" s="3" t="inlineStr">
        <is>
          <t>demografia</t>
        </is>
      </c>
      <c r="D8" s="3" t="inlineStr">
        <is>
          <t>pob_extranj_ine</t>
        </is>
      </c>
      <c r="E8" s="3" t="n">
        <v>96</v>
      </c>
      <c r="F8" s="3" t="n">
        <v>0.5625</v>
      </c>
      <c r="G8" s="3" t="inlineStr">
        <is>
          <t>positivo</t>
        </is>
      </c>
      <c r="H8" s="3" t="n">
        <v>0.125</v>
      </c>
      <c r="I8" s="3" t="n">
        <v>0.0180012686729957</v>
      </c>
      <c r="J8" s="3" t="n">
        <v>-0.5434025463681824</v>
      </c>
      <c r="K8" s="3" t="n">
        <v>0.6516038144147933</v>
      </c>
      <c r="L8" s="3" t="inlineStr">
        <is>
          <t>no</t>
        </is>
      </c>
      <c r="M8" s="3" t="n">
        <v>0.5</v>
      </c>
      <c r="N8" s="3" t="inlineStr">
        <is>
          <t>mas es mas presion</t>
        </is>
      </c>
      <c r="O8" s="3" t="n">
        <v>0.0180012686729957</v>
      </c>
      <c r="P8" s="3" t="n"/>
      <c r="Q8" s="3" t="n"/>
      <c r="R8" s="3" t="inlineStr">
        <is>
          <t>C4</t>
        </is>
      </c>
      <c r="S8" s="3" t="inlineStr">
        <is>
          <t>output/v8/M7/resumen_multiverso.csv</t>
        </is>
      </c>
    </row>
    <row r="9">
      <c r="A9" s="3" t="inlineStr">
        <is>
          <t>alquiler</t>
        </is>
      </c>
      <c r="B9" s="3" t="inlineStr">
        <is>
          <t>P1</t>
        </is>
      </c>
      <c r="C9" s="3" t="inlineStr">
        <is>
          <t>demografia</t>
        </is>
      </c>
      <c r="D9" s="3" t="inlineStr">
        <is>
          <t>pob_total</t>
        </is>
      </c>
      <c r="E9" s="3" t="n">
        <v>96</v>
      </c>
      <c r="F9" s="3" t="n">
        <v>0.6041666666666666</v>
      </c>
      <c r="G9" s="3" t="inlineStr">
        <is>
          <t>positivo</t>
        </is>
      </c>
      <c r="H9" s="3" t="n">
        <v>0.0416666666666666</v>
      </c>
      <c r="I9" s="3" t="n">
        <v>0.042380788391009</v>
      </c>
      <c r="J9" s="3" t="n">
        <v>-0.2196974840355725</v>
      </c>
      <c r="K9" s="3" t="n">
        <v>0.3564309403471429</v>
      </c>
      <c r="L9" s="3" t="inlineStr">
        <is>
          <t>no</t>
        </is>
      </c>
      <c r="M9" s="3" t="n">
        <v>0.5</v>
      </c>
      <c r="N9" s="3" t="inlineStr">
        <is>
          <t>mas es mas presion</t>
        </is>
      </c>
      <c r="O9" s="3" t="n">
        <v>0.042380788391009</v>
      </c>
      <c r="P9" s="3" t="inlineStr">
        <is>
          <t>principal</t>
        </is>
      </c>
      <c r="Q9" s="3" t="n"/>
      <c r="R9" s="3" t="inlineStr">
        <is>
          <t>C4</t>
        </is>
      </c>
      <c r="S9" s="3" t="inlineStr">
        <is>
          <t>output/v8/M7/resumen_multiverso.csv</t>
        </is>
      </c>
    </row>
    <row r="10">
      <c r="A10" s="3" t="inlineStr">
        <is>
          <t>alquiler</t>
        </is>
      </c>
      <c r="B10" s="3" t="inlineStr">
        <is>
          <t>P1</t>
        </is>
      </c>
      <c r="C10" s="3" t="inlineStr">
        <is>
          <t>empleo_renta</t>
        </is>
      </c>
      <c r="D10" s="3" t="inlineStr">
        <is>
          <t>TODAS</t>
        </is>
      </c>
      <c r="E10" s="3" t="n">
        <v>288</v>
      </c>
      <c r="F10" s="3" t="n">
        <v>0.5902777777777778</v>
      </c>
      <c r="G10" s="3" t="inlineStr">
        <is>
          <t>negativo</t>
        </is>
      </c>
      <c r="H10" s="3" t="n">
        <v>0.1006944444444444</v>
      </c>
      <c r="I10" s="3" t="n">
        <v>-0.0769208708557494</v>
      </c>
      <c r="J10" s="3" t="n">
        <v>-0.5461085829331734</v>
      </c>
      <c r="K10" s="3" t="n">
        <v>0.5160299502418627</v>
      </c>
      <c r="L10" s="3" t="inlineStr">
        <is>
          <t>no</t>
        </is>
      </c>
      <c r="M10" s="3" t="n">
        <v>0</v>
      </c>
      <c r="N10" s="3" t="inlineStr">
        <is>
          <t>mas es mas presion</t>
        </is>
      </c>
      <c r="O10" s="3" t="n">
        <v>-0.0769208708557494</v>
      </c>
      <c r="P10" s="3" t="inlineStr">
        <is>
          <t>pib_vol</t>
        </is>
      </c>
      <c r="Q10" s="3" t="inlineStr">
        <is>
          <t>no</t>
        </is>
      </c>
      <c r="R10" s="3" t="inlineStr">
        <is>
          <t>C4</t>
        </is>
      </c>
      <c r="S10" s="3" t="inlineStr">
        <is>
          <t>output/v8/M7/resumen_multiverso.csv</t>
        </is>
      </c>
    </row>
    <row r="11">
      <c r="A11" s="3" t="inlineStr">
        <is>
          <t>alquiler</t>
        </is>
      </c>
      <c r="B11" s="3" t="inlineStr">
        <is>
          <t>P1</t>
        </is>
      </c>
      <c r="C11" s="3" t="inlineStr">
        <is>
          <t>empleo_renta</t>
        </is>
      </c>
      <c r="D11" s="3" t="inlineStr">
        <is>
          <t>ocupados</t>
        </is>
      </c>
      <c r="E11" s="3" t="n">
        <v>96</v>
      </c>
      <c r="F11" s="3" t="n">
        <v>0.6666666666666666</v>
      </c>
      <c r="G11" s="3" t="inlineStr">
        <is>
          <t>negativo</t>
        </is>
      </c>
      <c r="H11" s="3" t="n">
        <v>0.1354166666666666</v>
      </c>
      <c r="I11" s="3" t="n">
        <v>-0.1732407526956815</v>
      </c>
      <c r="J11" s="3" t="n">
        <v>-0.5615580695717</v>
      </c>
      <c r="K11" s="3" t="n">
        <v>0.3037393435960438</v>
      </c>
      <c r="L11" s="3" t="inlineStr">
        <is>
          <t>no</t>
        </is>
      </c>
      <c r="M11" s="3" t="n">
        <v>0</v>
      </c>
      <c r="N11" s="3" t="inlineStr">
        <is>
          <t>mas es mas presion</t>
        </is>
      </c>
      <c r="O11" s="3" t="n">
        <v>-0.1732407526956815</v>
      </c>
      <c r="P11" s="3" t="n"/>
      <c r="Q11" s="3" t="n"/>
      <c r="R11" s="3" t="inlineStr">
        <is>
          <t>C4</t>
        </is>
      </c>
      <c r="S11" s="3" t="inlineStr">
        <is>
          <t>output/v8/M7/resumen_multiverso.csv</t>
        </is>
      </c>
    </row>
    <row r="12">
      <c r="A12" s="3" t="inlineStr">
        <is>
          <t>alquiler</t>
        </is>
      </c>
      <c r="B12" s="3" t="inlineStr">
        <is>
          <t>P1</t>
        </is>
      </c>
      <c r="C12" s="3" t="inlineStr">
        <is>
          <t>empleo_renta</t>
        </is>
      </c>
      <c r="D12" s="3" t="inlineStr">
        <is>
          <t>pib_vol</t>
        </is>
      </c>
      <c r="E12" s="3" t="n">
        <v>96</v>
      </c>
      <c r="F12" s="3" t="n">
        <v>0.5</v>
      </c>
      <c r="G12" s="3" t="inlineStr">
        <is>
          <t>negativo</t>
        </is>
      </c>
      <c r="H12" s="3" t="n">
        <v>0.0520833333333333</v>
      </c>
      <c r="I12" s="3" t="n">
        <v>-0.0119057726688095</v>
      </c>
      <c r="J12" s="3" t="n">
        <v>-0.4852719590497198</v>
      </c>
      <c r="K12" s="3" t="n">
        <v>0.4653515938513951</v>
      </c>
      <c r="L12" s="3" t="inlineStr">
        <is>
          <t>no</t>
        </is>
      </c>
      <c r="M12" s="3" t="n">
        <v>0</v>
      </c>
      <c r="N12" s="3" t="inlineStr">
        <is>
          <t>mas es mas presion</t>
        </is>
      </c>
      <c r="O12" s="3" t="n">
        <v>-0.0119057726688095</v>
      </c>
      <c r="P12" s="3" t="inlineStr">
        <is>
          <t>principal</t>
        </is>
      </c>
      <c r="Q12" s="3" t="n"/>
      <c r="R12" s="3" t="inlineStr">
        <is>
          <t>C4</t>
        </is>
      </c>
      <c r="S12" s="3" t="inlineStr">
        <is>
          <t>output/v8/M7/resumen_multiverso.csv</t>
        </is>
      </c>
    </row>
    <row r="13">
      <c r="A13" s="3" t="inlineStr">
        <is>
          <t>alquiler</t>
        </is>
      </c>
      <c r="B13" s="3" t="inlineStr">
        <is>
          <t>P1</t>
        </is>
      </c>
      <c r="C13" s="3" t="inlineStr">
        <is>
          <t>empleo_renta</t>
        </is>
      </c>
      <c r="D13" s="3" t="inlineStr">
        <is>
          <t>rdb_real</t>
        </is>
      </c>
      <c r="E13" s="3" t="n">
        <v>96</v>
      </c>
      <c r="F13" s="3" t="n">
        <v>0.6041666666666666</v>
      </c>
      <c r="G13" s="3" t="inlineStr">
        <is>
          <t>negativo</t>
        </is>
      </c>
      <c r="H13" s="3" t="n">
        <v>0.1145833333333333</v>
      </c>
      <c r="I13" s="3" t="n">
        <v>-0.0881382489724603</v>
      </c>
      <c r="J13" s="3" t="n">
        <v>-0.5569899349465381</v>
      </c>
      <c r="K13" s="3" t="n">
        <v>0.7739387801997617</v>
      </c>
      <c r="L13" s="3" t="inlineStr">
        <is>
          <t>no</t>
        </is>
      </c>
      <c r="M13" s="3" t="n">
        <v>0</v>
      </c>
      <c r="N13" s="3" t="inlineStr">
        <is>
          <t>mas es mas presion</t>
        </is>
      </c>
      <c r="O13" s="3" t="n">
        <v>-0.0881382489724603</v>
      </c>
      <c r="P13" s="3" t="n"/>
      <c r="Q13" s="3" t="n"/>
      <c r="R13" s="3" t="inlineStr">
        <is>
          <t>C4</t>
        </is>
      </c>
      <c r="S13" s="3" t="inlineStr">
        <is>
          <t>output/v8/M7/resumen_multiverso.csv</t>
        </is>
      </c>
    </row>
    <row r="14">
      <c r="A14" s="3" t="inlineStr">
        <is>
          <t>alquiler</t>
        </is>
      </c>
      <c r="B14" s="3" t="inlineStr">
        <is>
          <t>P1</t>
        </is>
      </c>
      <c r="C14" s="3" t="inlineStr">
        <is>
          <t>factor_europeo</t>
        </is>
      </c>
      <c r="D14" s="3" t="inlineStr">
        <is>
          <t>TODAS</t>
        </is>
      </c>
      <c r="E14" s="3" t="n">
        <v>192</v>
      </c>
      <c r="F14" s="3" t="n">
        <v>0.5104166666666666</v>
      </c>
      <c r="G14" s="3" t="inlineStr">
        <is>
          <t>negativo</t>
        </is>
      </c>
      <c r="H14" s="3" t="n">
        <v>0.1041666666666666</v>
      </c>
      <c r="I14" s="3" t="n">
        <v>-0.0161808404592309</v>
      </c>
      <c r="J14" s="3" t="n">
        <v>-0.639798895061325</v>
      </c>
      <c r="K14" s="3" t="n">
        <v>0.6301699165865225</v>
      </c>
      <c r="L14" s="3" t="inlineStr">
        <is>
          <t>no</t>
        </is>
      </c>
      <c r="M14" s="3" t="n">
        <v>0</v>
      </c>
      <c r="N14" s="3" t="inlineStr">
        <is>
          <t>mas es mas presion</t>
        </is>
      </c>
      <c r="O14" s="3" t="n">
        <v>-0.0161808404592309</v>
      </c>
      <c r="P14" s="3" t="inlineStr">
        <is>
          <t>bis_hpi_xm_real</t>
        </is>
      </c>
      <c r="Q14" s="3" t="inlineStr">
        <is>
          <t>no</t>
        </is>
      </c>
      <c r="R14" s="3" t="inlineStr">
        <is>
          <t>C4</t>
        </is>
      </c>
      <c r="S14" s="3" t="inlineStr">
        <is>
          <t>output/v8/M7/resumen_multiverso.csv</t>
        </is>
      </c>
    </row>
    <row r="15">
      <c r="A15" s="3" t="inlineStr">
        <is>
          <t>alquiler</t>
        </is>
      </c>
      <c r="B15" s="3" t="inlineStr">
        <is>
          <t>P1</t>
        </is>
      </c>
      <c r="C15" s="3" t="inlineStr">
        <is>
          <t>factor_europeo</t>
        </is>
      </c>
      <c r="D15" s="3" t="inlineStr">
        <is>
          <t>bis_hpi_xm_real</t>
        </is>
      </c>
      <c r="E15" s="3" t="n">
        <v>96</v>
      </c>
      <c r="F15" s="3" t="n">
        <v>0.5</v>
      </c>
      <c r="G15" s="3" t="inlineStr">
        <is>
          <t>negativo</t>
        </is>
      </c>
      <c r="H15" s="3" t="n">
        <v>0.1666666666666666</v>
      </c>
      <c r="I15" s="3" t="n">
        <v>-0.0047851741162919</v>
      </c>
      <c r="J15" s="3" t="n">
        <v>-0.5730884351747292</v>
      </c>
      <c r="K15" s="3" t="n">
        <v>0.6333293220257465</v>
      </c>
      <c r="L15" s="3" t="inlineStr">
        <is>
          <t>no</t>
        </is>
      </c>
      <c r="M15" s="3" t="n">
        <v>0</v>
      </c>
      <c r="N15" s="3" t="inlineStr">
        <is>
          <t>mas es mas presion</t>
        </is>
      </c>
      <c r="O15" s="3" t="n">
        <v>-0.0047851741162919</v>
      </c>
      <c r="P15" s="3" t="inlineStr">
        <is>
          <t>principal</t>
        </is>
      </c>
      <c r="Q15" s="3" t="n"/>
      <c r="R15" s="3" t="inlineStr">
        <is>
          <t>C4</t>
        </is>
      </c>
      <c r="S15" s="3" t="inlineStr">
        <is>
          <t>output/v8/M7/resumen_multiverso.csv</t>
        </is>
      </c>
    </row>
    <row r="16">
      <c r="A16" s="3" t="inlineStr">
        <is>
          <t>alquiler</t>
        </is>
      </c>
      <c r="B16" s="3" t="inlineStr">
        <is>
          <t>P1</t>
        </is>
      </c>
      <c r="C16" s="3" t="inlineStr">
        <is>
          <t>factor_europeo</t>
        </is>
      </c>
      <c r="D16" s="3" t="inlineStr">
        <is>
          <t>jk_mp</t>
        </is>
      </c>
      <c r="E16" s="3" t="n">
        <v>96</v>
      </c>
      <c r="F16" s="3" t="n">
        <v>0.5208333333333334</v>
      </c>
      <c r="G16" s="3" t="inlineStr">
        <is>
          <t>negativo</t>
        </is>
      </c>
      <c r="H16" s="3" t="n">
        <v>0.0416666666666666</v>
      </c>
      <c r="I16" s="3" t="n">
        <v>-0.0181997789341575</v>
      </c>
      <c r="J16" s="3" t="n">
        <v>-0.7040541119993643</v>
      </c>
      <c r="K16" s="3" t="n">
        <v>0.5437970280758966</v>
      </c>
      <c r="L16" s="3" t="inlineStr">
        <is>
          <t>no</t>
        </is>
      </c>
      <c r="M16" s="3" t="n">
        <v>0</v>
      </c>
      <c r="N16" s="3" t="inlineStr">
        <is>
          <t>mas es mas presion</t>
        </is>
      </c>
      <c r="O16" s="3" t="n">
        <v>-0.0181997789341575</v>
      </c>
      <c r="P16" s="3" t="n"/>
      <c r="Q16" s="3" t="n"/>
      <c r="R16" s="3" t="inlineStr">
        <is>
          <t>C4</t>
        </is>
      </c>
      <c r="S16" s="3" t="inlineStr">
        <is>
          <t>output/v8/M7/resumen_multiverso.csv</t>
        </is>
      </c>
    </row>
    <row r="17">
      <c r="A17" s="3" t="inlineStr">
        <is>
          <t>alquiler</t>
        </is>
      </c>
      <c r="B17" s="3" t="inlineStr">
        <is>
          <t>P1</t>
        </is>
      </c>
      <c r="C17" s="3" t="inlineStr">
        <is>
          <t>oferta</t>
        </is>
      </c>
      <c r="D17" s="3" t="inlineStr">
        <is>
          <t>TODAS</t>
        </is>
      </c>
      <c r="E17" s="3" t="n">
        <v>288</v>
      </c>
      <c r="F17" s="3" t="n">
        <v>0.6458333333333334</v>
      </c>
      <c r="G17" s="3" t="inlineStr">
        <is>
          <t>positivo</t>
        </is>
      </c>
      <c r="H17" s="3" t="n">
        <v>0.1666666666666666</v>
      </c>
      <c r="I17" s="3" t="n">
        <v>0.1165776962983206</v>
      </c>
      <c r="J17" s="3" t="n">
        <v>-0.6409893341735164</v>
      </c>
      <c r="K17" s="3" t="n">
        <v>0.7311931026460519</v>
      </c>
      <c r="L17" s="3" t="inlineStr">
        <is>
          <t>no</t>
        </is>
      </c>
      <c r="M17" s="3" t="n">
        <v>0.6666666666666666</v>
      </c>
      <c r="N17" s="3" t="inlineStr">
        <is>
          <t>mas es mas presion</t>
        </is>
      </c>
      <c r="O17" s="3" t="n">
        <v>0.1165776962983206</v>
      </c>
      <c r="P17" s="3" t="inlineStr">
        <is>
          <t>costes_constr</t>
        </is>
      </c>
      <c r="Q17" s="3" t="inlineStr">
        <is>
          <t>no</t>
        </is>
      </c>
      <c r="R17" s="3" t="inlineStr">
        <is>
          <t>C4</t>
        </is>
      </c>
      <c r="S17" s="3" t="inlineStr">
        <is>
          <t>output/v8/M7/resumen_multiverso.csv</t>
        </is>
      </c>
    </row>
    <row r="18">
      <c r="A18" s="3" t="inlineStr">
        <is>
          <t>alquiler</t>
        </is>
      </c>
      <c r="B18" s="3" t="inlineStr">
        <is>
          <t>P1</t>
        </is>
      </c>
      <c r="C18" s="3" t="inlineStr">
        <is>
          <t>oferta</t>
        </is>
      </c>
      <c r="D18" s="3" t="inlineStr">
        <is>
          <t>costes_constr</t>
        </is>
      </c>
      <c r="E18" s="3" t="n">
        <v>96</v>
      </c>
      <c r="F18" s="3" t="n">
        <v>0.7708333333333334</v>
      </c>
      <c r="G18" s="3" t="inlineStr">
        <is>
          <t>positivo</t>
        </is>
      </c>
      <c r="H18" s="3" t="n">
        <v>0.28125</v>
      </c>
      <c r="I18" s="3" t="n">
        <v>0.2873458771177638</v>
      </c>
      <c r="J18" s="3" t="n">
        <v>-0.7097530140958248</v>
      </c>
      <c r="K18" s="3" t="n">
        <v>0.7685354235506002</v>
      </c>
      <c r="L18" s="3" t="inlineStr">
        <is>
          <t>no</t>
        </is>
      </c>
      <c r="M18" s="3" t="n">
        <v>0</v>
      </c>
      <c r="N18" s="3" t="inlineStr">
        <is>
          <t>mas es mas presion</t>
        </is>
      </c>
      <c r="O18" s="3" t="n">
        <v>0.2873458771177638</v>
      </c>
      <c r="P18" s="3" t="inlineStr">
        <is>
          <t>principal</t>
        </is>
      </c>
      <c r="Q18" s="3" t="n"/>
      <c r="R18" s="3" t="inlineStr">
        <is>
          <t>C4</t>
        </is>
      </c>
      <c r="S18" s="3" t="inlineStr">
        <is>
          <t>output/v8/M7/resumen_multiverso.csv</t>
        </is>
      </c>
    </row>
    <row r="19">
      <c r="A19" s="3" t="inlineStr">
        <is>
          <t>alquiler</t>
        </is>
      </c>
      <c r="B19" s="3" t="inlineStr">
        <is>
          <t>P1</t>
        </is>
      </c>
      <c r="C19" s="3" t="inlineStr">
        <is>
          <t>oferta</t>
        </is>
      </c>
      <c r="D19" s="3" t="inlineStr">
        <is>
          <t>terminadas</t>
        </is>
      </c>
      <c r="E19" s="3" t="n">
        <v>96</v>
      </c>
      <c r="F19" s="3" t="n">
        <v>0.7083333333333334</v>
      </c>
      <c r="G19" s="3" t="inlineStr">
        <is>
          <t>positivo</t>
        </is>
      </c>
      <c r="H19" s="3" t="n">
        <v>0.0833333333333333</v>
      </c>
      <c r="I19" s="3" t="n">
        <v>0.1497384831348283</v>
      </c>
      <c r="J19" s="3" t="n">
        <v>-0.5705900200142636</v>
      </c>
      <c r="K19" s="3" t="n">
        <v>0.4341739087654481</v>
      </c>
      <c r="L19" s="3" t="inlineStr">
        <is>
          <t>no</t>
        </is>
      </c>
      <c r="M19" s="3" t="n">
        <v>1</v>
      </c>
      <c r="N19" s="3" t="inlineStr">
        <is>
          <t>mas es mas presion</t>
        </is>
      </c>
      <c r="O19" s="3" t="n">
        <v>0.1497384831348283</v>
      </c>
      <c r="P19" s="3" t="n"/>
      <c r="Q19" s="3" t="n"/>
      <c r="R19" s="3" t="inlineStr">
        <is>
          <t>C4</t>
        </is>
      </c>
      <c r="S19" s="3" t="inlineStr">
        <is>
          <t>output/v8/M7/resumen_multiverso.csv</t>
        </is>
      </c>
    </row>
    <row r="20">
      <c r="A20" s="3" t="inlineStr">
        <is>
          <t>alquiler</t>
        </is>
      </c>
      <c r="B20" s="3" t="inlineStr">
        <is>
          <t>P1</t>
        </is>
      </c>
      <c r="C20" s="3" t="inlineStr">
        <is>
          <t>oferta</t>
        </is>
      </c>
      <c r="D20" s="3" t="inlineStr">
        <is>
          <t>visados</t>
        </is>
      </c>
      <c r="E20" s="3" t="n">
        <v>96</v>
      </c>
      <c r="F20" s="3" t="n">
        <v>0.5416666666666666</v>
      </c>
      <c r="G20" s="3" t="inlineStr">
        <is>
          <t>negativo</t>
        </is>
      </c>
      <c r="H20" s="3" t="n">
        <v>0.0833333333333333</v>
      </c>
      <c r="I20" s="3" t="n">
        <v>-0.044258603606669</v>
      </c>
      <c r="J20" s="3" t="n">
        <v>-0.609058983568053</v>
      </c>
      <c r="K20" s="3" t="n">
        <v>0.6364455538037695</v>
      </c>
      <c r="L20" s="3" t="inlineStr">
        <is>
          <t>no</t>
        </is>
      </c>
      <c r="M20" s="3" t="n">
        <v>1</v>
      </c>
      <c r="N20" s="3" t="inlineStr">
        <is>
          <t>mas es mas presion</t>
        </is>
      </c>
      <c r="O20" s="3" t="n">
        <v>-0.044258603606669</v>
      </c>
      <c r="P20" s="3" t="n"/>
      <c r="Q20" s="3" t="n"/>
      <c r="R20" s="3" t="inlineStr">
        <is>
          <t>C4</t>
        </is>
      </c>
      <c r="S20" s="3" t="inlineStr">
        <is>
          <t>output/v8/M7/resumen_multiverso.csv</t>
        </is>
      </c>
    </row>
    <row r="21">
      <c r="A21" s="3" t="inlineStr">
        <is>
          <t>alquiler</t>
        </is>
      </c>
      <c r="B21" s="3" t="inlineStr">
        <is>
          <t>P2</t>
        </is>
      </c>
      <c r="C21" s="3" t="inlineStr">
        <is>
          <t>credito_tipos</t>
        </is>
      </c>
      <c r="D21" s="3" t="inlineStr">
        <is>
          <t>TODAS</t>
        </is>
      </c>
      <c r="E21" s="3" t="n">
        <v>288</v>
      </c>
      <c r="F21" s="3" t="n">
        <v>0.5347222222222222</v>
      </c>
      <c r="G21" s="3" t="inlineStr">
        <is>
          <t>negativo</t>
        </is>
      </c>
      <c r="H21" s="3" t="n">
        <v>0.1770833333333333</v>
      </c>
      <c r="I21" s="3" t="n">
        <v>0.1638173550107644</v>
      </c>
      <c r="J21" s="3" t="n">
        <v>-0.6474011946025305</v>
      </c>
      <c r="K21" s="3" t="n">
        <v>0.9833020750359724</v>
      </c>
      <c r="L21" s="3" t="inlineStr">
        <is>
          <t>no</t>
        </is>
      </c>
      <c r="M21" s="3" t="n">
        <v>0</v>
      </c>
      <c r="N21" s="3" t="inlineStr">
        <is>
          <t>mixta</t>
        </is>
      </c>
      <c r="O21" s="3" t="n">
        <v>-0.0215069213153969</v>
      </c>
      <c r="P21" s="3" t="inlineStr">
        <is>
          <t>tipo_hip_real</t>
        </is>
      </c>
      <c r="Q21" s="3" t="inlineStr">
        <is>
          <t>no</t>
        </is>
      </c>
      <c r="R21" s="3" t="inlineStr">
        <is>
          <t>C4</t>
        </is>
      </c>
      <c r="S21" s="3" t="inlineStr">
        <is>
          <t>output/v8/M7/resumen_multiverso.csv</t>
        </is>
      </c>
    </row>
    <row r="22">
      <c r="A22" s="3" t="inlineStr">
        <is>
          <t>alquiler</t>
        </is>
      </c>
      <c r="B22" s="3" t="inlineStr">
        <is>
          <t>P2</t>
        </is>
      </c>
      <c r="C22" s="3" t="inlineStr">
        <is>
          <t>credito_tipos</t>
        </is>
      </c>
      <c r="D22" s="3" t="inlineStr">
        <is>
          <t>credito_nuevo_real</t>
        </is>
      </c>
      <c r="E22" s="3" t="n">
        <v>96</v>
      </c>
      <c r="F22" s="3" t="n">
        <v>0.5833333333333334</v>
      </c>
      <c r="G22" s="3" t="inlineStr">
        <is>
          <t>negativo</t>
        </is>
      </c>
      <c r="H22" s="3" t="n">
        <v>0.125</v>
      </c>
      <c r="I22" s="3" t="n">
        <v>-0.1313248797080836</v>
      </c>
      <c r="J22" s="3" t="n">
        <v>-0.6474011946025304</v>
      </c>
      <c r="K22" s="3" t="n">
        <v>0.5407015666657212</v>
      </c>
      <c r="L22" s="3" t="inlineStr">
        <is>
          <t>no</t>
        </is>
      </c>
      <c r="M22" s="3" t="n">
        <v>0</v>
      </c>
      <c r="N22" s="3" t="inlineStr">
        <is>
          <t>mas es mas presion</t>
        </is>
      </c>
      <c r="O22" s="3" t="n">
        <v>-0.1313248797080836</v>
      </c>
      <c r="P22" s="3" t="n"/>
      <c r="Q22" s="3" t="n"/>
      <c r="R22" s="3" t="inlineStr">
        <is>
          <t>C4</t>
        </is>
      </c>
      <c r="S22" s="3" t="inlineStr">
        <is>
          <t>output/v8/M7/resumen_multiverso.csv</t>
        </is>
      </c>
    </row>
    <row r="23">
      <c r="A23" s="3" t="inlineStr">
        <is>
          <t>alquiler</t>
        </is>
      </c>
      <c r="B23" s="3" t="inlineStr">
        <is>
          <t>P2</t>
        </is>
      </c>
      <c r="C23" s="3" t="inlineStr">
        <is>
          <t>credito_tipos</t>
        </is>
      </c>
      <c r="D23" s="3" t="inlineStr">
        <is>
          <t>credito_stock_real</t>
        </is>
      </c>
      <c r="E23" s="3" t="n">
        <v>96</v>
      </c>
      <c r="F23" s="3" t="n">
        <v>0.7291666666666666</v>
      </c>
      <c r="G23" s="3" t="inlineStr">
        <is>
          <t>positivo</t>
        </is>
      </c>
      <c r="H23" s="3" t="n">
        <v>0.53125</v>
      </c>
      <c r="I23" s="3" t="n">
        <v>0.6711830003350601</v>
      </c>
      <c r="J23" s="3" t="n">
        <v>-0.8214592849773155</v>
      </c>
      <c r="K23" s="3" t="n">
        <v>1.33358045108008</v>
      </c>
      <c r="L23" s="3" t="inlineStr">
        <is>
          <t>no</t>
        </is>
      </c>
      <c r="M23" s="3" t="n">
        <v>0</v>
      </c>
      <c r="N23" s="3" t="inlineStr">
        <is>
          <t>mas es mas presion</t>
        </is>
      </c>
      <c r="O23" s="3" t="n">
        <v>0.6711830003350601</v>
      </c>
      <c r="P23" s="3" t="n"/>
      <c r="Q23" s="3" t="n"/>
      <c r="R23" s="3" t="inlineStr">
        <is>
          <t>C4</t>
        </is>
      </c>
      <c r="S23" s="3" t="inlineStr">
        <is>
          <t>output/v8/M7/resumen_multiverso.csv</t>
        </is>
      </c>
    </row>
    <row r="24">
      <c r="A24" s="3" t="inlineStr">
        <is>
          <t>alquiler</t>
        </is>
      </c>
      <c r="B24" s="3" t="inlineStr">
        <is>
          <t>P2</t>
        </is>
      </c>
      <c r="C24" s="3" t="inlineStr">
        <is>
          <t>credito_tipos</t>
        </is>
      </c>
      <c r="D24" s="3" t="inlineStr">
        <is>
          <t>tipo_hip_real</t>
        </is>
      </c>
      <c r="E24" s="3" t="n">
        <v>96</v>
      </c>
      <c r="F24" s="3" t="n">
        <v>0.75</v>
      </c>
      <c r="G24" s="3" t="inlineStr">
        <is>
          <t>negativo</t>
        </is>
      </c>
      <c r="H24" s="3" t="n">
        <v>0.3125</v>
      </c>
      <c r="I24" s="3" t="n">
        <v>0.1708167921833649</v>
      </c>
      <c r="J24" s="3" t="n">
        <v>-0.3624310820340119</v>
      </c>
      <c r="K24" s="3" t="n">
        <v>0.8765592610768662</v>
      </c>
      <c r="L24" s="3" t="inlineStr">
        <is>
          <t>no</t>
        </is>
      </c>
      <c r="M24" s="3" t="n">
        <v>0</v>
      </c>
      <c r="N24" s="3" t="inlineStr">
        <is>
          <t>tipo x-1</t>
        </is>
      </c>
      <c r="O24" s="3" t="n">
        <v>-0.1708167921833649</v>
      </c>
      <c r="P24" s="3" t="inlineStr">
        <is>
          <t>principal</t>
        </is>
      </c>
      <c r="Q24" s="3" t="n"/>
      <c r="R24" s="3" t="inlineStr">
        <is>
          <t>C4</t>
        </is>
      </c>
      <c r="S24" s="3" t="inlineStr">
        <is>
          <t>output/v8/M7/resumen_multiverso.csv</t>
        </is>
      </c>
    </row>
    <row r="25">
      <c r="A25" s="3" t="inlineStr">
        <is>
          <t>alquiler</t>
        </is>
      </c>
      <c r="B25" s="3" t="inlineStr">
        <is>
          <t>P2</t>
        </is>
      </c>
      <c r="C25" s="3" t="inlineStr">
        <is>
          <t>demanda_externa</t>
        </is>
      </c>
      <c r="D25" s="3" t="inlineStr">
        <is>
          <t>TODAS</t>
        </is>
      </c>
      <c r="E25" s="3" t="n">
        <v>192</v>
      </c>
      <c r="F25" s="3" t="n">
        <v>0.5208333333333334</v>
      </c>
      <c r="G25" s="3" t="inlineStr">
        <is>
          <t>positivo</t>
        </is>
      </c>
      <c r="H25" s="3" t="n">
        <v>0.2135416666666666</v>
      </c>
      <c r="I25" s="3" t="n">
        <v>0.0230887680927622</v>
      </c>
      <c r="J25" s="3" t="n">
        <v>-0.7786455127212442</v>
      </c>
      <c r="K25" s="3" t="n">
        <v>0.7160302263196431</v>
      </c>
      <c r="L25" s="3" t="inlineStr">
        <is>
          <t>no</t>
        </is>
      </c>
      <c r="M25" s="3" t="n">
        <v>0</v>
      </c>
      <c r="N25" s="3" t="inlineStr">
        <is>
          <t>mas es mas presion</t>
        </is>
      </c>
      <c r="O25" s="3" t="n">
        <v>0.0230887680927622</v>
      </c>
      <c r="P25" s="3" t="inlineStr">
        <is>
          <t>tx_extranj</t>
        </is>
      </c>
      <c r="Q25" s="3" t="inlineStr">
        <is>
          <t>no</t>
        </is>
      </c>
      <c r="R25" s="3" t="inlineStr">
        <is>
          <t>C4</t>
        </is>
      </c>
      <c r="S25" s="3" t="inlineStr">
        <is>
          <t>output/v8/M7/resumen_multiverso.csv</t>
        </is>
      </c>
    </row>
    <row r="26">
      <c r="A26" s="3" t="inlineStr">
        <is>
          <t>alquiler</t>
        </is>
      </c>
      <c r="B26" s="3" t="inlineStr">
        <is>
          <t>P2</t>
        </is>
      </c>
      <c r="C26" s="3" t="inlineStr">
        <is>
          <t>demanda_externa</t>
        </is>
      </c>
      <c r="D26" s="3" t="inlineStr">
        <is>
          <t>cuota_extranj</t>
        </is>
      </c>
      <c r="E26" s="3" t="n">
        <v>96</v>
      </c>
      <c r="F26" s="3" t="n">
        <v>0.5625</v>
      </c>
      <c r="G26" s="3" t="inlineStr">
        <is>
          <t>positivo</t>
        </is>
      </c>
      <c r="H26" s="3" t="n">
        <v>0.1979166666666666</v>
      </c>
      <c r="I26" s="3" t="n">
        <v>0.0578888013079456</v>
      </c>
      <c r="J26" s="3" t="n">
        <v>-0.7485299260959805</v>
      </c>
      <c r="K26" s="3" t="n">
        <v>0.7178027831587633</v>
      </c>
      <c r="L26" s="3" t="inlineStr">
        <is>
          <t>no</t>
        </is>
      </c>
      <c r="M26" s="3" t="n">
        <v>0</v>
      </c>
      <c r="N26" s="3" t="inlineStr">
        <is>
          <t>mas es mas presion</t>
        </is>
      </c>
      <c r="O26" s="3" t="n">
        <v>0.0578888013079456</v>
      </c>
      <c r="P26" s="3" t="n"/>
      <c r="Q26" s="3" t="n"/>
      <c r="R26" s="3" t="inlineStr">
        <is>
          <t>C4</t>
        </is>
      </c>
      <c r="S26" s="3" t="inlineStr">
        <is>
          <t>output/v8/M7/resumen_multiverso.csv</t>
        </is>
      </c>
    </row>
    <row r="27">
      <c r="A27" s="3" t="inlineStr">
        <is>
          <t>alquiler</t>
        </is>
      </c>
      <c r="B27" s="3" t="inlineStr">
        <is>
          <t>P2</t>
        </is>
      </c>
      <c r="C27" s="3" t="inlineStr">
        <is>
          <t>demanda_externa</t>
        </is>
      </c>
      <c r="D27" s="3" t="inlineStr">
        <is>
          <t>tx_extranj</t>
        </is>
      </c>
      <c r="E27" s="3" t="n">
        <v>96</v>
      </c>
      <c r="F27" s="3" t="n">
        <v>0.5208333333333334</v>
      </c>
      <c r="G27" s="3" t="inlineStr">
        <is>
          <t>negativo</t>
        </is>
      </c>
      <c r="H27" s="3" t="n">
        <v>0.2291666666666666</v>
      </c>
      <c r="I27" s="3" t="n">
        <v>-0.0204069332390469</v>
      </c>
      <c r="J27" s="3" t="n">
        <v>-0.7922618054907176</v>
      </c>
      <c r="K27" s="3" t="n">
        <v>0.6886906796482815</v>
      </c>
      <c r="L27" s="3" t="inlineStr">
        <is>
          <t>no</t>
        </is>
      </c>
      <c r="M27" s="3" t="n">
        <v>0</v>
      </c>
      <c r="N27" s="3" t="inlineStr">
        <is>
          <t>mas es mas presion</t>
        </is>
      </c>
      <c r="O27" s="3" t="n">
        <v>-0.0204069332390469</v>
      </c>
      <c r="P27" s="3" t="inlineStr">
        <is>
          <t>principal</t>
        </is>
      </c>
      <c r="Q27" s="3" t="n"/>
      <c r="R27" s="3" t="inlineStr">
        <is>
          <t>C4</t>
        </is>
      </c>
      <c r="S27" s="3" t="inlineStr">
        <is>
          <t>output/v8/M7/resumen_multiverso.csv</t>
        </is>
      </c>
    </row>
    <row r="28">
      <c r="A28" s="3" t="inlineStr">
        <is>
          <t>alquiler</t>
        </is>
      </c>
      <c r="B28" s="3" t="inlineStr">
        <is>
          <t>P2</t>
        </is>
      </c>
      <c r="C28" s="3" t="inlineStr">
        <is>
          <t>demografia</t>
        </is>
      </c>
      <c r="D28" s="3" t="inlineStr">
        <is>
          <t>TODAS</t>
        </is>
      </c>
      <c r="E28" s="3" t="n">
        <v>288</v>
      </c>
      <c r="F28" s="3" t="n">
        <v>1</v>
      </c>
      <c r="G28" s="3" t="inlineStr">
        <is>
          <t>positivo</t>
        </is>
      </c>
      <c r="H28" s="3" t="n">
        <v>0.78125</v>
      </c>
      <c r="I28" s="3" t="n">
        <v>0.5238454420422005</v>
      </c>
      <c r="J28" s="3" t="n">
        <v>0.2751494767770985</v>
      </c>
      <c r="K28" s="3" t="n">
        <v>1.134075939676124</v>
      </c>
      <c r="L28" s="3" t="inlineStr">
        <is>
          <t>sí</t>
        </is>
      </c>
      <c r="M28" s="3" t="n">
        <v>0.3333333333333333</v>
      </c>
      <c r="N28" s="3" t="inlineStr">
        <is>
          <t>mas es mas presion</t>
        </is>
      </c>
      <c r="O28" s="3" t="n">
        <v>0.5238454420422005</v>
      </c>
      <c r="P28" s="3" t="inlineStr">
        <is>
          <t>pob_total</t>
        </is>
      </c>
      <c r="Q28" s="3" t="inlineStr">
        <is>
          <t>sí</t>
        </is>
      </c>
      <c r="R28" s="3" t="inlineStr">
        <is>
          <t>C4</t>
        </is>
      </c>
      <c r="S28" s="3" t="inlineStr">
        <is>
          <t>output/v8/M7/resumen_multiverso.csv</t>
        </is>
      </c>
    </row>
    <row r="29">
      <c r="A29" s="3" t="inlineStr">
        <is>
          <t>alquiler</t>
        </is>
      </c>
      <c r="B29" s="3" t="inlineStr">
        <is>
          <t>P2</t>
        </is>
      </c>
      <c r="C29" s="3" t="inlineStr">
        <is>
          <t>demografia</t>
        </is>
      </c>
      <c r="D29" s="3" t="inlineStr">
        <is>
          <t>hogares_epa</t>
        </is>
      </c>
      <c r="E29" s="3" t="n">
        <v>96</v>
      </c>
      <c r="F29" s="3" t="n">
        <v>1</v>
      </c>
      <c r="G29" s="3" t="inlineStr">
        <is>
          <t>positivo</t>
        </is>
      </c>
      <c r="H29" s="3" t="n">
        <v>0.75</v>
      </c>
      <c r="I29" s="3" t="n">
        <v>0.5199302470075688</v>
      </c>
      <c r="J29" s="3" t="n">
        <v>0.2306810153667581</v>
      </c>
      <c r="K29" s="3" t="n">
        <v>1.146046091625433</v>
      </c>
      <c r="L29" s="3" t="inlineStr">
        <is>
          <t>sí</t>
        </is>
      </c>
      <c r="M29" s="3" t="n">
        <v>0</v>
      </c>
      <c r="N29" s="3" t="inlineStr">
        <is>
          <t>mas es mas presion</t>
        </is>
      </c>
      <c r="O29" s="3" t="n">
        <v>0.5199302470075688</v>
      </c>
      <c r="P29" s="3" t="n"/>
      <c r="Q29" s="3" t="n"/>
      <c r="R29" s="3" t="inlineStr">
        <is>
          <t>C4</t>
        </is>
      </c>
      <c r="S29" s="3" t="inlineStr">
        <is>
          <t>output/v8/M7/resumen_multiverso.csv</t>
        </is>
      </c>
    </row>
    <row r="30">
      <c r="A30" s="3" t="inlineStr">
        <is>
          <t>alquiler</t>
        </is>
      </c>
      <c r="B30" s="3" t="inlineStr">
        <is>
          <t>P2</t>
        </is>
      </c>
      <c r="C30" s="3" t="inlineStr">
        <is>
          <t>demografia</t>
        </is>
      </c>
      <c r="D30" s="3" t="inlineStr">
        <is>
          <t>pob_extranj_ine</t>
        </is>
      </c>
      <c r="E30" s="3" t="n">
        <v>96</v>
      </c>
      <c r="F30" s="3" t="n">
        <v>1</v>
      </c>
      <c r="G30" s="3" t="inlineStr">
        <is>
          <t>positivo</t>
        </is>
      </c>
      <c r="H30" s="3" t="n">
        <v>0.7708333333333334</v>
      </c>
      <c r="I30" s="3" t="n">
        <v>0.5712175141478006</v>
      </c>
      <c r="J30" s="3" t="n">
        <v>0.2761287940722371</v>
      </c>
      <c r="K30" s="3" t="n">
        <v>1.075840444300168</v>
      </c>
      <c r="L30" s="3" t="inlineStr">
        <is>
          <t>sí</t>
        </is>
      </c>
      <c r="M30" s="3" t="n">
        <v>0.5</v>
      </c>
      <c r="N30" s="3" t="inlineStr">
        <is>
          <t>mas es mas presion</t>
        </is>
      </c>
      <c r="O30" s="3" t="n">
        <v>0.5712175141478006</v>
      </c>
      <c r="P30" s="3" t="n"/>
      <c r="Q30" s="3" t="n"/>
      <c r="R30" s="3" t="inlineStr">
        <is>
          <t>C4</t>
        </is>
      </c>
      <c r="S30" s="3" t="inlineStr">
        <is>
          <t>output/v8/M7/resumen_multiverso.csv</t>
        </is>
      </c>
    </row>
    <row r="31">
      <c r="A31" s="3" t="inlineStr">
        <is>
          <t>alquiler</t>
        </is>
      </c>
      <c r="B31" s="3" t="inlineStr">
        <is>
          <t>P2</t>
        </is>
      </c>
      <c r="C31" s="3" t="inlineStr">
        <is>
          <t>demografia</t>
        </is>
      </c>
      <c r="D31" s="3" t="inlineStr">
        <is>
          <t>pob_total</t>
        </is>
      </c>
      <c r="E31" s="3" t="n">
        <v>96</v>
      </c>
      <c r="F31" s="3" t="n">
        <v>1</v>
      </c>
      <c r="G31" s="3" t="inlineStr">
        <is>
          <t>positivo</t>
        </is>
      </c>
      <c r="H31" s="3" t="n">
        <v>0.8229166666666666</v>
      </c>
      <c r="I31" s="3" t="n">
        <v>0.5356790319672839</v>
      </c>
      <c r="J31" s="3" t="n">
        <v>0.2801897261551532</v>
      </c>
      <c r="K31" s="3" t="n">
        <v>1.134075939676077</v>
      </c>
      <c r="L31" s="3" t="inlineStr">
        <is>
          <t>sí</t>
        </is>
      </c>
      <c r="M31" s="3" t="n">
        <v>0.5</v>
      </c>
      <c r="N31" s="3" t="inlineStr">
        <is>
          <t>mas es mas presion</t>
        </is>
      </c>
      <c r="O31" s="3" t="n">
        <v>0.5356790319672839</v>
      </c>
      <c r="P31" s="3" t="inlineStr">
        <is>
          <t>principal</t>
        </is>
      </c>
      <c r="Q31" s="3" t="n"/>
      <c r="R31" s="3" t="inlineStr">
        <is>
          <t>C4</t>
        </is>
      </c>
      <c r="S31" s="3" t="inlineStr">
        <is>
          <t>output/v8/M7/resumen_multiverso.csv</t>
        </is>
      </c>
    </row>
    <row r="32">
      <c r="A32" s="3" t="inlineStr">
        <is>
          <t>alquiler</t>
        </is>
      </c>
      <c r="B32" s="3" t="inlineStr">
        <is>
          <t>P2</t>
        </is>
      </c>
      <c r="C32" s="3" t="inlineStr">
        <is>
          <t>empleo_renta</t>
        </is>
      </c>
      <c r="D32" s="3" t="inlineStr">
        <is>
          <t>TODAS</t>
        </is>
      </c>
      <c r="E32" s="3" t="n">
        <v>288</v>
      </c>
      <c r="F32" s="3" t="n">
        <v>0.5138888888888888</v>
      </c>
      <c r="G32" s="3" t="inlineStr">
        <is>
          <t>positivo</t>
        </is>
      </c>
      <c r="H32" s="3" t="n">
        <v>0.1736111111111111</v>
      </c>
      <c r="I32" s="3" t="n">
        <v>0.0075818981757391</v>
      </c>
      <c r="J32" s="3" t="n">
        <v>-0.5769372654780086</v>
      </c>
      <c r="K32" s="3" t="n">
        <v>0.5998512993584629</v>
      </c>
      <c r="L32" s="3" t="inlineStr">
        <is>
          <t>no</t>
        </is>
      </c>
      <c r="M32" s="3" t="n">
        <v>0</v>
      </c>
      <c r="N32" s="3" t="inlineStr">
        <is>
          <t>mas es mas presion</t>
        </is>
      </c>
      <c r="O32" s="3" t="n">
        <v>0.0075818981757391</v>
      </c>
      <c r="P32" s="3" t="inlineStr">
        <is>
          <t>pib_vol</t>
        </is>
      </c>
      <c r="Q32" s="3" t="inlineStr">
        <is>
          <t>no</t>
        </is>
      </c>
      <c r="R32" s="3" t="inlineStr">
        <is>
          <t>C4</t>
        </is>
      </c>
      <c r="S32" s="3" t="inlineStr">
        <is>
          <t>output/v8/M7/resumen_multiverso.csv</t>
        </is>
      </c>
    </row>
    <row r="33">
      <c r="A33" s="3" t="inlineStr">
        <is>
          <t>alquiler</t>
        </is>
      </c>
      <c r="B33" s="3" t="inlineStr">
        <is>
          <t>P2</t>
        </is>
      </c>
      <c r="C33" s="3" t="inlineStr">
        <is>
          <t>empleo_renta</t>
        </is>
      </c>
      <c r="D33" s="3" t="inlineStr">
        <is>
          <t>ocupados</t>
        </is>
      </c>
      <c r="E33" s="3" t="n">
        <v>96</v>
      </c>
      <c r="F33" s="3" t="n">
        <v>0.5833333333333334</v>
      </c>
      <c r="G33" s="3" t="inlineStr">
        <is>
          <t>negativo</t>
        </is>
      </c>
      <c r="H33" s="3" t="n">
        <v>0.2604166666666667</v>
      </c>
      <c r="I33" s="3" t="n">
        <v>-0.0897725795326608</v>
      </c>
      <c r="J33" s="3" t="n">
        <v>-0.6209997258327731</v>
      </c>
      <c r="K33" s="3" t="n">
        <v>0.5184040674823136</v>
      </c>
      <c r="L33" s="3" t="inlineStr">
        <is>
          <t>no</t>
        </is>
      </c>
      <c r="M33" s="3" t="n">
        <v>0</v>
      </c>
      <c r="N33" s="3" t="inlineStr">
        <is>
          <t>mas es mas presion</t>
        </is>
      </c>
      <c r="O33" s="3" t="n">
        <v>-0.0897725795326608</v>
      </c>
      <c r="P33" s="3" t="n"/>
      <c r="Q33" s="3" t="n"/>
      <c r="R33" s="3" t="inlineStr">
        <is>
          <t>C4</t>
        </is>
      </c>
      <c r="S33" s="3" t="inlineStr">
        <is>
          <t>output/v8/M7/resumen_multiverso.csv</t>
        </is>
      </c>
    </row>
    <row r="34">
      <c r="A34" s="3" t="inlineStr">
        <is>
          <t>alquiler</t>
        </is>
      </c>
      <c r="B34" s="3" t="inlineStr">
        <is>
          <t>P2</t>
        </is>
      </c>
      <c r="C34" s="3" t="inlineStr">
        <is>
          <t>empleo_renta</t>
        </is>
      </c>
      <c r="D34" s="3" t="inlineStr">
        <is>
          <t>pib_vol</t>
        </is>
      </c>
      <c r="E34" s="3" t="n">
        <v>96</v>
      </c>
      <c r="F34" s="3" t="n">
        <v>0.5625</v>
      </c>
      <c r="G34" s="3" t="inlineStr">
        <is>
          <t>negativo</t>
        </is>
      </c>
      <c r="H34" s="3" t="n">
        <v>0.1875</v>
      </c>
      <c r="I34" s="3" t="n">
        <v>-0.0524166641404071</v>
      </c>
      <c r="J34" s="3" t="n">
        <v>-0.4865704720064098</v>
      </c>
      <c r="K34" s="3" t="n">
        <v>0.5069911317086779</v>
      </c>
      <c r="L34" s="3" t="inlineStr">
        <is>
          <t>no</t>
        </is>
      </c>
      <c r="M34" s="3" t="n">
        <v>0</v>
      </c>
      <c r="N34" s="3" t="inlineStr">
        <is>
          <t>mas es mas presion</t>
        </is>
      </c>
      <c r="O34" s="3" t="n">
        <v>-0.0524166641404071</v>
      </c>
      <c r="P34" s="3" t="inlineStr">
        <is>
          <t>principal</t>
        </is>
      </c>
      <c r="Q34" s="3" t="n"/>
      <c r="R34" s="3" t="inlineStr">
        <is>
          <t>C4</t>
        </is>
      </c>
      <c r="S34" s="3" t="inlineStr">
        <is>
          <t>output/v8/M7/resumen_multiverso.csv</t>
        </is>
      </c>
    </row>
    <row r="35">
      <c r="A35" s="3" t="inlineStr">
        <is>
          <t>alquiler</t>
        </is>
      </c>
      <c r="B35" s="3" t="inlineStr">
        <is>
          <t>P2</t>
        </is>
      </c>
      <c r="C35" s="3" t="inlineStr">
        <is>
          <t>empleo_renta</t>
        </is>
      </c>
      <c r="D35" s="3" t="inlineStr">
        <is>
          <t>rdb_real</t>
        </is>
      </c>
      <c r="E35" s="3" t="n">
        <v>96</v>
      </c>
      <c r="F35" s="3" t="n">
        <v>0.6875</v>
      </c>
      <c r="G35" s="3" t="inlineStr">
        <is>
          <t>positivo</t>
        </is>
      </c>
      <c r="H35" s="3" t="n">
        <v>0.21875</v>
      </c>
      <c r="I35" s="3" t="n">
        <v>0.123618478170652</v>
      </c>
      <c r="J35" s="3" t="n">
        <v>-0.6091771981660855</v>
      </c>
      <c r="K35" s="3" t="n">
        <v>0.7026626198628634</v>
      </c>
      <c r="L35" s="3" t="inlineStr">
        <is>
          <t>no</t>
        </is>
      </c>
      <c r="M35" s="3" t="n">
        <v>0</v>
      </c>
      <c r="N35" s="3" t="inlineStr">
        <is>
          <t>mas es mas presion</t>
        </is>
      </c>
      <c r="O35" s="3" t="n">
        <v>0.123618478170652</v>
      </c>
      <c r="P35" s="3" t="n"/>
      <c r="Q35" s="3" t="n"/>
      <c r="R35" s="3" t="inlineStr">
        <is>
          <t>C4</t>
        </is>
      </c>
      <c r="S35" s="3" t="inlineStr">
        <is>
          <t>output/v8/M7/resumen_multiverso.csv</t>
        </is>
      </c>
    </row>
    <row r="36">
      <c r="A36" s="3" t="inlineStr">
        <is>
          <t>alquiler</t>
        </is>
      </c>
      <c r="B36" s="3" t="inlineStr">
        <is>
          <t>P2</t>
        </is>
      </c>
      <c r="C36" s="3" t="inlineStr">
        <is>
          <t>factor_europeo</t>
        </is>
      </c>
      <c r="D36" s="3" t="inlineStr">
        <is>
          <t>TODAS</t>
        </is>
      </c>
      <c r="E36" s="3" t="n">
        <v>288</v>
      </c>
      <c r="F36" s="3" t="n">
        <v>0.5138888888888888</v>
      </c>
      <c r="G36" s="3" t="inlineStr">
        <is>
          <t>positivo</t>
        </is>
      </c>
      <c r="H36" s="3" t="n">
        <v>0.1076388888888889</v>
      </c>
      <c r="I36" s="3" t="n">
        <v>0.0184012584731794</v>
      </c>
      <c r="J36" s="3" t="n">
        <v>-0.5255203561724008</v>
      </c>
      <c r="K36" s="3" t="n">
        <v>0.5591341097662534</v>
      </c>
      <c r="L36" s="3" t="inlineStr">
        <is>
          <t>no</t>
        </is>
      </c>
      <c r="M36" s="3" t="n">
        <v>0</v>
      </c>
      <c r="N36" s="3" t="inlineStr">
        <is>
          <t>mas es mas presion</t>
        </is>
      </c>
      <c r="O36" s="3" t="n">
        <v>0.0184012584731794</v>
      </c>
      <c r="P36" s="3" t="inlineStr">
        <is>
          <t>bis_hpi_xm_real</t>
        </is>
      </c>
      <c r="Q36" s="3" t="inlineStr">
        <is>
          <t>no</t>
        </is>
      </c>
      <c r="R36" s="3" t="inlineStr">
        <is>
          <t>C4</t>
        </is>
      </c>
      <c r="S36" s="3" t="inlineStr">
        <is>
          <t>output/v8/M7/resumen_multiverso.csv</t>
        </is>
      </c>
    </row>
    <row r="37">
      <c r="A37" s="3" t="inlineStr">
        <is>
          <t>alquiler</t>
        </is>
      </c>
      <c r="B37" s="3" t="inlineStr">
        <is>
          <t>P2</t>
        </is>
      </c>
      <c r="C37" s="3" t="inlineStr">
        <is>
          <t>factor_europeo</t>
        </is>
      </c>
      <c r="D37" s="3" t="inlineStr">
        <is>
          <t>bis_hpi_xm_real</t>
        </is>
      </c>
      <c r="E37" s="3" t="n">
        <v>96</v>
      </c>
      <c r="F37" s="3" t="n">
        <v>0.5416666666666666</v>
      </c>
      <c r="G37" s="3" t="inlineStr">
        <is>
          <t>negativo</t>
        </is>
      </c>
      <c r="H37" s="3" t="n">
        <v>0.09375</v>
      </c>
      <c r="I37" s="3" t="n">
        <v>-0.0408548203146994</v>
      </c>
      <c r="J37" s="3" t="n">
        <v>-0.4967962239222955</v>
      </c>
      <c r="K37" s="3" t="n">
        <v>0.5935704243565946</v>
      </c>
      <c r="L37" s="3" t="inlineStr">
        <is>
          <t>no</t>
        </is>
      </c>
      <c r="M37" s="3" t="n">
        <v>0</v>
      </c>
      <c r="N37" s="3" t="inlineStr">
        <is>
          <t>mas es mas presion</t>
        </is>
      </c>
      <c r="O37" s="3" t="n">
        <v>-0.0408548203146994</v>
      </c>
      <c r="P37" s="3" t="inlineStr">
        <is>
          <t>principal</t>
        </is>
      </c>
      <c r="Q37" s="3" t="n"/>
      <c r="R37" s="3" t="inlineStr">
        <is>
          <t>C4</t>
        </is>
      </c>
      <c r="S37" s="3" t="inlineStr">
        <is>
          <t>output/v8/M7/resumen_multiverso.csv</t>
        </is>
      </c>
    </row>
    <row r="38">
      <c r="A38" s="3" t="inlineStr">
        <is>
          <t>alquiler</t>
        </is>
      </c>
      <c r="B38" s="3" t="inlineStr">
        <is>
          <t>P2</t>
        </is>
      </c>
      <c r="C38" s="3" t="inlineStr">
        <is>
          <t>factor_europeo</t>
        </is>
      </c>
      <c r="D38" s="3" t="inlineStr">
        <is>
          <t>hpi_ea19</t>
        </is>
      </c>
      <c r="E38" s="3" t="n">
        <v>96</v>
      </c>
      <c r="F38" s="3" t="n">
        <v>0.625</v>
      </c>
      <c r="G38" s="3" t="inlineStr">
        <is>
          <t>negativo</t>
        </is>
      </c>
      <c r="H38" s="3" t="n">
        <v>0.125</v>
      </c>
      <c r="I38" s="3" t="n">
        <v>-0.1303433694729011</v>
      </c>
      <c r="J38" s="3" t="n">
        <v>-0.7403043963307049</v>
      </c>
      <c r="K38" s="3" t="n">
        <v>0.522387407699012</v>
      </c>
      <c r="L38" s="3" t="inlineStr">
        <is>
          <t>no</t>
        </is>
      </c>
      <c r="M38" s="3" t="n">
        <v>0</v>
      </c>
      <c r="N38" s="3" t="inlineStr">
        <is>
          <t>mas es mas presion</t>
        </is>
      </c>
      <c r="O38" s="3" t="n">
        <v>-0.1303433694729011</v>
      </c>
      <c r="P38" s="3" t="n"/>
      <c r="Q38" s="3" t="n"/>
      <c r="R38" s="3" t="inlineStr">
        <is>
          <t>C4</t>
        </is>
      </c>
      <c r="S38" s="3" t="inlineStr">
        <is>
          <t>output/v8/M7/resumen_multiverso.csv</t>
        </is>
      </c>
    </row>
    <row r="39">
      <c r="A39" s="3" t="inlineStr">
        <is>
          <t>alquiler</t>
        </is>
      </c>
      <c r="B39" s="3" t="inlineStr">
        <is>
          <t>P2</t>
        </is>
      </c>
      <c r="C39" s="3" t="inlineStr">
        <is>
          <t>factor_europeo</t>
        </is>
      </c>
      <c r="D39" s="3" t="inlineStr">
        <is>
          <t>jk_mp</t>
        </is>
      </c>
      <c r="E39" s="3" t="n">
        <v>96</v>
      </c>
      <c r="F39" s="3" t="n">
        <v>0.7083333333333334</v>
      </c>
      <c r="G39" s="3" t="inlineStr">
        <is>
          <t>positivo</t>
        </is>
      </c>
      <c r="H39" s="3" t="n">
        <v>0.125</v>
      </c>
      <c r="I39" s="3" t="n">
        <v>0.1582921673108458</v>
      </c>
      <c r="J39" s="3" t="n">
        <v>-0.13810764618632</v>
      </c>
      <c r="K39" s="3" t="n">
        <v>0.489240019262968</v>
      </c>
      <c r="L39" s="3" t="inlineStr">
        <is>
          <t>no</t>
        </is>
      </c>
      <c r="M39" s="3" t="n">
        <v>0</v>
      </c>
      <c r="N39" s="3" t="inlineStr">
        <is>
          <t>mas es mas presion</t>
        </is>
      </c>
      <c r="O39" s="3" t="n">
        <v>0.1582921673108458</v>
      </c>
      <c r="P39" s="3" t="n"/>
      <c r="Q39" s="3" t="n"/>
      <c r="R39" s="3" t="inlineStr">
        <is>
          <t>C4</t>
        </is>
      </c>
      <c r="S39" s="3" t="inlineStr">
        <is>
          <t>output/v8/M7/resumen_multiverso.csv</t>
        </is>
      </c>
    </row>
    <row r="40">
      <c r="A40" s="3" t="inlineStr">
        <is>
          <t>alquiler</t>
        </is>
      </c>
      <c r="B40" s="3" t="inlineStr">
        <is>
          <t>P2</t>
        </is>
      </c>
      <c r="C40" s="3" t="inlineStr">
        <is>
          <t>oferta</t>
        </is>
      </c>
      <c r="D40" s="3" t="inlineStr">
        <is>
          <t>TODAS</t>
        </is>
      </c>
      <c r="E40" s="3" t="n">
        <v>288</v>
      </c>
      <c r="F40" s="3" t="n">
        <v>0.5138888888888888</v>
      </c>
      <c r="G40" s="3" t="inlineStr">
        <is>
          <t>negativo</t>
        </is>
      </c>
      <c r="H40" s="3" t="n">
        <v>0.1527777777777778</v>
      </c>
      <c r="I40" s="3" t="n">
        <v>-0.0315628528911738</v>
      </c>
      <c r="J40" s="3" t="n">
        <v>-0.7490639490197326</v>
      </c>
      <c r="K40" s="3" t="n">
        <v>0.6129880294115865</v>
      </c>
      <c r="L40" s="3" t="inlineStr">
        <is>
          <t>no</t>
        </is>
      </c>
      <c r="M40" s="3" t="n">
        <v>0</v>
      </c>
      <c r="N40" s="3" t="inlineStr">
        <is>
          <t>mas es mas presion</t>
        </is>
      </c>
      <c r="O40" s="3" t="n">
        <v>-0.0315628528911738</v>
      </c>
      <c r="P40" s="3" t="inlineStr">
        <is>
          <t>terminadas</t>
        </is>
      </c>
      <c r="Q40" s="3" t="inlineStr">
        <is>
          <t>no</t>
        </is>
      </c>
      <c r="R40" s="3" t="inlineStr">
        <is>
          <t>C4</t>
        </is>
      </c>
      <c r="S40" s="3" t="inlineStr">
        <is>
          <t>output/v8/M7/resumen_multiverso.csv</t>
        </is>
      </c>
    </row>
    <row r="41">
      <c r="A41" s="3" t="inlineStr">
        <is>
          <t>alquiler</t>
        </is>
      </c>
      <c r="B41" s="3" t="inlineStr">
        <is>
          <t>P2</t>
        </is>
      </c>
      <c r="C41" s="3" t="inlineStr">
        <is>
          <t>oferta</t>
        </is>
      </c>
      <c r="D41" s="3" t="inlineStr">
        <is>
          <t>costes_constr</t>
        </is>
      </c>
      <c r="E41" s="3" t="n">
        <v>96</v>
      </c>
      <c r="F41" s="3" t="n">
        <v>0.75</v>
      </c>
      <c r="G41" s="3" t="inlineStr">
        <is>
          <t>positivo</t>
        </is>
      </c>
      <c r="H41" s="3" t="n">
        <v>0.3333333333333333</v>
      </c>
      <c r="I41" s="3" t="n">
        <v>0.2311327060694132</v>
      </c>
      <c r="J41" s="3" t="n">
        <v>-0.4414951732303201</v>
      </c>
      <c r="K41" s="3" t="n">
        <v>0.6676215090043568</v>
      </c>
      <c r="L41" s="3" t="inlineStr">
        <is>
          <t>no</t>
        </is>
      </c>
      <c r="M41" s="3" t="n">
        <v>0</v>
      </c>
      <c r="N41" s="3" t="inlineStr">
        <is>
          <t>mas es mas presion</t>
        </is>
      </c>
      <c r="O41" s="3" t="n">
        <v>0.2311327060694132</v>
      </c>
      <c r="P41" s="3" t="n"/>
      <c r="Q41" s="3" t="n"/>
      <c r="R41" s="3" t="inlineStr">
        <is>
          <t>C4</t>
        </is>
      </c>
      <c r="S41" s="3" t="inlineStr">
        <is>
          <t>output/v8/M7/resumen_multiverso.csv</t>
        </is>
      </c>
    </row>
    <row r="42">
      <c r="A42" s="3" t="inlineStr">
        <is>
          <t>alquiler</t>
        </is>
      </c>
      <c r="B42" s="3" t="inlineStr">
        <is>
          <t>P2</t>
        </is>
      </c>
      <c r="C42" s="3" t="inlineStr">
        <is>
          <t>oferta</t>
        </is>
      </c>
      <c r="D42" s="3" t="inlineStr">
        <is>
          <t>terminadas</t>
        </is>
      </c>
      <c r="E42" s="3" t="n">
        <v>96</v>
      </c>
      <c r="F42" s="3" t="n">
        <v>0.5833333333333334</v>
      </c>
      <c r="G42" s="3" t="inlineStr">
        <is>
          <t>positivo</t>
        </is>
      </c>
      <c r="H42" s="3" t="n">
        <v>0.125</v>
      </c>
      <c r="I42" s="3" t="n">
        <v>0.0585582941914387</v>
      </c>
      <c r="J42" s="3" t="n">
        <v>-0.4666423576863973</v>
      </c>
      <c r="K42" s="3" t="n">
        <v>0.6111594685781748</v>
      </c>
      <c r="L42" s="3" t="inlineStr">
        <is>
          <t>no</t>
        </is>
      </c>
      <c r="M42" s="3" t="n">
        <v>0</v>
      </c>
      <c r="N42" s="3" t="inlineStr">
        <is>
          <t>mas es mas presion</t>
        </is>
      </c>
      <c r="O42" s="3" t="n">
        <v>0.0585582941914387</v>
      </c>
      <c r="P42" s="3" t="inlineStr">
        <is>
          <t>principal</t>
        </is>
      </c>
      <c r="Q42" s="3" t="n"/>
      <c r="R42" s="3" t="inlineStr">
        <is>
          <t>C4</t>
        </is>
      </c>
      <c r="S42" s="3" t="inlineStr">
        <is>
          <t>output/v8/M7/resumen_multiverso.csv</t>
        </is>
      </c>
    </row>
    <row r="43">
      <c r="A43" s="3" t="inlineStr">
        <is>
          <t>alquiler</t>
        </is>
      </c>
      <c r="B43" s="3" t="inlineStr">
        <is>
          <t>P2</t>
        </is>
      </c>
      <c r="C43" s="3" t="inlineStr">
        <is>
          <t>oferta</t>
        </is>
      </c>
      <c r="D43" s="3" t="inlineStr">
        <is>
          <t>visados</t>
        </is>
      </c>
      <c r="E43" s="3" t="n">
        <v>96</v>
      </c>
      <c r="F43" s="3" t="n">
        <v>0.875</v>
      </c>
      <c r="G43" s="3" t="inlineStr">
        <is>
          <t>negativo</t>
        </is>
      </c>
      <c r="H43" s="3" t="n">
        <v>0.3229166666666667</v>
      </c>
      <c r="I43" s="3" t="n">
        <v>-0.3518245565167459</v>
      </c>
      <c r="J43" s="3" t="n">
        <v>-0.860558699229057</v>
      </c>
      <c r="K43" s="3" t="n">
        <v>0.1650227137004703</v>
      </c>
      <c r="L43" s="3" t="inlineStr">
        <is>
          <t>no</t>
        </is>
      </c>
      <c r="M43" s="3" t="n">
        <v>0</v>
      </c>
      <c r="N43" s="3" t="inlineStr">
        <is>
          <t>mas es mas presion</t>
        </is>
      </c>
      <c r="O43" s="3" t="n">
        <v>-0.3518245565167459</v>
      </c>
      <c r="P43" s="3" t="n"/>
      <c r="Q43" s="3" t="n"/>
      <c r="R43" s="3" t="inlineStr">
        <is>
          <t>C4</t>
        </is>
      </c>
      <c r="S43" s="3" t="inlineStr">
        <is>
          <t>output/v8/M7/resumen_multiverso.csv</t>
        </is>
      </c>
    </row>
    <row r="44">
      <c r="A44" s="3" t="inlineStr">
        <is>
          <t>alquiler</t>
        </is>
      </c>
      <c r="B44" s="3" t="inlineStr">
        <is>
          <t>P3</t>
        </is>
      </c>
      <c r="C44" s="3" t="inlineStr">
        <is>
          <t>credito_tipos</t>
        </is>
      </c>
      <c r="D44" s="3" t="inlineStr">
        <is>
          <t>TODAS</t>
        </is>
      </c>
      <c r="E44" s="3" t="n">
        <v>288</v>
      </c>
      <c r="F44" s="3" t="n">
        <v>0.6041666666666666</v>
      </c>
      <c r="G44" s="3" t="inlineStr">
        <is>
          <t>positivo</t>
        </is>
      </c>
      <c r="H44" s="3" t="n">
        <v>0.2534722222222222</v>
      </c>
      <c r="I44" s="3" t="n">
        <v>0.1152155692725778</v>
      </c>
      <c r="J44" s="3" t="n">
        <v>-0.5866744904422796</v>
      </c>
      <c r="K44" s="3" t="n">
        <v>0.9724495412833014</v>
      </c>
      <c r="L44" s="3" t="inlineStr">
        <is>
          <t>no</t>
        </is>
      </c>
      <c r="M44" s="3" t="n">
        <v>0</v>
      </c>
      <c r="N44" s="3" t="inlineStr">
        <is>
          <t>mixta</t>
        </is>
      </c>
      <c r="O44" s="3" t="n">
        <v>0.1412479159298886</v>
      </c>
      <c r="P44" s="3" t="inlineStr">
        <is>
          <t>tipo_hip_real</t>
        </is>
      </c>
      <c r="Q44" s="3" t="inlineStr">
        <is>
          <t>no</t>
        </is>
      </c>
      <c r="R44" s="3" t="inlineStr">
        <is>
          <t>C4</t>
        </is>
      </c>
      <c r="S44" s="3" t="inlineStr">
        <is>
          <t>output/v8/M7/resumen_multiverso.csv</t>
        </is>
      </c>
    </row>
    <row r="45">
      <c r="A45" s="3" t="inlineStr">
        <is>
          <t>alquiler</t>
        </is>
      </c>
      <c r="B45" s="3" t="inlineStr">
        <is>
          <t>P3</t>
        </is>
      </c>
      <c r="C45" s="3" t="inlineStr">
        <is>
          <t>credito_tipos</t>
        </is>
      </c>
      <c r="D45" s="3" t="inlineStr">
        <is>
          <t>credito_nuevo_real</t>
        </is>
      </c>
      <c r="E45" s="3" t="n">
        <v>96</v>
      </c>
      <c r="F45" s="3" t="n">
        <v>0.5416666666666666</v>
      </c>
      <c r="G45" s="3" t="inlineStr">
        <is>
          <t>negativo</t>
        </is>
      </c>
      <c r="H45" s="3" t="n">
        <v>0.1458333333333333</v>
      </c>
      <c r="I45" s="3" t="n">
        <v>-0.0859963822125622</v>
      </c>
      <c r="J45" s="3" t="n">
        <v>-0.539061102013229</v>
      </c>
      <c r="K45" s="3" t="n">
        <v>0.508012974987424</v>
      </c>
      <c r="L45" s="3" t="inlineStr">
        <is>
          <t>no</t>
        </is>
      </c>
      <c r="M45" s="3" t="n">
        <v>0</v>
      </c>
      <c r="N45" s="3" t="inlineStr">
        <is>
          <t>mas es mas presion</t>
        </is>
      </c>
      <c r="O45" s="3" t="n">
        <v>-0.0859963822125622</v>
      </c>
      <c r="P45" s="3" t="n"/>
      <c r="Q45" s="3" t="n"/>
      <c r="R45" s="3" t="inlineStr">
        <is>
          <t>C4</t>
        </is>
      </c>
      <c r="S45" s="3" t="inlineStr">
        <is>
          <t>output/v8/M7/resumen_multiverso.csv</t>
        </is>
      </c>
    </row>
    <row r="46">
      <c r="A46" s="3" t="inlineStr">
        <is>
          <t>alquiler</t>
        </is>
      </c>
      <c r="B46" s="3" t="inlineStr">
        <is>
          <t>P3</t>
        </is>
      </c>
      <c r="C46" s="3" t="inlineStr">
        <is>
          <t>credito_tipos</t>
        </is>
      </c>
      <c r="D46" s="3" t="inlineStr">
        <is>
          <t>credito_stock_real</t>
        </is>
      </c>
      <c r="E46" s="3" t="n">
        <v>96</v>
      </c>
      <c r="F46" s="3" t="n">
        <v>0.7916666666666666</v>
      </c>
      <c r="G46" s="3" t="inlineStr">
        <is>
          <t>positivo</t>
        </is>
      </c>
      <c r="H46" s="3" t="n">
        <v>0.4583333333333333</v>
      </c>
      <c r="I46" s="3" t="n">
        <v>0.4647458268305673</v>
      </c>
      <c r="J46" s="3" t="n">
        <v>-0.6514142912946883</v>
      </c>
      <c r="K46" s="3" t="n">
        <v>0.9724495412833012</v>
      </c>
      <c r="L46" s="3" t="inlineStr">
        <is>
          <t>no</t>
        </is>
      </c>
      <c r="M46" s="3" t="n">
        <v>0</v>
      </c>
      <c r="N46" s="3" t="inlineStr">
        <is>
          <t>mas es mas presion</t>
        </is>
      </c>
      <c r="O46" s="3" t="n">
        <v>0.4647458268305673</v>
      </c>
      <c r="P46" s="3" t="n"/>
      <c r="Q46" s="3" t="n"/>
      <c r="R46" s="3" t="inlineStr">
        <is>
          <t>C4</t>
        </is>
      </c>
      <c r="S46" s="3" t="inlineStr">
        <is>
          <t>output/v8/M7/resumen_multiverso.csv</t>
        </is>
      </c>
    </row>
    <row r="47">
      <c r="A47" s="3" t="inlineStr">
        <is>
          <t>alquiler</t>
        </is>
      </c>
      <c r="B47" s="3" t="inlineStr">
        <is>
          <t>P3</t>
        </is>
      </c>
      <c r="C47" s="3" t="inlineStr">
        <is>
          <t>credito_tipos</t>
        </is>
      </c>
      <c r="D47" s="3" t="inlineStr">
        <is>
          <t>tipo_hip_real</t>
        </is>
      </c>
      <c r="E47" s="3" t="n">
        <v>96</v>
      </c>
      <c r="F47" s="3" t="n">
        <v>0.5625</v>
      </c>
      <c r="G47" s="3" t="inlineStr">
        <is>
          <t>positivo</t>
        </is>
      </c>
      <c r="H47" s="3" t="n">
        <v>0.125</v>
      </c>
      <c r="I47" s="3" t="n">
        <v>-0.0541057239874049</v>
      </c>
      <c r="J47" s="3" t="n">
        <v>-0.857608962028175</v>
      </c>
      <c r="K47" s="3" t="n">
        <v>1.253524006617915</v>
      </c>
      <c r="L47" s="3" t="inlineStr">
        <is>
          <t>no</t>
        </is>
      </c>
      <c r="M47" s="3" t="n">
        <v>0</v>
      </c>
      <c r="N47" s="3" t="inlineStr">
        <is>
          <t>tipo x-1</t>
        </is>
      </c>
      <c r="O47" s="3" t="n">
        <v>0.0541057239874049</v>
      </c>
      <c r="P47" s="3" t="inlineStr">
        <is>
          <t>principal</t>
        </is>
      </c>
      <c r="Q47" s="3" t="n"/>
      <c r="R47" s="3" t="inlineStr">
        <is>
          <t>C4</t>
        </is>
      </c>
      <c r="S47" s="3" t="inlineStr">
        <is>
          <t>output/v8/M7/resumen_multiverso.csv</t>
        </is>
      </c>
    </row>
    <row r="48">
      <c r="A48" s="3" t="inlineStr">
        <is>
          <t>alquiler</t>
        </is>
      </c>
      <c r="B48" s="3" t="inlineStr">
        <is>
          <t>P3</t>
        </is>
      </c>
      <c r="C48" s="3" t="inlineStr">
        <is>
          <t>demanda_externa</t>
        </is>
      </c>
      <c r="D48" s="3" t="inlineStr">
        <is>
          <t>TODAS</t>
        </is>
      </c>
      <c r="E48" s="3" t="n">
        <v>192</v>
      </c>
      <c r="F48" s="3" t="n">
        <v>0.7604166666666666</v>
      </c>
      <c r="G48" s="3" t="inlineStr">
        <is>
          <t>negativo</t>
        </is>
      </c>
      <c r="H48" s="3" t="n">
        <v>0.15625</v>
      </c>
      <c r="I48" s="3" t="n">
        <v>-0.1485340246731087</v>
      </c>
      <c r="J48" s="3" t="n">
        <v>-0.7257283044052489</v>
      </c>
      <c r="K48" s="3" t="n">
        <v>0.7769154098130318</v>
      </c>
      <c r="L48" s="3" t="inlineStr">
        <is>
          <t>no</t>
        </is>
      </c>
      <c r="M48" s="3" t="n">
        <v>0</v>
      </c>
      <c r="N48" s="3" t="inlineStr">
        <is>
          <t>mas es mas presion</t>
        </is>
      </c>
      <c r="O48" s="3" t="n">
        <v>-0.1485340246731087</v>
      </c>
      <c r="P48" s="3" t="inlineStr">
        <is>
          <t>tx_extranj</t>
        </is>
      </c>
      <c r="Q48" s="3" t="inlineStr">
        <is>
          <t>no</t>
        </is>
      </c>
      <c r="R48" s="3" t="inlineStr">
        <is>
          <t>C4</t>
        </is>
      </c>
      <c r="S48" s="3" t="inlineStr">
        <is>
          <t>output/v8/M7/resumen_multiverso.csv</t>
        </is>
      </c>
    </row>
    <row r="49">
      <c r="A49" s="3" t="inlineStr">
        <is>
          <t>alquiler</t>
        </is>
      </c>
      <c r="B49" s="3" t="inlineStr">
        <is>
          <t>P3</t>
        </is>
      </c>
      <c r="C49" s="3" t="inlineStr">
        <is>
          <t>demanda_externa</t>
        </is>
      </c>
      <c r="D49" s="3" t="inlineStr">
        <is>
          <t>cuota_extranj</t>
        </is>
      </c>
      <c r="E49" s="3" t="n">
        <v>96</v>
      </c>
      <c r="F49" s="3" t="n">
        <v>0.6666666666666666</v>
      </c>
      <c r="G49" s="3" t="inlineStr">
        <is>
          <t>negativo</t>
        </is>
      </c>
      <c r="H49" s="3" t="n">
        <v>0.1354166666666666</v>
      </c>
      <c r="I49" s="3" t="n">
        <v>-0.1406821300377734</v>
      </c>
      <c r="J49" s="3" t="n">
        <v>-0.7838715870012065</v>
      </c>
      <c r="K49" s="3" t="n">
        <v>0.8850087357380056</v>
      </c>
      <c r="L49" s="3" t="inlineStr">
        <is>
          <t>no</t>
        </is>
      </c>
      <c r="M49" s="3" t="n">
        <v>0</v>
      </c>
      <c r="N49" s="3" t="inlineStr">
        <is>
          <t>mas es mas presion</t>
        </is>
      </c>
      <c r="O49" s="3" t="n">
        <v>-0.1406821300377734</v>
      </c>
      <c r="P49" s="3" t="n"/>
      <c r="Q49" s="3" t="n"/>
      <c r="R49" s="3" t="inlineStr">
        <is>
          <t>C4</t>
        </is>
      </c>
      <c r="S49" s="3" t="inlineStr">
        <is>
          <t>output/v8/M7/resumen_multiverso.csv</t>
        </is>
      </c>
    </row>
    <row r="50">
      <c r="A50" s="3" t="inlineStr">
        <is>
          <t>alquiler</t>
        </is>
      </c>
      <c r="B50" s="3" t="inlineStr">
        <is>
          <t>P3</t>
        </is>
      </c>
      <c r="C50" s="3" t="inlineStr">
        <is>
          <t>demanda_externa</t>
        </is>
      </c>
      <c r="D50" s="3" t="inlineStr">
        <is>
          <t>tx_extranj</t>
        </is>
      </c>
      <c r="E50" s="3" t="n">
        <v>96</v>
      </c>
      <c r="F50" s="3" t="n">
        <v>0.8541666666666666</v>
      </c>
      <c r="G50" s="3" t="inlineStr">
        <is>
          <t>negativo</t>
        </is>
      </c>
      <c r="H50" s="3" t="n">
        <v>0.1770833333333333</v>
      </c>
      <c r="I50" s="3" t="n">
        <v>-0.1825035929504341</v>
      </c>
      <c r="J50" s="3" t="n">
        <v>-0.7003784857668194</v>
      </c>
      <c r="K50" s="3" t="n">
        <v>0.6660848780363637</v>
      </c>
      <c r="L50" s="3" t="inlineStr">
        <is>
          <t>no</t>
        </is>
      </c>
      <c r="M50" s="3" t="n">
        <v>0</v>
      </c>
      <c r="N50" s="3" t="inlineStr">
        <is>
          <t>mas es mas presion</t>
        </is>
      </c>
      <c r="O50" s="3" t="n">
        <v>-0.1825035929504341</v>
      </c>
      <c r="P50" s="3" t="inlineStr">
        <is>
          <t>principal</t>
        </is>
      </c>
      <c r="Q50" s="3" t="n"/>
      <c r="R50" s="3" t="inlineStr">
        <is>
          <t>C4</t>
        </is>
      </c>
      <c r="S50" s="3" t="inlineStr">
        <is>
          <t>output/v8/M7/resumen_multiverso.csv</t>
        </is>
      </c>
    </row>
    <row r="51">
      <c r="A51" s="3" t="inlineStr">
        <is>
          <t>alquiler</t>
        </is>
      </c>
      <c r="B51" s="3" t="inlineStr">
        <is>
          <t>P3</t>
        </is>
      </c>
      <c r="C51" s="3" t="inlineStr">
        <is>
          <t>demografia</t>
        </is>
      </c>
      <c r="D51" s="3" t="inlineStr">
        <is>
          <t>TODAS</t>
        </is>
      </c>
      <c r="E51" s="3" t="n">
        <v>288</v>
      </c>
      <c r="F51" s="3" t="n">
        <v>0.7916666666666666</v>
      </c>
      <c r="G51" s="3" t="inlineStr">
        <is>
          <t>positivo</t>
        </is>
      </c>
      <c r="H51" s="3" t="n">
        <v>0.1805555555555555</v>
      </c>
      <c r="I51" s="3" t="n">
        <v>0.1443032473795563</v>
      </c>
      <c r="J51" s="3" t="n">
        <v>-0.2665492028927398</v>
      </c>
      <c r="K51" s="3" t="n">
        <v>1.224587267659192</v>
      </c>
      <c r="L51" s="3" t="inlineStr">
        <is>
          <t>no</t>
        </is>
      </c>
      <c r="M51" s="3" t="n">
        <v>0.3333333333333333</v>
      </c>
      <c r="N51" s="3" t="inlineStr">
        <is>
          <t>mas es mas presion</t>
        </is>
      </c>
      <c r="O51" s="3" t="n">
        <v>0.1443032473795563</v>
      </c>
      <c r="P51" s="3" t="inlineStr">
        <is>
          <t>pob_total</t>
        </is>
      </c>
      <c r="Q51" s="3" t="inlineStr">
        <is>
          <t>no</t>
        </is>
      </c>
      <c r="R51" s="3" t="inlineStr">
        <is>
          <t>C4</t>
        </is>
      </c>
      <c r="S51" s="3" t="inlineStr">
        <is>
          <t>output/v8/M7/resumen_multiverso.csv</t>
        </is>
      </c>
    </row>
    <row r="52">
      <c r="A52" s="3" t="inlineStr">
        <is>
          <t>alquiler</t>
        </is>
      </c>
      <c r="B52" s="3" t="inlineStr">
        <is>
          <t>P3</t>
        </is>
      </c>
      <c r="C52" s="3" t="inlineStr">
        <is>
          <t>demografia</t>
        </is>
      </c>
      <c r="D52" s="3" t="inlineStr">
        <is>
          <t>hogares_epa</t>
        </is>
      </c>
      <c r="E52" s="3" t="n">
        <v>96</v>
      </c>
      <c r="F52" s="3" t="n">
        <v>0.625</v>
      </c>
      <c r="G52" s="3" t="inlineStr">
        <is>
          <t>positivo</t>
        </is>
      </c>
      <c r="H52" s="3" t="n">
        <v>0.0520833333333333</v>
      </c>
      <c r="I52" s="3" t="n">
        <v>0.0453044179963424</v>
      </c>
      <c r="J52" s="3" t="n">
        <v>-0.3293845641038506</v>
      </c>
      <c r="K52" s="3" t="n">
        <v>0.3751246538769299</v>
      </c>
      <c r="L52" s="3" t="inlineStr">
        <is>
          <t>no</t>
        </is>
      </c>
      <c r="M52" s="3" t="n">
        <v>0</v>
      </c>
      <c r="N52" s="3" t="inlineStr">
        <is>
          <t>mas es mas presion</t>
        </is>
      </c>
      <c r="O52" s="3" t="n">
        <v>0.0453044179963424</v>
      </c>
      <c r="P52" s="3" t="n"/>
      <c r="Q52" s="3" t="n"/>
      <c r="R52" s="3" t="inlineStr">
        <is>
          <t>C4</t>
        </is>
      </c>
      <c r="S52" s="3" t="inlineStr">
        <is>
          <t>output/v8/M7/resumen_multiverso.csv</t>
        </is>
      </c>
    </row>
    <row r="53">
      <c r="A53" s="3" t="inlineStr">
        <is>
          <t>alquiler</t>
        </is>
      </c>
      <c r="B53" s="3" t="inlineStr">
        <is>
          <t>P3</t>
        </is>
      </c>
      <c r="C53" s="3" t="inlineStr">
        <is>
          <t>demografia</t>
        </is>
      </c>
      <c r="D53" s="3" t="inlineStr">
        <is>
          <t>pob_extranj_ine</t>
        </is>
      </c>
      <c r="E53" s="3" t="n">
        <v>96</v>
      </c>
      <c r="F53" s="3" t="n">
        <v>0.8541666666666666</v>
      </c>
      <c r="G53" s="3" t="inlineStr">
        <is>
          <t>positivo</t>
        </is>
      </c>
      <c r="H53" s="3" t="n">
        <v>0.28125</v>
      </c>
      <c r="I53" s="3" t="n">
        <v>0.2559229026726385</v>
      </c>
      <c r="J53" s="3" t="n">
        <v>-0.2543648714531582</v>
      </c>
      <c r="K53" s="3" t="n">
        <v>1.69286616333715</v>
      </c>
      <c r="L53" s="3" t="inlineStr">
        <is>
          <t>no</t>
        </is>
      </c>
      <c r="M53" s="3" t="n">
        <v>0.5</v>
      </c>
      <c r="N53" s="3" t="inlineStr">
        <is>
          <t>mas es mas presion</t>
        </is>
      </c>
      <c r="O53" s="3" t="n">
        <v>0.2559229026726385</v>
      </c>
      <c r="P53" s="3" t="n"/>
      <c r="Q53" s="3" t="n"/>
      <c r="R53" s="3" t="inlineStr">
        <is>
          <t>C4</t>
        </is>
      </c>
      <c r="S53" s="3" t="inlineStr">
        <is>
          <t>output/v8/M7/resumen_multiverso.csv</t>
        </is>
      </c>
    </row>
    <row r="54">
      <c r="A54" s="3" t="inlineStr">
        <is>
          <t>alquiler</t>
        </is>
      </c>
      <c r="B54" s="3" t="inlineStr">
        <is>
          <t>P3</t>
        </is>
      </c>
      <c r="C54" s="3" t="inlineStr">
        <is>
          <t>demografia</t>
        </is>
      </c>
      <c r="D54" s="3" t="inlineStr">
        <is>
          <t>pob_total</t>
        </is>
      </c>
      <c r="E54" s="3" t="n">
        <v>96</v>
      </c>
      <c r="F54" s="3" t="n">
        <v>0.8958333333333334</v>
      </c>
      <c r="G54" s="3" t="inlineStr">
        <is>
          <t>positivo</t>
        </is>
      </c>
      <c r="H54" s="3" t="n">
        <v>0.2083333333333333</v>
      </c>
      <c r="I54" s="3" t="n">
        <v>0.210366303774896</v>
      </c>
      <c r="J54" s="3" t="n">
        <v>-0.1777593846359473</v>
      </c>
      <c r="K54" s="3" t="n">
        <v>1.240542545013485</v>
      </c>
      <c r="L54" s="3" t="inlineStr">
        <is>
          <t>no</t>
        </is>
      </c>
      <c r="M54" s="3" t="n">
        <v>0.5</v>
      </c>
      <c r="N54" s="3" t="inlineStr">
        <is>
          <t>mas es mas presion</t>
        </is>
      </c>
      <c r="O54" s="3" t="n">
        <v>0.210366303774896</v>
      </c>
      <c r="P54" s="3" t="inlineStr">
        <is>
          <t>principal</t>
        </is>
      </c>
      <c r="Q54" s="3" t="n"/>
      <c r="R54" s="3" t="inlineStr">
        <is>
          <t>C4</t>
        </is>
      </c>
      <c r="S54" s="3" t="inlineStr">
        <is>
          <t>output/v8/M7/resumen_multiverso.csv</t>
        </is>
      </c>
    </row>
    <row r="55">
      <c r="A55" s="3" t="inlineStr">
        <is>
          <t>alquiler</t>
        </is>
      </c>
      <c r="B55" s="3" t="inlineStr">
        <is>
          <t>P3</t>
        </is>
      </c>
      <c r="C55" s="3" t="inlineStr">
        <is>
          <t>empleo_renta</t>
        </is>
      </c>
      <c r="D55" s="3" t="inlineStr">
        <is>
          <t>TODAS</t>
        </is>
      </c>
      <c r="E55" s="3" t="n">
        <v>288</v>
      </c>
      <c r="F55" s="3" t="n">
        <v>0.5486111111111112</v>
      </c>
      <c r="G55" s="3" t="inlineStr">
        <is>
          <t>positivo</t>
        </is>
      </c>
      <c r="H55" s="3" t="n">
        <v>0.1145833333333333</v>
      </c>
      <c r="I55" s="3" t="n">
        <v>0.0236126823761938</v>
      </c>
      <c r="J55" s="3" t="n">
        <v>-0.5844474185893059</v>
      </c>
      <c r="K55" s="3" t="n">
        <v>0.6430284850472519</v>
      </c>
      <c r="L55" s="3" t="inlineStr">
        <is>
          <t>no</t>
        </is>
      </c>
      <c r="M55" s="3" t="n">
        <v>0</v>
      </c>
      <c r="N55" s="3" t="inlineStr">
        <is>
          <t>mas es mas presion</t>
        </is>
      </c>
      <c r="O55" s="3" t="n">
        <v>0.0236126823761938</v>
      </c>
      <c r="P55" s="3" t="inlineStr">
        <is>
          <t>pib_vol</t>
        </is>
      </c>
      <c r="Q55" s="3" t="inlineStr">
        <is>
          <t>no</t>
        </is>
      </c>
      <c r="R55" s="3" t="inlineStr">
        <is>
          <t>C4</t>
        </is>
      </c>
      <c r="S55" s="3" t="inlineStr">
        <is>
          <t>output/v8/M7/resumen_multiverso.csv</t>
        </is>
      </c>
    </row>
    <row r="56">
      <c r="A56" s="3" t="inlineStr">
        <is>
          <t>alquiler</t>
        </is>
      </c>
      <c r="B56" s="3" t="inlineStr">
        <is>
          <t>P3</t>
        </is>
      </c>
      <c r="C56" s="3" t="inlineStr">
        <is>
          <t>empleo_renta</t>
        </is>
      </c>
      <c r="D56" s="3" t="inlineStr">
        <is>
          <t>ocupados</t>
        </is>
      </c>
      <c r="E56" s="3" t="n">
        <v>96</v>
      </c>
      <c r="F56" s="3" t="n">
        <v>0.6041666666666666</v>
      </c>
      <c r="G56" s="3" t="inlineStr">
        <is>
          <t>positivo</t>
        </is>
      </c>
      <c r="H56" s="3" t="n">
        <v>0.125</v>
      </c>
      <c r="I56" s="3" t="n">
        <v>0.0934185251793991</v>
      </c>
      <c r="J56" s="3" t="n">
        <v>-0.5884207062089366</v>
      </c>
      <c r="K56" s="3" t="n">
        <v>0.448943859746631</v>
      </c>
      <c r="L56" s="3" t="inlineStr">
        <is>
          <t>no</t>
        </is>
      </c>
      <c r="M56" s="3" t="n">
        <v>0</v>
      </c>
      <c r="N56" s="3" t="inlineStr">
        <is>
          <t>mas es mas presion</t>
        </is>
      </c>
      <c r="O56" s="3" t="n">
        <v>0.0934185251793991</v>
      </c>
      <c r="P56" s="3" t="n"/>
      <c r="Q56" s="3" t="n"/>
      <c r="R56" s="3" t="inlineStr">
        <is>
          <t>C4</t>
        </is>
      </c>
      <c r="S56" s="3" t="inlineStr">
        <is>
          <t>output/v8/M7/resumen_multiverso.csv</t>
        </is>
      </c>
    </row>
    <row r="57">
      <c r="A57" s="3" t="inlineStr">
        <is>
          <t>alquiler</t>
        </is>
      </c>
      <c r="B57" s="3" t="inlineStr">
        <is>
          <t>P3</t>
        </is>
      </c>
      <c r="C57" s="3" t="inlineStr">
        <is>
          <t>empleo_renta</t>
        </is>
      </c>
      <c r="D57" s="3" t="inlineStr">
        <is>
          <t>pib_vol</t>
        </is>
      </c>
      <c r="E57" s="3" t="n">
        <v>96</v>
      </c>
      <c r="F57" s="3" t="n">
        <v>0.5416666666666666</v>
      </c>
      <c r="G57" s="3" t="inlineStr">
        <is>
          <t>positivo</t>
        </is>
      </c>
      <c r="H57" s="3" t="n">
        <v>0.0208333333333333</v>
      </c>
      <c r="I57" s="3" t="n">
        <v>0.0100696371894183</v>
      </c>
      <c r="J57" s="3" t="n">
        <v>-0.5220208949117058</v>
      </c>
      <c r="K57" s="3" t="n">
        <v>0.2828478945797992</v>
      </c>
      <c r="L57" s="3" t="inlineStr">
        <is>
          <t>no</t>
        </is>
      </c>
      <c r="M57" s="3" t="n">
        <v>0</v>
      </c>
      <c r="N57" s="3" t="inlineStr">
        <is>
          <t>mas es mas presion</t>
        </is>
      </c>
      <c r="O57" s="3" t="n">
        <v>0.0100696371894183</v>
      </c>
      <c r="P57" s="3" t="inlineStr">
        <is>
          <t>principal</t>
        </is>
      </c>
      <c r="Q57" s="3" t="n"/>
      <c r="R57" s="3" t="inlineStr">
        <is>
          <t>C4</t>
        </is>
      </c>
      <c r="S57" s="3" t="inlineStr">
        <is>
          <t>output/v8/M7/resumen_multiverso.csv</t>
        </is>
      </c>
    </row>
    <row r="58">
      <c r="A58" s="3" t="inlineStr">
        <is>
          <t>alquiler</t>
        </is>
      </c>
      <c r="B58" s="3" t="inlineStr">
        <is>
          <t>P3</t>
        </is>
      </c>
      <c r="C58" s="3" t="inlineStr">
        <is>
          <t>empleo_renta</t>
        </is>
      </c>
      <c r="D58" s="3" t="inlineStr">
        <is>
          <t>rdb_real</t>
        </is>
      </c>
      <c r="E58" s="3" t="n">
        <v>96</v>
      </c>
      <c r="F58" s="3" t="n">
        <v>0.5</v>
      </c>
      <c r="G58" s="3" t="inlineStr">
        <is>
          <t>negativo</t>
        </is>
      </c>
      <c r="H58" s="3" t="n">
        <v>0.1875</v>
      </c>
      <c r="I58" s="3" t="n">
        <v>-0.0042335308700578</v>
      </c>
      <c r="J58" s="3" t="n">
        <v>-0.7022285237242549</v>
      </c>
      <c r="K58" s="3" t="n">
        <v>0.9251680845647356</v>
      </c>
      <c r="L58" s="3" t="inlineStr">
        <is>
          <t>no</t>
        </is>
      </c>
      <c r="M58" s="3" t="n">
        <v>0</v>
      </c>
      <c r="N58" s="3" t="inlineStr">
        <is>
          <t>mas es mas presion</t>
        </is>
      </c>
      <c r="O58" s="3" t="n">
        <v>-0.0042335308700578</v>
      </c>
      <c r="P58" s="3" t="n"/>
      <c r="Q58" s="3" t="n"/>
      <c r="R58" s="3" t="inlineStr">
        <is>
          <t>C4</t>
        </is>
      </c>
      <c r="S58" s="3" t="inlineStr">
        <is>
          <t>output/v8/M7/resumen_multiverso.csv</t>
        </is>
      </c>
    </row>
    <row r="59">
      <c r="A59" s="3" t="inlineStr">
        <is>
          <t>alquiler</t>
        </is>
      </c>
      <c r="B59" s="3" t="inlineStr">
        <is>
          <t>P3</t>
        </is>
      </c>
      <c r="C59" s="3" t="inlineStr">
        <is>
          <t>factor_europeo</t>
        </is>
      </c>
      <c r="D59" s="3" t="inlineStr">
        <is>
          <t>TODAS</t>
        </is>
      </c>
      <c r="E59" s="3" t="n">
        <v>288</v>
      </c>
      <c r="F59" s="3" t="n">
        <v>0.5416666666666666</v>
      </c>
      <c r="G59" s="3" t="inlineStr">
        <is>
          <t>positivo</t>
        </is>
      </c>
      <c r="H59" s="3" t="n">
        <v>0.1041666666666666</v>
      </c>
      <c r="I59" s="3" t="n">
        <v>0.0250362836921884</v>
      </c>
      <c r="J59" s="3" t="n">
        <v>-0.7828835327046657</v>
      </c>
      <c r="K59" s="3" t="n">
        <v>0.6207511601438883</v>
      </c>
      <c r="L59" s="3" t="inlineStr">
        <is>
          <t>no</t>
        </is>
      </c>
      <c r="M59" s="3" t="n">
        <v>0</v>
      </c>
      <c r="N59" s="3" t="inlineStr">
        <is>
          <t>mas es mas presion</t>
        </is>
      </c>
      <c r="O59" s="3" t="n">
        <v>0.0250362836921884</v>
      </c>
      <c r="P59" s="3" t="inlineStr">
        <is>
          <t>bis_hpi_xm_real</t>
        </is>
      </c>
      <c r="Q59" s="3" t="inlineStr">
        <is>
          <t>no</t>
        </is>
      </c>
      <c r="R59" s="3" t="inlineStr">
        <is>
          <t>C4</t>
        </is>
      </c>
      <c r="S59" s="3" t="inlineStr">
        <is>
          <t>output/v8/M7/resumen_multiverso.csv</t>
        </is>
      </c>
    </row>
    <row r="60">
      <c r="A60" s="3" t="inlineStr">
        <is>
          <t>alquiler</t>
        </is>
      </c>
      <c r="B60" s="3" t="inlineStr">
        <is>
          <t>P3</t>
        </is>
      </c>
      <c r="C60" s="3" t="inlineStr">
        <is>
          <t>factor_europeo</t>
        </is>
      </c>
      <c r="D60" s="3" t="inlineStr">
        <is>
          <t>bis_hpi_xm_real</t>
        </is>
      </c>
      <c r="E60" s="3" t="n">
        <v>96</v>
      </c>
      <c r="F60" s="3" t="n">
        <v>0.6458333333333334</v>
      </c>
      <c r="G60" s="3" t="inlineStr">
        <is>
          <t>positivo</t>
        </is>
      </c>
      <c r="H60" s="3" t="n">
        <v>0.1770833333333333</v>
      </c>
      <c r="I60" s="3" t="n">
        <v>0.1031267614887345</v>
      </c>
      <c r="J60" s="3" t="n">
        <v>-0.7828835327046654</v>
      </c>
      <c r="K60" s="3" t="n">
        <v>0.7311333393698067</v>
      </c>
      <c r="L60" s="3" t="inlineStr">
        <is>
          <t>no</t>
        </is>
      </c>
      <c r="M60" s="3" t="n">
        <v>0</v>
      </c>
      <c r="N60" s="3" t="inlineStr">
        <is>
          <t>mas es mas presion</t>
        </is>
      </c>
      <c r="O60" s="3" t="n">
        <v>0.1031267614887345</v>
      </c>
      <c r="P60" s="3" t="inlineStr">
        <is>
          <t>principal</t>
        </is>
      </c>
      <c r="Q60" s="3" t="n"/>
      <c r="R60" s="3" t="inlineStr">
        <is>
          <t>C4</t>
        </is>
      </c>
      <c r="S60" s="3" t="inlineStr">
        <is>
          <t>output/v8/M7/resumen_multiverso.csv</t>
        </is>
      </c>
    </row>
    <row r="61">
      <c r="A61" s="3" t="inlineStr">
        <is>
          <t>alquiler</t>
        </is>
      </c>
      <c r="B61" s="3" t="inlineStr">
        <is>
          <t>P3</t>
        </is>
      </c>
      <c r="C61" s="3" t="inlineStr">
        <is>
          <t>factor_europeo</t>
        </is>
      </c>
      <c r="D61" s="3" t="inlineStr">
        <is>
          <t>hpi_ea19</t>
        </is>
      </c>
      <c r="E61" s="3" t="n">
        <v>96</v>
      </c>
      <c r="F61" s="3" t="n">
        <v>0.5</v>
      </c>
      <c r="G61" s="3" t="inlineStr">
        <is>
          <t>positivo</t>
        </is>
      </c>
      <c r="H61" s="3" t="n">
        <v>0.09375</v>
      </c>
      <c r="I61" s="3" t="n">
        <v>0.0219991353964192</v>
      </c>
      <c r="J61" s="3" t="n">
        <v>-1.085597585799778</v>
      </c>
      <c r="K61" s="3" t="n">
        <v>0.6696166622591744</v>
      </c>
      <c r="L61" s="3" t="inlineStr">
        <is>
          <t>no</t>
        </is>
      </c>
      <c r="M61" s="3" t="n">
        <v>0</v>
      </c>
      <c r="N61" s="3" t="inlineStr">
        <is>
          <t>mas es mas presion</t>
        </is>
      </c>
      <c r="O61" s="3" t="n">
        <v>0.0219991353964192</v>
      </c>
      <c r="P61" s="3" t="n"/>
      <c r="Q61" s="3" t="n"/>
      <c r="R61" s="3" t="inlineStr">
        <is>
          <t>C4</t>
        </is>
      </c>
      <c r="S61" s="3" t="inlineStr">
        <is>
          <t>output/v8/M7/resumen_multiverso.csv</t>
        </is>
      </c>
    </row>
    <row r="62">
      <c r="A62" s="3" t="inlineStr">
        <is>
          <t>alquiler</t>
        </is>
      </c>
      <c r="B62" s="3" t="inlineStr">
        <is>
          <t>P3</t>
        </is>
      </c>
      <c r="C62" s="3" t="inlineStr">
        <is>
          <t>factor_europeo</t>
        </is>
      </c>
      <c r="D62" s="3" t="inlineStr">
        <is>
          <t>jk_mp</t>
        </is>
      </c>
      <c r="E62" s="3" t="n">
        <v>96</v>
      </c>
      <c r="F62" s="3" t="n">
        <v>0.5208333333333334</v>
      </c>
      <c r="G62" s="3" t="inlineStr">
        <is>
          <t>negativo</t>
        </is>
      </c>
      <c r="H62" s="3" t="n">
        <v>0.0833333333333333</v>
      </c>
      <c r="I62" s="3" t="n">
        <v>-0.0264429936551283</v>
      </c>
      <c r="J62" s="3" t="n">
        <v>-0.5224310213780746</v>
      </c>
      <c r="K62" s="3" t="n">
        <v>0.4540129992469874</v>
      </c>
      <c r="L62" s="3" t="inlineStr">
        <is>
          <t>no</t>
        </is>
      </c>
      <c r="M62" s="3" t="n">
        <v>0</v>
      </c>
      <c r="N62" s="3" t="inlineStr">
        <is>
          <t>mas es mas presion</t>
        </is>
      </c>
      <c r="O62" s="3" t="n">
        <v>-0.0264429936551283</v>
      </c>
      <c r="P62" s="3" t="n"/>
      <c r="Q62" s="3" t="n"/>
      <c r="R62" s="3" t="inlineStr">
        <is>
          <t>C4</t>
        </is>
      </c>
      <c r="S62" s="3" t="inlineStr">
        <is>
          <t>output/v8/M7/resumen_multiverso.csv</t>
        </is>
      </c>
    </row>
    <row r="63">
      <c r="A63" s="3" t="inlineStr">
        <is>
          <t>alquiler</t>
        </is>
      </c>
      <c r="B63" s="3" t="inlineStr">
        <is>
          <t>P3</t>
        </is>
      </c>
      <c r="C63" s="3" t="inlineStr">
        <is>
          <t>oferta</t>
        </is>
      </c>
      <c r="D63" s="3" t="inlineStr">
        <is>
          <t>TODAS</t>
        </is>
      </c>
      <c r="E63" s="3" t="n">
        <v>288</v>
      </c>
      <c r="F63" s="3" t="n">
        <v>0.5347222222222222</v>
      </c>
      <c r="G63" s="3" t="inlineStr">
        <is>
          <t>positivo</t>
        </is>
      </c>
      <c r="H63" s="3" t="n">
        <v>0.1354166666666666</v>
      </c>
      <c r="I63" s="3" t="n">
        <v>0.0477988590445221</v>
      </c>
      <c r="J63" s="3" t="n">
        <v>-0.5614049782891204</v>
      </c>
      <c r="K63" s="3" t="n">
        <v>0.6584418176336112</v>
      </c>
      <c r="L63" s="3" t="inlineStr">
        <is>
          <t>no</t>
        </is>
      </c>
      <c r="M63" s="3" t="n">
        <v>0</v>
      </c>
      <c r="N63" s="3" t="inlineStr">
        <is>
          <t>mas es mas presion</t>
        </is>
      </c>
      <c r="O63" s="3" t="n">
        <v>0.0477988590445221</v>
      </c>
      <c r="P63" s="3" t="inlineStr">
        <is>
          <t>terminadas</t>
        </is>
      </c>
      <c r="Q63" s="3" t="inlineStr">
        <is>
          <t>no</t>
        </is>
      </c>
      <c r="R63" s="3" t="inlineStr">
        <is>
          <t>C4</t>
        </is>
      </c>
      <c r="S63" s="3" t="inlineStr">
        <is>
          <t>output/v8/M7/resumen_multiverso.csv</t>
        </is>
      </c>
    </row>
    <row r="64">
      <c r="A64" s="3" t="inlineStr">
        <is>
          <t>alquiler</t>
        </is>
      </c>
      <c r="B64" s="3" t="inlineStr">
        <is>
          <t>P3</t>
        </is>
      </c>
      <c r="C64" s="3" t="inlineStr">
        <is>
          <t>oferta</t>
        </is>
      </c>
      <c r="D64" s="3" t="inlineStr">
        <is>
          <t>costes_constr</t>
        </is>
      </c>
      <c r="E64" s="3" t="n">
        <v>96</v>
      </c>
      <c r="F64" s="3" t="n">
        <v>0.6666666666666666</v>
      </c>
      <c r="G64" s="3" t="inlineStr">
        <is>
          <t>positivo</t>
        </is>
      </c>
      <c r="H64" s="3" t="n">
        <v>0.2604166666666667</v>
      </c>
      <c r="I64" s="3" t="n">
        <v>0.2191668736116231</v>
      </c>
      <c r="J64" s="3" t="n">
        <v>-0.7876937102488327</v>
      </c>
      <c r="K64" s="3" t="n">
        <v>0.7928205700923585</v>
      </c>
      <c r="L64" s="3" t="inlineStr">
        <is>
          <t>no</t>
        </is>
      </c>
      <c r="M64" s="3" t="n">
        <v>0</v>
      </c>
      <c r="N64" s="3" t="inlineStr">
        <is>
          <t>mas es mas presion</t>
        </is>
      </c>
      <c r="O64" s="3" t="n">
        <v>0.2191668736116231</v>
      </c>
      <c r="P64" s="3" t="n"/>
      <c r="Q64" s="3" t="n"/>
      <c r="R64" s="3" t="inlineStr">
        <is>
          <t>C4</t>
        </is>
      </c>
      <c r="S64" s="3" t="inlineStr">
        <is>
          <t>output/v8/M7/resumen_multiverso.csv</t>
        </is>
      </c>
    </row>
    <row r="65">
      <c r="A65" s="3" t="inlineStr">
        <is>
          <t>alquiler</t>
        </is>
      </c>
      <c r="B65" s="3" t="inlineStr">
        <is>
          <t>P3</t>
        </is>
      </c>
      <c r="C65" s="3" t="inlineStr">
        <is>
          <t>oferta</t>
        </is>
      </c>
      <c r="D65" s="3" t="inlineStr">
        <is>
          <t>terminadas</t>
        </is>
      </c>
      <c r="E65" s="3" t="n">
        <v>96</v>
      </c>
      <c r="F65" s="3" t="n">
        <v>0.5208333333333334</v>
      </c>
      <c r="G65" s="3" t="inlineStr">
        <is>
          <t>positivo</t>
        </is>
      </c>
      <c r="H65" s="3" t="n">
        <v>0.0833333333333333</v>
      </c>
      <c r="I65" s="3" t="n">
        <v>0.0349024916516675</v>
      </c>
      <c r="J65" s="3" t="n">
        <v>-0.600472559787229</v>
      </c>
      <c r="K65" s="3" t="n">
        <v>0.5488084781558437</v>
      </c>
      <c r="L65" s="3" t="inlineStr">
        <is>
          <t>no</t>
        </is>
      </c>
      <c r="M65" s="3" t="n">
        <v>0</v>
      </c>
      <c r="N65" s="3" t="inlineStr">
        <is>
          <t>mas es mas presion</t>
        </is>
      </c>
      <c r="O65" s="3" t="n">
        <v>0.0349024916516675</v>
      </c>
      <c r="P65" s="3" t="inlineStr">
        <is>
          <t>principal</t>
        </is>
      </c>
      <c r="Q65" s="3" t="n"/>
      <c r="R65" s="3" t="inlineStr">
        <is>
          <t>C4</t>
        </is>
      </c>
      <c r="S65" s="3" t="inlineStr">
        <is>
          <t>output/v8/M7/resumen_multiverso.csv</t>
        </is>
      </c>
    </row>
    <row r="66">
      <c r="A66" s="3" t="inlineStr">
        <is>
          <t>alquiler</t>
        </is>
      </c>
      <c r="B66" s="3" t="inlineStr">
        <is>
          <t>P3</t>
        </is>
      </c>
      <c r="C66" s="3" t="inlineStr">
        <is>
          <t>oferta</t>
        </is>
      </c>
      <c r="D66" s="3" t="inlineStr">
        <is>
          <t>visados</t>
        </is>
      </c>
      <c r="E66" s="3" t="n">
        <v>96</v>
      </c>
      <c r="F66" s="3" t="n">
        <v>0.5833333333333334</v>
      </c>
      <c r="G66" s="3" t="inlineStr">
        <is>
          <t>negativo</t>
        </is>
      </c>
      <c r="H66" s="3" t="n">
        <v>0.0833333333333333</v>
      </c>
      <c r="I66" s="3" t="n">
        <v>-0.0481073385214503</v>
      </c>
      <c r="J66" s="3" t="n">
        <v>-0.444679067016821</v>
      </c>
      <c r="K66" s="3" t="n">
        <v>0.3089121518343214</v>
      </c>
      <c r="L66" s="3" t="inlineStr">
        <is>
          <t>no</t>
        </is>
      </c>
      <c r="M66" s="3" t="n">
        <v>0</v>
      </c>
      <c r="N66" s="3" t="inlineStr">
        <is>
          <t>mas es mas presion</t>
        </is>
      </c>
      <c r="O66" s="3" t="n">
        <v>-0.0481073385214503</v>
      </c>
      <c r="P66" s="3" t="n"/>
      <c r="Q66" s="3" t="n"/>
      <c r="R66" s="3" t="inlineStr">
        <is>
          <t>C4</t>
        </is>
      </c>
      <c r="S66" s="3" t="inlineStr">
        <is>
          <t>output/v8/M7/resumen_multiverso.csv</t>
        </is>
      </c>
    </row>
    <row r="67">
      <c r="A67" s="3" t="inlineStr">
        <is>
          <t>alquiler</t>
        </is>
      </c>
      <c r="B67" s="3" t="inlineStr">
        <is>
          <t>P4</t>
        </is>
      </c>
      <c r="C67" s="3" t="inlineStr">
        <is>
          <t>credito_tipos</t>
        </is>
      </c>
      <c r="D67" s="3" t="inlineStr">
        <is>
          <t>TODAS</t>
        </is>
      </c>
      <c r="E67" s="3" t="n">
        <v>360</v>
      </c>
      <c r="F67" s="3" t="n">
        <v>0.5333333333333333</v>
      </c>
      <c r="G67" s="3" t="inlineStr">
        <is>
          <t>negativo</t>
        </is>
      </c>
      <c r="H67" s="3" t="n">
        <v>0.2777777777777778</v>
      </c>
      <c r="I67" s="3" t="n">
        <v>0.3494396268460643</v>
      </c>
      <c r="J67" s="3" t="n">
        <v>-0.7292730357628027</v>
      </c>
      <c r="K67" s="3" t="n">
        <v>0.9809542147541784</v>
      </c>
      <c r="L67" s="3" t="inlineStr">
        <is>
          <t>no</t>
        </is>
      </c>
      <c r="M67" s="3" t="n">
        <v>0</v>
      </c>
      <c r="N67" s="3" t="inlineStr">
        <is>
          <t>mixta</t>
        </is>
      </c>
      <c r="O67" s="3" t="n">
        <v>-0.066916131924429</v>
      </c>
      <c r="P67" s="3" t="inlineStr">
        <is>
          <t>tipo_hip_real</t>
        </is>
      </c>
      <c r="Q67" s="3" t="inlineStr">
        <is>
          <t>no</t>
        </is>
      </c>
      <c r="R67" s="3" t="inlineStr">
        <is>
          <t>C4</t>
        </is>
      </c>
      <c r="S67" s="3" t="inlineStr">
        <is>
          <t>output/v8/M7/resumen_multiverso.csv</t>
        </is>
      </c>
    </row>
    <row r="68">
      <c r="A68" s="3" t="inlineStr">
        <is>
          <t>alquiler</t>
        </is>
      </c>
      <c r="B68" s="3" t="inlineStr">
        <is>
          <t>P4</t>
        </is>
      </c>
      <c r="C68" s="3" t="inlineStr">
        <is>
          <t>credito_tipos</t>
        </is>
      </c>
      <c r="D68" s="3" t="inlineStr">
        <is>
          <t>credito_nuevo_real</t>
        </is>
      </c>
      <c r="E68" s="3" t="n">
        <v>120</v>
      </c>
      <c r="F68" s="3" t="n">
        <v>0.5333333333333333</v>
      </c>
      <c r="G68" s="3" t="inlineStr">
        <is>
          <t>positivo</t>
        </is>
      </c>
      <c r="H68" s="3" t="n">
        <v>0.1666666666666666</v>
      </c>
      <c r="I68" s="3" t="n">
        <v>0.056291934718785</v>
      </c>
      <c r="J68" s="3" t="n">
        <v>-1.194160642632066</v>
      </c>
      <c r="K68" s="3" t="n">
        <v>0.9384866393829412</v>
      </c>
      <c r="L68" s="3" t="inlineStr">
        <is>
          <t>no</t>
        </is>
      </c>
      <c r="M68" s="3" t="n">
        <v>0</v>
      </c>
      <c r="N68" s="3" t="inlineStr">
        <is>
          <t>mas es mas presion</t>
        </is>
      </c>
      <c r="O68" s="3" t="n">
        <v>0.056291934718785</v>
      </c>
      <c r="P68" s="3" t="n"/>
      <c r="Q68" s="3" t="n"/>
      <c r="R68" s="3" t="inlineStr">
        <is>
          <t>C4</t>
        </is>
      </c>
      <c r="S68" s="3" t="inlineStr">
        <is>
          <t>output/v8/M7/resumen_multiverso.csv</t>
        </is>
      </c>
    </row>
    <row r="69">
      <c r="A69" s="3" t="inlineStr">
        <is>
          <t>alquiler</t>
        </is>
      </c>
      <c r="B69" s="3" t="inlineStr">
        <is>
          <t>P4</t>
        </is>
      </c>
      <c r="C69" s="3" t="inlineStr">
        <is>
          <t>credito_tipos</t>
        </is>
      </c>
      <c r="D69" s="3" t="inlineStr">
        <is>
          <t>credito_stock_real</t>
        </is>
      </c>
      <c r="E69" s="3" t="n">
        <v>120</v>
      </c>
      <c r="F69" s="3" t="n">
        <v>0.7</v>
      </c>
      <c r="G69" s="3" t="inlineStr">
        <is>
          <t>positivo</t>
        </is>
      </c>
      <c r="H69" s="3" t="n">
        <v>0.4666666666666667</v>
      </c>
      <c r="I69" s="3" t="n">
        <v>0.5117928216525142</v>
      </c>
      <c r="J69" s="3" t="n">
        <v>-0.5404551269283057</v>
      </c>
      <c r="K69" s="3" t="n">
        <v>0.9707512527175708</v>
      </c>
      <c r="L69" s="3" t="inlineStr">
        <is>
          <t>no</t>
        </is>
      </c>
      <c r="M69" s="3" t="n">
        <v>0</v>
      </c>
      <c r="N69" s="3" t="inlineStr">
        <is>
          <t>mas es mas presion</t>
        </is>
      </c>
      <c r="O69" s="3" t="n">
        <v>0.5117928216525142</v>
      </c>
      <c r="P69" s="3" t="n"/>
      <c r="Q69" s="3" t="n"/>
      <c r="R69" s="3" t="inlineStr">
        <is>
          <t>C4</t>
        </is>
      </c>
      <c r="S69" s="3" t="inlineStr">
        <is>
          <t>output/v8/M7/resumen_multiverso.csv</t>
        </is>
      </c>
    </row>
    <row r="70">
      <c r="A70" s="3" t="inlineStr">
        <is>
          <t>alquiler</t>
        </is>
      </c>
      <c r="B70" s="3" t="inlineStr">
        <is>
          <t>P4</t>
        </is>
      </c>
      <c r="C70" s="3" t="inlineStr">
        <is>
          <t>credito_tipos</t>
        </is>
      </c>
      <c r="D70" s="3" t="inlineStr">
        <is>
          <t>tipo_hip_real</t>
        </is>
      </c>
      <c r="E70" s="3" t="n">
        <v>120</v>
      </c>
      <c r="F70" s="3" t="n">
        <v>0.8333333333333334</v>
      </c>
      <c r="G70" s="3" t="inlineStr">
        <is>
          <t>negativo</t>
        </is>
      </c>
      <c r="H70" s="3" t="n">
        <v>0.5416666666666666</v>
      </c>
      <c r="I70" s="3" t="n">
        <v>0.5701254628686269</v>
      </c>
      <c r="J70" s="3" t="n">
        <v>-0.1621274698508128</v>
      </c>
      <c r="K70" s="3" t="n">
        <v>0.9817786069011748</v>
      </c>
      <c r="L70" s="3" t="inlineStr">
        <is>
          <t>sí</t>
        </is>
      </c>
      <c r="M70" s="3" t="n">
        <v>0</v>
      </c>
      <c r="N70" s="3" t="inlineStr">
        <is>
          <t>tipo x-1</t>
        </is>
      </c>
      <c r="O70" s="3" t="n">
        <v>-0.5701254628686269</v>
      </c>
      <c r="P70" s="3" t="inlineStr">
        <is>
          <t>principal</t>
        </is>
      </c>
      <c r="Q70" s="3" t="n"/>
      <c r="R70" s="3" t="inlineStr">
        <is>
          <t>C4</t>
        </is>
      </c>
      <c r="S70" s="3" t="inlineStr">
        <is>
          <t>output/v8/M7/resumen_multiverso.csv</t>
        </is>
      </c>
    </row>
    <row r="71">
      <c r="A71" s="3" t="inlineStr">
        <is>
          <t>alquiler</t>
        </is>
      </c>
      <c r="B71" s="3" t="inlineStr">
        <is>
          <t>P4</t>
        </is>
      </c>
      <c r="C71" s="3" t="inlineStr">
        <is>
          <t>demanda_externa</t>
        </is>
      </c>
      <c r="D71" s="3" t="inlineStr">
        <is>
          <t>TODAS</t>
        </is>
      </c>
      <c r="E71" s="3" t="n">
        <v>192</v>
      </c>
      <c r="F71" s="3" t="n">
        <v>0.6770833333333334</v>
      </c>
      <c r="G71" s="3" t="inlineStr">
        <is>
          <t>negativo</t>
        </is>
      </c>
      <c r="H71" s="3" t="n">
        <v>0.2239583333333333</v>
      </c>
      <c r="I71" s="3" t="n">
        <v>-0.1850685192617861</v>
      </c>
      <c r="J71" s="3" t="n">
        <v>-1.406976357152499</v>
      </c>
      <c r="K71" s="3" t="n">
        <v>0.4023329449794089</v>
      </c>
      <c r="L71" s="3" t="inlineStr">
        <is>
          <t>no</t>
        </is>
      </c>
      <c r="M71" s="3" t="n">
        <v>0</v>
      </c>
      <c r="N71" s="3" t="inlineStr">
        <is>
          <t>mas es mas presion</t>
        </is>
      </c>
      <c r="O71" s="3" t="n">
        <v>-0.1850685192617861</v>
      </c>
      <c r="P71" s="3" t="inlineStr">
        <is>
          <t>tx_extranj</t>
        </is>
      </c>
      <c r="Q71" s="3" t="inlineStr">
        <is>
          <t>no</t>
        </is>
      </c>
      <c r="R71" s="3" t="inlineStr">
        <is>
          <t>C4</t>
        </is>
      </c>
      <c r="S71" s="3" t="inlineStr">
        <is>
          <t>output/v8/M7/resumen_multiverso.csv</t>
        </is>
      </c>
    </row>
    <row r="72">
      <c r="A72" s="3" t="inlineStr">
        <is>
          <t>alquiler</t>
        </is>
      </c>
      <c r="B72" s="3" t="inlineStr">
        <is>
          <t>P4</t>
        </is>
      </c>
      <c r="C72" s="3" t="inlineStr">
        <is>
          <t>demanda_externa</t>
        </is>
      </c>
      <c r="D72" s="3" t="inlineStr">
        <is>
          <t>cuota_extranj</t>
        </is>
      </c>
      <c r="E72" s="3" t="n">
        <v>96</v>
      </c>
      <c r="F72" s="3" t="n">
        <v>0.5833333333333334</v>
      </c>
      <c r="G72" s="3" t="inlineStr">
        <is>
          <t>negativo</t>
        </is>
      </c>
      <c r="H72" s="3" t="n">
        <v>0.125</v>
      </c>
      <c r="I72" s="3" t="n">
        <v>-0.116391522601232</v>
      </c>
      <c r="J72" s="3" t="n">
        <v>-0.87228768105232</v>
      </c>
      <c r="K72" s="3" t="n">
        <v>0.3654387475711458</v>
      </c>
      <c r="L72" s="3" t="inlineStr">
        <is>
          <t>no</t>
        </is>
      </c>
      <c r="M72" s="3" t="n">
        <v>0</v>
      </c>
      <c r="N72" s="3" t="inlineStr">
        <is>
          <t>mas es mas presion</t>
        </is>
      </c>
      <c r="O72" s="3" t="n">
        <v>-0.116391522601232</v>
      </c>
      <c r="P72" s="3" t="n"/>
      <c r="Q72" s="3" t="n"/>
      <c r="R72" s="3" t="inlineStr">
        <is>
          <t>C4</t>
        </is>
      </c>
      <c r="S72" s="3" t="inlineStr">
        <is>
          <t>output/v8/M7/resumen_multiverso.csv</t>
        </is>
      </c>
    </row>
    <row r="73">
      <c r="A73" s="3" t="inlineStr">
        <is>
          <t>alquiler</t>
        </is>
      </c>
      <c r="B73" s="3" t="inlineStr">
        <is>
          <t>P4</t>
        </is>
      </c>
      <c r="C73" s="3" t="inlineStr">
        <is>
          <t>demanda_externa</t>
        </is>
      </c>
      <c r="D73" s="3" t="inlineStr">
        <is>
          <t>tx_extranj</t>
        </is>
      </c>
      <c r="E73" s="3" t="n">
        <v>96</v>
      </c>
      <c r="F73" s="3" t="n">
        <v>0.7708333333333334</v>
      </c>
      <c r="G73" s="3" t="inlineStr">
        <is>
          <t>negativo</t>
        </is>
      </c>
      <c r="H73" s="3" t="n">
        <v>0.3229166666666667</v>
      </c>
      <c r="I73" s="3" t="n">
        <v>-0.3334447197249615</v>
      </c>
      <c r="J73" s="3" t="n">
        <v>-1.631409653912008</v>
      </c>
      <c r="K73" s="3" t="n">
        <v>0.4113684828633047</v>
      </c>
      <c r="L73" s="3" t="inlineStr">
        <is>
          <t>no</t>
        </is>
      </c>
      <c r="M73" s="3" t="n">
        <v>0</v>
      </c>
      <c r="N73" s="3" t="inlineStr">
        <is>
          <t>mas es mas presion</t>
        </is>
      </c>
      <c r="O73" s="3" t="n">
        <v>-0.3334447197249615</v>
      </c>
      <c r="P73" s="3" t="inlineStr">
        <is>
          <t>principal</t>
        </is>
      </c>
      <c r="Q73" s="3" t="n"/>
      <c r="R73" s="3" t="inlineStr">
        <is>
          <t>C4</t>
        </is>
      </c>
      <c r="S73" s="3" t="inlineStr">
        <is>
          <t>output/v8/M7/resumen_multiverso.csv</t>
        </is>
      </c>
    </row>
    <row r="74">
      <c r="A74" s="3" t="inlineStr">
        <is>
          <t>alquiler</t>
        </is>
      </c>
      <c r="B74" s="3" t="inlineStr">
        <is>
          <t>P4</t>
        </is>
      </c>
      <c r="C74" s="3" t="inlineStr">
        <is>
          <t>demografia</t>
        </is>
      </c>
      <c r="D74" s="3" t="inlineStr">
        <is>
          <t>TODAS</t>
        </is>
      </c>
      <c r="E74" s="3" t="n">
        <v>336</v>
      </c>
      <c r="F74" s="3" t="n">
        <v>0.6488095238095238</v>
      </c>
      <c r="G74" s="3" t="inlineStr">
        <is>
          <t>positivo</t>
        </is>
      </c>
      <c r="H74" s="3" t="n">
        <v>0.3869047619047619</v>
      </c>
      <c r="I74" s="3" t="n">
        <v>0.1545654434803917</v>
      </c>
      <c r="J74" s="3" t="n">
        <v>-0.5795819727016714</v>
      </c>
      <c r="K74" s="3" t="n">
        <v>0.9321853538607544</v>
      </c>
      <c r="L74" s="3" t="inlineStr">
        <is>
          <t>no</t>
        </is>
      </c>
      <c r="M74" s="3" t="n">
        <v>0</v>
      </c>
      <c r="N74" s="3" t="inlineStr">
        <is>
          <t>mas es mas presion</t>
        </is>
      </c>
      <c r="O74" s="3" t="n">
        <v>0.1545654434803917</v>
      </c>
      <c r="P74" s="3" t="inlineStr">
        <is>
          <t>pob_total</t>
        </is>
      </c>
      <c r="Q74" s="3" t="inlineStr">
        <is>
          <t>no</t>
        </is>
      </c>
      <c r="R74" s="3" t="inlineStr">
        <is>
          <t>C4</t>
        </is>
      </c>
      <c r="S74" s="3" t="inlineStr">
        <is>
          <t>output/v8/M7/resumen_multiverso.csv</t>
        </is>
      </c>
    </row>
    <row r="75">
      <c r="A75" s="3" t="inlineStr">
        <is>
          <t>alquiler</t>
        </is>
      </c>
      <c r="B75" s="3" t="inlineStr">
        <is>
          <t>P4</t>
        </is>
      </c>
      <c r="C75" s="3" t="inlineStr">
        <is>
          <t>demografia</t>
        </is>
      </c>
      <c r="D75" s="3" t="inlineStr">
        <is>
          <t>hogares_epa</t>
        </is>
      </c>
      <c r="E75" s="3" t="n">
        <v>96</v>
      </c>
      <c r="F75" s="3" t="n">
        <v>0.5208333333333334</v>
      </c>
      <c r="G75" s="3" t="inlineStr">
        <is>
          <t>negativo</t>
        </is>
      </c>
      <c r="H75" s="3" t="n">
        <v>0.1666666666666666</v>
      </c>
      <c r="I75" s="3" t="n">
        <v>-0.013384945287055</v>
      </c>
      <c r="J75" s="3" t="n">
        <v>-1.06963447515434</v>
      </c>
      <c r="K75" s="3" t="n">
        <v>0.8341850844447638</v>
      </c>
      <c r="L75" s="3" t="inlineStr">
        <is>
          <t>no</t>
        </is>
      </c>
      <c r="M75" s="3" t="n">
        <v>0</v>
      </c>
      <c r="N75" s="3" t="inlineStr">
        <is>
          <t>mas es mas presion</t>
        </is>
      </c>
      <c r="O75" s="3" t="n">
        <v>-0.013384945287055</v>
      </c>
      <c r="P75" s="3" t="n"/>
      <c r="Q75" s="3" t="n"/>
      <c r="R75" s="3" t="inlineStr">
        <is>
          <t>C4</t>
        </is>
      </c>
      <c r="S75" s="3" t="inlineStr">
        <is>
          <t>output/v8/M7/resumen_multiverso.csv</t>
        </is>
      </c>
    </row>
    <row r="76">
      <c r="A76" s="3" t="inlineStr">
        <is>
          <t>alquiler</t>
        </is>
      </c>
      <c r="B76" s="3" t="inlineStr">
        <is>
          <t>P4</t>
        </is>
      </c>
      <c r="C76" s="3" t="inlineStr">
        <is>
          <t>demografia</t>
        </is>
      </c>
      <c r="D76" s="3" t="inlineStr">
        <is>
          <t>pob_extranj_ine</t>
        </is>
      </c>
      <c r="E76" s="3" t="n">
        <v>120</v>
      </c>
      <c r="F76" s="3" t="n">
        <v>0.8</v>
      </c>
      <c r="G76" s="3" t="inlineStr">
        <is>
          <t>positivo</t>
        </is>
      </c>
      <c r="H76" s="3" t="n">
        <v>0.525</v>
      </c>
      <c r="I76" s="3" t="n">
        <v>0.6126865206968385</v>
      </c>
      <c r="J76" s="3" t="n">
        <v>-0.388882860633178</v>
      </c>
      <c r="K76" s="3" t="n">
        <v>1.038738895562961</v>
      </c>
      <c r="L76" s="3" t="inlineStr">
        <is>
          <t>sí</t>
        </is>
      </c>
      <c r="M76" s="3" t="n">
        <v>0</v>
      </c>
      <c r="N76" s="3" t="inlineStr">
        <is>
          <t>mas es mas presion</t>
        </is>
      </c>
      <c r="O76" s="3" t="n">
        <v>0.6126865206968385</v>
      </c>
      <c r="P76" s="3" t="n"/>
      <c r="Q76" s="3" t="n"/>
      <c r="R76" s="3" t="inlineStr">
        <is>
          <t>C4</t>
        </is>
      </c>
      <c r="S76" s="3" t="inlineStr">
        <is>
          <t>output/v8/M7/resumen_multiverso.csv</t>
        </is>
      </c>
    </row>
    <row r="77">
      <c r="A77" s="3" t="inlineStr">
        <is>
          <t>alquiler</t>
        </is>
      </c>
      <c r="B77" s="3" t="inlineStr">
        <is>
          <t>P4</t>
        </is>
      </c>
      <c r="C77" s="3" t="inlineStr">
        <is>
          <t>demografia</t>
        </is>
      </c>
      <c r="D77" s="3" t="inlineStr">
        <is>
          <t>pob_total</t>
        </is>
      </c>
      <c r="E77" s="3" t="n">
        <v>120</v>
      </c>
      <c r="F77" s="3" t="n">
        <v>0.6333333333333333</v>
      </c>
      <c r="G77" s="3" t="inlineStr">
        <is>
          <t>positivo</t>
        </is>
      </c>
      <c r="H77" s="3" t="n">
        <v>0.4583333333333333</v>
      </c>
      <c r="I77" s="3" t="n">
        <v>0.4661495288309291</v>
      </c>
      <c r="J77" s="3" t="n">
        <v>-0.4670261011421776</v>
      </c>
      <c r="K77" s="3" t="n">
        <v>0.8815102319856992</v>
      </c>
      <c r="L77" s="3" t="inlineStr">
        <is>
          <t>no</t>
        </is>
      </c>
      <c r="M77" s="3" t="n">
        <v>0</v>
      </c>
      <c r="N77" s="3" t="inlineStr">
        <is>
          <t>mas es mas presion</t>
        </is>
      </c>
      <c r="O77" s="3" t="n">
        <v>0.4661495288309291</v>
      </c>
      <c r="P77" s="3" t="inlineStr">
        <is>
          <t>principal</t>
        </is>
      </c>
      <c r="Q77" s="3" t="n"/>
      <c r="R77" s="3" t="inlineStr">
        <is>
          <t>C4</t>
        </is>
      </c>
      <c r="S77" s="3" t="inlineStr">
        <is>
          <t>output/v8/M7/resumen_multiverso.csv</t>
        </is>
      </c>
    </row>
    <row r="78">
      <c r="A78" s="3" t="inlineStr">
        <is>
          <t>alquiler</t>
        </is>
      </c>
      <c r="B78" s="3" t="inlineStr">
        <is>
          <t>P4</t>
        </is>
      </c>
      <c r="C78" s="3" t="inlineStr">
        <is>
          <t>empleo_renta</t>
        </is>
      </c>
      <c r="D78" s="3" t="inlineStr">
        <is>
          <t>TODAS</t>
        </is>
      </c>
      <c r="E78" s="3" t="n">
        <v>336</v>
      </c>
      <c r="F78" s="3" t="n">
        <v>0.7380952380952381</v>
      </c>
      <c r="G78" s="3" t="inlineStr">
        <is>
          <t>negativo</t>
        </is>
      </c>
      <c r="H78" s="3" t="n">
        <v>0.4017857142857143</v>
      </c>
      <c r="I78" s="3" t="n">
        <v>-0.213113039884339</v>
      </c>
      <c r="J78" s="3" t="n">
        <v>-1.041542995837897</v>
      </c>
      <c r="K78" s="3" t="n">
        <v>0.3764572315256885</v>
      </c>
      <c r="L78" s="3" t="inlineStr">
        <is>
          <t>no</t>
        </is>
      </c>
      <c r="M78" s="3" t="n">
        <v>0</v>
      </c>
      <c r="N78" s="3" t="inlineStr">
        <is>
          <t>mas es mas presion</t>
        </is>
      </c>
      <c r="O78" s="3" t="n">
        <v>-0.213113039884339</v>
      </c>
      <c r="P78" s="3" t="inlineStr">
        <is>
          <t>pib_vol</t>
        </is>
      </c>
      <c r="Q78" s="3" t="inlineStr">
        <is>
          <t>no</t>
        </is>
      </c>
      <c r="R78" s="3" t="inlineStr">
        <is>
          <t>C4</t>
        </is>
      </c>
      <c r="S78" s="3" t="inlineStr">
        <is>
          <t>output/v8/M7/resumen_multiverso.csv</t>
        </is>
      </c>
    </row>
    <row r="79">
      <c r="A79" s="3" t="inlineStr">
        <is>
          <t>alquiler</t>
        </is>
      </c>
      <c r="B79" s="3" t="inlineStr">
        <is>
          <t>P4</t>
        </is>
      </c>
      <c r="C79" s="3" t="inlineStr">
        <is>
          <t>empleo_renta</t>
        </is>
      </c>
      <c r="D79" s="3" t="inlineStr">
        <is>
          <t>ocupados</t>
        </is>
      </c>
      <c r="E79" s="3" t="n">
        <v>96</v>
      </c>
      <c r="F79" s="3" t="n">
        <v>0.75</v>
      </c>
      <c r="G79" s="3" t="inlineStr">
        <is>
          <t>negativo</t>
        </is>
      </c>
      <c r="H79" s="3" t="n">
        <v>0.2604166666666667</v>
      </c>
      <c r="I79" s="3" t="n">
        <v>-0.2755252962752018</v>
      </c>
      <c r="J79" s="3" t="n">
        <v>-0.936875737061122</v>
      </c>
      <c r="K79" s="3" t="n">
        <v>0.375977362113214</v>
      </c>
      <c r="L79" s="3" t="inlineStr">
        <is>
          <t>no</t>
        </is>
      </c>
      <c r="M79" s="3" t="n">
        <v>0</v>
      </c>
      <c r="N79" s="3" t="inlineStr">
        <is>
          <t>mas es mas presion</t>
        </is>
      </c>
      <c r="O79" s="3" t="n">
        <v>-0.2755252962752018</v>
      </c>
      <c r="P79" s="3" t="n"/>
      <c r="Q79" s="3" t="n"/>
      <c r="R79" s="3" t="inlineStr">
        <is>
          <t>C4</t>
        </is>
      </c>
      <c r="S79" s="3" t="inlineStr">
        <is>
          <t>output/v8/M7/resumen_multiverso.csv</t>
        </is>
      </c>
    </row>
    <row r="80">
      <c r="A80" s="3" t="inlineStr">
        <is>
          <t>alquiler</t>
        </is>
      </c>
      <c r="B80" s="3" t="inlineStr">
        <is>
          <t>P4</t>
        </is>
      </c>
      <c r="C80" s="3" t="inlineStr">
        <is>
          <t>empleo_renta</t>
        </is>
      </c>
      <c r="D80" s="3" t="inlineStr">
        <is>
          <t>pib_vol</t>
        </is>
      </c>
      <c r="E80" s="3" t="n">
        <v>120</v>
      </c>
      <c r="F80" s="3" t="n">
        <v>0.75</v>
      </c>
      <c r="G80" s="3" t="inlineStr">
        <is>
          <t>negativo</t>
        </is>
      </c>
      <c r="H80" s="3" t="n">
        <v>0.475</v>
      </c>
      <c r="I80" s="3" t="n">
        <v>-0.2038787613859754</v>
      </c>
      <c r="J80" s="3" t="n">
        <v>-1.046142307302016</v>
      </c>
      <c r="K80" s="3" t="n">
        <v>0.3778932907523836</v>
      </c>
      <c r="L80" s="3" t="inlineStr">
        <is>
          <t>no</t>
        </is>
      </c>
      <c r="M80" s="3" t="n">
        <v>0</v>
      </c>
      <c r="N80" s="3" t="inlineStr">
        <is>
          <t>mas es mas presion</t>
        </is>
      </c>
      <c r="O80" s="3" t="n">
        <v>-0.2038787613859754</v>
      </c>
      <c r="P80" s="3" t="inlineStr">
        <is>
          <t>principal</t>
        </is>
      </c>
      <c r="Q80" s="3" t="n"/>
      <c r="R80" s="3" t="inlineStr">
        <is>
          <t>C4</t>
        </is>
      </c>
      <c r="S80" s="3" t="inlineStr">
        <is>
          <t>output/v8/M7/resumen_multiverso.csv</t>
        </is>
      </c>
    </row>
    <row r="81">
      <c r="A81" s="3" t="inlineStr">
        <is>
          <t>alquiler</t>
        </is>
      </c>
      <c r="B81" s="3" t="inlineStr">
        <is>
          <t>P4</t>
        </is>
      </c>
      <c r="C81" s="3" t="inlineStr">
        <is>
          <t>empleo_renta</t>
        </is>
      </c>
      <c r="D81" s="3" t="inlineStr">
        <is>
          <t>rdb_real</t>
        </is>
      </c>
      <c r="E81" s="3" t="n">
        <v>120</v>
      </c>
      <c r="F81" s="3" t="n">
        <v>0.7166666666666667</v>
      </c>
      <c r="G81" s="3" t="inlineStr">
        <is>
          <t>negativo</t>
        </is>
      </c>
      <c r="H81" s="3" t="n">
        <v>0.4416666666666666</v>
      </c>
      <c r="I81" s="3" t="n">
        <v>-0.2041244893089683</v>
      </c>
      <c r="J81" s="3" t="n">
        <v>-1.018470677394632</v>
      </c>
      <c r="K81" s="3" t="n">
        <v>0.375575784576276</v>
      </c>
      <c r="L81" s="3" t="inlineStr">
        <is>
          <t>no</t>
        </is>
      </c>
      <c r="M81" s="3" t="n">
        <v>0</v>
      </c>
      <c r="N81" s="3" t="inlineStr">
        <is>
          <t>mas es mas presion</t>
        </is>
      </c>
      <c r="O81" s="3" t="n">
        <v>-0.2041244893089683</v>
      </c>
      <c r="P81" s="3" t="n"/>
      <c r="Q81" s="3" t="n"/>
      <c r="R81" s="3" t="inlineStr">
        <is>
          <t>C4</t>
        </is>
      </c>
      <c r="S81" s="3" t="inlineStr">
        <is>
          <t>output/v8/M7/resumen_multiverso.csv</t>
        </is>
      </c>
    </row>
    <row r="82">
      <c r="A82" s="3" t="inlineStr">
        <is>
          <t>alquiler</t>
        </is>
      </c>
      <c r="B82" s="3" t="inlineStr">
        <is>
          <t>P4</t>
        </is>
      </c>
      <c r="C82" s="3" t="inlineStr">
        <is>
          <t>factor_europeo</t>
        </is>
      </c>
      <c r="D82" s="3" t="inlineStr">
        <is>
          <t>TODAS</t>
        </is>
      </c>
      <c r="E82" s="3" t="n">
        <v>288</v>
      </c>
      <c r="F82" s="3" t="n">
        <v>0.5416666666666666</v>
      </c>
      <c r="G82" s="3" t="inlineStr">
        <is>
          <t>negativo</t>
        </is>
      </c>
      <c r="H82" s="3" t="n">
        <v>0.3298611111111111</v>
      </c>
      <c r="I82" s="3" t="n">
        <v>-0.0729985369006394</v>
      </c>
      <c r="J82" s="3" t="n">
        <v>-0.9448359838332754</v>
      </c>
      <c r="K82" s="3" t="n">
        <v>0.8110638072930614</v>
      </c>
      <c r="L82" s="3" t="inlineStr">
        <is>
          <t>no</t>
        </is>
      </c>
      <c r="M82" s="3" t="n">
        <v>0</v>
      </c>
      <c r="N82" s="3" t="inlineStr">
        <is>
          <t>mas es mas presion</t>
        </is>
      </c>
      <c r="O82" s="3" t="n">
        <v>-0.0729985369006394</v>
      </c>
      <c r="P82" s="3" t="inlineStr">
        <is>
          <t>bis_hpi_xm_real</t>
        </is>
      </c>
      <c r="Q82" s="3" t="inlineStr">
        <is>
          <t>no</t>
        </is>
      </c>
      <c r="R82" s="3" t="inlineStr">
        <is>
          <t>C4</t>
        </is>
      </c>
      <c r="S82" s="3" t="inlineStr">
        <is>
          <t>output/v8/M7/resumen_multiverso.csv</t>
        </is>
      </c>
    </row>
    <row r="83">
      <c r="A83" s="3" t="inlineStr">
        <is>
          <t>alquiler</t>
        </is>
      </c>
      <c r="B83" s="3" t="inlineStr">
        <is>
          <t>P4</t>
        </is>
      </c>
      <c r="C83" s="3" t="inlineStr">
        <is>
          <t>factor_europeo</t>
        </is>
      </c>
      <c r="D83" s="3" t="inlineStr">
        <is>
          <t>bis_hpi_xm_real</t>
        </is>
      </c>
      <c r="E83" s="3" t="n">
        <v>96</v>
      </c>
      <c r="F83" s="3" t="n">
        <v>0.5625</v>
      </c>
      <c r="G83" s="3" t="inlineStr">
        <is>
          <t>negativo</t>
        </is>
      </c>
      <c r="H83" s="3" t="n">
        <v>0.3645833333333333</v>
      </c>
      <c r="I83" s="3" t="n">
        <v>-0.0965261019958773</v>
      </c>
      <c r="J83" s="3" t="n">
        <v>-0.9209129568908256</v>
      </c>
      <c r="K83" s="3" t="n">
        <v>0.7893320719224697</v>
      </c>
      <c r="L83" s="3" t="inlineStr">
        <is>
          <t>no</t>
        </is>
      </c>
      <c r="M83" s="3" t="n">
        <v>0</v>
      </c>
      <c r="N83" s="3" t="inlineStr">
        <is>
          <t>mas es mas presion</t>
        </is>
      </c>
      <c r="O83" s="3" t="n">
        <v>-0.0965261019958773</v>
      </c>
      <c r="P83" s="3" t="inlineStr">
        <is>
          <t>principal</t>
        </is>
      </c>
      <c r="Q83" s="3" t="n"/>
      <c r="R83" s="3" t="inlineStr">
        <is>
          <t>C4</t>
        </is>
      </c>
      <c r="S83" s="3" t="inlineStr">
        <is>
          <t>output/v8/M7/resumen_multiverso.csv</t>
        </is>
      </c>
    </row>
    <row r="84">
      <c r="A84" s="3" t="inlineStr">
        <is>
          <t>alquiler</t>
        </is>
      </c>
      <c r="B84" s="3" t="inlineStr">
        <is>
          <t>P4</t>
        </is>
      </c>
      <c r="C84" s="3" t="inlineStr">
        <is>
          <t>factor_europeo</t>
        </is>
      </c>
      <c r="D84" s="3" t="inlineStr">
        <is>
          <t>hpi_ea19</t>
        </is>
      </c>
      <c r="E84" s="3" t="n">
        <v>96</v>
      </c>
      <c r="F84" s="3" t="n">
        <v>0.7708333333333334</v>
      </c>
      <c r="G84" s="3" t="inlineStr">
        <is>
          <t>negativo</t>
        </is>
      </c>
      <c r="H84" s="3" t="n">
        <v>0.5833333333333334</v>
      </c>
      <c r="I84" s="3" t="n">
        <v>-0.6720924602776914</v>
      </c>
      <c r="J84" s="3" t="n">
        <v>-1.131274518807778</v>
      </c>
      <c r="K84" s="3" t="n">
        <v>0.4959531441998187</v>
      </c>
      <c r="L84" s="3" t="inlineStr">
        <is>
          <t>no</t>
        </is>
      </c>
      <c r="M84" s="3" t="n">
        <v>0</v>
      </c>
      <c r="N84" s="3" t="inlineStr">
        <is>
          <t>mas es mas presion</t>
        </is>
      </c>
      <c r="O84" s="3" t="n">
        <v>-0.6720924602776914</v>
      </c>
      <c r="P84" s="3" t="n"/>
      <c r="Q84" s="3" t="n"/>
      <c r="R84" s="3" t="inlineStr">
        <is>
          <t>C4</t>
        </is>
      </c>
      <c r="S84" s="3" t="inlineStr">
        <is>
          <t>output/v8/M7/resumen_multiverso.csv</t>
        </is>
      </c>
    </row>
    <row r="85">
      <c r="A85" s="3" t="inlineStr">
        <is>
          <t>alquiler</t>
        </is>
      </c>
      <c r="B85" s="3" t="inlineStr">
        <is>
          <t>P4</t>
        </is>
      </c>
      <c r="C85" s="3" t="inlineStr">
        <is>
          <t>factor_europeo</t>
        </is>
      </c>
      <c r="D85" s="3" t="inlineStr">
        <is>
          <t>jk_mp</t>
        </is>
      </c>
      <c r="E85" s="3" t="n">
        <v>96</v>
      </c>
      <c r="F85" s="3" t="n">
        <v>0.7083333333333334</v>
      </c>
      <c r="G85" s="3" t="inlineStr">
        <is>
          <t>positivo</t>
        </is>
      </c>
      <c r="H85" s="3" t="n">
        <v>0.3020833333333333</v>
      </c>
      <c r="I85" s="3" t="n">
        <v>0.3348761231076896</v>
      </c>
      <c r="J85" s="3" t="n">
        <v>-0.6535027267729372</v>
      </c>
      <c r="K85" s="3" t="n">
        <v>1.128568371511808</v>
      </c>
      <c r="L85" s="3" t="inlineStr">
        <is>
          <t>no</t>
        </is>
      </c>
      <c r="M85" s="3" t="n">
        <v>0</v>
      </c>
      <c r="N85" s="3" t="inlineStr">
        <is>
          <t>mas es mas presion</t>
        </is>
      </c>
      <c r="O85" s="3" t="n">
        <v>0.3348761231076896</v>
      </c>
      <c r="P85" s="3" t="n"/>
      <c r="Q85" s="3" t="n"/>
      <c r="R85" s="3" t="inlineStr">
        <is>
          <t>C4</t>
        </is>
      </c>
      <c r="S85" s="3" t="inlineStr">
        <is>
          <t>output/v8/M7/resumen_multiverso.csv</t>
        </is>
      </c>
    </row>
    <row r="86">
      <c r="A86" s="3" t="inlineStr">
        <is>
          <t>alquiler</t>
        </is>
      </c>
      <c r="B86" s="3" t="inlineStr">
        <is>
          <t>P4</t>
        </is>
      </c>
      <c r="C86" s="3" t="inlineStr">
        <is>
          <t>oferta</t>
        </is>
      </c>
      <c r="D86" s="3" t="inlineStr">
        <is>
          <t>TODAS</t>
        </is>
      </c>
      <c r="E86" s="3" t="n">
        <v>360</v>
      </c>
      <c r="F86" s="3" t="n">
        <v>0.5666666666666667</v>
      </c>
      <c r="G86" s="3" t="inlineStr">
        <is>
          <t>negativo</t>
        </is>
      </c>
      <c r="H86" s="3" t="n">
        <v>0.2527777777777777</v>
      </c>
      <c r="I86" s="3" t="n">
        <v>-0.0905722510460831</v>
      </c>
      <c r="J86" s="3" t="n">
        <v>-0.8976474430758494</v>
      </c>
      <c r="K86" s="3" t="n">
        <v>0.4065967644459909</v>
      </c>
      <c r="L86" s="3" t="inlineStr">
        <is>
          <t>no</t>
        </is>
      </c>
      <c r="M86" s="3" t="n">
        <v>0</v>
      </c>
      <c r="N86" s="3" t="inlineStr">
        <is>
          <t>mas es mas presion</t>
        </is>
      </c>
      <c r="O86" s="3" t="n">
        <v>-0.0905722510460831</v>
      </c>
      <c r="P86" s="3" t="inlineStr">
        <is>
          <t>terminadas</t>
        </is>
      </c>
      <c r="Q86" s="3" t="inlineStr">
        <is>
          <t>no</t>
        </is>
      </c>
      <c r="R86" s="3" t="inlineStr">
        <is>
          <t>C4</t>
        </is>
      </c>
      <c r="S86" s="3" t="inlineStr">
        <is>
          <t>output/v8/M7/resumen_multiverso.csv</t>
        </is>
      </c>
    </row>
    <row r="87">
      <c r="A87" s="3" t="inlineStr">
        <is>
          <t>alquiler</t>
        </is>
      </c>
      <c r="B87" s="3" t="inlineStr">
        <is>
          <t>P4</t>
        </is>
      </c>
      <c r="C87" s="3" t="inlineStr">
        <is>
          <t>oferta</t>
        </is>
      </c>
      <c r="D87" s="3" t="inlineStr">
        <is>
          <t>costes_constr</t>
        </is>
      </c>
      <c r="E87" s="3" t="n">
        <v>120</v>
      </c>
      <c r="F87" s="3" t="n">
        <v>0.5333333333333333</v>
      </c>
      <c r="G87" s="3" t="inlineStr">
        <is>
          <t>negativo</t>
        </is>
      </c>
      <c r="H87" s="3" t="n">
        <v>0.3416666666666667</v>
      </c>
      <c r="I87" s="3" t="n">
        <v>-0.2379788071795605</v>
      </c>
      <c r="J87" s="3" t="n">
        <v>-0.9411569437331851</v>
      </c>
      <c r="K87" s="3" t="n">
        <v>0.4192608740586362</v>
      </c>
      <c r="L87" s="3" t="inlineStr">
        <is>
          <t>no</t>
        </is>
      </c>
      <c r="M87" s="3" t="n">
        <v>0</v>
      </c>
      <c r="N87" s="3" t="inlineStr">
        <is>
          <t>mas es mas presion</t>
        </is>
      </c>
      <c r="O87" s="3" t="n">
        <v>-0.2379788071795605</v>
      </c>
      <c r="P87" s="3" t="n"/>
      <c r="Q87" s="3" t="n"/>
      <c r="R87" s="3" t="inlineStr">
        <is>
          <t>C4</t>
        </is>
      </c>
      <c r="S87" s="3" t="inlineStr">
        <is>
          <t>output/v8/M7/resumen_multiverso.csv</t>
        </is>
      </c>
    </row>
    <row r="88">
      <c r="A88" s="3" t="inlineStr">
        <is>
          <t>alquiler</t>
        </is>
      </c>
      <c r="B88" s="3" t="inlineStr">
        <is>
          <t>P4</t>
        </is>
      </c>
      <c r="C88" s="3" t="inlineStr">
        <is>
          <t>oferta</t>
        </is>
      </c>
      <c r="D88" s="3" t="inlineStr">
        <is>
          <t>terminadas</t>
        </is>
      </c>
      <c r="E88" s="3" t="n">
        <v>120</v>
      </c>
      <c r="F88" s="3" t="n">
        <v>0.6333333333333333</v>
      </c>
      <c r="G88" s="3" t="inlineStr">
        <is>
          <t>positivo</t>
        </is>
      </c>
      <c r="H88" s="3" t="n">
        <v>0.0916666666666666</v>
      </c>
      <c r="I88" s="3" t="n">
        <v>0.0811702520529272</v>
      </c>
      <c r="J88" s="3" t="n">
        <v>-0.4770318425819527</v>
      </c>
      <c r="K88" s="3" t="n">
        <v>0.4545773033363237</v>
      </c>
      <c r="L88" s="3" t="inlineStr">
        <is>
          <t>no</t>
        </is>
      </c>
      <c r="M88" s="3" t="n">
        <v>0</v>
      </c>
      <c r="N88" s="3" t="inlineStr">
        <is>
          <t>mas es mas presion</t>
        </is>
      </c>
      <c r="O88" s="3" t="n">
        <v>0.0811702520529272</v>
      </c>
      <c r="P88" s="3" t="inlineStr">
        <is>
          <t>principal</t>
        </is>
      </c>
      <c r="Q88" s="3" t="n"/>
      <c r="R88" s="3" t="inlineStr">
        <is>
          <t>C4</t>
        </is>
      </c>
      <c r="S88" s="3" t="inlineStr">
        <is>
          <t>output/v8/M7/resumen_multiverso.csv</t>
        </is>
      </c>
    </row>
    <row r="89">
      <c r="A89" s="3" t="inlineStr">
        <is>
          <t>alquiler</t>
        </is>
      </c>
      <c r="B89" s="3" t="inlineStr">
        <is>
          <t>P4</t>
        </is>
      </c>
      <c r="C89" s="3" t="inlineStr">
        <is>
          <t>oferta</t>
        </is>
      </c>
      <c r="D89" s="3" t="inlineStr">
        <is>
          <t>visados</t>
        </is>
      </c>
      <c r="E89" s="3" t="n">
        <v>120</v>
      </c>
      <c r="F89" s="3" t="n">
        <v>0.8</v>
      </c>
      <c r="G89" s="3" t="inlineStr">
        <is>
          <t>negativo</t>
        </is>
      </c>
      <c r="H89" s="3" t="n">
        <v>0.3583333333333333</v>
      </c>
      <c r="I89" s="3" t="n">
        <v>-0.3832131630759616</v>
      </c>
      <c r="J89" s="3" t="n">
        <v>-0.9752543066894974</v>
      </c>
      <c r="K89" s="3" t="n">
        <v>0.2585822269349295</v>
      </c>
      <c r="L89" s="3" t="inlineStr">
        <is>
          <t>no</t>
        </is>
      </c>
      <c r="M89" s="3" t="n">
        <v>0</v>
      </c>
      <c r="N89" s="3" t="inlineStr">
        <is>
          <t>mas es mas presion</t>
        </is>
      </c>
      <c r="O89" s="3" t="n">
        <v>-0.3832131630759616</v>
      </c>
      <c r="P89" s="3" t="n"/>
      <c r="Q89" s="3" t="n"/>
      <c r="R89" s="3" t="inlineStr">
        <is>
          <t>C4</t>
        </is>
      </c>
      <c r="S89" s="3" t="inlineStr">
        <is>
          <t>output/v8/M7/resumen_multiverso.csv</t>
        </is>
      </c>
    </row>
    <row r="90">
      <c r="A90" s="3" t="inlineStr">
        <is>
          <t>alquiler</t>
        </is>
      </c>
      <c r="B90" s="3" t="inlineStr">
        <is>
          <t>P4</t>
        </is>
      </c>
      <c r="C90" s="3" t="inlineStr">
        <is>
          <t>turismo</t>
        </is>
      </c>
      <c r="D90" s="3" t="inlineStr">
        <is>
          <t>TODAS</t>
        </is>
      </c>
      <c r="E90" s="3" t="n">
        <v>100</v>
      </c>
      <c r="F90" s="3" t="n">
        <v>0.58</v>
      </c>
      <c r="G90" s="3" t="inlineStr">
        <is>
          <t>negativo</t>
        </is>
      </c>
      <c r="H90" s="3" t="n">
        <v>0.25</v>
      </c>
      <c r="I90" s="3" t="n">
        <v>-0.1833078563742947</v>
      </c>
      <c r="J90" s="3" t="n">
        <v>-1.109286238956412</v>
      </c>
      <c r="K90" s="3" t="n">
        <v>1.395421075574496</v>
      </c>
      <c r="L90" s="3" t="inlineStr">
        <is>
          <t>no</t>
        </is>
      </c>
      <c r="M90" s="3" t="n">
        <v>0.04</v>
      </c>
      <c r="N90" s="3" t="inlineStr">
        <is>
          <t>mas es mas presion</t>
        </is>
      </c>
      <c r="O90" s="3" t="n">
        <v>-0.1833078563742947</v>
      </c>
      <c r="P90" s="3" t="inlineStr">
        <is>
          <t>turistas</t>
        </is>
      </c>
      <c r="Q90" s="3" t="inlineStr">
        <is>
          <t>no</t>
        </is>
      </c>
      <c r="R90" s="3" t="inlineStr">
        <is>
          <t>C4</t>
        </is>
      </c>
      <c r="S90" s="3" t="inlineStr">
        <is>
          <t>output/v8/M7/resumen_multiverso.csv</t>
        </is>
      </c>
    </row>
    <row r="91">
      <c r="A91" s="3" t="inlineStr">
        <is>
          <t>alquiler</t>
        </is>
      </c>
      <c r="B91" s="3" t="inlineStr">
        <is>
          <t>P4</t>
        </is>
      </c>
      <c r="C91" s="3" t="inlineStr">
        <is>
          <t>turismo</t>
        </is>
      </c>
      <c r="D91" s="3" t="inlineStr">
        <is>
          <t>turistas</t>
        </is>
      </c>
      <c r="E91" s="3" t="n">
        <v>96</v>
      </c>
      <c r="F91" s="3" t="n">
        <v>0.5833333333333334</v>
      </c>
      <c r="G91" s="3" t="inlineStr">
        <is>
          <t>negativo</t>
        </is>
      </c>
      <c r="H91" s="3" t="n">
        <v>0.2604166666666667</v>
      </c>
      <c r="I91" s="3" t="n">
        <v>-0.1833078563742947</v>
      </c>
      <c r="J91" s="3" t="n">
        <v>-1.109286238956415</v>
      </c>
      <c r="K91" s="3" t="n">
        <v>1.395421075574496</v>
      </c>
      <c r="L91" s="3" t="inlineStr">
        <is>
          <t>no</t>
        </is>
      </c>
      <c r="M91" s="3" t="n">
        <v>0</v>
      </c>
      <c r="N91" s="3" t="inlineStr">
        <is>
          <t>mas es mas presion</t>
        </is>
      </c>
      <c r="O91" s="3" t="n">
        <v>-0.1833078563742947</v>
      </c>
      <c r="P91" s="3" t="inlineStr">
        <is>
          <t>principal</t>
        </is>
      </c>
      <c r="Q91" s="3" t="n"/>
      <c r="R91" s="3" t="inlineStr">
        <is>
          <t>C4</t>
        </is>
      </c>
      <c r="S91" s="3" t="inlineStr">
        <is>
          <t>output/v8/M7/resumen_multiverso.csv</t>
        </is>
      </c>
    </row>
    <row r="92">
      <c r="A92" s="3" t="inlineStr">
        <is>
          <t>alquiler</t>
        </is>
      </c>
      <c r="B92" s="3" t="inlineStr">
        <is>
          <t>P4</t>
        </is>
      </c>
      <c r="C92" s="3" t="inlineStr">
        <is>
          <t>turismo</t>
        </is>
      </c>
      <c r="D92" s="3" t="inlineStr">
        <is>
          <t>vut_viviendas</t>
        </is>
      </c>
      <c r="E92" s="3" t="n">
        <v>4</v>
      </c>
      <c r="F92" s="3" t="n">
        <v>0.5</v>
      </c>
      <c r="G92" s="3" t="inlineStr">
        <is>
          <t>positivo</t>
        </is>
      </c>
      <c r="H92" s="3" t="n">
        <v>0.5</v>
      </c>
      <c r="I92" s="3" t="n">
        <v>0.1390861110419217</v>
      </c>
      <c r="J92" s="3" t="n">
        <v>-0.2764573344682247</v>
      </c>
      <c r="K92" s="3" t="n">
        <v>0.5546295565520682</v>
      </c>
      <c r="L92" s="3" t="inlineStr">
        <is>
          <t>no</t>
        </is>
      </c>
      <c r="M92" s="3" t="n">
        <v>1</v>
      </c>
      <c r="N92" s="3" t="inlineStr">
        <is>
          <t>mas es mas presion</t>
        </is>
      </c>
      <c r="O92" s="3" t="n">
        <v>0.1390861110419217</v>
      </c>
      <c r="P92" s="3" t="n"/>
      <c r="Q92" s="3" t="n"/>
      <c r="R92" s="3" t="inlineStr">
        <is>
          <t>C4</t>
        </is>
      </c>
      <c r="S92" s="3" t="inlineStr">
        <is>
          <t>output/v8/M7/resumen_multiverso.csv</t>
        </is>
      </c>
    </row>
    <row r="93">
      <c r="A93" s="3" t="inlineStr">
        <is>
          <t>alquiler</t>
        </is>
      </c>
      <c r="B93" s="3" t="inlineStr">
        <is>
          <t>P5</t>
        </is>
      </c>
      <c r="C93" s="3" t="inlineStr">
        <is>
          <t>credito_tipos</t>
        </is>
      </c>
      <c r="D93" s="3" t="inlineStr">
        <is>
          <t>TODAS</t>
        </is>
      </c>
      <c r="E93" s="3" t="n">
        <v>288</v>
      </c>
      <c r="F93" s="3" t="n">
        <v>0.5208333333333334</v>
      </c>
      <c r="G93" s="3" t="inlineStr">
        <is>
          <t>positivo</t>
        </is>
      </c>
      <c r="H93" s="3" t="n">
        <v>0.2013888888888889</v>
      </c>
      <c r="I93" s="3" t="n">
        <v>0.3205409553093011</v>
      </c>
      <c r="J93" s="3" t="n">
        <v>-0.3511368775142018</v>
      </c>
      <c r="K93" s="3" t="n">
        <v>0.9103340024341932</v>
      </c>
      <c r="L93" s="3" t="inlineStr">
        <is>
          <t>no</t>
        </is>
      </c>
      <c r="M93" s="3" t="n">
        <v>0</v>
      </c>
      <c r="N93" s="3" t="inlineStr">
        <is>
          <t>mixta</t>
        </is>
      </c>
      <c r="O93" s="3" t="n">
        <v>0.0163684672701804</v>
      </c>
      <c r="P93" s="3" t="inlineStr">
        <is>
          <t>tipo_hip_real</t>
        </is>
      </c>
      <c r="Q93" s="3" t="inlineStr">
        <is>
          <t>no</t>
        </is>
      </c>
      <c r="R93" s="3" t="inlineStr">
        <is>
          <t>C4</t>
        </is>
      </c>
      <c r="S93" s="3" t="inlineStr">
        <is>
          <t>output/v8/M7/resumen_multiverso.csv</t>
        </is>
      </c>
    </row>
    <row r="94">
      <c r="A94" s="3" t="inlineStr">
        <is>
          <t>alquiler</t>
        </is>
      </c>
      <c r="B94" s="3" t="inlineStr">
        <is>
          <t>P5</t>
        </is>
      </c>
      <c r="C94" s="3" t="inlineStr">
        <is>
          <t>credito_tipos</t>
        </is>
      </c>
      <c r="D94" s="3" t="inlineStr">
        <is>
          <t>credito_nuevo_real</t>
        </is>
      </c>
      <c r="E94" s="3" t="n">
        <v>96</v>
      </c>
      <c r="F94" s="3" t="n">
        <v>0.75</v>
      </c>
      <c r="G94" s="3" t="inlineStr">
        <is>
          <t>positivo</t>
        </is>
      </c>
      <c r="H94" s="3" t="n">
        <v>0.3229166666666667</v>
      </c>
      <c r="I94" s="3" t="n">
        <v>0.2184836118977907</v>
      </c>
      <c r="J94" s="3" t="n">
        <v>-0.2088468629530213</v>
      </c>
      <c r="K94" s="3" t="n">
        <v>0.9231016878287064</v>
      </c>
      <c r="L94" s="3" t="inlineStr">
        <is>
          <t>no</t>
        </is>
      </c>
      <c r="M94" s="3" t="n">
        <v>0</v>
      </c>
      <c r="N94" s="3" t="inlineStr">
        <is>
          <t>mas es mas presion</t>
        </is>
      </c>
      <c r="O94" s="3" t="n">
        <v>0.2184836118977907</v>
      </c>
      <c r="P94" s="3" t="n"/>
      <c r="Q94" s="3" t="n"/>
      <c r="R94" s="3" t="inlineStr">
        <is>
          <t>C4</t>
        </is>
      </c>
      <c r="S94" s="3" t="inlineStr">
        <is>
          <t>output/v8/M7/resumen_multiverso.csv</t>
        </is>
      </c>
    </row>
    <row r="95">
      <c r="A95" s="3" t="inlineStr">
        <is>
          <t>alquiler</t>
        </is>
      </c>
      <c r="B95" s="3" t="inlineStr">
        <is>
          <t>P5</t>
        </is>
      </c>
      <c r="C95" s="3" t="inlineStr">
        <is>
          <t>credito_tipos</t>
        </is>
      </c>
      <c r="D95" s="3" t="inlineStr">
        <is>
          <t>credito_stock_real</t>
        </is>
      </c>
      <c r="E95" s="3" t="n">
        <v>96</v>
      </c>
      <c r="F95" s="3" t="n">
        <v>0.6666666666666666</v>
      </c>
      <c r="G95" s="3" t="inlineStr">
        <is>
          <t>positivo</t>
        </is>
      </c>
      <c r="H95" s="3" t="n">
        <v>0.28125</v>
      </c>
      <c r="I95" s="3" t="n">
        <v>0.2549526106407335</v>
      </c>
      <c r="J95" s="3" t="n">
        <v>-0.4499855105670002</v>
      </c>
      <c r="K95" s="3" t="n">
        <v>0.8726033000455995</v>
      </c>
      <c r="L95" s="3" t="inlineStr">
        <is>
          <t>no</t>
        </is>
      </c>
      <c r="M95" s="3" t="n">
        <v>0</v>
      </c>
      <c r="N95" s="3" t="inlineStr">
        <is>
          <t>mas es mas presion</t>
        </is>
      </c>
      <c r="O95" s="3" t="n">
        <v>0.2549526106407335</v>
      </c>
      <c r="P95" s="3" t="n"/>
      <c r="Q95" s="3" t="n"/>
      <c r="R95" s="3" t="inlineStr">
        <is>
          <t>C4</t>
        </is>
      </c>
      <c r="S95" s="3" t="inlineStr">
        <is>
          <t>output/v8/M7/resumen_multiverso.csv</t>
        </is>
      </c>
    </row>
    <row r="96">
      <c r="A96" s="3" t="inlineStr">
        <is>
          <t>alquiler</t>
        </is>
      </c>
      <c r="B96" s="3" t="inlineStr">
        <is>
          <t>P5</t>
        </is>
      </c>
      <c r="C96" s="3" t="inlineStr">
        <is>
          <t>credito_tipos</t>
        </is>
      </c>
      <c r="D96" s="3" t="inlineStr">
        <is>
          <t>tipo_hip_real</t>
        </is>
      </c>
      <c r="E96" s="3" t="n">
        <v>96</v>
      </c>
      <c r="F96" s="3" t="n">
        <v>0.8541666666666666</v>
      </c>
      <c r="G96" s="3" t="inlineStr">
        <is>
          <t>negativo</t>
        </is>
      </c>
      <c r="H96" s="3" t="n">
        <v>0.4583333333333333</v>
      </c>
      <c r="I96" s="3" t="n">
        <v>0.3583580308559052</v>
      </c>
      <c r="J96" s="3" t="n">
        <v>-0.1874960895643743</v>
      </c>
      <c r="K96" s="3" t="n">
        <v>0.9298998721687756</v>
      </c>
      <c r="L96" s="3" t="inlineStr">
        <is>
          <t>no</t>
        </is>
      </c>
      <c r="M96" s="3" t="n">
        <v>0</v>
      </c>
      <c r="N96" s="3" t="inlineStr">
        <is>
          <t>tipo x-1</t>
        </is>
      </c>
      <c r="O96" s="3" t="n">
        <v>-0.3583580308559052</v>
      </c>
      <c r="P96" s="3" t="inlineStr">
        <is>
          <t>principal</t>
        </is>
      </c>
      <c r="Q96" s="3" t="n"/>
      <c r="R96" s="3" t="inlineStr">
        <is>
          <t>C4</t>
        </is>
      </c>
      <c r="S96" s="3" t="inlineStr">
        <is>
          <t>output/v8/M7/resumen_multiverso.csv</t>
        </is>
      </c>
    </row>
    <row r="97">
      <c r="A97" s="3" t="inlineStr">
        <is>
          <t>alquiler</t>
        </is>
      </c>
      <c r="B97" s="3" t="inlineStr">
        <is>
          <t>P5</t>
        </is>
      </c>
      <c r="C97" s="3" t="inlineStr">
        <is>
          <t>demanda_externa</t>
        </is>
      </c>
      <c r="D97" s="3" t="inlineStr">
        <is>
          <t>TODAS</t>
        </is>
      </c>
      <c r="E97" s="3" t="n">
        <v>192</v>
      </c>
      <c r="F97" s="3" t="n">
        <v>0.6458333333333334</v>
      </c>
      <c r="G97" s="3" t="inlineStr">
        <is>
          <t>negativo</t>
        </is>
      </c>
      <c r="H97" s="3" t="n">
        <v>0.0989583333333333</v>
      </c>
      <c r="I97" s="3" t="n">
        <v>-0.1407605901165193</v>
      </c>
      <c r="J97" s="3" t="n">
        <v>-0.6491822755142012</v>
      </c>
      <c r="K97" s="3" t="n">
        <v>0.3766558633126277</v>
      </c>
      <c r="L97" s="3" t="inlineStr">
        <is>
          <t>no</t>
        </is>
      </c>
      <c r="M97" s="3" t="n">
        <v>0</v>
      </c>
      <c r="N97" s="3" t="inlineStr">
        <is>
          <t>mas es mas presion</t>
        </is>
      </c>
      <c r="O97" s="3" t="n">
        <v>-0.1407605901165193</v>
      </c>
      <c r="P97" s="3" t="inlineStr">
        <is>
          <t>tx_extranj</t>
        </is>
      </c>
      <c r="Q97" s="3" t="inlineStr">
        <is>
          <t>no</t>
        </is>
      </c>
      <c r="R97" s="3" t="inlineStr">
        <is>
          <t>C4</t>
        </is>
      </c>
      <c r="S97" s="3" t="inlineStr">
        <is>
          <t>output/v8/M7/resumen_multiverso.csv</t>
        </is>
      </c>
    </row>
    <row r="98">
      <c r="A98" s="3" t="inlineStr">
        <is>
          <t>alquiler</t>
        </is>
      </c>
      <c r="B98" s="3" t="inlineStr">
        <is>
          <t>P5</t>
        </is>
      </c>
      <c r="C98" s="3" t="inlineStr">
        <is>
          <t>demanda_externa</t>
        </is>
      </c>
      <c r="D98" s="3" t="inlineStr">
        <is>
          <t>cuota_extranj</t>
        </is>
      </c>
      <c r="E98" s="3" t="n">
        <v>96</v>
      </c>
      <c r="F98" s="3" t="n">
        <v>0.6458333333333334</v>
      </c>
      <c r="G98" s="3" t="inlineStr">
        <is>
          <t>negativo</t>
        </is>
      </c>
      <c r="H98" s="3" t="n">
        <v>0.125</v>
      </c>
      <c r="I98" s="3" t="n">
        <v>-0.1156551438247359</v>
      </c>
      <c r="J98" s="3" t="n">
        <v>-0.64086429961536</v>
      </c>
      <c r="K98" s="3" t="n">
        <v>0.3229851663768529</v>
      </c>
      <c r="L98" s="3" t="inlineStr">
        <is>
          <t>no</t>
        </is>
      </c>
      <c r="M98" s="3" t="n">
        <v>0</v>
      </c>
      <c r="N98" s="3" t="inlineStr">
        <is>
          <t>mas es mas presion</t>
        </is>
      </c>
      <c r="O98" s="3" t="n">
        <v>-0.1156551438247359</v>
      </c>
      <c r="P98" s="3" t="n"/>
      <c r="Q98" s="3" t="n"/>
      <c r="R98" s="3" t="inlineStr">
        <is>
          <t>C4</t>
        </is>
      </c>
      <c r="S98" s="3" t="inlineStr">
        <is>
          <t>output/v8/M7/resumen_multiverso.csv</t>
        </is>
      </c>
    </row>
    <row r="99">
      <c r="A99" s="3" t="inlineStr">
        <is>
          <t>alquiler</t>
        </is>
      </c>
      <c r="B99" s="3" t="inlineStr">
        <is>
          <t>P5</t>
        </is>
      </c>
      <c r="C99" s="3" t="inlineStr">
        <is>
          <t>demanda_externa</t>
        </is>
      </c>
      <c r="D99" s="3" t="inlineStr">
        <is>
          <t>tx_extranj</t>
        </is>
      </c>
      <c r="E99" s="3" t="n">
        <v>96</v>
      </c>
      <c r="F99" s="3" t="n">
        <v>0.6458333333333334</v>
      </c>
      <c r="G99" s="3" t="inlineStr">
        <is>
          <t>negativo</t>
        </is>
      </c>
      <c r="H99" s="3" t="n">
        <v>0.0729166666666666</v>
      </c>
      <c r="I99" s="3" t="n">
        <v>-0.1567762108317307</v>
      </c>
      <c r="J99" s="3" t="n">
        <v>-0.7797312026023594</v>
      </c>
      <c r="K99" s="3" t="n">
        <v>0.3870738913595262</v>
      </c>
      <c r="L99" s="3" t="inlineStr">
        <is>
          <t>no</t>
        </is>
      </c>
      <c r="M99" s="3" t="n">
        <v>0</v>
      </c>
      <c r="N99" s="3" t="inlineStr">
        <is>
          <t>mas es mas presion</t>
        </is>
      </c>
      <c r="O99" s="3" t="n">
        <v>-0.1567762108317307</v>
      </c>
      <c r="P99" s="3" t="inlineStr">
        <is>
          <t>principal</t>
        </is>
      </c>
      <c r="Q99" s="3" t="n"/>
      <c r="R99" s="3" t="inlineStr">
        <is>
          <t>C4</t>
        </is>
      </c>
      <c r="S99" s="3" t="inlineStr">
        <is>
          <t>output/v8/M7/resumen_multiverso.csv</t>
        </is>
      </c>
    </row>
    <row r="100">
      <c r="A100" s="3" t="inlineStr">
        <is>
          <t>alquiler</t>
        </is>
      </c>
      <c r="B100" s="3" t="inlineStr">
        <is>
          <t>P5</t>
        </is>
      </c>
      <c r="C100" s="3" t="inlineStr">
        <is>
          <t>demografia</t>
        </is>
      </c>
      <c r="D100" s="3" t="inlineStr">
        <is>
          <t>TODAS</t>
        </is>
      </c>
      <c r="E100" s="3" t="n">
        <v>288</v>
      </c>
      <c r="F100" s="3" t="n">
        <v>0.5416666666666666</v>
      </c>
      <c r="G100" s="3" t="inlineStr">
        <is>
          <t>negativo</t>
        </is>
      </c>
      <c r="H100" s="3" t="n">
        <v>0.1666666666666666</v>
      </c>
      <c r="I100" s="3" t="n">
        <v>-0.0458114266374347</v>
      </c>
      <c r="J100" s="3" t="n">
        <v>-0.7528638438624183</v>
      </c>
      <c r="K100" s="3" t="n">
        <v>0.8381501805777182</v>
      </c>
      <c r="L100" s="3" t="inlineStr">
        <is>
          <t>no</t>
        </is>
      </c>
      <c r="M100" s="3" t="n">
        <v>0</v>
      </c>
      <c r="N100" s="3" t="inlineStr">
        <is>
          <t>mas es mas presion</t>
        </is>
      </c>
      <c r="O100" s="3" t="n">
        <v>-0.0458114266374347</v>
      </c>
      <c r="P100" s="3" t="inlineStr">
        <is>
          <t>pob_total</t>
        </is>
      </c>
      <c r="Q100" s="3" t="inlineStr">
        <is>
          <t>no</t>
        </is>
      </c>
      <c r="R100" s="3" t="inlineStr">
        <is>
          <t>C4</t>
        </is>
      </c>
      <c r="S100" s="3" t="inlineStr">
        <is>
          <t>output/v8/M7/resumen_multiverso.csv</t>
        </is>
      </c>
    </row>
    <row r="101">
      <c r="A101" s="3" t="inlineStr">
        <is>
          <t>alquiler</t>
        </is>
      </c>
      <c r="B101" s="3" t="inlineStr">
        <is>
          <t>P5</t>
        </is>
      </c>
      <c r="C101" s="3" t="inlineStr">
        <is>
          <t>demografia</t>
        </is>
      </c>
      <c r="D101" s="3" t="inlineStr">
        <is>
          <t>hogares_epa</t>
        </is>
      </c>
      <c r="E101" s="3" t="n">
        <v>96</v>
      </c>
      <c r="F101" s="3" t="n">
        <v>0.6875</v>
      </c>
      <c r="G101" s="3" t="inlineStr">
        <is>
          <t>negativo</t>
        </is>
      </c>
      <c r="H101" s="3" t="n">
        <v>0.1666666666666666</v>
      </c>
      <c r="I101" s="3" t="n">
        <v>-0.1557712742923897</v>
      </c>
      <c r="J101" s="3" t="n">
        <v>-0.8191542488889679</v>
      </c>
      <c r="K101" s="3" t="n">
        <v>0.5622146202584186</v>
      </c>
      <c r="L101" s="3" t="inlineStr">
        <is>
          <t>no</t>
        </is>
      </c>
      <c r="M101" s="3" t="n">
        <v>0</v>
      </c>
      <c r="N101" s="3" t="inlineStr">
        <is>
          <t>mas es mas presion</t>
        </is>
      </c>
      <c r="O101" s="3" t="n">
        <v>-0.1557712742923897</v>
      </c>
      <c r="P101" s="3" t="n"/>
      <c r="Q101" s="3" t="n"/>
      <c r="R101" s="3" t="inlineStr">
        <is>
          <t>C4</t>
        </is>
      </c>
      <c r="S101" s="3" t="inlineStr">
        <is>
          <t>output/v8/M7/resumen_multiverso.csv</t>
        </is>
      </c>
    </row>
    <row r="102">
      <c r="A102" s="3" t="inlineStr">
        <is>
          <t>alquiler</t>
        </is>
      </c>
      <c r="B102" s="3" t="inlineStr">
        <is>
          <t>P5</t>
        </is>
      </c>
      <c r="C102" s="3" t="inlineStr">
        <is>
          <t>demografia</t>
        </is>
      </c>
      <c r="D102" s="3" t="inlineStr">
        <is>
          <t>pob_extranj_ine</t>
        </is>
      </c>
      <c r="E102" s="3" t="n">
        <v>96</v>
      </c>
      <c r="F102" s="3" t="n">
        <v>0.5208333333333334</v>
      </c>
      <c r="G102" s="3" t="inlineStr">
        <is>
          <t>negativo</t>
        </is>
      </c>
      <c r="H102" s="3" t="n">
        <v>0.2083333333333333</v>
      </c>
      <c r="I102" s="3" t="n">
        <v>-0.0922116043650287</v>
      </c>
      <c r="J102" s="3" t="n">
        <v>-0.793732208634354</v>
      </c>
      <c r="K102" s="3" t="n">
        <v>0.7372966092807567</v>
      </c>
      <c r="L102" s="3" t="inlineStr">
        <is>
          <t>no</t>
        </is>
      </c>
      <c r="M102" s="3" t="n">
        <v>0</v>
      </c>
      <c r="N102" s="3" t="inlineStr">
        <is>
          <t>mas es mas presion</t>
        </is>
      </c>
      <c r="O102" s="3" t="n">
        <v>-0.0922116043650287</v>
      </c>
      <c r="P102" s="3" t="n"/>
      <c r="Q102" s="3" t="n"/>
      <c r="R102" s="3" t="inlineStr">
        <is>
          <t>C4</t>
        </is>
      </c>
      <c r="S102" s="3" t="inlineStr">
        <is>
          <t>output/v8/M7/resumen_multiverso.csv</t>
        </is>
      </c>
    </row>
    <row r="103">
      <c r="A103" s="3" t="inlineStr">
        <is>
          <t>alquiler</t>
        </is>
      </c>
      <c r="B103" s="3" t="inlineStr">
        <is>
          <t>P5</t>
        </is>
      </c>
      <c r="C103" s="3" t="inlineStr">
        <is>
          <t>demografia</t>
        </is>
      </c>
      <c r="D103" s="3" t="inlineStr">
        <is>
          <t>pob_total</t>
        </is>
      </c>
      <c r="E103" s="3" t="n">
        <v>96</v>
      </c>
      <c r="F103" s="3" t="n">
        <v>0.5833333333333334</v>
      </c>
      <c r="G103" s="3" t="inlineStr">
        <is>
          <t>positivo</t>
        </is>
      </c>
      <c r="H103" s="3" t="n">
        <v>0.125</v>
      </c>
      <c r="I103" s="3" t="n">
        <v>0.0207168526821158</v>
      </c>
      <c r="J103" s="3" t="n">
        <v>-0.6811207456047162</v>
      </c>
      <c r="K103" s="3" t="n">
        <v>0.8822676752232408</v>
      </c>
      <c r="L103" s="3" t="inlineStr">
        <is>
          <t>no</t>
        </is>
      </c>
      <c r="M103" s="3" t="n">
        <v>0</v>
      </c>
      <c r="N103" s="3" t="inlineStr">
        <is>
          <t>mas es mas presion</t>
        </is>
      </c>
      <c r="O103" s="3" t="n">
        <v>0.0207168526821158</v>
      </c>
      <c r="P103" s="3" t="inlineStr">
        <is>
          <t>principal</t>
        </is>
      </c>
      <c r="Q103" s="3" t="n"/>
      <c r="R103" s="3" t="inlineStr">
        <is>
          <t>C4</t>
        </is>
      </c>
      <c r="S103" s="3" t="inlineStr">
        <is>
          <t>output/v8/M7/resumen_multiverso.csv</t>
        </is>
      </c>
    </row>
    <row r="104">
      <c r="A104" s="3" t="inlineStr">
        <is>
          <t>alquiler</t>
        </is>
      </c>
      <c r="B104" s="3" t="inlineStr">
        <is>
          <t>P5</t>
        </is>
      </c>
      <c r="C104" s="3" t="inlineStr">
        <is>
          <t>empleo_renta</t>
        </is>
      </c>
      <c r="D104" s="3" t="inlineStr">
        <is>
          <t>TODAS</t>
        </is>
      </c>
      <c r="E104" s="3" t="n">
        <v>288</v>
      </c>
      <c r="F104" s="3" t="n">
        <v>0.6180555555555556</v>
      </c>
      <c r="G104" s="3" t="inlineStr">
        <is>
          <t>negativo</t>
        </is>
      </c>
      <c r="H104" s="3" t="n">
        <v>0.1493055555555555</v>
      </c>
      <c r="I104" s="3" t="n">
        <v>-0.0975066743903782</v>
      </c>
      <c r="J104" s="3" t="n">
        <v>-0.7883080968894219</v>
      </c>
      <c r="K104" s="3" t="n">
        <v>0.6672909066321525</v>
      </c>
      <c r="L104" s="3" t="inlineStr">
        <is>
          <t>no</t>
        </is>
      </c>
      <c r="M104" s="3" t="n">
        <v>0</v>
      </c>
      <c r="N104" s="3" t="inlineStr">
        <is>
          <t>mas es mas presion</t>
        </is>
      </c>
      <c r="O104" s="3" t="n">
        <v>-0.0975066743903782</v>
      </c>
      <c r="P104" s="3" t="inlineStr">
        <is>
          <t>pib_vol</t>
        </is>
      </c>
      <c r="Q104" s="3" t="inlineStr">
        <is>
          <t>no</t>
        </is>
      </c>
      <c r="R104" s="3" t="inlineStr">
        <is>
          <t>C4</t>
        </is>
      </c>
      <c r="S104" s="3" t="inlineStr">
        <is>
          <t>output/v8/M7/resumen_multiverso.csv</t>
        </is>
      </c>
    </row>
    <row r="105">
      <c r="A105" s="3" t="inlineStr">
        <is>
          <t>alquiler</t>
        </is>
      </c>
      <c r="B105" s="3" t="inlineStr">
        <is>
          <t>P5</t>
        </is>
      </c>
      <c r="C105" s="3" t="inlineStr">
        <is>
          <t>empleo_renta</t>
        </is>
      </c>
      <c r="D105" s="3" t="inlineStr">
        <is>
          <t>ocupados</t>
        </is>
      </c>
      <c r="E105" s="3" t="n">
        <v>96</v>
      </c>
      <c r="F105" s="3" t="n">
        <v>0.7083333333333334</v>
      </c>
      <c r="G105" s="3" t="inlineStr">
        <is>
          <t>negativo</t>
        </is>
      </c>
      <c r="H105" s="3" t="n">
        <v>0.1770833333333333</v>
      </c>
      <c r="I105" s="3" t="n">
        <v>-0.1330112430223539</v>
      </c>
      <c r="J105" s="3" t="n">
        <v>-0.6658383566896409</v>
      </c>
      <c r="K105" s="3" t="n">
        <v>0.5349870180425509</v>
      </c>
      <c r="L105" s="3" t="inlineStr">
        <is>
          <t>no</t>
        </is>
      </c>
      <c r="M105" s="3" t="n">
        <v>0</v>
      </c>
      <c r="N105" s="3" t="inlineStr">
        <is>
          <t>mas es mas presion</t>
        </is>
      </c>
      <c r="O105" s="3" t="n">
        <v>-0.1330112430223539</v>
      </c>
      <c r="P105" s="3" t="n"/>
      <c r="Q105" s="3" t="n"/>
      <c r="R105" s="3" t="inlineStr">
        <is>
          <t>C4</t>
        </is>
      </c>
      <c r="S105" s="3" t="inlineStr">
        <is>
          <t>output/v8/M7/resumen_multiverso.csv</t>
        </is>
      </c>
    </row>
    <row r="106">
      <c r="A106" s="3" t="inlineStr">
        <is>
          <t>alquiler</t>
        </is>
      </c>
      <c r="B106" s="3" t="inlineStr">
        <is>
          <t>P5</t>
        </is>
      </c>
      <c r="C106" s="3" t="inlineStr">
        <is>
          <t>empleo_renta</t>
        </is>
      </c>
      <c r="D106" s="3" t="inlineStr">
        <is>
          <t>pib_vol</t>
        </is>
      </c>
      <c r="E106" s="3" t="n">
        <v>96</v>
      </c>
      <c r="F106" s="3" t="n">
        <v>0.6875</v>
      </c>
      <c r="G106" s="3" t="inlineStr">
        <is>
          <t>negativo</t>
        </is>
      </c>
      <c r="H106" s="3" t="n">
        <v>0.1770833333333333</v>
      </c>
      <c r="I106" s="3" t="n">
        <v>-0.0925168995497599</v>
      </c>
      <c r="J106" s="3" t="n">
        <v>-0.9509340314125136</v>
      </c>
      <c r="K106" s="3" t="n">
        <v>0.3979609959429706</v>
      </c>
      <c r="L106" s="3" t="inlineStr">
        <is>
          <t>no</t>
        </is>
      </c>
      <c r="M106" s="3" t="n">
        <v>0</v>
      </c>
      <c r="N106" s="3" t="inlineStr">
        <is>
          <t>mas es mas presion</t>
        </is>
      </c>
      <c r="O106" s="3" t="n">
        <v>-0.0925168995497599</v>
      </c>
      <c r="P106" s="3" t="inlineStr">
        <is>
          <t>principal</t>
        </is>
      </c>
      <c r="Q106" s="3" t="n"/>
      <c r="R106" s="3" t="inlineStr">
        <is>
          <t>C4</t>
        </is>
      </c>
      <c r="S106" s="3" t="inlineStr">
        <is>
          <t>output/v8/M7/resumen_multiverso.csv</t>
        </is>
      </c>
    </row>
    <row r="107">
      <c r="A107" s="3" t="inlineStr">
        <is>
          <t>alquiler</t>
        </is>
      </c>
      <c r="B107" s="3" t="inlineStr">
        <is>
          <t>P5</t>
        </is>
      </c>
      <c r="C107" s="3" t="inlineStr">
        <is>
          <t>empleo_renta</t>
        </is>
      </c>
      <c r="D107" s="3" t="inlineStr">
        <is>
          <t>rdb_real</t>
        </is>
      </c>
      <c r="E107" s="3" t="n">
        <v>96</v>
      </c>
      <c r="F107" s="3" t="n">
        <v>0.5416666666666666</v>
      </c>
      <c r="G107" s="3" t="inlineStr">
        <is>
          <t>positivo</t>
        </is>
      </c>
      <c r="H107" s="3" t="n">
        <v>0.1041666666666666</v>
      </c>
      <c r="I107" s="3" t="n">
        <v>0.0216099993296597</v>
      </c>
      <c r="J107" s="3" t="n">
        <v>-0.7103264156345636</v>
      </c>
      <c r="K107" s="3" t="n">
        <v>0.9353139059801822</v>
      </c>
      <c r="L107" s="3" t="inlineStr">
        <is>
          <t>no</t>
        </is>
      </c>
      <c r="M107" s="3" t="n">
        <v>0</v>
      </c>
      <c r="N107" s="3" t="inlineStr">
        <is>
          <t>mas es mas presion</t>
        </is>
      </c>
      <c r="O107" s="3" t="n">
        <v>0.0216099993296597</v>
      </c>
      <c r="P107" s="3" t="n"/>
      <c r="Q107" s="3" t="n"/>
      <c r="R107" s="3" t="inlineStr">
        <is>
          <t>C4</t>
        </is>
      </c>
      <c r="S107" s="3" t="inlineStr">
        <is>
          <t>output/v8/M7/resumen_multiverso.csv</t>
        </is>
      </c>
    </row>
    <row r="108">
      <c r="A108" s="3" t="inlineStr">
        <is>
          <t>alquiler</t>
        </is>
      </c>
      <c r="B108" s="3" t="inlineStr">
        <is>
          <t>P5</t>
        </is>
      </c>
      <c r="C108" s="3" t="inlineStr">
        <is>
          <t>factor_europeo</t>
        </is>
      </c>
      <c r="D108" s="3" t="inlineStr">
        <is>
          <t>TODAS</t>
        </is>
      </c>
      <c r="E108" s="3" t="n">
        <v>288</v>
      </c>
      <c r="F108" s="3" t="n">
        <v>0.5277777777777778</v>
      </c>
      <c r="G108" s="3" t="inlineStr">
        <is>
          <t>positivo</t>
        </is>
      </c>
      <c r="H108" s="3" t="n">
        <v>0.1805555555555555</v>
      </c>
      <c r="I108" s="3" t="n">
        <v>0.07928205201679341</v>
      </c>
      <c r="J108" s="3" t="n">
        <v>-0.6543406157272363</v>
      </c>
      <c r="K108" s="3" t="n">
        <v>0.7863232312891174</v>
      </c>
      <c r="L108" s="3" t="inlineStr">
        <is>
          <t>no</t>
        </is>
      </c>
      <c r="M108" s="3" t="n">
        <v>0</v>
      </c>
      <c r="N108" s="3" t="inlineStr">
        <is>
          <t>mas es mas presion</t>
        </is>
      </c>
      <c r="O108" s="3" t="n">
        <v>0.07928205201679341</v>
      </c>
      <c r="P108" s="3" t="inlineStr">
        <is>
          <t>bis_hpi_xm_real</t>
        </is>
      </c>
      <c r="Q108" s="3" t="inlineStr">
        <is>
          <t>no</t>
        </is>
      </c>
      <c r="R108" s="3" t="inlineStr">
        <is>
          <t>C4</t>
        </is>
      </c>
      <c r="S108" s="3" t="inlineStr">
        <is>
          <t>output/v8/M7/resumen_multiverso.csv</t>
        </is>
      </c>
    </row>
    <row r="109">
      <c r="A109" s="3" t="inlineStr">
        <is>
          <t>alquiler</t>
        </is>
      </c>
      <c r="B109" s="3" t="inlineStr">
        <is>
          <t>P5</t>
        </is>
      </c>
      <c r="C109" s="3" t="inlineStr">
        <is>
          <t>factor_europeo</t>
        </is>
      </c>
      <c r="D109" s="3" t="inlineStr">
        <is>
          <t>bis_hpi_xm_real</t>
        </is>
      </c>
      <c r="E109" s="3" t="n">
        <v>96</v>
      </c>
      <c r="F109" s="3" t="n">
        <v>0.75</v>
      </c>
      <c r="G109" s="3" t="inlineStr">
        <is>
          <t>positivo</t>
        </is>
      </c>
      <c r="H109" s="3" t="n">
        <v>0.2916666666666667</v>
      </c>
      <c r="I109" s="3" t="n">
        <v>0.2170317340765738</v>
      </c>
      <c r="J109" s="3" t="n">
        <v>-0.3452081087667794</v>
      </c>
      <c r="K109" s="3" t="n">
        <v>0.9302640623738336</v>
      </c>
      <c r="L109" s="3" t="inlineStr">
        <is>
          <t>no</t>
        </is>
      </c>
      <c r="M109" s="3" t="n">
        <v>0</v>
      </c>
      <c r="N109" s="3" t="inlineStr">
        <is>
          <t>mas es mas presion</t>
        </is>
      </c>
      <c r="O109" s="3" t="n">
        <v>0.2170317340765738</v>
      </c>
      <c r="P109" s="3" t="inlineStr">
        <is>
          <t>principal</t>
        </is>
      </c>
      <c r="Q109" s="3" t="n"/>
      <c r="R109" s="3" t="inlineStr">
        <is>
          <t>C4</t>
        </is>
      </c>
      <c r="S109" s="3" t="inlineStr">
        <is>
          <t>output/v8/M7/resumen_multiverso.csv</t>
        </is>
      </c>
    </row>
    <row r="110">
      <c r="A110" s="3" t="inlineStr">
        <is>
          <t>alquiler</t>
        </is>
      </c>
      <c r="B110" s="3" t="inlineStr">
        <is>
          <t>P5</t>
        </is>
      </c>
      <c r="C110" s="3" t="inlineStr">
        <is>
          <t>factor_europeo</t>
        </is>
      </c>
      <c r="D110" s="3" t="inlineStr">
        <is>
          <t>hpi_ea19</t>
        </is>
      </c>
      <c r="E110" s="3" t="n">
        <v>96</v>
      </c>
      <c r="F110" s="3" t="n">
        <v>0.5625</v>
      </c>
      <c r="G110" s="3" t="inlineStr">
        <is>
          <t>positivo</t>
        </is>
      </c>
      <c r="H110" s="3" t="n">
        <v>0.1458333333333333</v>
      </c>
      <c r="I110" s="3" t="n">
        <v>0.1014449989921153</v>
      </c>
      <c r="J110" s="3" t="n">
        <v>-0.5974905817810968</v>
      </c>
      <c r="K110" s="3" t="n">
        <v>0.6312839195209846</v>
      </c>
      <c r="L110" s="3" t="inlineStr">
        <is>
          <t>no</t>
        </is>
      </c>
      <c r="M110" s="3" t="n">
        <v>0</v>
      </c>
      <c r="N110" s="3" t="inlineStr">
        <is>
          <t>mas es mas presion</t>
        </is>
      </c>
      <c r="O110" s="3" t="n">
        <v>0.1014449989921153</v>
      </c>
      <c r="P110" s="3" t="n"/>
      <c r="Q110" s="3" t="n"/>
      <c r="R110" s="3" t="inlineStr">
        <is>
          <t>C4</t>
        </is>
      </c>
      <c r="S110" s="3" t="inlineStr">
        <is>
          <t>output/v8/M7/resumen_multiverso.csv</t>
        </is>
      </c>
    </row>
    <row r="111">
      <c r="A111" s="3" t="inlineStr">
        <is>
          <t>alquiler</t>
        </is>
      </c>
      <c r="B111" s="3" t="inlineStr">
        <is>
          <t>P5</t>
        </is>
      </c>
      <c r="C111" s="3" t="inlineStr">
        <is>
          <t>factor_europeo</t>
        </is>
      </c>
      <c r="D111" s="3" t="inlineStr">
        <is>
          <t>jk_mp</t>
        </is>
      </c>
      <c r="E111" s="3" t="n">
        <v>96</v>
      </c>
      <c r="F111" s="3" t="n">
        <v>0.7291666666666666</v>
      </c>
      <c r="G111" s="3" t="inlineStr">
        <is>
          <t>negativo</t>
        </is>
      </c>
      <c r="H111" s="3" t="n">
        <v>0.2604166666666667</v>
      </c>
      <c r="I111" s="3" t="n">
        <v>-0.2035212843933319</v>
      </c>
      <c r="J111" s="3" t="n">
        <v>-0.8034890014248315</v>
      </c>
      <c r="K111" s="3" t="n">
        <v>0.7242727077956992</v>
      </c>
      <c r="L111" s="3" t="inlineStr">
        <is>
          <t>no</t>
        </is>
      </c>
      <c r="M111" s="3" t="n">
        <v>0</v>
      </c>
      <c r="N111" s="3" t="inlineStr">
        <is>
          <t>mas es mas presion</t>
        </is>
      </c>
      <c r="O111" s="3" t="n">
        <v>-0.2035212843933319</v>
      </c>
      <c r="P111" s="3" t="n"/>
      <c r="Q111" s="3" t="n"/>
      <c r="R111" s="3" t="inlineStr">
        <is>
          <t>C4</t>
        </is>
      </c>
      <c r="S111" s="3" t="inlineStr">
        <is>
          <t>output/v8/M7/resumen_multiverso.csv</t>
        </is>
      </c>
    </row>
    <row r="112">
      <c r="A112" s="3" t="inlineStr">
        <is>
          <t>alquiler</t>
        </is>
      </c>
      <c r="B112" s="3" t="inlineStr">
        <is>
          <t>P5</t>
        </is>
      </c>
      <c r="C112" s="3" t="inlineStr">
        <is>
          <t>oferta</t>
        </is>
      </c>
      <c r="D112" s="3" t="inlineStr">
        <is>
          <t>TODAS</t>
        </is>
      </c>
      <c r="E112" s="3" t="n">
        <v>288</v>
      </c>
      <c r="F112" s="3" t="n">
        <v>0.5138888888888888</v>
      </c>
      <c r="G112" s="3" t="inlineStr">
        <is>
          <t>positivo</t>
        </is>
      </c>
      <c r="H112" s="3" t="n">
        <v>0.09027777777777771</v>
      </c>
      <c r="I112" s="3" t="n">
        <v>0.0111283312456265</v>
      </c>
      <c r="J112" s="3" t="n">
        <v>-0.7234224976362922</v>
      </c>
      <c r="K112" s="3" t="n">
        <v>0.5169269768103771</v>
      </c>
      <c r="L112" s="3" t="inlineStr">
        <is>
          <t>no</t>
        </is>
      </c>
      <c r="M112" s="3" t="n">
        <v>0</v>
      </c>
      <c r="N112" s="3" t="inlineStr">
        <is>
          <t>mas es mas presion</t>
        </is>
      </c>
      <c r="O112" s="3" t="n">
        <v>0.0111283312456265</v>
      </c>
      <c r="P112" s="3" t="inlineStr">
        <is>
          <t>terminadas</t>
        </is>
      </c>
      <c r="Q112" s="3" t="inlineStr">
        <is>
          <t>no</t>
        </is>
      </c>
      <c r="R112" s="3" t="inlineStr">
        <is>
          <t>C4</t>
        </is>
      </c>
      <c r="S112" s="3" t="inlineStr">
        <is>
          <t>output/v8/M7/resumen_multiverso.csv</t>
        </is>
      </c>
    </row>
    <row r="113">
      <c r="A113" s="3" t="inlineStr">
        <is>
          <t>alquiler</t>
        </is>
      </c>
      <c r="B113" s="3" t="inlineStr">
        <is>
          <t>P5</t>
        </is>
      </c>
      <c r="C113" s="3" t="inlineStr">
        <is>
          <t>oferta</t>
        </is>
      </c>
      <c r="D113" s="3" t="inlineStr">
        <is>
          <t>costes_constr</t>
        </is>
      </c>
      <c r="E113" s="3" t="n">
        <v>96</v>
      </c>
      <c r="F113" s="3" t="n">
        <v>0.6041666666666666</v>
      </c>
      <c r="G113" s="3" t="inlineStr">
        <is>
          <t>negativo</t>
        </is>
      </c>
      <c r="H113" s="3" t="n">
        <v>0.15625</v>
      </c>
      <c r="I113" s="3" t="n">
        <v>-0.1448430547127028</v>
      </c>
      <c r="J113" s="3" t="n">
        <v>-0.9118525114501524</v>
      </c>
      <c r="K113" s="3" t="n">
        <v>0.4472828496749795</v>
      </c>
      <c r="L113" s="3" t="inlineStr">
        <is>
          <t>no</t>
        </is>
      </c>
      <c r="M113" s="3" t="n">
        <v>0</v>
      </c>
      <c r="N113" s="3" t="inlineStr">
        <is>
          <t>mas es mas presion</t>
        </is>
      </c>
      <c r="O113" s="3" t="n">
        <v>-0.1448430547127028</v>
      </c>
      <c r="P113" s="3" t="n"/>
      <c r="Q113" s="3" t="n"/>
      <c r="R113" s="3" t="inlineStr">
        <is>
          <t>C4</t>
        </is>
      </c>
      <c r="S113" s="3" t="inlineStr">
        <is>
          <t>output/v8/M7/resumen_multiverso.csv</t>
        </is>
      </c>
    </row>
    <row r="114">
      <c r="A114" s="3" t="inlineStr">
        <is>
          <t>alquiler</t>
        </is>
      </c>
      <c r="B114" s="3" t="inlineStr">
        <is>
          <t>P5</t>
        </is>
      </c>
      <c r="C114" s="3" t="inlineStr">
        <is>
          <t>oferta</t>
        </is>
      </c>
      <c r="D114" s="3" t="inlineStr">
        <is>
          <t>terminadas</t>
        </is>
      </c>
      <c r="E114" s="3" t="n">
        <v>96</v>
      </c>
      <c r="F114" s="3" t="n">
        <v>0.5</v>
      </c>
      <c r="G114" s="3" t="inlineStr">
        <is>
          <t>positivo</t>
        </is>
      </c>
      <c r="H114" s="3" t="n">
        <v>0.0520833333333333</v>
      </c>
      <c r="I114" s="3" t="n">
        <v>0.0045994005098809</v>
      </c>
      <c r="J114" s="3" t="n">
        <v>-0.3682722611373649</v>
      </c>
      <c r="K114" s="3" t="n">
        <v>0.267570422116799</v>
      </c>
      <c r="L114" s="3" t="inlineStr">
        <is>
          <t>no</t>
        </is>
      </c>
      <c r="M114" s="3" t="n">
        <v>0</v>
      </c>
      <c r="N114" s="3" t="inlineStr">
        <is>
          <t>mas es mas presion</t>
        </is>
      </c>
      <c r="O114" s="3" t="n">
        <v>0.0045994005098809</v>
      </c>
      <c r="P114" s="3" t="inlineStr">
        <is>
          <t>principal</t>
        </is>
      </c>
      <c r="Q114" s="3" t="n"/>
      <c r="R114" s="3" t="inlineStr">
        <is>
          <t>C4</t>
        </is>
      </c>
      <c r="S114" s="3" t="inlineStr">
        <is>
          <t>output/v8/M7/resumen_multiverso.csv</t>
        </is>
      </c>
    </row>
    <row r="115">
      <c r="A115" s="3" t="inlineStr">
        <is>
          <t>alquiler</t>
        </is>
      </c>
      <c r="B115" s="3" t="inlineStr">
        <is>
          <t>P5</t>
        </is>
      </c>
      <c r="C115" s="3" t="inlineStr">
        <is>
          <t>oferta</t>
        </is>
      </c>
      <c r="D115" s="3" t="inlineStr">
        <is>
          <t>visados</t>
        </is>
      </c>
      <c r="E115" s="3" t="n">
        <v>96</v>
      </c>
      <c r="F115" s="3" t="n">
        <v>0.6458333333333334</v>
      </c>
      <c r="G115" s="3" t="inlineStr">
        <is>
          <t>positivo</t>
        </is>
      </c>
      <c r="H115" s="3" t="n">
        <v>0.125</v>
      </c>
      <c r="I115" s="3" t="n">
        <v>0.0889664524962432</v>
      </c>
      <c r="J115" s="3" t="n">
        <v>-0.7099310422529024</v>
      </c>
      <c r="K115" s="3" t="n">
        <v>0.6000289192904327</v>
      </c>
      <c r="L115" s="3" t="inlineStr">
        <is>
          <t>no</t>
        </is>
      </c>
      <c r="M115" s="3" t="n">
        <v>0</v>
      </c>
      <c r="N115" s="3" t="inlineStr">
        <is>
          <t>mas es mas presion</t>
        </is>
      </c>
      <c r="O115" s="3" t="n">
        <v>0.0889664524962432</v>
      </c>
      <c r="P115" s="3" t="n"/>
      <c r="Q115" s="3" t="n"/>
      <c r="R115" s="3" t="inlineStr">
        <is>
          <t>C4</t>
        </is>
      </c>
      <c r="S115" s="3" t="inlineStr">
        <is>
          <t>output/v8/M7/resumen_multiverso.csv</t>
        </is>
      </c>
    </row>
    <row r="116">
      <c r="A116" s="3" t="inlineStr">
        <is>
          <t>alquiler</t>
        </is>
      </c>
      <c r="B116" s="3" t="inlineStr">
        <is>
          <t>P5</t>
        </is>
      </c>
      <c r="C116" s="3" t="inlineStr">
        <is>
          <t>turismo</t>
        </is>
      </c>
      <c r="D116" s="3" t="inlineStr">
        <is>
          <t>TODAS</t>
        </is>
      </c>
      <c r="E116" s="3" t="n">
        <v>192</v>
      </c>
      <c r="F116" s="3" t="n">
        <v>0.59375</v>
      </c>
      <c r="G116" s="3" t="inlineStr">
        <is>
          <t>negativo</t>
        </is>
      </c>
      <c r="H116" s="3" t="n">
        <v>0.2291666666666666</v>
      </c>
      <c r="I116" s="3" t="n">
        <v>-0.1169666936700921</v>
      </c>
      <c r="J116" s="3" t="n">
        <v>-0.8876369231151848</v>
      </c>
      <c r="K116" s="3" t="n">
        <v>0.7377402322996978</v>
      </c>
      <c r="L116" s="3" t="inlineStr">
        <is>
          <t>no</t>
        </is>
      </c>
      <c r="M116" s="3" t="n">
        <v>0.25</v>
      </c>
      <c r="N116" s="3" t="inlineStr">
        <is>
          <t>mas es mas presion</t>
        </is>
      </c>
      <c r="O116" s="3" t="n">
        <v>-0.1169666936700921</v>
      </c>
      <c r="P116" s="3" t="inlineStr">
        <is>
          <t>turistas</t>
        </is>
      </c>
      <c r="Q116" s="3" t="inlineStr">
        <is>
          <t>no</t>
        </is>
      </c>
      <c r="R116" s="3" t="inlineStr">
        <is>
          <t>C4</t>
        </is>
      </c>
      <c r="S116" s="3" t="inlineStr">
        <is>
          <t>output/v8/M7/resumen_multiverso.csv</t>
        </is>
      </c>
    </row>
    <row r="117">
      <c r="A117" s="3" t="inlineStr">
        <is>
          <t>alquiler</t>
        </is>
      </c>
      <c r="B117" s="3" t="inlineStr">
        <is>
          <t>P5</t>
        </is>
      </c>
      <c r="C117" s="3" t="inlineStr">
        <is>
          <t>turismo</t>
        </is>
      </c>
      <c r="D117" s="3" t="inlineStr">
        <is>
          <t>turistas</t>
        </is>
      </c>
      <c r="E117" s="3" t="n">
        <v>96</v>
      </c>
      <c r="F117" s="3" t="n">
        <v>0.6666666666666666</v>
      </c>
      <c r="G117" s="3" t="inlineStr">
        <is>
          <t>negativo</t>
        </is>
      </c>
      <c r="H117" s="3" t="n">
        <v>0.4166666666666667</v>
      </c>
      <c r="I117" s="3" t="n">
        <v>-0.5015109367990186</v>
      </c>
      <c r="J117" s="3" t="n">
        <v>-0.955404064511527</v>
      </c>
      <c r="K117" s="3" t="n">
        <v>0.7476381462897956</v>
      </c>
      <c r="L117" s="3" t="inlineStr">
        <is>
          <t>no</t>
        </is>
      </c>
      <c r="M117" s="3" t="n">
        <v>0</v>
      </c>
      <c r="N117" s="3" t="inlineStr">
        <is>
          <t>mas es mas presion</t>
        </is>
      </c>
      <c r="O117" s="3" t="n">
        <v>-0.5015109367990186</v>
      </c>
      <c r="P117" s="3" t="inlineStr">
        <is>
          <t>principal</t>
        </is>
      </c>
      <c r="Q117" s="3" t="n"/>
      <c r="R117" s="3" t="inlineStr">
        <is>
          <t>C4</t>
        </is>
      </c>
      <c r="S117" s="3" t="inlineStr">
        <is>
          <t>output/v8/M7/resumen_multiverso.csv</t>
        </is>
      </c>
    </row>
    <row r="118">
      <c r="A118" s="3" t="inlineStr">
        <is>
          <t>alquiler</t>
        </is>
      </c>
      <c r="B118" s="3" t="inlineStr">
        <is>
          <t>P5</t>
        </is>
      </c>
      <c r="C118" s="3" t="inlineStr">
        <is>
          <t>turismo</t>
        </is>
      </c>
      <c r="D118" s="3" t="inlineStr">
        <is>
          <t>vut_viviendas</t>
        </is>
      </c>
      <c r="E118" s="3" t="n">
        <v>96</v>
      </c>
      <c r="F118" s="3" t="n">
        <v>0.5208333333333334</v>
      </c>
      <c r="G118" s="3" t="inlineStr">
        <is>
          <t>negativo</t>
        </is>
      </c>
      <c r="H118" s="3" t="n">
        <v>0.0416666666666666</v>
      </c>
      <c r="I118" s="3" t="n">
        <v>-0.0224513771630619</v>
      </c>
      <c r="J118" s="3" t="n">
        <v>-0.3551688100703094</v>
      </c>
      <c r="K118" s="3" t="n">
        <v>0.7149413010642545</v>
      </c>
      <c r="L118" s="3" t="inlineStr">
        <is>
          <t>no</t>
        </is>
      </c>
      <c r="M118" s="3" t="n">
        <v>0.5</v>
      </c>
      <c r="N118" s="3" t="inlineStr">
        <is>
          <t>mas es mas presion</t>
        </is>
      </c>
      <c r="O118" s="3" t="n">
        <v>-0.0224513771630619</v>
      </c>
      <c r="P118" s="3" t="n"/>
      <c r="Q118" s="3" t="n"/>
      <c r="R118" s="3" t="inlineStr">
        <is>
          <t>C4</t>
        </is>
      </c>
      <c r="S118" s="3" t="inlineStr">
        <is>
          <t>output/v8/M7/resumen_multiverso.csv</t>
        </is>
      </c>
    </row>
    <row r="119">
      <c r="A119" s="3" t="inlineStr">
        <is>
          <t>alquiler</t>
        </is>
      </c>
      <c r="B119" s="3" t="inlineStr">
        <is>
          <t>completo</t>
        </is>
      </c>
      <c r="C119" s="3" t="inlineStr">
        <is>
          <t>credito_tipos</t>
        </is>
      </c>
      <c r="D119" s="3" t="inlineStr">
        <is>
          <t>TODAS</t>
        </is>
      </c>
      <c r="E119" s="3" t="n">
        <v>576</v>
      </c>
      <c r="F119" s="3" t="n">
        <v>0.5833333333333334</v>
      </c>
      <c r="G119" s="3" t="inlineStr">
        <is>
          <t>negativo</t>
        </is>
      </c>
      <c r="H119" s="3" t="n">
        <v>0.3055555555555556</v>
      </c>
      <c r="I119" s="3" t="n">
        <v>0.2703046034649895</v>
      </c>
      <c r="J119" s="3" t="n">
        <v>-0.4805518042000526</v>
      </c>
      <c r="K119" s="3" t="n">
        <v>0.8590551673830886</v>
      </c>
      <c r="L119" s="3" t="inlineStr">
        <is>
          <t>no</t>
        </is>
      </c>
      <c r="M119" s="3" t="n">
        <v>0</v>
      </c>
      <c r="N119" s="3" t="inlineStr">
        <is>
          <t>mixta</t>
        </is>
      </c>
      <c r="O119" s="3" t="n">
        <v>-0.0550895322360282</v>
      </c>
      <c r="P119" s="3" t="inlineStr">
        <is>
          <t>tipo_hip_real</t>
        </is>
      </c>
      <c r="Q119" s="3" t="inlineStr">
        <is>
          <t>no</t>
        </is>
      </c>
      <c r="R119" s="3" t="inlineStr">
        <is>
          <t>C4</t>
        </is>
      </c>
      <c r="S119" s="3" t="inlineStr">
        <is>
          <t>output/v8/M7/resumen_multiverso.csv</t>
        </is>
      </c>
    </row>
    <row r="120">
      <c r="A120" s="3" t="inlineStr">
        <is>
          <t>alquiler</t>
        </is>
      </c>
      <c r="B120" s="3" t="inlineStr">
        <is>
          <t>completo</t>
        </is>
      </c>
      <c r="C120" s="3" t="inlineStr">
        <is>
          <t>credito_tipos</t>
        </is>
      </c>
      <c r="D120" s="3" t="inlineStr">
        <is>
          <t>credito_nuevo_real</t>
        </is>
      </c>
      <c r="E120" s="3" t="n">
        <v>192</v>
      </c>
      <c r="F120" s="3" t="n">
        <v>0.6875</v>
      </c>
      <c r="G120" s="3" t="inlineStr">
        <is>
          <t>negativo</t>
        </is>
      </c>
      <c r="H120" s="3" t="n">
        <v>0.1875</v>
      </c>
      <c r="I120" s="3" t="n">
        <v>-0.06305588011586299</v>
      </c>
      <c r="J120" s="3" t="n">
        <v>-0.5343509798246927</v>
      </c>
      <c r="K120" s="3" t="n">
        <v>0.4782077730674037</v>
      </c>
      <c r="L120" s="3" t="inlineStr">
        <is>
          <t>no</t>
        </is>
      </c>
      <c r="M120" s="3" t="n">
        <v>0</v>
      </c>
      <c r="N120" s="3" t="inlineStr">
        <is>
          <t>mas es mas presion</t>
        </is>
      </c>
      <c r="O120" s="3" t="n">
        <v>-0.06305588011586299</v>
      </c>
      <c r="P120" s="3" t="n"/>
      <c r="Q120" s="3" t="n"/>
      <c r="R120" s="3" t="inlineStr">
        <is>
          <t>C4</t>
        </is>
      </c>
      <c r="S120" s="3" t="inlineStr">
        <is>
          <t>output/v8/M7/resumen_multiverso.csv</t>
        </is>
      </c>
    </row>
    <row r="121">
      <c r="A121" s="3" t="inlineStr">
        <is>
          <t>alquiler</t>
        </is>
      </c>
      <c r="B121" s="3" t="inlineStr">
        <is>
          <t>completo</t>
        </is>
      </c>
      <c r="C121" s="3" t="inlineStr">
        <is>
          <t>credito_tipos</t>
        </is>
      </c>
      <c r="D121" s="3" t="inlineStr">
        <is>
          <t>credito_stock_real</t>
        </is>
      </c>
      <c r="E121" s="3" t="n">
        <v>192</v>
      </c>
      <c r="F121" s="3" t="n">
        <v>0.9375</v>
      </c>
      <c r="G121" s="3" t="inlineStr">
        <is>
          <t>positivo</t>
        </is>
      </c>
      <c r="H121" s="3" t="n">
        <v>0.5260416666666666</v>
      </c>
      <c r="I121" s="3" t="n">
        <v>0.4084943435090329</v>
      </c>
      <c r="J121" s="3" t="n">
        <v>-0.0139080073362336</v>
      </c>
      <c r="K121" s="3" t="n">
        <v>0.8484325636038731</v>
      </c>
      <c r="L121" s="3" t="inlineStr">
        <is>
          <t>sí</t>
        </is>
      </c>
      <c r="M121" s="3" t="n">
        <v>0</v>
      </c>
      <c r="N121" s="3" t="inlineStr">
        <is>
          <t>mas es mas presion</t>
        </is>
      </c>
      <c r="O121" s="3" t="n">
        <v>0.4084943435090329</v>
      </c>
      <c r="P121" s="3" t="n"/>
      <c r="Q121" s="3" t="n"/>
      <c r="R121" s="3" t="inlineStr">
        <is>
          <t>C4</t>
        </is>
      </c>
      <c r="S121" s="3" t="inlineStr">
        <is>
          <t>output/v8/M7/resumen_multiverso.csv</t>
        </is>
      </c>
    </row>
    <row r="122">
      <c r="A122" s="3" t="inlineStr">
        <is>
          <t>alquiler</t>
        </is>
      </c>
      <c r="B122" s="3" t="inlineStr">
        <is>
          <t>completo</t>
        </is>
      </c>
      <c r="C122" s="3" t="inlineStr">
        <is>
          <t>credito_tipos</t>
        </is>
      </c>
      <c r="D122" s="3" t="inlineStr">
        <is>
          <t>tipo_hip_real</t>
        </is>
      </c>
      <c r="E122" s="3" t="n">
        <v>192</v>
      </c>
      <c r="F122" s="3" t="n">
        <v>1</v>
      </c>
      <c r="G122" s="3" t="inlineStr">
        <is>
          <t>negativo</t>
        </is>
      </c>
      <c r="H122" s="3" t="n">
        <v>0.7291666666666666</v>
      </c>
      <c r="I122" s="3" t="n">
        <v>0.382358734881284</v>
      </c>
      <c r="J122" s="3" t="n">
        <v>0.0405112358048909</v>
      </c>
      <c r="K122" s="3" t="n">
        <v>0.940104480189893</v>
      </c>
      <c r="L122" s="3" t="inlineStr">
        <is>
          <t>sí</t>
        </is>
      </c>
      <c r="M122" s="3" t="n">
        <v>0</v>
      </c>
      <c r="N122" s="3" t="inlineStr">
        <is>
          <t>tipo x-1</t>
        </is>
      </c>
      <c r="O122" s="3" t="n">
        <v>-0.382358734881284</v>
      </c>
      <c r="P122" s="3" t="inlineStr">
        <is>
          <t>principal</t>
        </is>
      </c>
      <c r="Q122" s="3" t="n"/>
      <c r="R122" s="3" t="inlineStr">
        <is>
          <t>C4</t>
        </is>
      </c>
      <c r="S122" s="3" t="inlineStr">
        <is>
          <t>output/v8/M7/resumen_multiverso.csv</t>
        </is>
      </c>
    </row>
    <row r="123">
      <c r="A123" s="3" t="inlineStr">
        <is>
          <t>alquiler</t>
        </is>
      </c>
      <c r="B123" s="3" t="inlineStr">
        <is>
          <t>completo</t>
        </is>
      </c>
      <c r="C123" s="3" t="inlineStr">
        <is>
          <t>demanda_externa</t>
        </is>
      </c>
      <c r="D123" s="3" t="inlineStr">
        <is>
          <t>TODAS</t>
        </is>
      </c>
      <c r="E123" s="3" t="n">
        <v>384</v>
      </c>
      <c r="F123" s="3" t="n">
        <v>0.5677083333333334</v>
      </c>
      <c r="G123" s="3" t="inlineStr">
        <is>
          <t>negativo</t>
        </is>
      </c>
      <c r="H123" s="3" t="n">
        <v>0.2369791666666666</v>
      </c>
      <c r="I123" s="3" t="n">
        <v>-0.0378566337348131</v>
      </c>
      <c r="J123" s="3" t="n">
        <v>-0.6122398347621206</v>
      </c>
      <c r="K123" s="3" t="n">
        <v>0.5110750536507166</v>
      </c>
      <c r="L123" s="3" t="inlineStr">
        <is>
          <t>no</t>
        </is>
      </c>
      <c r="M123" s="3" t="n">
        <v>0</v>
      </c>
      <c r="N123" s="3" t="inlineStr">
        <is>
          <t>mas es mas presion</t>
        </is>
      </c>
      <c r="O123" s="3" t="n">
        <v>-0.0378566337348131</v>
      </c>
      <c r="P123" s="3" t="inlineStr">
        <is>
          <t>tx_extranj</t>
        </is>
      </c>
      <c r="Q123" s="3" t="inlineStr">
        <is>
          <t>no</t>
        </is>
      </c>
      <c r="R123" s="3" t="inlineStr">
        <is>
          <t>C4</t>
        </is>
      </c>
      <c r="S123" s="3" t="inlineStr">
        <is>
          <t>output/v8/M7/resumen_multiverso.csv</t>
        </is>
      </c>
    </row>
    <row r="124">
      <c r="A124" s="3" t="inlineStr">
        <is>
          <t>alquiler</t>
        </is>
      </c>
      <c r="B124" s="3" t="inlineStr">
        <is>
          <t>completo</t>
        </is>
      </c>
      <c r="C124" s="3" t="inlineStr">
        <is>
          <t>demanda_externa</t>
        </is>
      </c>
      <c r="D124" s="3" t="inlineStr">
        <is>
          <t>cuota_extranj</t>
        </is>
      </c>
      <c r="E124" s="3" t="n">
        <v>192</v>
      </c>
      <c r="F124" s="3" t="n">
        <v>0.5625</v>
      </c>
      <c r="G124" s="3" t="inlineStr">
        <is>
          <t>positivo</t>
        </is>
      </c>
      <c r="H124" s="3" t="n">
        <v>0.1354166666666666</v>
      </c>
      <c r="I124" s="3" t="n">
        <v>0.0166624854414018</v>
      </c>
      <c r="J124" s="3" t="n">
        <v>-0.6151393680791466</v>
      </c>
      <c r="K124" s="3" t="n">
        <v>0.6303766413191585</v>
      </c>
      <c r="L124" s="3" t="inlineStr">
        <is>
          <t>no</t>
        </is>
      </c>
      <c r="M124" s="3" t="n">
        <v>0</v>
      </c>
      <c r="N124" s="3" t="inlineStr">
        <is>
          <t>mas es mas presion</t>
        </is>
      </c>
      <c r="O124" s="3" t="n">
        <v>0.0166624854414018</v>
      </c>
      <c r="P124" s="3" t="n"/>
      <c r="Q124" s="3" t="n"/>
      <c r="R124" s="3" t="inlineStr">
        <is>
          <t>C4</t>
        </is>
      </c>
      <c r="S124" s="3" t="inlineStr">
        <is>
          <t>output/v8/M7/resumen_multiverso.csv</t>
        </is>
      </c>
    </row>
    <row r="125">
      <c r="A125" s="3" t="inlineStr">
        <is>
          <t>alquiler</t>
        </is>
      </c>
      <c r="B125" s="3" t="inlineStr">
        <is>
          <t>completo</t>
        </is>
      </c>
      <c r="C125" s="3" t="inlineStr">
        <is>
          <t>demanda_externa</t>
        </is>
      </c>
      <c r="D125" s="3" t="inlineStr">
        <is>
          <t>tx_extranj</t>
        </is>
      </c>
      <c r="E125" s="3" t="n">
        <v>192</v>
      </c>
      <c r="F125" s="3" t="n">
        <v>0.6979166666666666</v>
      </c>
      <c r="G125" s="3" t="inlineStr">
        <is>
          <t>negativo</t>
        </is>
      </c>
      <c r="H125" s="3" t="n">
        <v>0.2760416666666667</v>
      </c>
      <c r="I125" s="3" t="n">
        <v>-0.1070948513790148</v>
      </c>
      <c r="J125" s="3" t="n">
        <v>-0.5379553943641179</v>
      </c>
      <c r="K125" s="3" t="n">
        <v>0.4497210015353269</v>
      </c>
      <c r="L125" s="3" t="inlineStr">
        <is>
          <t>no</t>
        </is>
      </c>
      <c r="M125" s="3" t="n">
        <v>0</v>
      </c>
      <c r="N125" s="3" t="inlineStr">
        <is>
          <t>mas es mas presion</t>
        </is>
      </c>
      <c r="O125" s="3" t="n">
        <v>-0.1070948513790148</v>
      </c>
      <c r="P125" s="3" t="inlineStr">
        <is>
          <t>principal</t>
        </is>
      </c>
      <c r="Q125" s="3" t="n"/>
      <c r="R125" s="3" t="inlineStr">
        <is>
          <t>C4</t>
        </is>
      </c>
      <c r="S125" s="3" t="inlineStr">
        <is>
          <t>output/v8/M7/resumen_multiverso.csv</t>
        </is>
      </c>
    </row>
    <row r="126">
      <c r="A126" s="3" t="inlineStr">
        <is>
          <t>alquiler</t>
        </is>
      </c>
      <c r="B126" s="3" t="inlineStr">
        <is>
          <t>completo</t>
        </is>
      </c>
      <c r="C126" s="3" t="inlineStr">
        <is>
          <t>demografia</t>
        </is>
      </c>
      <c r="D126" s="3" t="inlineStr">
        <is>
          <t>TODAS</t>
        </is>
      </c>
      <c r="E126" s="3" t="n">
        <v>576</v>
      </c>
      <c r="F126" s="3" t="n">
        <v>0.9826388888888888</v>
      </c>
      <c r="G126" s="3" t="inlineStr">
        <is>
          <t>positivo</t>
        </is>
      </c>
      <c r="H126" s="3" t="n">
        <v>0.6041666666666666</v>
      </c>
      <c r="I126" s="3" t="n">
        <v>0.2592659674991036</v>
      </c>
      <c r="J126" s="3" t="n">
        <v>0.0341538950151574</v>
      </c>
      <c r="K126" s="3" t="n">
        <v>0.5538677007080828</v>
      </c>
      <c r="L126" s="3" t="inlineStr">
        <is>
          <t>sí</t>
        </is>
      </c>
      <c r="M126" s="3" t="n">
        <v>0.3333333333333333</v>
      </c>
      <c r="N126" s="3" t="inlineStr">
        <is>
          <t>mas es mas presion</t>
        </is>
      </c>
      <c r="O126" s="3" t="n">
        <v>0.2592659674991036</v>
      </c>
      <c r="P126" s="3" t="inlineStr">
        <is>
          <t>pob_total</t>
        </is>
      </c>
      <c r="Q126" s="3" t="inlineStr">
        <is>
          <t>sí</t>
        </is>
      </c>
      <c r="R126" s="3" t="inlineStr">
        <is>
          <t>C4</t>
        </is>
      </c>
      <c r="S126" s="3" t="inlineStr">
        <is>
          <t>output/v8/M7/resumen_multiverso.csv</t>
        </is>
      </c>
    </row>
    <row r="127">
      <c r="A127" s="3" t="inlineStr">
        <is>
          <t>alquiler</t>
        </is>
      </c>
      <c r="B127" s="3" t="inlineStr">
        <is>
          <t>completo</t>
        </is>
      </c>
      <c r="C127" s="3" t="inlineStr">
        <is>
          <t>demografia</t>
        </is>
      </c>
      <c r="D127" s="3" t="inlineStr">
        <is>
          <t>hogares_epa</t>
        </is>
      </c>
      <c r="E127" s="3" t="n">
        <v>192</v>
      </c>
      <c r="F127" s="3" t="n">
        <v>0.9583333333333334</v>
      </c>
      <c r="G127" s="3" t="inlineStr">
        <is>
          <t>positivo</t>
        </is>
      </c>
      <c r="H127" s="3" t="n">
        <v>0.4947916666666667</v>
      </c>
      <c r="I127" s="3" t="n">
        <v>0.238617223636237</v>
      </c>
      <c r="J127" s="3" t="n">
        <v>0.0275315722077517</v>
      </c>
      <c r="K127" s="3" t="n">
        <v>0.5245052178734669</v>
      </c>
      <c r="L127" s="3" t="inlineStr">
        <is>
          <t>no</t>
        </is>
      </c>
      <c r="M127" s="3" t="n">
        <v>0</v>
      </c>
      <c r="N127" s="3" t="inlineStr">
        <is>
          <t>mas es mas presion</t>
        </is>
      </c>
      <c r="O127" s="3" t="n">
        <v>0.238617223636237</v>
      </c>
      <c r="P127" s="3" t="n"/>
      <c r="Q127" s="3" t="n"/>
      <c r="R127" s="3" t="inlineStr">
        <is>
          <t>C4</t>
        </is>
      </c>
      <c r="S127" s="3" t="inlineStr">
        <is>
          <t>output/v8/M7/resumen_multiverso.csv</t>
        </is>
      </c>
    </row>
    <row r="128">
      <c r="A128" s="3" t="inlineStr">
        <is>
          <t>alquiler</t>
        </is>
      </c>
      <c r="B128" s="3" t="inlineStr">
        <is>
          <t>completo</t>
        </is>
      </c>
      <c r="C128" s="3" t="inlineStr">
        <is>
          <t>demografia</t>
        </is>
      </c>
      <c r="D128" s="3" t="inlineStr">
        <is>
          <t>pob_extranj_ine</t>
        </is>
      </c>
      <c r="E128" s="3" t="n">
        <v>192</v>
      </c>
      <c r="F128" s="3" t="n">
        <v>0.9895833333333334</v>
      </c>
      <c r="G128" s="3" t="inlineStr">
        <is>
          <t>positivo</t>
        </is>
      </c>
      <c r="H128" s="3" t="n">
        <v>0.625</v>
      </c>
      <c r="I128" s="3" t="n">
        <v>0.253105240808161</v>
      </c>
      <c r="J128" s="3" t="n">
        <v>0.0367619463483792</v>
      </c>
      <c r="K128" s="3" t="n">
        <v>0.6094428035571601</v>
      </c>
      <c r="L128" s="3" t="inlineStr">
        <is>
          <t>sí</t>
        </is>
      </c>
      <c r="M128" s="3" t="n">
        <v>0.5</v>
      </c>
      <c r="N128" s="3" t="inlineStr">
        <is>
          <t>mas es mas presion</t>
        </is>
      </c>
      <c r="O128" s="3" t="n">
        <v>0.253105240808161</v>
      </c>
      <c r="P128" s="3" t="n"/>
      <c r="Q128" s="3" t="n"/>
      <c r="R128" s="3" t="inlineStr">
        <is>
          <t>C4</t>
        </is>
      </c>
      <c r="S128" s="3" t="inlineStr">
        <is>
          <t>output/v8/M7/resumen_multiverso.csv</t>
        </is>
      </c>
    </row>
    <row r="129">
      <c r="A129" s="3" t="inlineStr">
        <is>
          <t>alquiler</t>
        </is>
      </c>
      <c r="B129" s="3" t="inlineStr">
        <is>
          <t>completo</t>
        </is>
      </c>
      <c r="C129" s="3" t="inlineStr">
        <is>
          <t>demografia</t>
        </is>
      </c>
      <c r="D129" s="3" t="inlineStr">
        <is>
          <t>pob_total</t>
        </is>
      </c>
      <c r="E129" s="3" t="n">
        <v>192</v>
      </c>
      <c r="F129" s="3" t="n">
        <v>1</v>
      </c>
      <c r="G129" s="3" t="inlineStr">
        <is>
          <t>positivo</t>
        </is>
      </c>
      <c r="H129" s="3" t="n">
        <v>0.6927083333333334</v>
      </c>
      <c r="I129" s="3" t="n">
        <v>0.2864186406862011</v>
      </c>
      <c r="J129" s="3" t="n">
        <v>0.0868093629650712</v>
      </c>
      <c r="K129" s="3" t="n">
        <v>0.5432339976724754</v>
      </c>
      <c r="L129" s="3" t="inlineStr">
        <is>
          <t>sí</t>
        </is>
      </c>
      <c r="M129" s="3" t="n">
        <v>0.5</v>
      </c>
      <c r="N129" s="3" t="inlineStr">
        <is>
          <t>mas es mas presion</t>
        </is>
      </c>
      <c r="O129" s="3" t="n">
        <v>0.2864186406862011</v>
      </c>
      <c r="P129" s="3" t="inlineStr">
        <is>
          <t>principal</t>
        </is>
      </c>
      <c r="Q129" s="3" t="n"/>
      <c r="R129" s="3" t="inlineStr">
        <is>
          <t>C4</t>
        </is>
      </c>
      <c r="S129" s="3" t="inlineStr">
        <is>
          <t>output/v8/M7/resumen_multiverso.csv</t>
        </is>
      </c>
    </row>
    <row r="130">
      <c r="A130" s="3" t="inlineStr">
        <is>
          <t>alquiler</t>
        </is>
      </c>
      <c r="B130" s="3" t="inlineStr">
        <is>
          <t>completo</t>
        </is>
      </c>
      <c r="C130" s="3" t="inlineStr">
        <is>
          <t>empleo_renta</t>
        </is>
      </c>
      <c r="D130" s="3" t="inlineStr">
        <is>
          <t>TODAS</t>
        </is>
      </c>
      <c r="E130" s="3" t="n">
        <v>576</v>
      </c>
      <c r="F130" s="3" t="n">
        <v>0.6666666666666666</v>
      </c>
      <c r="G130" s="3" t="inlineStr">
        <is>
          <t>negativo</t>
        </is>
      </c>
      <c r="H130" s="3" t="n">
        <v>0.2569444444444444</v>
      </c>
      <c r="I130" s="3" t="n">
        <v>-0.1171743992036926</v>
      </c>
      <c r="J130" s="3" t="n">
        <v>-0.5001308921829106</v>
      </c>
      <c r="K130" s="3" t="n">
        <v>0.3245538887393955</v>
      </c>
      <c r="L130" s="3" t="inlineStr">
        <is>
          <t>no</t>
        </is>
      </c>
      <c r="M130" s="3" t="n">
        <v>0</v>
      </c>
      <c r="N130" s="3" t="inlineStr">
        <is>
          <t>mas es mas presion</t>
        </is>
      </c>
      <c r="O130" s="3" t="n">
        <v>-0.1171743992036926</v>
      </c>
      <c r="P130" s="3" t="inlineStr">
        <is>
          <t>pib_vol</t>
        </is>
      </c>
      <c r="Q130" s="3" t="inlineStr">
        <is>
          <t>no</t>
        </is>
      </c>
      <c r="R130" s="3" t="inlineStr">
        <is>
          <t>C4</t>
        </is>
      </c>
      <c r="S130" s="3" t="inlineStr">
        <is>
          <t>output/v8/M7/resumen_multiverso.csv</t>
        </is>
      </c>
    </row>
    <row r="131">
      <c r="A131" s="3" t="inlineStr">
        <is>
          <t>alquiler</t>
        </is>
      </c>
      <c r="B131" s="3" t="inlineStr">
        <is>
          <t>completo</t>
        </is>
      </c>
      <c r="C131" s="3" t="inlineStr">
        <is>
          <t>empleo_renta</t>
        </is>
      </c>
      <c r="D131" s="3" t="inlineStr">
        <is>
          <t>ocupados</t>
        </is>
      </c>
      <c r="E131" s="3" t="n">
        <v>192</v>
      </c>
      <c r="F131" s="3" t="n">
        <v>0.6145833333333334</v>
      </c>
      <c r="G131" s="3" t="inlineStr">
        <is>
          <t>negativo</t>
        </is>
      </c>
      <c r="H131" s="3" t="n">
        <v>0.1927083333333333</v>
      </c>
      <c r="I131" s="3" t="n">
        <v>-0.1059539795030177</v>
      </c>
      <c r="J131" s="3" t="n">
        <v>-0.5122605287207859</v>
      </c>
      <c r="K131" s="3" t="n">
        <v>0.2557315271790222</v>
      </c>
      <c r="L131" s="3" t="inlineStr">
        <is>
          <t>no</t>
        </is>
      </c>
      <c r="M131" s="3" t="n">
        <v>0</v>
      </c>
      <c r="N131" s="3" t="inlineStr">
        <is>
          <t>mas es mas presion</t>
        </is>
      </c>
      <c r="O131" s="3" t="n">
        <v>-0.1059539795030177</v>
      </c>
      <c r="P131" s="3" t="n"/>
      <c r="Q131" s="3" t="n"/>
      <c r="R131" s="3" t="inlineStr">
        <is>
          <t>C4</t>
        </is>
      </c>
      <c r="S131" s="3" t="inlineStr">
        <is>
          <t>output/v8/M7/resumen_multiverso.csv</t>
        </is>
      </c>
    </row>
    <row r="132">
      <c r="A132" s="3" t="inlineStr">
        <is>
          <t>alquiler</t>
        </is>
      </c>
      <c r="B132" s="3" t="inlineStr">
        <is>
          <t>completo</t>
        </is>
      </c>
      <c r="C132" s="3" t="inlineStr">
        <is>
          <t>empleo_renta</t>
        </is>
      </c>
      <c r="D132" s="3" t="inlineStr">
        <is>
          <t>pib_vol</t>
        </is>
      </c>
      <c r="E132" s="3" t="n">
        <v>192</v>
      </c>
      <c r="F132" s="3" t="n">
        <v>0.7291666666666666</v>
      </c>
      <c r="G132" s="3" t="inlineStr">
        <is>
          <t>negativo</t>
        </is>
      </c>
      <c r="H132" s="3" t="n">
        <v>0.28125</v>
      </c>
      <c r="I132" s="3" t="n">
        <v>-0.1262961059124246</v>
      </c>
      <c r="J132" s="3" t="n">
        <v>-0.4800122801589677</v>
      </c>
      <c r="K132" s="3" t="n">
        <v>0.2046639856339265</v>
      </c>
      <c r="L132" s="3" t="inlineStr">
        <is>
          <t>no</t>
        </is>
      </c>
      <c r="M132" s="3" t="n">
        <v>0</v>
      </c>
      <c r="N132" s="3" t="inlineStr">
        <is>
          <t>mas es mas presion</t>
        </is>
      </c>
      <c r="O132" s="3" t="n">
        <v>-0.1262961059124246</v>
      </c>
      <c r="P132" s="3" t="inlineStr">
        <is>
          <t>principal</t>
        </is>
      </c>
      <c r="Q132" s="3" t="n"/>
      <c r="R132" s="3" t="inlineStr">
        <is>
          <t>C4</t>
        </is>
      </c>
      <c r="S132" s="3" t="inlineStr">
        <is>
          <t>output/v8/M7/resumen_multiverso.csv</t>
        </is>
      </c>
    </row>
    <row r="133">
      <c r="A133" s="3" t="inlineStr">
        <is>
          <t>alquiler</t>
        </is>
      </c>
      <c r="B133" s="3" t="inlineStr">
        <is>
          <t>completo</t>
        </is>
      </c>
      <c r="C133" s="3" t="inlineStr">
        <is>
          <t>empleo_renta</t>
        </is>
      </c>
      <c r="D133" s="3" t="inlineStr">
        <is>
          <t>rdb_real</t>
        </is>
      </c>
      <c r="E133" s="3" t="n">
        <v>192</v>
      </c>
      <c r="F133" s="3" t="n">
        <v>0.65625</v>
      </c>
      <c r="G133" s="3" t="inlineStr">
        <is>
          <t>negativo</t>
        </is>
      </c>
      <c r="H133" s="3" t="n">
        <v>0.296875</v>
      </c>
      <c r="I133" s="3" t="n">
        <v>-0.1193456474786319</v>
      </c>
      <c r="J133" s="3" t="n">
        <v>-0.3544441795709865</v>
      </c>
      <c r="K133" s="3" t="n">
        <v>0.3701526043063519</v>
      </c>
      <c r="L133" s="3" t="inlineStr">
        <is>
          <t>no</t>
        </is>
      </c>
      <c r="M133" s="3" t="n">
        <v>0</v>
      </c>
      <c r="N133" s="3" t="inlineStr">
        <is>
          <t>mas es mas presion</t>
        </is>
      </c>
      <c r="O133" s="3" t="n">
        <v>-0.1193456474786319</v>
      </c>
      <c r="P133" s="3" t="n"/>
      <c r="Q133" s="3" t="n"/>
      <c r="R133" s="3" t="inlineStr">
        <is>
          <t>C4</t>
        </is>
      </c>
      <c r="S133" s="3" t="inlineStr">
        <is>
          <t>output/v8/M7/resumen_multiverso.csv</t>
        </is>
      </c>
    </row>
    <row r="134">
      <c r="A134" s="3" t="inlineStr">
        <is>
          <t>alquiler</t>
        </is>
      </c>
      <c r="B134" s="3" t="inlineStr">
        <is>
          <t>completo</t>
        </is>
      </c>
      <c r="C134" s="3" t="inlineStr">
        <is>
          <t>factor_europeo</t>
        </is>
      </c>
      <c r="D134" s="3" t="inlineStr">
        <is>
          <t>TODAS</t>
        </is>
      </c>
      <c r="E134" s="3" t="n">
        <v>576</v>
      </c>
      <c r="F134" s="3" t="n">
        <v>0.5138888888888888</v>
      </c>
      <c r="G134" s="3" t="inlineStr">
        <is>
          <t>negativo</t>
        </is>
      </c>
      <c r="H134" s="3" t="n">
        <v>0.0381944444444444</v>
      </c>
      <c r="I134" s="3" t="n">
        <v>-0.0028472722813561</v>
      </c>
      <c r="J134" s="3" t="n">
        <v>-0.3360818870451514</v>
      </c>
      <c r="K134" s="3" t="n">
        <v>0.3803539681760307</v>
      </c>
      <c r="L134" s="3" t="inlineStr">
        <is>
          <t>no</t>
        </is>
      </c>
      <c r="M134" s="3" t="n">
        <v>0</v>
      </c>
      <c r="N134" s="3" t="inlineStr">
        <is>
          <t>mas es mas presion</t>
        </is>
      </c>
      <c r="O134" s="3" t="n">
        <v>-0.0028472722813561</v>
      </c>
      <c r="P134" s="3" t="inlineStr">
        <is>
          <t>bis_hpi_xm_real</t>
        </is>
      </c>
      <c r="Q134" s="3" t="inlineStr">
        <is>
          <t>no</t>
        </is>
      </c>
      <c r="R134" s="3" t="inlineStr">
        <is>
          <t>C4</t>
        </is>
      </c>
      <c r="S134" s="3" t="inlineStr">
        <is>
          <t>output/v8/M7/resumen_multiverso.csv</t>
        </is>
      </c>
    </row>
    <row r="135">
      <c r="A135" s="3" t="inlineStr">
        <is>
          <t>alquiler</t>
        </is>
      </c>
      <c r="B135" s="3" t="inlineStr">
        <is>
          <t>completo</t>
        </is>
      </c>
      <c r="C135" s="3" t="inlineStr">
        <is>
          <t>factor_europeo</t>
        </is>
      </c>
      <c r="D135" s="3" t="inlineStr">
        <is>
          <t>bis_hpi_xm_real</t>
        </is>
      </c>
      <c r="E135" s="3" t="n">
        <v>192</v>
      </c>
      <c r="F135" s="3" t="n">
        <v>0.625</v>
      </c>
      <c r="G135" s="3" t="inlineStr">
        <is>
          <t>positivo</t>
        </is>
      </c>
      <c r="H135" s="3" t="n">
        <v>0.171875</v>
      </c>
      <c r="I135" s="3" t="n">
        <v>0.06409229684721809</v>
      </c>
      <c r="J135" s="3" t="n">
        <v>-0.2841611502525809</v>
      </c>
      <c r="K135" s="3" t="n">
        <v>0.3821141062023874</v>
      </c>
      <c r="L135" s="3" t="inlineStr">
        <is>
          <t>no</t>
        </is>
      </c>
      <c r="M135" s="3" t="n">
        <v>0</v>
      </c>
      <c r="N135" s="3" t="inlineStr">
        <is>
          <t>mas es mas presion</t>
        </is>
      </c>
      <c r="O135" s="3" t="n">
        <v>0.06409229684721809</v>
      </c>
      <c r="P135" s="3" t="inlineStr">
        <is>
          <t>principal</t>
        </is>
      </c>
      <c r="Q135" s="3" t="n"/>
      <c r="R135" s="3" t="inlineStr">
        <is>
          <t>C4</t>
        </is>
      </c>
      <c r="S135" s="3" t="inlineStr">
        <is>
          <t>output/v8/M7/resumen_multiverso.csv</t>
        </is>
      </c>
    </row>
    <row r="136">
      <c r="A136" s="3" t="inlineStr">
        <is>
          <t>alquiler</t>
        </is>
      </c>
      <c r="B136" s="3" t="inlineStr">
        <is>
          <t>completo</t>
        </is>
      </c>
      <c r="C136" s="3" t="inlineStr">
        <is>
          <t>factor_europeo</t>
        </is>
      </c>
      <c r="D136" s="3" t="inlineStr">
        <is>
          <t>hpi_ea19</t>
        </is>
      </c>
      <c r="E136" s="3" t="n">
        <v>192</v>
      </c>
      <c r="F136" s="3" t="n">
        <v>0.6666666666666666</v>
      </c>
      <c r="G136" s="3" t="inlineStr">
        <is>
          <t>negativo</t>
        </is>
      </c>
      <c r="H136" s="3" t="n">
        <v>0.0520833333333333</v>
      </c>
      <c r="I136" s="3" t="n">
        <v>-0.1481766078762632</v>
      </c>
      <c r="J136" s="3" t="n">
        <v>-0.4456425184307859</v>
      </c>
      <c r="K136" s="3" t="n">
        <v>0.4142193123539508</v>
      </c>
      <c r="L136" s="3" t="inlineStr">
        <is>
          <t>no</t>
        </is>
      </c>
      <c r="M136" s="3" t="n">
        <v>0</v>
      </c>
      <c r="N136" s="3" t="inlineStr">
        <is>
          <t>mas es mas presion</t>
        </is>
      </c>
      <c r="O136" s="3" t="n">
        <v>-0.1481766078762632</v>
      </c>
      <c r="P136" s="3" t="n"/>
      <c r="Q136" s="3" t="n"/>
      <c r="R136" s="3" t="inlineStr">
        <is>
          <t>C4</t>
        </is>
      </c>
      <c r="S136" s="3" t="inlineStr">
        <is>
          <t>output/v8/M7/resumen_multiverso.csv</t>
        </is>
      </c>
    </row>
    <row r="137">
      <c r="A137" s="3" t="inlineStr">
        <is>
          <t>alquiler</t>
        </is>
      </c>
      <c r="B137" s="3" t="inlineStr">
        <is>
          <t>completo</t>
        </is>
      </c>
      <c r="C137" s="3" t="inlineStr">
        <is>
          <t>factor_europeo</t>
        </is>
      </c>
      <c r="D137" s="3" t="inlineStr">
        <is>
          <t>jk_mp</t>
        </is>
      </c>
      <c r="E137" s="3" t="n">
        <v>192</v>
      </c>
      <c r="F137" s="3" t="n">
        <v>0.5</v>
      </c>
      <c r="G137" s="3" t="inlineStr">
        <is>
          <t>positivo</t>
        </is>
      </c>
      <c r="H137" s="3" t="n">
        <v>0.0104166666666666</v>
      </c>
      <c r="I137" s="3" t="n">
        <v>0.0026536772382525</v>
      </c>
      <c r="J137" s="3" t="n">
        <v>-0.1167725531393725</v>
      </c>
      <c r="K137" s="3" t="n">
        <v>0.1857506872910564</v>
      </c>
      <c r="L137" s="3" t="inlineStr">
        <is>
          <t>no</t>
        </is>
      </c>
      <c r="M137" s="3" t="n">
        <v>0</v>
      </c>
      <c r="N137" s="3" t="inlineStr">
        <is>
          <t>mas es mas presion</t>
        </is>
      </c>
      <c r="O137" s="3" t="n">
        <v>0.0026536772382525</v>
      </c>
      <c r="P137" s="3" t="n"/>
      <c r="Q137" s="3" t="n"/>
      <c r="R137" s="3" t="inlineStr">
        <is>
          <t>C4</t>
        </is>
      </c>
      <c r="S137" s="3" t="inlineStr">
        <is>
          <t>output/v8/M7/resumen_multiverso.csv</t>
        </is>
      </c>
    </row>
    <row r="138">
      <c r="A138" s="3" t="inlineStr">
        <is>
          <t>alquiler</t>
        </is>
      </c>
      <c r="B138" s="3" t="inlineStr">
        <is>
          <t>completo</t>
        </is>
      </c>
      <c r="C138" s="3" t="inlineStr">
        <is>
          <t>oferta</t>
        </is>
      </c>
      <c r="D138" s="3" t="inlineStr">
        <is>
          <t>TODAS</t>
        </is>
      </c>
      <c r="E138" s="3" t="n">
        <v>576</v>
      </c>
      <c r="F138" s="3" t="n">
        <v>0.6284722222222222</v>
      </c>
      <c r="G138" s="3" t="inlineStr">
        <is>
          <t>negativo</t>
        </is>
      </c>
      <c r="H138" s="3" t="n">
        <v>0.1753472222222222</v>
      </c>
      <c r="I138" s="3" t="n">
        <v>-0.0516295067615514</v>
      </c>
      <c r="J138" s="3" t="n">
        <v>-0.3860292465455068</v>
      </c>
      <c r="K138" s="3" t="n">
        <v>0.2991189114299619</v>
      </c>
      <c r="L138" s="3" t="inlineStr">
        <is>
          <t>no</t>
        </is>
      </c>
      <c r="M138" s="3" t="n">
        <v>0</v>
      </c>
      <c r="N138" s="3" t="inlineStr">
        <is>
          <t>mas es mas presion</t>
        </is>
      </c>
      <c r="O138" s="3" t="n">
        <v>-0.0516295067615514</v>
      </c>
      <c r="P138" s="3" t="inlineStr">
        <is>
          <t>terminadas</t>
        </is>
      </c>
      <c r="Q138" s="3" t="inlineStr">
        <is>
          <t>no</t>
        </is>
      </c>
      <c r="R138" s="3" t="inlineStr">
        <is>
          <t>C4</t>
        </is>
      </c>
      <c r="S138" s="3" t="inlineStr">
        <is>
          <t>output/v8/M7/resumen_multiverso.csv</t>
        </is>
      </c>
    </row>
    <row r="139">
      <c r="A139" s="3" t="inlineStr">
        <is>
          <t>alquiler</t>
        </is>
      </c>
      <c r="B139" s="3" t="inlineStr">
        <is>
          <t>completo</t>
        </is>
      </c>
      <c r="C139" s="3" t="inlineStr">
        <is>
          <t>oferta</t>
        </is>
      </c>
      <c r="D139" s="3" t="inlineStr">
        <is>
          <t>costes_constr</t>
        </is>
      </c>
      <c r="E139" s="3" t="n">
        <v>192</v>
      </c>
      <c r="F139" s="3" t="n">
        <v>0.5833333333333334</v>
      </c>
      <c r="G139" s="3" t="inlineStr">
        <is>
          <t>positivo</t>
        </is>
      </c>
      <c r="H139" s="3" t="n">
        <v>0.1510416666666666</v>
      </c>
      <c r="I139" s="3" t="n">
        <v>0.0652008826292646</v>
      </c>
      <c r="J139" s="3" t="n">
        <v>-0.378415677787438</v>
      </c>
      <c r="K139" s="3" t="n">
        <v>0.3077668766079799</v>
      </c>
      <c r="L139" s="3" t="inlineStr">
        <is>
          <t>no</t>
        </is>
      </c>
      <c r="M139" s="3" t="n">
        <v>0</v>
      </c>
      <c r="N139" s="3" t="inlineStr">
        <is>
          <t>mas es mas presion</t>
        </is>
      </c>
      <c r="O139" s="3" t="n">
        <v>0.0652008826292646</v>
      </c>
      <c r="P139" s="3" t="n"/>
      <c r="Q139" s="3" t="n"/>
      <c r="R139" s="3" t="inlineStr">
        <is>
          <t>C4</t>
        </is>
      </c>
      <c r="S139" s="3" t="inlineStr">
        <is>
          <t>output/v8/M7/resumen_multiverso.csv</t>
        </is>
      </c>
    </row>
    <row r="140">
      <c r="A140" s="3" t="inlineStr">
        <is>
          <t>alquiler</t>
        </is>
      </c>
      <c r="B140" s="3" t="inlineStr">
        <is>
          <t>completo</t>
        </is>
      </c>
      <c r="C140" s="3" t="inlineStr">
        <is>
          <t>oferta</t>
        </is>
      </c>
      <c r="D140" s="3" t="inlineStr">
        <is>
          <t>terminadas</t>
        </is>
      </c>
      <c r="E140" s="3" t="n">
        <v>192</v>
      </c>
      <c r="F140" s="3" t="n">
        <v>0.5</v>
      </c>
      <c r="G140" s="3" t="inlineStr">
        <is>
          <t>positivo</t>
        </is>
      </c>
      <c r="H140" s="3" t="n">
        <v>0.0833333333333333</v>
      </c>
      <c r="I140" s="3" t="n">
        <v>0.0004753093769894</v>
      </c>
      <c r="J140" s="3" t="n">
        <v>-0.3262832199701987</v>
      </c>
      <c r="K140" s="3" t="n">
        <v>0.2869083004164681</v>
      </c>
      <c r="L140" s="3" t="inlineStr">
        <is>
          <t>no</t>
        </is>
      </c>
      <c r="M140" s="3" t="n">
        <v>0</v>
      </c>
      <c r="N140" s="3" t="inlineStr">
        <is>
          <t>mas es mas presion</t>
        </is>
      </c>
      <c r="O140" s="3" t="n">
        <v>0.0004753093769894</v>
      </c>
      <c r="P140" s="3" t="inlineStr">
        <is>
          <t>principal</t>
        </is>
      </c>
      <c r="Q140" s="3" t="n"/>
      <c r="R140" s="3" t="inlineStr">
        <is>
          <t>C4</t>
        </is>
      </c>
      <c r="S140" s="3" t="inlineStr">
        <is>
          <t>output/v8/M7/resumen_multiverso.csv</t>
        </is>
      </c>
    </row>
    <row r="141">
      <c r="A141" s="3" t="inlineStr">
        <is>
          <t>alquiler</t>
        </is>
      </c>
      <c r="B141" s="3" t="inlineStr">
        <is>
          <t>completo</t>
        </is>
      </c>
      <c r="C141" s="3" t="inlineStr">
        <is>
          <t>oferta</t>
        </is>
      </c>
      <c r="D141" s="3" t="inlineStr">
        <is>
          <t>visados</t>
        </is>
      </c>
      <c r="E141" s="3" t="n">
        <v>192</v>
      </c>
      <c r="F141" s="3" t="n">
        <v>0.96875</v>
      </c>
      <c r="G141" s="3" t="inlineStr">
        <is>
          <t>negativo</t>
        </is>
      </c>
      <c r="H141" s="3" t="n">
        <v>0.296875</v>
      </c>
      <c r="I141" s="3" t="n">
        <v>-0.1671656173020494</v>
      </c>
      <c r="J141" s="3" t="n">
        <v>-0.5665331436122889</v>
      </c>
      <c r="K141" s="3" t="n">
        <v>-0.0140589889676316</v>
      </c>
      <c r="L141" s="3" t="inlineStr">
        <is>
          <t>no</t>
        </is>
      </c>
      <c r="M141" s="3" t="n">
        <v>0</v>
      </c>
      <c r="N141" s="3" t="inlineStr">
        <is>
          <t>mas es mas presion</t>
        </is>
      </c>
      <c r="O141" s="3" t="n">
        <v>-0.1671656173020494</v>
      </c>
      <c r="P141" s="3" t="n"/>
      <c r="Q141" s="3" t="n"/>
      <c r="R141" s="3" t="inlineStr">
        <is>
          <t>C4</t>
        </is>
      </c>
      <c r="S141" s="3" t="inlineStr">
        <is>
          <t>output/v8/M7/resumen_multiverso.csv</t>
        </is>
      </c>
    </row>
    <row r="142">
      <c r="A142" s="3" t="inlineStr">
        <is>
          <t>compra</t>
        </is>
      </c>
      <c r="B142" s="3" t="inlineStr">
        <is>
          <t>P1</t>
        </is>
      </c>
      <c r="C142" s="3" t="inlineStr">
        <is>
          <t>credito_tipos</t>
        </is>
      </c>
      <c r="D142" s="3" t="inlineStr">
        <is>
          <t>TODAS</t>
        </is>
      </c>
      <c r="E142" s="3" t="n">
        <v>192</v>
      </c>
      <c r="F142" s="3" t="n">
        <v>0.6354166666666666</v>
      </c>
      <c r="G142" s="3" t="inlineStr">
        <is>
          <t>positivo</t>
        </is>
      </c>
      <c r="H142" s="3" t="n">
        <v>0.3333333333333333</v>
      </c>
      <c r="I142" s="3" t="n">
        <v>-0.2496565807613839</v>
      </c>
      <c r="J142" s="3" t="n">
        <v>-0.8295881570079415</v>
      </c>
      <c r="K142" s="3" t="n">
        <v>0.2561574345441573</v>
      </c>
      <c r="L142" s="3" t="inlineStr">
        <is>
          <t>no</t>
        </is>
      </c>
      <c r="M142" s="3" t="n">
        <v>0</v>
      </c>
      <c r="N142" s="3" t="inlineStr">
        <is>
          <t>mixta</t>
        </is>
      </c>
      <c r="O142" s="3" t="n">
        <v>0.1472964918423642</v>
      </c>
      <c r="P142" s="3" t="inlineStr">
        <is>
          <t>tipo_hip_real</t>
        </is>
      </c>
      <c r="Q142" s="3" t="inlineStr">
        <is>
          <t>no</t>
        </is>
      </c>
      <c r="R142" s="3" t="inlineStr">
        <is>
          <t>C4</t>
        </is>
      </c>
      <c r="S142" s="3" t="inlineStr">
        <is>
          <t>output/v8/M7/resumen_multiverso.csv</t>
        </is>
      </c>
    </row>
    <row r="143">
      <c r="A143" s="3" t="inlineStr">
        <is>
          <t>compra</t>
        </is>
      </c>
      <c r="B143" s="3" t="inlineStr">
        <is>
          <t>P1</t>
        </is>
      </c>
      <c r="C143" s="3" t="inlineStr">
        <is>
          <t>credito_tipos</t>
        </is>
      </c>
      <c r="D143" s="3" t="inlineStr">
        <is>
          <t>credito_stock_real</t>
        </is>
      </c>
      <c r="E143" s="3" t="n">
        <v>96</v>
      </c>
      <c r="F143" s="3" t="n">
        <v>0.6875</v>
      </c>
      <c r="G143" s="3" t="inlineStr">
        <is>
          <t>negativo</t>
        </is>
      </c>
      <c r="H143" s="3" t="n">
        <v>0.1458333333333333</v>
      </c>
      <c r="I143" s="3" t="n">
        <v>-0.1041252390053246</v>
      </c>
      <c r="J143" s="3" t="n">
        <v>-0.5066652763205666</v>
      </c>
      <c r="K143" s="3" t="n">
        <v>0.273240534534766</v>
      </c>
      <c r="L143" s="3" t="inlineStr">
        <is>
          <t>no</t>
        </is>
      </c>
      <c r="M143" s="3" t="n">
        <v>0</v>
      </c>
      <c r="N143" s="3" t="inlineStr">
        <is>
          <t>mas es mas presion</t>
        </is>
      </c>
      <c r="O143" s="3" t="n">
        <v>-0.1041252390053246</v>
      </c>
      <c r="P143" s="3" t="n"/>
      <c r="Q143" s="3" t="n"/>
      <c r="R143" s="3" t="inlineStr">
        <is>
          <t>C4</t>
        </is>
      </c>
      <c r="S143" s="3" t="inlineStr">
        <is>
          <t>output/v8/M7/resumen_multiverso.csv</t>
        </is>
      </c>
    </row>
    <row r="144">
      <c r="A144" s="3" t="inlineStr">
        <is>
          <t>compra</t>
        </is>
      </c>
      <c r="B144" s="3" t="inlineStr">
        <is>
          <t>P1</t>
        </is>
      </c>
      <c r="C144" s="3" t="inlineStr">
        <is>
          <t>credito_tipos</t>
        </is>
      </c>
      <c r="D144" s="3" t="inlineStr">
        <is>
          <t>tipo_hip_real</t>
        </is>
      </c>
      <c r="E144" s="3" t="n">
        <v>96</v>
      </c>
      <c r="F144" s="3" t="n">
        <v>0.9583333333333334</v>
      </c>
      <c r="G144" s="3" t="inlineStr">
        <is>
          <t>positivo</t>
        </is>
      </c>
      <c r="H144" s="3" t="n">
        <v>0.65625</v>
      </c>
      <c r="I144" s="3" t="n">
        <v>-0.4613562970340258</v>
      </c>
      <c r="J144" s="3" t="n">
        <v>-1.004909650555237</v>
      </c>
      <c r="K144" s="3" t="n">
        <v>-0.1045954540275017</v>
      </c>
      <c r="L144" s="3" t="inlineStr">
        <is>
          <t>sí</t>
        </is>
      </c>
      <c r="M144" s="3" t="n">
        <v>0</v>
      </c>
      <c r="N144" s="3" t="inlineStr">
        <is>
          <t>tipo x-1</t>
        </is>
      </c>
      <c r="O144" s="3" t="n">
        <v>0.4613562970340258</v>
      </c>
      <c r="P144" s="3" t="inlineStr">
        <is>
          <t>principal</t>
        </is>
      </c>
      <c r="Q144" s="3" t="n"/>
      <c r="R144" s="3" t="inlineStr">
        <is>
          <t>C4</t>
        </is>
      </c>
      <c r="S144" s="3" t="inlineStr">
        <is>
          <t>output/v8/M7/resumen_multiverso.csv</t>
        </is>
      </c>
    </row>
    <row r="145">
      <c r="A145" s="3" t="inlineStr">
        <is>
          <t>compra</t>
        </is>
      </c>
      <c r="B145" s="3" t="inlineStr">
        <is>
          <t>P1</t>
        </is>
      </c>
      <c r="C145" s="3" t="inlineStr">
        <is>
          <t>demografia</t>
        </is>
      </c>
      <c r="D145" s="3" t="inlineStr">
        <is>
          <t>TODAS</t>
        </is>
      </c>
      <c r="E145" s="3" t="n">
        <v>96</v>
      </c>
      <c r="F145" s="3" t="n">
        <v>0.5</v>
      </c>
      <c r="G145" s="3" t="inlineStr">
        <is>
          <t>positivo</t>
        </is>
      </c>
      <c r="H145" s="3" t="n">
        <v>0.1354166666666666</v>
      </c>
      <c r="I145" s="3" t="n">
        <v>0.0736272343739052</v>
      </c>
      <c r="J145" s="3" t="n">
        <v>-0.4344547031814844</v>
      </c>
      <c r="K145" s="3" t="n">
        <v>0.6896217633216425</v>
      </c>
      <c r="L145" s="3" t="inlineStr">
        <is>
          <t>no</t>
        </is>
      </c>
      <c r="M145" s="3" t="n">
        <v>0.5</v>
      </c>
      <c r="N145" s="3" t="inlineStr">
        <is>
          <t>mas es mas presion</t>
        </is>
      </c>
      <c r="O145" s="3" t="n">
        <v>0.0736272343739052</v>
      </c>
      <c r="P145" s="3" t="inlineStr">
        <is>
          <t>pob_total</t>
        </is>
      </c>
      <c r="Q145" s="3" t="inlineStr">
        <is>
          <t>no</t>
        </is>
      </c>
      <c r="R145" s="3" t="inlineStr">
        <is>
          <t>C4</t>
        </is>
      </c>
      <c r="S145" s="3" t="inlineStr">
        <is>
          <t>output/v8/M7/resumen_multiverso.csv</t>
        </is>
      </c>
    </row>
    <row r="146">
      <c r="A146" s="3" t="inlineStr">
        <is>
          <t>compra</t>
        </is>
      </c>
      <c r="B146" s="3" t="inlineStr">
        <is>
          <t>P1</t>
        </is>
      </c>
      <c r="C146" s="3" t="inlineStr">
        <is>
          <t>demografia</t>
        </is>
      </c>
      <c r="D146" s="3" t="inlineStr">
        <is>
          <t>pob_total</t>
        </is>
      </c>
      <c r="E146" s="3" t="n">
        <v>96</v>
      </c>
      <c r="F146" s="3" t="n">
        <v>0.5</v>
      </c>
      <c r="G146" s="3" t="inlineStr">
        <is>
          <t>positivo</t>
        </is>
      </c>
      <c r="H146" s="3" t="n">
        <v>0.1354166666666666</v>
      </c>
      <c r="I146" s="3" t="n">
        <v>0.0736272343739052</v>
      </c>
      <c r="J146" s="3" t="n">
        <v>-0.4344547031814844</v>
      </c>
      <c r="K146" s="3" t="n">
        <v>0.6896217633216425</v>
      </c>
      <c r="L146" s="3" t="inlineStr">
        <is>
          <t>no</t>
        </is>
      </c>
      <c r="M146" s="3" t="n">
        <v>0.5</v>
      </c>
      <c r="N146" s="3" t="inlineStr">
        <is>
          <t>mas es mas presion</t>
        </is>
      </c>
      <c r="O146" s="3" t="n">
        <v>0.0736272343739052</v>
      </c>
      <c r="P146" s="3" t="inlineStr">
        <is>
          <t>principal</t>
        </is>
      </c>
      <c r="Q146" s="3" t="n"/>
      <c r="R146" s="3" t="inlineStr">
        <is>
          <t>C4</t>
        </is>
      </c>
      <c r="S146" s="3" t="inlineStr">
        <is>
          <t>output/v8/M7/resumen_multiverso.csv</t>
        </is>
      </c>
    </row>
    <row r="147">
      <c r="A147" s="3" t="inlineStr">
        <is>
          <t>compra</t>
        </is>
      </c>
      <c r="B147" s="3" t="inlineStr">
        <is>
          <t>P1</t>
        </is>
      </c>
      <c r="C147" s="3" t="inlineStr">
        <is>
          <t>empleo_renta</t>
        </is>
      </c>
      <c r="D147" s="3" t="inlineStr">
        <is>
          <t>TODAS</t>
        </is>
      </c>
      <c r="E147" s="3" t="n">
        <v>96</v>
      </c>
      <c r="F147" s="3" t="n">
        <v>0.875</v>
      </c>
      <c r="G147" s="3" t="inlineStr">
        <is>
          <t>negativo</t>
        </is>
      </c>
      <c r="H147" s="3" t="n">
        <v>0.03125</v>
      </c>
      <c r="I147" s="3" t="n">
        <v>-0.1492716386880575</v>
      </c>
      <c r="J147" s="3" t="n">
        <v>-0.3005117825542661</v>
      </c>
      <c r="K147" s="3" t="n">
        <v>0.2927544068230938</v>
      </c>
      <c r="L147" s="3" t="inlineStr">
        <is>
          <t>no</t>
        </is>
      </c>
      <c r="M147" s="3" t="n">
        <v>0</v>
      </c>
      <c r="N147" s="3" t="inlineStr">
        <is>
          <t>mas es mas presion</t>
        </is>
      </c>
      <c r="O147" s="3" t="n">
        <v>-0.1492716386880575</v>
      </c>
      <c r="P147" s="3" t="inlineStr">
        <is>
          <t>pib_vol</t>
        </is>
      </c>
      <c r="Q147" s="3" t="inlineStr">
        <is>
          <t>no</t>
        </is>
      </c>
      <c r="R147" s="3" t="inlineStr">
        <is>
          <t>C4</t>
        </is>
      </c>
      <c r="S147" s="3" t="inlineStr">
        <is>
          <t>output/v8/M7/resumen_multiverso.csv</t>
        </is>
      </c>
    </row>
    <row r="148">
      <c r="A148" s="3" t="inlineStr">
        <is>
          <t>compra</t>
        </is>
      </c>
      <c r="B148" s="3" t="inlineStr">
        <is>
          <t>P1</t>
        </is>
      </c>
      <c r="C148" s="3" t="inlineStr">
        <is>
          <t>empleo_renta</t>
        </is>
      </c>
      <c r="D148" s="3" t="inlineStr">
        <is>
          <t>pib_vol</t>
        </is>
      </c>
      <c r="E148" s="3" t="n">
        <v>96</v>
      </c>
      <c r="F148" s="3" t="n">
        <v>0.875</v>
      </c>
      <c r="G148" s="3" t="inlineStr">
        <is>
          <t>negativo</t>
        </is>
      </c>
      <c r="H148" s="3" t="n">
        <v>0.03125</v>
      </c>
      <c r="I148" s="3" t="n">
        <v>-0.1492716386880575</v>
      </c>
      <c r="J148" s="3" t="n">
        <v>-0.3005117825542661</v>
      </c>
      <c r="K148" s="3" t="n">
        <v>0.2927544068230938</v>
      </c>
      <c r="L148" s="3" t="inlineStr">
        <is>
          <t>no</t>
        </is>
      </c>
      <c r="M148" s="3" t="n">
        <v>0</v>
      </c>
      <c r="N148" s="3" t="inlineStr">
        <is>
          <t>mas es mas presion</t>
        </is>
      </c>
      <c r="O148" s="3" t="n">
        <v>-0.1492716386880575</v>
      </c>
      <c r="P148" s="3" t="inlineStr">
        <is>
          <t>principal</t>
        </is>
      </c>
      <c r="Q148" s="3" t="n"/>
      <c r="R148" s="3" t="inlineStr">
        <is>
          <t>C4</t>
        </is>
      </c>
      <c r="S148" s="3" t="inlineStr">
        <is>
          <t>output/v8/M7/resumen_multiverso.csv</t>
        </is>
      </c>
    </row>
    <row r="149">
      <c r="A149" s="3" t="inlineStr">
        <is>
          <t>compra</t>
        </is>
      </c>
      <c r="B149" s="3" t="inlineStr">
        <is>
          <t>P1</t>
        </is>
      </c>
      <c r="C149" s="3" t="inlineStr">
        <is>
          <t>factor_europeo</t>
        </is>
      </c>
      <c r="D149" s="3" t="inlineStr">
        <is>
          <t>TODAS</t>
        </is>
      </c>
      <c r="E149" s="3" t="n">
        <v>48</v>
      </c>
      <c r="F149" s="3" t="n">
        <v>1</v>
      </c>
      <c r="G149" s="3" t="inlineStr">
        <is>
          <t>positivo</t>
        </is>
      </c>
      <c r="H149" s="3" t="n">
        <v>0.1875</v>
      </c>
      <c r="I149" s="3" t="n">
        <v>0.2628496515676882</v>
      </c>
      <c r="J149" s="3" t="n">
        <v>0.1209649029779297</v>
      </c>
      <c r="K149" s="3" t="n">
        <v>0.3359385110051885</v>
      </c>
      <c r="L149" s="3" t="inlineStr">
        <is>
          <t>no</t>
        </is>
      </c>
      <c r="M149" s="3" t="n">
        <v>0</v>
      </c>
      <c r="N149" s="3" t="inlineStr">
        <is>
          <t>mas es mas presion</t>
        </is>
      </c>
      <c r="O149" s="3" t="n">
        <v>0.2628496515676882</v>
      </c>
      <c r="P149" s="3" t="inlineStr">
        <is>
          <t>jk_mp</t>
        </is>
      </c>
      <c r="Q149" s="3" t="inlineStr">
        <is>
          <t>no</t>
        </is>
      </c>
      <c r="R149" s="3" t="inlineStr">
        <is>
          <t>C4</t>
        </is>
      </c>
      <c r="S149" s="3" t="inlineStr">
        <is>
          <t>output/v8/M7/resumen_multiverso.csv</t>
        </is>
      </c>
    </row>
    <row r="150">
      <c r="A150" s="3" t="inlineStr">
        <is>
          <t>compra</t>
        </is>
      </c>
      <c r="B150" s="3" t="inlineStr">
        <is>
          <t>P1</t>
        </is>
      </c>
      <c r="C150" s="3" t="inlineStr">
        <is>
          <t>factor_europeo</t>
        </is>
      </c>
      <c r="D150" s="3" t="inlineStr">
        <is>
          <t>jk_mp</t>
        </is>
      </c>
      <c r="E150" s="3" t="n">
        <v>48</v>
      </c>
      <c r="F150" s="3" t="n">
        <v>1</v>
      </c>
      <c r="G150" s="3" t="inlineStr">
        <is>
          <t>positivo</t>
        </is>
      </c>
      <c r="H150" s="3" t="n">
        <v>0.1875</v>
      </c>
      <c r="I150" s="3" t="n">
        <v>0.2628496515676882</v>
      </c>
      <c r="J150" s="3" t="n">
        <v>0.1209649029779297</v>
      </c>
      <c r="K150" s="3" t="n">
        <v>0.3359385110051885</v>
      </c>
      <c r="L150" s="3" t="inlineStr">
        <is>
          <t>no</t>
        </is>
      </c>
      <c r="M150" s="3" t="n">
        <v>0</v>
      </c>
      <c r="N150" s="3" t="inlineStr">
        <is>
          <t>mas es mas presion</t>
        </is>
      </c>
      <c r="O150" s="3" t="n">
        <v>0.2628496515676882</v>
      </c>
      <c r="P150" s="3" t="inlineStr">
        <is>
          <t>principal</t>
        </is>
      </c>
      <c r="Q150" s="3" t="n"/>
      <c r="R150" s="3" t="inlineStr">
        <is>
          <t>C4</t>
        </is>
      </c>
      <c r="S150" s="3" t="inlineStr">
        <is>
          <t>output/v8/M7/resumen_multiverso.csv</t>
        </is>
      </c>
    </row>
    <row r="151">
      <c r="A151" s="3" t="inlineStr">
        <is>
          <t>compra</t>
        </is>
      </c>
      <c r="B151" s="3" t="inlineStr">
        <is>
          <t>P1</t>
        </is>
      </c>
      <c r="C151" s="3" t="inlineStr">
        <is>
          <t>oferta</t>
        </is>
      </c>
      <c r="D151" s="3" t="inlineStr">
        <is>
          <t>TODAS</t>
        </is>
      </c>
      <c r="E151" s="3" t="n">
        <v>252</v>
      </c>
      <c r="F151" s="3" t="n">
        <v>0.5952380952380952</v>
      </c>
      <c r="G151" s="3" t="inlineStr">
        <is>
          <t>positivo</t>
        </is>
      </c>
      <c r="H151" s="3" t="n">
        <v>0.2222222222222222</v>
      </c>
      <c r="I151" s="3" t="n">
        <v>0.1169131218201789</v>
      </c>
      <c r="J151" s="3" t="n">
        <v>-0.453479588513422</v>
      </c>
      <c r="K151" s="3" t="n">
        <v>0.461363664619929</v>
      </c>
      <c r="L151" s="3" t="inlineStr">
        <is>
          <t>no</t>
        </is>
      </c>
      <c r="M151" s="3" t="n">
        <v>0.6666666666666666</v>
      </c>
      <c r="N151" s="3" t="inlineStr">
        <is>
          <t>mas es mas presion</t>
        </is>
      </c>
      <c r="O151" s="3" t="n">
        <v>0.1169131218201789</v>
      </c>
      <c r="P151" s="3" t="inlineStr">
        <is>
          <t>costes_constr</t>
        </is>
      </c>
      <c r="Q151" s="3" t="inlineStr">
        <is>
          <t>no</t>
        </is>
      </c>
      <c r="R151" s="3" t="inlineStr">
        <is>
          <t>C4</t>
        </is>
      </c>
      <c r="S151" s="3" t="inlineStr">
        <is>
          <t>output/v8/M7/resumen_multiverso.csv</t>
        </is>
      </c>
    </row>
    <row r="152">
      <c r="A152" s="3" t="inlineStr">
        <is>
          <t>compra</t>
        </is>
      </c>
      <c r="B152" s="3" t="inlineStr">
        <is>
          <t>P1</t>
        </is>
      </c>
      <c r="C152" s="3" t="inlineStr">
        <is>
          <t>oferta</t>
        </is>
      </c>
      <c r="D152" s="3" t="inlineStr">
        <is>
          <t>costes_constr</t>
        </is>
      </c>
      <c r="E152" s="3" t="n">
        <v>84</v>
      </c>
      <c r="F152" s="3" t="n">
        <v>0.6666666666666666</v>
      </c>
      <c r="G152" s="3" t="inlineStr">
        <is>
          <t>negativo</t>
        </is>
      </c>
      <c r="H152" s="3" t="n">
        <v>0.1904761904761904</v>
      </c>
      <c r="I152" s="3" t="n">
        <v>-0.09999217607914621</v>
      </c>
      <c r="J152" s="3" t="n">
        <v>-0.5065125200560487</v>
      </c>
      <c r="K152" s="3" t="n">
        <v>0.3840849052685241</v>
      </c>
      <c r="L152" s="3" t="inlineStr">
        <is>
          <t>no</t>
        </is>
      </c>
      <c r="M152" s="3" t="n">
        <v>0</v>
      </c>
      <c r="N152" s="3" t="inlineStr">
        <is>
          <t>mas es mas presion</t>
        </is>
      </c>
      <c r="O152" s="3" t="n">
        <v>-0.09999217607914621</v>
      </c>
      <c r="P152" s="3" t="inlineStr">
        <is>
          <t>principal</t>
        </is>
      </c>
      <c r="Q152" s="3" t="n"/>
      <c r="R152" s="3" t="inlineStr">
        <is>
          <t>C4</t>
        </is>
      </c>
      <c r="S152" s="3" t="inlineStr">
        <is>
          <t>output/v8/M7/resumen_multiverso.csv</t>
        </is>
      </c>
    </row>
    <row r="153">
      <c r="A153" s="3" t="inlineStr">
        <is>
          <t>compra</t>
        </is>
      </c>
      <c r="B153" s="3" t="inlineStr">
        <is>
          <t>P1</t>
        </is>
      </c>
      <c r="C153" s="3" t="inlineStr">
        <is>
          <t>oferta</t>
        </is>
      </c>
      <c r="D153" s="3" t="inlineStr">
        <is>
          <t>terminadas</t>
        </is>
      </c>
      <c r="E153" s="3" t="n">
        <v>84</v>
      </c>
      <c r="F153" s="3" t="n">
        <v>0.5238095238095238</v>
      </c>
      <c r="G153" s="3" t="inlineStr">
        <is>
          <t>positivo</t>
        </is>
      </c>
      <c r="H153" s="3" t="n">
        <v>0.1428571428571428</v>
      </c>
      <c r="I153" s="3" t="n">
        <v>0.0440484754933954</v>
      </c>
      <c r="J153" s="3" t="n">
        <v>-0.4176355206337448</v>
      </c>
      <c r="K153" s="3" t="n">
        <v>0.3749343372995491</v>
      </c>
      <c r="L153" s="3" t="inlineStr">
        <is>
          <t>no</t>
        </is>
      </c>
      <c r="M153" s="3" t="n">
        <v>1</v>
      </c>
      <c r="N153" s="3" t="inlineStr">
        <is>
          <t>mas es mas presion</t>
        </is>
      </c>
      <c r="O153" s="3" t="n">
        <v>0.0440484754933954</v>
      </c>
      <c r="P153" s="3" t="n"/>
      <c r="Q153" s="3" t="n"/>
      <c r="R153" s="3" t="inlineStr">
        <is>
          <t>C4</t>
        </is>
      </c>
      <c r="S153" s="3" t="inlineStr">
        <is>
          <t>output/v8/M7/resumen_multiverso.csv</t>
        </is>
      </c>
    </row>
    <row r="154">
      <c r="A154" s="3" t="inlineStr">
        <is>
          <t>compra</t>
        </is>
      </c>
      <c r="B154" s="3" t="inlineStr">
        <is>
          <t>P1</t>
        </is>
      </c>
      <c r="C154" s="3" t="inlineStr">
        <is>
          <t>oferta</t>
        </is>
      </c>
      <c r="D154" s="3" t="inlineStr">
        <is>
          <t>visados</t>
        </is>
      </c>
      <c r="E154" s="3" t="n">
        <v>84</v>
      </c>
      <c r="F154" s="3" t="n">
        <v>0.9285714285714286</v>
      </c>
      <c r="G154" s="3" t="inlineStr">
        <is>
          <t>positivo</t>
        </is>
      </c>
      <c r="H154" s="3" t="n">
        <v>0.3928571428571428</v>
      </c>
      <c r="I154" s="3" t="n">
        <v>0.2616072501982316</v>
      </c>
      <c r="J154" s="3" t="n">
        <v>-0.0018682213323536</v>
      </c>
      <c r="K154" s="3" t="n">
        <v>0.4839612607237008</v>
      </c>
      <c r="L154" s="3" t="inlineStr">
        <is>
          <t>no</t>
        </is>
      </c>
      <c r="M154" s="3" t="n">
        <v>1</v>
      </c>
      <c r="N154" s="3" t="inlineStr">
        <is>
          <t>mas es mas presion</t>
        </is>
      </c>
      <c r="O154" s="3" t="n">
        <v>0.2616072501982316</v>
      </c>
      <c r="P154" s="3" t="n"/>
      <c r="Q154" s="3" t="n"/>
      <c r="R154" s="3" t="inlineStr">
        <is>
          <t>C4</t>
        </is>
      </c>
      <c r="S154" s="3" t="inlineStr">
        <is>
          <t>output/v8/M7/resumen_multiverso.csv</t>
        </is>
      </c>
    </row>
    <row r="155">
      <c r="A155" s="3" t="inlineStr">
        <is>
          <t>compra</t>
        </is>
      </c>
      <c r="B155" s="3" t="inlineStr">
        <is>
          <t>P2</t>
        </is>
      </c>
      <c r="C155" s="3" t="inlineStr">
        <is>
          <t>credito_tipos</t>
        </is>
      </c>
      <c r="D155" s="3" t="inlineStr">
        <is>
          <t>TODAS</t>
        </is>
      </c>
      <c r="E155" s="3" t="n">
        <v>576</v>
      </c>
      <c r="F155" s="3" t="n">
        <v>0.6597222222222222</v>
      </c>
      <c r="G155" s="3" t="inlineStr">
        <is>
          <t>positivo</t>
        </is>
      </c>
      <c r="H155" s="3" t="n">
        <v>0.2430555555555555</v>
      </c>
      <c r="I155" s="3" t="n">
        <v>0.3284194833785001</v>
      </c>
      <c r="J155" s="3" t="n">
        <v>-0.5140895737772797</v>
      </c>
      <c r="K155" s="3" t="n">
        <v>1.177609165398919</v>
      </c>
      <c r="L155" s="3" t="inlineStr">
        <is>
          <t>no</t>
        </is>
      </c>
      <c r="M155" s="3" t="n">
        <v>0</v>
      </c>
      <c r="N155" s="3" t="inlineStr">
        <is>
          <t>mixta</t>
        </is>
      </c>
      <c r="O155" s="3" t="n">
        <v>0.2810201271552274</v>
      </c>
      <c r="P155" s="3" t="inlineStr">
        <is>
          <t>tipo_hip_real</t>
        </is>
      </c>
      <c r="Q155" s="3" t="inlineStr">
        <is>
          <t>no</t>
        </is>
      </c>
      <c r="R155" s="3" t="inlineStr">
        <is>
          <t>C4</t>
        </is>
      </c>
      <c r="S155" s="3" t="inlineStr">
        <is>
          <t>output/v8/M7/resumen_multiverso.csv</t>
        </is>
      </c>
    </row>
    <row r="156">
      <c r="A156" s="3" t="inlineStr">
        <is>
          <t>compra</t>
        </is>
      </c>
      <c r="B156" s="3" t="inlineStr">
        <is>
          <t>P2</t>
        </is>
      </c>
      <c r="C156" s="3" t="inlineStr">
        <is>
          <t>credito_tipos</t>
        </is>
      </c>
      <c r="D156" s="3" t="inlineStr">
        <is>
          <t>credito_nuevo_real</t>
        </is>
      </c>
      <c r="E156" s="3" t="n">
        <v>192</v>
      </c>
      <c r="F156" s="3" t="n">
        <v>0.78125</v>
      </c>
      <c r="G156" s="3" t="inlineStr">
        <is>
          <t>positivo</t>
        </is>
      </c>
      <c r="H156" s="3" t="n">
        <v>0.2447916666666666</v>
      </c>
      <c r="I156" s="3" t="n">
        <v>0.3180641348447446</v>
      </c>
      <c r="J156" s="3" t="n">
        <v>-0.4835224500093217</v>
      </c>
      <c r="K156" s="3" t="n">
        <v>0.894065533949274</v>
      </c>
      <c r="L156" s="3" t="inlineStr">
        <is>
          <t>no</t>
        </is>
      </c>
      <c r="M156" s="3" t="n">
        <v>0</v>
      </c>
      <c r="N156" s="3" t="inlineStr">
        <is>
          <t>mas es mas presion</t>
        </is>
      </c>
      <c r="O156" s="3" t="n">
        <v>0.3180641348447446</v>
      </c>
      <c r="P156" s="3" t="n"/>
      <c r="Q156" s="3" t="n"/>
      <c r="R156" s="3" t="inlineStr">
        <is>
          <t>C4</t>
        </is>
      </c>
      <c r="S156" s="3" t="inlineStr">
        <is>
          <t>output/v8/M7/resumen_multiverso.csv</t>
        </is>
      </c>
    </row>
    <row r="157">
      <c r="A157" s="3" t="inlineStr">
        <is>
          <t>compra</t>
        </is>
      </c>
      <c r="B157" s="3" t="inlineStr">
        <is>
          <t>P2</t>
        </is>
      </c>
      <c r="C157" s="3" t="inlineStr">
        <is>
          <t>credito_tipos</t>
        </is>
      </c>
      <c r="D157" s="3" t="inlineStr">
        <is>
          <t>credito_stock_real</t>
        </is>
      </c>
      <c r="E157" s="3" t="n">
        <v>192</v>
      </c>
      <c r="F157" s="3" t="n">
        <v>0.8333333333333334</v>
      </c>
      <c r="G157" s="3" t="inlineStr">
        <is>
          <t>positivo</t>
        </is>
      </c>
      <c r="H157" s="3" t="n">
        <v>0.3541666666666667</v>
      </c>
      <c r="I157" s="3" t="n">
        <v>0.5097456795093498</v>
      </c>
      <c r="J157" s="3" t="n">
        <v>-0.4381577902017667</v>
      </c>
      <c r="K157" s="3" t="n">
        <v>1.740871147016978</v>
      </c>
      <c r="L157" s="3" t="inlineStr">
        <is>
          <t>no</t>
        </is>
      </c>
      <c r="M157" s="3" t="n">
        <v>0</v>
      </c>
      <c r="N157" s="3" t="inlineStr">
        <is>
          <t>mas es mas presion</t>
        </is>
      </c>
      <c r="O157" s="3" t="n">
        <v>0.5097456795093498</v>
      </c>
      <c r="P157" s="3" t="n"/>
      <c r="Q157" s="3" t="n"/>
      <c r="R157" s="3" t="inlineStr">
        <is>
          <t>C4</t>
        </is>
      </c>
      <c r="S157" s="3" t="inlineStr">
        <is>
          <t>output/v8/M7/resumen_multiverso.csv</t>
        </is>
      </c>
    </row>
    <row r="158">
      <c r="A158" s="3" t="inlineStr">
        <is>
          <t>compra</t>
        </is>
      </c>
      <c r="B158" s="3" t="inlineStr">
        <is>
          <t>P2</t>
        </is>
      </c>
      <c r="C158" s="3" t="inlineStr">
        <is>
          <t>credito_tipos</t>
        </is>
      </c>
      <c r="D158" s="3" t="inlineStr">
        <is>
          <t>tipo_hip_real</t>
        </is>
      </c>
      <c r="E158" s="3" t="n">
        <v>192</v>
      </c>
      <c r="F158" s="3" t="n">
        <v>0.6354166666666666</v>
      </c>
      <c r="G158" s="3" t="inlineStr">
        <is>
          <t>negativo</t>
        </is>
      </c>
      <c r="H158" s="3" t="n">
        <v>0.265625</v>
      </c>
      <c r="I158" s="3" t="n">
        <v>0.2279880987236787</v>
      </c>
      <c r="J158" s="3" t="n">
        <v>-0.5532359066143158</v>
      </c>
      <c r="K158" s="3" t="n">
        <v>0.8137933572055064</v>
      </c>
      <c r="L158" s="3" t="inlineStr">
        <is>
          <t>no</t>
        </is>
      </c>
      <c r="M158" s="3" t="n">
        <v>0</v>
      </c>
      <c r="N158" s="3" t="inlineStr">
        <is>
          <t>tipo x-1</t>
        </is>
      </c>
      <c r="O158" s="3" t="n">
        <v>-0.2279880987236787</v>
      </c>
      <c r="P158" s="3" t="inlineStr">
        <is>
          <t>principal</t>
        </is>
      </c>
      <c r="Q158" s="3" t="n"/>
      <c r="R158" s="3" t="inlineStr">
        <is>
          <t>C4</t>
        </is>
      </c>
      <c r="S158" s="3" t="inlineStr">
        <is>
          <t>output/v8/M7/resumen_multiverso.csv</t>
        </is>
      </c>
    </row>
    <row r="159">
      <c r="A159" s="3" t="inlineStr">
        <is>
          <t>compra</t>
        </is>
      </c>
      <c r="B159" s="3" t="inlineStr">
        <is>
          <t>P2</t>
        </is>
      </c>
      <c r="C159" s="3" t="inlineStr">
        <is>
          <t>demanda_externa</t>
        </is>
      </c>
      <c r="D159" s="3" t="inlineStr">
        <is>
          <t>TODAS</t>
        </is>
      </c>
      <c r="E159" s="3" t="n">
        <v>384</v>
      </c>
      <c r="F159" s="3" t="n">
        <v>0.5260416666666666</v>
      </c>
      <c r="G159" s="3" t="inlineStr">
        <is>
          <t>negativo</t>
        </is>
      </c>
      <c r="H159" s="3" t="n">
        <v>0.1614583333333333</v>
      </c>
      <c r="I159" s="3" t="n">
        <v>-0.0373956695671563</v>
      </c>
      <c r="J159" s="3" t="n">
        <v>-0.582748644737484</v>
      </c>
      <c r="K159" s="3" t="n">
        <v>0.6043123008274733</v>
      </c>
      <c r="L159" s="3" t="inlineStr">
        <is>
          <t>no</t>
        </is>
      </c>
      <c r="M159" s="3" t="n">
        <v>0</v>
      </c>
      <c r="N159" s="3" t="inlineStr">
        <is>
          <t>mas es mas presion</t>
        </is>
      </c>
      <c r="O159" s="3" t="n">
        <v>-0.0373956695671563</v>
      </c>
      <c r="P159" s="3" t="inlineStr">
        <is>
          <t>tx_extranj</t>
        </is>
      </c>
      <c r="Q159" s="3" t="inlineStr">
        <is>
          <t>no</t>
        </is>
      </c>
      <c r="R159" s="3" t="inlineStr">
        <is>
          <t>C4</t>
        </is>
      </c>
      <c r="S159" s="3" t="inlineStr">
        <is>
          <t>output/v8/M7/resumen_multiverso.csv</t>
        </is>
      </c>
    </row>
    <row r="160">
      <c r="A160" s="3" t="inlineStr">
        <is>
          <t>compra</t>
        </is>
      </c>
      <c r="B160" s="3" t="inlineStr">
        <is>
          <t>P2</t>
        </is>
      </c>
      <c r="C160" s="3" t="inlineStr">
        <is>
          <t>demanda_externa</t>
        </is>
      </c>
      <c r="D160" s="3" t="inlineStr">
        <is>
          <t>cuota_extranj</t>
        </is>
      </c>
      <c r="E160" s="3" t="n">
        <v>192</v>
      </c>
      <c r="F160" s="3" t="n">
        <v>0.5729166666666666</v>
      </c>
      <c r="G160" s="3" t="inlineStr">
        <is>
          <t>negativo</t>
        </is>
      </c>
      <c r="H160" s="3" t="n">
        <v>0.1822916666666666</v>
      </c>
      <c r="I160" s="3" t="n">
        <v>-0.0694747425461303</v>
      </c>
      <c r="J160" s="3" t="n">
        <v>-0.6292978064680235</v>
      </c>
      <c r="K160" s="3" t="n">
        <v>0.4845226937969514</v>
      </c>
      <c r="L160" s="3" t="inlineStr">
        <is>
          <t>no</t>
        </is>
      </c>
      <c r="M160" s="3" t="n">
        <v>0</v>
      </c>
      <c r="N160" s="3" t="inlineStr">
        <is>
          <t>mas es mas presion</t>
        </is>
      </c>
      <c r="O160" s="3" t="n">
        <v>-0.0694747425461303</v>
      </c>
      <c r="P160" s="3" t="n"/>
      <c r="Q160" s="3" t="n"/>
      <c r="R160" s="3" t="inlineStr">
        <is>
          <t>C4</t>
        </is>
      </c>
      <c r="S160" s="3" t="inlineStr">
        <is>
          <t>output/v8/M7/resumen_multiverso.csv</t>
        </is>
      </c>
    </row>
    <row r="161">
      <c r="A161" s="3" t="inlineStr">
        <is>
          <t>compra</t>
        </is>
      </c>
      <c r="B161" s="3" t="inlineStr">
        <is>
          <t>P2</t>
        </is>
      </c>
      <c r="C161" s="3" t="inlineStr">
        <is>
          <t>demanda_externa</t>
        </is>
      </c>
      <c r="D161" s="3" t="inlineStr">
        <is>
          <t>tx_extranj</t>
        </is>
      </c>
      <c r="E161" s="3" t="n">
        <v>192</v>
      </c>
      <c r="F161" s="3" t="n">
        <v>0.5208333333333334</v>
      </c>
      <c r="G161" s="3" t="inlineStr">
        <is>
          <t>positivo</t>
        </is>
      </c>
      <c r="H161" s="3" t="n">
        <v>0.1927083333333333</v>
      </c>
      <c r="I161" s="3" t="n">
        <v>0.0306840589926087</v>
      </c>
      <c r="J161" s="3" t="n">
        <v>-0.5367771045740382</v>
      </c>
      <c r="K161" s="3" t="n">
        <v>0.6477824109474786</v>
      </c>
      <c r="L161" s="3" t="inlineStr">
        <is>
          <t>no</t>
        </is>
      </c>
      <c r="M161" s="3" t="n">
        <v>0</v>
      </c>
      <c r="N161" s="3" t="inlineStr">
        <is>
          <t>mas es mas presion</t>
        </is>
      </c>
      <c r="O161" s="3" t="n">
        <v>0.0306840589926087</v>
      </c>
      <c r="P161" s="3" t="inlineStr">
        <is>
          <t>principal</t>
        </is>
      </c>
      <c r="Q161" s="3" t="n"/>
      <c r="R161" s="3" t="inlineStr">
        <is>
          <t>C4</t>
        </is>
      </c>
      <c r="S161" s="3" t="inlineStr">
        <is>
          <t>output/v8/M7/resumen_multiverso.csv</t>
        </is>
      </c>
    </row>
    <row r="162">
      <c r="A162" s="3" t="inlineStr">
        <is>
          <t>compra</t>
        </is>
      </c>
      <c r="B162" s="3" t="inlineStr">
        <is>
          <t>P2</t>
        </is>
      </c>
      <c r="C162" s="3" t="inlineStr">
        <is>
          <t>demografia</t>
        </is>
      </c>
      <c r="D162" s="3" t="inlineStr">
        <is>
          <t>TODAS</t>
        </is>
      </c>
      <c r="E162" s="3" t="n">
        <v>576</v>
      </c>
      <c r="F162" s="3" t="n">
        <v>0.7673611111111112</v>
      </c>
      <c r="G162" s="3" t="inlineStr">
        <is>
          <t>positivo</t>
        </is>
      </c>
      <c r="H162" s="3" t="n">
        <v>0.1215277777777777</v>
      </c>
      <c r="I162" s="3" t="n">
        <v>0.1480268505880923</v>
      </c>
      <c r="J162" s="3" t="n">
        <v>-0.211067730120173</v>
      </c>
      <c r="K162" s="3" t="n">
        <v>0.7079235979709588</v>
      </c>
      <c r="L162" s="3" t="inlineStr">
        <is>
          <t>no</t>
        </is>
      </c>
      <c r="M162" s="3" t="n">
        <v>0.3333333333333333</v>
      </c>
      <c r="N162" s="3" t="inlineStr">
        <is>
          <t>mas es mas presion</t>
        </is>
      </c>
      <c r="O162" s="3" t="n">
        <v>0.1480268505880923</v>
      </c>
      <c r="P162" s="3" t="inlineStr">
        <is>
          <t>pob_total</t>
        </is>
      </c>
      <c r="Q162" s="3" t="inlineStr">
        <is>
          <t>no</t>
        </is>
      </c>
      <c r="R162" s="3" t="inlineStr">
        <is>
          <t>C4</t>
        </is>
      </c>
      <c r="S162" s="3" t="inlineStr">
        <is>
          <t>output/v8/M7/resumen_multiverso.csv</t>
        </is>
      </c>
    </row>
    <row r="163">
      <c r="A163" s="3" t="inlineStr">
        <is>
          <t>compra</t>
        </is>
      </c>
      <c r="B163" s="3" t="inlineStr">
        <is>
          <t>P2</t>
        </is>
      </c>
      <c r="C163" s="3" t="inlineStr">
        <is>
          <t>demografia</t>
        </is>
      </c>
      <c r="D163" s="3" t="inlineStr">
        <is>
          <t>hogares_epa</t>
        </is>
      </c>
      <c r="E163" s="3" t="n">
        <v>192</v>
      </c>
      <c r="F163" s="3" t="n">
        <v>0.8125</v>
      </c>
      <c r="G163" s="3" t="inlineStr">
        <is>
          <t>positivo</t>
        </is>
      </c>
      <c r="H163" s="3" t="n">
        <v>0.1302083333333333</v>
      </c>
      <c r="I163" s="3" t="n">
        <v>0.1585691590152903</v>
      </c>
      <c r="J163" s="3" t="n">
        <v>-0.1873446822181454</v>
      </c>
      <c r="K163" s="3" t="n">
        <v>0.5858257997855419</v>
      </c>
      <c r="L163" s="3" t="inlineStr">
        <is>
          <t>no</t>
        </is>
      </c>
      <c r="M163" s="3" t="n">
        <v>0</v>
      </c>
      <c r="N163" s="3" t="inlineStr">
        <is>
          <t>mas es mas presion</t>
        </is>
      </c>
      <c r="O163" s="3" t="n">
        <v>0.1585691590152903</v>
      </c>
      <c r="P163" s="3" t="n"/>
      <c r="Q163" s="3" t="n"/>
      <c r="R163" s="3" t="inlineStr">
        <is>
          <t>C4</t>
        </is>
      </c>
      <c r="S163" s="3" t="inlineStr">
        <is>
          <t>output/v8/M7/resumen_multiverso.csv</t>
        </is>
      </c>
    </row>
    <row r="164">
      <c r="A164" s="3" t="inlineStr">
        <is>
          <t>compra</t>
        </is>
      </c>
      <c r="B164" s="3" t="inlineStr">
        <is>
          <t>P2</t>
        </is>
      </c>
      <c r="C164" s="3" t="inlineStr">
        <is>
          <t>demografia</t>
        </is>
      </c>
      <c r="D164" s="3" t="inlineStr">
        <is>
          <t>pob_extranj_ine</t>
        </is>
      </c>
      <c r="E164" s="3" t="n">
        <v>192</v>
      </c>
      <c r="F164" s="3" t="n">
        <v>0.7604166666666666</v>
      </c>
      <c r="G164" s="3" t="inlineStr">
        <is>
          <t>positivo</t>
        </is>
      </c>
      <c r="H164" s="3" t="n">
        <v>0.109375</v>
      </c>
      <c r="I164" s="3" t="n">
        <v>0.1485965667004676</v>
      </c>
      <c r="J164" s="3" t="n">
        <v>-0.2110070806049424</v>
      </c>
      <c r="K164" s="3" t="n">
        <v>0.7715397543004853</v>
      </c>
      <c r="L164" s="3" t="inlineStr">
        <is>
          <t>no</t>
        </is>
      </c>
      <c r="M164" s="3" t="n">
        <v>0.5</v>
      </c>
      <c r="N164" s="3" t="inlineStr">
        <is>
          <t>mas es mas presion</t>
        </is>
      </c>
      <c r="O164" s="3" t="n">
        <v>0.1485965667004676</v>
      </c>
      <c r="P164" s="3" t="n"/>
      <c r="Q164" s="3" t="n"/>
      <c r="R164" s="3" t="inlineStr">
        <is>
          <t>C4</t>
        </is>
      </c>
      <c r="S164" s="3" t="inlineStr">
        <is>
          <t>output/v8/M7/resumen_multiverso.csv</t>
        </is>
      </c>
    </row>
    <row r="165">
      <c r="A165" s="3" t="inlineStr">
        <is>
          <t>compra</t>
        </is>
      </c>
      <c r="B165" s="3" t="inlineStr">
        <is>
          <t>P2</t>
        </is>
      </c>
      <c r="C165" s="3" t="inlineStr">
        <is>
          <t>demografia</t>
        </is>
      </c>
      <c r="D165" s="3" t="inlineStr">
        <is>
          <t>pob_total</t>
        </is>
      </c>
      <c r="E165" s="3" t="n">
        <v>192</v>
      </c>
      <c r="F165" s="3" t="n">
        <v>0.7291666666666666</v>
      </c>
      <c r="G165" s="3" t="inlineStr">
        <is>
          <t>positivo</t>
        </is>
      </c>
      <c r="H165" s="3" t="n">
        <v>0.125</v>
      </c>
      <c r="I165" s="3" t="n">
        <v>0.1405679225053394</v>
      </c>
      <c r="J165" s="3" t="n">
        <v>-0.2127766176301335</v>
      </c>
      <c r="K165" s="3" t="n">
        <v>0.6606568912170513</v>
      </c>
      <c r="L165" s="3" t="inlineStr">
        <is>
          <t>no</t>
        </is>
      </c>
      <c r="M165" s="3" t="n">
        <v>0.5</v>
      </c>
      <c r="N165" s="3" t="inlineStr">
        <is>
          <t>mas es mas presion</t>
        </is>
      </c>
      <c r="O165" s="3" t="n">
        <v>0.1405679225053394</v>
      </c>
      <c r="P165" s="3" t="inlineStr">
        <is>
          <t>principal</t>
        </is>
      </c>
      <c r="Q165" s="3" t="n"/>
      <c r="R165" s="3" t="inlineStr">
        <is>
          <t>C4</t>
        </is>
      </c>
      <c r="S165" s="3" t="inlineStr">
        <is>
          <t>output/v8/M7/resumen_multiverso.csv</t>
        </is>
      </c>
    </row>
    <row r="166">
      <c r="A166" s="3" t="inlineStr">
        <is>
          <t>compra</t>
        </is>
      </c>
      <c r="B166" s="3" t="inlineStr">
        <is>
          <t>P2</t>
        </is>
      </c>
      <c r="C166" s="3" t="inlineStr">
        <is>
          <t>empleo_renta</t>
        </is>
      </c>
      <c r="D166" s="3" t="inlineStr">
        <is>
          <t>TODAS</t>
        </is>
      </c>
      <c r="E166" s="3" t="n">
        <v>576</v>
      </c>
      <c r="F166" s="3" t="n">
        <v>0.7534722222222222</v>
      </c>
      <c r="G166" s="3" t="inlineStr">
        <is>
          <t>positivo</t>
        </is>
      </c>
      <c r="H166" s="3" t="n">
        <v>0.3055555555555556</v>
      </c>
      <c r="I166" s="3" t="n">
        <v>0.293813582341516</v>
      </c>
      <c r="J166" s="3" t="n">
        <v>-0.5224749641991563</v>
      </c>
      <c r="K166" s="3" t="n">
        <v>0.8046785773866225</v>
      </c>
      <c r="L166" s="3" t="inlineStr">
        <is>
          <t>no</t>
        </is>
      </c>
      <c r="M166" s="3" t="n">
        <v>0</v>
      </c>
      <c r="N166" s="3" t="inlineStr">
        <is>
          <t>mas es mas presion</t>
        </is>
      </c>
      <c r="O166" s="3" t="n">
        <v>0.293813582341516</v>
      </c>
      <c r="P166" s="3" t="inlineStr">
        <is>
          <t>pib_vol</t>
        </is>
      </c>
      <c r="Q166" s="3" t="inlineStr">
        <is>
          <t>no</t>
        </is>
      </c>
      <c r="R166" s="3" t="inlineStr">
        <is>
          <t>C4</t>
        </is>
      </c>
      <c r="S166" s="3" t="inlineStr">
        <is>
          <t>output/v8/M7/resumen_multiverso.csv</t>
        </is>
      </c>
    </row>
    <row r="167">
      <c r="A167" s="3" t="inlineStr">
        <is>
          <t>compra</t>
        </is>
      </c>
      <c r="B167" s="3" t="inlineStr">
        <is>
          <t>P2</t>
        </is>
      </c>
      <c r="C167" s="3" t="inlineStr">
        <is>
          <t>empleo_renta</t>
        </is>
      </c>
      <c r="D167" s="3" t="inlineStr">
        <is>
          <t>ocupados</t>
        </is>
      </c>
      <c r="E167" s="3" t="n">
        <v>192</v>
      </c>
      <c r="F167" s="3" t="n">
        <v>0.6770833333333334</v>
      </c>
      <c r="G167" s="3" t="inlineStr">
        <is>
          <t>positivo</t>
        </is>
      </c>
      <c r="H167" s="3" t="n">
        <v>0.1822916666666666</v>
      </c>
      <c r="I167" s="3" t="n">
        <v>0.1458801538282359</v>
      </c>
      <c r="J167" s="3" t="n">
        <v>-1.233395391391918</v>
      </c>
      <c r="K167" s="3" t="n">
        <v>0.6793484559705047</v>
      </c>
      <c r="L167" s="3" t="inlineStr">
        <is>
          <t>no</t>
        </is>
      </c>
      <c r="M167" s="3" t="n">
        <v>0</v>
      </c>
      <c r="N167" s="3" t="inlineStr">
        <is>
          <t>mas es mas presion</t>
        </is>
      </c>
      <c r="O167" s="3" t="n">
        <v>0.1458801538282359</v>
      </c>
      <c r="P167" s="3" t="n"/>
      <c r="Q167" s="3" t="n"/>
      <c r="R167" s="3" t="inlineStr">
        <is>
          <t>C4</t>
        </is>
      </c>
      <c r="S167" s="3" t="inlineStr">
        <is>
          <t>output/v8/M7/resumen_multiverso.csv</t>
        </is>
      </c>
    </row>
    <row r="168">
      <c r="A168" s="3" t="inlineStr">
        <is>
          <t>compra</t>
        </is>
      </c>
      <c r="B168" s="3" t="inlineStr">
        <is>
          <t>P2</t>
        </is>
      </c>
      <c r="C168" s="3" t="inlineStr">
        <is>
          <t>empleo_renta</t>
        </is>
      </c>
      <c r="D168" s="3" t="inlineStr">
        <is>
          <t>pib_vol</t>
        </is>
      </c>
      <c r="E168" s="3" t="n">
        <v>192</v>
      </c>
      <c r="F168" s="3" t="n">
        <v>0.75</v>
      </c>
      <c r="G168" s="3" t="inlineStr">
        <is>
          <t>positivo</t>
        </is>
      </c>
      <c r="H168" s="3" t="n">
        <v>0.3072916666666667</v>
      </c>
      <c r="I168" s="3" t="n">
        <v>0.3083354539823346</v>
      </c>
      <c r="J168" s="3" t="n">
        <v>-0.352137699473393</v>
      </c>
      <c r="K168" s="3" t="n">
        <v>0.9085460377964916</v>
      </c>
      <c r="L168" s="3" t="inlineStr">
        <is>
          <t>no</t>
        </is>
      </c>
      <c r="M168" s="3" t="n">
        <v>0</v>
      </c>
      <c r="N168" s="3" t="inlineStr">
        <is>
          <t>mas es mas presion</t>
        </is>
      </c>
      <c r="O168" s="3" t="n">
        <v>0.3083354539823346</v>
      </c>
      <c r="P168" s="3" t="inlineStr">
        <is>
          <t>principal</t>
        </is>
      </c>
      <c r="Q168" s="3" t="n"/>
      <c r="R168" s="3" t="inlineStr">
        <is>
          <t>C4</t>
        </is>
      </c>
      <c r="S168" s="3" t="inlineStr">
        <is>
          <t>output/v8/M7/resumen_multiverso.csv</t>
        </is>
      </c>
    </row>
    <row r="169">
      <c r="A169" s="3" t="inlineStr">
        <is>
          <t>compra</t>
        </is>
      </c>
      <c r="B169" s="3" t="inlineStr">
        <is>
          <t>P2</t>
        </is>
      </c>
      <c r="C169" s="3" t="inlineStr">
        <is>
          <t>empleo_renta</t>
        </is>
      </c>
      <c r="D169" s="3" t="inlineStr">
        <is>
          <t>rdb_real</t>
        </is>
      </c>
      <c r="E169" s="3" t="n">
        <v>192</v>
      </c>
      <c r="F169" s="3" t="n">
        <v>0.8333333333333334</v>
      </c>
      <c r="G169" s="3" t="inlineStr">
        <is>
          <t>positivo</t>
        </is>
      </c>
      <c r="H169" s="3" t="n">
        <v>0.4270833333333333</v>
      </c>
      <c r="I169" s="3" t="n">
        <v>0.3990843920064826</v>
      </c>
      <c r="J169" s="3" t="n">
        <v>-0.2952747733078464</v>
      </c>
      <c r="K169" s="3" t="n">
        <v>0.7679694113032915</v>
      </c>
      <c r="L169" s="3" t="inlineStr">
        <is>
          <t>no</t>
        </is>
      </c>
      <c r="M169" s="3" t="n">
        <v>0</v>
      </c>
      <c r="N169" s="3" t="inlineStr">
        <is>
          <t>mas es mas presion</t>
        </is>
      </c>
      <c r="O169" s="3" t="n">
        <v>0.3990843920064826</v>
      </c>
      <c r="P169" s="3" t="n"/>
      <c r="Q169" s="3" t="n"/>
      <c r="R169" s="3" t="inlineStr">
        <is>
          <t>C4</t>
        </is>
      </c>
      <c r="S169" s="3" t="inlineStr">
        <is>
          <t>output/v8/M7/resumen_multiverso.csv</t>
        </is>
      </c>
    </row>
    <row r="170">
      <c r="A170" s="3" t="inlineStr">
        <is>
          <t>compra</t>
        </is>
      </c>
      <c r="B170" s="3" t="inlineStr">
        <is>
          <t>P2</t>
        </is>
      </c>
      <c r="C170" s="3" t="inlineStr">
        <is>
          <t>factor_europeo</t>
        </is>
      </c>
      <c r="D170" s="3" t="inlineStr">
        <is>
          <t>TODAS</t>
        </is>
      </c>
      <c r="E170" s="3" t="n">
        <v>576</v>
      </c>
      <c r="F170" s="3" t="n">
        <v>0.5520833333333334</v>
      </c>
      <c r="G170" s="3" t="inlineStr">
        <is>
          <t>positivo</t>
        </is>
      </c>
      <c r="H170" s="3" t="n">
        <v>0.1753472222222222</v>
      </c>
      <c r="I170" s="3" t="n">
        <v>0.0570608097773988</v>
      </c>
      <c r="J170" s="3" t="n">
        <v>-0.6237654842033196</v>
      </c>
      <c r="K170" s="3" t="n">
        <v>0.6772984547909955</v>
      </c>
      <c r="L170" s="3" t="inlineStr">
        <is>
          <t>no</t>
        </is>
      </c>
      <c r="M170" s="3" t="n">
        <v>0</v>
      </c>
      <c r="N170" s="3" t="inlineStr">
        <is>
          <t>mas es mas presion</t>
        </is>
      </c>
      <c r="O170" s="3" t="n">
        <v>0.0570608097773988</v>
      </c>
      <c r="P170" s="3" t="inlineStr">
        <is>
          <t>bis_hpi_xm_real</t>
        </is>
      </c>
      <c r="Q170" s="3" t="inlineStr">
        <is>
          <t>no</t>
        </is>
      </c>
      <c r="R170" s="3" t="inlineStr">
        <is>
          <t>C4</t>
        </is>
      </c>
      <c r="S170" s="3" t="inlineStr">
        <is>
          <t>output/v8/M7/resumen_multiverso.csv</t>
        </is>
      </c>
    </row>
    <row r="171">
      <c r="A171" s="3" t="inlineStr">
        <is>
          <t>compra</t>
        </is>
      </c>
      <c r="B171" s="3" t="inlineStr">
        <is>
          <t>P2</t>
        </is>
      </c>
      <c r="C171" s="3" t="inlineStr">
        <is>
          <t>factor_europeo</t>
        </is>
      </c>
      <c r="D171" s="3" t="inlineStr">
        <is>
          <t>bis_hpi_xm_real</t>
        </is>
      </c>
      <c r="E171" s="3" t="n">
        <v>192</v>
      </c>
      <c r="F171" s="3" t="n">
        <v>0.6770833333333334</v>
      </c>
      <c r="G171" s="3" t="inlineStr">
        <is>
          <t>positivo</t>
        </is>
      </c>
      <c r="H171" s="3" t="n">
        <v>0.3072916666666667</v>
      </c>
      <c r="I171" s="3" t="n">
        <v>0.2587895633782422</v>
      </c>
      <c r="J171" s="3" t="n">
        <v>-0.4709765482266093</v>
      </c>
      <c r="K171" s="3" t="n">
        <v>0.7757518516653826</v>
      </c>
      <c r="L171" s="3" t="inlineStr">
        <is>
          <t>no</t>
        </is>
      </c>
      <c r="M171" s="3" t="n">
        <v>0</v>
      </c>
      <c r="N171" s="3" t="inlineStr">
        <is>
          <t>mas es mas presion</t>
        </is>
      </c>
      <c r="O171" s="3" t="n">
        <v>0.2587895633782422</v>
      </c>
      <c r="P171" s="3" t="inlineStr">
        <is>
          <t>principal</t>
        </is>
      </c>
      <c r="Q171" s="3" t="n"/>
      <c r="R171" s="3" t="inlineStr">
        <is>
          <t>C4</t>
        </is>
      </c>
      <c r="S171" s="3" t="inlineStr">
        <is>
          <t>output/v8/M7/resumen_multiverso.csv</t>
        </is>
      </c>
    </row>
    <row r="172">
      <c r="A172" s="3" t="inlineStr">
        <is>
          <t>compra</t>
        </is>
      </c>
      <c r="B172" s="3" t="inlineStr">
        <is>
          <t>P2</t>
        </is>
      </c>
      <c r="C172" s="3" t="inlineStr">
        <is>
          <t>factor_europeo</t>
        </is>
      </c>
      <c r="D172" s="3" t="inlineStr">
        <is>
          <t>hpi_ea19</t>
        </is>
      </c>
      <c r="E172" s="3" t="n">
        <v>192</v>
      </c>
      <c r="F172" s="3" t="n">
        <v>0.5625</v>
      </c>
      <c r="G172" s="3" t="inlineStr">
        <is>
          <t>positivo</t>
        </is>
      </c>
      <c r="H172" s="3" t="n">
        <v>0.15625</v>
      </c>
      <c r="I172" s="3" t="n">
        <v>0.09443010466303201</v>
      </c>
      <c r="J172" s="3" t="n">
        <v>-1.459614762967063</v>
      </c>
      <c r="K172" s="3" t="n">
        <v>0.658738828643008</v>
      </c>
      <c r="L172" s="3" t="inlineStr">
        <is>
          <t>no</t>
        </is>
      </c>
      <c r="M172" s="3" t="n">
        <v>0</v>
      </c>
      <c r="N172" s="3" t="inlineStr">
        <is>
          <t>mas es mas presion</t>
        </is>
      </c>
      <c r="O172" s="3" t="n">
        <v>0.09443010466303201</v>
      </c>
      <c r="P172" s="3" t="n"/>
      <c r="Q172" s="3" t="n"/>
      <c r="R172" s="3" t="inlineStr">
        <is>
          <t>C4</t>
        </is>
      </c>
      <c r="S172" s="3" t="inlineStr">
        <is>
          <t>output/v8/M7/resumen_multiverso.csv</t>
        </is>
      </c>
    </row>
    <row r="173">
      <c r="A173" s="3" t="inlineStr">
        <is>
          <t>compra</t>
        </is>
      </c>
      <c r="B173" s="3" t="inlineStr">
        <is>
          <t>P2</t>
        </is>
      </c>
      <c r="C173" s="3" t="inlineStr">
        <is>
          <t>factor_europeo</t>
        </is>
      </c>
      <c r="D173" s="3" t="inlineStr">
        <is>
          <t>jk_mp</t>
        </is>
      </c>
      <c r="E173" s="3" t="n">
        <v>192</v>
      </c>
      <c r="F173" s="3" t="n">
        <v>0.5833333333333334</v>
      </c>
      <c r="G173" s="3" t="inlineStr">
        <is>
          <t>negativo</t>
        </is>
      </c>
      <c r="H173" s="3" t="n">
        <v>0.1510416666666666</v>
      </c>
      <c r="I173" s="3" t="n">
        <v>-0.0412918950846505</v>
      </c>
      <c r="J173" s="3" t="n">
        <v>-0.5665377022209438</v>
      </c>
      <c r="K173" s="3" t="n">
        <v>0.5470055962700913</v>
      </c>
      <c r="L173" s="3" t="inlineStr">
        <is>
          <t>no</t>
        </is>
      </c>
      <c r="M173" s="3" t="n">
        <v>0</v>
      </c>
      <c r="N173" s="3" t="inlineStr">
        <is>
          <t>mas es mas presion</t>
        </is>
      </c>
      <c r="O173" s="3" t="n">
        <v>-0.0412918950846505</v>
      </c>
      <c r="P173" s="3" t="n"/>
      <c r="Q173" s="3" t="n"/>
      <c r="R173" s="3" t="inlineStr">
        <is>
          <t>C4</t>
        </is>
      </c>
      <c r="S173" s="3" t="inlineStr">
        <is>
          <t>output/v8/M7/resumen_multiverso.csv</t>
        </is>
      </c>
    </row>
    <row r="174">
      <c r="A174" s="3" t="inlineStr">
        <is>
          <t>compra</t>
        </is>
      </c>
      <c r="B174" s="3" t="inlineStr">
        <is>
          <t>P2</t>
        </is>
      </c>
      <c r="C174" s="3" t="inlineStr">
        <is>
          <t>oferta</t>
        </is>
      </c>
      <c r="D174" s="3" t="inlineStr">
        <is>
          <t>TODAS</t>
        </is>
      </c>
      <c r="E174" s="3" t="n">
        <v>576</v>
      </c>
      <c r="F174" s="3" t="n">
        <v>0.5277777777777778</v>
      </c>
      <c r="G174" s="3" t="inlineStr">
        <is>
          <t>positivo</t>
        </is>
      </c>
      <c r="H174" s="3" t="n">
        <v>0.1024305555555555</v>
      </c>
      <c r="I174" s="3" t="n">
        <v>0.017350691757871</v>
      </c>
      <c r="J174" s="3" t="n">
        <v>-0.4733025405972633</v>
      </c>
      <c r="K174" s="3" t="n">
        <v>0.6249542023467877</v>
      </c>
      <c r="L174" s="3" t="inlineStr">
        <is>
          <t>no</t>
        </is>
      </c>
      <c r="M174" s="3" t="n">
        <v>0</v>
      </c>
      <c r="N174" s="3" t="inlineStr">
        <is>
          <t>mas es mas presion</t>
        </is>
      </c>
      <c r="O174" s="3" t="n">
        <v>0.017350691757871</v>
      </c>
      <c r="P174" s="3" t="inlineStr">
        <is>
          <t>terminadas</t>
        </is>
      </c>
      <c r="Q174" s="3" t="inlineStr">
        <is>
          <t>no</t>
        </is>
      </c>
      <c r="R174" s="3" t="inlineStr">
        <is>
          <t>C4</t>
        </is>
      </c>
      <c r="S174" s="3" t="inlineStr">
        <is>
          <t>output/v8/M7/resumen_multiverso.csv</t>
        </is>
      </c>
    </row>
    <row r="175">
      <c r="A175" s="3" t="inlineStr">
        <is>
          <t>compra</t>
        </is>
      </c>
      <c r="B175" s="3" t="inlineStr">
        <is>
          <t>P2</t>
        </is>
      </c>
      <c r="C175" s="3" t="inlineStr">
        <is>
          <t>oferta</t>
        </is>
      </c>
      <c r="D175" s="3" t="inlineStr">
        <is>
          <t>costes_constr</t>
        </is>
      </c>
      <c r="E175" s="3" t="n">
        <v>192</v>
      </c>
      <c r="F175" s="3" t="n">
        <v>0.6354166666666666</v>
      </c>
      <c r="G175" s="3" t="inlineStr">
        <is>
          <t>positivo</t>
        </is>
      </c>
      <c r="H175" s="3" t="n">
        <v>0.1458333333333333</v>
      </c>
      <c r="I175" s="3" t="n">
        <v>0.1541823191902323</v>
      </c>
      <c r="J175" s="3" t="n">
        <v>-0.3222486313286856</v>
      </c>
      <c r="K175" s="3" t="n">
        <v>0.6681847967747832</v>
      </c>
      <c r="L175" s="3" t="inlineStr">
        <is>
          <t>no</t>
        </is>
      </c>
      <c r="M175" s="3" t="n">
        <v>0</v>
      </c>
      <c r="N175" s="3" t="inlineStr">
        <is>
          <t>mas es mas presion</t>
        </is>
      </c>
      <c r="O175" s="3" t="n">
        <v>0.1541823191902323</v>
      </c>
      <c r="P175" s="3" t="n"/>
      <c r="Q175" s="3" t="n"/>
      <c r="R175" s="3" t="inlineStr">
        <is>
          <t>C4</t>
        </is>
      </c>
      <c r="S175" s="3" t="inlineStr">
        <is>
          <t>output/v8/M7/resumen_multiverso.csv</t>
        </is>
      </c>
    </row>
    <row r="176">
      <c r="A176" s="3" t="inlineStr">
        <is>
          <t>compra</t>
        </is>
      </c>
      <c r="B176" s="3" t="inlineStr">
        <is>
          <t>P2</t>
        </is>
      </c>
      <c r="C176" s="3" t="inlineStr">
        <is>
          <t>oferta</t>
        </is>
      </c>
      <c r="D176" s="3" t="inlineStr">
        <is>
          <t>terminadas</t>
        </is>
      </c>
      <c r="E176" s="3" t="n">
        <v>192</v>
      </c>
      <c r="F176" s="3" t="n">
        <v>0.59375</v>
      </c>
      <c r="G176" s="3" t="inlineStr">
        <is>
          <t>positivo</t>
        </is>
      </c>
      <c r="H176" s="3" t="n">
        <v>0.1041666666666666</v>
      </c>
      <c r="I176" s="3" t="n">
        <v>0.06456581273396041</v>
      </c>
      <c r="J176" s="3" t="n">
        <v>-0.4092405356151311</v>
      </c>
      <c r="K176" s="3" t="n">
        <v>0.395941905967</v>
      </c>
      <c r="L176" s="3" t="inlineStr">
        <is>
          <t>no</t>
        </is>
      </c>
      <c r="M176" s="3" t="n">
        <v>0</v>
      </c>
      <c r="N176" s="3" t="inlineStr">
        <is>
          <t>mas es mas presion</t>
        </is>
      </c>
      <c r="O176" s="3" t="n">
        <v>0.06456581273396041</v>
      </c>
      <c r="P176" s="3" t="inlineStr">
        <is>
          <t>principal</t>
        </is>
      </c>
      <c r="Q176" s="3" t="n"/>
      <c r="R176" s="3" t="inlineStr">
        <is>
          <t>C4</t>
        </is>
      </c>
      <c r="S176" s="3" t="inlineStr">
        <is>
          <t>output/v8/M7/resumen_multiverso.csv</t>
        </is>
      </c>
    </row>
    <row r="177">
      <c r="A177" s="3" t="inlineStr">
        <is>
          <t>compra</t>
        </is>
      </c>
      <c r="B177" s="3" t="inlineStr">
        <is>
          <t>P2</t>
        </is>
      </c>
      <c r="C177" s="3" t="inlineStr">
        <is>
          <t>oferta</t>
        </is>
      </c>
      <c r="D177" s="3" t="inlineStr">
        <is>
          <t>visados</t>
        </is>
      </c>
      <c r="E177" s="3" t="n">
        <v>192</v>
      </c>
      <c r="F177" s="3" t="n">
        <v>0.6458333333333334</v>
      </c>
      <c r="G177" s="3" t="inlineStr">
        <is>
          <t>negativo</t>
        </is>
      </c>
      <c r="H177" s="3" t="n">
        <v>0.125</v>
      </c>
      <c r="I177" s="3" t="n">
        <v>-0.1250960676261698</v>
      </c>
      <c r="J177" s="3" t="n">
        <v>-0.6788082741242737</v>
      </c>
      <c r="K177" s="3" t="n">
        <v>0.5503090401610197</v>
      </c>
      <c r="L177" s="3" t="inlineStr">
        <is>
          <t>no</t>
        </is>
      </c>
      <c r="M177" s="3" t="n">
        <v>0</v>
      </c>
      <c r="N177" s="3" t="inlineStr">
        <is>
          <t>mas es mas presion</t>
        </is>
      </c>
      <c r="O177" s="3" t="n">
        <v>-0.1250960676261698</v>
      </c>
      <c r="P177" s="3" t="n"/>
      <c r="Q177" s="3" t="n"/>
      <c r="R177" s="3" t="inlineStr">
        <is>
          <t>C4</t>
        </is>
      </c>
      <c r="S177" s="3" t="inlineStr">
        <is>
          <t>output/v8/M7/resumen_multiverso.csv</t>
        </is>
      </c>
    </row>
    <row r="178">
      <c r="A178" s="3" t="inlineStr">
        <is>
          <t>compra</t>
        </is>
      </c>
      <c r="B178" s="3" t="inlineStr">
        <is>
          <t>P3</t>
        </is>
      </c>
      <c r="C178" s="3" t="inlineStr">
        <is>
          <t>credito_tipos</t>
        </is>
      </c>
      <c r="D178" s="3" t="inlineStr">
        <is>
          <t>TODAS</t>
        </is>
      </c>
      <c r="E178" s="3" t="n">
        <v>576</v>
      </c>
      <c r="F178" s="3" t="n">
        <v>0.6875</v>
      </c>
      <c r="G178" s="3" t="inlineStr">
        <is>
          <t>positivo</t>
        </is>
      </c>
      <c r="H178" s="3" t="n">
        <v>0.2361111111111111</v>
      </c>
      <c r="I178" s="3" t="n">
        <v>0.0072827664902104</v>
      </c>
      <c r="J178" s="3" t="n">
        <v>-0.6016360432679391</v>
      </c>
      <c r="K178" s="3" t="n">
        <v>0.6296118450817845</v>
      </c>
      <c r="L178" s="3" t="inlineStr">
        <is>
          <t>no</t>
        </is>
      </c>
      <c r="M178" s="3" t="n">
        <v>0</v>
      </c>
      <c r="N178" s="3" t="inlineStr">
        <is>
          <t>mixta</t>
        </is>
      </c>
      <c r="O178" s="3" t="n">
        <v>0.1649918914617502</v>
      </c>
      <c r="P178" s="3" t="inlineStr">
        <is>
          <t>tipo_hip_real</t>
        </is>
      </c>
      <c r="Q178" s="3" t="inlineStr">
        <is>
          <t>no</t>
        </is>
      </c>
      <c r="R178" s="3" t="inlineStr">
        <is>
          <t>C4</t>
        </is>
      </c>
      <c r="S178" s="3" t="inlineStr">
        <is>
          <t>output/v8/M7/resumen_multiverso.csv</t>
        </is>
      </c>
    </row>
    <row r="179">
      <c r="A179" s="3" t="inlineStr">
        <is>
          <t>compra</t>
        </is>
      </c>
      <c r="B179" s="3" t="inlineStr">
        <is>
          <t>P3</t>
        </is>
      </c>
      <c r="C179" s="3" t="inlineStr">
        <is>
          <t>credito_tipos</t>
        </is>
      </c>
      <c r="D179" s="3" t="inlineStr">
        <is>
          <t>credito_nuevo_real</t>
        </is>
      </c>
      <c r="E179" s="3" t="n">
        <v>192</v>
      </c>
      <c r="F179" s="3" t="n">
        <v>0.5416666666666666</v>
      </c>
      <c r="G179" s="3" t="inlineStr">
        <is>
          <t>negativo</t>
        </is>
      </c>
      <c r="H179" s="3" t="n">
        <v>0.1197916666666666</v>
      </c>
      <c r="I179" s="3" t="n">
        <v>-0.0265657683365405</v>
      </c>
      <c r="J179" s="3" t="n">
        <v>-0.5368168393936962</v>
      </c>
      <c r="K179" s="3" t="n">
        <v>0.4309136791999774</v>
      </c>
      <c r="L179" s="3" t="inlineStr">
        <is>
          <t>no</t>
        </is>
      </c>
      <c r="M179" s="3" t="n">
        <v>0</v>
      </c>
      <c r="N179" s="3" t="inlineStr">
        <is>
          <t>mas es mas presion</t>
        </is>
      </c>
      <c r="O179" s="3" t="n">
        <v>-0.0265657683365405</v>
      </c>
      <c r="P179" s="3" t="n"/>
      <c r="Q179" s="3" t="n"/>
      <c r="R179" s="3" t="inlineStr">
        <is>
          <t>C4</t>
        </is>
      </c>
      <c r="S179" s="3" t="inlineStr">
        <is>
          <t>output/v8/M7/resumen_multiverso.csv</t>
        </is>
      </c>
    </row>
    <row r="180">
      <c r="A180" s="3" t="inlineStr">
        <is>
          <t>compra</t>
        </is>
      </c>
      <c r="B180" s="3" t="inlineStr">
        <is>
          <t>P3</t>
        </is>
      </c>
      <c r="C180" s="3" t="inlineStr">
        <is>
          <t>credito_tipos</t>
        </is>
      </c>
      <c r="D180" s="3" t="inlineStr">
        <is>
          <t>credito_stock_real</t>
        </is>
      </c>
      <c r="E180" s="3" t="n">
        <v>192</v>
      </c>
      <c r="F180" s="3" t="n">
        <v>0.8229166666666666</v>
      </c>
      <c r="G180" s="3" t="inlineStr">
        <is>
          <t>positivo</t>
        </is>
      </c>
      <c r="H180" s="3" t="n">
        <v>0.3697916666666667</v>
      </c>
      <c r="I180" s="3" t="n">
        <v>0.3339685732600993</v>
      </c>
      <c r="J180" s="3" t="n">
        <v>-0.4988173615359211</v>
      </c>
      <c r="K180" s="3" t="n">
        <v>0.7345296753995673</v>
      </c>
      <c r="L180" s="3" t="inlineStr">
        <is>
          <t>no</t>
        </is>
      </c>
      <c r="M180" s="3" t="n">
        <v>0</v>
      </c>
      <c r="N180" s="3" t="inlineStr">
        <is>
          <t>mas es mas presion</t>
        </is>
      </c>
      <c r="O180" s="3" t="n">
        <v>0.3339685732600993</v>
      </c>
      <c r="P180" s="3" t="n"/>
      <c r="Q180" s="3" t="n"/>
      <c r="R180" s="3" t="inlineStr">
        <is>
          <t>C4</t>
        </is>
      </c>
      <c r="S180" s="3" t="inlineStr">
        <is>
          <t>output/v8/M7/resumen_multiverso.csv</t>
        </is>
      </c>
    </row>
    <row r="181">
      <c r="A181" s="3" t="inlineStr">
        <is>
          <t>compra</t>
        </is>
      </c>
      <c r="B181" s="3" t="inlineStr">
        <is>
          <t>P3</t>
        </is>
      </c>
      <c r="C181" s="3" t="inlineStr">
        <is>
          <t>credito_tipos</t>
        </is>
      </c>
      <c r="D181" s="3" t="inlineStr">
        <is>
          <t>tipo_hip_real</t>
        </is>
      </c>
      <c r="E181" s="3" t="n">
        <v>192</v>
      </c>
      <c r="F181" s="3" t="n">
        <v>0.78125</v>
      </c>
      <c r="G181" s="3" t="inlineStr">
        <is>
          <t>positivo</t>
        </is>
      </c>
      <c r="H181" s="3" t="n">
        <v>0.1927083333333333</v>
      </c>
      <c r="I181" s="3" t="n">
        <v>-0.1624552894430759</v>
      </c>
      <c r="J181" s="3" t="n">
        <v>-0.7376672801734345</v>
      </c>
      <c r="K181" s="3" t="n">
        <v>0.3034417328538365</v>
      </c>
      <c r="L181" s="3" t="inlineStr">
        <is>
          <t>no</t>
        </is>
      </c>
      <c r="M181" s="3" t="n">
        <v>0</v>
      </c>
      <c r="N181" s="3" t="inlineStr">
        <is>
          <t>tipo x-1</t>
        </is>
      </c>
      <c r="O181" s="3" t="n">
        <v>0.1624552894430759</v>
      </c>
      <c r="P181" s="3" t="inlineStr">
        <is>
          <t>principal</t>
        </is>
      </c>
      <c r="Q181" s="3" t="n"/>
      <c r="R181" s="3" t="inlineStr">
        <is>
          <t>C4</t>
        </is>
      </c>
      <c r="S181" s="3" t="inlineStr">
        <is>
          <t>output/v8/M7/resumen_multiverso.csv</t>
        </is>
      </c>
    </row>
    <row r="182">
      <c r="A182" s="3" t="inlineStr">
        <is>
          <t>compra</t>
        </is>
      </c>
      <c r="B182" s="3" t="inlineStr">
        <is>
          <t>P3</t>
        </is>
      </c>
      <c r="C182" s="3" t="inlineStr">
        <is>
          <t>demanda_externa</t>
        </is>
      </c>
      <c r="D182" s="3" t="inlineStr">
        <is>
          <t>TODAS</t>
        </is>
      </c>
      <c r="E182" s="3" t="n">
        <v>384</v>
      </c>
      <c r="F182" s="3" t="n">
        <v>0.5989583333333334</v>
      </c>
      <c r="G182" s="3" t="inlineStr">
        <is>
          <t>negativo</t>
        </is>
      </c>
      <c r="H182" s="3" t="n">
        <v>0.1927083333333333</v>
      </c>
      <c r="I182" s="3" t="n">
        <v>-0.0702807214713933</v>
      </c>
      <c r="J182" s="3" t="n">
        <v>-0.6235580730524888</v>
      </c>
      <c r="K182" s="3" t="n">
        <v>0.6997471964481489</v>
      </c>
      <c r="L182" s="3" t="inlineStr">
        <is>
          <t>no</t>
        </is>
      </c>
      <c r="M182" s="3" t="n">
        <v>0</v>
      </c>
      <c r="N182" s="3" t="inlineStr">
        <is>
          <t>mas es mas presion</t>
        </is>
      </c>
      <c r="O182" s="3" t="n">
        <v>-0.0702807214713933</v>
      </c>
      <c r="P182" s="3" t="inlineStr">
        <is>
          <t>tx_extranj</t>
        </is>
      </c>
      <c r="Q182" s="3" t="inlineStr">
        <is>
          <t>no</t>
        </is>
      </c>
      <c r="R182" s="3" t="inlineStr">
        <is>
          <t>C4</t>
        </is>
      </c>
      <c r="S182" s="3" t="inlineStr">
        <is>
          <t>output/v8/M7/resumen_multiverso.csv</t>
        </is>
      </c>
    </row>
    <row r="183">
      <c r="A183" s="3" t="inlineStr">
        <is>
          <t>compra</t>
        </is>
      </c>
      <c r="B183" s="3" t="inlineStr">
        <is>
          <t>P3</t>
        </is>
      </c>
      <c r="C183" s="3" t="inlineStr">
        <is>
          <t>demanda_externa</t>
        </is>
      </c>
      <c r="D183" s="3" t="inlineStr">
        <is>
          <t>cuota_extranj</t>
        </is>
      </c>
      <c r="E183" s="3" t="n">
        <v>192</v>
      </c>
      <c r="F183" s="3" t="n">
        <v>0.6458333333333334</v>
      </c>
      <c r="G183" s="3" t="inlineStr">
        <is>
          <t>negativo</t>
        </is>
      </c>
      <c r="H183" s="3" t="n">
        <v>0.25</v>
      </c>
      <c r="I183" s="3" t="n">
        <v>-0.1684002885149725</v>
      </c>
      <c r="J183" s="3" t="n">
        <v>-0.6487317616455448</v>
      </c>
      <c r="K183" s="3" t="n">
        <v>0.728702418501061</v>
      </c>
      <c r="L183" s="3" t="inlineStr">
        <is>
          <t>no</t>
        </is>
      </c>
      <c r="M183" s="3" t="n">
        <v>0</v>
      </c>
      <c r="N183" s="3" t="inlineStr">
        <is>
          <t>mas es mas presion</t>
        </is>
      </c>
      <c r="O183" s="3" t="n">
        <v>-0.1684002885149725</v>
      </c>
      <c r="P183" s="3" t="n"/>
      <c r="Q183" s="3" t="n"/>
      <c r="R183" s="3" t="inlineStr">
        <is>
          <t>C4</t>
        </is>
      </c>
      <c r="S183" s="3" t="inlineStr">
        <is>
          <t>output/v8/M7/resumen_multiverso.csv</t>
        </is>
      </c>
    </row>
    <row r="184">
      <c r="A184" s="3" t="inlineStr">
        <is>
          <t>compra</t>
        </is>
      </c>
      <c r="B184" s="3" t="inlineStr">
        <is>
          <t>P3</t>
        </is>
      </c>
      <c r="C184" s="3" t="inlineStr">
        <is>
          <t>demanda_externa</t>
        </is>
      </c>
      <c r="D184" s="3" t="inlineStr">
        <is>
          <t>tx_extranj</t>
        </is>
      </c>
      <c r="E184" s="3" t="n">
        <v>192</v>
      </c>
      <c r="F184" s="3" t="n">
        <v>0.5520833333333334</v>
      </c>
      <c r="G184" s="3" t="inlineStr">
        <is>
          <t>negativo</t>
        </is>
      </c>
      <c r="H184" s="3" t="n">
        <v>0.1354166666666666</v>
      </c>
      <c r="I184" s="3" t="n">
        <v>-0.0526806767305487</v>
      </c>
      <c r="J184" s="3" t="n">
        <v>-0.6088879897562531</v>
      </c>
      <c r="K184" s="3" t="n">
        <v>0.6280180037805265</v>
      </c>
      <c r="L184" s="3" t="inlineStr">
        <is>
          <t>no</t>
        </is>
      </c>
      <c r="M184" s="3" t="n">
        <v>0</v>
      </c>
      <c r="N184" s="3" t="inlineStr">
        <is>
          <t>mas es mas presion</t>
        </is>
      </c>
      <c r="O184" s="3" t="n">
        <v>-0.0526806767305487</v>
      </c>
      <c r="P184" s="3" t="inlineStr">
        <is>
          <t>principal</t>
        </is>
      </c>
      <c r="Q184" s="3" t="n"/>
      <c r="R184" s="3" t="inlineStr">
        <is>
          <t>C4</t>
        </is>
      </c>
      <c r="S184" s="3" t="inlineStr">
        <is>
          <t>output/v8/M7/resumen_multiverso.csv</t>
        </is>
      </c>
    </row>
    <row r="185">
      <c r="A185" s="3" t="inlineStr">
        <is>
          <t>compra</t>
        </is>
      </c>
      <c r="B185" s="3" t="inlineStr">
        <is>
          <t>P3</t>
        </is>
      </c>
      <c r="C185" s="3" t="inlineStr">
        <is>
          <t>demografia</t>
        </is>
      </c>
      <c r="D185" s="3" t="inlineStr">
        <is>
          <t>TODAS</t>
        </is>
      </c>
      <c r="E185" s="3" t="n">
        <v>576</v>
      </c>
      <c r="F185" s="3" t="n">
        <v>0.5833333333333334</v>
      </c>
      <c r="G185" s="3" t="inlineStr">
        <is>
          <t>positivo</t>
        </is>
      </c>
      <c r="H185" s="3" t="n">
        <v>0.1163194444444444</v>
      </c>
      <c r="I185" s="3" t="n">
        <v>0.0970429731141491</v>
      </c>
      <c r="J185" s="3" t="n">
        <v>-0.5672231428309427</v>
      </c>
      <c r="K185" s="3" t="n">
        <v>0.720254501841057</v>
      </c>
      <c r="L185" s="3" t="inlineStr">
        <is>
          <t>no</t>
        </is>
      </c>
      <c r="M185" s="3" t="n">
        <v>0.3333333333333333</v>
      </c>
      <c r="N185" s="3" t="inlineStr">
        <is>
          <t>mas es mas presion</t>
        </is>
      </c>
      <c r="O185" s="3" t="n">
        <v>0.0970429731141491</v>
      </c>
      <c r="P185" s="3" t="inlineStr">
        <is>
          <t>pob_total</t>
        </is>
      </c>
      <c r="Q185" s="3" t="inlineStr">
        <is>
          <t>no</t>
        </is>
      </c>
      <c r="R185" s="3" t="inlineStr">
        <is>
          <t>C4</t>
        </is>
      </c>
      <c r="S185" s="3" t="inlineStr">
        <is>
          <t>output/v8/M7/resumen_multiverso.csv</t>
        </is>
      </c>
    </row>
    <row r="186">
      <c r="A186" s="3" t="inlineStr">
        <is>
          <t>compra</t>
        </is>
      </c>
      <c r="B186" s="3" t="inlineStr">
        <is>
          <t>P3</t>
        </is>
      </c>
      <c r="C186" s="3" t="inlineStr">
        <is>
          <t>demografia</t>
        </is>
      </c>
      <c r="D186" s="3" t="inlineStr">
        <is>
          <t>hogares_epa</t>
        </is>
      </c>
      <c r="E186" s="3" t="n">
        <v>192</v>
      </c>
      <c r="F186" s="3" t="n">
        <v>0.6875</v>
      </c>
      <c r="G186" s="3" t="inlineStr">
        <is>
          <t>negativo</t>
        </is>
      </c>
      <c r="H186" s="3" t="n">
        <v>0.0885416666666666</v>
      </c>
      <c r="I186" s="3" t="n">
        <v>-0.1003004698573873</v>
      </c>
      <c r="J186" s="3" t="n">
        <v>-0.4934727892262144</v>
      </c>
      <c r="K186" s="3" t="n">
        <v>0.3454618051766832</v>
      </c>
      <c r="L186" s="3" t="inlineStr">
        <is>
          <t>no</t>
        </is>
      </c>
      <c r="M186" s="3" t="n">
        <v>0</v>
      </c>
      <c r="N186" s="3" t="inlineStr">
        <is>
          <t>mas es mas presion</t>
        </is>
      </c>
      <c r="O186" s="3" t="n">
        <v>-0.1003004698573873</v>
      </c>
      <c r="P186" s="3" t="n"/>
      <c r="Q186" s="3" t="n"/>
      <c r="R186" s="3" t="inlineStr">
        <is>
          <t>C4</t>
        </is>
      </c>
      <c r="S186" s="3" t="inlineStr">
        <is>
          <t>output/v8/M7/resumen_multiverso.csv</t>
        </is>
      </c>
    </row>
    <row r="187">
      <c r="A187" s="3" t="inlineStr">
        <is>
          <t>compra</t>
        </is>
      </c>
      <c r="B187" s="3" t="inlineStr">
        <is>
          <t>P3</t>
        </is>
      </c>
      <c r="C187" s="3" t="inlineStr">
        <is>
          <t>demografia</t>
        </is>
      </c>
      <c r="D187" s="3" t="inlineStr">
        <is>
          <t>pob_extranj_ine</t>
        </is>
      </c>
      <c r="E187" s="3" t="n">
        <v>192</v>
      </c>
      <c r="F187" s="3" t="n">
        <v>0.71875</v>
      </c>
      <c r="G187" s="3" t="inlineStr">
        <is>
          <t>positivo</t>
        </is>
      </c>
      <c r="H187" s="3" t="n">
        <v>0.1822916666666666</v>
      </c>
      <c r="I187" s="3" t="n">
        <v>0.1817958802133411</v>
      </c>
      <c r="J187" s="3" t="n">
        <v>-0.6725239695810012</v>
      </c>
      <c r="K187" s="3" t="n">
        <v>0.8122073681401127</v>
      </c>
      <c r="L187" s="3" t="inlineStr">
        <is>
          <t>no</t>
        </is>
      </c>
      <c r="M187" s="3" t="n">
        <v>0.5</v>
      </c>
      <c r="N187" s="3" t="inlineStr">
        <is>
          <t>mas es mas presion</t>
        </is>
      </c>
      <c r="O187" s="3" t="n">
        <v>0.1817958802133411</v>
      </c>
      <c r="P187" s="3" t="n"/>
      <c r="Q187" s="3" t="n"/>
      <c r="R187" s="3" t="inlineStr">
        <is>
          <t>C4</t>
        </is>
      </c>
      <c r="S187" s="3" t="inlineStr">
        <is>
          <t>output/v8/M7/resumen_multiverso.csv</t>
        </is>
      </c>
    </row>
    <row r="188">
      <c r="A188" s="3" t="inlineStr">
        <is>
          <t>compra</t>
        </is>
      </c>
      <c r="B188" s="3" t="inlineStr">
        <is>
          <t>P3</t>
        </is>
      </c>
      <c r="C188" s="3" t="inlineStr">
        <is>
          <t>demografia</t>
        </is>
      </c>
      <c r="D188" s="3" t="inlineStr">
        <is>
          <t>pob_total</t>
        </is>
      </c>
      <c r="E188" s="3" t="n">
        <v>192</v>
      </c>
      <c r="F188" s="3" t="n">
        <v>0.71875</v>
      </c>
      <c r="G188" s="3" t="inlineStr">
        <is>
          <t>positivo</t>
        </is>
      </c>
      <c r="H188" s="3" t="n">
        <v>0.140625</v>
      </c>
      <c r="I188" s="3" t="n">
        <v>0.1841216487876953</v>
      </c>
      <c r="J188" s="3" t="n">
        <v>-0.5924512377225615</v>
      </c>
      <c r="K188" s="3" t="n">
        <v>0.7073339154349585</v>
      </c>
      <c r="L188" s="3" t="inlineStr">
        <is>
          <t>no</t>
        </is>
      </c>
      <c r="M188" s="3" t="n">
        <v>0.5</v>
      </c>
      <c r="N188" s="3" t="inlineStr">
        <is>
          <t>mas es mas presion</t>
        </is>
      </c>
      <c r="O188" s="3" t="n">
        <v>0.1841216487876953</v>
      </c>
      <c r="P188" s="3" t="inlineStr">
        <is>
          <t>principal</t>
        </is>
      </c>
      <c r="Q188" s="3" t="n"/>
      <c r="R188" s="3" t="inlineStr">
        <is>
          <t>C4</t>
        </is>
      </c>
      <c r="S188" s="3" t="inlineStr">
        <is>
          <t>output/v8/M7/resumen_multiverso.csv</t>
        </is>
      </c>
    </row>
    <row r="189">
      <c r="A189" s="3" t="inlineStr">
        <is>
          <t>compra</t>
        </is>
      </c>
      <c r="B189" s="3" t="inlineStr">
        <is>
          <t>P3</t>
        </is>
      </c>
      <c r="C189" s="3" t="inlineStr">
        <is>
          <t>empleo_renta</t>
        </is>
      </c>
      <c r="D189" s="3" t="inlineStr">
        <is>
          <t>TODAS</t>
        </is>
      </c>
      <c r="E189" s="3" t="n">
        <v>576</v>
      </c>
      <c r="F189" s="3" t="n">
        <v>0.8541666666666666</v>
      </c>
      <c r="G189" s="3" t="inlineStr">
        <is>
          <t>positivo</t>
        </is>
      </c>
      <c r="H189" s="3" t="n">
        <v>0.4635416666666667</v>
      </c>
      <c r="I189" s="3" t="n">
        <v>0.4201819589851219</v>
      </c>
      <c r="J189" s="3" t="n">
        <v>-0.4033643795628307</v>
      </c>
      <c r="K189" s="3" t="n">
        <v>0.8516982628097657</v>
      </c>
      <c r="L189" s="3" t="inlineStr">
        <is>
          <t>no</t>
        </is>
      </c>
      <c r="M189" s="3" t="n">
        <v>0</v>
      </c>
      <c r="N189" s="3" t="inlineStr">
        <is>
          <t>mas es mas presion</t>
        </is>
      </c>
      <c r="O189" s="3" t="n">
        <v>0.4201819589851219</v>
      </c>
      <c r="P189" s="3" t="inlineStr">
        <is>
          <t>pib_vol</t>
        </is>
      </c>
      <c r="Q189" s="3" t="inlineStr">
        <is>
          <t>no</t>
        </is>
      </c>
      <c r="R189" s="3" t="inlineStr">
        <is>
          <t>C4</t>
        </is>
      </c>
      <c r="S189" s="3" t="inlineStr">
        <is>
          <t>output/v8/M7/resumen_multiverso.csv</t>
        </is>
      </c>
    </row>
    <row r="190">
      <c r="A190" s="3" t="inlineStr">
        <is>
          <t>compra</t>
        </is>
      </c>
      <c r="B190" s="3" t="inlineStr">
        <is>
          <t>P3</t>
        </is>
      </c>
      <c r="C190" s="3" t="inlineStr">
        <is>
          <t>empleo_renta</t>
        </is>
      </c>
      <c r="D190" s="3" t="inlineStr">
        <is>
          <t>ocupados</t>
        </is>
      </c>
      <c r="E190" s="3" t="n">
        <v>192</v>
      </c>
      <c r="F190" s="3" t="n">
        <v>0.78125</v>
      </c>
      <c r="G190" s="3" t="inlineStr">
        <is>
          <t>positivo</t>
        </is>
      </c>
      <c r="H190" s="3" t="n">
        <v>0.5260416666666666</v>
      </c>
      <c r="I190" s="3" t="n">
        <v>0.5374511249328187</v>
      </c>
      <c r="J190" s="3" t="n">
        <v>-0.5758470992739456</v>
      </c>
      <c r="K190" s="3" t="n">
        <v>0.8947026645752015</v>
      </c>
      <c r="L190" s="3" t="inlineStr">
        <is>
          <t>no</t>
        </is>
      </c>
      <c r="M190" s="3" t="n">
        <v>0</v>
      </c>
      <c r="N190" s="3" t="inlineStr">
        <is>
          <t>mas es mas presion</t>
        </is>
      </c>
      <c r="O190" s="3" t="n">
        <v>0.5374511249328187</v>
      </c>
      <c r="P190" s="3" t="n"/>
      <c r="Q190" s="3" t="n"/>
      <c r="R190" s="3" t="inlineStr">
        <is>
          <t>C4</t>
        </is>
      </c>
      <c r="S190" s="3" t="inlineStr">
        <is>
          <t>output/v8/M7/resumen_multiverso.csv</t>
        </is>
      </c>
    </row>
    <row r="191">
      <c r="A191" s="3" t="inlineStr">
        <is>
          <t>compra</t>
        </is>
      </c>
      <c r="B191" s="3" t="inlineStr">
        <is>
          <t>P3</t>
        </is>
      </c>
      <c r="C191" s="3" t="inlineStr">
        <is>
          <t>empleo_renta</t>
        </is>
      </c>
      <c r="D191" s="3" t="inlineStr">
        <is>
          <t>pib_vol</t>
        </is>
      </c>
      <c r="E191" s="3" t="n">
        <v>192</v>
      </c>
      <c r="F191" s="3" t="n">
        <v>0.9479166666666666</v>
      </c>
      <c r="G191" s="3" t="inlineStr">
        <is>
          <t>positivo</t>
        </is>
      </c>
      <c r="H191" s="3" t="n">
        <v>0.4322916666666667</v>
      </c>
      <c r="I191" s="3" t="n">
        <v>0.3389972785359869</v>
      </c>
      <c r="J191" s="3" t="n">
        <v>-0.0022927538806806</v>
      </c>
      <c r="K191" s="3" t="n">
        <v>0.8093248312732553</v>
      </c>
      <c r="L191" s="3" t="inlineStr">
        <is>
          <t>no</t>
        </is>
      </c>
      <c r="M191" s="3" t="n">
        <v>0</v>
      </c>
      <c r="N191" s="3" t="inlineStr">
        <is>
          <t>mas es mas presion</t>
        </is>
      </c>
      <c r="O191" s="3" t="n">
        <v>0.3389972785359869</v>
      </c>
      <c r="P191" s="3" t="inlineStr">
        <is>
          <t>principal</t>
        </is>
      </c>
      <c r="Q191" s="3" t="n"/>
      <c r="R191" s="3" t="inlineStr">
        <is>
          <t>C4</t>
        </is>
      </c>
      <c r="S191" s="3" t="inlineStr">
        <is>
          <t>output/v8/M7/resumen_multiverso.csv</t>
        </is>
      </c>
    </row>
    <row r="192">
      <c r="A192" s="3" t="inlineStr">
        <is>
          <t>compra</t>
        </is>
      </c>
      <c r="B192" s="3" t="inlineStr">
        <is>
          <t>P3</t>
        </is>
      </c>
      <c r="C192" s="3" t="inlineStr">
        <is>
          <t>empleo_renta</t>
        </is>
      </c>
      <c r="D192" s="3" t="inlineStr">
        <is>
          <t>rdb_real</t>
        </is>
      </c>
      <c r="E192" s="3" t="n">
        <v>192</v>
      </c>
      <c r="F192" s="3" t="n">
        <v>0.8333333333333334</v>
      </c>
      <c r="G192" s="3" t="inlineStr">
        <is>
          <t>positivo</t>
        </is>
      </c>
      <c r="H192" s="3" t="n">
        <v>0.4322916666666667</v>
      </c>
      <c r="I192" s="3" t="n">
        <v>0.4078194721962229</v>
      </c>
      <c r="J192" s="3" t="n">
        <v>-0.452187075412068</v>
      </c>
      <c r="K192" s="3" t="n">
        <v>0.8073197182013713</v>
      </c>
      <c r="L192" s="3" t="inlineStr">
        <is>
          <t>no</t>
        </is>
      </c>
      <c r="M192" s="3" t="n">
        <v>0</v>
      </c>
      <c r="N192" s="3" t="inlineStr">
        <is>
          <t>mas es mas presion</t>
        </is>
      </c>
      <c r="O192" s="3" t="n">
        <v>0.4078194721962229</v>
      </c>
      <c r="P192" s="3" t="n"/>
      <c r="Q192" s="3" t="n"/>
      <c r="R192" s="3" t="inlineStr">
        <is>
          <t>C4</t>
        </is>
      </c>
      <c r="S192" s="3" t="inlineStr">
        <is>
          <t>output/v8/M7/resumen_multiverso.csv</t>
        </is>
      </c>
    </row>
    <row r="193">
      <c r="A193" s="3" t="inlineStr">
        <is>
          <t>compra</t>
        </is>
      </c>
      <c r="B193" s="3" t="inlineStr">
        <is>
          <t>P3</t>
        </is>
      </c>
      <c r="C193" s="3" t="inlineStr">
        <is>
          <t>factor_europeo</t>
        </is>
      </c>
      <c r="D193" s="3" t="inlineStr">
        <is>
          <t>TODAS</t>
        </is>
      </c>
      <c r="E193" s="3" t="n">
        <v>576</v>
      </c>
      <c r="F193" s="3" t="n">
        <v>0.625</v>
      </c>
      <c r="G193" s="3" t="inlineStr">
        <is>
          <t>positivo</t>
        </is>
      </c>
      <c r="H193" s="3" t="n">
        <v>0.2829861111111111</v>
      </c>
      <c r="I193" s="3" t="n">
        <v>0.1477930666274711</v>
      </c>
      <c r="J193" s="3" t="n">
        <v>-0.443828934643548</v>
      </c>
      <c r="K193" s="3" t="n">
        <v>0.8290166211800977</v>
      </c>
      <c r="L193" s="3" t="inlineStr">
        <is>
          <t>no</t>
        </is>
      </c>
      <c r="M193" s="3" t="n">
        <v>0</v>
      </c>
      <c r="N193" s="3" t="inlineStr">
        <is>
          <t>mas es mas presion</t>
        </is>
      </c>
      <c r="O193" s="3" t="n">
        <v>0.1477930666274711</v>
      </c>
      <c r="P193" s="3" t="inlineStr">
        <is>
          <t>bis_hpi_xm_real</t>
        </is>
      </c>
      <c r="Q193" s="3" t="inlineStr">
        <is>
          <t>no</t>
        </is>
      </c>
      <c r="R193" s="3" t="inlineStr">
        <is>
          <t>C4</t>
        </is>
      </c>
      <c r="S193" s="3" t="inlineStr">
        <is>
          <t>output/v8/M7/resumen_multiverso.csv</t>
        </is>
      </c>
    </row>
    <row r="194">
      <c r="A194" s="3" t="inlineStr">
        <is>
          <t>compra</t>
        </is>
      </c>
      <c r="B194" s="3" t="inlineStr">
        <is>
          <t>P3</t>
        </is>
      </c>
      <c r="C194" s="3" t="inlineStr">
        <is>
          <t>factor_europeo</t>
        </is>
      </c>
      <c r="D194" s="3" t="inlineStr">
        <is>
          <t>bis_hpi_xm_real</t>
        </is>
      </c>
      <c r="E194" s="3" t="n">
        <v>192</v>
      </c>
      <c r="F194" s="3" t="n">
        <v>0.78125</v>
      </c>
      <c r="G194" s="3" t="inlineStr">
        <is>
          <t>positivo</t>
        </is>
      </c>
      <c r="H194" s="3" t="n">
        <v>0.4583333333333333</v>
      </c>
      <c r="I194" s="3" t="n">
        <v>0.4362560880757212</v>
      </c>
      <c r="J194" s="3" t="n">
        <v>-0.4516613113130187</v>
      </c>
      <c r="K194" s="3" t="n">
        <v>0.8215555613060167</v>
      </c>
      <c r="L194" s="3" t="inlineStr">
        <is>
          <t>no</t>
        </is>
      </c>
      <c r="M194" s="3" t="n">
        <v>0</v>
      </c>
      <c r="N194" s="3" t="inlineStr">
        <is>
          <t>mas es mas presion</t>
        </is>
      </c>
      <c r="O194" s="3" t="n">
        <v>0.4362560880757212</v>
      </c>
      <c r="P194" s="3" t="inlineStr">
        <is>
          <t>principal</t>
        </is>
      </c>
      <c r="Q194" s="3" t="n"/>
      <c r="R194" s="3" t="inlineStr">
        <is>
          <t>C4</t>
        </is>
      </c>
      <c r="S194" s="3" t="inlineStr">
        <is>
          <t>output/v8/M7/resumen_multiverso.csv</t>
        </is>
      </c>
    </row>
    <row r="195">
      <c r="A195" s="3" t="inlineStr">
        <is>
          <t>compra</t>
        </is>
      </c>
      <c r="B195" s="3" t="inlineStr">
        <is>
          <t>P3</t>
        </is>
      </c>
      <c r="C195" s="3" t="inlineStr">
        <is>
          <t>factor_europeo</t>
        </is>
      </c>
      <c r="D195" s="3" t="inlineStr">
        <is>
          <t>hpi_ea19</t>
        </is>
      </c>
      <c r="E195" s="3" t="n">
        <v>192</v>
      </c>
      <c r="F195" s="3" t="n">
        <v>0.7708333333333334</v>
      </c>
      <c r="G195" s="3" t="inlineStr">
        <is>
          <t>positivo</t>
        </is>
      </c>
      <c r="H195" s="3" t="n">
        <v>0.3697916666666667</v>
      </c>
      <c r="I195" s="3" t="n">
        <v>0.41430295033877</v>
      </c>
      <c r="J195" s="3" t="n">
        <v>-0.2927673520094656</v>
      </c>
      <c r="K195" s="3" t="n">
        <v>1.053562224167806</v>
      </c>
      <c r="L195" s="3" t="inlineStr">
        <is>
          <t>no</t>
        </is>
      </c>
      <c r="M195" s="3" t="n">
        <v>0</v>
      </c>
      <c r="N195" s="3" t="inlineStr">
        <is>
          <t>mas es mas presion</t>
        </is>
      </c>
      <c r="O195" s="3" t="n">
        <v>0.41430295033877</v>
      </c>
      <c r="P195" s="3" t="n"/>
      <c r="Q195" s="3" t="n"/>
      <c r="R195" s="3" t="inlineStr">
        <is>
          <t>C4</t>
        </is>
      </c>
      <c r="S195" s="3" t="inlineStr">
        <is>
          <t>output/v8/M7/resumen_multiverso.csv</t>
        </is>
      </c>
    </row>
    <row r="196">
      <c r="A196" s="3" t="inlineStr">
        <is>
          <t>compra</t>
        </is>
      </c>
      <c r="B196" s="3" t="inlineStr">
        <is>
          <t>P3</t>
        </is>
      </c>
      <c r="C196" s="3" t="inlineStr">
        <is>
          <t>factor_europeo</t>
        </is>
      </c>
      <c r="D196" s="3" t="inlineStr">
        <is>
          <t>jk_mp</t>
        </is>
      </c>
      <c r="E196" s="3" t="n">
        <v>192</v>
      </c>
      <c r="F196" s="3" t="n">
        <v>0.6770833333333334</v>
      </c>
      <c r="G196" s="3" t="inlineStr">
        <is>
          <t>negativo</t>
        </is>
      </c>
      <c r="H196" s="3" t="n">
        <v>0.125</v>
      </c>
      <c r="I196" s="3" t="n">
        <v>-0.1164326023939822</v>
      </c>
      <c r="J196" s="3" t="n">
        <v>-0.4868720050154485</v>
      </c>
      <c r="K196" s="3" t="n">
        <v>0.1986025890987319</v>
      </c>
      <c r="L196" s="3" t="inlineStr">
        <is>
          <t>no</t>
        </is>
      </c>
      <c r="M196" s="3" t="n">
        <v>0</v>
      </c>
      <c r="N196" s="3" t="inlineStr">
        <is>
          <t>mas es mas presion</t>
        </is>
      </c>
      <c r="O196" s="3" t="n">
        <v>-0.1164326023939822</v>
      </c>
      <c r="P196" s="3" t="n"/>
      <c r="Q196" s="3" t="n"/>
      <c r="R196" s="3" t="inlineStr">
        <is>
          <t>C4</t>
        </is>
      </c>
      <c r="S196" s="3" t="inlineStr">
        <is>
          <t>output/v8/M7/resumen_multiverso.csv</t>
        </is>
      </c>
    </row>
    <row r="197">
      <c r="A197" s="3" t="inlineStr">
        <is>
          <t>compra</t>
        </is>
      </c>
      <c r="B197" s="3" t="inlineStr">
        <is>
          <t>P3</t>
        </is>
      </c>
      <c r="C197" s="3" t="inlineStr">
        <is>
          <t>oferta</t>
        </is>
      </c>
      <c r="D197" s="3" t="inlineStr">
        <is>
          <t>TODAS</t>
        </is>
      </c>
      <c r="E197" s="3" t="n">
        <v>576</v>
      </c>
      <c r="F197" s="3" t="n">
        <v>0.6666666666666666</v>
      </c>
      <c r="G197" s="3" t="inlineStr">
        <is>
          <t>positivo</t>
        </is>
      </c>
      <c r="H197" s="3" t="n">
        <v>0.2534722222222222</v>
      </c>
      <c r="I197" s="3" t="n">
        <v>0.2015843055339108</v>
      </c>
      <c r="J197" s="3" t="n">
        <v>-0.5168893564341485</v>
      </c>
      <c r="K197" s="3" t="n">
        <v>0.6795102663397448</v>
      </c>
      <c r="L197" s="3" t="inlineStr">
        <is>
          <t>no</t>
        </is>
      </c>
      <c r="M197" s="3" t="n">
        <v>0</v>
      </c>
      <c r="N197" s="3" t="inlineStr">
        <is>
          <t>mas es mas presion</t>
        </is>
      </c>
      <c r="O197" s="3" t="n">
        <v>0.2015843055339108</v>
      </c>
      <c r="P197" s="3" t="inlineStr">
        <is>
          <t>terminadas</t>
        </is>
      </c>
      <c r="Q197" s="3" t="inlineStr">
        <is>
          <t>no</t>
        </is>
      </c>
      <c r="R197" s="3" t="inlineStr">
        <is>
          <t>C4</t>
        </is>
      </c>
      <c r="S197" s="3" t="inlineStr">
        <is>
          <t>output/v8/M7/resumen_multiverso.csv</t>
        </is>
      </c>
    </row>
    <row r="198">
      <c r="A198" s="3" t="inlineStr">
        <is>
          <t>compra</t>
        </is>
      </c>
      <c r="B198" s="3" t="inlineStr">
        <is>
          <t>P3</t>
        </is>
      </c>
      <c r="C198" s="3" t="inlineStr">
        <is>
          <t>oferta</t>
        </is>
      </c>
      <c r="D198" s="3" t="inlineStr">
        <is>
          <t>costes_constr</t>
        </is>
      </c>
      <c r="E198" s="3" t="n">
        <v>192</v>
      </c>
      <c r="F198" s="3" t="n">
        <v>0.6145833333333334</v>
      </c>
      <c r="G198" s="3" t="inlineStr">
        <is>
          <t>positivo</t>
        </is>
      </c>
      <c r="H198" s="3" t="n">
        <v>0.2552083333333333</v>
      </c>
      <c r="I198" s="3" t="n">
        <v>0.1220720780237666</v>
      </c>
      <c r="J198" s="3" t="n">
        <v>-0.6026968481307129</v>
      </c>
      <c r="K198" s="3" t="n">
        <v>0.6959645206839415</v>
      </c>
      <c r="L198" s="3" t="inlineStr">
        <is>
          <t>no</t>
        </is>
      </c>
      <c r="M198" s="3" t="n">
        <v>0</v>
      </c>
      <c r="N198" s="3" t="inlineStr">
        <is>
          <t>mas es mas presion</t>
        </is>
      </c>
      <c r="O198" s="3" t="n">
        <v>0.1220720780237666</v>
      </c>
      <c r="P198" s="3" t="n"/>
      <c r="Q198" s="3" t="n"/>
      <c r="R198" s="3" t="inlineStr">
        <is>
          <t>C4</t>
        </is>
      </c>
      <c r="S198" s="3" t="inlineStr">
        <is>
          <t>output/v8/M7/resumen_multiverso.csv</t>
        </is>
      </c>
    </row>
    <row r="199">
      <c r="A199" s="3" t="inlineStr">
        <is>
          <t>compra</t>
        </is>
      </c>
      <c r="B199" s="3" t="inlineStr">
        <is>
          <t>P3</t>
        </is>
      </c>
      <c r="C199" s="3" t="inlineStr">
        <is>
          <t>oferta</t>
        </is>
      </c>
      <c r="D199" s="3" t="inlineStr">
        <is>
          <t>terminadas</t>
        </is>
      </c>
      <c r="E199" s="3" t="n">
        <v>192</v>
      </c>
      <c r="F199" s="3" t="n">
        <v>0.5729166666666666</v>
      </c>
      <c r="G199" s="3" t="inlineStr">
        <is>
          <t>positivo</t>
        </is>
      </c>
      <c r="H199" s="3" t="n">
        <v>0.1875</v>
      </c>
      <c r="I199" s="3" t="n">
        <v>0.07543247657674559</v>
      </c>
      <c r="J199" s="3" t="n">
        <v>-0.5263395188179263</v>
      </c>
      <c r="K199" s="3" t="n">
        <v>0.6560926463330923</v>
      </c>
      <c r="L199" s="3" t="inlineStr">
        <is>
          <t>no</t>
        </is>
      </c>
      <c r="M199" s="3" t="n">
        <v>0</v>
      </c>
      <c r="N199" s="3" t="inlineStr">
        <is>
          <t>mas es mas presion</t>
        </is>
      </c>
      <c r="O199" s="3" t="n">
        <v>0.07543247657674559</v>
      </c>
      <c r="P199" s="3" t="inlineStr">
        <is>
          <t>principal</t>
        </is>
      </c>
      <c r="Q199" s="3" t="n"/>
      <c r="R199" s="3" t="inlineStr">
        <is>
          <t>C4</t>
        </is>
      </c>
      <c r="S199" s="3" t="inlineStr">
        <is>
          <t>output/v8/M7/resumen_multiverso.csv</t>
        </is>
      </c>
    </row>
    <row r="200">
      <c r="A200" s="3" t="inlineStr">
        <is>
          <t>compra</t>
        </is>
      </c>
      <c r="B200" s="3" t="inlineStr">
        <is>
          <t>P3</t>
        </is>
      </c>
      <c r="C200" s="3" t="inlineStr">
        <is>
          <t>oferta</t>
        </is>
      </c>
      <c r="D200" s="3" t="inlineStr">
        <is>
          <t>visados</t>
        </is>
      </c>
      <c r="E200" s="3" t="n">
        <v>192</v>
      </c>
      <c r="F200" s="3" t="n">
        <v>0.8125</v>
      </c>
      <c r="G200" s="3" t="inlineStr">
        <is>
          <t>positivo</t>
        </is>
      </c>
      <c r="H200" s="3" t="n">
        <v>0.3177083333333333</v>
      </c>
      <c r="I200" s="3" t="n">
        <v>0.2625258491145338</v>
      </c>
      <c r="J200" s="3" t="n">
        <v>-0.3851313112459322</v>
      </c>
      <c r="K200" s="3" t="n">
        <v>0.6782273847364187</v>
      </c>
      <c r="L200" s="3" t="inlineStr">
        <is>
          <t>no</t>
        </is>
      </c>
      <c r="M200" s="3" t="n">
        <v>0</v>
      </c>
      <c r="N200" s="3" t="inlineStr">
        <is>
          <t>mas es mas presion</t>
        </is>
      </c>
      <c r="O200" s="3" t="n">
        <v>0.2625258491145338</v>
      </c>
      <c r="P200" s="3" t="n"/>
      <c r="Q200" s="3" t="n"/>
      <c r="R200" s="3" t="inlineStr">
        <is>
          <t>C4</t>
        </is>
      </c>
      <c r="S200" s="3" t="inlineStr">
        <is>
          <t>output/v8/M7/resumen_multiverso.csv</t>
        </is>
      </c>
    </row>
    <row r="201">
      <c r="A201" s="3" t="inlineStr">
        <is>
          <t>compra</t>
        </is>
      </c>
      <c r="B201" s="3" t="inlineStr">
        <is>
          <t>P4</t>
        </is>
      </c>
      <c r="C201" s="3" t="inlineStr">
        <is>
          <t>credito_tipos</t>
        </is>
      </c>
      <c r="D201" s="3" t="inlineStr">
        <is>
          <t>TODAS</t>
        </is>
      </c>
      <c r="E201" s="3" t="n">
        <v>720</v>
      </c>
      <c r="F201" s="3" t="n">
        <v>0.5416666666666666</v>
      </c>
      <c r="G201" s="3" t="inlineStr">
        <is>
          <t>positivo</t>
        </is>
      </c>
      <c r="H201" s="3" t="n">
        <v>0.2388888888888889</v>
      </c>
      <c r="I201" s="3" t="n">
        <v>0.119955269603006</v>
      </c>
      <c r="J201" s="3" t="n">
        <v>-0.9082760295886196</v>
      </c>
      <c r="K201" s="3" t="n">
        <v>0.9204810968274324</v>
      </c>
      <c r="L201" s="3" t="inlineStr">
        <is>
          <t>no</t>
        </is>
      </c>
      <c r="M201" s="3" t="n">
        <v>0</v>
      </c>
      <c r="N201" s="3" t="inlineStr">
        <is>
          <t>mixta</t>
        </is>
      </c>
      <c r="O201" s="3" t="n">
        <v>0.0858979357776055</v>
      </c>
      <c r="P201" s="3" t="inlineStr">
        <is>
          <t>tipo_hip_real</t>
        </is>
      </c>
      <c r="Q201" s="3" t="inlineStr">
        <is>
          <t>no</t>
        </is>
      </c>
      <c r="R201" s="3" t="inlineStr">
        <is>
          <t>C4</t>
        </is>
      </c>
      <c r="S201" s="3" t="inlineStr">
        <is>
          <t>output/v8/M7/resumen_multiverso.csv</t>
        </is>
      </c>
    </row>
    <row r="202">
      <c r="A202" s="3" t="inlineStr">
        <is>
          <t>compra</t>
        </is>
      </c>
      <c r="B202" s="3" t="inlineStr">
        <is>
          <t>P4</t>
        </is>
      </c>
      <c r="C202" s="3" t="inlineStr">
        <is>
          <t>credito_tipos</t>
        </is>
      </c>
      <c r="D202" s="3" t="inlineStr">
        <is>
          <t>credito_nuevo_real</t>
        </is>
      </c>
      <c r="E202" s="3" t="n">
        <v>240</v>
      </c>
      <c r="F202" s="3" t="n">
        <v>0.5</v>
      </c>
      <c r="G202" s="3" t="inlineStr">
        <is>
          <t>positivo</t>
        </is>
      </c>
      <c r="H202" s="3" t="n">
        <v>0.1416666666666666</v>
      </c>
      <c r="I202" s="3" t="n">
        <v>0.0069607764558824</v>
      </c>
      <c r="J202" s="3" t="n">
        <v>-1.024577441191438</v>
      </c>
      <c r="K202" s="3" t="n">
        <v>1.143606586309983</v>
      </c>
      <c r="L202" s="3" t="inlineStr">
        <is>
          <t>no</t>
        </is>
      </c>
      <c r="M202" s="3" t="n">
        <v>0</v>
      </c>
      <c r="N202" s="3" t="inlineStr">
        <is>
          <t>mas es mas presion</t>
        </is>
      </c>
      <c r="O202" s="3" t="n">
        <v>0.0069607764558824</v>
      </c>
      <c r="P202" s="3" t="n"/>
      <c r="Q202" s="3" t="n"/>
      <c r="R202" s="3" t="inlineStr">
        <is>
          <t>C4</t>
        </is>
      </c>
      <c r="S202" s="3" t="inlineStr">
        <is>
          <t>output/v8/M7/resumen_multiverso.csv</t>
        </is>
      </c>
    </row>
    <row r="203">
      <c r="A203" s="3" t="inlineStr">
        <is>
          <t>compra</t>
        </is>
      </c>
      <c r="B203" s="3" t="inlineStr">
        <is>
          <t>P4</t>
        </is>
      </c>
      <c r="C203" s="3" t="inlineStr">
        <is>
          <t>credito_tipos</t>
        </is>
      </c>
      <c r="D203" s="3" t="inlineStr">
        <is>
          <t>credito_stock_real</t>
        </is>
      </c>
      <c r="E203" s="3" t="n">
        <v>240</v>
      </c>
      <c r="F203" s="3" t="n">
        <v>0.65</v>
      </c>
      <c r="G203" s="3" t="inlineStr">
        <is>
          <t>positivo</t>
        </is>
      </c>
      <c r="H203" s="3" t="n">
        <v>0.3041666666666666</v>
      </c>
      <c r="I203" s="3" t="n">
        <v>0.3348226872879999</v>
      </c>
      <c r="J203" s="3" t="n">
        <v>-0.5290921629121949</v>
      </c>
      <c r="K203" s="3" t="n">
        <v>0.8990975536818572</v>
      </c>
      <c r="L203" s="3" t="inlineStr">
        <is>
          <t>no</t>
        </is>
      </c>
      <c r="M203" s="3" t="n">
        <v>0</v>
      </c>
      <c r="N203" s="3" t="inlineStr">
        <is>
          <t>mas es mas presion</t>
        </is>
      </c>
      <c r="O203" s="3" t="n">
        <v>0.3348226872879999</v>
      </c>
      <c r="P203" s="3" t="n"/>
      <c r="Q203" s="3" t="n"/>
      <c r="R203" s="3" t="inlineStr">
        <is>
          <t>C4</t>
        </is>
      </c>
      <c r="S203" s="3" t="inlineStr">
        <is>
          <t>output/v8/M7/resumen_multiverso.csv</t>
        </is>
      </c>
    </row>
    <row r="204">
      <c r="A204" s="3" t="inlineStr">
        <is>
          <t>compra</t>
        </is>
      </c>
      <c r="B204" s="3" t="inlineStr">
        <is>
          <t>P4</t>
        </is>
      </c>
      <c r="C204" s="3" t="inlineStr">
        <is>
          <t>credito_tipos</t>
        </is>
      </c>
      <c r="D204" s="3" t="inlineStr">
        <is>
          <t>tipo_hip_real</t>
        </is>
      </c>
      <c r="E204" s="3" t="n">
        <v>240</v>
      </c>
      <c r="F204" s="3" t="n">
        <v>0.525</v>
      </c>
      <c r="G204" s="3" t="inlineStr">
        <is>
          <t>negativo</t>
        </is>
      </c>
      <c r="H204" s="3" t="n">
        <v>0.225</v>
      </c>
      <c r="I204" s="3" t="n">
        <v>0.1548045479243469</v>
      </c>
      <c r="J204" s="3" t="n">
        <v>-0.9232193105260196</v>
      </c>
      <c r="K204" s="3" t="n">
        <v>0.8760033949767819</v>
      </c>
      <c r="L204" s="3" t="inlineStr">
        <is>
          <t>no</t>
        </is>
      </c>
      <c r="M204" s="3" t="n">
        <v>0</v>
      </c>
      <c r="N204" s="3" t="inlineStr">
        <is>
          <t>tipo x-1</t>
        </is>
      </c>
      <c r="O204" s="3" t="n">
        <v>-0.1548045479243469</v>
      </c>
      <c r="P204" s="3" t="inlineStr">
        <is>
          <t>principal</t>
        </is>
      </c>
      <c r="Q204" s="3" t="n"/>
      <c r="R204" s="3" t="inlineStr">
        <is>
          <t>C4</t>
        </is>
      </c>
      <c r="S204" s="3" t="inlineStr">
        <is>
          <t>output/v8/M7/resumen_multiverso.csv</t>
        </is>
      </c>
    </row>
    <row r="205">
      <c r="A205" s="3" t="inlineStr">
        <is>
          <t>compra</t>
        </is>
      </c>
      <c r="B205" s="3" t="inlineStr">
        <is>
          <t>P4</t>
        </is>
      </c>
      <c r="C205" s="3" t="inlineStr">
        <is>
          <t>demanda_externa</t>
        </is>
      </c>
      <c r="D205" s="3" t="inlineStr">
        <is>
          <t>TODAS</t>
        </is>
      </c>
      <c r="E205" s="3" t="n">
        <v>384</v>
      </c>
      <c r="F205" s="3" t="n">
        <v>0.515625</v>
      </c>
      <c r="G205" s="3" t="inlineStr">
        <is>
          <t>negativo</t>
        </is>
      </c>
      <c r="H205" s="3" t="n">
        <v>0.125</v>
      </c>
      <c r="I205" s="3" t="n">
        <v>-0.0269837381373316</v>
      </c>
      <c r="J205" s="3" t="n">
        <v>-1.374285043369001</v>
      </c>
      <c r="K205" s="3" t="n">
        <v>1.283430001841535</v>
      </c>
      <c r="L205" s="3" t="inlineStr">
        <is>
          <t>no</t>
        </is>
      </c>
      <c r="M205" s="3" t="n">
        <v>0</v>
      </c>
      <c r="N205" s="3" t="inlineStr">
        <is>
          <t>mas es mas presion</t>
        </is>
      </c>
      <c r="O205" s="3" t="n">
        <v>-0.0269837381373316</v>
      </c>
      <c r="P205" s="3" t="inlineStr">
        <is>
          <t>tx_extranj</t>
        </is>
      </c>
      <c r="Q205" s="3" t="inlineStr">
        <is>
          <t>no</t>
        </is>
      </c>
      <c r="R205" s="3" t="inlineStr">
        <is>
          <t>C4</t>
        </is>
      </c>
      <c r="S205" s="3" t="inlineStr">
        <is>
          <t>output/v8/M7/resumen_multiverso.csv</t>
        </is>
      </c>
    </row>
    <row r="206">
      <c r="A206" s="3" t="inlineStr">
        <is>
          <t>compra</t>
        </is>
      </c>
      <c r="B206" s="3" t="inlineStr">
        <is>
          <t>P4</t>
        </is>
      </c>
      <c r="C206" s="3" t="inlineStr">
        <is>
          <t>demanda_externa</t>
        </is>
      </c>
      <c r="D206" s="3" t="inlineStr">
        <is>
          <t>cuota_extranj</t>
        </is>
      </c>
      <c r="E206" s="3" t="n">
        <v>192</v>
      </c>
      <c r="F206" s="3" t="n">
        <v>0.5104166666666666</v>
      </c>
      <c r="G206" s="3" t="inlineStr">
        <is>
          <t>negativo</t>
        </is>
      </c>
      <c r="H206" s="3" t="n">
        <v>0.0572916666666666</v>
      </c>
      <c r="I206" s="3" t="n">
        <v>-0.0165111476826156</v>
      </c>
      <c r="J206" s="3" t="n">
        <v>-0.607206622409083</v>
      </c>
      <c r="K206" s="3" t="n">
        <v>1.220792864522208</v>
      </c>
      <c r="L206" s="3" t="inlineStr">
        <is>
          <t>no</t>
        </is>
      </c>
      <c r="M206" s="3" t="n">
        <v>0</v>
      </c>
      <c r="N206" s="3" t="inlineStr">
        <is>
          <t>mas es mas presion</t>
        </is>
      </c>
      <c r="O206" s="3" t="n">
        <v>-0.0165111476826156</v>
      </c>
      <c r="P206" s="3" t="n"/>
      <c r="Q206" s="3" t="n"/>
      <c r="R206" s="3" t="inlineStr">
        <is>
          <t>C4</t>
        </is>
      </c>
      <c r="S206" s="3" t="inlineStr">
        <is>
          <t>output/v8/M7/resumen_multiverso.csv</t>
        </is>
      </c>
    </row>
    <row r="207">
      <c r="A207" s="3" t="inlineStr">
        <is>
          <t>compra</t>
        </is>
      </c>
      <c r="B207" s="3" t="inlineStr">
        <is>
          <t>P4</t>
        </is>
      </c>
      <c r="C207" s="3" t="inlineStr">
        <is>
          <t>demanda_externa</t>
        </is>
      </c>
      <c r="D207" s="3" t="inlineStr">
        <is>
          <t>tx_extranj</t>
        </is>
      </c>
      <c r="E207" s="3" t="n">
        <v>192</v>
      </c>
      <c r="F207" s="3" t="n">
        <v>0.5208333333333334</v>
      </c>
      <c r="G207" s="3" t="inlineStr">
        <is>
          <t>negativo</t>
        </is>
      </c>
      <c r="H207" s="3" t="n">
        <v>0.1927083333333333</v>
      </c>
      <c r="I207" s="3" t="n">
        <v>-0.0534484267096527</v>
      </c>
      <c r="J207" s="3" t="n">
        <v>-1.512399920194997</v>
      </c>
      <c r="K207" s="3" t="n">
        <v>1.325948006580559</v>
      </c>
      <c r="L207" s="3" t="inlineStr">
        <is>
          <t>no</t>
        </is>
      </c>
      <c r="M207" s="3" t="n">
        <v>0</v>
      </c>
      <c r="N207" s="3" t="inlineStr">
        <is>
          <t>mas es mas presion</t>
        </is>
      </c>
      <c r="O207" s="3" t="n">
        <v>-0.0534484267096527</v>
      </c>
      <c r="P207" s="3" t="inlineStr">
        <is>
          <t>principal</t>
        </is>
      </c>
      <c r="Q207" s="3" t="n"/>
      <c r="R207" s="3" t="inlineStr">
        <is>
          <t>C4</t>
        </is>
      </c>
      <c r="S207" s="3" t="inlineStr">
        <is>
          <t>output/v8/M7/resumen_multiverso.csv</t>
        </is>
      </c>
    </row>
    <row r="208">
      <c r="A208" s="3" t="inlineStr">
        <is>
          <t>compra</t>
        </is>
      </c>
      <c r="B208" s="3" t="inlineStr">
        <is>
          <t>P4</t>
        </is>
      </c>
      <c r="C208" s="3" t="inlineStr">
        <is>
          <t>demografia</t>
        </is>
      </c>
      <c r="D208" s="3" t="inlineStr">
        <is>
          <t>TODAS</t>
        </is>
      </c>
      <c r="E208" s="3" t="n">
        <v>672</v>
      </c>
      <c r="F208" s="3" t="n">
        <v>0.6696428571428571</v>
      </c>
      <c r="G208" s="3" t="inlineStr">
        <is>
          <t>negativo</t>
        </is>
      </c>
      <c r="H208" s="3" t="n">
        <v>0.2410714285714285</v>
      </c>
      <c r="I208" s="3" t="n">
        <v>-0.1973658029311453</v>
      </c>
      <c r="J208" s="3" t="n">
        <v>-0.9623661566218226</v>
      </c>
      <c r="K208" s="3" t="n">
        <v>0.6714118395070645</v>
      </c>
      <c r="L208" s="3" t="inlineStr">
        <is>
          <t>no</t>
        </is>
      </c>
      <c r="M208" s="3" t="n">
        <v>0</v>
      </c>
      <c r="N208" s="3" t="inlineStr">
        <is>
          <t>mas es mas presion</t>
        </is>
      </c>
      <c r="O208" s="3" t="n">
        <v>-0.1973658029311453</v>
      </c>
      <c r="P208" s="3" t="inlineStr">
        <is>
          <t>pob_total</t>
        </is>
      </c>
      <c r="Q208" s="3" t="inlineStr">
        <is>
          <t>no</t>
        </is>
      </c>
      <c r="R208" s="3" t="inlineStr">
        <is>
          <t>C4</t>
        </is>
      </c>
      <c r="S208" s="3" t="inlineStr">
        <is>
          <t>output/v8/M7/resumen_multiverso.csv</t>
        </is>
      </c>
    </row>
    <row r="209">
      <c r="A209" s="3" t="inlineStr">
        <is>
          <t>compra</t>
        </is>
      </c>
      <c r="B209" s="3" t="inlineStr">
        <is>
          <t>P4</t>
        </is>
      </c>
      <c r="C209" s="3" t="inlineStr">
        <is>
          <t>demografia</t>
        </is>
      </c>
      <c r="D209" s="3" t="inlineStr">
        <is>
          <t>hogares_epa</t>
        </is>
      </c>
      <c r="E209" s="3" t="n">
        <v>192</v>
      </c>
      <c r="F209" s="3" t="n">
        <v>0.6875</v>
      </c>
      <c r="G209" s="3" t="inlineStr">
        <is>
          <t>negativo</t>
        </is>
      </c>
      <c r="H209" s="3" t="n">
        <v>0.2395833333333333</v>
      </c>
      <c r="I209" s="3" t="n">
        <v>-0.1918494306029343</v>
      </c>
      <c r="J209" s="3" t="n">
        <v>-1.452370516530197</v>
      </c>
      <c r="K209" s="3" t="n">
        <v>0.8374916940951431</v>
      </c>
      <c r="L209" s="3" t="inlineStr">
        <is>
          <t>no</t>
        </is>
      </c>
      <c r="M209" s="3" t="n">
        <v>0</v>
      </c>
      <c r="N209" s="3" t="inlineStr">
        <is>
          <t>mas es mas presion</t>
        </is>
      </c>
      <c r="O209" s="3" t="n">
        <v>-0.1918494306029343</v>
      </c>
      <c r="P209" s="3" t="n"/>
      <c r="Q209" s="3" t="n"/>
      <c r="R209" s="3" t="inlineStr">
        <is>
          <t>C4</t>
        </is>
      </c>
      <c r="S209" s="3" t="inlineStr">
        <is>
          <t>output/v8/M7/resumen_multiverso.csv</t>
        </is>
      </c>
    </row>
    <row r="210">
      <c r="A210" s="3" t="inlineStr">
        <is>
          <t>compra</t>
        </is>
      </c>
      <c r="B210" s="3" t="inlineStr">
        <is>
          <t>P4</t>
        </is>
      </c>
      <c r="C210" s="3" t="inlineStr">
        <is>
          <t>demografia</t>
        </is>
      </c>
      <c r="D210" s="3" t="inlineStr">
        <is>
          <t>pob_extranj_ine</t>
        </is>
      </c>
      <c r="E210" s="3" t="n">
        <v>240</v>
      </c>
      <c r="F210" s="3" t="n">
        <v>0.6583333333333333</v>
      </c>
      <c r="G210" s="3" t="inlineStr">
        <is>
          <t>negativo</t>
        </is>
      </c>
      <c r="H210" s="3" t="n">
        <v>0.2416666666666666</v>
      </c>
      <c r="I210" s="3" t="n">
        <v>-0.1452606944002375</v>
      </c>
      <c r="J210" s="3" t="n">
        <v>-0.9002526563009322</v>
      </c>
      <c r="K210" s="3" t="n">
        <v>0.669757225031348</v>
      </c>
      <c r="L210" s="3" t="inlineStr">
        <is>
          <t>no</t>
        </is>
      </c>
      <c r="M210" s="3" t="n">
        <v>0</v>
      </c>
      <c r="N210" s="3" t="inlineStr">
        <is>
          <t>mas es mas presion</t>
        </is>
      </c>
      <c r="O210" s="3" t="n">
        <v>-0.1452606944002375</v>
      </c>
      <c r="P210" s="3" t="n"/>
      <c r="Q210" s="3" t="n"/>
      <c r="R210" s="3" t="inlineStr">
        <is>
          <t>C4</t>
        </is>
      </c>
      <c r="S210" s="3" t="inlineStr">
        <is>
          <t>output/v8/M7/resumen_multiverso.csv</t>
        </is>
      </c>
    </row>
    <row r="211">
      <c r="A211" s="3" t="inlineStr">
        <is>
          <t>compra</t>
        </is>
      </c>
      <c r="B211" s="3" t="inlineStr">
        <is>
          <t>P4</t>
        </is>
      </c>
      <c r="C211" s="3" t="inlineStr">
        <is>
          <t>demografia</t>
        </is>
      </c>
      <c r="D211" s="3" t="inlineStr">
        <is>
          <t>pob_total</t>
        </is>
      </c>
      <c r="E211" s="3" t="n">
        <v>240</v>
      </c>
      <c r="F211" s="3" t="n">
        <v>0.6666666666666666</v>
      </c>
      <c r="G211" s="3" t="inlineStr">
        <is>
          <t>negativo</t>
        </is>
      </c>
      <c r="H211" s="3" t="n">
        <v>0.2416666666666666</v>
      </c>
      <c r="I211" s="3" t="n">
        <v>-0.2767735489406979</v>
      </c>
      <c r="J211" s="3" t="n">
        <v>-0.8933745134793747</v>
      </c>
      <c r="K211" s="3" t="n">
        <v>0.6265597839424618</v>
      </c>
      <c r="L211" s="3" t="inlineStr">
        <is>
          <t>no</t>
        </is>
      </c>
      <c r="M211" s="3" t="n">
        <v>0</v>
      </c>
      <c r="N211" s="3" t="inlineStr">
        <is>
          <t>mas es mas presion</t>
        </is>
      </c>
      <c r="O211" s="3" t="n">
        <v>-0.2767735489406979</v>
      </c>
      <c r="P211" s="3" t="inlineStr">
        <is>
          <t>principal</t>
        </is>
      </c>
      <c r="Q211" s="3" t="n"/>
      <c r="R211" s="3" t="inlineStr">
        <is>
          <t>C4</t>
        </is>
      </c>
      <c r="S211" s="3" t="inlineStr">
        <is>
          <t>output/v8/M7/resumen_multiverso.csv</t>
        </is>
      </c>
    </row>
    <row r="212">
      <c r="A212" s="3" t="inlineStr">
        <is>
          <t>compra</t>
        </is>
      </c>
      <c r="B212" s="3" t="inlineStr">
        <is>
          <t>P4</t>
        </is>
      </c>
      <c r="C212" s="3" t="inlineStr">
        <is>
          <t>empleo_renta</t>
        </is>
      </c>
      <c r="D212" s="3" t="inlineStr">
        <is>
          <t>TODAS</t>
        </is>
      </c>
      <c r="E212" s="3" t="n">
        <v>672</v>
      </c>
      <c r="F212" s="3" t="n">
        <v>0.5178571428571429</v>
      </c>
      <c r="G212" s="3" t="inlineStr">
        <is>
          <t>positivo</t>
        </is>
      </c>
      <c r="H212" s="3" t="n">
        <v>0.238095238095238</v>
      </c>
      <c r="I212" s="3" t="n">
        <v>0.0217895189135064</v>
      </c>
      <c r="J212" s="3" t="n">
        <v>-0.7943357994397406</v>
      </c>
      <c r="K212" s="3" t="n">
        <v>0.937419518930934</v>
      </c>
      <c r="L212" s="3" t="inlineStr">
        <is>
          <t>no</t>
        </is>
      </c>
      <c r="M212" s="3" t="n">
        <v>0</v>
      </c>
      <c r="N212" s="3" t="inlineStr">
        <is>
          <t>mas es mas presion</t>
        </is>
      </c>
      <c r="O212" s="3" t="n">
        <v>0.0217895189135064</v>
      </c>
      <c r="P212" s="3" t="inlineStr">
        <is>
          <t>pib_vol</t>
        </is>
      </c>
      <c r="Q212" s="3" t="inlineStr">
        <is>
          <t>no</t>
        </is>
      </c>
      <c r="R212" s="3" t="inlineStr">
        <is>
          <t>C4</t>
        </is>
      </c>
      <c r="S212" s="3" t="inlineStr">
        <is>
          <t>output/v8/M7/resumen_multiverso.csv</t>
        </is>
      </c>
    </row>
    <row r="213">
      <c r="A213" s="3" t="inlineStr">
        <is>
          <t>compra</t>
        </is>
      </c>
      <c r="B213" s="3" t="inlineStr">
        <is>
          <t>P4</t>
        </is>
      </c>
      <c r="C213" s="3" t="inlineStr">
        <is>
          <t>empleo_renta</t>
        </is>
      </c>
      <c r="D213" s="3" t="inlineStr">
        <is>
          <t>ocupados</t>
        </is>
      </c>
      <c r="E213" s="3" t="n">
        <v>192</v>
      </c>
      <c r="F213" s="3" t="n">
        <v>0.5208333333333334</v>
      </c>
      <c r="G213" s="3" t="inlineStr">
        <is>
          <t>negativo</t>
        </is>
      </c>
      <c r="H213" s="3" t="n">
        <v>0.1927083333333333</v>
      </c>
      <c r="I213" s="3" t="n">
        <v>-0.0641650405095382</v>
      </c>
      <c r="J213" s="3" t="n">
        <v>-0.7684184142943657</v>
      </c>
      <c r="K213" s="3" t="n">
        <v>0.937419518930937</v>
      </c>
      <c r="L213" s="3" t="inlineStr">
        <is>
          <t>no</t>
        </is>
      </c>
      <c r="M213" s="3" t="n">
        <v>0</v>
      </c>
      <c r="N213" s="3" t="inlineStr">
        <is>
          <t>mas es mas presion</t>
        </is>
      </c>
      <c r="O213" s="3" t="n">
        <v>-0.0641650405095382</v>
      </c>
      <c r="P213" s="3" t="n"/>
      <c r="Q213" s="3" t="n"/>
      <c r="R213" s="3" t="inlineStr">
        <is>
          <t>C4</t>
        </is>
      </c>
      <c r="S213" s="3" t="inlineStr">
        <is>
          <t>output/v8/M7/resumen_multiverso.csv</t>
        </is>
      </c>
    </row>
    <row r="214">
      <c r="A214" s="3" t="inlineStr">
        <is>
          <t>compra</t>
        </is>
      </c>
      <c r="B214" s="3" t="inlineStr">
        <is>
          <t>P4</t>
        </is>
      </c>
      <c r="C214" s="3" t="inlineStr">
        <is>
          <t>empleo_renta</t>
        </is>
      </c>
      <c r="D214" s="3" t="inlineStr">
        <is>
          <t>pib_vol</t>
        </is>
      </c>
      <c r="E214" s="3" t="n">
        <v>240</v>
      </c>
      <c r="F214" s="3" t="n">
        <v>0.525</v>
      </c>
      <c r="G214" s="3" t="inlineStr">
        <is>
          <t>positivo</t>
        </is>
      </c>
      <c r="H214" s="3" t="n">
        <v>0.2625</v>
      </c>
      <c r="I214" s="3" t="n">
        <v>0.0254415770322561</v>
      </c>
      <c r="J214" s="3" t="n">
        <v>-0.8534148638517356</v>
      </c>
      <c r="K214" s="3" t="n">
        <v>0.7912859261318382</v>
      </c>
      <c r="L214" s="3" t="inlineStr">
        <is>
          <t>no</t>
        </is>
      </c>
      <c r="M214" s="3" t="n">
        <v>0</v>
      </c>
      <c r="N214" s="3" t="inlineStr">
        <is>
          <t>mas es mas presion</t>
        </is>
      </c>
      <c r="O214" s="3" t="n">
        <v>0.0254415770322561</v>
      </c>
      <c r="P214" s="3" t="inlineStr">
        <is>
          <t>principal</t>
        </is>
      </c>
      <c r="Q214" s="3" t="n"/>
      <c r="R214" s="3" t="inlineStr">
        <is>
          <t>C4</t>
        </is>
      </c>
      <c r="S214" s="3" t="inlineStr">
        <is>
          <t>output/v8/M7/resumen_multiverso.csv</t>
        </is>
      </c>
    </row>
    <row r="215">
      <c r="A215" s="3" t="inlineStr">
        <is>
          <t>compra</t>
        </is>
      </c>
      <c r="B215" s="3" t="inlineStr">
        <is>
          <t>P4</t>
        </is>
      </c>
      <c r="C215" s="3" t="inlineStr">
        <is>
          <t>empleo_renta</t>
        </is>
      </c>
      <c r="D215" s="3" t="inlineStr">
        <is>
          <t>rdb_real</t>
        </is>
      </c>
      <c r="E215" s="3" t="n">
        <v>240</v>
      </c>
      <c r="F215" s="3" t="n">
        <v>0.5416666666666666</v>
      </c>
      <c r="G215" s="3" t="inlineStr">
        <is>
          <t>positivo</t>
        </is>
      </c>
      <c r="H215" s="3" t="n">
        <v>0.25</v>
      </c>
      <c r="I215" s="3" t="n">
        <v>0.0380310069725908</v>
      </c>
      <c r="J215" s="3" t="n">
        <v>-0.7611435506053656</v>
      </c>
      <c r="K215" s="3" t="n">
        <v>0.78009282661691</v>
      </c>
      <c r="L215" s="3" t="inlineStr">
        <is>
          <t>no</t>
        </is>
      </c>
      <c r="M215" s="3" t="n">
        <v>0</v>
      </c>
      <c r="N215" s="3" t="inlineStr">
        <is>
          <t>mas es mas presion</t>
        </is>
      </c>
      <c r="O215" s="3" t="n">
        <v>0.0380310069725908</v>
      </c>
      <c r="P215" s="3" t="n"/>
      <c r="Q215" s="3" t="n"/>
      <c r="R215" s="3" t="inlineStr">
        <is>
          <t>C4</t>
        </is>
      </c>
      <c r="S215" s="3" t="inlineStr">
        <is>
          <t>output/v8/M7/resumen_multiverso.csv</t>
        </is>
      </c>
    </row>
    <row r="216">
      <c r="A216" s="3" t="inlineStr">
        <is>
          <t>compra</t>
        </is>
      </c>
      <c r="B216" s="3" t="inlineStr">
        <is>
          <t>P4</t>
        </is>
      </c>
      <c r="C216" s="3" t="inlineStr">
        <is>
          <t>factor_europeo</t>
        </is>
      </c>
      <c r="D216" s="3" t="inlineStr">
        <is>
          <t>TODAS</t>
        </is>
      </c>
      <c r="E216" s="3" t="n">
        <v>576</v>
      </c>
      <c r="F216" s="3" t="n">
        <v>0.5416666666666666</v>
      </c>
      <c r="G216" s="3" t="inlineStr">
        <is>
          <t>negativo</t>
        </is>
      </c>
      <c r="H216" s="3" t="n">
        <v>0.171875</v>
      </c>
      <c r="I216" s="3" t="n">
        <v>-0.0691049385338432</v>
      </c>
      <c r="J216" s="3" t="n">
        <v>-0.912783265118964</v>
      </c>
      <c r="K216" s="3" t="n">
        <v>0.8915453658708654</v>
      </c>
      <c r="L216" s="3" t="inlineStr">
        <is>
          <t>no</t>
        </is>
      </c>
      <c r="M216" s="3" t="n">
        <v>0</v>
      </c>
      <c r="N216" s="3" t="inlineStr">
        <is>
          <t>mas es mas presion</t>
        </is>
      </c>
      <c r="O216" s="3" t="n">
        <v>-0.0691049385338432</v>
      </c>
      <c r="P216" s="3" t="inlineStr">
        <is>
          <t>bis_hpi_xm_real</t>
        </is>
      </c>
      <c r="Q216" s="3" t="inlineStr">
        <is>
          <t>no</t>
        </is>
      </c>
      <c r="R216" s="3" t="inlineStr">
        <is>
          <t>C4</t>
        </is>
      </c>
      <c r="S216" s="3" t="inlineStr">
        <is>
          <t>output/v8/M7/resumen_multiverso.csv</t>
        </is>
      </c>
    </row>
    <row r="217">
      <c r="A217" s="3" t="inlineStr">
        <is>
          <t>compra</t>
        </is>
      </c>
      <c r="B217" s="3" t="inlineStr">
        <is>
          <t>P4</t>
        </is>
      </c>
      <c r="C217" s="3" t="inlineStr">
        <is>
          <t>factor_europeo</t>
        </is>
      </c>
      <c r="D217" s="3" t="inlineStr">
        <is>
          <t>bis_hpi_xm_real</t>
        </is>
      </c>
      <c r="E217" s="3" t="n">
        <v>192</v>
      </c>
      <c r="F217" s="3" t="n">
        <v>0.5208333333333334</v>
      </c>
      <c r="G217" s="3" t="inlineStr">
        <is>
          <t>negativo</t>
        </is>
      </c>
      <c r="H217" s="3" t="n">
        <v>0.1770833333333333</v>
      </c>
      <c r="I217" s="3" t="n">
        <v>-0.0860712368038182</v>
      </c>
      <c r="J217" s="3" t="n">
        <v>-0.7725295930542725</v>
      </c>
      <c r="K217" s="3" t="n">
        <v>0.80890418230789</v>
      </c>
      <c r="L217" s="3" t="inlineStr">
        <is>
          <t>no</t>
        </is>
      </c>
      <c r="M217" s="3" t="n">
        <v>0</v>
      </c>
      <c r="N217" s="3" t="inlineStr">
        <is>
          <t>mas es mas presion</t>
        </is>
      </c>
      <c r="O217" s="3" t="n">
        <v>-0.0860712368038182</v>
      </c>
      <c r="P217" s="3" t="inlineStr">
        <is>
          <t>principal</t>
        </is>
      </c>
      <c r="Q217" s="3" t="n"/>
      <c r="R217" s="3" t="inlineStr">
        <is>
          <t>C4</t>
        </is>
      </c>
      <c r="S217" s="3" t="inlineStr">
        <is>
          <t>output/v8/M7/resumen_multiverso.csv</t>
        </is>
      </c>
    </row>
    <row r="218">
      <c r="A218" s="3" t="inlineStr">
        <is>
          <t>compra</t>
        </is>
      </c>
      <c r="B218" s="3" t="inlineStr">
        <is>
          <t>P4</t>
        </is>
      </c>
      <c r="C218" s="3" t="inlineStr">
        <is>
          <t>factor_europeo</t>
        </is>
      </c>
      <c r="D218" s="3" t="inlineStr">
        <is>
          <t>hpi_ea19</t>
        </is>
      </c>
      <c r="E218" s="3" t="n">
        <v>192</v>
      </c>
      <c r="F218" s="3" t="n">
        <v>0.5</v>
      </c>
      <c r="G218" s="3" t="inlineStr">
        <is>
          <t>negativo</t>
        </is>
      </c>
      <c r="H218" s="3" t="n">
        <v>0.1510416666666666</v>
      </c>
      <c r="I218" s="3" t="n">
        <v>-0.0151417855222745</v>
      </c>
      <c r="J218" s="3" t="n">
        <v>-0.8737204907212951</v>
      </c>
      <c r="K218" s="3" t="n">
        <v>1.063494660339577</v>
      </c>
      <c r="L218" s="3" t="inlineStr">
        <is>
          <t>no</t>
        </is>
      </c>
      <c r="M218" s="3" t="n">
        <v>0</v>
      </c>
      <c r="N218" s="3" t="inlineStr">
        <is>
          <t>mas es mas presion</t>
        </is>
      </c>
      <c r="O218" s="3" t="n">
        <v>-0.0151417855222745</v>
      </c>
      <c r="P218" s="3" t="n"/>
      <c r="Q218" s="3" t="n"/>
      <c r="R218" s="3" t="inlineStr">
        <is>
          <t>C4</t>
        </is>
      </c>
      <c r="S218" s="3" t="inlineStr">
        <is>
          <t>output/v8/M7/resumen_multiverso.csv</t>
        </is>
      </c>
    </row>
    <row r="219">
      <c r="A219" s="3" t="inlineStr">
        <is>
          <t>compra</t>
        </is>
      </c>
      <c r="B219" s="3" t="inlineStr">
        <is>
          <t>P4</t>
        </is>
      </c>
      <c r="C219" s="3" t="inlineStr">
        <is>
          <t>factor_europeo</t>
        </is>
      </c>
      <c r="D219" s="3" t="inlineStr">
        <is>
          <t>jk_mp</t>
        </is>
      </c>
      <c r="E219" s="3" t="n">
        <v>192</v>
      </c>
      <c r="F219" s="3" t="n">
        <v>0.6041666666666666</v>
      </c>
      <c r="G219" s="3" t="inlineStr">
        <is>
          <t>negativo</t>
        </is>
      </c>
      <c r="H219" s="3" t="n">
        <v>0.1875</v>
      </c>
      <c r="I219" s="3" t="n">
        <v>-0.1241289486612108</v>
      </c>
      <c r="J219" s="3" t="n">
        <v>-1.002397551098551</v>
      </c>
      <c r="K219" s="3" t="n">
        <v>0.7300926227882095</v>
      </c>
      <c r="L219" s="3" t="inlineStr">
        <is>
          <t>no</t>
        </is>
      </c>
      <c r="M219" s="3" t="n">
        <v>0</v>
      </c>
      <c r="N219" s="3" t="inlineStr">
        <is>
          <t>mas es mas presion</t>
        </is>
      </c>
      <c r="O219" s="3" t="n">
        <v>-0.1241289486612108</v>
      </c>
      <c r="P219" s="3" t="n"/>
      <c r="Q219" s="3" t="n"/>
      <c r="R219" s="3" t="inlineStr">
        <is>
          <t>C4</t>
        </is>
      </c>
      <c r="S219" s="3" t="inlineStr">
        <is>
          <t>output/v8/M7/resumen_multiverso.csv</t>
        </is>
      </c>
    </row>
    <row r="220">
      <c r="A220" s="3" t="inlineStr">
        <is>
          <t>compra</t>
        </is>
      </c>
      <c r="B220" s="3" t="inlineStr">
        <is>
          <t>P4</t>
        </is>
      </c>
      <c r="C220" s="3" t="inlineStr">
        <is>
          <t>oferta</t>
        </is>
      </c>
      <c r="D220" s="3" t="inlineStr">
        <is>
          <t>TODAS</t>
        </is>
      </c>
      <c r="E220" s="3" t="n">
        <v>720</v>
      </c>
      <c r="F220" s="3" t="n">
        <v>0.5305555555555556</v>
      </c>
      <c r="G220" s="3" t="inlineStr">
        <is>
          <t>negativo</t>
        </is>
      </c>
      <c r="H220" s="3" t="n">
        <v>0.1236111111111111</v>
      </c>
      <c r="I220" s="3" t="n">
        <v>-0.061939251393406</v>
      </c>
      <c r="J220" s="3" t="n">
        <v>-0.6861142165453801</v>
      </c>
      <c r="K220" s="3" t="n">
        <v>0.9123723751420308</v>
      </c>
      <c r="L220" s="3" t="inlineStr">
        <is>
          <t>no</t>
        </is>
      </c>
      <c r="M220" s="3" t="n">
        <v>0</v>
      </c>
      <c r="N220" s="3" t="inlineStr">
        <is>
          <t>mas es mas presion</t>
        </is>
      </c>
      <c r="O220" s="3" t="n">
        <v>-0.061939251393406</v>
      </c>
      <c r="P220" s="3" t="inlineStr">
        <is>
          <t>terminadas</t>
        </is>
      </c>
      <c r="Q220" s="3" t="inlineStr">
        <is>
          <t>no</t>
        </is>
      </c>
      <c r="R220" s="3" t="inlineStr">
        <is>
          <t>C4</t>
        </is>
      </c>
      <c r="S220" s="3" t="inlineStr">
        <is>
          <t>output/v8/M7/resumen_multiverso.csv</t>
        </is>
      </c>
    </row>
    <row r="221">
      <c r="A221" s="3" t="inlineStr">
        <is>
          <t>compra</t>
        </is>
      </c>
      <c r="B221" s="3" t="inlineStr">
        <is>
          <t>P4</t>
        </is>
      </c>
      <c r="C221" s="3" t="inlineStr">
        <is>
          <t>oferta</t>
        </is>
      </c>
      <c r="D221" s="3" t="inlineStr">
        <is>
          <t>costes_constr</t>
        </is>
      </c>
      <c r="E221" s="3" t="n">
        <v>240</v>
      </c>
      <c r="F221" s="3" t="n">
        <v>0.5666666666666667</v>
      </c>
      <c r="G221" s="3" t="inlineStr">
        <is>
          <t>positivo</t>
        </is>
      </c>
      <c r="H221" s="3" t="n">
        <v>0.1708333333333333</v>
      </c>
      <c r="I221" s="3" t="n">
        <v>0.0681805255744428</v>
      </c>
      <c r="J221" s="3" t="n">
        <v>-0.7680988462758808</v>
      </c>
      <c r="K221" s="3" t="n">
        <v>0.9720575123749068</v>
      </c>
      <c r="L221" s="3" t="inlineStr">
        <is>
          <t>no</t>
        </is>
      </c>
      <c r="M221" s="3" t="n">
        <v>0</v>
      </c>
      <c r="N221" s="3" t="inlineStr">
        <is>
          <t>mas es mas presion</t>
        </is>
      </c>
      <c r="O221" s="3" t="n">
        <v>0.0681805255744428</v>
      </c>
      <c r="P221" s="3" t="n"/>
      <c r="Q221" s="3" t="n"/>
      <c r="R221" s="3" t="inlineStr">
        <is>
          <t>C4</t>
        </is>
      </c>
      <c r="S221" s="3" t="inlineStr">
        <is>
          <t>output/v8/M7/resumen_multiverso.csv</t>
        </is>
      </c>
    </row>
    <row r="222">
      <c r="A222" s="3" t="inlineStr">
        <is>
          <t>compra</t>
        </is>
      </c>
      <c r="B222" s="3" t="inlineStr">
        <is>
          <t>P4</t>
        </is>
      </c>
      <c r="C222" s="3" t="inlineStr">
        <is>
          <t>oferta</t>
        </is>
      </c>
      <c r="D222" s="3" t="inlineStr">
        <is>
          <t>terminadas</t>
        </is>
      </c>
      <c r="E222" s="3" t="n">
        <v>240</v>
      </c>
      <c r="F222" s="3" t="n">
        <v>0.6166666666666667</v>
      </c>
      <c r="G222" s="3" t="inlineStr">
        <is>
          <t>negativo</t>
        </is>
      </c>
      <c r="H222" s="3" t="n">
        <v>0.1166666666666666</v>
      </c>
      <c r="I222" s="3" t="n">
        <v>-0.1366462094874866</v>
      </c>
      <c r="J222" s="3" t="n">
        <v>-0.62919900963858</v>
      </c>
      <c r="K222" s="3" t="n">
        <v>0.5753549765030034</v>
      </c>
      <c r="L222" s="3" t="inlineStr">
        <is>
          <t>no</t>
        </is>
      </c>
      <c r="M222" s="3" t="n">
        <v>0</v>
      </c>
      <c r="N222" s="3" t="inlineStr">
        <is>
          <t>mas es mas presion</t>
        </is>
      </c>
      <c r="O222" s="3" t="n">
        <v>-0.1366462094874866</v>
      </c>
      <c r="P222" s="3" t="inlineStr">
        <is>
          <t>principal</t>
        </is>
      </c>
      <c r="Q222" s="3" t="n"/>
      <c r="R222" s="3" t="inlineStr">
        <is>
          <t>C4</t>
        </is>
      </c>
      <c r="S222" s="3" t="inlineStr">
        <is>
          <t>output/v8/M7/resumen_multiverso.csv</t>
        </is>
      </c>
    </row>
    <row r="223">
      <c r="A223" s="3" t="inlineStr">
        <is>
          <t>compra</t>
        </is>
      </c>
      <c r="B223" s="3" t="inlineStr">
        <is>
          <t>P4</t>
        </is>
      </c>
      <c r="C223" s="3" t="inlineStr">
        <is>
          <t>oferta</t>
        </is>
      </c>
      <c r="D223" s="3" t="inlineStr">
        <is>
          <t>visados</t>
        </is>
      </c>
      <c r="E223" s="3" t="n">
        <v>240</v>
      </c>
      <c r="F223" s="3" t="n">
        <v>0.5416666666666666</v>
      </c>
      <c r="G223" s="3" t="inlineStr">
        <is>
          <t>negativo</t>
        </is>
      </c>
      <c r="H223" s="3" t="n">
        <v>0.1291666666666666</v>
      </c>
      <c r="I223" s="3" t="n">
        <v>-0.0818426640495849</v>
      </c>
      <c r="J223" s="3" t="n">
        <v>-0.7318354017691642</v>
      </c>
      <c r="K223" s="3" t="n">
        <v>0.950402434249475</v>
      </c>
      <c r="L223" s="3" t="inlineStr">
        <is>
          <t>no</t>
        </is>
      </c>
      <c r="M223" s="3" t="n">
        <v>0</v>
      </c>
      <c r="N223" s="3" t="inlineStr">
        <is>
          <t>mas es mas presion</t>
        </is>
      </c>
      <c r="O223" s="3" t="n">
        <v>-0.0818426640495849</v>
      </c>
      <c r="P223" s="3" t="n"/>
      <c r="Q223" s="3" t="n"/>
      <c r="R223" s="3" t="inlineStr">
        <is>
          <t>C4</t>
        </is>
      </c>
      <c r="S223" s="3" t="inlineStr">
        <is>
          <t>output/v8/M7/resumen_multiverso.csv</t>
        </is>
      </c>
    </row>
    <row r="224">
      <c r="A224" s="3" t="inlineStr">
        <is>
          <t>compra</t>
        </is>
      </c>
      <c r="B224" s="3" t="inlineStr">
        <is>
          <t>P4</t>
        </is>
      </c>
      <c r="C224" s="3" t="inlineStr">
        <is>
          <t>turismo</t>
        </is>
      </c>
      <c r="D224" s="3" t="inlineStr">
        <is>
          <t>TODAS</t>
        </is>
      </c>
      <c r="E224" s="3" t="n">
        <v>200</v>
      </c>
      <c r="F224" s="3" t="n">
        <v>0.51</v>
      </c>
      <c r="G224" s="3" t="inlineStr">
        <is>
          <t>negativo</t>
        </is>
      </c>
      <c r="H224" s="3" t="n">
        <v>0.185</v>
      </c>
      <c r="I224" s="3" t="n">
        <v>-0.013962161634342</v>
      </c>
      <c r="J224" s="3" t="n">
        <v>-0.973703709466036</v>
      </c>
      <c r="K224" s="3" t="n">
        <v>1.595340607716314</v>
      </c>
      <c r="L224" s="3" t="inlineStr">
        <is>
          <t>no</t>
        </is>
      </c>
      <c r="M224" s="3" t="n">
        <v>0.04</v>
      </c>
      <c r="N224" s="3" t="inlineStr">
        <is>
          <t>mas es mas presion</t>
        </is>
      </c>
      <c r="O224" s="3" t="n">
        <v>-0.013962161634342</v>
      </c>
      <c r="P224" s="3" t="inlineStr">
        <is>
          <t>turistas</t>
        </is>
      </c>
      <c r="Q224" s="3" t="inlineStr">
        <is>
          <t>no</t>
        </is>
      </c>
      <c r="R224" s="3" t="inlineStr">
        <is>
          <t>C4</t>
        </is>
      </c>
      <c r="S224" s="3" t="inlineStr">
        <is>
          <t>output/v8/M7/resumen_multiverso.csv</t>
        </is>
      </c>
    </row>
    <row r="225">
      <c r="A225" s="3" t="inlineStr">
        <is>
          <t>compra</t>
        </is>
      </c>
      <c r="B225" s="3" t="inlineStr">
        <is>
          <t>P4</t>
        </is>
      </c>
      <c r="C225" s="3" t="inlineStr">
        <is>
          <t>turismo</t>
        </is>
      </c>
      <c r="D225" s="3" t="inlineStr">
        <is>
          <t>turistas</t>
        </is>
      </c>
      <c r="E225" s="3" t="n">
        <v>192</v>
      </c>
      <c r="F225" s="3" t="n">
        <v>0.5208333333333334</v>
      </c>
      <c r="G225" s="3" t="inlineStr">
        <is>
          <t>negativo</t>
        </is>
      </c>
      <c r="H225" s="3" t="n">
        <v>0.1927083333333333</v>
      </c>
      <c r="I225" s="3" t="n">
        <v>-0.033807653114567</v>
      </c>
      <c r="J225" s="3" t="n">
        <v>-1.006642049027126</v>
      </c>
      <c r="K225" s="3" t="n">
        <v>1.695117847304274</v>
      </c>
      <c r="L225" s="3" t="inlineStr">
        <is>
          <t>no</t>
        </is>
      </c>
      <c r="M225" s="3" t="n">
        <v>0</v>
      </c>
      <c r="N225" s="3" t="inlineStr">
        <is>
          <t>mas es mas presion</t>
        </is>
      </c>
      <c r="O225" s="3" t="n">
        <v>-0.033807653114567</v>
      </c>
      <c r="P225" s="3" t="inlineStr">
        <is>
          <t>principal</t>
        </is>
      </c>
      <c r="Q225" s="3" t="n"/>
      <c r="R225" s="3" t="inlineStr">
        <is>
          <t>C4</t>
        </is>
      </c>
      <c r="S225" s="3" t="inlineStr">
        <is>
          <t>output/v8/M7/resumen_multiverso.csv</t>
        </is>
      </c>
    </row>
    <row r="226">
      <c r="A226" s="3" t="inlineStr">
        <is>
          <t>compra</t>
        </is>
      </c>
      <c r="B226" s="3" t="inlineStr">
        <is>
          <t>P4</t>
        </is>
      </c>
      <c r="C226" s="3" t="inlineStr">
        <is>
          <t>turismo</t>
        </is>
      </c>
      <c r="D226" s="3" t="inlineStr">
        <is>
          <t>vut_viviendas</t>
        </is>
      </c>
      <c r="E226" s="3" t="n">
        <v>8</v>
      </c>
      <c r="F226" s="3" t="n">
        <v>0.75</v>
      </c>
      <c r="G226" s="3" t="inlineStr">
        <is>
          <t>positivo</t>
        </is>
      </c>
      <c r="H226" s="3" t="n">
        <v>0.125</v>
      </c>
      <c r="I226" s="3" t="n">
        <v>0.2738458356554263</v>
      </c>
      <c r="J226" s="3" t="n">
        <v>-0.4616025126906726</v>
      </c>
      <c r="K226" s="3" t="n">
        <v>0.6815955403052293</v>
      </c>
      <c r="L226" s="3" t="inlineStr">
        <is>
          <t>no</t>
        </is>
      </c>
      <c r="M226" s="3" t="n">
        <v>1</v>
      </c>
      <c r="N226" s="3" t="inlineStr">
        <is>
          <t>mas es mas presion</t>
        </is>
      </c>
      <c r="O226" s="3" t="n">
        <v>0.2738458356554263</v>
      </c>
      <c r="P226" s="3" t="n"/>
      <c r="Q226" s="3" t="n"/>
      <c r="R226" s="3" t="inlineStr">
        <is>
          <t>C4</t>
        </is>
      </c>
      <c r="S226" s="3" t="inlineStr">
        <is>
          <t>output/v8/M7/resumen_multiverso.csv</t>
        </is>
      </c>
    </row>
    <row r="227">
      <c r="A227" s="3" t="inlineStr">
        <is>
          <t>compra</t>
        </is>
      </c>
      <c r="B227" s="3" t="inlineStr">
        <is>
          <t>P5</t>
        </is>
      </c>
      <c r="C227" s="3" t="inlineStr">
        <is>
          <t>credito_tipos</t>
        </is>
      </c>
      <c r="D227" s="3" t="inlineStr">
        <is>
          <t>TODAS</t>
        </is>
      </c>
      <c r="E227" s="3" t="n">
        <v>576</v>
      </c>
      <c r="F227" s="3" t="n">
        <v>0.6319444444444444</v>
      </c>
      <c r="G227" s="3" t="inlineStr">
        <is>
          <t>positivo</t>
        </is>
      </c>
      <c r="H227" s="3" t="n">
        <v>0.3506944444444444</v>
      </c>
      <c r="I227" s="3" t="n">
        <v>0.4962188464970675</v>
      </c>
      <c r="J227" s="3" t="n">
        <v>-0.1593743541506066</v>
      </c>
      <c r="K227" s="3" t="n">
        <v>0.9421877176266876</v>
      </c>
      <c r="L227" s="3" t="inlineStr">
        <is>
          <t>no</t>
        </is>
      </c>
      <c r="M227" s="3" t="n">
        <v>0</v>
      </c>
      <c r="N227" s="3" t="inlineStr">
        <is>
          <t>mixta</t>
        </is>
      </c>
      <c r="O227" s="3" t="n">
        <v>0.2120391550684244</v>
      </c>
      <c r="P227" s="3" t="inlineStr">
        <is>
          <t>tipo_hip_real</t>
        </is>
      </c>
      <c r="Q227" s="3" t="inlineStr">
        <is>
          <t>no</t>
        </is>
      </c>
      <c r="R227" s="3" t="inlineStr">
        <is>
          <t>C4</t>
        </is>
      </c>
      <c r="S227" s="3" t="inlineStr">
        <is>
          <t>output/v8/M7/resumen_multiverso.csv</t>
        </is>
      </c>
    </row>
    <row r="228">
      <c r="A228" s="3" t="inlineStr">
        <is>
          <t>compra</t>
        </is>
      </c>
      <c r="B228" s="3" t="inlineStr">
        <is>
          <t>P5</t>
        </is>
      </c>
      <c r="C228" s="3" t="inlineStr">
        <is>
          <t>credito_tipos</t>
        </is>
      </c>
      <c r="D228" s="3" t="inlineStr">
        <is>
          <t>credito_nuevo_real</t>
        </is>
      </c>
      <c r="E228" s="3" t="n">
        <v>192</v>
      </c>
      <c r="F228" s="3" t="n">
        <v>0.84375</v>
      </c>
      <c r="G228" s="3" t="inlineStr">
        <is>
          <t>positivo</t>
        </is>
      </c>
      <c r="H228" s="3" t="n">
        <v>0.390625</v>
      </c>
      <c r="I228" s="3" t="n">
        <v>0.4531341594289151</v>
      </c>
      <c r="J228" s="3" t="n">
        <v>-0.1613725553906065</v>
      </c>
      <c r="K228" s="3" t="n">
        <v>0.828723264063955</v>
      </c>
      <c r="L228" s="3" t="inlineStr">
        <is>
          <t>no</t>
        </is>
      </c>
      <c r="M228" s="3" t="n">
        <v>0</v>
      </c>
      <c r="N228" s="3" t="inlineStr">
        <is>
          <t>mas es mas presion</t>
        </is>
      </c>
      <c r="O228" s="3" t="n">
        <v>0.4531341594289151</v>
      </c>
      <c r="P228" s="3" t="n"/>
      <c r="Q228" s="3" t="n"/>
      <c r="R228" s="3" t="inlineStr">
        <is>
          <t>C4</t>
        </is>
      </c>
      <c r="S228" s="3" t="inlineStr">
        <is>
          <t>output/v8/M7/resumen_multiverso.csv</t>
        </is>
      </c>
    </row>
    <row r="229">
      <c r="A229" s="3" t="inlineStr">
        <is>
          <t>compra</t>
        </is>
      </c>
      <c r="B229" s="3" t="inlineStr">
        <is>
          <t>P5</t>
        </is>
      </c>
      <c r="C229" s="3" t="inlineStr">
        <is>
          <t>credito_tipos</t>
        </is>
      </c>
      <c r="D229" s="3" t="inlineStr">
        <is>
          <t>credito_stock_real</t>
        </is>
      </c>
      <c r="E229" s="3" t="n">
        <v>192</v>
      </c>
      <c r="F229" s="3" t="n">
        <v>0.9270833333333334</v>
      </c>
      <c r="G229" s="3" t="inlineStr">
        <is>
          <t>positivo</t>
        </is>
      </c>
      <c r="H229" s="3" t="n">
        <v>0.640625</v>
      </c>
      <c r="I229" s="3" t="n">
        <v>0.5275848275865982</v>
      </c>
      <c r="J229" s="3" t="n">
        <v>-0.2369198896220161</v>
      </c>
      <c r="K229" s="3" t="n">
        <v>0.967514786922876</v>
      </c>
      <c r="L229" s="3" t="inlineStr">
        <is>
          <t>sí</t>
        </is>
      </c>
      <c r="M229" s="3" t="n">
        <v>0</v>
      </c>
      <c r="N229" s="3" t="inlineStr">
        <is>
          <t>mas es mas presion</t>
        </is>
      </c>
      <c r="O229" s="3" t="n">
        <v>0.5275848275865982</v>
      </c>
      <c r="P229" s="3" t="n"/>
      <c r="Q229" s="3" t="n"/>
      <c r="R229" s="3" t="inlineStr">
        <is>
          <t>C4</t>
        </is>
      </c>
      <c r="S229" s="3" t="inlineStr">
        <is>
          <t>output/v8/M7/resumen_multiverso.csv</t>
        </is>
      </c>
    </row>
    <row r="230">
      <c r="A230" s="3" t="inlineStr">
        <is>
          <t>compra</t>
        </is>
      </c>
      <c r="B230" s="3" t="inlineStr">
        <is>
          <t>P5</t>
        </is>
      </c>
      <c r="C230" s="3" t="inlineStr">
        <is>
          <t>credito_tipos</t>
        </is>
      </c>
      <c r="D230" s="3" t="inlineStr">
        <is>
          <t>tipo_hip_real</t>
        </is>
      </c>
      <c r="E230" s="3" t="n">
        <v>192</v>
      </c>
      <c r="F230" s="3" t="n">
        <v>0.875</v>
      </c>
      <c r="G230" s="3" t="inlineStr">
        <is>
          <t>negativo</t>
        </is>
      </c>
      <c r="H230" s="3" t="n">
        <v>0.5</v>
      </c>
      <c r="I230" s="3" t="n">
        <v>0.5073082697012832</v>
      </c>
      <c r="J230" s="3" t="n">
        <v>-0.1255329192389751</v>
      </c>
      <c r="K230" s="3" t="n">
        <v>0.8485262409360856</v>
      </c>
      <c r="L230" s="3" t="inlineStr">
        <is>
          <t>sí</t>
        </is>
      </c>
      <c r="M230" s="3" t="n">
        <v>0</v>
      </c>
      <c r="N230" s="3" t="inlineStr">
        <is>
          <t>tipo x-1</t>
        </is>
      </c>
      <c r="O230" s="3" t="n">
        <v>-0.5073082697012832</v>
      </c>
      <c r="P230" s="3" t="inlineStr">
        <is>
          <t>principal</t>
        </is>
      </c>
      <c r="Q230" s="3" t="n"/>
      <c r="R230" s="3" t="inlineStr">
        <is>
          <t>C4</t>
        </is>
      </c>
      <c r="S230" s="3" t="inlineStr">
        <is>
          <t>output/v8/M7/resumen_multiverso.csv</t>
        </is>
      </c>
    </row>
    <row r="231">
      <c r="A231" s="3" t="inlineStr">
        <is>
          <t>compra</t>
        </is>
      </c>
      <c r="B231" s="3" t="inlineStr">
        <is>
          <t>P5</t>
        </is>
      </c>
      <c r="C231" s="3" t="inlineStr">
        <is>
          <t>demanda_externa</t>
        </is>
      </c>
      <c r="D231" s="3" t="inlineStr">
        <is>
          <t>TODAS</t>
        </is>
      </c>
      <c r="E231" s="3" t="n">
        <v>384</v>
      </c>
      <c r="F231" s="3" t="n">
        <v>0.6822916666666666</v>
      </c>
      <c r="G231" s="3" t="inlineStr">
        <is>
          <t>negativo</t>
        </is>
      </c>
      <c r="H231" s="3" t="n">
        <v>0.1796875</v>
      </c>
      <c r="I231" s="3" t="n">
        <v>-0.1369122515166424</v>
      </c>
      <c r="J231" s="3" t="n">
        <v>-0.7058163602242116</v>
      </c>
      <c r="K231" s="3" t="n">
        <v>0.4287627170178711</v>
      </c>
      <c r="L231" s="3" t="inlineStr">
        <is>
          <t>no</t>
        </is>
      </c>
      <c r="M231" s="3" t="n">
        <v>0</v>
      </c>
      <c r="N231" s="3" t="inlineStr">
        <is>
          <t>mas es mas presion</t>
        </is>
      </c>
      <c r="O231" s="3" t="n">
        <v>-0.1369122515166424</v>
      </c>
      <c r="P231" s="3" t="inlineStr">
        <is>
          <t>tx_extranj</t>
        </is>
      </c>
      <c r="Q231" s="3" t="inlineStr">
        <is>
          <t>no</t>
        </is>
      </c>
      <c r="R231" s="3" t="inlineStr">
        <is>
          <t>C4</t>
        </is>
      </c>
      <c r="S231" s="3" t="inlineStr">
        <is>
          <t>output/v8/M7/resumen_multiverso.csv</t>
        </is>
      </c>
    </row>
    <row r="232">
      <c r="A232" s="3" t="inlineStr">
        <is>
          <t>compra</t>
        </is>
      </c>
      <c r="B232" s="3" t="inlineStr">
        <is>
          <t>P5</t>
        </is>
      </c>
      <c r="C232" s="3" t="inlineStr">
        <is>
          <t>demanda_externa</t>
        </is>
      </c>
      <c r="D232" s="3" t="inlineStr">
        <is>
          <t>cuota_extranj</t>
        </is>
      </c>
      <c r="E232" s="3" t="n">
        <v>192</v>
      </c>
      <c r="F232" s="3" t="n">
        <v>0.7604166666666666</v>
      </c>
      <c r="G232" s="3" t="inlineStr">
        <is>
          <t>negativo</t>
        </is>
      </c>
      <c r="H232" s="3" t="n">
        <v>0.2708333333333333</v>
      </c>
      <c r="I232" s="3" t="n">
        <v>-0.251379580499619</v>
      </c>
      <c r="J232" s="3" t="n">
        <v>-0.7858851282856061</v>
      </c>
      <c r="K232" s="3" t="n">
        <v>0.3329734183511072</v>
      </c>
      <c r="L232" s="3" t="inlineStr">
        <is>
          <t>no</t>
        </is>
      </c>
      <c r="M232" s="3" t="n">
        <v>0</v>
      </c>
      <c r="N232" s="3" t="inlineStr">
        <is>
          <t>mas es mas presion</t>
        </is>
      </c>
      <c r="O232" s="3" t="n">
        <v>-0.251379580499619</v>
      </c>
      <c r="P232" s="3" t="n"/>
      <c r="Q232" s="3" t="n"/>
      <c r="R232" s="3" t="inlineStr">
        <is>
          <t>C4</t>
        </is>
      </c>
      <c r="S232" s="3" t="inlineStr">
        <is>
          <t>output/v8/M7/resumen_multiverso.csv</t>
        </is>
      </c>
    </row>
    <row r="233">
      <c r="A233" s="3" t="inlineStr">
        <is>
          <t>compra</t>
        </is>
      </c>
      <c r="B233" s="3" t="inlineStr">
        <is>
          <t>P5</t>
        </is>
      </c>
      <c r="C233" s="3" t="inlineStr">
        <is>
          <t>demanda_externa</t>
        </is>
      </c>
      <c r="D233" s="3" t="inlineStr">
        <is>
          <t>tx_extranj</t>
        </is>
      </c>
      <c r="E233" s="3" t="n">
        <v>192</v>
      </c>
      <c r="F233" s="3" t="n">
        <v>0.6041666666666666</v>
      </c>
      <c r="G233" s="3" t="inlineStr">
        <is>
          <t>negativo</t>
        </is>
      </c>
      <c r="H233" s="3" t="n">
        <v>0.0885416666666666</v>
      </c>
      <c r="I233" s="3" t="n">
        <v>-0.0615153207222775</v>
      </c>
      <c r="J233" s="3" t="n">
        <v>-0.5062439330103282</v>
      </c>
      <c r="K233" s="3" t="n">
        <v>0.5324829374397021</v>
      </c>
      <c r="L233" s="3" t="inlineStr">
        <is>
          <t>no</t>
        </is>
      </c>
      <c r="M233" s="3" t="n">
        <v>0</v>
      </c>
      <c r="N233" s="3" t="inlineStr">
        <is>
          <t>mas es mas presion</t>
        </is>
      </c>
      <c r="O233" s="3" t="n">
        <v>-0.0615153207222775</v>
      </c>
      <c r="P233" s="3" t="inlineStr">
        <is>
          <t>principal</t>
        </is>
      </c>
      <c r="Q233" s="3" t="n"/>
      <c r="R233" s="3" t="inlineStr">
        <is>
          <t>C4</t>
        </is>
      </c>
      <c r="S233" s="3" t="inlineStr">
        <is>
          <t>output/v8/M7/resumen_multiverso.csv</t>
        </is>
      </c>
    </row>
    <row r="234">
      <c r="A234" s="3" t="inlineStr">
        <is>
          <t>compra</t>
        </is>
      </c>
      <c r="B234" s="3" t="inlineStr">
        <is>
          <t>P5</t>
        </is>
      </c>
      <c r="C234" s="3" t="inlineStr">
        <is>
          <t>demografia</t>
        </is>
      </c>
      <c r="D234" s="3" t="inlineStr">
        <is>
          <t>TODAS</t>
        </is>
      </c>
      <c r="E234" s="3" t="n">
        <v>576</v>
      </c>
      <c r="F234" s="3" t="n">
        <v>0.6736111111111112</v>
      </c>
      <c r="G234" s="3" t="inlineStr">
        <is>
          <t>negativo</t>
        </is>
      </c>
      <c r="H234" s="3" t="n">
        <v>0.234375</v>
      </c>
      <c r="I234" s="3" t="n">
        <v>-0.205609893822854</v>
      </c>
      <c r="J234" s="3" t="n">
        <v>-0.8221811044278833</v>
      </c>
      <c r="K234" s="3" t="n">
        <v>0.5961945286476122</v>
      </c>
      <c r="L234" s="3" t="inlineStr">
        <is>
          <t>no</t>
        </is>
      </c>
      <c r="M234" s="3" t="n">
        <v>0</v>
      </c>
      <c r="N234" s="3" t="inlineStr">
        <is>
          <t>mas es mas presion</t>
        </is>
      </c>
      <c r="O234" s="3" t="n">
        <v>-0.205609893822854</v>
      </c>
      <c r="P234" s="3" t="inlineStr">
        <is>
          <t>pob_total</t>
        </is>
      </c>
      <c r="Q234" s="3" t="inlineStr">
        <is>
          <t>no</t>
        </is>
      </c>
      <c r="R234" s="3" t="inlineStr">
        <is>
          <t>C4</t>
        </is>
      </c>
      <c r="S234" s="3" t="inlineStr">
        <is>
          <t>output/v8/M7/resumen_multiverso.csv</t>
        </is>
      </c>
    </row>
    <row r="235">
      <c r="A235" s="3" t="inlineStr">
        <is>
          <t>compra</t>
        </is>
      </c>
      <c r="B235" s="3" t="inlineStr">
        <is>
          <t>P5</t>
        </is>
      </c>
      <c r="C235" s="3" t="inlineStr">
        <is>
          <t>demografia</t>
        </is>
      </c>
      <c r="D235" s="3" t="inlineStr">
        <is>
          <t>hogares_epa</t>
        </is>
      </c>
      <c r="E235" s="3" t="n">
        <v>192</v>
      </c>
      <c r="F235" s="3" t="n">
        <v>0.7291666666666666</v>
      </c>
      <c r="G235" s="3" t="inlineStr">
        <is>
          <t>negativo</t>
        </is>
      </c>
      <c r="H235" s="3" t="n">
        <v>0.1979166666666666</v>
      </c>
      <c r="I235" s="3" t="n">
        <v>-0.2036778860203963</v>
      </c>
      <c r="J235" s="3" t="n">
        <v>-0.868404279074436</v>
      </c>
      <c r="K235" s="3" t="n">
        <v>0.2965378038103035</v>
      </c>
      <c r="L235" s="3" t="inlineStr">
        <is>
          <t>no</t>
        </is>
      </c>
      <c r="M235" s="3" t="n">
        <v>0</v>
      </c>
      <c r="N235" s="3" t="inlineStr">
        <is>
          <t>mas es mas presion</t>
        </is>
      </c>
      <c r="O235" s="3" t="n">
        <v>-0.2036778860203963</v>
      </c>
      <c r="P235" s="3" t="n"/>
      <c r="Q235" s="3" t="n"/>
      <c r="R235" s="3" t="inlineStr">
        <is>
          <t>C4</t>
        </is>
      </c>
      <c r="S235" s="3" t="inlineStr">
        <is>
          <t>output/v8/M7/resumen_multiverso.csv</t>
        </is>
      </c>
    </row>
    <row r="236">
      <c r="A236" s="3" t="inlineStr">
        <is>
          <t>compra</t>
        </is>
      </c>
      <c r="B236" s="3" t="inlineStr">
        <is>
          <t>P5</t>
        </is>
      </c>
      <c r="C236" s="3" t="inlineStr">
        <is>
          <t>demografia</t>
        </is>
      </c>
      <c r="D236" s="3" t="inlineStr">
        <is>
          <t>pob_extranj_ine</t>
        </is>
      </c>
      <c r="E236" s="3" t="n">
        <v>192</v>
      </c>
      <c r="F236" s="3" t="n">
        <v>0.6979166666666666</v>
      </c>
      <c r="G236" s="3" t="inlineStr">
        <is>
          <t>negativo</t>
        </is>
      </c>
      <c r="H236" s="3" t="n">
        <v>0.3072916666666667</v>
      </c>
      <c r="I236" s="3" t="n">
        <v>-0.3207978587398311</v>
      </c>
      <c r="J236" s="3" t="n">
        <v>-0.8680316526233693</v>
      </c>
      <c r="K236" s="3" t="n">
        <v>0.5342358045998842</v>
      </c>
      <c r="L236" s="3" t="inlineStr">
        <is>
          <t>no</t>
        </is>
      </c>
      <c r="M236" s="3" t="n">
        <v>0</v>
      </c>
      <c r="N236" s="3" t="inlineStr">
        <is>
          <t>mas es mas presion</t>
        </is>
      </c>
      <c r="O236" s="3" t="n">
        <v>-0.3207978587398311</v>
      </c>
      <c r="P236" s="3" t="n"/>
      <c r="Q236" s="3" t="n"/>
      <c r="R236" s="3" t="inlineStr">
        <is>
          <t>C4</t>
        </is>
      </c>
      <c r="S236" s="3" t="inlineStr">
        <is>
          <t>output/v8/M7/resumen_multiverso.csv</t>
        </is>
      </c>
    </row>
    <row r="237">
      <c r="A237" s="3" t="inlineStr">
        <is>
          <t>compra</t>
        </is>
      </c>
      <c r="B237" s="3" t="inlineStr">
        <is>
          <t>P5</t>
        </is>
      </c>
      <c r="C237" s="3" t="inlineStr">
        <is>
          <t>demografia</t>
        </is>
      </c>
      <c r="D237" s="3" t="inlineStr">
        <is>
          <t>pob_total</t>
        </is>
      </c>
      <c r="E237" s="3" t="n">
        <v>192</v>
      </c>
      <c r="F237" s="3" t="n">
        <v>0.59375</v>
      </c>
      <c r="G237" s="3" t="inlineStr">
        <is>
          <t>negativo</t>
        </is>
      </c>
      <c r="H237" s="3" t="n">
        <v>0.1979166666666666</v>
      </c>
      <c r="I237" s="3" t="n">
        <v>-0.08538353258998049</v>
      </c>
      <c r="J237" s="3" t="n">
        <v>-0.71623594748758</v>
      </c>
      <c r="K237" s="3" t="n">
        <v>0.725773322813228</v>
      </c>
      <c r="L237" s="3" t="inlineStr">
        <is>
          <t>no</t>
        </is>
      </c>
      <c r="M237" s="3" t="n">
        <v>0</v>
      </c>
      <c r="N237" s="3" t="inlineStr">
        <is>
          <t>mas es mas presion</t>
        </is>
      </c>
      <c r="O237" s="3" t="n">
        <v>-0.08538353258998049</v>
      </c>
      <c r="P237" s="3" t="inlineStr">
        <is>
          <t>principal</t>
        </is>
      </c>
      <c r="Q237" s="3" t="n"/>
      <c r="R237" s="3" t="inlineStr">
        <is>
          <t>C4</t>
        </is>
      </c>
      <c r="S237" s="3" t="inlineStr">
        <is>
          <t>output/v8/M7/resumen_multiverso.csv</t>
        </is>
      </c>
    </row>
    <row r="238">
      <c r="A238" s="3" t="inlineStr">
        <is>
          <t>compra</t>
        </is>
      </c>
      <c r="B238" s="3" t="inlineStr">
        <is>
          <t>P5</t>
        </is>
      </c>
      <c r="C238" s="3" t="inlineStr">
        <is>
          <t>empleo_renta</t>
        </is>
      </c>
      <c r="D238" s="3" t="inlineStr">
        <is>
          <t>TODAS</t>
        </is>
      </c>
      <c r="E238" s="3" t="n">
        <v>576</v>
      </c>
      <c r="F238" s="3" t="n">
        <v>0.7152777777777778</v>
      </c>
      <c r="G238" s="3" t="inlineStr">
        <is>
          <t>negativo</t>
        </is>
      </c>
      <c r="H238" s="3" t="n">
        <v>0.1979166666666666</v>
      </c>
      <c r="I238" s="3" t="n">
        <v>-0.1664952798700082</v>
      </c>
      <c r="J238" s="3" t="n">
        <v>-0.6862858321598373</v>
      </c>
      <c r="K238" s="3" t="n">
        <v>0.4283150462098301</v>
      </c>
      <c r="L238" s="3" t="inlineStr">
        <is>
          <t>no</t>
        </is>
      </c>
      <c r="M238" s="3" t="n">
        <v>0</v>
      </c>
      <c r="N238" s="3" t="inlineStr">
        <is>
          <t>mas es mas presion</t>
        </is>
      </c>
      <c r="O238" s="3" t="n">
        <v>-0.1664952798700082</v>
      </c>
      <c r="P238" s="3" t="inlineStr">
        <is>
          <t>pib_vol</t>
        </is>
      </c>
      <c r="Q238" s="3" t="inlineStr">
        <is>
          <t>no</t>
        </is>
      </c>
      <c r="R238" s="3" t="inlineStr">
        <is>
          <t>C4</t>
        </is>
      </c>
      <c r="S238" s="3" t="inlineStr">
        <is>
          <t>output/v8/M7/resumen_multiverso.csv</t>
        </is>
      </c>
    </row>
    <row r="239">
      <c r="A239" s="3" t="inlineStr">
        <is>
          <t>compra</t>
        </is>
      </c>
      <c r="B239" s="3" t="inlineStr">
        <is>
          <t>P5</t>
        </is>
      </c>
      <c r="C239" s="3" t="inlineStr">
        <is>
          <t>empleo_renta</t>
        </is>
      </c>
      <c r="D239" s="3" t="inlineStr">
        <is>
          <t>ocupados</t>
        </is>
      </c>
      <c r="E239" s="3" t="n">
        <v>192</v>
      </c>
      <c r="F239" s="3" t="n">
        <v>0.6666666666666666</v>
      </c>
      <c r="G239" s="3" t="inlineStr">
        <is>
          <t>negativo</t>
        </is>
      </c>
      <c r="H239" s="3" t="n">
        <v>0.125</v>
      </c>
      <c r="I239" s="3" t="n">
        <v>-0.1435206620162528</v>
      </c>
      <c r="J239" s="3" t="n">
        <v>-0.6746008353587748</v>
      </c>
      <c r="K239" s="3" t="n">
        <v>0.4809294292008716</v>
      </c>
      <c r="L239" s="3" t="inlineStr">
        <is>
          <t>no</t>
        </is>
      </c>
      <c r="M239" s="3" t="n">
        <v>0</v>
      </c>
      <c r="N239" s="3" t="inlineStr">
        <is>
          <t>mas es mas presion</t>
        </is>
      </c>
      <c r="O239" s="3" t="n">
        <v>-0.1435206620162528</v>
      </c>
      <c r="P239" s="3" t="n"/>
      <c r="Q239" s="3" t="n"/>
      <c r="R239" s="3" t="inlineStr">
        <is>
          <t>C4</t>
        </is>
      </c>
      <c r="S239" s="3" t="inlineStr">
        <is>
          <t>output/v8/M7/resumen_multiverso.csv</t>
        </is>
      </c>
    </row>
    <row r="240">
      <c r="A240" s="3" t="inlineStr">
        <is>
          <t>compra</t>
        </is>
      </c>
      <c r="B240" s="3" t="inlineStr">
        <is>
          <t>P5</t>
        </is>
      </c>
      <c r="C240" s="3" t="inlineStr">
        <is>
          <t>empleo_renta</t>
        </is>
      </c>
      <c r="D240" s="3" t="inlineStr">
        <is>
          <t>pib_vol</t>
        </is>
      </c>
      <c r="E240" s="3" t="n">
        <v>192</v>
      </c>
      <c r="F240" s="3" t="n">
        <v>0.8541666666666666</v>
      </c>
      <c r="G240" s="3" t="inlineStr">
        <is>
          <t>negativo</t>
        </is>
      </c>
      <c r="H240" s="3" t="n">
        <v>0.2864583333333333</v>
      </c>
      <c r="I240" s="3" t="n">
        <v>-0.2545073089520243</v>
      </c>
      <c r="J240" s="3" t="n">
        <v>-0.8714820853184724</v>
      </c>
      <c r="K240" s="3" t="n">
        <v>0.1450035251724483</v>
      </c>
      <c r="L240" s="3" t="inlineStr">
        <is>
          <t>no</t>
        </is>
      </c>
      <c r="M240" s="3" t="n">
        <v>0</v>
      </c>
      <c r="N240" s="3" t="inlineStr">
        <is>
          <t>mas es mas presion</t>
        </is>
      </c>
      <c r="O240" s="3" t="n">
        <v>-0.2545073089520243</v>
      </c>
      <c r="P240" s="3" t="inlineStr">
        <is>
          <t>principal</t>
        </is>
      </c>
      <c r="Q240" s="3" t="n"/>
      <c r="R240" s="3" t="inlineStr">
        <is>
          <t>C4</t>
        </is>
      </c>
      <c r="S240" s="3" t="inlineStr">
        <is>
          <t>output/v8/M7/resumen_multiverso.csv</t>
        </is>
      </c>
    </row>
    <row r="241">
      <c r="A241" s="3" t="inlineStr">
        <is>
          <t>compra</t>
        </is>
      </c>
      <c r="B241" s="3" t="inlineStr">
        <is>
          <t>P5</t>
        </is>
      </c>
      <c r="C241" s="3" t="inlineStr">
        <is>
          <t>empleo_renta</t>
        </is>
      </c>
      <c r="D241" s="3" t="inlineStr">
        <is>
          <t>rdb_real</t>
        </is>
      </c>
      <c r="E241" s="3" t="n">
        <v>192</v>
      </c>
      <c r="F241" s="3" t="n">
        <v>0.625</v>
      </c>
      <c r="G241" s="3" t="inlineStr">
        <is>
          <t>negativo</t>
        </is>
      </c>
      <c r="H241" s="3" t="n">
        <v>0.1822916666666666</v>
      </c>
      <c r="I241" s="3" t="n">
        <v>-0.08779886036729059</v>
      </c>
      <c r="J241" s="3" t="n">
        <v>-0.5958415448161347</v>
      </c>
      <c r="K241" s="3" t="n">
        <v>0.4507446592868673</v>
      </c>
      <c r="L241" s="3" t="inlineStr">
        <is>
          <t>no</t>
        </is>
      </c>
      <c r="M241" s="3" t="n">
        <v>0</v>
      </c>
      <c r="N241" s="3" t="inlineStr">
        <is>
          <t>mas es mas presion</t>
        </is>
      </c>
      <c r="O241" s="3" t="n">
        <v>-0.08779886036729059</v>
      </c>
      <c r="P241" s="3" t="n"/>
      <c r="Q241" s="3" t="n"/>
      <c r="R241" s="3" t="inlineStr">
        <is>
          <t>C4</t>
        </is>
      </c>
      <c r="S241" s="3" t="inlineStr">
        <is>
          <t>output/v8/M7/resumen_multiverso.csv</t>
        </is>
      </c>
    </row>
    <row r="242">
      <c r="A242" s="3" t="inlineStr">
        <is>
          <t>compra</t>
        </is>
      </c>
      <c r="B242" s="3" t="inlineStr">
        <is>
          <t>P5</t>
        </is>
      </c>
      <c r="C242" s="3" t="inlineStr">
        <is>
          <t>factor_europeo</t>
        </is>
      </c>
      <c r="D242" s="3" t="inlineStr">
        <is>
          <t>TODAS</t>
        </is>
      </c>
      <c r="E242" s="3" t="n">
        <v>576</v>
      </c>
      <c r="F242" s="3" t="n">
        <v>0.6527777777777778</v>
      </c>
      <c r="G242" s="3" t="inlineStr">
        <is>
          <t>positivo</t>
        </is>
      </c>
      <c r="H242" s="3" t="n">
        <v>0.3315972222222222</v>
      </c>
      <c r="I242" s="3" t="n">
        <v>0.2925104234542761</v>
      </c>
      <c r="J242" s="3" t="n">
        <v>-0.6259509940212373</v>
      </c>
      <c r="K242" s="3" t="n">
        <v>0.9522807750530444</v>
      </c>
      <c r="L242" s="3" t="inlineStr">
        <is>
          <t>no</t>
        </is>
      </c>
      <c r="M242" s="3" t="n">
        <v>0</v>
      </c>
      <c r="N242" s="3" t="inlineStr">
        <is>
          <t>mas es mas presion</t>
        </is>
      </c>
      <c r="O242" s="3" t="n">
        <v>0.2925104234542761</v>
      </c>
      <c r="P242" s="3" t="inlineStr">
        <is>
          <t>bis_hpi_xm_real</t>
        </is>
      </c>
      <c r="Q242" s="3" t="inlineStr">
        <is>
          <t>no</t>
        </is>
      </c>
      <c r="R242" s="3" t="inlineStr">
        <is>
          <t>C4</t>
        </is>
      </c>
      <c r="S242" s="3" t="inlineStr">
        <is>
          <t>output/v8/M7/resumen_multiverso.csv</t>
        </is>
      </c>
    </row>
    <row r="243">
      <c r="A243" s="3" t="inlineStr">
        <is>
          <t>compra</t>
        </is>
      </c>
      <c r="B243" s="3" t="inlineStr">
        <is>
          <t>P5</t>
        </is>
      </c>
      <c r="C243" s="3" t="inlineStr">
        <is>
          <t>factor_europeo</t>
        </is>
      </c>
      <c r="D243" s="3" t="inlineStr">
        <is>
          <t>bis_hpi_xm_real</t>
        </is>
      </c>
      <c r="E243" s="3" t="n">
        <v>192</v>
      </c>
      <c r="F243" s="3" t="n">
        <v>0.9479166666666666</v>
      </c>
      <c r="G243" s="3" t="inlineStr">
        <is>
          <t>positivo</t>
        </is>
      </c>
      <c r="H243" s="3" t="n">
        <v>0.5885416666666666</v>
      </c>
      <c r="I243" s="3" t="n">
        <v>0.6381442888995885</v>
      </c>
      <c r="J243" s="3" t="n">
        <v>0.0152895402109711</v>
      </c>
      <c r="K243" s="3" t="n">
        <v>1.064409323849407</v>
      </c>
      <c r="L243" s="3" t="inlineStr">
        <is>
          <t>sí</t>
        </is>
      </c>
      <c r="M243" s="3" t="n">
        <v>0</v>
      </c>
      <c r="N243" s="3" t="inlineStr">
        <is>
          <t>mas es mas presion</t>
        </is>
      </c>
      <c r="O243" s="3" t="n">
        <v>0.6381442888995885</v>
      </c>
      <c r="P243" s="3" t="inlineStr">
        <is>
          <t>principal</t>
        </is>
      </c>
      <c r="Q243" s="3" t="n"/>
      <c r="R243" s="3" t="inlineStr">
        <is>
          <t>C4</t>
        </is>
      </c>
      <c r="S243" s="3" t="inlineStr">
        <is>
          <t>output/v8/M7/resumen_multiverso.csv</t>
        </is>
      </c>
    </row>
    <row r="244">
      <c r="A244" s="3" t="inlineStr">
        <is>
          <t>compra</t>
        </is>
      </c>
      <c r="B244" s="3" t="inlineStr">
        <is>
          <t>P5</t>
        </is>
      </c>
      <c r="C244" s="3" t="inlineStr">
        <is>
          <t>factor_europeo</t>
        </is>
      </c>
      <c r="D244" s="3" t="inlineStr">
        <is>
          <t>hpi_ea19</t>
        </is>
      </c>
      <c r="E244" s="3" t="n">
        <v>192</v>
      </c>
      <c r="F244" s="3" t="n">
        <v>0.8229166666666666</v>
      </c>
      <c r="G244" s="3" t="inlineStr">
        <is>
          <t>positivo</t>
        </is>
      </c>
      <c r="H244" s="3" t="n">
        <v>0.3697916666666667</v>
      </c>
      <c r="I244" s="3" t="n">
        <v>0.4167644710225022</v>
      </c>
      <c r="J244" s="3" t="n">
        <v>-0.3145107906334247</v>
      </c>
      <c r="K244" s="3" t="n">
        <v>0.8659449539536737</v>
      </c>
      <c r="L244" s="3" t="inlineStr">
        <is>
          <t>no</t>
        </is>
      </c>
      <c r="M244" s="3" t="n">
        <v>0</v>
      </c>
      <c r="N244" s="3" t="inlineStr">
        <is>
          <t>mas es mas presion</t>
        </is>
      </c>
      <c r="O244" s="3" t="n">
        <v>0.4167644710225022</v>
      </c>
      <c r="P244" s="3" t="n"/>
      <c r="Q244" s="3" t="n"/>
      <c r="R244" s="3" t="inlineStr">
        <is>
          <t>C4</t>
        </is>
      </c>
      <c r="S244" s="3" t="inlineStr">
        <is>
          <t>output/v8/M7/resumen_multiverso.csv</t>
        </is>
      </c>
    </row>
    <row r="245">
      <c r="A245" s="3" t="inlineStr">
        <is>
          <t>compra</t>
        </is>
      </c>
      <c r="B245" s="3" t="inlineStr">
        <is>
          <t>P5</t>
        </is>
      </c>
      <c r="C245" s="3" t="inlineStr">
        <is>
          <t>factor_europeo</t>
        </is>
      </c>
      <c r="D245" s="3" t="inlineStr">
        <is>
          <t>jk_mp</t>
        </is>
      </c>
      <c r="E245" s="3" t="n">
        <v>192</v>
      </c>
      <c r="F245" s="3" t="n">
        <v>0.8125</v>
      </c>
      <c r="G245" s="3" t="inlineStr">
        <is>
          <t>negativo</t>
        </is>
      </c>
      <c r="H245" s="3" t="n">
        <v>0.3072916666666667</v>
      </c>
      <c r="I245" s="3" t="n">
        <v>-0.3411906082826016</v>
      </c>
      <c r="J245" s="3" t="n">
        <v>-0.7131686031611477</v>
      </c>
      <c r="K245" s="3" t="n">
        <v>0.5105376105530983</v>
      </c>
      <c r="L245" s="3" t="inlineStr">
        <is>
          <t>no</t>
        </is>
      </c>
      <c r="M245" s="3" t="n">
        <v>0</v>
      </c>
      <c r="N245" s="3" t="inlineStr">
        <is>
          <t>mas es mas presion</t>
        </is>
      </c>
      <c r="O245" s="3" t="n">
        <v>-0.3411906082826016</v>
      </c>
      <c r="P245" s="3" t="n"/>
      <c r="Q245" s="3" t="n"/>
      <c r="R245" s="3" t="inlineStr">
        <is>
          <t>C4</t>
        </is>
      </c>
      <c r="S245" s="3" t="inlineStr">
        <is>
          <t>output/v8/M7/resumen_multiverso.csv</t>
        </is>
      </c>
    </row>
    <row r="246">
      <c r="A246" s="3" t="inlineStr">
        <is>
          <t>compra</t>
        </is>
      </c>
      <c r="B246" s="3" t="inlineStr">
        <is>
          <t>P5</t>
        </is>
      </c>
      <c r="C246" s="3" t="inlineStr">
        <is>
          <t>oferta</t>
        </is>
      </c>
      <c r="D246" s="3" t="inlineStr">
        <is>
          <t>TODAS</t>
        </is>
      </c>
      <c r="E246" s="3" t="n">
        <v>576</v>
      </c>
      <c r="F246" s="3" t="n">
        <v>0.5381944444444444</v>
      </c>
      <c r="G246" s="3" t="inlineStr">
        <is>
          <t>positivo</t>
        </is>
      </c>
      <c r="H246" s="3" t="n">
        <v>0.1284722222222222</v>
      </c>
      <c r="I246" s="3" t="n">
        <v>0.0325433045507759</v>
      </c>
      <c r="J246" s="3" t="n">
        <v>-0.5781798322019296</v>
      </c>
      <c r="K246" s="3" t="n">
        <v>0.4857929619902233</v>
      </c>
      <c r="L246" s="3" t="inlineStr">
        <is>
          <t>no</t>
        </is>
      </c>
      <c r="M246" s="3" t="n">
        <v>0</v>
      </c>
      <c r="N246" s="3" t="inlineStr">
        <is>
          <t>mas es mas presion</t>
        </is>
      </c>
      <c r="O246" s="3" t="n">
        <v>0.0325433045507759</v>
      </c>
      <c r="P246" s="3" t="inlineStr">
        <is>
          <t>terminadas</t>
        </is>
      </c>
      <c r="Q246" s="3" t="inlineStr">
        <is>
          <t>no</t>
        </is>
      </c>
      <c r="R246" s="3" t="inlineStr">
        <is>
          <t>C4</t>
        </is>
      </c>
      <c r="S246" s="3" t="inlineStr">
        <is>
          <t>output/v8/M7/resumen_multiverso.csv</t>
        </is>
      </c>
    </row>
    <row r="247">
      <c r="A247" s="3" t="inlineStr">
        <is>
          <t>compra</t>
        </is>
      </c>
      <c r="B247" s="3" t="inlineStr">
        <is>
          <t>P5</t>
        </is>
      </c>
      <c r="C247" s="3" t="inlineStr">
        <is>
          <t>oferta</t>
        </is>
      </c>
      <c r="D247" s="3" t="inlineStr">
        <is>
          <t>costes_constr</t>
        </is>
      </c>
      <c r="E247" s="3" t="n">
        <v>192</v>
      </c>
      <c r="F247" s="3" t="n">
        <v>0.5520833333333334</v>
      </c>
      <c r="G247" s="3" t="inlineStr">
        <is>
          <t>negativo</t>
        </is>
      </c>
      <c r="H247" s="3" t="n">
        <v>0.1770833333333333</v>
      </c>
      <c r="I247" s="3" t="n">
        <v>-0.0818346270503691</v>
      </c>
      <c r="J247" s="3" t="n">
        <v>-0.8851075150667346</v>
      </c>
      <c r="K247" s="3" t="n">
        <v>0.4803326609646154</v>
      </c>
      <c r="L247" s="3" t="inlineStr">
        <is>
          <t>no</t>
        </is>
      </c>
      <c r="M247" s="3" t="n">
        <v>0</v>
      </c>
      <c r="N247" s="3" t="inlineStr">
        <is>
          <t>mas es mas presion</t>
        </is>
      </c>
      <c r="O247" s="3" t="n">
        <v>-0.0818346270503691</v>
      </c>
      <c r="P247" s="3" t="n"/>
      <c r="Q247" s="3" t="n"/>
      <c r="R247" s="3" t="inlineStr">
        <is>
          <t>C4</t>
        </is>
      </c>
      <c r="S247" s="3" t="inlineStr">
        <is>
          <t>output/v8/M7/resumen_multiverso.csv</t>
        </is>
      </c>
    </row>
    <row r="248">
      <c r="A248" s="3" t="inlineStr">
        <is>
          <t>compra</t>
        </is>
      </c>
      <c r="B248" s="3" t="inlineStr">
        <is>
          <t>P5</t>
        </is>
      </c>
      <c r="C248" s="3" t="inlineStr">
        <is>
          <t>oferta</t>
        </is>
      </c>
      <c r="D248" s="3" t="inlineStr">
        <is>
          <t>terminadas</t>
        </is>
      </c>
      <c r="E248" s="3" t="n">
        <v>192</v>
      </c>
      <c r="F248" s="3" t="n">
        <v>0.5208333333333334</v>
      </c>
      <c r="G248" s="3" t="inlineStr">
        <is>
          <t>negativo</t>
        </is>
      </c>
      <c r="H248" s="3" t="n">
        <v>0.0989583333333333</v>
      </c>
      <c r="I248" s="3" t="n">
        <v>-0.0205982301005495</v>
      </c>
      <c r="J248" s="3" t="n">
        <v>-0.3040000859786541</v>
      </c>
      <c r="K248" s="3" t="n">
        <v>0.2451023365890231</v>
      </c>
      <c r="L248" s="3" t="inlineStr">
        <is>
          <t>no</t>
        </is>
      </c>
      <c r="M248" s="3" t="n">
        <v>0</v>
      </c>
      <c r="N248" s="3" t="inlineStr">
        <is>
          <t>mas es mas presion</t>
        </is>
      </c>
      <c r="O248" s="3" t="n">
        <v>-0.0205982301005495</v>
      </c>
      <c r="P248" s="3" t="inlineStr">
        <is>
          <t>principal</t>
        </is>
      </c>
      <c r="Q248" s="3" t="n"/>
      <c r="R248" s="3" t="inlineStr">
        <is>
          <t>C4</t>
        </is>
      </c>
      <c r="S248" s="3" t="inlineStr">
        <is>
          <t>output/v8/M7/resumen_multiverso.csv</t>
        </is>
      </c>
    </row>
    <row r="249">
      <c r="A249" s="3" t="inlineStr">
        <is>
          <t>compra</t>
        </is>
      </c>
      <c r="B249" s="3" t="inlineStr">
        <is>
          <t>P5</t>
        </is>
      </c>
      <c r="C249" s="3" t="inlineStr">
        <is>
          <t>oferta</t>
        </is>
      </c>
      <c r="D249" s="3" t="inlineStr">
        <is>
          <t>visados</t>
        </is>
      </c>
      <c r="E249" s="3" t="n">
        <v>192</v>
      </c>
      <c r="F249" s="3" t="n">
        <v>0.6875</v>
      </c>
      <c r="G249" s="3" t="inlineStr">
        <is>
          <t>positivo</t>
        </is>
      </c>
      <c r="H249" s="3" t="n">
        <v>0.2135416666666666</v>
      </c>
      <c r="I249" s="3" t="n">
        <v>0.1165475828731383</v>
      </c>
      <c r="J249" s="3" t="n">
        <v>-0.2995057702914341</v>
      </c>
      <c r="K249" s="3" t="n">
        <v>0.6276207631196554</v>
      </c>
      <c r="L249" s="3" t="inlineStr">
        <is>
          <t>no</t>
        </is>
      </c>
      <c r="M249" s="3" t="n">
        <v>0</v>
      </c>
      <c r="N249" s="3" t="inlineStr">
        <is>
          <t>mas es mas presion</t>
        </is>
      </c>
      <c r="O249" s="3" t="n">
        <v>0.1165475828731383</v>
      </c>
      <c r="P249" s="3" t="n"/>
      <c r="Q249" s="3" t="n"/>
      <c r="R249" s="3" t="inlineStr">
        <is>
          <t>C4</t>
        </is>
      </c>
      <c r="S249" s="3" t="inlineStr">
        <is>
          <t>output/v8/M7/resumen_multiverso.csv</t>
        </is>
      </c>
    </row>
    <row r="250">
      <c r="A250" s="3" t="inlineStr">
        <is>
          <t>compra</t>
        </is>
      </c>
      <c r="B250" s="3" t="inlineStr">
        <is>
          <t>P5</t>
        </is>
      </c>
      <c r="C250" s="3" t="inlineStr">
        <is>
          <t>turismo</t>
        </is>
      </c>
      <c r="D250" s="3" t="inlineStr">
        <is>
          <t>TODAS</t>
        </is>
      </c>
      <c r="E250" s="3" t="n">
        <v>384</v>
      </c>
      <c r="F250" s="3" t="n">
        <v>0.6927083333333334</v>
      </c>
      <c r="G250" s="3" t="inlineStr">
        <is>
          <t>negativo</t>
        </is>
      </c>
      <c r="H250" s="3" t="n">
        <v>0.2942708333333333</v>
      </c>
      <c r="I250" s="3" t="n">
        <v>-0.2784800136305292</v>
      </c>
      <c r="J250" s="3" t="n">
        <v>-0.9899218266360916</v>
      </c>
      <c r="K250" s="3" t="n">
        <v>0.6885209031414035</v>
      </c>
      <c r="L250" s="3" t="inlineStr">
        <is>
          <t>no</t>
        </is>
      </c>
      <c r="M250" s="3" t="n">
        <v>0.25</v>
      </c>
      <c r="N250" s="3" t="inlineStr">
        <is>
          <t>mas es mas presion</t>
        </is>
      </c>
      <c r="O250" s="3" t="n">
        <v>-0.2784800136305292</v>
      </c>
      <c r="P250" s="3" t="inlineStr">
        <is>
          <t>turistas</t>
        </is>
      </c>
      <c r="Q250" s="3" t="inlineStr">
        <is>
          <t>no</t>
        </is>
      </c>
      <c r="R250" s="3" t="inlineStr">
        <is>
          <t>C4</t>
        </is>
      </c>
      <c r="S250" s="3" t="inlineStr">
        <is>
          <t>output/v8/M7/resumen_multiverso.csv</t>
        </is>
      </c>
    </row>
    <row r="251">
      <c r="A251" s="3" t="inlineStr">
        <is>
          <t>compra</t>
        </is>
      </c>
      <c r="B251" s="3" t="inlineStr">
        <is>
          <t>P5</t>
        </is>
      </c>
      <c r="C251" s="3" t="inlineStr">
        <is>
          <t>turismo</t>
        </is>
      </c>
      <c r="D251" s="3" t="inlineStr">
        <is>
          <t>turistas</t>
        </is>
      </c>
      <c r="E251" s="3" t="n">
        <v>192</v>
      </c>
      <c r="F251" s="3" t="n">
        <v>0.75</v>
      </c>
      <c r="G251" s="3" t="inlineStr">
        <is>
          <t>negativo</t>
        </is>
      </c>
      <c r="H251" s="3" t="n">
        <v>0.3385416666666667</v>
      </c>
      <c r="I251" s="3" t="n">
        <v>-0.4287616531533277</v>
      </c>
      <c r="J251" s="3" t="n">
        <v>-1.299696174491177</v>
      </c>
      <c r="K251" s="3" t="n">
        <v>0.6105464008324705</v>
      </c>
      <c r="L251" s="3" t="inlineStr">
        <is>
          <t>no</t>
        </is>
      </c>
      <c r="M251" s="3" t="n">
        <v>0</v>
      </c>
      <c r="N251" s="3" t="inlineStr">
        <is>
          <t>mas es mas presion</t>
        </is>
      </c>
      <c r="O251" s="3" t="n">
        <v>-0.4287616531533277</v>
      </c>
      <c r="P251" s="3" t="inlineStr">
        <is>
          <t>principal</t>
        </is>
      </c>
      <c r="Q251" s="3" t="n"/>
      <c r="R251" s="3" t="inlineStr">
        <is>
          <t>C4</t>
        </is>
      </c>
      <c r="S251" s="3" t="inlineStr">
        <is>
          <t>output/v8/M7/resumen_multiverso.csv</t>
        </is>
      </c>
    </row>
    <row r="252">
      <c r="A252" s="3" t="inlineStr">
        <is>
          <t>compra</t>
        </is>
      </c>
      <c r="B252" s="3" t="inlineStr">
        <is>
          <t>P5</t>
        </is>
      </c>
      <c r="C252" s="3" t="inlineStr">
        <is>
          <t>turismo</t>
        </is>
      </c>
      <c r="D252" s="3" t="inlineStr">
        <is>
          <t>vut_viviendas</t>
        </is>
      </c>
      <c r="E252" s="3" t="n">
        <v>192</v>
      </c>
      <c r="F252" s="3" t="n">
        <v>0.6354166666666666</v>
      </c>
      <c r="G252" s="3" t="inlineStr">
        <is>
          <t>negativo</t>
        </is>
      </c>
      <c r="H252" s="3" t="n">
        <v>0.25</v>
      </c>
      <c r="I252" s="3" t="n">
        <v>-0.2605585864409286</v>
      </c>
      <c r="J252" s="3" t="n">
        <v>-0.7632543257544504</v>
      </c>
      <c r="K252" s="3" t="n">
        <v>0.7025030837890789</v>
      </c>
      <c r="L252" s="3" t="inlineStr">
        <is>
          <t>no</t>
        </is>
      </c>
      <c r="M252" s="3" t="n">
        <v>0.5</v>
      </c>
      <c r="N252" s="3" t="inlineStr">
        <is>
          <t>mas es mas presion</t>
        </is>
      </c>
      <c r="O252" s="3" t="n">
        <v>-0.2605585864409286</v>
      </c>
      <c r="P252" s="3" t="n"/>
      <c r="Q252" s="3" t="n"/>
      <c r="R252" s="3" t="inlineStr">
        <is>
          <t>C4</t>
        </is>
      </c>
      <c r="S252" s="3" t="inlineStr">
        <is>
          <t>output/v8/M7/resumen_multiverso.csv</t>
        </is>
      </c>
    </row>
    <row r="253">
      <c r="A253" s="3" t="inlineStr">
        <is>
          <t>compra</t>
        </is>
      </c>
      <c r="B253" s="3" t="inlineStr">
        <is>
          <t>completo</t>
        </is>
      </c>
      <c r="C253" s="3" t="inlineStr">
        <is>
          <t>credito_tipos</t>
        </is>
      </c>
      <c r="D253" s="3" t="inlineStr">
        <is>
          <t>TODAS</t>
        </is>
      </c>
      <c r="E253" s="3" t="n">
        <v>1152</v>
      </c>
      <c r="F253" s="3" t="n">
        <v>0.7552083333333334</v>
      </c>
      <c r="G253" s="3" t="inlineStr">
        <is>
          <t>positivo</t>
        </is>
      </c>
      <c r="H253" s="3" t="n">
        <v>0.3637152777777778</v>
      </c>
      <c r="I253" s="3" t="n">
        <v>0.1017944271365848</v>
      </c>
      <c r="J253" s="3" t="n">
        <v>-0.4274377639587165</v>
      </c>
      <c r="K253" s="3" t="n">
        <v>0.5913695035593507</v>
      </c>
      <c r="L253" s="3" t="inlineStr">
        <is>
          <t>no</t>
        </is>
      </c>
      <c r="M253" s="3" t="n">
        <v>0</v>
      </c>
      <c r="N253" s="3" t="inlineStr">
        <is>
          <t>mixta</t>
        </is>
      </c>
      <c r="O253" s="3" t="n">
        <v>0.2754544189862378</v>
      </c>
      <c r="P253" s="3" t="inlineStr">
        <is>
          <t>tipo_hip_real</t>
        </is>
      </c>
      <c r="Q253" s="3" t="inlineStr">
        <is>
          <t>no</t>
        </is>
      </c>
      <c r="R253" s="3" t="inlineStr">
        <is>
          <t>C4</t>
        </is>
      </c>
      <c r="S253" s="3" t="inlineStr">
        <is>
          <t>output/v8/M7/resumen_multiverso.csv</t>
        </is>
      </c>
    </row>
    <row r="254">
      <c r="A254" s="3" t="inlineStr">
        <is>
          <t>compra</t>
        </is>
      </c>
      <c r="B254" s="3" t="inlineStr">
        <is>
          <t>completo</t>
        </is>
      </c>
      <c r="C254" s="3" t="inlineStr">
        <is>
          <t>credito_tipos</t>
        </is>
      </c>
      <c r="D254" s="3" t="inlineStr">
        <is>
          <t>credito_nuevo_real</t>
        </is>
      </c>
      <c r="E254" s="3" t="n">
        <v>384</v>
      </c>
      <c r="F254" s="3" t="n">
        <v>0.8697916666666666</v>
      </c>
      <c r="G254" s="3" t="inlineStr">
        <is>
          <t>positivo</t>
        </is>
      </c>
      <c r="H254" s="3" t="n">
        <v>0.5494791666666666</v>
      </c>
      <c r="I254" s="3" t="n">
        <v>0.3638377651886394</v>
      </c>
      <c r="J254" s="3" t="n">
        <v>-0.1141615802825158</v>
      </c>
      <c r="K254" s="3" t="n">
        <v>0.6150722171440977</v>
      </c>
      <c r="L254" s="3" t="inlineStr">
        <is>
          <t>sí</t>
        </is>
      </c>
      <c r="M254" s="3" t="n">
        <v>0</v>
      </c>
      <c r="N254" s="3" t="inlineStr">
        <is>
          <t>mas es mas presion</t>
        </is>
      </c>
      <c r="O254" s="3" t="n">
        <v>0.3638377651886394</v>
      </c>
      <c r="P254" s="3" t="n"/>
      <c r="Q254" s="3" t="n"/>
      <c r="R254" s="3" t="inlineStr">
        <is>
          <t>C4</t>
        </is>
      </c>
      <c r="S254" s="3" t="inlineStr">
        <is>
          <t>output/v8/M7/resumen_multiverso.csv</t>
        </is>
      </c>
    </row>
    <row r="255">
      <c r="A255" s="3" t="inlineStr">
        <is>
          <t>compra</t>
        </is>
      </c>
      <c r="B255" s="3" t="inlineStr">
        <is>
          <t>completo</t>
        </is>
      </c>
      <c r="C255" s="3" t="inlineStr">
        <is>
          <t>credito_tipos</t>
        </is>
      </c>
      <c r="D255" s="3" t="inlineStr">
        <is>
          <t>credito_stock_real</t>
        </is>
      </c>
      <c r="E255" s="3" t="n">
        <v>384</v>
      </c>
      <c r="F255" s="3" t="n">
        <v>0.7083333333333334</v>
      </c>
      <c r="G255" s="3" t="inlineStr">
        <is>
          <t>positivo</t>
        </is>
      </c>
      <c r="H255" s="3" t="n">
        <v>0.3932291666666667</v>
      </c>
      <c r="I255" s="3" t="n">
        <v>0.226585422969569</v>
      </c>
      <c r="J255" s="3" t="n">
        <v>-0.4301702419890919</v>
      </c>
      <c r="K255" s="3" t="n">
        <v>0.5746203257394285</v>
      </c>
      <c r="L255" s="3" t="inlineStr">
        <is>
          <t>no</t>
        </is>
      </c>
      <c r="M255" s="3" t="n">
        <v>0</v>
      </c>
      <c r="N255" s="3" t="inlineStr">
        <is>
          <t>mas es mas presion</t>
        </is>
      </c>
      <c r="O255" s="3" t="n">
        <v>0.226585422969569</v>
      </c>
      <c r="P255" s="3" t="n"/>
      <c r="Q255" s="3" t="n"/>
      <c r="R255" s="3" t="inlineStr">
        <is>
          <t>C4</t>
        </is>
      </c>
      <c r="S255" s="3" t="inlineStr">
        <is>
          <t>output/v8/M7/resumen_multiverso.csv</t>
        </is>
      </c>
    </row>
    <row r="256">
      <c r="A256" s="3" t="inlineStr">
        <is>
          <t>compra</t>
        </is>
      </c>
      <c r="B256" s="3" t="inlineStr">
        <is>
          <t>completo</t>
        </is>
      </c>
      <c r="C256" s="3" t="inlineStr">
        <is>
          <t>credito_tipos</t>
        </is>
      </c>
      <c r="D256" s="3" t="inlineStr">
        <is>
          <t>tipo_hip_real</t>
        </is>
      </c>
      <c r="E256" s="3" t="n">
        <v>384</v>
      </c>
      <c r="F256" s="3" t="n">
        <v>0.6875</v>
      </c>
      <c r="G256" s="3" t="inlineStr">
        <is>
          <t>positivo</t>
        </is>
      </c>
      <c r="H256" s="3" t="n">
        <v>0.1484375</v>
      </c>
      <c r="I256" s="3" t="n">
        <v>-0.1204983474104841</v>
      </c>
      <c r="J256" s="3" t="n">
        <v>-0.4786960521352127</v>
      </c>
      <c r="K256" s="3" t="n">
        <v>0.146834525912997</v>
      </c>
      <c r="L256" s="3" t="inlineStr">
        <is>
          <t>no</t>
        </is>
      </c>
      <c r="M256" s="3" t="n">
        <v>0</v>
      </c>
      <c r="N256" s="3" t="inlineStr">
        <is>
          <t>tipo x-1</t>
        </is>
      </c>
      <c r="O256" s="3" t="n">
        <v>0.1204983474104841</v>
      </c>
      <c r="P256" s="3" t="inlineStr">
        <is>
          <t>principal</t>
        </is>
      </c>
      <c r="Q256" s="3" t="n"/>
      <c r="R256" s="3" t="inlineStr">
        <is>
          <t>C4</t>
        </is>
      </c>
      <c r="S256" s="3" t="inlineStr">
        <is>
          <t>output/v8/M7/resumen_multiverso.csv</t>
        </is>
      </c>
    </row>
    <row r="257">
      <c r="A257" s="3" t="inlineStr">
        <is>
          <t>compra</t>
        </is>
      </c>
      <c r="B257" s="3" t="inlineStr">
        <is>
          <t>completo</t>
        </is>
      </c>
      <c r="C257" s="3" t="inlineStr">
        <is>
          <t>demanda_externa</t>
        </is>
      </c>
      <c r="D257" s="3" t="inlineStr">
        <is>
          <t>TODAS</t>
        </is>
      </c>
      <c r="E257" s="3" t="n">
        <v>384</v>
      </c>
      <c r="F257" s="3" t="n">
        <v>0.5416666666666666</v>
      </c>
      <c r="G257" s="3" t="inlineStr">
        <is>
          <t>negativo</t>
        </is>
      </c>
      <c r="H257" s="3" t="n">
        <v>0.0729166666666666</v>
      </c>
      <c r="I257" s="3" t="n">
        <v>-0.0189844970211177</v>
      </c>
      <c r="J257" s="3" t="n">
        <v>-0.2940030906544912</v>
      </c>
      <c r="K257" s="3" t="n">
        <v>0.2140545886569165</v>
      </c>
      <c r="L257" s="3" t="inlineStr">
        <is>
          <t>no</t>
        </is>
      </c>
      <c r="M257" s="3" t="n">
        <v>0</v>
      </c>
      <c r="N257" s="3" t="inlineStr">
        <is>
          <t>mas es mas presion</t>
        </is>
      </c>
      <c r="O257" s="3" t="n">
        <v>-0.0189844970211177</v>
      </c>
      <c r="P257" s="3" t="inlineStr">
        <is>
          <t>tx_extranj</t>
        </is>
      </c>
      <c r="Q257" s="3" t="inlineStr">
        <is>
          <t>no</t>
        </is>
      </c>
      <c r="R257" s="3" t="inlineStr">
        <is>
          <t>C4</t>
        </is>
      </c>
      <c r="S257" s="3" t="inlineStr">
        <is>
          <t>output/v8/M7/resumen_multiverso.csv</t>
        </is>
      </c>
    </row>
    <row r="258">
      <c r="A258" s="3" t="inlineStr">
        <is>
          <t>compra</t>
        </is>
      </c>
      <c r="B258" s="3" t="inlineStr">
        <is>
          <t>completo</t>
        </is>
      </c>
      <c r="C258" s="3" t="inlineStr">
        <is>
          <t>demanda_externa</t>
        </is>
      </c>
      <c r="D258" s="3" t="inlineStr">
        <is>
          <t>cuota_extranj</t>
        </is>
      </c>
      <c r="E258" s="3" t="n">
        <v>192</v>
      </c>
      <c r="F258" s="3" t="n">
        <v>0.6979166666666666</v>
      </c>
      <c r="G258" s="3" t="inlineStr">
        <is>
          <t>negativo</t>
        </is>
      </c>
      <c r="H258" s="3" t="n">
        <v>0.1354166666666666</v>
      </c>
      <c r="I258" s="3" t="n">
        <v>-0.1030293471932623</v>
      </c>
      <c r="J258" s="3" t="n">
        <v>-0.3198920953508633</v>
      </c>
      <c r="K258" s="3" t="n">
        <v>0.1298555830082196</v>
      </c>
      <c r="L258" s="3" t="inlineStr">
        <is>
          <t>no</t>
        </is>
      </c>
      <c r="M258" s="3" t="n">
        <v>0</v>
      </c>
      <c r="N258" s="3" t="inlineStr">
        <is>
          <t>mas es mas presion</t>
        </is>
      </c>
      <c r="O258" s="3" t="n">
        <v>-0.1030293471932623</v>
      </c>
      <c r="P258" s="3" t="n"/>
      <c r="Q258" s="3" t="n"/>
      <c r="R258" s="3" t="inlineStr">
        <is>
          <t>C4</t>
        </is>
      </c>
      <c r="S258" s="3" t="inlineStr">
        <is>
          <t>output/v8/M7/resumen_multiverso.csv</t>
        </is>
      </c>
    </row>
    <row r="259">
      <c r="A259" s="3" t="inlineStr">
        <is>
          <t>compra</t>
        </is>
      </c>
      <c r="B259" s="3" t="inlineStr">
        <is>
          <t>completo</t>
        </is>
      </c>
      <c r="C259" s="3" t="inlineStr">
        <is>
          <t>demanda_externa</t>
        </is>
      </c>
      <c r="D259" s="3" t="inlineStr">
        <is>
          <t>tx_extranj</t>
        </is>
      </c>
      <c r="E259" s="3" t="n">
        <v>192</v>
      </c>
      <c r="F259" s="3" t="n">
        <v>0.6145833333333334</v>
      </c>
      <c r="G259" s="3" t="inlineStr">
        <is>
          <t>positivo</t>
        </is>
      </c>
      <c r="H259" s="3" t="n">
        <v>0.03125</v>
      </c>
      <c r="I259" s="3" t="n">
        <v>0.0813379448343327</v>
      </c>
      <c r="J259" s="3" t="n">
        <v>-0.2158887913092365</v>
      </c>
      <c r="K259" s="3" t="n">
        <v>0.2198885916202237</v>
      </c>
      <c r="L259" s="3" t="inlineStr">
        <is>
          <t>no</t>
        </is>
      </c>
      <c r="M259" s="3" t="n">
        <v>0</v>
      </c>
      <c r="N259" s="3" t="inlineStr">
        <is>
          <t>mas es mas presion</t>
        </is>
      </c>
      <c r="O259" s="3" t="n">
        <v>0.0813379448343327</v>
      </c>
      <c r="P259" s="3" t="inlineStr">
        <is>
          <t>principal</t>
        </is>
      </c>
      <c r="Q259" s="3" t="n"/>
      <c r="R259" s="3" t="inlineStr">
        <is>
          <t>C4</t>
        </is>
      </c>
      <c r="S259" s="3" t="inlineStr">
        <is>
          <t>output/v8/M7/resumen_multiverso.csv</t>
        </is>
      </c>
    </row>
    <row r="260">
      <c r="A260" s="3" t="inlineStr">
        <is>
          <t>compra</t>
        </is>
      </c>
      <c r="B260" s="3" t="inlineStr">
        <is>
          <t>completo</t>
        </is>
      </c>
      <c r="C260" s="3" t="inlineStr">
        <is>
          <t>demografia</t>
        </is>
      </c>
      <c r="D260" s="3" t="inlineStr">
        <is>
          <t>TODAS</t>
        </is>
      </c>
      <c r="E260" s="3" t="n">
        <v>1152</v>
      </c>
      <c r="F260" s="3" t="n">
        <v>0.7222222222222222</v>
      </c>
      <c r="G260" s="3" t="inlineStr">
        <is>
          <t>positivo</t>
        </is>
      </c>
      <c r="H260" s="3" t="n">
        <v>0.2109375</v>
      </c>
      <c r="I260" s="3" t="n">
        <v>0.1833357071898851</v>
      </c>
      <c r="J260" s="3" t="n">
        <v>-0.3258555751037392</v>
      </c>
      <c r="K260" s="3" t="n">
        <v>0.5651115822016759</v>
      </c>
      <c r="L260" s="3" t="inlineStr">
        <is>
          <t>no</t>
        </is>
      </c>
      <c r="M260" s="3" t="n">
        <v>0.3333333333333333</v>
      </c>
      <c r="N260" s="3" t="inlineStr">
        <is>
          <t>mas es mas presion</t>
        </is>
      </c>
      <c r="O260" s="3" t="n">
        <v>0.1833357071898851</v>
      </c>
      <c r="P260" s="3" t="inlineStr">
        <is>
          <t>pob_total</t>
        </is>
      </c>
      <c r="Q260" s="3" t="inlineStr">
        <is>
          <t>no</t>
        </is>
      </c>
      <c r="R260" s="3" t="inlineStr">
        <is>
          <t>C4</t>
        </is>
      </c>
      <c r="S260" s="3" t="inlineStr">
        <is>
          <t>output/v8/M7/resumen_multiverso.csv</t>
        </is>
      </c>
    </row>
    <row r="261">
      <c r="A261" s="3" t="inlineStr">
        <is>
          <t>compra</t>
        </is>
      </c>
      <c r="B261" s="3" t="inlineStr">
        <is>
          <t>completo</t>
        </is>
      </c>
      <c r="C261" s="3" t="inlineStr">
        <is>
          <t>demografia</t>
        </is>
      </c>
      <c r="D261" s="3" t="inlineStr">
        <is>
          <t>hogares_epa</t>
        </is>
      </c>
      <c r="E261" s="3" t="n">
        <v>384</v>
      </c>
      <c r="F261" s="3" t="n">
        <v>0.53125</v>
      </c>
      <c r="G261" s="3" t="inlineStr">
        <is>
          <t>positivo</t>
        </is>
      </c>
      <c r="H261" s="3" t="n">
        <v>0.0729166666666666</v>
      </c>
      <c r="I261" s="3" t="n">
        <v>0.0452940344742275</v>
      </c>
      <c r="J261" s="3" t="n">
        <v>-0.4117525248506676</v>
      </c>
      <c r="K261" s="3" t="n">
        <v>0.3875950998875647</v>
      </c>
      <c r="L261" s="3" t="inlineStr">
        <is>
          <t>no</t>
        </is>
      </c>
      <c r="M261" s="3" t="n">
        <v>0</v>
      </c>
      <c r="N261" s="3" t="inlineStr">
        <is>
          <t>mas es mas presion</t>
        </is>
      </c>
      <c r="O261" s="3" t="n">
        <v>0.0452940344742275</v>
      </c>
      <c r="P261" s="3" t="n"/>
      <c r="Q261" s="3" t="n"/>
      <c r="R261" s="3" t="inlineStr">
        <is>
          <t>C4</t>
        </is>
      </c>
      <c r="S261" s="3" t="inlineStr">
        <is>
          <t>output/v8/M7/resumen_multiverso.csv</t>
        </is>
      </c>
    </row>
    <row r="262">
      <c r="A262" s="3" t="inlineStr">
        <is>
          <t>compra</t>
        </is>
      </c>
      <c r="B262" s="3" t="inlineStr">
        <is>
          <t>completo</t>
        </is>
      </c>
      <c r="C262" s="3" t="inlineStr">
        <is>
          <t>demografia</t>
        </is>
      </c>
      <c r="D262" s="3" t="inlineStr">
        <is>
          <t>pob_extranj_ine</t>
        </is>
      </c>
      <c r="E262" s="3" t="n">
        <v>384</v>
      </c>
      <c r="F262" s="3" t="n">
        <v>0.8541666666666666</v>
      </c>
      <c r="G262" s="3" t="inlineStr">
        <is>
          <t>positivo</t>
        </is>
      </c>
      <c r="H262" s="3" t="n">
        <v>0.3932291666666667</v>
      </c>
      <c r="I262" s="3" t="n">
        <v>0.3303340782745342</v>
      </c>
      <c r="J262" s="3" t="n">
        <v>-0.1423008464108849</v>
      </c>
      <c r="K262" s="3" t="n">
        <v>0.6631265641496609</v>
      </c>
      <c r="L262" s="3" t="inlineStr">
        <is>
          <t>no</t>
        </is>
      </c>
      <c r="M262" s="3" t="n">
        <v>0.5</v>
      </c>
      <c r="N262" s="3" t="inlineStr">
        <is>
          <t>mas es mas presion</t>
        </is>
      </c>
      <c r="O262" s="3" t="n">
        <v>0.3303340782745342</v>
      </c>
      <c r="P262" s="3" t="n"/>
      <c r="Q262" s="3" t="n"/>
      <c r="R262" s="3" t="inlineStr">
        <is>
          <t>C4</t>
        </is>
      </c>
      <c r="S262" s="3" t="inlineStr">
        <is>
          <t>output/v8/M7/resumen_multiverso.csv</t>
        </is>
      </c>
    </row>
    <row r="263">
      <c r="A263" s="3" t="inlineStr">
        <is>
          <t>compra</t>
        </is>
      </c>
      <c r="B263" s="3" t="inlineStr">
        <is>
          <t>completo</t>
        </is>
      </c>
      <c r="C263" s="3" t="inlineStr">
        <is>
          <t>demografia</t>
        </is>
      </c>
      <c r="D263" s="3" t="inlineStr">
        <is>
          <t>pob_total</t>
        </is>
      </c>
      <c r="E263" s="3" t="n">
        <v>384</v>
      </c>
      <c r="F263" s="3" t="n">
        <v>0.78125</v>
      </c>
      <c r="G263" s="3" t="inlineStr">
        <is>
          <t>positivo</t>
        </is>
      </c>
      <c r="H263" s="3" t="n">
        <v>0.1666666666666666</v>
      </c>
      <c r="I263" s="3" t="n">
        <v>0.184390057530546</v>
      </c>
      <c r="J263" s="3" t="n">
        <v>-0.1833962494907857</v>
      </c>
      <c r="K263" s="3" t="n">
        <v>0.4772060055537908</v>
      </c>
      <c r="L263" s="3" t="inlineStr">
        <is>
          <t>no</t>
        </is>
      </c>
      <c r="M263" s="3" t="n">
        <v>0.5</v>
      </c>
      <c r="N263" s="3" t="inlineStr">
        <is>
          <t>mas es mas presion</t>
        </is>
      </c>
      <c r="O263" s="3" t="n">
        <v>0.184390057530546</v>
      </c>
      <c r="P263" s="3" t="inlineStr">
        <is>
          <t>principal</t>
        </is>
      </c>
      <c r="Q263" s="3" t="n"/>
      <c r="R263" s="3" t="inlineStr">
        <is>
          <t>C4</t>
        </is>
      </c>
      <c r="S263" s="3" t="inlineStr">
        <is>
          <t>output/v8/M7/resumen_multiverso.csv</t>
        </is>
      </c>
    </row>
    <row r="264">
      <c r="A264" s="3" t="inlineStr">
        <is>
          <t>compra</t>
        </is>
      </c>
      <c r="B264" s="3" t="inlineStr">
        <is>
          <t>completo</t>
        </is>
      </c>
      <c r="C264" s="3" t="inlineStr">
        <is>
          <t>empleo_renta</t>
        </is>
      </c>
      <c r="D264" s="3" t="inlineStr">
        <is>
          <t>TODAS</t>
        </is>
      </c>
      <c r="E264" s="3" t="n">
        <v>1152</v>
      </c>
      <c r="F264" s="3" t="n">
        <v>0.8871527777777778</v>
      </c>
      <c r="G264" s="3" t="inlineStr">
        <is>
          <t>positivo</t>
        </is>
      </c>
      <c r="H264" s="3" t="n">
        <v>0.2239583333333333</v>
      </c>
      <c r="I264" s="3" t="n">
        <v>0.2259849378771585</v>
      </c>
      <c r="J264" s="3" t="n">
        <v>-0.0618506256394611</v>
      </c>
      <c r="K264" s="3" t="n">
        <v>0.7354473136758852</v>
      </c>
      <c r="L264" s="3" t="inlineStr">
        <is>
          <t>no</t>
        </is>
      </c>
      <c r="M264" s="3" t="n">
        <v>0</v>
      </c>
      <c r="N264" s="3" t="inlineStr">
        <is>
          <t>mas es mas presion</t>
        </is>
      </c>
      <c r="O264" s="3" t="n">
        <v>0.2259849378771585</v>
      </c>
      <c r="P264" s="3" t="inlineStr">
        <is>
          <t>pib_vol</t>
        </is>
      </c>
      <c r="Q264" s="3" t="inlineStr">
        <is>
          <t>no</t>
        </is>
      </c>
      <c r="R264" s="3" t="inlineStr">
        <is>
          <t>C4</t>
        </is>
      </c>
      <c r="S264" s="3" t="inlineStr">
        <is>
          <t>output/v8/M7/resumen_multiverso.csv</t>
        </is>
      </c>
    </row>
    <row r="265">
      <c r="A265" s="3" t="inlineStr">
        <is>
          <t>compra</t>
        </is>
      </c>
      <c r="B265" s="3" t="inlineStr">
        <is>
          <t>completo</t>
        </is>
      </c>
      <c r="C265" s="3" t="inlineStr">
        <is>
          <t>empleo_renta</t>
        </is>
      </c>
      <c r="D265" s="3" t="inlineStr">
        <is>
          <t>ocupados</t>
        </is>
      </c>
      <c r="E265" s="3" t="n">
        <v>384</v>
      </c>
      <c r="F265" s="3" t="n">
        <v>0.9739583333333334</v>
      </c>
      <c r="G265" s="3" t="inlineStr">
        <is>
          <t>positivo</t>
        </is>
      </c>
      <c r="H265" s="3" t="n">
        <v>0.5130208333333334</v>
      </c>
      <c r="I265" s="3" t="n">
        <v>0.3872613889539501</v>
      </c>
      <c r="J265" s="3" t="n">
        <v>0.0468233873161352</v>
      </c>
      <c r="K265" s="3" t="n">
        <v>0.8274689366274349</v>
      </c>
      <c r="L265" s="3" t="inlineStr">
        <is>
          <t>sí</t>
        </is>
      </c>
      <c r="M265" s="3" t="n">
        <v>0</v>
      </c>
      <c r="N265" s="3" t="inlineStr">
        <is>
          <t>mas es mas presion</t>
        </is>
      </c>
      <c r="O265" s="3" t="n">
        <v>0.3872613889539501</v>
      </c>
      <c r="P265" s="3" t="n"/>
      <c r="Q265" s="3" t="n"/>
      <c r="R265" s="3" t="inlineStr">
        <is>
          <t>C4</t>
        </is>
      </c>
      <c r="S265" s="3" t="inlineStr">
        <is>
          <t>output/v8/M7/resumen_multiverso.csv</t>
        </is>
      </c>
    </row>
    <row r="266">
      <c r="A266" s="3" t="inlineStr">
        <is>
          <t>compra</t>
        </is>
      </c>
      <c r="B266" s="3" t="inlineStr">
        <is>
          <t>completo</t>
        </is>
      </c>
      <c r="C266" s="3" t="inlineStr">
        <is>
          <t>empleo_renta</t>
        </is>
      </c>
      <c r="D266" s="3" t="inlineStr">
        <is>
          <t>pib_vol</t>
        </is>
      </c>
      <c r="E266" s="3" t="n">
        <v>384</v>
      </c>
      <c r="F266" s="3" t="n">
        <v>0.84375</v>
      </c>
      <c r="G266" s="3" t="inlineStr">
        <is>
          <t>positivo</t>
        </is>
      </c>
      <c r="H266" s="3" t="n">
        <v>0.0703125</v>
      </c>
      <c r="I266" s="3" t="n">
        <v>0.1369249914414884</v>
      </c>
      <c r="J266" s="3" t="n">
        <v>-0.0811323234724763</v>
      </c>
      <c r="K266" s="3" t="n">
        <v>0.5657802905349895</v>
      </c>
      <c r="L266" s="3" t="inlineStr">
        <is>
          <t>no</t>
        </is>
      </c>
      <c r="M266" s="3" t="n">
        <v>0</v>
      </c>
      <c r="N266" s="3" t="inlineStr">
        <is>
          <t>mas es mas presion</t>
        </is>
      </c>
      <c r="O266" s="3" t="n">
        <v>0.1369249914414884</v>
      </c>
      <c r="P266" s="3" t="inlineStr">
        <is>
          <t>principal</t>
        </is>
      </c>
      <c r="Q266" s="3" t="n"/>
      <c r="R266" s="3" t="inlineStr">
        <is>
          <t>C4</t>
        </is>
      </c>
      <c r="S266" s="3" t="inlineStr">
        <is>
          <t>output/v8/M7/resumen_multiverso.csv</t>
        </is>
      </c>
    </row>
    <row r="267">
      <c r="A267" s="3" t="inlineStr">
        <is>
          <t>compra</t>
        </is>
      </c>
      <c r="B267" s="3" t="inlineStr">
        <is>
          <t>completo</t>
        </is>
      </c>
      <c r="C267" s="3" t="inlineStr">
        <is>
          <t>empleo_renta</t>
        </is>
      </c>
      <c r="D267" s="3" t="inlineStr">
        <is>
          <t>rdb_real</t>
        </is>
      </c>
      <c r="E267" s="3" t="n">
        <v>384</v>
      </c>
      <c r="F267" s="3" t="n">
        <v>0.84375</v>
      </c>
      <c r="G267" s="3" t="inlineStr">
        <is>
          <t>positivo</t>
        </is>
      </c>
      <c r="H267" s="3" t="n">
        <v>0.0885416666666666</v>
      </c>
      <c r="I267" s="3" t="n">
        <v>0.2095178583497005</v>
      </c>
      <c r="J267" s="3" t="n">
        <v>-0.0747916740516358</v>
      </c>
      <c r="K267" s="3" t="n">
        <v>0.6273129050244464</v>
      </c>
      <c r="L267" s="3" t="inlineStr">
        <is>
          <t>no</t>
        </is>
      </c>
      <c r="M267" s="3" t="n">
        <v>0</v>
      </c>
      <c r="N267" s="3" t="inlineStr">
        <is>
          <t>mas es mas presion</t>
        </is>
      </c>
      <c r="O267" s="3" t="n">
        <v>0.2095178583497005</v>
      </c>
      <c r="P267" s="3" t="n"/>
      <c r="Q267" s="3" t="n"/>
      <c r="R267" s="3" t="inlineStr">
        <is>
          <t>C4</t>
        </is>
      </c>
      <c r="S267" s="3" t="inlineStr">
        <is>
          <t>output/v8/M7/resumen_multiverso.csv</t>
        </is>
      </c>
    </row>
    <row r="268">
      <c r="A268" s="3" t="inlineStr">
        <is>
          <t>compra</t>
        </is>
      </c>
      <c r="B268" s="3" t="inlineStr">
        <is>
          <t>completo</t>
        </is>
      </c>
      <c r="C268" s="3" t="inlineStr">
        <is>
          <t>factor_europeo</t>
        </is>
      </c>
      <c r="D268" s="3" t="inlineStr">
        <is>
          <t>TODAS</t>
        </is>
      </c>
      <c r="E268" s="3" t="n">
        <v>960</v>
      </c>
      <c r="F268" s="3" t="n">
        <v>0.7145833333333333</v>
      </c>
      <c r="G268" s="3" t="inlineStr">
        <is>
          <t>positivo</t>
        </is>
      </c>
      <c r="H268" s="3" t="n">
        <v>0.346875</v>
      </c>
      <c r="I268" s="3" t="n">
        <v>0.2455665369908871</v>
      </c>
      <c r="J268" s="3" t="n">
        <v>-0.2850917423875829</v>
      </c>
      <c r="K268" s="3" t="n">
        <v>0.6805275074728184</v>
      </c>
      <c r="L268" s="3" t="inlineStr">
        <is>
          <t>no</t>
        </is>
      </c>
      <c r="M268" s="3" t="n">
        <v>0</v>
      </c>
      <c r="N268" s="3" t="inlineStr">
        <is>
          <t>mas es mas presion</t>
        </is>
      </c>
      <c r="O268" s="3" t="n">
        <v>0.2455665369908871</v>
      </c>
      <c r="P268" s="3" t="inlineStr">
        <is>
          <t>bis_hpi_xm_real</t>
        </is>
      </c>
      <c r="Q268" s="3" t="inlineStr">
        <is>
          <t>no</t>
        </is>
      </c>
      <c r="R268" s="3" t="inlineStr">
        <is>
          <t>C4</t>
        </is>
      </c>
      <c r="S268" s="3" t="inlineStr">
        <is>
          <t>output/v8/M7/resumen_multiverso.csv</t>
        </is>
      </c>
    </row>
    <row r="269">
      <c r="A269" s="3" t="inlineStr">
        <is>
          <t>compra</t>
        </is>
      </c>
      <c r="B269" s="3" t="inlineStr">
        <is>
          <t>completo</t>
        </is>
      </c>
      <c r="C269" s="3" t="inlineStr">
        <is>
          <t>factor_europeo</t>
        </is>
      </c>
      <c r="D269" s="3" t="inlineStr">
        <is>
          <t>bis_hpi_xm_real</t>
        </is>
      </c>
      <c r="E269" s="3" t="n">
        <v>384</v>
      </c>
      <c r="F269" s="3" t="n">
        <v>0.9895833333333334</v>
      </c>
      <c r="G269" s="3" t="inlineStr">
        <is>
          <t>positivo</t>
        </is>
      </c>
      <c r="H269" s="3" t="n">
        <v>0.6432291666666666</v>
      </c>
      <c r="I269" s="3" t="n">
        <v>0.4378926935527388</v>
      </c>
      <c r="J269" s="3" t="n">
        <v>0.2144329144809374</v>
      </c>
      <c r="K269" s="3" t="n">
        <v>0.6868062883846014</v>
      </c>
      <c r="L269" s="3" t="inlineStr">
        <is>
          <t>sí</t>
        </is>
      </c>
      <c r="M269" s="3" t="n">
        <v>0</v>
      </c>
      <c r="N269" s="3" t="inlineStr">
        <is>
          <t>mas es mas presion</t>
        </is>
      </c>
      <c r="O269" s="3" t="n">
        <v>0.4378926935527388</v>
      </c>
      <c r="P269" s="3" t="inlineStr">
        <is>
          <t>principal</t>
        </is>
      </c>
      <c r="Q269" s="3" t="n"/>
      <c r="R269" s="3" t="inlineStr">
        <is>
          <t>C4</t>
        </is>
      </c>
      <c r="S269" s="3" t="inlineStr">
        <is>
          <t>output/v8/M7/resumen_multiverso.csv</t>
        </is>
      </c>
    </row>
    <row r="270">
      <c r="A270" s="3" t="inlineStr">
        <is>
          <t>compra</t>
        </is>
      </c>
      <c r="B270" s="3" t="inlineStr">
        <is>
          <t>completo</t>
        </is>
      </c>
      <c r="C270" s="3" t="inlineStr">
        <is>
          <t>factor_europeo</t>
        </is>
      </c>
      <c r="D270" s="3" t="inlineStr">
        <is>
          <t>hpi_ea19</t>
        </is>
      </c>
      <c r="E270" s="3" t="n">
        <v>192</v>
      </c>
      <c r="F270" s="3" t="n">
        <v>0.9166666666666666</v>
      </c>
      <c r="G270" s="3" t="inlineStr">
        <is>
          <t>positivo</t>
        </is>
      </c>
      <c r="H270" s="3" t="n">
        <v>0.4479166666666667</v>
      </c>
      <c r="I270" s="3" t="n">
        <v>0.3405796042128316</v>
      </c>
      <c r="J270" s="3" t="n">
        <v>-0.1083873594268096</v>
      </c>
      <c r="K270" s="3" t="n">
        <v>0.7375243644541976</v>
      </c>
      <c r="L270" s="3" t="inlineStr">
        <is>
          <t>no</t>
        </is>
      </c>
      <c r="M270" s="3" t="n">
        <v>0</v>
      </c>
      <c r="N270" s="3" t="inlineStr">
        <is>
          <t>mas es mas presion</t>
        </is>
      </c>
      <c r="O270" s="3" t="n">
        <v>0.3405796042128316</v>
      </c>
      <c r="P270" s="3" t="n"/>
      <c r="Q270" s="3" t="n"/>
      <c r="R270" s="3" t="inlineStr">
        <is>
          <t>C4</t>
        </is>
      </c>
      <c r="S270" s="3" t="inlineStr">
        <is>
          <t>output/v8/M7/resumen_multiverso.csv</t>
        </is>
      </c>
    </row>
    <row r="271">
      <c r="A271" s="3" t="inlineStr">
        <is>
          <t>compra</t>
        </is>
      </c>
      <c r="B271" s="3" t="inlineStr">
        <is>
          <t>completo</t>
        </is>
      </c>
      <c r="C271" s="3" t="inlineStr">
        <is>
          <t>factor_europeo</t>
        </is>
      </c>
      <c r="D271" s="3" t="inlineStr">
        <is>
          <t>jk_mp</t>
        </is>
      </c>
      <c r="E271" s="3" t="n">
        <v>384</v>
      </c>
      <c r="F271" s="3" t="n">
        <v>0.6614583333333334</v>
      </c>
      <c r="G271" s="3" t="inlineStr">
        <is>
          <t>negativo</t>
        </is>
      </c>
      <c r="H271" s="3" t="n">
        <v>0.0885416666666666</v>
      </c>
      <c r="I271" s="3" t="n">
        <v>-0.0594582411997545</v>
      </c>
      <c r="J271" s="3" t="n">
        <v>-0.3809403391558228</v>
      </c>
      <c r="K271" s="3" t="n">
        <v>0.1686603878550106</v>
      </c>
      <c r="L271" s="3" t="inlineStr">
        <is>
          <t>no</t>
        </is>
      </c>
      <c r="M271" s="3" t="n">
        <v>0</v>
      </c>
      <c r="N271" s="3" t="inlineStr">
        <is>
          <t>mas es mas presion</t>
        </is>
      </c>
      <c r="O271" s="3" t="n">
        <v>-0.0594582411997545</v>
      </c>
      <c r="P271" s="3" t="n"/>
      <c r="Q271" s="3" t="n"/>
      <c r="R271" s="3" t="inlineStr">
        <is>
          <t>C4</t>
        </is>
      </c>
      <c r="S271" s="3" t="inlineStr">
        <is>
          <t>output/v8/M7/resumen_multiverso.csv</t>
        </is>
      </c>
    </row>
    <row r="272">
      <c r="A272" s="3" t="inlineStr">
        <is>
          <t>compra</t>
        </is>
      </c>
      <c r="B272" s="3" t="inlineStr">
        <is>
          <t>completo</t>
        </is>
      </c>
      <c r="C272" s="3" t="inlineStr">
        <is>
          <t>oferta</t>
        </is>
      </c>
      <c r="D272" s="3" t="inlineStr">
        <is>
          <t>TODAS</t>
        </is>
      </c>
      <c r="E272" s="3" t="n">
        <v>1152</v>
      </c>
      <c r="F272" s="3" t="n">
        <v>0.7673611111111112</v>
      </c>
      <c r="G272" s="3" t="inlineStr">
        <is>
          <t>positivo</t>
        </is>
      </c>
      <c r="H272" s="3" t="n">
        <v>0.4314236111111111</v>
      </c>
      <c r="I272" s="3" t="n">
        <v>0.1856067679099073</v>
      </c>
      <c r="J272" s="3" t="n">
        <v>-0.3225724780966446</v>
      </c>
      <c r="K272" s="3" t="n">
        <v>0.6771285894651331</v>
      </c>
      <c r="L272" s="3" t="inlineStr">
        <is>
          <t>no</t>
        </is>
      </c>
      <c r="M272" s="3" t="n">
        <v>0</v>
      </c>
      <c r="N272" s="3" t="inlineStr">
        <is>
          <t>mas es mas presion</t>
        </is>
      </c>
      <c r="O272" s="3" t="n">
        <v>0.1856067679099073</v>
      </c>
      <c r="P272" s="3" t="inlineStr">
        <is>
          <t>terminadas</t>
        </is>
      </c>
      <c r="Q272" s="3" t="inlineStr">
        <is>
          <t>no</t>
        </is>
      </c>
      <c r="R272" s="3" t="inlineStr">
        <is>
          <t>C4</t>
        </is>
      </c>
      <c r="S272" s="3" t="inlineStr">
        <is>
          <t>output/v8/M7/resumen_multiverso.csv</t>
        </is>
      </c>
    </row>
    <row r="273">
      <c r="A273" s="3" t="inlineStr">
        <is>
          <t>compra</t>
        </is>
      </c>
      <c r="B273" s="3" t="inlineStr">
        <is>
          <t>completo</t>
        </is>
      </c>
      <c r="C273" s="3" t="inlineStr">
        <is>
          <t>oferta</t>
        </is>
      </c>
      <c r="D273" s="3" t="inlineStr">
        <is>
          <t>costes_constr</t>
        </is>
      </c>
      <c r="E273" s="3" t="n">
        <v>384</v>
      </c>
      <c r="F273" s="3" t="n">
        <v>0.6302083333333334</v>
      </c>
      <c r="G273" s="3" t="inlineStr">
        <is>
          <t>negativo</t>
        </is>
      </c>
      <c r="H273" s="3" t="n">
        <v>0.1822916666666666</v>
      </c>
      <c r="I273" s="3" t="n">
        <v>-0.0450582865448329</v>
      </c>
      <c r="J273" s="3" t="n">
        <v>-0.4677972155803421</v>
      </c>
      <c r="K273" s="3" t="n">
        <v>0.1555986303003244</v>
      </c>
      <c r="L273" s="3" t="inlineStr">
        <is>
          <t>no</t>
        </is>
      </c>
      <c r="M273" s="3" t="n">
        <v>0</v>
      </c>
      <c r="N273" s="3" t="inlineStr">
        <is>
          <t>mas es mas presion</t>
        </is>
      </c>
      <c r="O273" s="3" t="n">
        <v>-0.0450582865448329</v>
      </c>
      <c r="P273" s="3" t="n"/>
      <c r="Q273" s="3" t="n"/>
      <c r="R273" s="3" t="inlineStr">
        <is>
          <t>C4</t>
        </is>
      </c>
      <c r="S273" s="3" t="inlineStr">
        <is>
          <t>output/v8/M7/resumen_multiverso.csv</t>
        </is>
      </c>
    </row>
    <row r="274">
      <c r="A274" s="3" t="inlineStr">
        <is>
          <t>compra</t>
        </is>
      </c>
      <c r="B274" s="3" t="inlineStr">
        <is>
          <t>completo</t>
        </is>
      </c>
      <c r="C274" s="3" t="inlineStr">
        <is>
          <t>oferta</t>
        </is>
      </c>
      <c r="D274" s="3" t="inlineStr">
        <is>
          <t>terminadas</t>
        </is>
      </c>
      <c r="E274" s="3" t="n">
        <v>384</v>
      </c>
      <c r="F274" s="3" t="n">
        <v>0.953125</v>
      </c>
      <c r="G274" s="3" t="inlineStr">
        <is>
          <t>positivo</t>
        </is>
      </c>
      <c r="H274" s="3" t="n">
        <v>0.5260416666666666</v>
      </c>
      <c r="I274" s="3" t="n">
        <v>0.2883543090357642</v>
      </c>
      <c r="J274" s="3" t="n">
        <v>0.0121585693728299</v>
      </c>
      <c r="K274" s="3" t="n">
        <v>0.6778437896797352</v>
      </c>
      <c r="L274" s="3" t="inlineStr">
        <is>
          <t>sí</t>
        </is>
      </c>
      <c r="M274" s="3" t="n">
        <v>0</v>
      </c>
      <c r="N274" s="3" t="inlineStr">
        <is>
          <t>mas es mas presion</t>
        </is>
      </c>
      <c r="O274" s="3" t="n">
        <v>0.2883543090357642</v>
      </c>
      <c r="P274" s="3" t="inlineStr">
        <is>
          <t>principal</t>
        </is>
      </c>
      <c r="Q274" s="3" t="n"/>
      <c r="R274" s="3" t="inlineStr">
        <is>
          <t>C4</t>
        </is>
      </c>
      <c r="S274" s="3" t="inlineStr">
        <is>
          <t>output/v8/M7/resumen_multiverso.csv</t>
        </is>
      </c>
    </row>
    <row r="275">
      <c r="A275" s="3" t="inlineStr">
        <is>
          <t>compra</t>
        </is>
      </c>
      <c r="B275" s="3" t="inlineStr">
        <is>
          <t>completo</t>
        </is>
      </c>
      <c r="C275" s="3" t="inlineStr">
        <is>
          <t>oferta</t>
        </is>
      </c>
      <c r="D275" s="3" t="inlineStr">
        <is>
          <t>visados</t>
        </is>
      </c>
      <c r="E275" s="3" t="n">
        <v>384</v>
      </c>
      <c r="F275" s="3" t="n">
        <v>0.9791666666666666</v>
      </c>
      <c r="G275" s="3" t="inlineStr">
        <is>
          <t>positivo</t>
        </is>
      </c>
      <c r="H275" s="3" t="n">
        <v>0.7473958333333334</v>
      </c>
      <c r="I275" s="3" t="n">
        <v>0.3975922132273691</v>
      </c>
      <c r="J275" s="3" t="n">
        <v>0.1038222496339418</v>
      </c>
      <c r="K275" s="3" t="n">
        <v>0.7351899836233654</v>
      </c>
      <c r="L275" s="3" t="inlineStr">
        <is>
          <t>sí</t>
        </is>
      </c>
      <c r="M275" s="3" t="n">
        <v>0</v>
      </c>
      <c r="N275" s="3" t="inlineStr">
        <is>
          <t>mas es mas presion</t>
        </is>
      </c>
      <c r="O275" s="3" t="n">
        <v>0.3975922132273691</v>
      </c>
      <c r="P275" s="3" t="n"/>
      <c r="Q275" s="3" t="n"/>
      <c r="R275" s="3" t="inlineStr">
        <is>
          <t>C4</t>
        </is>
      </c>
      <c r="S275" s="3" t="inlineStr">
        <is>
          <t>output/v8/M7/resumen_multiverso.csv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Econometr-a V8 (src/v8/f6_tablas.py)</dc:creator>
  <dc:title xmlns:dc="http://purl.org/dc/elements/1.1/">Tablas V8</dc:title>
  <dcterms:created xmlns:dcterms="http://purl.org/dc/terms/" xmlns:xsi="http://www.w3.org/2001/XMLSchema-instance" xsi:type="dcterms:W3CDTF">2026-10-13T00:00:00Z</dcterms:created>
  <dcterms:modified xmlns:dcterms="http://purl.org/dc/terms/" xmlns:xsi="http://www.w3.org/2001/XMLSchema-instance" xsi:type="dcterms:W3CDTF">2026-10-13T00:00:00Z</dcterms:modified>
</cp:coreProperties>
</file>