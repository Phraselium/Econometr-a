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fuente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1F4E99"/>
    </font>
    <font>
      <color rgb="001E7B34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E7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7" customWidth="1" min="8" max="8"/>
    <col width="40" customWidth="1" min="9" max="9"/>
    <col width="22" customWidth="1" min="10" max="10"/>
    <col width="40" customWidth="1" min="11" max="11"/>
    <col width="50" customWidth="1" min="12" max="12"/>
    <col width="12" customWidth="1" min="13" max="13"/>
    <col width="18" customWidth="1" min="14" max="14"/>
    <col width="12" customWidth="1" min="15" max="15"/>
    <col width="40" customWidth="1" min="16" max="16"/>
  </cols>
  <sheetData>
    <row r="1">
      <c r="A1" s="1" t="inlineStr">
        <is>
          <t>id</t>
        </is>
      </c>
      <c r="B1" s="1" t="inlineStr">
        <is>
          <t>enunciado (tal como se publica)</t>
        </is>
      </c>
      <c r="C1" s="1" t="inlineStr">
        <is>
          <t>valor</t>
        </is>
      </c>
      <c r="D1" s="1" t="inlineStr">
        <is>
          <t>mínimo</t>
        </is>
      </c>
      <c r="E1" s="1" t="inlineStr">
        <is>
          <t>máximo</t>
        </is>
      </c>
      <c r="F1" s="1" t="inlineStr">
        <is>
          <t>unidad</t>
        </is>
      </c>
      <c r="G1" s="1" t="inlineStr">
        <is>
          <t>periodo</t>
        </is>
      </c>
      <c r="H1" s="1" t="inlineStr">
        <is>
          <t>capa</t>
        </is>
      </c>
      <c r="I1" s="1" t="inlineStr">
        <is>
          <t>fuente(s)</t>
        </is>
      </c>
      <c r="J1" s="1" t="inlineStr">
        <is>
          <t>organismo</t>
        </is>
      </c>
      <c r="K1" s="1" t="inlineStr">
        <is>
          <t>URL de la fuente</t>
        </is>
      </c>
      <c r="L1" s="1" t="inlineStr">
        <is>
          <t>ficha del anexo</t>
        </is>
      </c>
      <c r="M1" s="1" t="inlineStr">
        <is>
          <t>amplitud del rango</t>
        </is>
      </c>
      <c r="N1" s="1" t="inlineStr">
        <is>
          <t>valor comprobado (revisor)</t>
        </is>
      </c>
      <c r="O1" s="1" t="inlineStr">
        <is>
          <t>¿coincide? (S/N)</t>
        </is>
      </c>
      <c r="P1" s="1" t="inlineStr">
        <is>
          <t>comentario (revisor)</t>
        </is>
      </c>
    </row>
    <row r="2">
      <c r="A2" s="2" t="inlineStr">
        <is>
          <t>V10-ATL-A1</t>
        </is>
      </c>
      <c r="B2" s="2" t="inlineStr">
        <is>
          <t>Sobrecarga del gasto en vivienda (&gt;40 % de la renta), personas en alquiler de mercado: 26,8 % (24,4-29,2 %) (2025; INE ECV (microdatos), cálculo propio; contraste Eurostat ilc_lvho07c; dato de ECV 2025; C1)</t>
        </is>
      </c>
      <c r="C2" s="2" t="n">
        <v>26.7965</v>
      </c>
      <c r="D2" s="2" t="n">
        <v>24.4022</v>
      </c>
      <c r="E2" s="2" t="n">
        <v>29.1907</v>
      </c>
      <c r="F2" s="2" t="inlineStr">
        <is>
          <t>%</t>
        </is>
      </c>
      <c r="G2" s="2" t="inlineStr">
        <is>
          <t>2025</t>
        </is>
      </c>
      <c r="H2" s="2" t="inlineStr">
        <is>
          <t>C1</t>
        </is>
      </c>
      <c r="I2" s="2" t="inlineStr">
        <is>
          <t>INE ECV (microdatos), cálculo propio; contraste Eurostat ilc_lvho07c</t>
        </is>
      </c>
      <c r="J2" s="2" t="inlineStr">
        <is>
          <t>INE</t>
        </is>
      </c>
      <c r="K2" s="3">
        <f>IFERROR(INDEX(fuentes!$B$2:$B$7,MATCH(J2,fuentes!$A$2:$A$7,0)),"—")</f>
        <v/>
      </c>
      <c r="L2" s="2" t="inlineStr">
        <is>
          <t>script de origen: output/v10/atlas/hechos.json:V10-ATL-A1</t>
        </is>
      </c>
      <c r="M2" s="4">
        <f>IF(AND(ISNUMBER(D2),ISNUMBER(E2)),E2-D2,"")</f>
        <v/>
      </c>
      <c r="N2" s="5" t="n"/>
      <c r="O2" s="5" t="n"/>
      <c r="P2" s="5" t="n"/>
    </row>
    <row r="3">
      <c r="A3" s="2" t="inlineStr">
        <is>
          <t>A23-P2</t>
        </is>
      </c>
      <c r="B3" s="2" t="inlineStr">
        <is>
          <t>Precio de compra, núcleo MIVAU/Notariado/Registradores 2015-2025: 47,2 % (44,2-56,1 %) (2015-2025 (media anual); MIVAU valor tasado; Notariado CGN; Registradores opendata; dato de 2025 (anual); C1)</t>
        </is>
      </c>
      <c r="C3" s="2" t="n">
        <v>47.2</v>
      </c>
      <c r="D3" s="2" t="n">
        <v>44.2</v>
      </c>
      <c r="E3" s="2" t="n">
        <v>56.1</v>
      </c>
      <c r="F3" s="2" t="inlineStr">
        <is>
          <t>%</t>
        </is>
      </c>
      <c r="G3" s="2" t="inlineStr">
        <is>
          <t>2015-2025 (media anual)</t>
        </is>
      </c>
      <c r="H3" s="2" t="inlineStr">
        <is>
          <t>C1</t>
        </is>
      </c>
      <c r="I3" s="2" t="inlineStr">
        <is>
          <t>MIVAU valor tasado; Notariado CGN; Registradores opendata</t>
        </is>
      </c>
      <c r="J3" s="2" t="inlineStr">
        <is>
          <t>MIVAU</t>
        </is>
      </c>
      <c r="K3" s="3">
        <f>IFERROR(INDEX(fuentes!$B$2:$B$7,MATCH(J3,fuentes!$A$2:$A$7,0)),"—")</f>
        <v/>
      </c>
      <c r="L3" s="2" t="inlineStr">
        <is>
          <t>A8 · metodologia/anexo_metodologico.md#a8-a23-p2-precio-de-compra-variación-2015-2025-núcleo-mivau-notariado-y-registradores</t>
        </is>
      </c>
      <c r="M3" s="4">
        <f>IF(AND(ISNUMBER(D3),ISNUMBER(E3)),E3-D3,"")</f>
        <v/>
      </c>
      <c r="N3" s="5" t="n"/>
      <c r="O3" s="5" t="n"/>
      <c r="P3" s="5" t="n"/>
    </row>
    <row r="4">
      <c r="A4" s="2" t="inlineStr">
        <is>
          <t>V9-D7-c1-dif</t>
        </is>
      </c>
      <c r="B4" s="2" t="inlineStr">
        <is>
          <t>Hogares 2021: ECP (1-1-2022) frente a censo 2021 (viviendas principales), diferencia: 1,5 % (2021; INE censo 2021; INE ECP; dato de 2022T1; C1)</t>
        </is>
      </c>
      <c r="C4" s="2" t="n">
        <v>1.54</v>
      </c>
      <c r="D4" s="2" t="n">
        <v/>
      </c>
      <c r="E4" s="2" t="n">
        <v/>
      </c>
      <c r="F4" s="2" t="inlineStr">
        <is>
          <t>%</t>
        </is>
      </c>
      <c r="G4" s="2" t="inlineStr">
        <is>
          <t>2021</t>
        </is>
      </c>
      <c r="H4" s="2" t="inlineStr">
        <is>
          <t>C1</t>
        </is>
      </c>
      <c r="I4" s="2" t="inlineStr">
        <is>
          <t>INE censo 2021; INE ECP</t>
        </is>
      </c>
      <c r="J4" s="2" t="inlineStr">
        <is>
          <t>INE</t>
        </is>
      </c>
      <c r="K4" s="3">
        <f>IFERROR(INDEX(fuentes!$B$2:$B$7,MATCH(J4,fuentes!$A$2:$A$7,0)),"—")</f>
        <v/>
      </c>
      <c r="L4" s="2" t="inlineStr">
        <is>
          <t>script de origen: output/v9/F5/hechos.json:V9-D7-c1-dif</t>
        </is>
      </c>
      <c r="M4" s="4">
        <f>IF(AND(ISNUMBER(D4),ISNUMBER(E4)),E4-D4,"")</f>
        <v/>
      </c>
      <c r="N4" s="5" t="n"/>
      <c r="O4" s="5" t="n"/>
      <c r="P4" s="5" t="n"/>
    </row>
    <row r="5">
      <c r="A5" s="2" t="inlineStr">
        <is>
          <t>VER-A23-V2-2</t>
        </is>
      </c>
      <c r="B5" s="2" t="inlineStr">
        <is>
          <t>Municipios de la C. Valenciana con renta de fianzas (GVA) en el análisis: 103 municipios (103-103 municipios) (2020-2025; output/v5/A23/calculos.json:gva_municipios_n; dato de 2025; C1)</t>
        </is>
      </c>
      <c r="C5" s="2" t="n">
        <v>103</v>
      </c>
      <c r="D5" s="2" t="n">
        <v>103</v>
      </c>
      <c r="E5" s="2" t="n">
        <v>103</v>
      </c>
      <c r="F5" s="2" t="inlineStr">
        <is>
          <t>municipios</t>
        </is>
      </c>
      <c r="G5" s="2" t="inlineStr">
        <is>
          <t>2020-2025</t>
        </is>
      </c>
      <c r="H5" s="2" t="inlineStr">
        <is>
          <t>C1</t>
        </is>
      </c>
      <c r="I5" s="2" t="inlineStr">
        <is>
          <t>output/v5/A23/calculos.json:gva_municipios_n</t>
        </is>
      </c>
      <c r="J5" s="2" t="inlineStr">
        <is>
          <t>GVA</t>
        </is>
      </c>
      <c r="K5" s="3">
        <f>IFERROR(INDEX(fuentes!$B$2:$B$7,MATCH(J5,fuentes!$A$2:$A$7,0)),"—")</f>
        <v/>
      </c>
      <c r="L5" s="2" t="inlineStr">
        <is>
          <t>script de origen: output/v6_3/VER/hechos.json:VER-A23-V2-2</t>
        </is>
      </c>
      <c r="M5" s="4">
        <f>IF(AND(ISNUMBER(D5),ISNUMBER(E5)),E5-D5,"")</f>
        <v/>
      </c>
      <c r="N5" s="5" t="n"/>
      <c r="O5" s="5" t="n"/>
      <c r="P5" s="5" t="n"/>
    </row>
    <row r="6">
      <c r="A6" s="2" t="inlineStr">
        <is>
          <t>V10-ATL-A2</t>
        </is>
      </c>
      <c r="B6" s="2" t="inlineStr">
        <is>
          <t>Sobrecarga del gasto en vivienda (&gt;40 % de la renta), total de la población: 7,2 % (6,7-7,7 %) (2025; INE ECV (microdatos); contraste Eurostat ilc_lvho07a; dato de ECV 2025; C1)</t>
        </is>
      </c>
      <c r="C6" s="2" t="n">
        <v>7.172</v>
      </c>
      <c r="D6" s="2" t="n">
        <v>6.6701</v>
      </c>
      <c r="E6" s="2" t="n">
        <v>7.6739</v>
      </c>
      <c r="F6" s="2" t="inlineStr">
        <is>
          <t>%</t>
        </is>
      </c>
      <c r="G6" s="2" t="inlineStr">
        <is>
          <t>2025</t>
        </is>
      </c>
      <c r="H6" s="2" t="inlineStr">
        <is>
          <t>C1</t>
        </is>
      </c>
      <c r="I6" s="2" t="inlineStr">
        <is>
          <t>INE ECV (microdatos); contraste Eurostat ilc_lvho07a</t>
        </is>
      </c>
      <c r="J6" s="2" t="inlineStr">
        <is>
          <t>INE</t>
        </is>
      </c>
      <c r="K6" s="3">
        <f>IFERROR(INDEX(fuentes!$B$2:$B$7,MATCH(J6,fuentes!$A$2:$A$7,0)),"—")</f>
        <v/>
      </c>
      <c r="L6" s="2" t="inlineStr">
        <is>
          <t>script de origen: output/v10/atlas/hechos.json:V10-ATL-A2</t>
        </is>
      </c>
      <c r="M6" s="4">
        <f>IF(AND(ISNUMBER(D6),ISNUMBER(E6)),E6-D6,"")</f>
        <v/>
      </c>
      <c r="N6" s="5" t="n"/>
      <c r="O6" s="5" t="n"/>
      <c r="P6" s="5" t="n"/>
    </row>
    <row r="7">
      <c r="A7" s="2" t="inlineStr">
        <is>
          <t>E-T7-prod</t>
        </is>
      </c>
      <c r="B7" s="2" t="inlineStr">
        <is>
          <t>Viviendas terminadas al año, España con País Vasco y Navarra (mín. y máx. anual): 78.810-100.980 viviendas/año (2019-2024; MIVAU terminadas libres y protegidas; dato de 2024-12-31; C1)</t>
        </is>
      </c>
      <c r="C7" s="2" t="n">
        <v/>
      </c>
      <c r="D7" s="2" t="n">
        <v>78810</v>
      </c>
      <c r="E7" s="2" t="n">
        <v>100980</v>
      </c>
      <c r="F7" s="2" t="inlineStr">
        <is>
          <t>viviendas/año</t>
        </is>
      </c>
      <c r="G7" s="2" t="inlineStr">
        <is>
          <t>2019-2024</t>
        </is>
      </c>
      <c r="H7" s="2" t="inlineStr">
        <is>
          <t>C1</t>
        </is>
      </c>
      <c r="I7" s="2" t="inlineStr">
        <is>
          <t>MIVAU terminadas libres y protegidas</t>
        </is>
      </c>
      <c r="J7" s="2" t="inlineStr">
        <is>
          <t>MIVAU</t>
        </is>
      </c>
      <c r="K7" s="3">
        <f>IFERROR(INDEX(fuentes!$B$2:$B$7,MATCH(J7,fuentes!$A$2:$A$7,0)),"—")</f>
        <v/>
      </c>
      <c r="L7" s="2" t="inlineStr">
        <is>
          <t>script de origen: output/v5/E/hechos.json:E-T7-prod</t>
        </is>
      </c>
      <c r="M7" s="4">
        <f>IF(AND(ISNUMBER(D7),ISNUMBER(E7)),E7-D7,"")</f>
        <v/>
      </c>
      <c r="N7" s="5" t="n"/>
      <c r="O7" s="5" t="n"/>
      <c r="P7" s="5" t="n"/>
    </row>
    <row r="8">
      <c r="A8" s="2" t="inlineStr">
        <is>
          <t>V8-M8-cv-p03-P5-acum-alt</t>
        </is>
      </c>
      <c r="B8" s="2" t="inlineStr">
        <is>
          <t>Variación acumulada observada del precio real de compra en provincia de Alicante (03) en P5 con la segunda fuente (Registradores precio/m2 (4 trimestres, deflactado); pp log): 20,3 pp (P5 (2022T3-último dato); M8 descriptivo; Registradores precio/m2 (4 trimestres, deflactado); dato de 2026T2; C1)</t>
        </is>
      </c>
      <c r="C8" s="2" t="n">
        <v>20.30130964</v>
      </c>
      <c r="D8" s="2" t="n">
        <v/>
      </c>
      <c r="E8" s="2" t="n">
        <v/>
      </c>
      <c r="F8" s="2" t="inlineStr">
        <is>
          <t>pp</t>
        </is>
      </c>
      <c r="G8" s="2" t="inlineStr">
        <is>
          <t>P5 (2022T3-último dato)</t>
        </is>
      </c>
      <c r="H8" s="2" t="inlineStr">
        <is>
          <t>C1</t>
        </is>
      </c>
      <c r="I8" s="2" t="inlineStr">
        <is>
          <t>M8 descriptivo; Registradores precio/m2 (4 trimestres, deflactado)</t>
        </is>
      </c>
      <c r="J8" s="2" t="inlineStr">
        <is>
          <t>Registradores</t>
        </is>
      </c>
      <c r="K8" s="3">
        <f>IFERROR(INDEX(fuentes!$B$2:$B$7,MATCH(J8,fuentes!$A$2:$A$7,0)),"—")</f>
        <v/>
      </c>
      <c r="L8" s="2" t="inlineStr">
        <is>
          <t>script de origen: output/v8/F6/hechos.json:V8-M8-cv-p03-P5-acum-alt</t>
        </is>
      </c>
      <c r="M8" s="4">
        <f>IF(AND(ISNUMBER(D8),ISNUMBER(E8)),E8-D8,"")</f>
        <v/>
      </c>
      <c r="N8" s="5" t="n"/>
      <c r="O8" s="5" t="n"/>
      <c r="P8" s="5" t="n"/>
    </row>
    <row r="9">
      <c r="A9" s="2" t="inlineStr">
        <is>
          <t>dh_2125</t>
        </is>
      </c>
      <c r="B9" s="2" t="inlineStr">
        <is>
          <t>Aumento del número de hogares: 997.586 hogares (981.823-1.013.350 hogares) (2021-2025; INE ECP y EPA (sin corrección: los dos extremos son posteriores a la ruptura de 2021; ventanas distintas: stock a 1 de enero en la ECP y media anual en la EPA, v7.1 K4b-dh); dato de 2025T1; C1)</t>
        </is>
      </c>
      <c r="C9" s="2" t="n">
        <v>997586.5</v>
      </c>
      <c r="D9" s="2" t="n">
        <v>981823</v>
      </c>
      <c r="E9" s="2" t="n">
        <v>1013350</v>
      </c>
      <c r="F9" s="2" t="inlineStr">
        <is>
          <t>hogares</t>
        </is>
      </c>
      <c r="G9" s="2" t="inlineStr">
        <is>
          <t>2021-2025</t>
        </is>
      </c>
      <c r="H9" s="2" t="inlineStr">
        <is>
          <t>C1</t>
        </is>
      </c>
      <c r="I9" s="2" t="inlineStr">
        <is>
          <t>INE ECP y EPA (sin corrección: los dos extremos son posteriores a la ruptura de 2021; ventanas distintas: stock a 1 de enero en la ECP y media anual en la EPA, v7.1 K4b-dh)</t>
        </is>
      </c>
      <c r="J9" s="2" t="inlineStr">
        <is>
          <t>INE</t>
        </is>
      </c>
      <c r="K9" s="3">
        <f>IFERROR(INDEX(fuentes!$B$2:$B$7,MATCH(J9,fuentes!$A$2:$A$7,0)),"—")</f>
        <v/>
      </c>
      <c r="L9" s="2" t="inlineStr">
        <is>
          <t>A1 · metodologia/anexo_metodologico.md#a1-dh_2125-aumento-del-número-de-hogares-2021-2025</t>
        </is>
      </c>
      <c r="M9" s="4">
        <f>IF(AND(ISNUMBER(D9),ISNUMBER(E9)),E9-D9,"")</f>
        <v/>
      </c>
      <c r="N9" s="5" t="n"/>
      <c r="O9" s="5" t="n"/>
      <c r="P9" s="5" t="n"/>
    </row>
    <row r="10">
      <c r="A10" s="2" t="inlineStr">
        <is>
          <t>A23-A9</t>
        </is>
      </c>
      <c r="B10" s="2" t="inlineStr">
        <is>
          <t>Contratos nuevos Cataluña 2021-2024: IPVA nuevo e Incasòl: 16,9 % (16,6-17,2 %) (2021-2024; INE IPVA (AEAT); Incasòl; dato de 2024; C1)</t>
        </is>
      </c>
      <c r="C10" s="2" t="n">
        <v>16.9</v>
      </c>
      <c r="D10" s="2" t="n">
        <v>16.6</v>
      </c>
      <c r="E10" s="2" t="n">
        <v>17.2</v>
      </c>
      <c r="F10" s="2" t="inlineStr">
        <is>
          <t>%</t>
        </is>
      </c>
      <c r="G10" s="2" t="inlineStr">
        <is>
          <t>2021-2024</t>
        </is>
      </c>
      <c r="H10" s="2" t="inlineStr">
        <is>
          <t>C1</t>
        </is>
      </c>
      <c r="I10" s="2" t="inlineStr">
        <is>
          <t>INE IPVA (AEAT); Incasòl</t>
        </is>
      </c>
      <c r="J10" s="2" t="inlineStr">
        <is>
          <t>INE</t>
        </is>
      </c>
      <c r="K10" s="3">
        <f>IFERROR(INDEX(fuentes!$B$2:$B$7,MATCH(J10,fuentes!$A$2:$A$7,0)),"—")</f>
        <v/>
      </c>
      <c r="L10" s="2" t="inlineStr">
        <is>
          <t>script de origen: output/v5/A23/hechos.json:A23-A9</t>
        </is>
      </c>
      <c r="M10" s="4">
        <f>IF(AND(ISNUMBER(D10),ISNUMBER(E10)),E10-D10,"")</f>
        <v/>
      </c>
      <c r="N10" s="5" t="n"/>
      <c r="O10" s="5" t="n"/>
      <c r="P10" s="5" t="n"/>
    </row>
    <row r="11">
      <c r="A11" s="2" t="inlineStr">
        <is>
          <t>V8-M8-cv-p12-P5-acum-alt</t>
        </is>
      </c>
      <c r="B11" s="2" t="inlineStr">
        <is>
          <t>Variación acumulada observada del precio real de compra en provincia de Castellón (12) en P5 con la segunda fuente (Registradores precio/m2 (4 trimestres, deflactado); pp log): 10,9 pp (P5 (2022T3-último dato); M8 descriptivo; Registradores precio/m2 (4 trimestres, deflactado); dato de 2026T2; C1)</t>
        </is>
      </c>
      <c r="C11" s="2" t="n">
        <v>10.88529427</v>
      </c>
      <c r="D11" s="2" t="n">
        <v/>
      </c>
      <c r="E11" s="2" t="n">
        <v/>
      </c>
      <c r="F11" s="2" t="inlineStr">
        <is>
          <t>pp</t>
        </is>
      </c>
      <c r="G11" s="2" t="inlineStr">
        <is>
          <t>P5 (2022T3-último dato)</t>
        </is>
      </c>
      <c r="H11" s="2" t="inlineStr">
        <is>
          <t>C1</t>
        </is>
      </c>
      <c r="I11" s="2" t="inlineStr">
        <is>
          <t>M8 descriptivo; Registradores precio/m2 (4 trimestres, deflactado)</t>
        </is>
      </c>
      <c r="J11" s="2" t="inlineStr">
        <is>
          <t>Registradores</t>
        </is>
      </c>
      <c r="K11" s="3">
        <f>IFERROR(INDEX(fuentes!$B$2:$B$7,MATCH(J11,fuentes!$A$2:$A$7,0)),"—")</f>
        <v/>
      </c>
      <c r="L11" s="2" t="inlineStr">
        <is>
          <t>script de origen: output/v8/F6/hechos.json:V8-M8-cv-p12-P5-acum-alt</t>
        </is>
      </c>
      <c r="M11" s="4">
        <f>IF(AND(ISNUMBER(D11),ISNUMBER(E11)),E11-D11,"")</f>
        <v/>
      </c>
      <c r="N11" s="5" t="n"/>
      <c r="O11" s="5" t="n"/>
      <c r="P11" s="5" t="n"/>
    </row>
    <row r="12">
      <c r="A12" s="2" t="inlineStr">
        <is>
          <t>B1-H4</t>
        </is>
      </c>
      <c r="B12" s="2" t="inlineStr">
        <is>
          <t>Crecimiento de hogares proyectado (INE, 10 años): 1.720.537 hogares (1.308.531-1.772.410 hogares) (2026-2035; INE Proyección de Hogares 54562; INE Proyecciones de Población 36726; dato de 2026-10-10 (descarga); INE proyecciones 2026-06; Censo 2021-11; MIVAU/Catastro hasta 2025; C2)</t>
        </is>
      </c>
      <c r="C12" s="2" t="n">
        <v>1720537</v>
      </c>
      <c r="D12" s="2" t="n">
        <v>1308531.1</v>
      </c>
      <c r="E12" s="2" t="n">
        <v>1772410.4</v>
      </c>
      <c r="F12" s="2" t="inlineStr">
        <is>
          <t>hogares</t>
        </is>
      </c>
      <c r="G12" s="2" t="inlineStr">
        <is>
          <t>2026-2035</t>
        </is>
      </c>
      <c r="H12" s="2" t="inlineStr">
        <is>
          <t>C2</t>
        </is>
      </c>
      <c r="I12" s="2" t="inlineStr">
        <is>
          <t>INE Proyección de Hogares 54562; INE Proyecciones de Población 36726</t>
        </is>
      </c>
      <c r="J12" s="2" t="inlineStr">
        <is>
          <t>INE</t>
        </is>
      </c>
      <c r="K12" s="3">
        <f>IFERROR(INDEX(fuentes!$B$2:$B$7,MATCH(J12,fuentes!$A$2:$A$7,0)),"—")</f>
        <v/>
      </c>
      <c r="L12" s="2" t="inlineStr">
        <is>
          <t>A13-A14 · metodologia/anexo_metodologico.md#a13-a14-b1-h4-y-e-b1-f-crecimiento-de-hogares-proyectado-2026-2035</t>
        </is>
      </c>
      <c r="M12" s="4">
        <f>IF(AND(ISNUMBER(D12),ISNUMBER(E12)),E12-D12,"")</f>
        <v/>
      </c>
      <c r="N12" s="5" t="n"/>
      <c r="O12" s="5" t="n"/>
      <c r="P12" s="5" t="n"/>
    </row>
    <row r="13">
      <c r="A13" s="2" t="inlineStr">
        <is>
          <t>L3-DEF-2124-SENS</t>
        </is>
      </c>
      <c r="B13" s="2" t="inlineStr">
        <is>
          <t>Sensibilidad: déficit 2021-2024 sin bajas sin las dos variantes que conservan el salto de la EPA (a y d1): 653.456 viviendas (596.371-710.542 viviendas) (2021-2024; ídem, sin variantes a y d1; dato de 2024T4; C2)</t>
        </is>
      </c>
      <c r="C13" s="2" t="n">
        <v>653456</v>
      </c>
      <c r="D13" s="2" t="n">
        <v>596371</v>
      </c>
      <c r="E13" s="2" t="n">
        <v>710542</v>
      </c>
      <c r="F13" s="2" t="inlineStr">
        <is>
          <t>viviendas</t>
        </is>
      </c>
      <c r="G13" s="2" t="inlineStr">
        <is>
          <t>2021-2024</t>
        </is>
      </c>
      <c r="H13" s="2" t="inlineStr">
        <is>
          <t>C2</t>
        </is>
      </c>
      <c r="I13" s="2" t="inlineStr">
        <is>
          <t>ídem, sin variantes a y d1</t>
        </is>
      </c>
      <c r="J13" s="2" t="inlineStr">
        <is>
          <t>propio (elaboración del proyecto)</t>
        </is>
      </c>
      <c r="K13" s="3">
        <f>IFERROR(INDEX(fuentes!$B$2:$B$7,MATCH(J13,fuentes!$A$2:$A$7,0)),"—")</f>
        <v/>
      </c>
      <c r="L13" s="2" t="inlineStr">
        <is>
          <t>script de origen: output/v6_2/L3/hechos.json:L3-DEF-2124-SENS</t>
        </is>
      </c>
      <c r="M13" s="4">
        <f>IF(AND(ISNUMBER(D13),ISNUMBER(E13)),E13-D13,"")</f>
        <v/>
      </c>
      <c r="N13" s="5" t="n"/>
      <c r="O13" s="5" t="n"/>
      <c r="P13" s="5" t="n"/>
    </row>
    <row r="14">
      <c r="A14" s="2" t="inlineStr">
        <is>
          <t>VER-B4-V1-1</t>
        </is>
      </c>
      <c r="B14" s="2" t="inlineStr">
        <is>
          <t>Aumento de la población extranjera 2014-2019 (denominador de la cota de cantidad): 174.410 personas (174.410-174.410 personas) (2014-2019; output/v4/M2/hechos.json:magnitud[2014-2019].delta_poblacion_extranjera; dato de 2019; C2)</t>
        </is>
      </c>
      <c r="C14" s="2" t="n">
        <v>174410</v>
      </c>
      <c r="D14" s="2" t="n">
        <v>174410</v>
      </c>
      <c r="E14" s="2" t="n">
        <v>174410</v>
      </c>
      <c r="F14" s="2" t="inlineStr">
        <is>
          <t>personas</t>
        </is>
      </c>
      <c r="G14" s="2" t="inlineStr">
        <is>
          <t>2014-2019</t>
        </is>
      </c>
      <c r="H14" s="2" t="inlineStr">
        <is>
          <t>C2</t>
        </is>
      </c>
      <c r="I14" s="2" t="inlineStr">
        <is>
          <t>output/v4/M2/hechos.json:magnitud[2014-2019].delta_poblacion_extranjera</t>
        </is>
      </c>
      <c r="J14" s="2" t="inlineStr">
        <is>
          <t>propio (elaboración del proyecto)</t>
        </is>
      </c>
      <c r="K14" s="3">
        <f>IFERROR(INDEX(fuentes!$B$2:$B$7,MATCH(J14,fuentes!$A$2:$A$7,0)),"—")</f>
        <v/>
      </c>
      <c r="L14" s="2" t="inlineStr">
        <is>
          <t>script de origen: output/v6_3/VER/hechos.json:VER-B4-V1-1</t>
        </is>
      </c>
      <c r="M14" s="4">
        <f>IF(AND(ISNUMBER(D14),ISNUMBER(E14)),E14-D14,"")</f>
        <v/>
      </c>
      <c r="N14" s="5" t="n"/>
      <c r="O14" s="5" t="n"/>
      <c r="P14" s="5" t="n"/>
    </row>
    <row r="15">
      <c r="A15" s="2" t="inlineStr">
        <is>
          <t>VER-B4-V2-1</t>
        </is>
      </c>
      <c r="B15" s="2" t="inlineStr">
        <is>
          <t>Cota C2 de viviendas de alquiler absorbidas por turismo, sustitución 1:1: 81.771 viviendas (81.771-81.771 viviendas) (2020M08-2024M08; output/v3/PB/cotas.json:B1-nac-cantidad-viviendas; dato de 2024-08; C2)</t>
        </is>
      </c>
      <c r="C15" s="2" t="n">
        <v>81771</v>
      </c>
      <c r="D15" s="2" t="n">
        <v>81771</v>
      </c>
      <c r="E15" s="2" t="n">
        <v>81771</v>
      </c>
      <c r="F15" s="2" t="inlineStr">
        <is>
          <t>viviendas</t>
        </is>
      </c>
      <c r="G15" s="2" t="inlineStr">
        <is>
          <t>2020M08-2024M08</t>
        </is>
      </c>
      <c r="H15" s="2" t="inlineStr">
        <is>
          <t>C2</t>
        </is>
      </c>
      <c r="I15" s="2" t="inlineStr">
        <is>
          <t>output/v3/PB/cotas.json:B1-nac-cantidad-viviendas</t>
        </is>
      </c>
      <c r="J15" s="2" t="inlineStr">
        <is>
          <t>propio (elaboración del proyecto)</t>
        </is>
      </c>
      <c r="K15" s="3">
        <f>IFERROR(INDEX(fuentes!$B$2:$B$7,MATCH(J15,fuentes!$A$2:$A$7,0)),"—")</f>
        <v/>
      </c>
      <c r="L15" s="2" t="inlineStr">
        <is>
          <t>script de origen: output/v6_3/VER/hechos.json:VER-B4-V2-1</t>
        </is>
      </c>
      <c r="M15" s="4">
        <f>IF(AND(ISNUMBER(D15),ISNUMBER(E15)),E15-D15,"")</f>
        <v/>
      </c>
      <c r="N15" s="5" t="n"/>
      <c r="O15" s="5" t="n"/>
      <c r="P15" s="5" t="n"/>
    </row>
    <row r="16">
      <c r="A16" s="2" t="inlineStr">
        <is>
          <t>L3-DEF-2124-SINBAJAS</t>
        </is>
      </c>
      <c r="B16" s="2" t="inlineStr">
        <is>
          <t>Déficit acumulado 2021-2024 sin bajas (todas las variantes de corrección EPA y de terminadas): 549.952 viviendas (389.361-710.542 viviendas) (2021-2024; hogares: EPA (varias correcciones) y ECP; terminadas: MIVAU y Catastro; dato de 2024T4; C2)</t>
        </is>
      </c>
      <c r="C16" s="2" t="n">
        <v>549952</v>
      </c>
      <c r="D16" s="2" t="n">
        <v>389361</v>
      </c>
      <c r="E16" s="2" t="n">
        <v>710542</v>
      </c>
      <c r="F16" s="2" t="inlineStr">
        <is>
          <t>viviendas</t>
        </is>
      </c>
      <c r="G16" s="2" t="inlineStr">
        <is>
          <t>2021-2024</t>
        </is>
      </c>
      <c r="H16" s="2" t="inlineStr">
        <is>
          <t>C2</t>
        </is>
      </c>
      <c r="I16" s="2" t="inlineStr">
        <is>
          <t>hogares: EPA (varias correcciones) y ECP; terminadas: MIVAU y Catastro</t>
        </is>
      </c>
      <c r="J16" s="2" t="inlineStr">
        <is>
          <t>MIVAU</t>
        </is>
      </c>
      <c r="K16" s="3">
        <f>IFERROR(INDEX(fuentes!$B$2:$B$7,MATCH(J16,fuentes!$A$2:$A$7,0)),"—")</f>
        <v/>
      </c>
      <c r="L16" s="2" t="inlineStr">
        <is>
          <t>A5 · metodologia/anexo_metodologico.md#a5-l3-def-2124-sinbajas-déficit-2021-2024-sin-bajas-todas-las-variantes-v62</t>
        </is>
      </c>
      <c r="M16" s="4">
        <f>IF(AND(ISNUMBER(D16),ISNUMBER(E16)),E16-D16,"")</f>
        <v/>
      </c>
      <c r="N16" s="5" t="n"/>
      <c r="O16" s="5" t="n"/>
      <c r="P16" s="5" t="n"/>
    </row>
    <row r="17">
      <c r="A17" s="2" t="inlineStr">
        <is>
          <t>T4-H3</t>
        </is>
      </c>
      <c r="B17" s="2" t="inlineStr">
        <is>
          <t>Dirección nacional del déficit 2025-2030 en toda la rejilla (empeora); provincias que empeoran / mejoran / indeterminadas: 15 provincias (0-37 provincias) (2025-2030; B2; T1; T2; INE 54562; MIVAU; dato de 2025 (ECP y MIVAU); proyecciones INE 54562 y 36726 de 2026-06-17; C2)</t>
        </is>
      </c>
      <c r="C17" s="2" t="n">
        <v>15</v>
      </c>
      <c r="D17" s="2" t="n">
        <v>0</v>
      </c>
      <c r="E17" s="2" t="n">
        <v>37</v>
      </c>
      <c r="F17" s="2" t="inlineStr">
        <is>
          <t>provincias</t>
        </is>
      </c>
      <c r="G17" s="2" t="inlineStr">
        <is>
          <t>2025-2030</t>
        </is>
      </c>
      <c r="H17" s="2" t="inlineStr">
        <is>
          <t>C2</t>
        </is>
      </c>
      <c r="I17" s="2" t="inlineStr">
        <is>
          <t>B2; T1; T2; INE 54562; MIVAU</t>
        </is>
      </c>
      <c r="J17" s="2" t="inlineStr">
        <is>
          <t>INE</t>
        </is>
      </c>
      <c r="K17" s="3">
        <f>IFERROR(INDEX(fuentes!$B$2:$B$7,MATCH(J17,fuentes!$A$2:$A$7,0)),"—")</f>
        <v/>
      </c>
      <c r="L17" s="2" t="inlineStr">
        <is>
          <t>script de origen: output/v5_1/T4/hechos.json:T4-H3</t>
        </is>
      </c>
      <c r="M17" s="4">
        <f>IF(AND(ISNUMBER(D17),ISNUMBER(E17)),E17-D17,"")</f>
        <v/>
      </c>
      <c r="N17" s="5" t="n"/>
      <c r="O17" s="5" t="n"/>
      <c r="P17" s="5" t="n"/>
    </row>
    <row r="18">
      <c r="A18" s="2" t="inlineStr">
        <is>
          <t>B2-H3</t>
        </is>
      </c>
      <c r="B18" s="2" t="inlineStr">
        <is>
          <t>Crecimiento de hogares proyectado INE 2026-2030: 1.024.156 hogares (819.421-1.060.364 hogares) (1-ene-2026 a 1-ene-2031; INE 54562; INE 36726; dato de INE 2026-06-17; C2)</t>
        </is>
      </c>
      <c r="C18" s="2" t="n">
        <v>1024156</v>
      </c>
      <c r="D18" s="2" t="n">
        <v>819421</v>
      </c>
      <c r="E18" s="2" t="n">
        <v>1060364</v>
      </c>
      <c r="F18" s="2" t="inlineStr">
        <is>
          <t>hogares</t>
        </is>
      </c>
      <c r="G18" s="2" t="inlineStr">
        <is>
          <t>1-ene-2026 a 1-ene-2031</t>
        </is>
      </c>
      <c r="H18" s="2" t="inlineStr">
        <is>
          <t>C2</t>
        </is>
      </c>
      <c r="I18" s="2" t="inlineStr">
        <is>
          <t>INE 54562; INE 36726</t>
        </is>
      </c>
      <c r="J18" s="2" t="inlineStr">
        <is>
          <t>INE</t>
        </is>
      </c>
      <c r="K18" s="3">
        <f>IFERROR(INDEX(fuentes!$B$2:$B$7,MATCH(J18,fuentes!$A$2:$A$7,0)),"—")</f>
        <v/>
      </c>
      <c r="L18" s="2" t="inlineStr">
        <is>
          <t>script de origen: output/v5/B2/hechos.json:B2-H3</t>
        </is>
      </c>
      <c r="M18" s="4">
        <f>IF(AND(ISNUMBER(D18),ISNUMBER(E18)),E18-D18,"")</f>
        <v/>
      </c>
      <c r="N18" s="5" t="n"/>
      <c r="O18" s="5" t="n"/>
      <c r="P18" s="5" t="n"/>
    </row>
    <row r="19">
      <c r="A19" s="2" t="inlineStr">
        <is>
          <t>B4-v3-vut-cantidad</t>
        </is>
      </c>
      <c r="B19" s="2" t="inlineStr">
        <is>
          <t>Máximo de stock de alquiler desplazado por viviendas turísticas: 2,7 % del stock de alquiler (2,4-2,7 % del stock de alquiler) (2020M08-2024M08; v3 PB (INE VUT, Censo 2021); dato de 2024-08; C2)</t>
        </is>
      </c>
      <c r="C19" s="2" t="n">
        <v>2.746</v>
      </c>
      <c r="D19" s="2" t="n">
        <v>2.423</v>
      </c>
      <c r="E19" s="2" t="n">
        <v>2.746</v>
      </c>
      <c r="F19" s="2" t="inlineStr">
        <is>
          <t>% del stock de alquiler</t>
        </is>
      </c>
      <c r="G19" s="2" t="inlineStr">
        <is>
          <t>2020M08-2024M08</t>
        </is>
      </c>
      <c r="H19" s="2" t="inlineStr">
        <is>
          <t>C2</t>
        </is>
      </c>
      <c r="I19" s="2" t="inlineStr">
        <is>
          <t>v3 PB (INE VUT, Censo 2021)</t>
        </is>
      </c>
      <c r="J19" s="2" t="inlineStr">
        <is>
          <t>INE</t>
        </is>
      </c>
      <c r="K19" s="3">
        <f>IFERROR(INDEX(fuentes!$B$2:$B$7,MATCH(J19,fuentes!$A$2:$A$7,0)),"—")</f>
        <v/>
      </c>
      <c r="L19" s="2" t="inlineStr">
        <is>
          <t>A11 · metodologia/anexo_metodologico.md#a11-b4-v3-vut-cantidad-máximo-de-stock-de-alquiler-desplazado-por-viviendas-turísticas</t>
        </is>
      </c>
      <c r="M19" s="4">
        <f>IF(AND(ISNUMBER(D19),ISNUMBER(E19)),E19-D19,"")</f>
        <v/>
      </c>
      <c r="N19" s="5" t="n"/>
      <c r="O19" s="5" t="n"/>
      <c r="P19" s="5" t="n"/>
    </row>
    <row r="20">
      <c r="A20" s="2" t="inlineStr">
        <is>
          <t>latente_convivencia</t>
        </is>
      </c>
      <c r="B20" s="2" t="inlineStr">
        <is>
          <t>Demanda latente de jóvenes por convivencia con los padres (frente a 2008): 188.000-506.000 hogares (2008-2025; INE EPA y ECV (tasa de convivencia con los padres); dato de 2025; C2)</t>
        </is>
      </c>
      <c r="C20" s="2" t="n">
        <v/>
      </c>
      <c r="D20" s="2" t="n">
        <v>188000</v>
      </c>
      <c r="E20" s="2" t="n">
        <v>506000</v>
      </c>
      <c r="F20" s="2" t="inlineStr">
        <is>
          <t>hogares</t>
        </is>
      </c>
      <c r="G20" s="2" t="inlineStr">
        <is>
          <t>2008-2025</t>
        </is>
      </c>
      <c r="H20" s="2" t="inlineStr">
        <is>
          <t>C2</t>
        </is>
      </c>
      <c r="I20" s="2" t="inlineStr">
        <is>
          <t>INE EPA y ECV (tasa de convivencia con los padres)</t>
        </is>
      </c>
      <c r="J20" s="2" t="inlineStr">
        <is>
          <t>INE</t>
        </is>
      </c>
      <c r="K20" s="3">
        <f>IFERROR(INDEX(fuentes!$B$2:$B$7,MATCH(J20,fuentes!$A$2:$A$7,0)),"—")</f>
        <v/>
      </c>
      <c r="L20" s="2" t="inlineStr">
        <is>
          <t>A12 · metodologia/anexo_metodologico.md#a12-latente_convivencia-demanda-latente-de-jóvenes-por-convivencia-con-los-padres</t>
        </is>
      </c>
      <c r="M20" s="4">
        <f>IF(AND(ISNUMBER(D20),ISNUMBER(E20)),E20-D20,"")</f>
        <v/>
      </c>
      <c r="N20" s="5" t="n"/>
      <c r="O20" s="5" t="n"/>
      <c r="P20" s="5" t="n"/>
    </row>
    <row r="21">
      <c r="A21" s="2" t="inlineStr">
        <is>
          <t>V8-SVAR-a-P2-demanda_vivienda-media</t>
        </is>
      </c>
      <c r="B21" s="2" t="inlineStr">
        <is>
          <t>Contribución de demanda específica de vivienda (shock de M2, no pre-registrado como factor) a la variación de alquiler real en P2 (media posterior; banda del 68 %; pp log×100; condicionado a las restricciones de signo y de cero de M2): -0,32 pp (-2,3 a 1,8 pp) (P2 (2008T3-2013T4); M2 SVAR bayesiano con restricciones de signo y de cero (descomposición histórica); nacional_q_v8; dato de 2026T1; C3s)</t>
        </is>
      </c>
      <c r="C21" s="2" t="n">
        <v>-0.322677</v>
      </c>
      <c r="D21" s="2" t="n">
        <v>-2.31858</v>
      </c>
      <c r="E21" s="2" t="n">
        <v>1.84846</v>
      </c>
      <c r="F21" s="2" t="inlineStr">
        <is>
          <t>pp</t>
        </is>
      </c>
      <c r="G21" s="2" t="inlineStr">
        <is>
          <t>P2 (2008T3-2013T4)</t>
        </is>
      </c>
      <c r="H21" s="2" t="inlineStr">
        <is>
          <t>C3s</t>
        </is>
      </c>
      <c r="I21" s="2" t="inlineStr">
        <is>
          <t>M2 SVAR bayesiano con restricciones de signo y de cero (descomposición histórica); nacional_q_v8</t>
        </is>
      </c>
      <c r="J21" s="2" t="inlineStr">
        <is>
          <t>propio (elaboración del proyecto)</t>
        </is>
      </c>
      <c r="K21" s="3">
        <f>IFERROR(INDEX(fuentes!$B$2:$B$7,MATCH(J21,fuentes!$A$2:$A$7,0)),"—")</f>
        <v/>
      </c>
      <c r="L21" s="2" t="inlineStr">
        <is>
          <t>script de origen: output/v8/F6/hechos.json:V8-SVAR-a-P2-demanda_vivienda-media</t>
        </is>
      </c>
      <c r="M21" s="4">
        <f>IF(AND(ISNUMBER(D21),ISNUMBER(E21)),E21-D21,"")</f>
        <v/>
      </c>
      <c r="N21" s="5" t="n"/>
      <c r="O21" s="5" t="n"/>
      <c r="P21" s="5" t="n"/>
    </row>
    <row r="22">
      <c r="A22" s="2" t="inlineStr">
        <is>
          <t>V8-SVAR-c-P2-oferta-mediana</t>
        </is>
      </c>
      <c r="B22" s="2" t="inlineStr">
        <is>
          <t>Contribución de oferta a la variación de precio real de compra en P2 (mediana posterior; banda del 68 %; pp log×100; condicionado a las restricciones de signo y de cero de M2): -2,1 pp (-13,3 a 2,5 pp) (P2 (2008T3-2013T4); M2 SVAR bayesiano con restricciones de signo y de cero (descomposición histórica); nacional_q_v8; dato de 2026T1; C3s)</t>
        </is>
      </c>
      <c r="C22" s="2" t="n">
        <v>-2.0535</v>
      </c>
      <c r="D22" s="2" t="n">
        <v>-13.2992</v>
      </c>
      <c r="E22" s="2" t="n">
        <v>2.48894</v>
      </c>
      <c r="F22" s="2" t="inlineStr">
        <is>
          <t>pp</t>
        </is>
      </c>
      <c r="G22" s="2" t="inlineStr">
        <is>
          <t>P2 (2008T3-2013T4)</t>
        </is>
      </c>
      <c r="H22" s="2" t="inlineStr">
        <is>
          <t>C3s</t>
        </is>
      </c>
      <c r="I22" s="2" t="inlineStr">
        <is>
          <t>M2 SVAR bayesiano con restricciones de signo y de cero (descomposición histórica); nacional_q_v8</t>
        </is>
      </c>
      <c r="J22" s="2" t="inlineStr">
        <is>
          <t>propio (elaboración del proyecto)</t>
        </is>
      </c>
      <c r="K22" s="3">
        <f>IFERROR(INDEX(fuentes!$B$2:$B$7,MATCH(J22,fuentes!$A$2:$A$7,0)),"—")</f>
        <v/>
      </c>
      <c r="L22" s="2" t="inlineStr">
        <is>
          <t>script de origen: output/v8/F6/hechos.json:V8-SVAR-c-P2-oferta-mediana</t>
        </is>
      </c>
      <c r="M22" s="4">
        <f>IF(AND(ISNUMBER(D22),ISNUMBER(E22)),E22-D22,"")</f>
        <v/>
      </c>
      <c r="N22" s="5" t="n"/>
      <c r="O22" s="5" t="n"/>
      <c r="P22" s="5" t="n"/>
    </row>
    <row r="23">
      <c r="A23" s="2" t="inlineStr">
        <is>
          <t>V8-SVAR-c-P3-demanda_vivienda-mediana</t>
        </is>
      </c>
      <c r="B23" s="2" t="inlineStr">
        <is>
          <t>Contribución de demanda específica de vivienda (shock de M2, no pre-registrado como factor) a la variación de precio real de compra en P3 (mediana posterior; banda del 68 %; pp log×100; condicionado a las restricciones de signo y de cero de M2): 0,53 pp (-7,2 a 9,0 pp) (P3 (2014T1-2019T4); M2 SVAR bayesiano con restricciones de signo y de cero (descomposición histórica); nacional_q_v8; dato de 2026T1; C3s)</t>
        </is>
      </c>
      <c r="C23" s="2" t="n">
        <v>0.532209</v>
      </c>
      <c r="D23" s="2" t="n">
        <v>-7.20665</v>
      </c>
      <c r="E23" s="2" t="n">
        <v>8.99381</v>
      </c>
      <c r="F23" s="2" t="inlineStr">
        <is>
          <t>pp</t>
        </is>
      </c>
      <c r="G23" s="2" t="inlineStr">
        <is>
          <t>P3 (2014T1-2019T4)</t>
        </is>
      </c>
      <c r="H23" s="2" t="inlineStr">
        <is>
          <t>C3s</t>
        </is>
      </c>
      <c r="I23" s="2" t="inlineStr">
        <is>
          <t>M2 SVAR bayesiano con restricciones de signo y de cero (descomposición histórica); nacional_q_v8</t>
        </is>
      </c>
      <c r="J23" s="2" t="inlineStr">
        <is>
          <t>propio (elaboración del proyecto)</t>
        </is>
      </c>
      <c r="K23" s="3">
        <f>IFERROR(INDEX(fuentes!$B$2:$B$7,MATCH(J23,fuentes!$A$2:$A$7,0)),"—")</f>
        <v/>
      </c>
      <c r="L23" s="2" t="inlineStr">
        <is>
          <t>script de origen: output/v8/F6/hechos.json:V8-SVAR-c-P3-demanda_vivienda-mediana</t>
        </is>
      </c>
      <c r="M23" s="4">
        <f>IF(AND(ISNUMBER(D23),ISNUMBER(E23)),E23-D23,"")</f>
        <v/>
      </c>
      <c r="N23" s="5" t="n"/>
      <c r="O23" s="5" t="n"/>
      <c r="P23" s="5" t="n"/>
    </row>
    <row r="24">
      <c r="A24" s="2" t="inlineStr">
        <is>
          <t>V8-QNA-pp-c-P4</t>
        </is>
      </c>
      <c r="B24" s="2" t="inlineStr">
        <is>
          <t>Cuota no atribuida de precio real de compra en P4 en puntos (banda del 68 %; condicionado a las restricciones de signo y de cero de M2): -0,75 pp (-16,1 a 12,0 pp) (P4 (2020T2-2022T2); F5 (regla del §9 sobre M2, M6, M5, M4, M7); nacional_q_v8; dato de 2026T1; C3s)</t>
        </is>
      </c>
      <c r="C24" s="2" t="n">
        <v>-0.752543</v>
      </c>
      <c r="D24" s="2" t="n">
        <v>-16.0794</v>
      </c>
      <c r="E24" s="2" t="n">
        <v>11.9989</v>
      </c>
      <c r="F24" s="2" t="inlineStr">
        <is>
          <t>pp</t>
        </is>
      </c>
      <c r="G24" s="2" t="inlineStr">
        <is>
          <t>P4 (2020T2-2022T2)</t>
        </is>
      </c>
      <c r="H24" s="2" t="inlineStr">
        <is>
          <t>C3s</t>
        </is>
      </c>
      <c r="I24" s="2" t="inlineStr">
        <is>
          <t>F5 (regla del §9 sobre M2, M6, M5, M4, M7); nacional_q_v8</t>
        </is>
      </c>
      <c r="J24" s="2" t="inlineStr">
        <is>
          <t>propio (elaboración del proyecto)</t>
        </is>
      </c>
      <c r="K24" s="3">
        <f>IFERROR(INDEX(fuentes!$B$2:$B$7,MATCH(J24,fuentes!$A$2:$A$7,0)),"—")</f>
        <v/>
      </c>
      <c r="L24" s="2" t="inlineStr">
        <is>
          <t>script de origen: output/v8/F6/hechos.json:V8-QNA-pp-c-P4</t>
        </is>
      </c>
      <c r="M24" s="4">
        <f>IF(AND(ISNUMBER(D24),ISNUMBER(E24)),E24-D24,"")</f>
        <v/>
      </c>
      <c r="N24" s="5" t="n"/>
      <c r="O24" s="5" t="n"/>
      <c r="P24" s="5" t="n"/>
    </row>
    <row r="25">
      <c r="A25" s="2" t="inlineStr">
        <is>
          <t>V8-PFSTAR-c-P4</t>
        </is>
      </c>
      <c r="B25" s="2" t="inlineStr">
        <is>
          <t>Probabilidad posterior de que empleo y renta sea el factor de mayor contribución en precio real de compra en P4 (P(f*); condicionado a las restricciones de signo y de cero de M2): 25,9 % (P4 (2020T2-2022T2); F5 (regla del §9 sobre M2, M6, M5, M4, M7); nacional_q_v8; dato de 2026T1; C3s)</t>
        </is>
      </c>
      <c r="C25" s="2" t="n">
        <v>25.9322</v>
      </c>
      <c r="D25" s="2" t="n">
        <v/>
      </c>
      <c r="E25" s="2" t="n">
        <v/>
      </c>
      <c r="F25" s="2" t="inlineStr">
        <is>
          <t>%</t>
        </is>
      </c>
      <c r="G25" s="2" t="inlineStr">
        <is>
          <t>P4 (2020T2-2022T2)</t>
        </is>
      </c>
      <c r="H25" s="2" t="inlineStr">
        <is>
          <t>C3s</t>
        </is>
      </c>
      <c r="I25" s="2" t="inlineStr">
        <is>
          <t>F5 (regla del §9 sobre M2, M6, M5, M4, M7); nacional_q_v8</t>
        </is>
      </c>
      <c r="J25" s="2" t="inlineStr">
        <is>
          <t>propio (elaboración del proyecto)</t>
        </is>
      </c>
      <c r="K25" s="3">
        <f>IFERROR(INDEX(fuentes!$B$2:$B$7,MATCH(J25,fuentes!$A$2:$A$7,0)),"—")</f>
        <v/>
      </c>
      <c r="L25" s="2" t="inlineStr">
        <is>
          <t>script de origen: output/v8/F6/hechos.json:V8-PFSTAR-c-P4</t>
        </is>
      </c>
      <c r="M25" s="4">
        <f>IF(AND(ISNUMBER(D25),ISNUMBER(E25)),E25-D25,"")</f>
        <v/>
      </c>
      <c r="N25" s="5" t="n"/>
      <c r="O25" s="5" t="n"/>
      <c r="P25" s="5" t="n"/>
    </row>
    <row r="26">
      <c r="A26" s="2" t="inlineStr">
        <is>
          <t>V8-SVAR-a-P2-demografia-mediana</t>
        </is>
      </c>
      <c r="B26" s="2" t="inlineStr">
        <is>
          <t>Contribución de demografía a la variación de alquiler real en P2 (mediana posterior; banda del 68 %; pp log×100; condicionado a las restricciones de signo y de cero de M2): 0,22 pp (-1,9 a 2,7 pp) (P2 (2008T3-2013T4); M2 SVAR bayesiano con restricciones de signo y de cero (descomposición histórica); nacional_q_v8; dato de 2026T1; C3s)</t>
        </is>
      </c>
      <c r="C26" s="2" t="n">
        <v>0.223717</v>
      </c>
      <c r="D26" s="2" t="n">
        <v>-1.85844</v>
      </c>
      <c r="E26" s="2" t="n">
        <v>2.70734</v>
      </c>
      <c r="F26" s="2" t="inlineStr">
        <is>
          <t>pp</t>
        </is>
      </c>
      <c r="G26" s="2" t="inlineStr">
        <is>
          <t>P2 (2008T3-2013T4)</t>
        </is>
      </c>
      <c r="H26" s="2" t="inlineStr">
        <is>
          <t>C3s</t>
        </is>
      </c>
      <c r="I26" s="2" t="inlineStr">
        <is>
          <t>M2 SVAR bayesiano con restricciones de signo y de cero (descomposición histórica); nacional_q_v8</t>
        </is>
      </c>
      <c r="J26" s="2" t="inlineStr">
        <is>
          <t>propio (elaboración del proyecto)</t>
        </is>
      </c>
      <c r="K26" s="3">
        <f>IFERROR(INDEX(fuentes!$B$2:$B$7,MATCH(J26,fuentes!$A$2:$A$7,0)),"—")</f>
        <v/>
      </c>
      <c r="L26" s="2" t="inlineStr">
        <is>
          <t>script de origen: output/v8/F6/hechos.json:V8-SVAR-a-P2-demografia-mediana</t>
        </is>
      </c>
      <c r="M26" s="4">
        <f>IF(AND(ISNUMBER(D26),ISNUMBER(E26)),E26-D26,"")</f>
        <v/>
      </c>
      <c r="N26" s="5" t="n"/>
      <c r="O26" s="5" t="n"/>
      <c r="P26" s="5" t="n"/>
    </row>
    <row r="27">
      <c r="A27" s="2" t="inlineStr">
        <is>
          <t>V8-QNA-pp-a-P3</t>
        </is>
      </c>
      <c r="B27" s="2" t="inlineStr">
        <is>
          <t>Cuota no atribuida de alquiler real en P3 en puntos (banda del 68 %; condicionado a las restricciones de signo y de cero de M2): -4,6 pp (-11,6 a 2,9 pp) (P3 (2014T1-2019T4); F5 (regla del §9 sobre M2, M6, M5, M4, M7); nacional_q_v8; dato de 2026T1; C3s)</t>
        </is>
      </c>
      <c r="C27" s="2" t="n">
        <v>-4.56136</v>
      </c>
      <c r="D27" s="2" t="n">
        <v>-11.564</v>
      </c>
      <c r="E27" s="2" t="n">
        <v>2.85465</v>
      </c>
      <c r="F27" s="2" t="inlineStr">
        <is>
          <t>pp</t>
        </is>
      </c>
      <c r="G27" s="2" t="inlineStr">
        <is>
          <t>P3 (2014T1-2019T4)</t>
        </is>
      </c>
      <c r="H27" s="2" t="inlineStr">
        <is>
          <t>C3s</t>
        </is>
      </c>
      <c r="I27" s="2" t="inlineStr">
        <is>
          <t>F5 (regla del §9 sobre M2, M6, M5, M4, M7); nacional_q_v8</t>
        </is>
      </c>
      <c r="J27" s="2" t="inlineStr">
        <is>
          <t>propio (elaboración del proyecto)</t>
        </is>
      </c>
      <c r="K27" s="3">
        <f>IFERROR(INDEX(fuentes!$B$2:$B$7,MATCH(J27,fuentes!$A$2:$A$7,0)),"—")</f>
        <v/>
      </c>
      <c r="L27" s="2" t="inlineStr">
        <is>
          <t>script de origen: output/v8/F6/hechos.json:V8-QNA-pp-a-P3</t>
        </is>
      </c>
      <c r="M27" s="4">
        <f>IF(AND(ISNUMBER(D27),ISNUMBER(E27)),E27-D27,"")</f>
        <v/>
      </c>
      <c r="N27" s="5" t="n"/>
      <c r="O27" s="5" t="n"/>
      <c r="P27" s="5" t="n"/>
    </row>
    <row r="28">
      <c r="A28" s="2" t="inlineStr">
        <is>
          <t>V8-SVAR-c-P3-demografia-mediana</t>
        </is>
      </c>
      <c r="B28" s="2" t="inlineStr">
        <is>
          <t>Contribución de demografía a la variación de precio real de compra en P3 (mediana posterior; banda del 68 %; pp log×100; condicionado a las restricciones de signo y de cero de M2): -0,18 pp (-6,6 a 6,8 pp) (P3 (2014T1-2019T4); M2 SVAR bayesiano con restricciones de signo y de cero (descomposición histórica); nacional_q_v8; dato de 2026T1; C3s)</t>
        </is>
      </c>
      <c r="C28" s="2" t="n">
        <v>-0.177369</v>
      </c>
      <c r="D28" s="2" t="n">
        <v>-6.57831</v>
      </c>
      <c r="E28" s="2" t="n">
        <v>6.81486</v>
      </c>
      <c r="F28" s="2" t="inlineStr">
        <is>
          <t>pp</t>
        </is>
      </c>
      <c r="G28" s="2" t="inlineStr">
        <is>
          <t>P3 (2014T1-2019T4)</t>
        </is>
      </c>
      <c r="H28" s="2" t="inlineStr">
        <is>
          <t>C3s</t>
        </is>
      </c>
      <c r="I28" s="2" t="inlineStr">
        <is>
          <t>M2 SVAR bayesiano con restricciones de signo y de cero (descomposición histórica); nacional_q_v8</t>
        </is>
      </c>
      <c r="J28" s="2" t="inlineStr">
        <is>
          <t>propio (elaboración del proyecto)</t>
        </is>
      </c>
      <c r="K28" s="3">
        <f>IFERROR(INDEX(fuentes!$B$2:$B$7,MATCH(J28,fuentes!$A$2:$A$7,0)),"—")</f>
        <v/>
      </c>
      <c r="L28" s="2" t="inlineStr">
        <is>
          <t>script de origen: output/v8/F6/hechos.json:V8-SVAR-c-P3-demografia-mediana</t>
        </is>
      </c>
      <c r="M28" s="4">
        <f>IF(AND(ISNUMBER(D28),ISNUMBER(E28)),E28-D28,"")</f>
        <v/>
      </c>
      <c r="N28" s="5" t="n"/>
      <c r="O28" s="5" t="n"/>
      <c r="P28" s="5" t="n"/>
    </row>
    <row r="29">
      <c r="A29" s="2" t="inlineStr">
        <is>
          <t>V8-H8-4-est</t>
        </is>
      </c>
      <c r="B29" s="2" t="inlineStr">
        <is>
          <t>H8-4: En P2, la contribucion conjunta de credito y tipos y de actividad y renta al precio real de compra es negativa (contribución acumulada del periodo, intervalo al 95 %; condicionado a las restricciones de signo y de cero de M2): -19,2 pp (-57,3 a 9,9 pp) (P2 (2008T3-2013T4); M2 SVAR con restricciones de signo y de cero; dato de 2026T1; C3s)</t>
        </is>
      </c>
      <c r="C29" s="2" t="n">
        <v>-19.231804</v>
      </c>
      <c r="D29" s="2" t="n">
        <v>-57.256675</v>
      </c>
      <c r="E29" s="2" t="n">
        <v>9.878001899999999</v>
      </c>
      <c r="F29" s="2" t="inlineStr">
        <is>
          <t>pp</t>
        </is>
      </c>
      <c r="G29" s="2" t="inlineStr">
        <is>
          <t>P2 (2008T3-2013T4)</t>
        </is>
      </c>
      <c r="H29" s="2" t="inlineStr">
        <is>
          <t>C3s</t>
        </is>
      </c>
      <c r="I29" s="2" t="inlineStr">
        <is>
          <t>M2 SVAR con restricciones de signo y de cero</t>
        </is>
      </c>
      <c r="J29" s="2" t="inlineStr">
        <is>
          <t>propio (elaboración del proyecto)</t>
        </is>
      </c>
      <c r="K29" s="3">
        <f>IFERROR(INDEX(fuentes!$B$2:$B$7,MATCH(J29,fuentes!$A$2:$A$7,0)),"—")</f>
        <v/>
      </c>
      <c r="L29" s="2" t="inlineStr">
        <is>
          <t>script de origen: output/v8/F6/hechos.json:V8-H8-4-est</t>
        </is>
      </c>
      <c r="M29" s="4">
        <f>IF(AND(ISNUMBER(D29),ISNUMBER(E29)),E29-D29,"")</f>
        <v/>
      </c>
      <c r="N29" s="5" t="n"/>
      <c r="O29" s="5" t="n"/>
      <c r="P29" s="5" t="n"/>
    </row>
    <row r="30">
      <c r="A30" s="2" t="inlineStr">
        <is>
          <t>V8-SVAR-a-P3-credito_tipos-mediana</t>
        </is>
      </c>
      <c r="B30" s="2" t="inlineStr">
        <is>
          <t>Contribución de crédito y tipos a la variación de alquiler real en P3 (mediana posterior; banda del 68 %; pp log×100; condicionado a las restricciones de signo y de cero de M2): 0,16 pp (-1,7 a 2,7 pp) (P3 (2014T1-2019T4); M2 SVAR bayesiano con restricciones de signo y de cero (descomposición histórica); nacional_q_v8; dato de 2026T1; C3s)</t>
        </is>
      </c>
      <c r="C30" s="2" t="n">
        <v>0.161881</v>
      </c>
      <c r="D30" s="2" t="n">
        <v>-1.73676</v>
      </c>
      <c r="E30" s="2" t="n">
        <v>2.67511</v>
      </c>
      <c r="F30" s="2" t="inlineStr">
        <is>
          <t>pp</t>
        </is>
      </c>
      <c r="G30" s="2" t="inlineStr">
        <is>
          <t>P3 (2014T1-2019T4)</t>
        </is>
      </c>
      <c r="H30" s="2" t="inlineStr">
        <is>
          <t>C3s</t>
        </is>
      </c>
      <c r="I30" s="2" t="inlineStr">
        <is>
          <t>M2 SVAR bayesiano con restricciones de signo y de cero (descomposición histórica); nacional_q_v8</t>
        </is>
      </c>
      <c r="J30" s="2" t="inlineStr">
        <is>
          <t>propio (elaboración del proyecto)</t>
        </is>
      </c>
      <c r="K30" s="3">
        <f>IFERROR(INDEX(fuentes!$B$2:$B$7,MATCH(J30,fuentes!$A$2:$A$7,0)),"—")</f>
        <v/>
      </c>
      <c r="L30" s="2" t="inlineStr">
        <is>
          <t>script de origen: output/v8/F6/hechos.json:V8-SVAR-a-P3-credito_tipos-mediana</t>
        </is>
      </c>
      <c r="M30" s="4">
        <f>IF(AND(ISNUMBER(D30),ISNUMBER(E30)),E30-D30,"")</f>
        <v/>
      </c>
      <c r="N30" s="5" t="n"/>
      <c r="O30" s="5" t="n"/>
      <c r="P30" s="5" t="n"/>
    </row>
    <row r="31">
      <c r="A31" s="2" t="inlineStr">
        <is>
          <t>V8-M7-var-c-P5-bis_hpi_xm_real-bh</t>
        </is>
      </c>
      <c r="B31" s="2" t="inlineStr">
        <is>
          <t>Multiverso por variable: % de especificaciones significativas tras BH (q = 0,10), precio real de la vivienda de otros países (BIS) (factor europeo), precio real de compra, P5 (2022T3-último dato); signo orientado positivo (más de la variable, más presión al alza); asociación, sin lectura causal: 58,9 % (P5 (2022T3-último dato); M7 multiverso estructurado (lectura por variable); dato de 2026T2; C4)</t>
        </is>
      </c>
      <c r="C31" s="2" t="n">
        <v>58.85416667</v>
      </c>
      <c r="D31" s="2" t="n">
        <v/>
      </c>
      <c r="E31" s="2" t="n">
        <v/>
      </c>
      <c r="F31" s="2" t="inlineStr">
        <is>
          <t>%</t>
        </is>
      </c>
      <c r="G31" s="2" t="inlineStr">
        <is>
          <t>P5 (2022T3-último dato)</t>
        </is>
      </c>
      <c r="H31" s="2" t="inlineStr">
        <is>
          <t>C4</t>
        </is>
      </c>
      <c r="I31" s="2" t="inlineStr">
        <is>
          <t>M7 multiverso estructurado (lectura por variable)</t>
        </is>
      </c>
      <c r="J31" s="2" t="inlineStr">
        <is>
          <t>propio (elaboración del proyecto)</t>
        </is>
      </c>
      <c r="K31" s="3">
        <f>IFERROR(INDEX(fuentes!$B$2:$B$7,MATCH(J31,fuentes!$A$2:$A$7,0)),"—")</f>
        <v/>
      </c>
      <c r="L31" s="2" t="inlineStr">
        <is>
          <t>script de origen: output/v8/F6/hechos.json:V8-M7-var-c-P5-bis_hpi_xm_real-bh</t>
        </is>
      </c>
      <c r="M31" s="4">
        <f>IF(AND(ISNUMBER(D31),ISNUMBER(E31)),E31-D31,"")</f>
        <v/>
      </c>
      <c r="N31" s="5" t="n"/>
      <c r="O31" s="5" t="n"/>
      <c r="P31" s="5" t="n"/>
    </row>
    <row r="32">
      <c r="A32" s="2" t="inlineStr">
        <is>
          <t>E-E1-B2-D2030-c</t>
        </is>
      </c>
      <c r="B32" s="2" t="inlineStr">
        <is>
          <t>Déficit nacional a fin de 2030, escenario (c) de terminadas (central): 1.276.238 viviendas (1-ene-2026 a 31-dic-2030; B2; dato de 2026-10-10; C4)</t>
        </is>
      </c>
      <c r="C32" s="2" t="n">
        <v>1276238</v>
      </c>
      <c r="D32" s="2" t="n">
        <v/>
      </c>
      <c r="E32" s="2" t="n">
        <v/>
      </c>
      <c r="F32" s="2" t="inlineStr">
        <is>
          <t>viviendas</t>
        </is>
      </c>
      <c r="G32" s="2" t="inlineStr">
        <is>
          <t>1-ene-2026 a 31-dic-2030</t>
        </is>
      </c>
      <c r="H32" s="2" t="inlineStr">
        <is>
          <t>C4</t>
        </is>
      </c>
      <c r="I32" s="2" t="inlineStr">
        <is>
          <t>B2</t>
        </is>
      </c>
      <c r="J32" s="2" t="inlineStr">
        <is>
          <t>propio (elaboración del proyecto)</t>
        </is>
      </c>
      <c r="K32" s="3">
        <f>IFERROR(INDEX(fuentes!$B$2:$B$7,MATCH(J32,fuentes!$A$2:$A$7,0)),"—")</f>
        <v/>
      </c>
      <c r="L32" s="2" t="inlineStr">
        <is>
          <t>script de origen: output/v5/E/hechos.json:E-E1-B2-D2030-c</t>
        </is>
      </c>
      <c r="M32" s="4">
        <f>IF(AND(ISNUMBER(D32),ISNUMBER(E32)),E32-D32,"")</f>
        <v/>
      </c>
      <c r="N32" s="5" t="n"/>
      <c r="O32" s="5" t="n"/>
      <c r="P32" s="5" t="n"/>
    </row>
    <row r="33">
      <c r="A33" s="2" t="inlineStr">
        <is>
          <t>D1-H02</t>
        </is>
      </c>
      <c r="B33" s="2" t="inlineStr">
        <is>
          <t>Instrumentos con 'No evaluable' en el signo: 18 instrumentos (2026-10; output/v5/D1/matriz_instrumentos.csv; dato de 2026-10-10; C4)</t>
        </is>
      </c>
      <c r="C33" s="2" t="n">
        <v>18</v>
      </c>
      <c r="D33" s="2" t="n">
        <v/>
      </c>
      <c r="E33" s="2" t="n">
        <v/>
      </c>
      <c r="F33" s="2" t="inlineStr">
        <is>
          <t>instrumentos</t>
        </is>
      </c>
      <c r="G33" s="2" t="inlineStr">
        <is>
          <t>2026-10</t>
        </is>
      </c>
      <c r="H33" s="2" t="inlineStr">
        <is>
          <t>C4</t>
        </is>
      </c>
      <c r="I33" s="2" t="inlineStr">
        <is>
          <t>output/v5/D1/matriz_instrumentos.csv</t>
        </is>
      </c>
      <c r="J33" s="2" t="inlineStr">
        <is>
          <t>propio (elaboración del proyecto)</t>
        </is>
      </c>
      <c r="K33" s="3">
        <f>IFERROR(INDEX(fuentes!$B$2:$B$7,MATCH(J33,fuentes!$A$2:$A$7,0)),"—")</f>
        <v/>
      </c>
      <c r="L33" s="2" t="inlineStr">
        <is>
          <t>script de origen: output/v5/D1/hechos.json:D1-H02</t>
        </is>
      </c>
      <c r="M33" s="4">
        <f>IF(AND(ISNUMBER(D33),ISNUMBER(E33)),E33-D33,"")</f>
        <v/>
      </c>
      <c r="N33" s="5" t="n"/>
      <c r="O33" s="5" t="n"/>
      <c r="P33" s="5" t="n"/>
    </row>
    <row r="34">
      <c r="A34" s="2" t="inlineStr">
        <is>
          <t>V8-M9-shap-a-P4-turismo</t>
        </is>
      </c>
      <c r="B34" s="2" t="inlineStr">
        <is>
          <t>Sensibilidad no principal (NaN nativos), media de las 6 CCAA con datos de turismo; no comparable con la variación nacional: Contribución SHAP media de turismo a la variación de alquiler real en P4 en el panel de CCAA (banda del 68 % por bootstrap de bloques; contraste del modelo de aprendizaje automático, no es un efecto): 0,11 pp (-0,53 a 0,30 pp) (P4 (2020T2-2022T2); M9 aprendizaje automático interpretable (LightGBM, GAM); contraste, no causal; dato de 2026T2; C4)</t>
        </is>
      </c>
      <c r="C34" s="2" t="n">
        <v>0.1086351539</v>
      </c>
      <c r="D34" s="2" t="n">
        <v>-0.5310243665</v>
      </c>
      <c r="E34" s="2" t="n">
        <v>0.2995127582</v>
      </c>
      <c r="F34" s="2" t="inlineStr">
        <is>
          <t>pp</t>
        </is>
      </c>
      <c r="G34" s="2" t="inlineStr">
        <is>
          <t>P4 (2020T2-2022T2)</t>
        </is>
      </c>
      <c r="H34" s="2" t="inlineStr">
        <is>
          <t>C4</t>
        </is>
      </c>
      <c r="I34" s="2" t="inlineStr">
        <is>
          <t>M9 aprendizaje automático interpretable (LightGBM, GAM); contraste, no causal</t>
        </is>
      </c>
      <c r="J34" s="2" t="inlineStr">
        <is>
          <t>propio (elaboración del proyecto)</t>
        </is>
      </c>
      <c r="K34" s="3">
        <f>IFERROR(INDEX(fuentes!$B$2:$B$7,MATCH(J34,fuentes!$A$2:$A$7,0)),"—")</f>
        <v/>
      </c>
      <c r="L34" s="2" t="inlineStr">
        <is>
          <t>script de origen: output/v8/F6/hechos.json:V8-M9-shap-a-P4-turismo</t>
        </is>
      </c>
      <c r="M34" s="4">
        <f>IF(AND(ISNUMBER(D34),ISNUMBER(E34)),E34-D34,"")</f>
        <v/>
      </c>
      <c r="N34" s="5" t="n"/>
      <c r="O34" s="5" t="n"/>
      <c r="P34" s="5" t="n"/>
    </row>
    <row r="35">
      <c r="A35" s="2" t="inlineStr">
        <is>
          <t>A4-prov-2021-2025-c2-robustas</t>
        </is>
      </c>
      <c r="B35" s="2" t="inlineStr">
        <is>
          <t>Provincias en clase 2 con clase estable en todo el rango de costes, márgenes y holguras (diagnóstico): 3 provincias (2021-2025; output/v5/A4; dato de 2025; C4)</t>
        </is>
      </c>
      <c r="C35" s="2" t="n">
        <v>3</v>
      </c>
      <c r="D35" s="2" t="n">
        <v/>
      </c>
      <c r="E35" s="2" t="n">
        <v/>
      </c>
      <c r="F35" s="2" t="inlineStr">
        <is>
          <t>provincias</t>
        </is>
      </c>
      <c r="G35" s="2" t="inlineStr">
        <is>
          <t>2021-2025</t>
        </is>
      </c>
      <c r="H35" s="2" t="inlineStr">
        <is>
          <t>C4</t>
        </is>
      </c>
      <c r="I35" s="2" t="inlineStr">
        <is>
          <t>output/v5/A4</t>
        </is>
      </c>
      <c r="J35" s="2" t="inlineStr">
        <is>
          <t>propio (elaboración del proyecto)</t>
        </is>
      </c>
      <c r="K35" s="3">
        <f>IFERROR(INDEX(fuentes!$B$2:$B$7,MATCH(J35,fuentes!$A$2:$A$7,0)),"—")</f>
        <v/>
      </c>
      <c r="L35" s="2" t="inlineStr">
        <is>
          <t>script de origen: output/v5/A4/hechos.json:A4-prov-2021-2025-c2-robustas</t>
        </is>
      </c>
      <c r="M35" s="4">
        <f>IF(AND(ISNUMBER(D35),ISNUMBER(E35)),E35-D35,"")</f>
        <v/>
      </c>
      <c r="N35" s="5" t="n"/>
      <c r="O35" s="5" t="n"/>
      <c r="P35" s="5" t="n"/>
    </row>
    <row r="36">
      <c r="A36" s="2" t="inlineStr">
        <is>
          <t>V8-M6-colpob-P5-corr</t>
        </is>
      </c>
      <c r="B36" s="2" t="inlineStr">
        <is>
          <t>Correlación entre el crecimiento interanual de la población total y el de la población extranjera (INE), P5 (2022T3-último dato) (n = 16 trimestres; diagnóstico descriptivo): 0,78 (P5 (2022T3-último dato); nacional_q_v8 (d4_ln_pob_total, d4_ln_pob_extranj_ine); dato de 2026T2; C4)</t>
        </is>
      </c>
      <c r="C36" s="2" t="n">
        <v>0.7786235813</v>
      </c>
      <c r="D36" s="2" t="n">
        <v/>
      </c>
      <c r="E36" s="2" t="n">
        <v/>
      </c>
      <c r="F36" s="2" t="inlineStr">
        <is>
          <t>proporción</t>
        </is>
      </c>
      <c r="G36" s="2" t="inlineStr">
        <is>
          <t>P5 (2022T3-último dato)</t>
        </is>
      </c>
      <c r="H36" s="2" t="inlineStr">
        <is>
          <t>C4</t>
        </is>
      </c>
      <c r="I36" s="2" t="inlineStr">
        <is>
          <t>nacional_q_v8 (d4_ln_pob_total, d4_ln_pob_extranj_ine)</t>
        </is>
      </c>
      <c r="J36" s="2" t="inlineStr">
        <is>
          <t>INE</t>
        </is>
      </c>
      <c r="K36" s="3">
        <f>IFERROR(INDEX(fuentes!$B$2:$B$7,MATCH(J36,fuentes!$A$2:$A$7,0)),"—")</f>
        <v/>
      </c>
      <c r="L36" s="2" t="inlineStr">
        <is>
          <t>script de origen: output/v8/F6/hechos.json:V8-M6-colpob-P5-corr</t>
        </is>
      </c>
      <c r="M36" s="4">
        <f>IF(AND(ISNUMBER(D36),ISNUMBER(E36)),E36-D36,"")</f>
        <v/>
      </c>
      <c r="N36" s="5" t="n"/>
      <c r="O36" s="5" t="n"/>
      <c r="P36" s="5" t="n"/>
    </row>
    <row r="37">
      <c r="A37" s="2" t="inlineStr">
        <is>
          <t>V8-M8-cv-p46-P1-total</t>
        </is>
      </c>
      <c r="B37" s="2" t="inlineStr">
        <is>
          <t>Variación observada del precio real de compra en provincia de València (46) en P1 (pp, log×100; media interanual × T/4: aproximación, no es el acumulado observado): 85,9 pp (P1 (1995T1-2007T4); M8 regional (provincias de la Comunitat Valenciana y València ciudad; cruce por código INE); dato de 2026T2; C4)</t>
        </is>
      </c>
      <c r="C37" s="2" t="n">
        <v>85.89185483</v>
      </c>
      <c r="D37" s="2" t="n">
        <v/>
      </c>
      <c r="E37" s="2" t="n">
        <v/>
      </c>
      <c r="F37" s="2" t="inlineStr">
        <is>
          <t>pp</t>
        </is>
      </c>
      <c r="G37" s="2" t="inlineStr">
        <is>
          <t>P1 (1995T1-2007T4)</t>
        </is>
      </c>
      <c r="H37" s="2" t="inlineStr">
        <is>
          <t>C4</t>
        </is>
      </c>
      <c r="I37" s="2" t="inlineStr">
        <is>
          <t>M8 regional (provincias de la Comunitat Valenciana y València ciudad; cruce por código INE)</t>
        </is>
      </c>
      <c r="J37" s="2" t="inlineStr">
        <is>
          <t>INE</t>
        </is>
      </c>
      <c r="K37" s="3">
        <f>IFERROR(INDEX(fuentes!$B$2:$B$7,MATCH(J37,fuentes!$A$2:$A$7,0)),"—")</f>
        <v/>
      </c>
      <c r="L37" s="2" t="inlineStr">
        <is>
          <t>script de origen: output/v8/F6/hechos.json:V8-M8-cv-p46-P1-total</t>
        </is>
      </c>
      <c r="M37" s="4">
        <f>IF(AND(ISNUMBER(D37),ISNUMBER(E37)),E37-D37,"")</f>
        <v/>
      </c>
      <c r="N37" s="5" t="n"/>
      <c r="O37" s="5" t="n"/>
      <c r="P37" s="5" t="n"/>
    </row>
    <row r="38">
      <c r="A38" s="2" t="inlineStr">
        <is>
          <t>E-v3-H3-1</t>
        </is>
      </c>
      <c r="B38" s="2" t="inlineStr">
        <is>
          <t>VUT por 100 viviendas y alquiler SERPAVI (FE sección, nacional), coeficiente v3: 0,26 milésimas de log-punto por VUT/100 viv. (-0,74 a 1,3 milésimas de log-punto por VUT/100 viv.) (2021-2024; INE VUT; SERPAVI; dato de 2024; C4)</t>
        </is>
      </c>
      <c r="C38" s="2" t="n">
        <v>0.2598679282</v>
      </c>
      <c r="D38" s="2" t="n">
        <v>-0.7441567464</v>
      </c>
      <c r="E38" s="2" t="n">
        <v>1.263892603</v>
      </c>
      <c r="F38" s="2" t="inlineStr">
        <is>
          <t>milésimas de log-punto por VUT/100 viv.</t>
        </is>
      </c>
      <c r="G38" s="2" t="inlineStr">
        <is>
          <t>2021-2024</t>
        </is>
      </c>
      <c r="H38" s="2" t="inlineStr">
        <is>
          <t>C4</t>
        </is>
      </c>
      <c r="I38" s="2" t="inlineStr">
        <is>
          <t>INE VUT; SERPAVI</t>
        </is>
      </c>
      <c r="J38" s="2" t="inlineStr">
        <is>
          <t>INE</t>
        </is>
      </c>
      <c r="K38" s="3">
        <f>IFERROR(INDEX(fuentes!$B$2:$B$7,MATCH(J38,fuentes!$A$2:$A$7,0)),"—")</f>
        <v/>
      </c>
      <c r="L38" s="2" t="inlineStr">
        <is>
          <t>script de origen: output/v5/E/hechos.json:E-v3-H3-1</t>
        </is>
      </c>
      <c r="M38" s="4">
        <f>IF(AND(ISNUMBER(D38),ISNUMBER(E38)),E38-D38,"")</f>
        <v/>
      </c>
      <c r="N38" s="5" t="n"/>
      <c r="O38" s="5" t="n"/>
      <c r="P38" s="5" t="n"/>
    </row>
    <row r="39">
      <c r="A39" s="2" t="inlineStr">
        <is>
          <t>D2-H09</t>
        </is>
      </c>
      <c r="B39" s="2" t="inlineStr">
        <is>
          <t>Necesidad anual de vivienda, provincias de clase A4 9 (T3 sin X, v6.3): 726,0 viviendas/año (293,0-919,0 viviendas/año) (2026-2035; output/v5_1/T3; output/v5/A4; dato de 2026-10-10; C4)</t>
        </is>
      </c>
      <c r="C39" s="2" t="n">
        <v>726</v>
      </c>
      <c r="D39" s="2" t="n">
        <v>293</v>
      </c>
      <c r="E39" s="2" t="n">
        <v>919</v>
      </c>
      <c r="F39" s="2" t="inlineStr">
        <is>
          <t>viviendas/año</t>
        </is>
      </c>
      <c r="G39" s="2" t="inlineStr">
        <is>
          <t>2026-2035</t>
        </is>
      </c>
      <c r="H39" s="2" t="inlineStr">
        <is>
          <t>C4</t>
        </is>
      </c>
      <c r="I39" s="2" t="inlineStr">
        <is>
          <t>output/v5_1/T3; output/v5/A4</t>
        </is>
      </c>
      <c r="J39" s="2" t="inlineStr">
        <is>
          <t>propio (elaboración del proyecto)</t>
        </is>
      </c>
      <c r="K39" s="3">
        <f>IFERROR(INDEX(fuentes!$B$2:$B$7,MATCH(J39,fuentes!$A$2:$A$7,0)),"—")</f>
        <v/>
      </c>
      <c r="L39" s="2" t="inlineStr">
        <is>
          <t>script de origen: output/v5/D2/hechos.json:D2-H09</t>
        </is>
      </c>
      <c r="M39" s="4">
        <f>IF(AND(ISNUMBER(D39),ISNUMBER(E39)),E39-D39,"")</f>
        <v/>
      </c>
      <c r="N39" s="5" t="n"/>
      <c r="O39" s="5" t="n"/>
      <c r="P39" s="5" t="n"/>
    </row>
    <row r="40">
      <c r="A40" s="2" t="inlineStr">
        <is>
          <t>CA-CR-saldo-pico</t>
        </is>
      </c>
      <c r="B40" s="2" t="inlineStr">
        <is>
          <t>Saldo de crédito a construcción + actividades inmobiliarias: máximo 2005-2025: 471,8 miles de millones de euros (2008Q3; BdE be0418; dato de 2026-06-01; C4)</t>
        </is>
      </c>
      <c r="C40" s="2" t="n">
        <v>471.807</v>
      </c>
      <c r="D40" s="2" t="n">
        <v/>
      </c>
      <c r="E40" s="2" t="n">
        <v/>
      </c>
      <c r="F40" s="2" t="inlineStr">
        <is>
          <t>miles de millones de euros</t>
        </is>
      </c>
      <c r="G40" s="2" t="inlineStr">
        <is>
          <t>2008Q3</t>
        </is>
      </c>
      <c r="H40" s="2" t="inlineStr">
        <is>
          <t>C4</t>
        </is>
      </c>
      <c r="I40" s="2" t="inlineStr">
        <is>
          <t>BdE be0418</t>
        </is>
      </c>
      <c r="J40" s="2" t="inlineStr">
        <is>
          <t>BdE</t>
        </is>
      </c>
      <c r="K40" s="3">
        <f>IFERROR(INDEX(fuentes!$B$2:$B$7,MATCH(J40,fuentes!$A$2:$A$7,0)),"—")</f>
        <v/>
      </c>
      <c r="L40" s="2" t="inlineStr">
        <is>
          <t>script de origen: output/v5/CA/hechos.json:CA-CR-saldo-pico</t>
        </is>
      </c>
      <c r="M40" s="4">
        <f>IF(AND(ISNUMBER(D40),ISNUMBER(E40)),E40-D40,"")</f>
        <v/>
      </c>
      <c r="N40" s="5" t="n"/>
      <c r="O40" s="5" t="n"/>
      <c r="P40" s="5" t="n"/>
    </row>
    <row r="41">
      <c r="A41" s="2" t="inlineStr">
        <is>
          <t>A4-prov-2012-2025-c2</t>
        </is>
      </c>
      <c r="B41" s="2" t="inlineStr">
        <is>
          <t>Provincias en clase 2 (2 falta con freno regulatorio o de suelo (precio &gt; r(c+suelo) y oferta sin respuesta)): 6 provincias (2012-2025; output/v4/M1; M3; A4; dato de 2025; C4)</t>
        </is>
      </c>
      <c r="C41" s="2" t="n">
        <v>6</v>
      </c>
      <c r="D41" s="2" t="n">
        <v/>
      </c>
      <c r="E41" s="2" t="n">
        <v/>
      </c>
      <c r="F41" s="2" t="inlineStr">
        <is>
          <t>provincias</t>
        </is>
      </c>
      <c r="G41" s="2" t="inlineStr">
        <is>
          <t>2012-2025</t>
        </is>
      </c>
      <c r="H41" s="2" t="inlineStr">
        <is>
          <t>C4</t>
        </is>
      </c>
      <c r="I41" s="2" t="inlineStr">
        <is>
          <t>output/v4/M1; M3; A4</t>
        </is>
      </c>
      <c r="J41" s="2" t="inlineStr">
        <is>
          <t>propio (elaboración del proyecto)</t>
        </is>
      </c>
      <c r="K41" s="3">
        <f>IFERROR(INDEX(fuentes!$B$2:$B$7,MATCH(J41,fuentes!$A$2:$A$7,0)),"—")</f>
        <v/>
      </c>
      <c r="L41" s="2" t="inlineStr">
        <is>
          <t>script de origen: output/v5/A4/hechos.json:A4-prov-2012-2025-c2</t>
        </is>
      </c>
      <c r="M41" s="4">
        <f>IF(AND(ISNUMBER(D41),ISNUMBER(E41)),E41-D41,"")</f>
        <v/>
      </c>
      <c r="N41" s="5" t="n"/>
      <c r="O41" s="5" t="n"/>
      <c r="P41" s="5" t="n"/>
    </row>
  </sheetData>
  <dataValidations count="1">
    <dataValidation sqref="O2:O41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organismo</t>
        </is>
      </c>
      <c r="B1" s="6" t="inlineStr">
        <is>
          <t>url</t>
        </is>
      </c>
    </row>
    <row r="2">
      <c r="A2" s="7" t="inlineStr">
        <is>
          <t>BdE</t>
        </is>
      </c>
      <c r="B2" s="7" t="inlineStr">
        <is>
          <t>https://www.bde.es/webbe/es/estadisticas/</t>
        </is>
      </c>
    </row>
    <row r="3">
      <c r="A3" s="7" t="inlineStr">
        <is>
          <t>GVA</t>
        </is>
      </c>
      <c r="B3" s="7" t="inlineStr">
        <is>
          <t>https://dadesobertes.gva.es</t>
        </is>
      </c>
    </row>
    <row r="4">
      <c r="A4" s="7" t="inlineStr">
        <is>
          <t>INE</t>
        </is>
      </c>
      <c r="B4" s="7" t="inlineStr">
        <is>
          <t>https://www.ine.es</t>
        </is>
      </c>
    </row>
    <row r="5">
      <c r="A5" s="7" t="inlineStr">
        <is>
          <t>MIVAU</t>
        </is>
      </c>
      <c r="B5" s="7" t="inlineStr">
        <is>
          <t>https://www.mivau.gob.es/el-ministerio/informacion-estadistica</t>
        </is>
      </c>
    </row>
    <row r="6">
      <c r="A6" s="7" t="inlineStr">
        <is>
          <t>Registradores</t>
        </is>
      </c>
      <c r="B6" s="7" t="inlineStr">
        <is>
          <t>https://www.registradores.org/actualidad/portal-estadistico-registral</t>
        </is>
      </c>
    </row>
    <row r="7">
      <c r="A7" s="7" t="inlineStr">
        <is>
          <t>propio (elaboración del proyecto)</t>
        </is>
      </c>
      <c r="B7" s="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Hoja para la revisión externa (versión pública del proyecto «Vivienda en España: base de evidencia reproducible»).</t>
        </is>
      </c>
    </row>
    <row r="2">
      <c r="A2" t="inlineStr">
        <is>
          <t>Una fila por cifra de la muestra (40 cifras de output/v5/cifras_clave.csv, estratificadas por capa, SEED=20261010).</t>
        </is>
      </c>
    </row>
    <row r="3">
      <c r="A3" t="inlineStr">
        <is>
          <t>Colores: azul = dato fijo copiado de cifras_clave (fuente en la columna «fuente(s)»); negro = cálculo; verde = viene de otra pestaña.</t>
        </is>
      </c>
    </row>
    <row r="4">
      <c r="A4" t="inlineStr">
        <is>
          <t>Rellene solo las tres últimas columnas de «revision». Guía: revision_externa/guia.md.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vivienda-espana-evidencia V14 (src/v14/muestra_revision.py)</dc:creator>
  <dc:title xmlns:dc="http://purl.org/dc/elements/1.1/">Revisión externa: muestra de cifras</dc:title>
  <dcterms:created xmlns:dcterms="http://purl.org/dc/terms/" xmlns:xsi="http://www.w3.org/2001/XMLSchema-instance" xsi:type="dcterms:W3CDTF">2026-10-16T00:00:00Z</dcterms:created>
  <dcterms:modified xmlns:dcterms="http://purl.org/dc/terms/" xmlns:xsi="http://www.w3.org/2001/XMLSchema-instance" xsi:type="dcterms:W3CDTF">2026-10-16T00:00:00Z</dcterms:modified>
</cp:coreProperties>
</file>