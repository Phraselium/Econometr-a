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Entradas" sheetId="2" state="visible" r:id="rId2"/>
    <sheet xmlns:r="http://schemas.openxmlformats.org/officeDocument/2006/relationships" name="Cálculos" sheetId="3" state="visible" r:id="rId3"/>
    <sheet xmlns:r="http://schemas.openxmlformats.org/officeDocument/2006/relationships"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0000"/>
    </font>
    <font>
      <color rgb="000000FF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Tablas V9 · qué causa qué (Borja Romero, economista; firma individual, independiente)</t>
        </is>
      </c>
    </row>
    <row r="2">
      <c r="A2" s="2" t="inlineStr">
        <is>
          <t>Generado por src/v9/f5_excel.py desde output/v5/cifras_clave.csv (ids «V9-»). No editar a mano.</t>
        </is>
      </c>
    </row>
    <row r="3">
      <c r="A3" s="2" t="inlineStr">
        <is>
          <t>Colores: azul = entrada (cifra publicada con su fuente); negro = cálculo (fórmula); verde = enlace a otra hoja.</t>
        </is>
      </c>
    </row>
    <row r="4">
      <c r="A4" s="2" t="inlineStr">
        <is>
          <t>Ningún resultado de V9 alcanza C3/C3s: todas las cifras son asociaciones o descripciones (C4) o recuentos.</t>
        </is>
      </c>
    </row>
    <row r="5">
      <c r="A5" s="2" t="inlineStr">
        <is>
          <t>Efectos en puntos logarítmicos ×100 (≈ %). Pre-registro: docs/v9/hipotesis.md y docs/v9/hipotesis_addendum_a1.md.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valor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unidad</t>
        </is>
      </c>
      <c r="G1" s="1" t="inlineStr">
        <is>
          <t>periodo</t>
        </is>
      </c>
      <c r="H1" s="1" t="inlineStr">
        <is>
          <t>cobertura</t>
        </is>
      </c>
      <c r="I1" s="1" t="inlineStr">
        <is>
          <t>fuentes</t>
        </is>
      </c>
      <c r="J1" s="1" t="inlineStr">
        <is>
          <t>capa</t>
        </is>
      </c>
      <c r="K1" s="1" t="inlineStr">
        <is>
          <t>origen</t>
        </is>
      </c>
    </row>
    <row r="2">
      <c r="A2" s="3" t="inlineStr">
        <is>
          <t>V9-D1a-contratos-att</t>
        </is>
      </c>
      <c r="B2" s="3" t="inlineStr">
        <is>
          <t>zonas tensionadas (Ley 12/2023): ATT sobre contratos de contratos nuevos (CS)</t>
        </is>
      </c>
      <c r="C2" s="3" t="n">
        <v>-6.25</v>
      </c>
      <c r="D2" s="3" t="n">
        <v>-13.206</v>
      </c>
      <c r="E2" s="3" t="n">
        <v>0.706</v>
      </c>
      <c r="F2" s="3" t="inlineStr">
        <is>
          <t>%</t>
        </is>
      </c>
      <c r="G2" s="3" t="inlineStr">
        <is>
          <t>2022T2-2026T1</t>
        </is>
      </c>
      <c r="H2" s="3" t="inlineStr">
        <is>
          <t>Cataluña, municipios</t>
        </is>
      </c>
      <c r="I2" s="3" t="inlineStr">
        <is>
          <t>Incasòl (fianzas; no redistribuible), BOE; elaboración propia</t>
        </is>
      </c>
      <c r="J2" s="3" t="inlineStr">
        <is>
          <t>C4</t>
        </is>
      </c>
      <c r="K2" s="3" t="inlineStr">
        <is>
          <t>output/v9/F5/hechos.json:V9-D1a-contratos-att</t>
        </is>
      </c>
    </row>
    <row r="3">
      <c r="A3" s="3" t="inlineStr">
        <is>
          <t>V9-D1a-contratos-placebo-p</t>
        </is>
      </c>
      <c r="B3" s="3" t="inlineStr">
        <is>
          <t>zonas tensionadas (Ley 12/2023), log contratos: p del placebo de fecha (4 trimestres antes)</t>
        </is>
      </c>
      <c r="C3" s="3" t="n">
        <v>0.61261</v>
      </c>
      <c r="D3" s="3" t="n"/>
      <c r="E3" s="3" t="n"/>
      <c r="F3" s="3" t="inlineStr">
        <is>
          <t>p-valor</t>
        </is>
      </c>
      <c r="G3" s="3" t="inlineStr">
        <is>
          <t>2022T2-2026T1</t>
        </is>
      </c>
      <c r="H3" s="3" t="inlineStr">
        <is>
          <t>Cataluña, municipios</t>
        </is>
      </c>
      <c r="I3" s="3" t="inlineStr">
        <is>
          <t>Incasòl (fianzas; no redistribuible), BOE; elaboración propia</t>
        </is>
      </c>
      <c r="J3" s="3" t="inlineStr">
        <is>
          <t>C4</t>
        </is>
      </c>
      <c r="K3" s="3" t="inlineStr">
        <is>
          <t>output/v9/F5/hechos.json:V9-D1a-contratos-placebo-p</t>
        </is>
      </c>
    </row>
    <row r="4">
      <c r="A4" s="3" t="inlineStr">
        <is>
          <t>V9-D1a-contratos-pretend-p</t>
        </is>
      </c>
      <c r="B4" s="3" t="inlineStr">
        <is>
          <t>zonas tensionadas (Ley 12/2023), log contratos: p del contraste conjunto de pretendencias</t>
        </is>
      </c>
      <c r="C4" s="3" t="n">
        <v>0.03134</v>
      </c>
      <c r="D4" s="3" t="n"/>
      <c r="E4" s="3" t="n"/>
      <c r="F4" s="3" t="inlineStr">
        <is>
          <t>p-valor</t>
        </is>
      </c>
      <c r="G4" s="3" t="inlineStr">
        <is>
          <t>2022T2-2026T1</t>
        </is>
      </c>
      <c r="H4" s="3" t="inlineStr">
        <is>
          <t>Cataluña, municipios</t>
        </is>
      </c>
      <c r="I4" s="3" t="inlineStr">
        <is>
          <t>Incasòl (fianzas; no redistribuible), BOE; elaboración propia</t>
        </is>
      </c>
      <c r="J4" s="3" t="inlineStr">
        <is>
          <t>C4</t>
        </is>
      </c>
      <c r="K4" s="3" t="inlineStr">
        <is>
          <t>output/v9/F5/hechos.json:V9-D1a-contratos-pretend-p</t>
        </is>
      </c>
    </row>
    <row r="5">
      <c r="A5" s="3" t="inlineStr">
        <is>
          <t>V9-D1a-contratos-ruptura</t>
        </is>
      </c>
      <c r="B5" s="3" t="inlineStr">
        <is>
          <t>zonas tensionadas (Ley 12/2023), log contratos: M̄ de ruptura de Honest DiD (magnitudes relativas, simplificado)</t>
        </is>
      </c>
      <c r="C5" s="3" t="n">
        <v>0</v>
      </c>
      <c r="D5" s="3" t="n"/>
      <c r="E5" s="3" t="n"/>
      <c r="F5" s="3" t="inlineStr">
        <is>
          <t>M̄</t>
        </is>
      </c>
      <c r="G5" s="3" t="inlineStr">
        <is>
          <t>2022T2-2026T1</t>
        </is>
      </c>
      <c r="H5" s="3" t="inlineStr">
        <is>
          <t>Cataluña, municipios</t>
        </is>
      </c>
      <c r="I5" s="3" t="inlineStr">
        <is>
          <t>Incasòl (fianzas; no redistribuible), BOE; elaboración propia</t>
        </is>
      </c>
      <c r="J5" s="3" t="inlineStr">
        <is>
          <t>C4</t>
        </is>
      </c>
      <c r="K5" s="3" t="inlineStr">
        <is>
          <t>output/v9/F5/hechos.json:V9-D1a-contratos-ruptura</t>
        </is>
      </c>
    </row>
    <row r="6">
      <c r="A6" s="3" t="inlineStr">
        <is>
          <t>V9-D1a-renta-att</t>
        </is>
      </c>
      <c r="B6" s="3" t="inlineStr">
        <is>
          <t>zonas tensionadas (Ley 12/2023): ATT sobre renta media de contratos nuevos (CS)</t>
        </is>
      </c>
      <c r="C6" s="3" t="n">
        <v>-5.846</v>
      </c>
      <c r="D6" s="3" t="n">
        <v>-8.499000000000001</v>
      </c>
      <c r="E6" s="3" t="n">
        <v>-3.193</v>
      </c>
      <c r="F6" s="3" t="inlineStr">
        <is>
          <t>%</t>
        </is>
      </c>
      <c r="G6" s="3" t="inlineStr">
        <is>
          <t>2022T2-2026T1</t>
        </is>
      </c>
      <c r="H6" s="3" t="inlineStr">
        <is>
          <t>Cataluña, municipios</t>
        </is>
      </c>
      <c r="I6" s="3" t="inlineStr">
        <is>
          <t>Incasòl (fianzas; no redistribuible), BOE; elaboración propia</t>
        </is>
      </c>
      <c r="J6" s="3" t="inlineStr">
        <is>
          <t>C4</t>
        </is>
      </c>
      <c r="K6" s="3" t="inlineStr">
        <is>
          <t>output/v9/F5/hechos.json:V9-D1a-renta-att</t>
        </is>
      </c>
    </row>
    <row r="7">
      <c r="A7" s="3" t="inlineStr">
        <is>
          <t>V9-D1a-renta-pholm</t>
        </is>
      </c>
      <c r="B7" s="3" t="inlineStr">
        <is>
          <t>zonas tensionadas (Ley 12/2023), log renta media: p ajustado por Holm (familia confirmatoria de V9)</t>
        </is>
      </c>
      <c r="C7" s="3" t="n">
        <v>0</v>
      </c>
      <c r="D7" s="3" t="n"/>
      <c r="E7" s="3" t="n"/>
      <c r="F7" s="3" t="inlineStr">
        <is>
          <t>p-valor</t>
        </is>
      </c>
      <c r="G7" s="3" t="inlineStr">
        <is>
          <t>2022T2-2026T1</t>
        </is>
      </c>
      <c r="H7" s="3" t="inlineStr">
        <is>
          <t>Cataluña, municipios</t>
        </is>
      </c>
      <c r="I7" s="3" t="inlineStr">
        <is>
          <t>Incasòl (fianzas; no redistribuible), BOE; elaboración propia</t>
        </is>
      </c>
      <c r="J7" s="3" t="inlineStr">
        <is>
          <t>C4</t>
        </is>
      </c>
      <c r="K7" s="3" t="inlineStr">
        <is>
          <t>output/v9/F5/hechos.json:V9-D1a-renta-pholm</t>
        </is>
      </c>
    </row>
    <row r="8">
      <c r="A8" s="3" t="inlineStr">
        <is>
          <t>V9-D1a-renta-placebo-p</t>
        </is>
      </c>
      <c r="B8" s="3" t="inlineStr">
        <is>
          <t>zonas tensionadas (Ley 12/2023), log renta media: p del placebo de fecha (4 trimestres antes)</t>
        </is>
      </c>
      <c r="C8" s="3" t="n">
        <v>0.00701</v>
      </c>
      <c r="D8" s="3" t="n"/>
      <c r="E8" s="3" t="n"/>
      <c r="F8" s="3" t="inlineStr">
        <is>
          <t>p-valor</t>
        </is>
      </c>
      <c r="G8" s="3" t="inlineStr">
        <is>
          <t>2022T2-2026T1</t>
        </is>
      </c>
      <c r="H8" s="3" t="inlineStr">
        <is>
          <t>Cataluña, municipios</t>
        </is>
      </c>
      <c r="I8" s="3" t="inlineStr">
        <is>
          <t>Incasòl (fianzas; no redistribuible), BOE; elaboración propia</t>
        </is>
      </c>
      <c r="J8" s="3" t="inlineStr">
        <is>
          <t>C4</t>
        </is>
      </c>
      <c r="K8" s="3" t="inlineStr">
        <is>
          <t>output/v9/F5/hechos.json:V9-D1a-renta-placebo-p</t>
        </is>
      </c>
    </row>
    <row r="9">
      <c r="A9" s="3" t="inlineStr">
        <is>
          <t>V9-D1a-renta-pretend-p</t>
        </is>
      </c>
      <c r="B9" s="3" t="inlineStr">
        <is>
          <t>zonas tensionadas (Ley 12/2023), log renta media: p del contraste conjunto de pretendencias</t>
        </is>
      </c>
      <c r="C9" s="3" t="n">
        <v>0.0004</v>
      </c>
      <c r="D9" s="3" t="n"/>
      <c r="E9" s="3" t="n"/>
      <c r="F9" s="3" t="inlineStr">
        <is>
          <t>p-valor</t>
        </is>
      </c>
      <c r="G9" s="3" t="inlineStr">
        <is>
          <t>2022T2-2026T1</t>
        </is>
      </c>
      <c r="H9" s="3" t="inlineStr">
        <is>
          <t>Cataluña, municipios</t>
        </is>
      </c>
      <c r="I9" s="3" t="inlineStr">
        <is>
          <t>Incasòl (fianzas; no redistribuible), BOE; elaboración propia</t>
        </is>
      </c>
      <c r="J9" s="3" t="inlineStr">
        <is>
          <t>C4</t>
        </is>
      </c>
      <c r="K9" s="3" t="inlineStr">
        <is>
          <t>output/v9/F5/hechos.json:V9-D1a-renta-pretend-p</t>
        </is>
      </c>
    </row>
    <row r="10">
      <c r="A10" s="3" t="inlineStr">
        <is>
          <t>V9-D1a-renta-ruptura</t>
        </is>
      </c>
      <c r="B10" s="3" t="inlineStr">
        <is>
          <t>zonas tensionadas (Ley 12/2023), log renta media: M̄ de ruptura de Honest DiD (magnitudes relativas, simplificado)</t>
        </is>
      </c>
      <c r="C10" s="3" t="n">
        <v>0.2</v>
      </c>
      <c r="D10" s="3" t="n"/>
      <c r="E10" s="3" t="n"/>
      <c r="F10" s="3" t="inlineStr">
        <is>
          <t>M̄</t>
        </is>
      </c>
      <c r="G10" s="3" t="inlineStr">
        <is>
          <t>2022T2-2026T1</t>
        </is>
      </c>
      <c r="H10" s="3" t="inlineStr">
        <is>
          <t>Cataluña, municipios</t>
        </is>
      </c>
      <c r="I10" s="3" t="inlineStr">
        <is>
          <t>Incasòl (fianzas; no redistribuible), BOE; elaboración propia</t>
        </is>
      </c>
      <c r="J10" s="3" t="inlineStr">
        <is>
          <t>C4</t>
        </is>
      </c>
      <c r="K10" s="3" t="inlineStr">
        <is>
          <t>output/v9/F5/hechos.json:V9-D1a-renta-ruptura</t>
        </is>
      </c>
    </row>
    <row r="11">
      <c r="A11" s="3" t="inlineStr">
        <is>
          <t>V9-D1b-contratos-att</t>
        </is>
      </c>
      <c r="B11" s="3" t="inlineStr">
        <is>
          <t>Ley catalana 11/2020: ATT sobre contratos de contratos nuevos (CS)</t>
        </is>
      </c>
      <c r="C11" s="3" t="n">
        <v>-1.317</v>
      </c>
      <c r="D11" s="3" t="n">
        <v>-7.02</v>
      </c>
      <c r="E11" s="3" t="n">
        <v>4.385</v>
      </c>
      <c r="F11" s="3" t="inlineStr">
        <is>
          <t>%</t>
        </is>
      </c>
      <c r="G11" s="3" t="inlineStr">
        <is>
          <t>2019T1-2022T1</t>
        </is>
      </c>
      <c r="H11" s="3" t="inlineStr">
        <is>
          <t>Cataluña, municipios</t>
        </is>
      </c>
      <c r="I11" s="3" t="inlineStr">
        <is>
          <t>Incasòl (fianzas; no redistribuible), BOE; elaboración propia</t>
        </is>
      </c>
      <c r="J11" s="3" t="inlineStr">
        <is>
          <t>C4</t>
        </is>
      </c>
      <c r="K11" s="3" t="inlineStr">
        <is>
          <t>output/v9/F5/hechos.json:V9-D1b-contratos-att</t>
        </is>
      </c>
    </row>
    <row r="12">
      <c r="A12" s="3" t="inlineStr">
        <is>
          <t>V9-D1b-contratos-placebo-p</t>
        </is>
      </c>
      <c r="B12" s="3" t="inlineStr">
        <is>
          <t>Ley catalana 11/2020, log contratos: p del placebo de fecha (4 trimestres antes)</t>
        </is>
      </c>
      <c r="C12" s="3" t="n">
        <v>0.15616</v>
      </c>
      <c r="D12" s="3" t="n"/>
      <c r="E12" s="3" t="n"/>
      <c r="F12" s="3" t="inlineStr">
        <is>
          <t>p-valor</t>
        </is>
      </c>
      <c r="G12" s="3" t="inlineStr">
        <is>
          <t>2019T1-2022T1</t>
        </is>
      </c>
      <c r="H12" s="3" t="inlineStr">
        <is>
          <t>Cataluña, municipios</t>
        </is>
      </c>
      <c r="I12" s="3" t="inlineStr">
        <is>
          <t>Incasòl (fianzas; no redistribuible), BOE; elaboración propia</t>
        </is>
      </c>
      <c r="J12" s="3" t="inlineStr">
        <is>
          <t>C4</t>
        </is>
      </c>
      <c r="K12" s="3" t="inlineStr">
        <is>
          <t>output/v9/F5/hechos.json:V9-D1b-contratos-placebo-p</t>
        </is>
      </c>
    </row>
    <row r="13">
      <c r="A13" s="3" t="inlineStr">
        <is>
          <t>V9-D1b-contratos-pretend-p</t>
        </is>
      </c>
      <c r="B13" s="3" t="inlineStr">
        <is>
          <t>Ley catalana 11/2020, log contratos: p del contraste conjunto de pretendencias</t>
        </is>
      </c>
      <c r="C13" s="3" t="n">
        <v>0.28015</v>
      </c>
      <c r="D13" s="3" t="n"/>
      <c r="E13" s="3" t="n"/>
      <c r="F13" s="3" t="inlineStr">
        <is>
          <t>p-valor</t>
        </is>
      </c>
      <c r="G13" s="3" t="inlineStr">
        <is>
          <t>2019T1-2022T1</t>
        </is>
      </c>
      <c r="H13" s="3" t="inlineStr">
        <is>
          <t>Cataluña, municipios</t>
        </is>
      </c>
      <c r="I13" s="3" t="inlineStr">
        <is>
          <t>Incasòl (fianzas; no redistribuible), BOE; elaboración propia</t>
        </is>
      </c>
      <c r="J13" s="3" t="inlineStr">
        <is>
          <t>C4</t>
        </is>
      </c>
      <c r="K13" s="3" t="inlineStr">
        <is>
          <t>output/v9/F5/hechos.json:V9-D1b-contratos-pretend-p</t>
        </is>
      </c>
    </row>
    <row r="14">
      <c r="A14" s="3" t="inlineStr">
        <is>
          <t>V9-D1b-contratos-ruptura</t>
        </is>
      </c>
      <c r="B14" s="3" t="inlineStr">
        <is>
          <t>Ley catalana 11/2020, log contratos: M̄ de ruptura de Honest DiD (magnitudes relativas, simplificado)</t>
        </is>
      </c>
      <c r="C14" s="3" t="n">
        <v>0</v>
      </c>
      <c r="D14" s="3" t="n"/>
      <c r="E14" s="3" t="n"/>
      <c r="F14" s="3" t="inlineStr">
        <is>
          <t>M̄</t>
        </is>
      </c>
      <c r="G14" s="3" t="inlineStr">
        <is>
          <t>2019T1-2022T1</t>
        </is>
      </c>
      <c r="H14" s="3" t="inlineStr">
        <is>
          <t>Cataluña, municipios</t>
        </is>
      </c>
      <c r="I14" s="3" t="inlineStr">
        <is>
          <t>Incasòl (fianzas; no redistribuible), BOE; elaboración propia</t>
        </is>
      </c>
      <c r="J14" s="3" t="inlineStr">
        <is>
          <t>C4</t>
        </is>
      </c>
      <c r="K14" s="3" t="inlineStr">
        <is>
          <t>output/v9/F5/hechos.json:V9-D1b-contratos-ruptura</t>
        </is>
      </c>
    </row>
    <row r="15">
      <c r="A15" s="3" t="inlineStr">
        <is>
          <t>V9-D1b-renta-att</t>
        </is>
      </c>
      <c r="B15" s="3" t="inlineStr">
        <is>
          <t>Ley catalana 11/2020: ATT sobre renta media de contratos nuevos (CS)</t>
        </is>
      </c>
      <c r="C15" s="3" t="n">
        <v>-5.851</v>
      </c>
      <c r="D15" s="3" t="n">
        <v>-7.346</v>
      </c>
      <c r="E15" s="3" t="n">
        <v>-4.356</v>
      </c>
      <c r="F15" s="3" t="inlineStr">
        <is>
          <t>%</t>
        </is>
      </c>
      <c r="G15" s="3" t="inlineStr">
        <is>
          <t>2019T1-2022T1</t>
        </is>
      </c>
      <c r="H15" s="3" t="inlineStr">
        <is>
          <t>Cataluña, municipios</t>
        </is>
      </c>
      <c r="I15" s="3" t="inlineStr">
        <is>
          <t>Incasòl (fianzas; no redistribuible), BOE; elaboración propia</t>
        </is>
      </c>
      <c r="J15" s="3" t="inlineStr">
        <is>
          <t>C4</t>
        </is>
      </c>
      <c r="K15" s="3" t="inlineStr">
        <is>
          <t>output/v9/F5/hechos.json:V9-D1b-renta-att</t>
        </is>
      </c>
    </row>
    <row r="16">
      <c r="A16" s="3" t="inlineStr">
        <is>
          <t>V9-D1b-renta-pholm</t>
        </is>
      </c>
      <c r="B16" s="3" t="inlineStr">
        <is>
          <t>Ley catalana 11/2020, log renta media: p ajustado por Holm (familia confirmatoria de V9)</t>
        </is>
      </c>
      <c r="C16" s="3" t="n">
        <v>0</v>
      </c>
      <c r="D16" s="3" t="n"/>
      <c r="E16" s="3" t="n"/>
      <c r="F16" s="3" t="inlineStr">
        <is>
          <t>p-valor</t>
        </is>
      </c>
      <c r="G16" s="3" t="inlineStr">
        <is>
          <t>2019T1-2022T1</t>
        </is>
      </c>
      <c r="H16" s="3" t="inlineStr">
        <is>
          <t>Cataluña, municipios</t>
        </is>
      </c>
      <c r="I16" s="3" t="inlineStr">
        <is>
          <t>Incasòl (fianzas; no redistribuible), BOE; elaboración propia</t>
        </is>
      </c>
      <c r="J16" s="3" t="inlineStr">
        <is>
          <t>C4</t>
        </is>
      </c>
      <c r="K16" s="3" t="inlineStr">
        <is>
          <t>output/v9/F5/hechos.json:V9-D1b-renta-pholm</t>
        </is>
      </c>
    </row>
    <row r="17">
      <c r="A17" s="3" t="inlineStr">
        <is>
          <t>V9-D1b-renta-placebo-p</t>
        </is>
      </c>
      <c r="B17" s="3" t="inlineStr">
        <is>
          <t>Ley catalana 11/2020, log renta media: p del placebo de fecha (4 trimestres antes)</t>
        </is>
      </c>
      <c r="C17" s="3" t="n">
        <v>0.40841</v>
      </c>
      <c r="D17" s="3" t="n"/>
      <c r="E17" s="3" t="n"/>
      <c r="F17" s="3" t="inlineStr">
        <is>
          <t>p-valor</t>
        </is>
      </c>
      <c r="G17" s="3" t="inlineStr">
        <is>
          <t>2019T1-2022T1</t>
        </is>
      </c>
      <c r="H17" s="3" t="inlineStr">
        <is>
          <t>Cataluña, municipios</t>
        </is>
      </c>
      <c r="I17" s="3" t="inlineStr">
        <is>
          <t>Incasòl (fianzas; no redistribuible), BOE; elaboración propia</t>
        </is>
      </c>
      <c r="J17" s="3" t="inlineStr">
        <is>
          <t>C4</t>
        </is>
      </c>
      <c r="K17" s="3" t="inlineStr">
        <is>
          <t>output/v9/F5/hechos.json:V9-D1b-renta-placebo-p</t>
        </is>
      </c>
    </row>
    <row r="18">
      <c r="A18" s="3" t="inlineStr">
        <is>
          <t>V9-D1b-renta-pretend-p</t>
        </is>
      </c>
      <c r="B18" s="3" t="inlineStr">
        <is>
          <t>Ley catalana 11/2020, log renta media: p del contraste conjunto de pretendencias</t>
        </is>
      </c>
      <c r="C18" s="3" t="n">
        <v>0.28158</v>
      </c>
      <c r="D18" s="3" t="n"/>
      <c r="E18" s="3" t="n"/>
      <c r="F18" s="3" t="inlineStr">
        <is>
          <t>p-valor</t>
        </is>
      </c>
      <c r="G18" s="3" t="inlineStr">
        <is>
          <t>2019T1-2022T1</t>
        </is>
      </c>
      <c r="H18" s="3" t="inlineStr">
        <is>
          <t>Cataluña, municipios</t>
        </is>
      </c>
      <c r="I18" s="3" t="inlineStr">
        <is>
          <t>Incasòl (fianzas; no redistribuible), BOE; elaboración propia</t>
        </is>
      </c>
      <c r="J18" s="3" t="inlineStr">
        <is>
          <t>C4</t>
        </is>
      </c>
      <c r="K18" s="3" t="inlineStr">
        <is>
          <t>output/v9/F5/hechos.json:V9-D1b-renta-pretend-p</t>
        </is>
      </c>
    </row>
    <row r="19">
      <c r="A19" s="3" t="inlineStr">
        <is>
          <t>V9-D1b-renta-ruptura</t>
        </is>
      </c>
      <c r="B19" s="3" t="inlineStr">
        <is>
          <t>Ley catalana 11/2020, log renta media: M̄ de ruptura de Honest DiD (magnitudes relativas, simplificado)</t>
        </is>
      </c>
      <c r="C19" s="3" t="n">
        <v>0.8</v>
      </c>
      <c r="D19" s="3" t="n"/>
      <c r="E19" s="3" t="n"/>
      <c r="F19" s="3" t="inlineStr">
        <is>
          <t>M̄</t>
        </is>
      </c>
      <c r="G19" s="3" t="inlineStr">
        <is>
          <t>2019T1-2022T1</t>
        </is>
      </c>
      <c r="H19" s="3" t="inlineStr">
        <is>
          <t>Cataluña, municipios</t>
        </is>
      </c>
      <c r="I19" s="3" t="inlineStr">
        <is>
          <t>Incasòl (fianzas; no redistribuible), BOE; elaboración propia</t>
        </is>
      </c>
      <c r="J19" s="3" t="inlineStr">
        <is>
          <t>C4</t>
        </is>
      </c>
      <c r="K19" s="3" t="inlineStr">
        <is>
          <t>output/v9/F5/hechos.json:V9-D1b-renta-ruptura</t>
        </is>
      </c>
    </row>
    <row r="20">
      <c r="A20" s="3" t="inlineStr">
        <is>
          <t>V9-D1c-renta-att</t>
        </is>
      </c>
      <c r="B20" s="3" t="inlineStr">
        <is>
          <t>Zonas tensionadas de Euskadi: ATT exploratorio sobre la renta de fianzas nuevas (EMAL)</t>
        </is>
      </c>
      <c r="C20" s="3" t="n">
        <v>-2.484</v>
      </c>
      <c r="D20" s="3" t="n">
        <v>-3.519</v>
      </c>
      <c r="E20" s="3" t="n">
        <v>-1.449</v>
      </c>
      <c r="F20" s="3" t="inlineStr">
        <is>
          <t>%</t>
        </is>
      </c>
      <c r="G20" s="3" t="inlineStr">
        <is>
          <t>2016T1-2025T4</t>
        </is>
      </c>
      <c r="H20" s="3" t="inlineStr">
        <is>
          <t>Euskadi, municipios &gt; 20.000 hab.</t>
        </is>
      </c>
      <c r="I20" s="3" t="inlineStr">
        <is>
          <t>Gobierno Vasco EMAL; BOE</t>
        </is>
      </c>
      <c r="J20" s="3" t="inlineStr">
        <is>
          <t>C4</t>
        </is>
      </c>
      <c r="K20" s="3" t="inlineStr">
        <is>
          <t>output/v9/F5/hechos.json:V9-D1c-renta-att</t>
        </is>
      </c>
    </row>
    <row r="21">
      <c r="A21" s="3" t="inlineStr">
        <is>
          <t>V9-D2-renta-covid</t>
        </is>
      </c>
      <c r="B21" s="3" t="inlineStr">
        <is>
          <t>Viviendas de uso turístico en 2019 × COVID 2020-2021: variación de la renta de contratos nuevos por 1 DE de dosis</t>
        </is>
      </c>
      <c r="C21" s="3" t="n">
        <v>0.219</v>
      </c>
      <c r="D21" s="3" t="n">
        <v>-0.549</v>
      </c>
      <c r="E21" s="3" t="n">
        <v>0.987</v>
      </c>
      <c r="F21" s="3" t="inlineStr">
        <is>
          <t>%</t>
        </is>
      </c>
      <c r="G21" s="3" t="inlineStr">
        <is>
          <t>2014-2025</t>
        </is>
      </c>
      <c r="H21" s="3" t="inlineStr">
        <is>
          <t>Cataluña, municipios</t>
        </is>
      </c>
      <c r="I21" s="3" t="inlineStr">
        <is>
          <t>Incasòl; IDESCAT; INE padrón</t>
        </is>
      </c>
      <c r="J21" s="3" t="inlineStr">
        <is>
          <t>C4</t>
        </is>
      </c>
      <c r="K21" s="3" t="inlineStr">
        <is>
          <t>output/v9/F5/hechos.json:V9-D2-renta-covid</t>
        </is>
      </c>
    </row>
    <row r="22">
      <c r="A22" s="3" t="inlineStr">
        <is>
          <t>V9-D2-renta-pretend-p</t>
        </is>
      </c>
      <c r="B22" s="3" t="inlineStr">
        <is>
          <t>D2, renta: p del contraste conjunto de pretendencias (2014-2018)</t>
        </is>
      </c>
      <c r="C22" s="3" t="n">
        <v>0.00023</v>
      </c>
      <c r="D22" s="3" t="n"/>
      <c r="E22" s="3" t="n"/>
      <c r="F22" s="3" t="inlineStr">
        <is>
          <t>p-valor</t>
        </is>
      </c>
      <c r="G22" s="3" t="inlineStr">
        <is>
          <t>2014-2018</t>
        </is>
      </c>
      <c r="H22" s="3" t="inlineStr">
        <is>
          <t>Cataluña</t>
        </is>
      </c>
      <c r="I22" s="3" t="inlineStr">
        <is>
          <t>Incasòl; IDESCAT</t>
        </is>
      </c>
      <c r="J22" s="3" t="inlineStr">
        <is>
          <t>C4</t>
        </is>
      </c>
      <c r="K22" s="3" t="inlineStr">
        <is>
          <t>output/v9/F5/hechos.json:V9-D2-renta-pretend-p</t>
        </is>
      </c>
    </row>
    <row r="23">
      <c r="A23" s="3" t="inlineStr">
        <is>
          <t>V9-D2-renta-reap</t>
        </is>
      </c>
      <c r="B23" s="3" t="inlineStr">
        <is>
          <t>Viviendas de uso turístico en 2019 × reapertura 2022-2025: variación de la renta de contratos nuevos por 1 DE de dosis</t>
        </is>
      </c>
      <c r="C23" s="3" t="n">
        <v>1.046</v>
      </c>
      <c r="D23" s="3" t="n">
        <v>0.39</v>
      </c>
      <c r="E23" s="3" t="n">
        <v>1.703</v>
      </c>
      <c r="F23" s="3" t="inlineStr">
        <is>
          <t>%</t>
        </is>
      </c>
      <c r="G23" s="3" t="inlineStr">
        <is>
          <t>2014-2025</t>
        </is>
      </c>
      <c r="H23" s="3" t="inlineStr">
        <is>
          <t>Cataluña, municipios</t>
        </is>
      </c>
      <c r="I23" s="3" t="inlineStr">
        <is>
          <t>Incasòl; IDESCAT; INE padrón</t>
        </is>
      </c>
      <c r="J23" s="3" t="inlineStr">
        <is>
          <t>C4</t>
        </is>
      </c>
      <c r="K23" s="3" t="inlineStr">
        <is>
          <t>output/v9/F5/hechos.json:V9-D2-renta-reap</t>
        </is>
      </c>
    </row>
    <row r="24">
      <c r="A24" s="3" t="inlineStr">
        <is>
          <t>V9-D3-cuota</t>
        </is>
      </c>
      <c r="B24" s="3" t="inlineStr">
        <is>
          <t>Caída del registro VUT (por 1 VUT por 100 viviendas) y variación de la cuota provincial de fianzas 2024→2025 por CP (descriptivo)</t>
        </is>
      </c>
      <c r="C24" s="3" t="n">
        <v>0.00205</v>
      </c>
      <c r="D24" s="3" t="n">
        <v>-0.00216</v>
      </c>
      <c r="E24" s="3" t="n">
        <v>0.00625</v>
      </c>
      <c r="F24" s="3" t="inlineStr">
        <is>
          <t>puntos de cuota</t>
        </is>
      </c>
      <c r="G24" s="3" t="inlineStr">
        <is>
          <t>2024-2025</t>
        </is>
      </c>
      <c r="H24" s="3" t="inlineStr">
        <is>
          <t>Comunitat Valenciana, códigos postales</t>
        </is>
      </c>
      <c r="I24" s="3" t="inlineStr">
        <is>
          <t>GVA (fianzas, registro VUT); INE; elaboración propia</t>
        </is>
      </c>
      <c r="J24" s="3" t="inlineStr">
        <is>
          <t>C4</t>
        </is>
      </c>
      <c r="K24" s="3" t="inlineStr">
        <is>
          <t>output/v9/F5/hechos.json:V9-D3-cuota</t>
        </is>
      </c>
    </row>
    <row r="25">
      <c r="A25" s="3" t="inlineStr">
        <is>
          <t>V9-D3-media</t>
        </is>
      </c>
      <c r="B25" s="3" t="inlineStr">
        <is>
          <t>Caída del registro VUT (por 1 VUT por 100 viviendas) y variación de la fianza media 2024→2025 por CP (descriptivo)</t>
        </is>
      </c>
      <c r="C25" s="3" t="n">
        <v>-0.195</v>
      </c>
      <c r="D25" s="3" t="n">
        <v>-0.413</v>
      </c>
      <c r="E25" s="3" t="n">
        <v>0.024</v>
      </c>
      <c r="F25" s="3" t="inlineStr">
        <is>
          <t>%</t>
        </is>
      </c>
      <c r="G25" s="3" t="inlineStr">
        <is>
          <t>2024-2025</t>
        </is>
      </c>
      <c r="H25" s="3" t="inlineStr">
        <is>
          <t>Comunitat Valenciana, códigos postales</t>
        </is>
      </c>
      <c r="I25" s="3" t="inlineStr">
        <is>
          <t>GVA (fianzas, registro VUT); INE; elaboración propia</t>
        </is>
      </c>
      <c r="J25" s="3" t="inlineStr">
        <is>
          <t>C4</t>
        </is>
      </c>
      <c r="K25" s="3" t="inlineStr">
        <is>
          <t>output/v9/F5/hechos.json:V9-D3-media</t>
        </is>
      </c>
    </row>
    <row r="26">
      <c r="A26" s="3" t="inlineStr">
        <is>
          <t>V9-D4-ipc-ampliacion</t>
        </is>
      </c>
      <c r="B26" s="3" t="inlineStr">
        <is>
          <t>Inmigración (2SLS shift-share), IPC de alquiler: elasticidad por punto de población extranjera (2015-2022)</t>
        </is>
      </c>
      <c r="C26" s="3" t="n">
        <v>1.525</v>
      </c>
      <c r="D26" s="3" t="n">
        <v>-1.364</v>
      </c>
      <c r="E26" s="3" t="n">
        <v>4.414</v>
      </c>
      <c r="F26" s="3" t="inlineStr">
        <is>
          <t>% por punto de población</t>
        </is>
      </c>
      <c r="G26" s="3" t="inlineStr">
        <is>
          <t>2015-2022</t>
        </is>
      </c>
      <c r="H26" s="3" t="inlineStr">
        <is>
          <t>50 provincias</t>
        </is>
      </c>
      <c r="I26" s="3" t="inlineStr">
        <is>
          <t>INE padrón e IPC; MIVAU valor tasado; elaboración propia</t>
        </is>
      </c>
      <c r="J26" s="3" t="inlineStr">
        <is>
          <t>C4</t>
        </is>
      </c>
      <c r="K26" s="3" t="inlineStr">
        <is>
          <t>output/v9/F5/hechos.json:V9-D4-ipc-ampliacion</t>
        </is>
      </c>
    </row>
    <row r="27">
      <c r="A27" s="3" t="inlineStr">
        <is>
          <t>V9-D4-ipc-ampliacion-F</t>
        </is>
      </c>
      <c r="B27" s="3" t="inlineStr">
        <is>
          <t>Inmigración, IPC de alquiler: F efectiva del instrumento</t>
        </is>
      </c>
      <c r="C27" s="3" t="n">
        <v>2.79401</v>
      </c>
      <c r="D27" s="3" t="n"/>
      <c r="E27" s="3" t="n"/>
      <c r="F27" s="3" t="inlineStr">
        <is>
          <t>estadístico F</t>
        </is>
      </c>
      <c r="G27" s="3" t="inlineStr">
        <is>
          <t>2015-2022</t>
        </is>
      </c>
      <c r="H27" s="3" t="inlineStr">
        <is>
          <t>50 provincias</t>
        </is>
      </c>
      <c r="I27" s="3" t="inlineStr">
        <is>
          <t>INE padrón</t>
        </is>
      </c>
      <c r="J27" s="3" t="inlineStr">
        <is>
          <t>C4</t>
        </is>
      </c>
      <c r="K27" s="3" t="inlineStr">
        <is>
          <t>output/v9/F5/hechos.json:V9-D4-ipc-ampliacion-F</t>
        </is>
      </c>
    </row>
    <row r="28">
      <c r="A28" s="3" t="inlineStr">
        <is>
          <t>V9-D4-ipc-replica</t>
        </is>
      </c>
      <c r="B28" s="3" t="inlineStr">
        <is>
          <t>Inmigración (2SLS shift-share), IPC de alquiler: elasticidad por punto de población extranjera (2003-2012)</t>
        </is>
      </c>
      <c r="C28" s="3" t="n">
        <v>0.723</v>
      </c>
      <c r="D28" s="3" t="n">
        <v>-0.8149999999999999</v>
      </c>
      <c r="E28" s="3" t="n">
        <v>2.261</v>
      </c>
      <c r="F28" s="3" t="inlineStr">
        <is>
          <t>% por punto de población</t>
        </is>
      </c>
      <c r="G28" s="3" t="inlineStr">
        <is>
          <t>2003-2012</t>
        </is>
      </c>
      <c r="H28" s="3" t="inlineStr">
        <is>
          <t>50 provincias</t>
        </is>
      </c>
      <c r="I28" s="3" t="inlineStr">
        <is>
          <t>INE padrón e IPC; MIVAU valor tasado; elaboración propia</t>
        </is>
      </c>
      <c r="J28" s="3" t="inlineStr">
        <is>
          <t>C4</t>
        </is>
      </c>
      <c r="K28" s="3" t="inlineStr">
        <is>
          <t>output/v9/F5/hechos.json:V9-D4-ipc-replica</t>
        </is>
      </c>
    </row>
    <row r="29">
      <c r="A29" s="3" t="inlineStr">
        <is>
          <t>V9-D4-ipc-replica-F</t>
        </is>
      </c>
      <c r="B29" s="3" t="inlineStr">
        <is>
          <t>Inmigración, IPC de alquiler: F efectiva del instrumento</t>
        </is>
      </c>
      <c r="C29" s="3" t="n">
        <v>4.55109</v>
      </c>
      <c r="D29" s="3" t="n"/>
      <c r="E29" s="3" t="n"/>
      <c r="F29" s="3" t="inlineStr">
        <is>
          <t>estadístico F</t>
        </is>
      </c>
      <c r="G29" s="3" t="inlineStr">
        <is>
          <t>2003-2012</t>
        </is>
      </c>
      <c r="H29" s="3" t="inlineStr">
        <is>
          <t>50 provincias</t>
        </is>
      </c>
      <c r="I29" s="3" t="inlineStr">
        <is>
          <t>INE padrón</t>
        </is>
      </c>
      <c r="J29" s="3" t="inlineStr">
        <is>
          <t>C4</t>
        </is>
      </c>
      <c r="K29" s="3" t="inlineStr">
        <is>
          <t>output/v9/F5/hechos.json:V9-D4-ipc-replica-F</t>
        </is>
      </c>
    </row>
    <row r="30">
      <c r="A30" s="3" t="inlineStr">
        <is>
          <t>V9-D4-tasado-ampliacion</t>
        </is>
      </c>
      <c r="B30" s="3" t="inlineStr">
        <is>
          <t>Inmigración (2SLS shift-share), valor tasado: elasticidad por punto de población extranjera (2015-2022)</t>
        </is>
      </c>
      <c r="C30" s="3" t="n">
        <v>12.877</v>
      </c>
      <c r="D30" s="3" t="n">
        <v>-1.452</v>
      </c>
      <c r="E30" s="3" t="n">
        <v>27.207</v>
      </c>
      <c r="F30" s="3" t="inlineStr">
        <is>
          <t>% por punto de población</t>
        </is>
      </c>
      <c r="G30" s="3" t="inlineStr">
        <is>
          <t>2015-2022</t>
        </is>
      </c>
      <c r="H30" s="3" t="inlineStr">
        <is>
          <t>50 provincias</t>
        </is>
      </c>
      <c r="I30" s="3" t="inlineStr">
        <is>
          <t>INE padrón e IPC; MIVAU valor tasado; elaboración propia</t>
        </is>
      </c>
      <c r="J30" s="3" t="inlineStr">
        <is>
          <t>C4</t>
        </is>
      </c>
      <c r="K30" s="3" t="inlineStr">
        <is>
          <t>output/v9/F5/hechos.json:V9-D4-tasado-ampliacion</t>
        </is>
      </c>
    </row>
    <row r="31">
      <c r="A31" s="3" t="inlineStr">
        <is>
          <t>V9-D4-tasado-ampliacion-F</t>
        </is>
      </c>
      <c r="B31" s="3" t="inlineStr">
        <is>
          <t>Inmigración, valor tasado: F efectiva del instrumento</t>
        </is>
      </c>
      <c r="C31" s="3" t="n">
        <v>3.43812</v>
      </c>
      <c r="D31" s="3" t="n"/>
      <c r="E31" s="3" t="n"/>
      <c r="F31" s="3" t="inlineStr">
        <is>
          <t>estadístico F</t>
        </is>
      </c>
      <c r="G31" s="3" t="inlineStr">
        <is>
          <t>2015-2022</t>
        </is>
      </c>
      <c r="H31" s="3" t="inlineStr">
        <is>
          <t>50 provincias</t>
        </is>
      </c>
      <c r="I31" s="3" t="inlineStr">
        <is>
          <t>INE padrón</t>
        </is>
      </c>
      <c r="J31" s="3" t="inlineStr">
        <is>
          <t>C4</t>
        </is>
      </c>
      <c r="K31" s="3" t="inlineStr">
        <is>
          <t>output/v9/F5/hechos.json:V9-D4-tasado-ampliacion-F</t>
        </is>
      </c>
    </row>
    <row r="32">
      <c r="A32" s="3" t="inlineStr">
        <is>
          <t>V9-D4-tasado-replica</t>
        </is>
      </c>
      <c r="B32" s="3" t="inlineStr">
        <is>
          <t>Inmigración (2SLS shift-share), valor tasado: elasticidad por punto de población extranjera (2003-2012)</t>
        </is>
      </c>
      <c r="C32" s="3" t="n">
        <v>-0.286</v>
      </c>
      <c r="D32" s="3" t="n">
        <v>-2.716</v>
      </c>
      <c r="E32" s="3" t="n">
        <v>2.145</v>
      </c>
      <c r="F32" s="3" t="inlineStr">
        <is>
          <t>% por punto de población</t>
        </is>
      </c>
      <c r="G32" s="3" t="inlineStr">
        <is>
          <t>2003-2012</t>
        </is>
      </c>
      <c r="H32" s="3" t="inlineStr">
        <is>
          <t>50 provincias</t>
        </is>
      </c>
      <c r="I32" s="3" t="inlineStr">
        <is>
          <t>INE padrón e IPC; MIVAU valor tasado; elaboración propia</t>
        </is>
      </c>
      <c r="J32" s="3" t="inlineStr">
        <is>
          <t>C4</t>
        </is>
      </c>
      <c r="K32" s="3" t="inlineStr">
        <is>
          <t>output/v9/F5/hechos.json:V9-D4-tasado-replica</t>
        </is>
      </c>
    </row>
    <row r="33">
      <c r="A33" s="3" t="inlineStr">
        <is>
          <t>V9-D4-tasado-replica-F</t>
        </is>
      </c>
      <c r="B33" s="3" t="inlineStr">
        <is>
          <t>Inmigración, valor tasado: F efectiva del instrumento</t>
        </is>
      </c>
      <c r="C33" s="3" t="n">
        <v>3.65561</v>
      </c>
      <c r="D33" s="3" t="n"/>
      <c r="E33" s="3" t="n"/>
      <c r="F33" s="3" t="inlineStr">
        <is>
          <t>estadístico F</t>
        </is>
      </c>
      <c r="G33" s="3" t="inlineStr">
        <is>
          <t>2003-2012</t>
        </is>
      </c>
      <c r="H33" s="3" t="inlineStr">
        <is>
          <t>50 provincias</t>
        </is>
      </c>
      <c r="I33" s="3" t="inlineStr">
        <is>
          <t>INE padrón</t>
        </is>
      </c>
      <c r="J33" s="3" t="inlineStr">
        <is>
          <t>C4</t>
        </is>
      </c>
      <c r="K33" s="3" t="inlineStr">
        <is>
          <t>output/v9/F5/hechos.json:V9-D4-tasado-replica-F</t>
        </is>
      </c>
    </row>
    <row r="34">
      <c r="A34" s="3" t="inlineStr">
        <is>
          <t>V9-D5-alq-h4</t>
        </is>
      </c>
      <c r="B34" s="3" t="inlineStr">
        <is>
          <t>Shock monetario del BCE × cuota de hipotecas a tipo variable (1 DE): Δ log alquiler (h = 4)</t>
        </is>
      </c>
      <c r="C34" s="3" t="n">
        <v>-11.68</v>
      </c>
      <c r="D34" s="3" t="n">
        <v>-17.399</v>
      </c>
      <c r="E34" s="3" t="n">
        <v>-5.962</v>
      </c>
      <c r="F34" s="3" t="inlineStr">
        <is>
          <t>%</t>
        </is>
      </c>
      <c r="G34" s="3" t="inlineStr">
        <is>
          <t>2008T1-2025T3</t>
        </is>
      </c>
      <c r="H34" s="3" t="inlineStr">
        <is>
          <t>18 países de la zona euro</t>
        </is>
      </c>
      <c r="I34" s="3" t="inlineStr">
        <is>
          <t>BIS; Eurostat; BCE (RAI); Jarociński-Karadi (no redistribuible)</t>
        </is>
      </c>
      <c r="J34" s="3" t="inlineStr">
        <is>
          <t>C4</t>
        </is>
      </c>
      <c r="K34" s="3" t="inlineStr">
        <is>
          <t>output/v9/F5/hechos.json:V9-D5-alq-h4</t>
        </is>
      </c>
    </row>
    <row r="35">
      <c r="A35" s="3" t="inlineStr">
        <is>
          <t>V9-D5-precio-h4</t>
        </is>
      </c>
      <c r="B35" s="3" t="inlineStr">
        <is>
          <t>Shock monetario del BCE × cuota de hipotecas a tipo variable (1 DE): Δ log precio (h = 4)</t>
        </is>
      </c>
      <c r="C35" s="3" t="n">
        <v>-5.251</v>
      </c>
      <c r="D35" s="3" t="n">
        <v>-15.632</v>
      </c>
      <c r="E35" s="3" t="n">
        <v>5.13</v>
      </c>
      <c r="F35" s="3" t="inlineStr">
        <is>
          <t>%</t>
        </is>
      </c>
      <c r="G35" s="3" t="inlineStr">
        <is>
          <t>2008T1-2025T3</t>
        </is>
      </c>
      <c r="H35" s="3" t="inlineStr">
        <is>
          <t>18 países de la zona euro</t>
        </is>
      </c>
      <c r="I35" s="3" t="inlineStr">
        <is>
          <t>BIS; Eurostat; BCE (RAI); Jarociński-Karadi (no redistribuible)</t>
        </is>
      </c>
      <c r="J35" s="3" t="inlineStr">
        <is>
          <t>C4</t>
        </is>
      </c>
      <c r="K35" s="3" t="inlineStr">
        <is>
          <t>output/v9/F5/hechos.json:V9-D5-precio-h4</t>
        </is>
      </c>
    </row>
    <row r="36">
      <c r="A36" s="3" t="inlineStr">
        <is>
          <t>V9-D5-precio-h8</t>
        </is>
      </c>
      <c r="B36" s="3" t="inlineStr">
        <is>
          <t>Shock monetario del BCE × cuota de hipotecas a tipo variable (1 DE): Δ log precio (h = 8)</t>
        </is>
      </c>
      <c r="C36" s="3" t="n">
        <v>-4.389</v>
      </c>
      <c r="D36" s="3" t="n">
        <v>-17.537</v>
      </c>
      <c r="E36" s="3" t="n">
        <v>8.759</v>
      </c>
      <c r="F36" s="3" t="inlineStr">
        <is>
          <t>%</t>
        </is>
      </c>
      <c r="G36" s="3" t="inlineStr">
        <is>
          <t>2008T1-2025T3</t>
        </is>
      </c>
      <c r="H36" s="3" t="inlineStr">
        <is>
          <t>18 países de la zona euro</t>
        </is>
      </c>
      <c r="I36" s="3" t="inlineStr">
        <is>
          <t>BIS; Eurostat; BCE (RAI); Jarociński-Karadi (no redistribuible)</t>
        </is>
      </c>
      <c r="J36" s="3" t="inlineStr">
        <is>
          <t>C4</t>
        </is>
      </c>
      <c r="K36" s="3" t="inlineStr">
        <is>
          <t>output/v9/F5/hechos.json:V9-D5-precio-h8</t>
        </is>
      </c>
    </row>
    <row r="37">
      <c r="A37" s="3" t="inlineStr">
        <is>
          <t>V9-D7-CV-1121-H0</t>
        </is>
      </c>
      <c r="B37" s="3" t="inlineStr">
        <is>
          <t>Hogares al inicio (2011-2021; descomposición D7)</t>
        </is>
      </c>
      <c r="C37" s="3" t="n">
        <v>1986896</v>
      </c>
      <c r="D37" s="3" t="n"/>
      <c r="E37" s="3" t="n"/>
      <c r="F37" s="3" t="inlineStr">
        <is>
          <t>hogares</t>
        </is>
      </c>
      <c r="G37" s="3" t="inlineStr">
        <is>
          <t>2011-2021</t>
        </is>
      </c>
      <c r="H37" s="3" t="inlineStr">
        <is>
          <t>Comunitat Valenciana</t>
        </is>
      </c>
      <c r="I37" s="3" t="inlineStr">
        <is>
          <t>INE (censos, ECP, padrón, censo anual)</t>
        </is>
      </c>
      <c r="J37" s="3" t="inlineStr">
        <is>
          <t>C4</t>
        </is>
      </c>
      <c r="K37" s="3" t="inlineStr">
        <is>
          <t>output/v9/F5/hechos.json:V9-D7-CV-1121-H0</t>
        </is>
      </c>
    </row>
    <row r="38">
      <c r="A38" s="3" t="inlineStr">
        <is>
          <t>V9-D7-CV-1121-H1</t>
        </is>
      </c>
      <c r="B38" s="3" t="inlineStr">
        <is>
          <t>Hogares al final (2011-2021; descomposición D7)</t>
        </is>
      </c>
      <c r="C38" s="3" t="n">
        <v>2022501</v>
      </c>
      <c r="D38" s="3" t="n"/>
      <c r="E38" s="3" t="n"/>
      <c r="F38" s="3" t="inlineStr">
        <is>
          <t>hogares</t>
        </is>
      </c>
      <c r="G38" s="3" t="inlineStr">
        <is>
          <t>2011-2021</t>
        </is>
      </c>
      <c r="H38" s="3" t="inlineStr">
        <is>
          <t>Comunitat Valenciana</t>
        </is>
      </c>
      <c r="I38" s="3" t="inlineStr">
        <is>
          <t>INE (censos, ECP, padrón, censo anual)</t>
        </is>
      </c>
      <c r="J38" s="3" t="inlineStr">
        <is>
          <t>C4</t>
        </is>
      </c>
      <c r="K38" s="3" t="inlineStr">
        <is>
          <t>output/v9/F5/hechos.json:V9-D7-CV-1121-H1</t>
        </is>
      </c>
    </row>
    <row r="39">
      <c r="A39" s="3" t="inlineStr">
        <is>
          <t>V9-D7-CV-1121-P0</t>
        </is>
      </c>
      <c r="B39" s="3" t="inlineStr">
        <is>
          <t>Población al inicio (2011-2021; descomposición D7)</t>
        </is>
      </c>
      <c r="C39" s="3" t="n">
        <v>5129266</v>
      </c>
      <c r="D39" s="3" t="n"/>
      <c r="E39" s="3" t="n"/>
      <c r="F39" s="3" t="inlineStr">
        <is>
          <t>personas</t>
        </is>
      </c>
      <c r="G39" s="3" t="inlineStr">
        <is>
          <t>2011-2021</t>
        </is>
      </c>
      <c r="H39" s="3" t="inlineStr">
        <is>
          <t>Comunitat Valenciana</t>
        </is>
      </c>
      <c r="I39" s="3" t="inlineStr">
        <is>
          <t>INE (censos, ECP, padrón, censo anual)</t>
        </is>
      </c>
      <c r="J39" s="3" t="inlineStr">
        <is>
          <t>C4</t>
        </is>
      </c>
      <c r="K39" s="3" t="inlineStr">
        <is>
          <t>output/v9/F5/hechos.json:V9-D7-CV-1121-P0</t>
        </is>
      </c>
    </row>
    <row r="40">
      <c r="A40" s="3" t="inlineStr">
        <is>
          <t>V9-D7-CV-1121-P1</t>
        </is>
      </c>
      <c r="B40" s="3" t="inlineStr">
        <is>
          <t>Población al final (2011-2021; descomposición D7)</t>
        </is>
      </c>
      <c r="C40" s="3" t="n">
        <v>5097967</v>
      </c>
      <c r="D40" s="3" t="n"/>
      <c r="E40" s="3" t="n"/>
      <c r="F40" s="3" t="inlineStr">
        <is>
          <t>personas</t>
        </is>
      </c>
      <c r="G40" s="3" t="inlineStr">
        <is>
          <t>2011-2021</t>
        </is>
      </c>
      <c r="H40" s="3" t="inlineStr">
        <is>
          <t>Comunitat Valenciana</t>
        </is>
      </c>
      <c r="I40" s="3" t="inlineStr">
        <is>
          <t>INE (censos, ECP, padrón, censo anual)</t>
        </is>
      </c>
      <c r="J40" s="3" t="inlineStr">
        <is>
          <t>C4</t>
        </is>
      </c>
      <c r="K40" s="3" t="inlineStr">
        <is>
          <t>output/v9/F5/hechos.json:V9-D7-CV-1121-P1</t>
        </is>
      </c>
    </row>
    <row r="41">
      <c r="A41" s="3" t="inlineStr">
        <is>
          <t>V9-D7-CV-1121-cuota-pob</t>
        </is>
      </c>
      <c r="B41" s="3" t="inlineStr">
        <is>
          <t>Componente población del aumento de hogares (2011-2021), % del total</t>
        </is>
      </c>
      <c r="C41" s="3" t="n">
        <v>-33.9757829</v>
      </c>
      <c r="D41" s="3" t="n"/>
      <c r="E41" s="3" t="n"/>
      <c r="F41" s="3" t="inlineStr">
        <is>
          <t>%</t>
        </is>
      </c>
      <c r="G41" s="3" t="inlineStr">
        <is>
          <t>2011-2021</t>
        </is>
      </c>
      <c r="H41" s="3" t="inlineStr">
        <is>
          <t>Comunitat Valenciana</t>
        </is>
      </c>
      <c r="I41" s="3" t="inlineStr">
        <is>
          <t>INE; elaboración propia (descomposición contable)</t>
        </is>
      </c>
      <c r="J41" s="3" t="inlineStr">
        <is>
          <t>C4</t>
        </is>
      </c>
      <c r="K41" s="3" t="inlineStr">
        <is>
          <t>output/v9/F5/hechos.json:V9-D7-CV-1121-cuota-pob</t>
        </is>
      </c>
    </row>
    <row r="42">
      <c r="A42" s="3" t="inlineStr">
        <is>
          <t>V9-D7-CV-1121-dH</t>
        </is>
      </c>
      <c r="B42" s="3" t="inlineStr">
        <is>
          <t>Aumento de hogares (2011-2021)</t>
        </is>
      </c>
      <c r="C42" s="3" t="n">
        <v>35605</v>
      </c>
      <c r="D42" s="3" t="n"/>
      <c r="E42" s="3" t="n"/>
      <c r="F42" s="3" t="inlineStr">
        <is>
          <t>hogares</t>
        </is>
      </c>
      <c r="G42" s="3" t="inlineStr">
        <is>
          <t>2011-2021</t>
        </is>
      </c>
      <c r="H42" s="3" t="inlineStr">
        <is>
          <t>Comunitat Valenciana</t>
        </is>
      </c>
      <c r="I42" s="3" t="inlineStr">
        <is>
          <t>INE (censos, ECP, padrón, censo anual)</t>
        </is>
      </c>
      <c r="J42" s="3" t="inlineStr">
        <is>
          <t>C4</t>
        </is>
      </c>
      <c r="K42" s="3" t="inlineStr">
        <is>
          <t>output/v9/F5/hechos.json:V9-D7-CV-1121-dH</t>
        </is>
      </c>
    </row>
    <row r="43">
      <c r="A43" s="3" t="inlineStr">
        <is>
          <t>V9-D7-CV-2225-H0</t>
        </is>
      </c>
      <c r="B43" s="3" t="inlineStr">
        <is>
          <t>Hogares al inicio (2022-2025; descomposición D7)</t>
        </is>
      </c>
      <c r="C43" s="3" t="n">
        <v>2063319</v>
      </c>
      <c r="D43" s="3" t="n"/>
      <c r="E43" s="3" t="n"/>
      <c r="F43" s="3" t="inlineStr">
        <is>
          <t>hogares</t>
        </is>
      </c>
      <c r="G43" s="3" t="inlineStr">
        <is>
          <t>2022-2025</t>
        </is>
      </c>
      <c r="H43" s="3" t="inlineStr">
        <is>
          <t>Comunitat Valenciana</t>
        </is>
      </c>
      <c r="I43" s="3" t="inlineStr">
        <is>
          <t>INE (censos, ECP, padrón, censo anual)</t>
        </is>
      </c>
      <c r="J43" s="3" t="inlineStr">
        <is>
          <t>C4</t>
        </is>
      </c>
      <c r="K43" s="3" t="inlineStr">
        <is>
          <t>output/v9/F5/hechos.json:V9-D7-CV-2225-H0</t>
        </is>
      </c>
    </row>
    <row r="44">
      <c r="A44" s="3" t="inlineStr">
        <is>
          <t>V9-D7-CV-2225-H1</t>
        </is>
      </c>
      <c r="B44" s="3" t="inlineStr">
        <is>
          <t>Hogares al final (2022-2025; descomposición D7)</t>
        </is>
      </c>
      <c r="C44" s="3" t="n">
        <v>2215895</v>
      </c>
      <c r="D44" s="3" t="n"/>
      <c r="E44" s="3" t="n"/>
      <c r="F44" s="3" t="inlineStr">
        <is>
          <t>hogares</t>
        </is>
      </c>
      <c r="G44" s="3" t="inlineStr">
        <is>
          <t>2022-2025</t>
        </is>
      </c>
      <c r="H44" s="3" t="inlineStr">
        <is>
          <t>Comunitat Valenciana</t>
        </is>
      </c>
      <c r="I44" s="3" t="inlineStr">
        <is>
          <t>INE (censos, ECP, padrón, censo anual)</t>
        </is>
      </c>
      <c r="J44" s="3" t="inlineStr">
        <is>
          <t>C4</t>
        </is>
      </c>
      <c r="K44" s="3" t="inlineStr">
        <is>
          <t>output/v9/F5/hechos.json:V9-D7-CV-2225-H1</t>
        </is>
      </c>
    </row>
    <row r="45">
      <c r="A45" s="3" t="inlineStr">
        <is>
          <t>V9-D7-CV-2225-P0</t>
        </is>
      </c>
      <c r="B45" s="3" t="inlineStr">
        <is>
          <t>Población al inicio (2022-2025; descomposición D7)</t>
        </is>
      </c>
      <c r="C45" s="3" t="n">
        <v>5108116</v>
      </c>
      <c r="D45" s="3" t="n"/>
      <c r="E45" s="3" t="n"/>
      <c r="F45" s="3" t="inlineStr">
        <is>
          <t>personas</t>
        </is>
      </c>
      <c r="G45" s="3" t="inlineStr">
        <is>
          <t>2022-2025</t>
        </is>
      </c>
      <c r="H45" s="3" t="inlineStr">
        <is>
          <t>Comunitat Valenciana</t>
        </is>
      </c>
      <c r="I45" s="3" t="inlineStr">
        <is>
          <t>INE (censos, ECP, padrón, censo anual)</t>
        </is>
      </c>
      <c r="J45" s="3" t="inlineStr">
        <is>
          <t>C4</t>
        </is>
      </c>
      <c r="K45" s="3" t="inlineStr">
        <is>
          <t>output/v9/F5/hechos.json:V9-D7-CV-2225-P0</t>
        </is>
      </c>
    </row>
    <row r="46">
      <c r="A46" s="3" t="inlineStr">
        <is>
          <t>V9-D7-CV-2225-P1</t>
        </is>
      </c>
      <c r="B46" s="3" t="inlineStr">
        <is>
          <t>Población al final (2022-2025; descomposición D7)</t>
        </is>
      </c>
      <c r="C46" s="3" t="n">
        <v>5425182</v>
      </c>
      <c r="D46" s="3" t="n"/>
      <c r="E46" s="3" t="n"/>
      <c r="F46" s="3" t="inlineStr">
        <is>
          <t>personas</t>
        </is>
      </c>
      <c r="G46" s="3" t="inlineStr">
        <is>
          <t>2022-2025</t>
        </is>
      </c>
      <c r="H46" s="3" t="inlineStr">
        <is>
          <t>Comunitat Valenciana</t>
        </is>
      </c>
      <c r="I46" s="3" t="inlineStr">
        <is>
          <t>INE (censos, ECP, padrón, censo anual)</t>
        </is>
      </c>
      <c r="J46" s="3" t="inlineStr">
        <is>
          <t>C4</t>
        </is>
      </c>
      <c r="K46" s="3" t="inlineStr">
        <is>
          <t>output/v9/F5/hechos.json:V9-D7-CV-2225-P1</t>
        </is>
      </c>
    </row>
    <row r="47">
      <c r="A47" s="3" t="inlineStr">
        <is>
          <t>V9-D7-CV-2225-cuota-pob</t>
        </is>
      </c>
      <c r="B47" s="3" t="inlineStr">
        <is>
          <t>Componente población del aumento de hogares (2022-2025), % del total</t>
        </is>
      </c>
      <c r="C47" s="3" t="n">
        <v>84.43304032</v>
      </c>
      <c r="D47" s="3" t="n"/>
      <c r="E47" s="3" t="n"/>
      <c r="F47" s="3" t="inlineStr">
        <is>
          <t>%</t>
        </is>
      </c>
      <c r="G47" s="3" t="inlineStr">
        <is>
          <t>2022-2025</t>
        </is>
      </c>
      <c r="H47" s="3" t="inlineStr">
        <is>
          <t>Comunitat Valenciana</t>
        </is>
      </c>
      <c r="I47" s="3" t="inlineStr">
        <is>
          <t>INE; elaboración propia (descomposición contable)</t>
        </is>
      </c>
      <c r="J47" s="3" t="inlineStr">
        <is>
          <t>C4</t>
        </is>
      </c>
      <c r="K47" s="3" t="inlineStr">
        <is>
          <t>output/v9/F5/hechos.json:V9-D7-CV-2225-cuota-pob</t>
        </is>
      </c>
    </row>
    <row r="48">
      <c r="A48" s="3" t="inlineStr">
        <is>
          <t>V9-D7-CV-2225-dH</t>
        </is>
      </c>
      <c r="B48" s="3" t="inlineStr">
        <is>
          <t>Aumento de hogares (2022-2025)</t>
        </is>
      </c>
      <c r="C48" s="3" t="n">
        <v>152576</v>
      </c>
      <c r="D48" s="3" t="n"/>
      <c r="E48" s="3" t="n"/>
      <c r="F48" s="3" t="inlineStr">
        <is>
          <t>hogares</t>
        </is>
      </c>
      <c r="G48" s="3" t="inlineStr">
        <is>
          <t>2022-2025</t>
        </is>
      </c>
      <c r="H48" s="3" t="inlineStr">
        <is>
          <t>Comunitat Valenciana</t>
        </is>
      </c>
      <c r="I48" s="3" t="inlineStr">
        <is>
          <t>INE (censos, ECP, padrón, censo anual)</t>
        </is>
      </c>
      <c r="J48" s="3" t="inlineStr">
        <is>
          <t>C4</t>
        </is>
      </c>
      <c r="K48" s="3" t="inlineStr">
        <is>
          <t>output/v9/F5/hechos.json:V9-D7-CV-2225-dH</t>
        </is>
      </c>
    </row>
    <row r="49">
      <c r="A49" s="3" t="inlineStr">
        <is>
          <t>V9-D7-ES-1121-H0</t>
        </is>
      </c>
      <c r="B49" s="3" t="inlineStr">
        <is>
          <t>Hogares al inicio (2011-2021; descomposición D7)</t>
        </is>
      </c>
      <c r="C49" s="3" t="n">
        <v>18083692</v>
      </c>
      <c r="D49" s="3" t="n"/>
      <c r="E49" s="3" t="n"/>
      <c r="F49" s="3" t="inlineStr">
        <is>
          <t>hogares</t>
        </is>
      </c>
      <c r="G49" s="3" t="inlineStr">
        <is>
          <t>2011-2021</t>
        </is>
      </c>
      <c r="H49" s="3" t="inlineStr">
        <is>
          <t>España</t>
        </is>
      </c>
      <c r="I49" s="3" t="inlineStr">
        <is>
          <t>INE (censos, ECP, padrón, censo anual)</t>
        </is>
      </c>
      <c r="J49" s="3" t="inlineStr">
        <is>
          <t>C4</t>
        </is>
      </c>
      <c r="K49" s="3" t="inlineStr">
        <is>
          <t>output/v9/F5/hechos.json:V9-D7-ES-1121-H0</t>
        </is>
      </c>
    </row>
    <row r="50">
      <c r="A50" s="3" t="inlineStr">
        <is>
          <t>V9-D7-ES-1121-H1</t>
        </is>
      </c>
      <c r="B50" s="3" t="inlineStr">
        <is>
          <t>Hogares al final (2011-2021; descomposición D7)</t>
        </is>
      </c>
      <c r="C50" s="3" t="n">
        <v>18536616</v>
      </c>
      <c r="D50" s="3" t="n"/>
      <c r="E50" s="3" t="n"/>
      <c r="F50" s="3" t="inlineStr">
        <is>
          <t>hogares</t>
        </is>
      </c>
      <c r="G50" s="3" t="inlineStr">
        <is>
          <t>2011-2021</t>
        </is>
      </c>
      <c r="H50" s="3" t="inlineStr">
        <is>
          <t>España</t>
        </is>
      </c>
      <c r="I50" s="3" t="inlineStr">
        <is>
          <t>INE (censos, ECP, padrón, censo anual)</t>
        </is>
      </c>
      <c r="J50" s="3" t="inlineStr">
        <is>
          <t>C4</t>
        </is>
      </c>
      <c r="K50" s="3" t="inlineStr">
        <is>
          <t>output/v9/F5/hechos.json:V9-D7-ES-1121-H1</t>
        </is>
      </c>
    </row>
    <row r="51">
      <c r="A51" s="3" t="inlineStr">
        <is>
          <t>V9-D7-ES-1121-P0</t>
        </is>
      </c>
      <c r="B51" s="3" t="inlineStr">
        <is>
          <t>Población al inicio (2011-2021; descomposición D7)</t>
        </is>
      </c>
      <c r="C51" s="3" t="n">
        <v>47265321</v>
      </c>
      <c r="D51" s="3" t="n"/>
      <c r="E51" s="3" t="n"/>
      <c r="F51" s="3" t="inlineStr">
        <is>
          <t>personas</t>
        </is>
      </c>
      <c r="G51" s="3" t="inlineStr">
        <is>
          <t>2011-2021</t>
        </is>
      </c>
      <c r="H51" s="3" t="inlineStr">
        <is>
          <t>España</t>
        </is>
      </c>
      <c r="I51" s="3" t="inlineStr">
        <is>
          <t>INE (censos, ECP, padrón, censo anual)</t>
        </is>
      </c>
      <c r="J51" s="3" t="inlineStr">
        <is>
          <t>C4</t>
        </is>
      </c>
      <c r="K51" s="3" t="inlineStr">
        <is>
          <t>output/v9/F5/hechos.json:V9-D7-ES-1121-P0</t>
        </is>
      </c>
    </row>
    <row r="52">
      <c r="A52" s="3" t="inlineStr">
        <is>
          <t>V9-D7-ES-1121-P1</t>
        </is>
      </c>
      <c r="B52" s="3" t="inlineStr">
        <is>
          <t>Población al final (2011-2021; descomposición D7)</t>
        </is>
      </c>
      <c r="C52" s="3" t="n">
        <v>47475420</v>
      </c>
      <c r="D52" s="3" t="n"/>
      <c r="E52" s="3" t="n"/>
      <c r="F52" s="3" t="inlineStr">
        <is>
          <t>personas</t>
        </is>
      </c>
      <c r="G52" s="3" t="inlineStr">
        <is>
          <t>2011-2021</t>
        </is>
      </c>
      <c r="H52" s="3" t="inlineStr">
        <is>
          <t>España</t>
        </is>
      </c>
      <c r="I52" s="3" t="inlineStr">
        <is>
          <t>INE (censos, ECP, padrón, censo anual)</t>
        </is>
      </c>
      <c r="J52" s="3" t="inlineStr">
        <is>
          <t>C4</t>
        </is>
      </c>
      <c r="K52" s="3" t="inlineStr">
        <is>
          <t>output/v9/F5/hechos.json:V9-D7-ES-1121-P1</t>
        </is>
      </c>
    </row>
    <row r="53">
      <c r="A53" s="3" t="inlineStr">
        <is>
          <t>V9-D7-ES-1121-cuota-pob</t>
        </is>
      </c>
      <c r="B53" s="3" t="inlineStr">
        <is>
          <t>Componente población del aumento de hogares (2011-2021), % del total</t>
        </is>
      </c>
      <c r="C53" s="3" t="n">
        <v>13.65167701</v>
      </c>
      <c r="D53" s="3" t="n"/>
      <c r="E53" s="3" t="n"/>
      <c r="F53" s="3" t="inlineStr">
        <is>
          <t>%</t>
        </is>
      </c>
      <c r="G53" s="3" t="inlineStr">
        <is>
          <t>2011-2021</t>
        </is>
      </c>
      <c r="H53" s="3" t="inlineStr">
        <is>
          <t>España</t>
        </is>
      </c>
      <c r="I53" s="3" t="inlineStr">
        <is>
          <t>INE; elaboración propia (descomposición contable)</t>
        </is>
      </c>
      <c r="J53" s="3" t="inlineStr">
        <is>
          <t>C4</t>
        </is>
      </c>
      <c r="K53" s="3" t="inlineStr">
        <is>
          <t>output/v9/F5/hechos.json:V9-D7-ES-1121-cuota-pob</t>
        </is>
      </c>
    </row>
    <row r="54">
      <c r="A54" s="3" t="inlineStr">
        <is>
          <t>V9-D7-ES-1121-dH</t>
        </is>
      </c>
      <c r="B54" s="3" t="inlineStr">
        <is>
          <t>Aumento de hogares (2011-2021)</t>
        </is>
      </c>
      <c r="C54" s="3" t="n">
        <v>452924</v>
      </c>
      <c r="D54" s="3" t="n"/>
      <c r="E54" s="3" t="n"/>
      <c r="F54" s="3" t="inlineStr">
        <is>
          <t>hogares</t>
        </is>
      </c>
      <c r="G54" s="3" t="inlineStr">
        <is>
          <t>2011-2021</t>
        </is>
      </c>
      <c r="H54" s="3" t="inlineStr">
        <is>
          <t>España</t>
        </is>
      </c>
      <c r="I54" s="3" t="inlineStr">
        <is>
          <t>INE (censos, ECP, padrón, censo anual)</t>
        </is>
      </c>
      <c r="J54" s="3" t="inlineStr">
        <is>
          <t>C4</t>
        </is>
      </c>
      <c r="K54" s="3" t="inlineStr">
        <is>
          <t>output/v9/F5/hechos.json:V9-D7-ES-1121-dH</t>
        </is>
      </c>
    </row>
    <row r="55">
      <c r="A55" s="3" t="inlineStr">
        <is>
          <t>V9-D7-ES-2225-H0</t>
        </is>
      </c>
      <c r="B55" s="3" t="inlineStr">
        <is>
          <t>Hogares al inicio (2022-2025; descomposición D7)</t>
        </is>
      </c>
      <c r="C55" s="3" t="n">
        <v>18822103</v>
      </c>
      <c r="D55" s="3" t="n"/>
      <c r="E55" s="3" t="n"/>
      <c r="F55" s="3" t="inlineStr">
        <is>
          <t>hogares</t>
        </is>
      </c>
      <c r="G55" s="3" t="inlineStr">
        <is>
          <t>2022-2025</t>
        </is>
      </c>
      <c r="H55" s="3" t="inlineStr">
        <is>
          <t>España</t>
        </is>
      </c>
      <c r="I55" s="3" t="inlineStr">
        <is>
          <t>INE (censos, ECP, padrón, censo anual)</t>
        </is>
      </c>
      <c r="J55" s="3" t="inlineStr">
        <is>
          <t>C4</t>
        </is>
      </c>
      <c r="K55" s="3" t="inlineStr">
        <is>
          <t>output/v9/F5/hechos.json:V9-D7-ES-2225-H0</t>
        </is>
      </c>
    </row>
    <row r="56">
      <c r="A56" s="3" t="inlineStr">
        <is>
          <t>V9-D7-ES-2225-H1</t>
        </is>
      </c>
      <c r="B56" s="3" t="inlineStr">
        <is>
          <t>Hogares al final (2022-2025; descomposición D7)</t>
        </is>
      </c>
      <c r="C56" s="3" t="n">
        <v>19762059</v>
      </c>
      <c r="D56" s="3" t="n"/>
      <c r="E56" s="3" t="n"/>
      <c r="F56" s="3" t="inlineStr">
        <is>
          <t>hogares</t>
        </is>
      </c>
      <c r="G56" s="3" t="inlineStr">
        <is>
          <t>2022-2025</t>
        </is>
      </c>
      <c r="H56" s="3" t="inlineStr">
        <is>
          <t>España</t>
        </is>
      </c>
      <c r="I56" s="3" t="inlineStr">
        <is>
          <t>INE (censos, ECP, padrón, censo anual)</t>
        </is>
      </c>
      <c r="J56" s="3" t="inlineStr">
        <is>
          <t>C4</t>
        </is>
      </c>
      <c r="K56" s="3" t="inlineStr">
        <is>
          <t>output/v9/F5/hechos.json:V9-D7-ES-2225-H1</t>
        </is>
      </c>
    </row>
    <row r="57">
      <c r="A57" s="3" t="inlineStr">
        <is>
          <t>V9-D7-ES-2225-P0</t>
        </is>
      </c>
      <c r="B57" s="3" t="inlineStr">
        <is>
          <t>Población al inicio (2022-2025; descomposición D7)</t>
        </is>
      </c>
      <c r="C57" s="3" t="n">
        <v>47486727</v>
      </c>
      <c r="D57" s="3" t="n"/>
      <c r="E57" s="3" t="n"/>
      <c r="F57" s="3" t="inlineStr">
        <is>
          <t>personas</t>
        </is>
      </c>
      <c r="G57" s="3" t="inlineStr">
        <is>
          <t>2022-2025</t>
        </is>
      </c>
      <c r="H57" s="3" t="inlineStr">
        <is>
          <t>España</t>
        </is>
      </c>
      <c r="I57" s="3" t="inlineStr">
        <is>
          <t>INE (censos, ECP, padrón, censo anual)</t>
        </is>
      </c>
      <c r="J57" s="3" t="inlineStr">
        <is>
          <t>C4</t>
        </is>
      </c>
      <c r="K57" s="3" t="inlineStr">
        <is>
          <t>output/v9/F5/hechos.json:V9-D7-ES-2225-P0</t>
        </is>
      </c>
    </row>
    <row r="58">
      <c r="A58" s="3" t="inlineStr">
        <is>
          <t>V9-D7-ES-2225-P1</t>
        </is>
      </c>
      <c r="B58" s="3" t="inlineStr">
        <is>
          <t>Población al final (2022-2025; descomposición D7)</t>
        </is>
      </c>
      <c r="C58" s="3" t="n">
        <v>49128297</v>
      </c>
      <c r="D58" s="3" t="n"/>
      <c r="E58" s="3" t="n"/>
      <c r="F58" s="3" t="inlineStr">
        <is>
          <t>personas</t>
        </is>
      </c>
      <c r="G58" s="3" t="inlineStr">
        <is>
          <t>2022-2025</t>
        </is>
      </c>
      <c r="H58" s="3" t="inlineStr">
        <is>
          <t>España</t>
        </is>
      </c>
      <c r="I58" s="3" t="inlineStr">
        <is>
          <t>INE (censos, ECP, padrón, censo anual)</t>
        </is>
      </c>
      <c r="J58" s="3" t="inlineStr">
        <is>
          <t>C4</t>
        </is>
      </c>
      <c r="K58" s="3" t="inlineStr">
        <is>
          <t>output/v9/F5/hechos.json:V9-D7-ES-2225-P1</t>
        </is>
      </c>
    </row>
    <row r="59">
      <c r="A59" s="3" t="inlineStr">
        <is>
          <t>V9-D7-ES-2225-cuota-pob</t>
        </is>
      </c>
      <c r="B59" s="3" t="inlineStr">
        <is>
          <t>Componente población del aumento de hogares (2022-2025), % del total</t>
        </is>
      </c>
      <c r="C59" s="3" t="n">
        <v>68.85463129</v>
      </c>
      <c r="D59" s="3" t="n"/>
      <c r="E59" s="3" t="n"/>
      <c r="F59" s="3" t="inlineStr">
        <is>
          <t>%</t>
        </is>
      </c>
      <c r="G59" s="3" t="inlineStr">
        <is>
          <t>2022-2025</t>
        </is>
      </c>
      <c r="H59" s="3" t="inlineStr">
        <is>
          <t>España</t>
        </is>
      </c>
      <c r="I59" s="3" t="inlineStr">
        <is>
          <t>INE; elaboración propia (descomposición contable)</t>
        </is>
      </c>
      <c r="J59" s="3" t="inlineStr">
        <is>
          <t>C4</t>
        </is>
      </c>
      <c r="K59" s="3" t="inlineStr">
        <is>
          <t>output/v9/F5/hechos.json:V9-D7-ES-2225-cuota-pob</t>
        </is>
      </c>
    </row>
    <row r="60">
      <c r="A60" s="3" t="inlineStr">
        <is>
          <t>V9-D7-ES-2225-dH</t>
        </is>
      </c>
      <c r="B60" s="3" t="inlineStr">
        <is>
          <t>Aumento de hogares (2022-2025)</t>
        </is>
      </c>
      <c r="C60" s="3" t="n">
        <v>939956</v>
      </c>
      <c r="D60" s="3" t="n"/>
      <c r="E60" s="3" t="n"/>
      <c r="F60" s="3" t="inlineStr">
        <is>
          <t>hogares</t>
        </is>
      </c>
      <c r="G60" s="3" t="inlineStr">
        <is>
          <t>2022-2025</t>
        </is>
      </c>
      <c r="H60" s="3" t="inlineStr">
        <is>
          <t>España</t>
        </is>
      </c>
      <c r="I60" s="3" t="inlineStr">
        <is>
          <t>INE (censos, ECP, padrón, censo anual)</t>
        </is>
      </c>
      <c r="J60" s="3" t="inlineStr">
        <is>
          <t>C4</t>
        </is>
      </c>
      <c r="K60" s="3" t="inlineStr">
        <is>
          <t>output/v9/F5/hechos.json:V9-D7-ES-2225-dH</t>
        </is>
      </c>
    </row>
    <row r="61">
      <c r="A61" s="3" t="inlineStr">
        <is>
          <t>V9-D7-c1-dif</t>
        </is>
      </c>
      <c r="B61" s="3" t="inlineStr">
        <is>
          <t>Hogares 2021: ECP (1-1-2022) frente a censo 2021 (viviendas principales), diferencia</t>
        </is>
      </c>
      <c r="C61" s="3" t="n">
        <v>1.54</v>
      </c>
      <c r="D61" s="3" t="n"/>
      <c r="E61" s="3" t="n"/>
      <c r="F61" s="3" t="inlineStr">
        <is>
          <t>%</t>
        </is>
      </c>
      <c r="G61" s="3" t="inlineStr">
        <is>
          <t>2021</t>
        </is>
      </c>
      <c r="H61" s="3" t="inlineStr">
        <is>
          <t>España</t>
        </is>
      </c>
      <c r="I61" s="3" t="inlineStr">
        <is>
          <t>INE censo 2021; INE ECP</t>
        </is>
      </c>
      <c r="J61" s="3" t="inlineStr">
        <is>
          <t>C1</t>
        </is>
      </c>
      <c r="K61" s="3" t="inlineStr">
        <is>
          <t>output/v9/F5/hechos.json:V9-D7-c1-dif</t>
        </is>
      </c>
    </row>
    <row r="62">
      <c r="A62" s="3" t="inlineStr">
        <is>
          <t>V9-NC3</t>
        </is>
      </c>
      <c r="B62" s="3" t="inlineStr">
        <is>
          <t>Resultados de V9 que alcanzan C3 o C3s</t>
        </is>
      </c>
      <c r="C62" s="3" t="n">
        <v>0</v>
      </c>
      <c r="D62" s="3" t="n"/>
      <c r="E62" s="3" t="n"/>
      <c r="F62" s="3" t="inlineStr">
        <is>
          <t>efectos</t>
        </is>
      </c>
      <c r="G62" s="3" t="inlineStr">
        <is>
          <t>2026</t>
        </is>
      </c>
      <c r="H62" s="3" t="inlineStr">
        <is>
          <t>D1-D5</t>
        </is>
      </c>
      <c r="I62" s="3" t="inlineStr">
        <is>
          <t>output/v9/f3/tabla_capas.csv</t>
        </is>
      </c>
      <c r="J62" s="3" t="inlineStr">
        <is>
          <t>C4</t>
        </is>
      </c>
      <c r="K62" s="3" t="inlineStr">
        <is>
          <t>output/v9/F5/hechos.json:V9-NC3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valor (enlace)</t>
        </is>
      </c>
      <c r="C1" s="1" t="inlineStr">
        <is>
          <t>amplitud del IC 95 %</t>
        </is>
      </c>
      <c r="D1" s="1" t="inlineStr">
        <is>
          <t>¿el IC excluye el 0?</t>
        </is>
      </c>
    </row>
    <row r="2">
      <c r="A2" s="2" t="inlineStr">
        <is>
          <t>V9-D1a-contratos-att</t>
        </is>
      </c>
      <c r="B2" s="4">
        <f>Entradas!C2</f>
        <v/>
      </c>
      <c r="C2" s="2">
        <f>Entradas!E2-Entradas!D2</f>
        <v/>
      </c>
      <c r="D2" s="2">
        <f>IF(OR(Entradas!D2&gt;0,Entradas!E2&lt;0),"sí","no")</f>
        <v/>
      </c>
    </row>
    <row r="3">
      <c r="A3" s="2" t="inlineStr">
        <is>
          <t>V9-D1a-renta-att</t>
        </is>
      </c>
      <c r="B3" s="4">
        <f>Entradas!C6</f>
        <v/>
      </c>
      <c r="C3" s="2">
        <f>Entradas!E6-Entradas!D6</f>
        <v/>
      </c>
      <c r="D3" s="2">
        <f>IF(OR(Entradas!D6&gt;0,Entradas!E6&lt;0),"sí","no")</f>
        <v/>
      </c>
    </row>
    <row r="4">
      <c r="A4" s="2" t="inlineStr">
        <is>
          <t>V9-D1b-contratos-att</t>
        </is>
      </c>
      <c r="B4" s="4">
        <f>Entradas!C11</f>
        <v/>
      </c>
      <c r="C4" s="2">
        <f>Entradas!E11-Entradas!D11</f>
        <v/>
      </c>
      <c r="D4" s="2">
        <f>IF(OR(Entradas!D11&gt;0,Entradas!E11&lt;0),"sí","no")</f>
        <v/>
      </c>
    </row>
    <row r="5">
      <c r="A5" s="2" t="inlineStr">
        <is>
          <t>V9-D1b-renta-att</t>
        </is>
      </c>
      <c r="B5" s="4">
        <f>Entradas!C15</f>
        <v/>
      </c>
      <c r="C5" s="2">
        <f>Entradas!E15-Entradas!D15</f>
        <v/>
      </c>
      <c r="D5" s="2">
        <f>IF(OR(Entradas!D15&gt;0,Entradas!E15&lt;0),"sí","no")</f>
        <v/>
      </c>
    </row>
    <row r="6">
      <c r="A6" s="2" t="inlineStr">
        <is>
          <t>V9-D1c-renta-att</t>
        </is>
      </c>
      <c r="B6" s="4">
        <f>Entradas!C20</f>
        <v/>
      </c>
      <c r="C6" s="2">
        <f>Entradas!E20-Entradas!D20</f>
        <v/>
      </c>
      <c r="D6" s="2">
        <f>IF(OR(Entradas!D20&gt;0,Entradas!E20&lt;0),"sí","no")</f>
        <v/>
      </c>
    </row>
    <row r="7">
      <c r="A7" s="2" t="inlineStr">
        <is>
          <t>V9-D2-renta-covid</t>
        </is>
      </c>
      <c r="B7" s="4">
        <f>Entradas!C21</f>
        <v/>
      </c>
      <c r="C7" s="2">
        <f>Entradas!E21-Entradas!D21</f>
        <v/>
      </c>
      <c r="D7" s="2">
        <f>IF(OR(Entradas!D21&gt;0,Entradas!E21&lt;0),"sí","no")</f>
        <v/>
      </c>
    </row>
    <row r="8">
      <c r="A8" s="2" t="inlineStr">
        <is>
          <t>V9-D2-renta-reap</t>
        </is>
      </c>
      <c r="B8" s="4">
        <f>Entradas!C23</f>
        <v/>
      </c>
      <c r="C8" s="2">
        <f>Entradas!E23-Entradas!D23</f>
        <v/>
      </c>
      <c r="D8" s="2">
        <f>IF(OR(Entradas!D23&gt;0,Entradas!E23&lt;0),"sí","no")</f>
        <v/>
      </c>
    </row>
    <row r="9">
      <c r="A9" s="2" t="inlineStr">
        <is>
          <t>V9-D3-cuota</t>
        </is>
      </c>
      <c r="B9" s="4">
        <f>Entradas!C24</f>
        <v/>
      </c>
      <c r="C9" s="2">
        <f>Entradas!E24-Entradas!D24</f>
        <v/>
      </c>
      <c r="D9" s="2">
        <f>IF(OR(Entradas!D24&gt;0,Entradas!E24&lt;0),"sí","no")</f>
        <v/>
      </c>
    </row>
    <row r="10">
      <c r="A10" s="2" t="inlineStr">
        <is>
          <t>V9-D3-media</t>
        </is>
      </c>
      <c r="B10" s="4">
        <f>Entradas!C25</f>
        <v/>
      </c>
      <c r="C10" s="2">
        <f>Entradas!E25-Entradas!D25</f>
        <v/>
      </c>
      <c r="D10" s="2">
        <f>IF(OR(Entradas!D25&gt;0,Entradas!E25&lt;0),"sí","no")</f>
        <v/>
      </c>
    </row>
    <row r="11">
      <c r="A11" s="2" t="inlineStr">
        <is>
          <t>V9-D4-ipc-ampliacion</t>
        </is>
      </c>
      <c r="B11" s="4">
        <f>Entradas!C26</f>
        <v/>
      </c>
      <c r="C11" s="2">
        <f>Entradas!E26-Entradas!D26</f>
        <v/>
      </c>
      <c r="D11" s="2">
        <f>IF(OR(Entradas!D26&gt;0,Entradas!E26&lt;0),"sí","no")</f>
        <v/>
      </c>
    </row>
    <row r="12">
      <c r="A12" s="2" t="inlineStr">
        <is>
          <t>V9-D4-ipc-replica</t>
        </is>
      </c>
      <c r="B12" s="4">
        <f>Entradas!C28</f>
        <v/>
      </c>
      <c r="C12" s="2">
        <f>Entradas!E28-Entradas!D28</f>
        <v/>
      </c>
      <c r="D12" s="2">
        <f>IF(OR(Entradas!D28&gt;0,Entradas!E28&lt;0),"sí","no")</f>
        <v/>
      </c>
    </row>
    <row r="13">
      <c r="A13" s="2" t="inlineStr">
        <is>
          <t>V9-D4-tasado-ampliacion</t>
        </is>
      </c>
      <c r="B13" s="4">
        <f>Entradas!C30</f>
        <v/>
      </c>
      <c r="C13" s="2">
        <f>Entradas!E30-Entradas!D30</f>
        <v/>
      </c>
      <c r="D13" s="2">
        <f>IF(OR(Entradas!D30&gt;0,Entradas!E30&lt;0),"sí","no")</f>
        <v/>
      </c>
    </row>
    <row r="14">
      <c r="A14" s="2" t="inlineStr">
        <is>
          <t>V9-D4-tasado-replica</t>
        </is>
      </c>
      <c r="B14" s="4">
        <f>Entradas!C32</f>
        <v/>
      </c>
      <c r="C14" s="2">
        <f>Entradas!E32-Entradas!D32</f>
        <v/>
      </c>
      <c r="D14" s="2">
        <f>IF(OR(Entradas!D32&gt;0,Entradas!E32&lt;0),"sí","no")</f>
        <v/>
      </c>
    </row>
    <row r="15">
      <c r="A15" s="2" t="inlineStr">
        <is>
          <t>V9-D5-alq-h4</t>
        </is>
      </c>
      <c r="B15" s="4">
        <f>Entradas!C34</f>
        <v/>
      </c>
      <c r="C15" s="2">
        <f>Entradas!E34-Entradas!D34</f>
        <v/>
      </c>
      <c r="D15" s="2">
        <f>IF(OR(Entradas!D34&gt;0,Entradas!E34&lt;0),"sí","no")</f>
        <v/>
      </c>
    </row>
    <row r="16">
      <c r="A16" s="2" t="inlineStr">
        <is>
          <t>V9-D5-precio-h4</t>
        </is>
      </c>
      <c r="B16" s="4">
        <f>Entradas!C35</f>
        <v/>
      </c>
      <c r="C16" s="2">
        <f>Entradas!E35-Entradas!D35</f>
        <v/>
      </c>
      <c r="D16" s="2">
        <f>IF(OR(Entradas!D35&gt;0,Entradas!E35&lt;0),"sí","no")</f>
        <v/>
      </c>
    </row>
    <row r="17">
      <c r="A17" s="2" t="inlineStr">
        <is>
          <t>V9-D5-precio-h8</t>
        </is>
      </c>
      <c r="B17" s="4">
        <f>Entradas!C36</f>
        <v/>
      </c>
      <c r="C17" s="2">
        <f>Entradas!E36-Entradas!D36</f>
        <v/>
      </c>
      <c r="D17" s="2">
        <f>IF(OR(Entradas!D36&gt;0,Entradas!E36&lt;0),"sí","no")</f>
        <v/>
      </c>
    </row>
    <row r="19">
      <c r="A19" s="1" t="inlineStr">
        <is>
          <t>Descomposición D7 recalculada (ΔH = h̄·ΔP + P̄·Δh)</t>
        </is>
      </c>
    </row>
    <row r="20">
      <c r="A20" s="1" t="inlineStr">
        <is>
          <t>zona y periodo</t>
        </is>
      </c>
      <c r="B20" s="1" t="inlineStr">
        <is>
          <t>H0</t>
        </is>
      </c>
      <c r="C20" s="1" t="inlineStr">
        <is>
          <t>H1</t>
        </is>
      </c>
      <c r="D20" s="1" t="inlineStr">
        <is>
          <t>P0</t>
        </is>
      </c>
      <c r="E20" s="1" t="inlineStr">
        <is>
          <t>P1</t>
        </is>
      </c>
      <c r="F20" s="1" t="inlineStr">
        <is>
          <t>ΔH</t>
        </is>
      </c>
      <c r="G20" s="1" t="inlineStr">
        <is>
          <t>componente población</t>
        </is>
      </c>
      <c r="H20" s="1" t="inlineStr">
        <is>
          <t>componente jefatura</t>
        </is>
      </c>
      <c r="I20" s="1" t="inlineStr">
        <is>
          <t>% población</t>
        </is>
      </c>
      <c r="J20" s="1" t="inlineStr">
        <is>
          <t>control: % población publicado</t>
        </is>
      </c>
    </row>
    <row r="21">
      <c r="A21" s="2" t="inlineStr">
        <is>
          <t>ES 11-21</t>
        </is>
      </c>
      <c r="B21" s="4">
        <f>Entradas!C49</f>
        <v/>
      </c>
      <c r="C21" s="4">
        <f>Entradas!C50</f>
        <v/>
      </c>
      <c r="D21" s="4">
        <f>Entradas!C51</f>
        <v/>
      </c>
      <c r="E21" s="4">
        <f>Entradas!C52</f>
        <v/>
      </c>
      <c r="F21" s="2">
        <f>C21-B21</f>
        <v/>
      </c>
      <c r="G21" s="2">
        <f>(B21/D21+C21/E21)/2*(E21-D21)</f>
        <v/>
      </c>
      <c r="H21" s="2">
        <f>(D21+E21)/2*(C21/E21-B21/D21)</f>
        <v/>
      </c>
      <c r="I21" s="2">
        <f>100*G21/F21</f>
        <v/>
      </c>
      <c r="J21" s="4">
        <f>Entradas!C53</f>
        <v/>
      </c>
    </row>
    <row r="22">
      <c r="A22" s="2" t="inlineStr">
        <is>
          <t>ES 22-25</t>
        </is>
      </c>
      <c r="B22" s="4">
        <f>Entradas!C55</f>
        <v/>
      </c>
      <c r="C22" s="4">
        <f>Entradas!C56</f>
        <v/>
      </c>
      <c r="D22" s="4">
        <f>Entradas!C57</f>
        <v/>
      </c>
      <c r="E22" s="4">
        <f>Entradas!C58</f>
        <v/>
      </c>
      <c r="F22" s="2">
        <f>C22-B22</f>
        <v/>
      </c>
      <c r="G22" s="2">
        <f>(B22/D22+C22/E22)/2*(E22-D22)</f>
        <v/>
      </c>
      <c r="H22" s="2">
        <f>(D22+E22)/2*(C22/E22-B22/D22)</f>
        <v/>
      </c>
      <c r="I22" s="2">
        <f>100*G22/F22</f>
        <v/>
      </c>
      <c r="J22" s="4">
        <f>Entradas!C59</f>
        <v/>
      </c>
    </row>
    <row r="23">
      <c r="A23" s="2" t="inlineStr">
        <is>
          <t>CV 11-21</t>
        </is>
      </c>
      <c r="B23" s="4">
        <f>Entradas!C37</f>
        <v/>
      </c>
      <c r="C23" s="4">
        <f>Entradas!C38</f>
        <v/>
      </c>
      <c r="D23" s="4">
        <f>Entradas!C39</f>
        <v/>
      </c>
      <c r="E23" s="4">
        <f>Entradas!C40</f>
        <v/>
      </c>
      <c r="F23" s="2">
        <f>C23-B23</f>
        <v/>
      </c>
      <c r="G23" s="2">
        <f>(B23/D23+C23/E23)/2*(E23-D23)</f>
        <v/>
      </c>
      <c r="H23" s="2">
        <f>(D23+E23)/2*(C23/E23-B23/D23)</f>
        <v/>
      </c>
      <c r="I23" s="2">
        <f>100*G23/F23</f>
        <v/>
      </c>
      <c r="J23" s="4">
        <f>Entradas!C41</f>
        <v/>
      </c>
    </row>
    <row r="24">
      <c r="A24" s="2" t="inlineStr">
        <is>
          <t>CV 22-25</t>
        </is>
      </c>
      <c r="B24" s="4">
        <f>Entradas!C43</f>
        <v/>
      </c>
      <c r="C24" s="4">
        <f>Entradas!C44</f>
        <v/>
      </c>
      <c r="D24" s="4">
        <f>Entradas!C45</f>
        <v/>
      </c>
      <c r="E24" s="4">
        <f>Entradas!C46</f>
        <v/>
      </c>
      <c r="F24" s="2">
        <f>C24-B24</f>
        <v/>
      </c>
      <c r="G24" s="2">
        <f>(B24/D24+C24/E24)/2*(E24-D24)</f>
        <v/>
      </c>
      <c r="H24" s="2">
        <f>(D24+E24)/2*(C24/E24-B24/D24)</f>
        <v/>
      </c>
      <c r="I24" s="2">
        <f>100*G24/F24</f>
        <v/>
      </c>
      <c r="J24" s="4">
        <f>Entradas!C47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Afirmación evaluada</t>
        </is>
      </c>
      <c r="B1" s="1" t="inlineStr">
        <is>
          <t>Cifra principal</t>
        </is>
      </c>
      <c r="C1" s="1" t="inlineStr">
        <is>
          <t>Capa</t>
        </is>
      </c>
      <c r="D1" s="1" t="inlineStr">
        <is>
          <t>id</t>
        </is>
      </c>
    </row>
    <row r="2">
      <c r="A2" s="2" t="inlineStr">
        <is>
          <t>Topes Ley 11/2020: renta de contratos nuevos (ATT, %)</t>
        </is>
      </c>
      <c r="B2" s="4">
        <f>Entradas!C15</f>
        <v/>
      </c>
      <c r="C2" s="4">
        <f>Entradas!J15</f>
        <v/>
      </c>
      <c r="D2" s="2" t="inlineStr">
        <is>
          <t>V9-D1b-renta-att</t>
        </is>
      </c>
    </row>
    <row r="3">
      <c r="A3" s="2" t="inlineStr">
        <is>
          <t>Zonas tensionadas Cataluña: renta (ATT, %)</t>
        </is>
      </c>
      <c r="B3" s="4">
        <f>Entradas!C6</f>
        <v/>
      </c>
      <c r="C3" s="4">
        <f>Entradas!J6</f>
        <v/>
      </c>
      <c r="D3" s="2" t="inlineStr">
        <is>
          <t>V9-D1a-renta-att</t>
        </is>
      </c>
    </row>
    <row r="4">
      <c r="A4" s="2" t="inlineStr">
        <is>
          <t>Turísticos × reapertura: renta (% por DE de dosis)</t>
        </is>
      </c>
      <c r="B4" s="4">
        <f>Entradas!C23</f>
        <v/>
      </c>
      <c r="C4" s="4">
        <f>Entradas!J23</f>
        <v/>
      </c>
      <c r="D4" s="2" t="inlineStr">
        <is>
          <t>V9-D2-renta-reap</t>
        </is>
      </c>
    </row>
    <row r="5">
      <c r="A5" s="2" t="inlineStr">
        <is>
          <t>Inmigración: IPC alquiler (% por punto)</t>
        </is>
      </c>
      <c r="B5" s="4">
        <f>Entradas!C28</f>
        <v/>
      </c>
      <c r="C5" s="4">
        <f>Entradas!J28</f>
        <v/>
      </c>
      <c r="D5" s="2" t="inlineStr">
        <is>
          <t>V9-D4-ipc-replica</t>
        </is>
      </c>
    </row>
    <row r="6">
      <c r="A6" s="2" t="inlineStr">
        <is>
          <t>Tipos × tipo variable: precio a 4 trimestres (%)</t>
        </is>
      </c>
      <c r="B6" s="4">
        <f>Entradas!C35</f>
        <v/>
      </c>
      <c r="C6" s="4">
        <f>Entradas!J35</f>
        <v/>
      </c>
      <c r="D6" s="2" t="inlineStr">
        <is>
          <t>V9-D5-precio-h4</t>
        </is>
      </c>
    </row>
    <row r="7">
      <c r="A7" s="2" t="inlineStr">
        <is>
          <t>Hogares 2022-2025: componente población (%)</t>
        </is>
      </c>
      <c r="B7" s="4">
        <f>Entradas!C59</f>
        <v/>
      </c>
      <c r="C7" s="4">
        <f>Entradas!J59</f>
        <v/>
      </c>
      <c r="D7" s="2" t="inlineStr">
        <is>
          <t>V9-D7-ES-2225-cuota-pob</t>
        </is>
      </c>
    </row>
    <row r="8">
      <c r="A8" s="2" t="inlineStr">
        <is>
          <t>Resultados en C3/C3s</t>
        </is>
      </c>
      <c r="B8" s="4">
        <f>Entradas!C62</f>
        <v/>
      </c>
      <c r="C8" s="4">
        <f>Entradas!J62</f>
        <v/>
      </c>
      <c r="D8" s="2" t="inlineStr">
        <is>
          <t>V9-NC3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Borja Romero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</cp:coreProperties>
</file>