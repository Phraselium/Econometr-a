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Cifras" sheetId="2" state="visible" r:id="rId2"/>
    <sheet xmlns:r="http://schemas.openxmlformats.org/officeDocument/2006/relationships" name="Resultados" sheetId="3" state="visible" r:id="rId3"/>
    <sheet xmlns:r="http://schemas.openxmlformats.org/officeDocument/2006/relationships" name="Cap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color rgb="001F4E99"/>
    </font>
    <font>
      <color rgb="00000000"/>
    </font>
    <font>
      <color rgb="001E7B3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Tablas V16 (src/v16/f7_tablas.py; no se edita a mano)</t>
        </is>
      </c>
    </row>
    <row r="2">
      <c r="A2" s="2" t="inlineStr">
        <is>
          <t>AZUL: dato copiado de un fichero del repositorio; la fila 1 de cada hoja da la ruta.</t>
        </is>
      </c>
    </row>
    <row r="3">
      <c r="A3" s="3" t="inlineStr">
        <is>
          <t>NEGRO: fórmula calculada en la hoja.</t>
        </is>
      </c>
    </row>
    <row r="4">
      <c r="A4" s="4" t="inlineStr">
        <is>
          <t>VERDE: vínculo a otra hoja del libro.</t>
        </is>
      </c>
    </row>
    <row r="5">
      <c r="A5" s="3" t="inlineStr">
        <is>
          <t>Todas las cifras de V15 y V16 son C4 salvo las C1 descriptivas; pre-registro interno sin sello de tiempo externo.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Fuente: output/v5/cifras_clave.csv (ids V15-* y V16-*)</t>
        </is>
      </c>
    </row>
    <row r="2">
      <c r="A2" s="1" t="inlineStr">
        <is>
          <t>id</t>
        </is>
      </c>
      <c r="B2" s="1" t="inlineStr">
        <is>
          <t>indicador</t>
        </is>
      </c>
      <c r="C2" s="1" t="inlineStr">
        <is>
          <t>valor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unidad</t>
        </is>
      </c>
      <c r="G2" s="1" t="inlineStr">
        <is>
          <t>periodo</t>
        </is>
      </c>
      <c r="H2" s="1" t="inlineStr">
        <is>
          <t>cobertura</t>
        </is>
      </c>
      <c r="I2" s="1" t="inlineStr">
        <is>
          <t>fuentes</t>
        </is>
      </c>
      <c r="J2" s="1" t="inlineStr">
        <is>
          <t>capa</t>
        </is>
      </c>
      <c r="K2" s="1" t="inlineStr">
        <is>
          <t>fecha_dato</t>
        </is>
      </c>
      <c r="L2" s="1" t="inlineStr">
        <is>
          <t>ficha</t>
        </is>
      </c>
      <c r="M2" s="1" t="inlineStr">
        <is>
          <t>origen</t>
        </is>
      </c>
    </row>
    <row r="3">
      <c r="A3" s="2" t="inlineStr">
        <is>
          <t>V15-E1-semivida</t>
        </is>
      </c>
      <c r="B3" s="2" t="inlineStr">
        <is>
          <t>Semivida mediana del desajuste en MG y PMG sin coste de uso (años; puntual; el CS-ARDL se descarta como cifra: cobertura de la velocidad 0,003 en el Monte Carlo)</t>
        </is>
      </c>
      <c r="C3" s="2" t="n">
        <v>3.97</v>
      </c>
      <c r="D3" s="2" t="n">
        <v>3.55</v>
      </c>
      <c r="E3" s="2" t="n">
        <v>4.16</v>
      </c>
      <c r="F3" s="2" t="inlineStr">
        <is>
          <t>años</t>
        </is>
      </c>
      <c r="G3" s="2" t="inlineStr">
        <is>
          <t>2002T1-2026T2</t>
        </is>
      </c>
      <c r="H3" s="2" t="inlineStr">
        <is>
          <t>38 provincias</t>
        </is>
      </c>
      <c r="I3" s="2" t="inlineStr">
        <is>
          <t>MIVAU; INE</t>
        </is>
      </c>
      <c r="J3" s="2" t="inlineStr">
        <is>
          <t>C4</t>
        </is>
      </c>
      <c r="K3" s="2" t="inlineStr">
        <is>
          <t>2026-10-17</t>
        </is>
      </c>
      <c r="L3" s="2" t="inlineStr">
        <is>
          <t>output/v15/p2/informe.md#semivida</t>
        </is>
      </c>
      <c r="M3" s="2" t="inlineStr">
        <is>
          <t>output/v15/p2/hechos.json:V15-E1-semivida</t>
        </is>
      </c>
    </row>
    <row r="4">
      <c r="A4" s="2" t="inlineStr">
        <is>
          <t>V15-E1-theta</t>
        </is>
      </c>
      <c r="B4" s="2" t="inlineStr">
        <is>
          <t>Elasticidad de largo plazo precio-alquiler (CS-ARDL, media de provincias; puntual)</t>
        </is>
      </c>
      <c r="C4" s="2" t="n">
        <v>0.64</v>
      </c>
      <c r="D4" s="2" t="n">
        <v>-3.421</v>
      </c>
      <c r="E4" s="2" t="n">
        <v>10.175</v>
      </c>
      <c r="F4" s="2" t="inlineStr">
        <is>
          <t>elasticidad</t>
        </is>
      </c>
      <c r="G4" s="2" t="inlineStr">
        <is>
          <t>2002T1-2026T2</t>
        </is>
      </c>
      <c r="H4" s="2" t="inlineStr">
        <is>
          <t>38 provincias de entrenamiento</t>
        </is>
      </c>
      <c r="I4" s="2" t="inlineStr">
        <is>
          <t>MIVAU valor tasado; INE IPC alquiler</t>
        </is>
      </c>
      <c r="J4" s="2" t="inlineStr">
        <is>
          <t>C4</t>
        </is>
      </c>
      <c r="K4" s="2" t="inlineStr">
        <is>
          <t>2026-10-17</t>
        </is>
      </c>
      <c r="L4" s="2" t="inlineStr">
        <is>
          <t>output/v15/p2/informe.md#theta</t>
        </is>
      </c>
      <c r="M4" s="2" t="inlineStr">
        <is>
          <t>output/v15/p2/hechos.json:V15-E1-theta</t>
        </is>
      </c>
    </row>
    <row r="5">
      <c r="A5" s="2" t="inlineStr">
        <is>
          <t>V15-E2-pearson</t>
        </is>
      </c>
      <c r="B5" s="2" t="inlineStr">
        <is>
          <t>Correlación (Pearson) entre exceso de presión (hogares − terminadas) y Δlog SERPAVI, provincias 2018-2024</t>
        </is>
      </c>
      <c r="C5" s="2" t="n">
        <v>0.743</v>
      </c>
      <c r="D5" s="2" t="n">
        <v>0.254</v>
      </c>
      <c r="E5" s="2" t="n">
        <v>0.77</v>
      </c>
      <c r="F5" s="2" t="inlineStr">
        <is>
          <t>r</t>
        </is>
      </c>
      <c r="G5" s="2" t="inlineStr">
        <is>
          <t>2018-2024</t>
        </is>
      </c>
      <c r="H5" s="2" t="inlineStr">
        <is>
          <t>35 provincias</t>
        </is>
      </c>
      <c r="I5" s="2" t="inlineStr">
        <is>
          <t>INE; MIVAU; Catastro</t>
        </is>
      </c>
      <c r="J5" s="2" t="inlineStr">
        <is>
          <t>C4</t>
        </is>
      </c>
      <c r="K5" s="2" t="inlineStr">
        <is>
          <t>2026-10-17</t>
        </is>
      </c>
      <c r="L5" s="2" t="inlineStr">
        <is>
          <t>output/v15/p7/informe.md#pearson</t>
        </is>
      </c>
      <c r="M5" s="2" t="inlineStr">
        <is>
          <t>output/v15/p7/hechos.json:V15-E2-pearson</t>
        </is>
      </c>
    </row>
    <row r="6">
      <c r="A6" s="2" t="inlineStr">
        <is>
          <t>V15-E3-rho</t>
        </is>
      </c>
      <c r="B6" s="2" t="inlineStr">
        <is>
          <t>Parámetro autorregresivo espacial ρ (SAR, contigüidad, Δlog SERPAVI VC 2015-2024)</t>
        </is>
      </c>
      <c r="C6" s="2" t="n">
        <v>0.393</v>
      </c>
      <c r="D6" s="2" t="n">
        <v>0.244</v>
      </c>
      <c r="E6" s="2" t="n">
        <v>0.639</v>
      </c>
      <c r="F6" s="2" t="inlineStr">
        <is>
          <t>ρ</t>
        </is>
      </c>
      <c r="G6" s="2" t="inlineStr">
        <is>
          <t>2015-2024</t>
        </is>
      </c>
      <c r="H6" s="2" t="inlineStr">
        <is>
          <t>1124 municipios</t>
        </is>
      </c>
      <c r="I6" s="2" t="inlineStr">
        <is>
          <t>MIVAU SERPAVI</t>
        </is>
      </c>
      <c r="J6" s="2" t="inlineStr">
        <is>
          <t>C4</t>
        </is>
      </c>
      <c r="K6" s="2" t="inlineStr">
        <is>
          <t>2026-10-17</t>
        </is>
      </c>
      <c r="L6" s="2" t="inlineStr">
        <is>
          <t>output/v15/p10/informe.md#rho</t>
        </is>
      </c>
      <c r="M6" s="2" t="inlineStr">
        <is>
          <t>output/v15/p10/hechos.json:V15-E3-rho</t>
        </is>
      </c>
    </row>
    <row r="7">
      <c r="A7" s="2" t="inlineStr">
        <is>
          <t>V15-E4-cat-post</t>
        </is>
      </c>
      <c r="B7" s="2" t="inlineStr">
        <is>
          <t>E4: media de los coeficientes dosis × año 2018-2024, renta Incasòl y HUT IDESCAT (min/max = IDESCAT n y plazas; puntual)</t>
        </is>
      </c>
      <c r="C7" s="2" t="n">
        <v>0.707</v>
      </c>
      <c r="D7" s="2" t="n">
        <v>0.6879999999999999</v>
      </c>
      <c r="E7" s="2" t="n">
        <v>0.707</v>
      </c>
      <c r="F7" s="2" t="inlineStr">
        <is>
          <t>% por DT de dosis</t>
        </is>
      </c>
      <c r="G7" s="2" t="inlineStr">
        <is>
          <t>2018-2024</t>
        </is>
      </c>
      <c r="H7" s="2" t="inlineStr">
        <is>
          <t>municipios con panel equilibrado 2015-2024</t>
        </is>
      </c>
      <c r="I7" s="2" t="inlineStr">
        <is>
          <t>IDESCAT turall; Incasòl</t>
        </is>
      </c>
      <c r="J7" s="2" t="inlineStr">
        <is>
          <t>C4</t>
        </is>
      </c>
      <c r="K7" s="2" t="inlineStr">
        <is>
          <t>2026-10-17</t>
        </is>
      </c>
      <c r="L7" s="2" t="inlineStr">
        <is>
          <t>output/v15/p5cv/informe.md#ficha-e4-cat</t>
        </is>
      </c>
      <c r="M7" s="2" t="inlineStr">
        <is>
          <t>output/v15/p5cv/hechos.json:V15-E4-cat-post</t>
        </is>
      </c>
    </row>
    <row r="8">
      <c r="A8" s="2" t="inlineStr">
        <is>
          <t>V15-E4-cat-pre</t>
        </is>
      </c>
      <c r="B8" s="2" t="inlineStr">
        <is>
          <t>E4: mayor |coeficiente previo| (2015, 2016) en Cataluña, IDESCAT n</t>
        </is>
      </c>
      <c r="C8" s="2" t="n">
        <v>0.754</v>
      </c>
      <c r="D8" s="2" t="n"/>
      <c r="E8" s="2" t="n"/>
      <c r="F8" s="2" t="inlineStr">
        <is>
          <t>% por DT de dosis</t>
        </is>
      </c>
      <c r="G8" s="2" t="inlineStr">
        <is>
          <t>2015-2016</t>
        </is>
      </c>
      <c r="H8" s="2" t="inlineStr">
        <is>
          <t>municipios con panel equilibrado 2015-2024</t>
        </is>
      </c>
      <c r="I8" s="2" t="inlineStr">
        <is>
          <t>IDESCAT turall; Incasòl</t>
        </is>
      </c>
      <c r="J8" s="2" t="inlineStr">
        <is>
          <t>C4</t>
        </is>
      </c>
      <c r="K8" s="2" t="inlineStr">
        <is>
          <t>2026-10-17</t>
        </is>
      </c>
      <c r="L8" s="2" t="inlineStr">
        <is>
          <t>output/v15/p5cv/informe.md#ficha-e4-pre</t>
        </is>
      </c>
      <c r="M8" s="2" t="inlineStr">
        <is>
          <t>output/v15/p5cv/hechos.json:V15-E4-cat-pre</t>
        </is>
      </c>
    </row>
    <row r="9">
      <c r="A9" s="2" t="inlineStr">
        <is>
          <t>V15-E4-compat</t>
        </is>
      </c>
      <c r="B9" s="2" t="inlineStr">
        <is>
          <t>E4: especificaciones compatibles con la regla puntual de pretendencias, sobre el total</t>
        </is>
      </c>
      <c r="C9" s="2" t="n">
        <v>6</v>
      </c>
      <c r="D9" s="2" t="n">
        <v>0</v>
      </c>
      <c r="E9" s="2" t="n">
        <v>16</v>
      </c>
      <c r="F9" s="2" t="inlineStr">
        <is>
          <t>especificaciones</t>
        </is>
      </c>
      <c r="G9" s="2" t="inlineStr">
        <is>
          <t>2015-2024</t>
        </is>
      </c>
      <c r="H9" s="2" t="inlineStr">
        <is>
          <t>municipios con panel equilibrado 2015-2024</t>
        </is>
      </c>
      <c r="I9" s="2" t="inlineStr">
        <is>
          <t>IDESCAT turall; Incasòl</t>
        </is>
      </c>
      <c r="J9" s="2" t="inlineStr">
        <is>
          <t>C4</t>
        </is>
      </c>
      <c r="K9" s="2" t="inlineStr">
        <is>
          <t>2026-10-17</t>
        </is>
      </c>
      <c r="L9" s="2" t="inlineStr">
        <is>
          <t>output/v15/p5cv/informe.md#ficha-e4-resumen</t>
        </is>
      </c>
      <c r="M9" s="2" t="inlineStr">
        <is>
          <t>output/v15/p5cv/hechos.json:V15-E4-compat</t>
        </is>
      </c>
    </row>
    <row r="10">
      <c r="A10" s="2" t="inlineStr">
        <is>
          <t>V15-E4-cv-post</t>
        </is>
      </c>
      <c r="B10" s="2" t="inlineStr">
        <is>
          <t>E4: media de los coeficientes dosis × año 2018-2024, SERPAVI VC y registro GVA reconstruido, fechado base (C4; min/max = VC y VU en los 3 fechados)</t>
        </is>
      </c>
      <c r="C10" s="2" t="n">
        <v>0.166</v>
      </c>
      <c r="D10" s="2" t="n">
        <v>-0.504</v>
      </c>
      <c r="E10" s="2" t="n">
        <v>0.324</v>
      </c>
      <c r="F10" s="2" t="inlineStr">
        <is>
          <t>% por DT de dosis</t>
        </is>
      </c>
      <c r="G10" s="2" t="inlineStr">
        <is>
          <t>2018-2024</t>
        </is>
      </c>
      <c r="H10" s="2" t="inlineStr">
        <is>
          <t>municipios de Alicante, Castellón y València con panel equilibrado</t>
        </is>
      </c>
      <c r="I10" s="2" t="inlineStr">
        <is>
          <t>GVA registro de turismo (reconstruido); MIVAU SERPAVI</t>
        </is>
      </c>
      <c r="J10" s="2" t="inlineStr">
        <is>
          <t>C4</t>
        </is>
      </c>
      <c r="K10" s="2" t="inlineStr">
        <is>
          <t>2026-10-17</t>
        </is>
      </c>
      <c r="L10" s="2" t="inlineStr">
        <is>
          <t>output/v15/p5cv/informe.md#ficha-e4-cv</t>
        </is>
      </c>
      <c r="M10" s="2" t="inlineStr">
        <is>
          <t>output/v15/p5cv/hechos.json:V15-E4-cv-post</t>
        </is>
      </c>
    </row>
    <row r="11">
      <c r="A11" s="2" t="inlineStr">
        <is>
          <t>V15-H1-cs-att</t>
        </is>
      </c>
      <c r="B11" s="2" t="inlineStr">
        <is>
          <t>H1: asociación de la zona tensionada con renta media de los contratos nuevos (log), CS puntual (rango = mínimo y máximo de las especificaciones CS del multiverso; no es IC)</t>
        </is>
      </c>
      <c r="C11" s="2" t="n">
        <v>-7.18</v>
      </c>
      <c r="D11" s="2" t="n">
        <v>-8.94</v>
      </c>
      <c r="E11" s="2" t="n">
        <v>-3.36</v>
      </c>
      <c r="F11" s="2" t="inlineStr">
        <is>
          <t>%</t>
        </is>
      </c>
      <c r="G11" s="2" t="inlineStr">
        <is>
          <t>2024T2-2026T1</t>
        </is>
      </c>
      <c r="H11" s="2" t="inlineStr">
        <is>
          <t>Cataluña, municipios con ≥ 5 contratos en 2022T2-2023T4</t>
        </is>
      </c>
      <c r="I11" s="2" t="inlineStr">
        <is>
          <t>Incasòl</t>
        </is>
      </c>
      <c r="J11" s="2" t="inlineStr">
        <is>
          <t>C4</t>
        </is>
      </c>
      <c r="K11" s="2" t="inlineStr">
        <is>
          <t>2026-10-17</t>
        </is>
      </c>
      <c r="L11" s="2" t="inlineStr">
        <is>
          <t>output/v15/p6/informe.md#ficha-h1-cs</t>
        </is>
      </c>
      <c r="M11" s="2" t="inlineStr">
        <is>
          <t>output/v15/p6/hechos.json:V15-H1-cs-att</t>
        </is>
      </c>
    </row>
    <row r="12">
      <c r="A12" s="2" t="inlineStr">
        <is>
          <t>V15-H1-lee</t>
        </is>
      </c>
      <c r="B12" s="2" t="inlineStr">
        <is>
          <t>H1: cotas de Lee de la variación de la renta (valor = sin recorte; min/max = cotas)</t>
        </is>
      </c>
      <c r="C12" s="2" t="n">
        <v>-5.11</v>
      </c>
      <c r="D12" s="2" t="n">
        <v>-9.82</v>
      </c>
      <c r="E12" s="2" t="n">
        <v>-0.01</v>
      </c>
      <c r="F12" s="2" t="inlineStr">
        <is>
          <t>puntos log·100</t>
        </is>
      </c>
      <c r="G12" s="2" t="inlineStr">
        <is>
          <t>2024T2-2026T1</t>
        </is>
      </c>
      <c r="H12" s="2" t="inlineStr">
        <is>
          <t>Cataluña, municipios con ≥ 5 contratos en 2022T2-2023T4</t>
        </is>
      </c>
      <c r="I12" s="2" t="inlineStr">
        <is>
          <t>Incasòl</t>
        </is>
      </c>
      <c r="J12" s="2" t="inlineStr">
        <is>
          <t>C4</t>
        </is>
      </c>
      <c r="K12" s="2" t="inlineStr">
        <is>
          <t>2026-10-17</t>
        </is>
      </c>
      <c r="L12" s="2" t="inlineStr">
        <is>
          <t>output/v15/p6/informe.md#ficha-h1-lee</t>
        </is>
      </c>
      <c r="M12" s="2" t="inlineStr">
        <is>
          <t>output/v15/p6/hechos.json:V15-H1-lee</t>
        </is>
      </c>
    </row>
    <row r="13">
      <c r="A13" s="2" t="inlineStr">
        <is>
          <t>V15-H1-placebo-cs</t>
        </is>
      </c>
      <c r="B13" s="2" t="inlineStr">
        <is>
          <t>H1: placebo temporal 2023T2 (CS), puntual</t>
        </is>
      </c>
      <c r="C13" s="2" t="n">
        <v>7.72</v>
      </c>
      <c r="D13" s="2" t="n"/>
      <c r="E13" s="2" t="n"/>
      <c r="F13" s="2" t="inlineStr">
        <is>
          <t>%</t>
        </is>
      </c>
      <c r="G13" s="2" t="inlineStr">
        <is>
          <t>2023T2-2023T4</t>
        </is>
      </c>
      <c r="H13" s="2" t="inlineStr">
        <is>
          <t>Cataluña, municipios con ≥ 5 contratos en 2022T2-2023T4</t>
        </is>
      </c>
      <c r="I13" s="2" t="inlineStr">
        <is>
          <t>Incasòl</t>
        </is>
      </c>
      <c r="J13" s="2" t="inlineStr">
        <is>
          <t>C4</t>
        </is>
      </c>
      <c r="K13" s="2" t="inlineStr">
        <is>
          <t>2026-10-17</t>
        </is>
      </c>
      <c r="L13" s="2" t="inlineStr">
        <is>
          <t>output/v15/p6/informe.md#ficha-h1-placebo</t>
        </is>
      </c>
      <c r="M13" s="2" t="inlineStr">
        <is>
          <t>output/v15/p6/hechos.json:V15-H1-placebo-cs</t>
        </is>
      </c>
    </row>
    <row r="14">
      <c r="A14" s="2" t="inlineStr">
        <is>
          <t>V15-H1-sdid-att</t>
        </is>
      </c>
      <c r="B14" s="2" t="inlineStr">
        <is>
          <t>H1: ídem, SDID puntual (rango = especificaciones SDID estimables; no es IC)</t>
        </is>
      </c>
      <c r="C14" s="2" t="n">
        <v>-3.64</v>
      </c>
      <c r="D14" s="2" t="n">
        <v>-4.86</v>
      </c>
      <c r="E14" s="2" t="n">
        <v>-2.83</v>
      </c>
      <c r="F14" s="2" t="inlineStr">
        <is>
          <t>%</t>
        </is>
      </c>
      <c r="G14" s="2" t="inlineStr">
        <is>
          <t>2024T2-2026T1</t>
        </is>
      </c>
      <c r="H14" s="2" t="inlineStr">
        <is>
          <t>Cataluña, municipios con ≥ 5 contratos en 2022T2-2023T4</t>
        </is>
      </c>
      <c r="I14" s="2" t="inlineStr">
        <is>
          <t>Incasòl</t>
        </is>
      </c>
      <c r="J14" s="2" t="inlineStr">
        <is>
          <t>C4</t>
        </is>
      </c>
      <c r="K14" s="2" t="inlineStr">
        <is>
          <t>2026-10-17</t>
        </is>
      </c>
      <c r="L14" s="2" t="inlineStr">
        <is>
          <t>output/v15/p6/informe.md#ficha-h1-sdid</t>
        </is>
      </c>
      <c r="M14" s="2" t="inlineStr">
        <is>
          <t>output/v15/p6/hechos.json:V15-H1-sdid-att</t>
        </is>
      </c>
    </row>
    <row r="15">
      <c r="A15" s="2" t="inlineStr">
        <is>
          <t>V15-H2-cs-att</t>
        </is>
      </c>
      <c r="B15" s="2" t="inlineStr">
        <is>
          <t>H2: asociación de la zona tensionada con número de contratos nuevos, CS puntual (rango = mínimo y máximo de las especificaciones CS del multiverso; no es IC)</t>
        </is>
      </c>
      <c r="C15" s="2" t="n">
        <v>-4.22</v>
      </c>
      <c r="D15" s="2" t="n">
        <v>-32.68</v>
      </c>
      <c r="E15" s="2" t="n">
        <v>3.14</v>
      </c>
      <c r="F15" s="2" t="inlineStr">
        <is>
          <t>%</t>
        </is>
      </c>
      <c r="G15" s="2" t="inlineStr">
        <is>
          <t>2024T2-2026T1</t>
        </is>
      </c>
      <c r="H15" s="2" t="inlineStr">
        <is>
          <t>Cataluña, municipios con ≥ 5 contratos en 2022T2-2023T4</t>
        </is>
      </c>
      <c r="I15" s="2" t="inlineStr">
        <is>
          <t>Incasòl</t>
        </is>
      </c>
      <c r="J15" s="2" t="inlineStr">
        <is>
          <t>C4</t>
        </is>
      </c>
      <c r="K15" s="2" t="inlineStr">
        <is>
          <t>2026-10-17</t>
        </is>
      </c>
      <c r="L15" s="2" t="inlineStr">
        <is>
          <t>output/v15/p6/informe.md#ficha-h2-cs</t>
        </is>
      </c>
      <c r="M15" s="2" t="inlineStr">
        <is>
          <t>output/v15/p6/hechos.json:V15-H2-cs-att</t>
        </is>
      </c>
    </row>
    <row r="16">
      <c r="A16" s="2" t="inlineStr">
        <is>
          <t>V15-H2-placebo-cs</t>
        </is>
      </c>
      <c r="B16" s="2" t="inlineStr">
        <is>
          <t>H2: placebo temporal 2023T2 (CS), puntual</t>
        </is>
      </c>
      <c r="C16" s="2" t="n">
        <v>-5.53</v>
      </c>
      <c r="D16" s="2" t="n"/>
      <c r="E16" s="2" t="n"/>
      <c r="F16" s="2" t="inlineStr">
        <is>
          <t>%</t>
        </is>
      </c>
      <c r="G16" s="2" t="inlineStr">
        <is>
          <t>2023T2-2023T4</t>
        </is>
      </c>
      <c r="H16" s="2" t="inlineStr">
        <is>
          <t>Cataluña, municipios con ≥ 5 contratos en 2022T2-2023T4</t>
        </is>
      </c>
      <c r="I16" s="2" t="inlineStr">
        <is>
          <t>Incasòl</t>
        </is>
      </c>
      <c r="J16" s="2" t="inlineStr">
        <is>
          <t>C4</t>
        </is>
      </c>
      <c r="K16" s="2" t="inlineStr">
        <is>
          <t>2026-10-17</t>
        </is>
      </c>
      <c r="L16" s="2" t="inlineStr">
        <is>
          <t>output/v15/p6/informe.md#ficha-h2-placebo</t>
        </is>
      </c>
      <c r="M16" s="2" t="inlineStr">
        <is>
          <t>output/v15/p6/hechos.json:V15-H2-placebo-cs</t>
        </is>
      </c>
    </row>
    <row r="17">
      <c r="A17" s="2" t="inlineStr">
        <is>
          <t>V15-H2-ppml</t>
        </is>
      </c>
      <c r="B17" s="2" t="inlineStr">
        <is>
          <t>H2: asociación con el número de contratos nuevos, PPML con efectos de municipio y trimestre (puntual)</t>
        </is>
      </c>
      <c r="C17" s="2" t="n">
        <v>-9.949999999999999</v>
      </c>
      <c r="D17" s="2" t="n">
        <v>-16.07</v>
      </c>
      <c r="E17" s="2" t="n">
        <v>-0.27</v>
      </c>
      <c r="F17" s="2" t="inlineStr">
        <is>
          <t>%</t>
        </is>
      </c>
      <c r="G17" s="2" t="inlineStr">
        <is>
          <t>2024T2-2026T1</t>
        </is>
      </c>
      <c r="H17" s="2" t="inlineStr">
        <is>
          <t>Cataluña, municipios con ≥ 5 contratos en 2022T2-2023T4</t>
        </is>
      </c>
      <c r="I17" s="2" t="inlineStr">
        <is>
          <t>Incasòl</t>
        </is>
      </c>
      <c r="J17" s="2" t="inlineStr">
        <is>
          <t>C4</t>
        </is>
      </c>
      <c r="K17" s="2" t="inlineStr">
        <is>
          <t>2026-10-17</t>
        </is>
      </c>
      <c r="L17" s="2" t="inlineStr">
        <is>
          <t>output/v15/p6/informe.md#ficha-h2-ppml</t>
        </is>
      </c>
      <c r="M17" s="2" t="inlineStr">
        <is>
          <t>output/v15/p6/hechos.json:V15-H2-ppml</t>
        </is>
      </c>
    </row>
    <row r="18">
      <c r="A18" s="2" t="inlineStr">
        <is>
          <t>V15-H2-sdid-att</t>
        </is>
      </c>
      <c r="B18" s="2" t="inlineStr">
        <is>
          <t>H2: ídem, SDID puntual (rango = especificaciones SDID estimables; no es IC)</t>
        </is>
      </c>
      <c r="C18" s="2" t="n">
        <v>-14.16</v>
      </c>
      <c r="D18" s="2" t="n">
        <v>-34.8</v>
      </c>
      <c r="E18" s="2" t="n">
        <v>-10.35</v>
      </c>
      <c r="F18" s="2" t="inlineStr">
        <is>
          <t>%</t>
        </is>
      </c>
      <c r="G18" s="2" t="inlineStr">
        <is>
          <t>2024T2-2026T1</t>
        </is>
      </c>
      <c r="H18" s="2" t="inlineStr">
        <is>
          <t>Cataluña, municipios con ≥ 5 contratos en 2022T2-2023T4</t>
        </is>
      </c>
      <c r="I18" s="2" t="inlineStr">
        <is>
          <t>Incasòl</t>
        </is>
      </c>
      <c r="J18" s="2" t="inlineStr">
        <is>
          <t>C4</t>
        </is>
      </c>
      <c r="K18" s="2" t="inlineStr">
        <is>
          <t>2026-10-17</t>
        </is>
      </c>
      <c r="L18" s="2" t="inlineStr">
        <is>
          <t>output/v15/p6/informe.md#ficha-h2-sdid</t>
        </is>
      </c>
      <c r="M18" s="2" t="inlineStr">
        <is>
          <t>output/v15/p6/hechos.json:V15-H2-sdid-att</t>
        </is>
      </c>
    </row>
    <row r="19">
      <c r="A19" s="2" t="inlineStr">
        <is>
          <t>V15-H3-beta</t>
        </is>
      </c>
      <c r="B19" s="2" t="inlineStr">
        <is>
          <t>H3: variación del alquiler SERPAVI VC (stock) por 1 DT intra-sección del porcentaje de viviendas turísticas (estimación puntual; sin IC válido, K16)</t>
        </is>
      </c>
      <c r="C19" s="2" t="n">
        <v>0.002989</v>
      </c>
      <c r="D19" s="2" t="n"/>
      <c r="E19" s="2" t="n"/>
      <c r="F19" s="2" t="inlineStr">
        <is>
          <t>% por DT</t>
        </is>
      </c>
      <c r="G19" s="2" t="inlineStr">
        <is>
          <t>2021-2024</t>
        </is>
      </c>
      <c r="H19" s="2" t="inlineStr">
        <is>
          <t>secciones con alquiler SERPAVI VC y código estable; entrenamiento</t>
        </is>
      </c>
      <c r="I19" s="2" t="inlineStr">
        <is>
          <t>INE (viviendas turísticas, experimental); MIVAU SERPAVI</t>
        </is>
      </c>
      <c r="J19" s="2" t="inlineStr">
        <is>
          <t>C4</t>
        </is>
      </c>
      <c r="K19" s="2" t="inlineStr">
        <is>
          <t>2026-10-17</t>
        </is>
      </c>
      <c r="L19" s="2" t="inlineStr">
        <is>
          <t>output/v15/p5/informe.md#ficha-h3-principal</t>
        </is>
      </c>
      <c r="M19" s="2" t="inlineStr">
        <is>
          <t>output/v15/p5/hechos.json:V15-H3-beta</t>
        </is>
      </c>
    </row>
    <row r="20">
      <c r="A20" s="2" t="inlineStr">
        <is>
          <t>V15-H3-ipva</t>
        </is>
      </c>
      <c r="B20" s="2" t="inlineStr">
        <is>
          <t>H3: coeficiente con el IPVA por distrito como resultado (efectos de municipio × año; EE agrupado, descriptivo)</t>
        </is>
      </c>
      <c r="C20" s="2" t="n">
        <v>0.1293</v>
      </c>
      <c r="D20" s="2" t="n"/>
      <c r="E20" s="2" t="n"/>
      <c r="F20" s="2" t="inlineStr">
        <is>
          <t>% por DT</t>
        </is>
      </c>
      <c r="G20" s="2" t="inlineStr">
        <is>
          <t>2021-2024</t>
        </is>
      </c>
      <c r="H20" s="2" t="inlineStr">
        <is>
          <t>secciones con alquiler SERPAVI VC y código estable; entrenamiento</t>
        </is>
      </c>
      <c r="I20" s="2" t="inlineStr">
        <is>
          <t>INE (viviendas turísticas, experimental); MIVAU SERPAVI</t>
        </is>
      </c>
      <c r="J20" s="2" t="inlineStr">
        <is>
          <t>C4</t>
        </is>
      </c>
      <c r="K20" s="2" t="inlineStr">
        <is>
          <t>2026-10-17</t>
        </is>
      </c>
      <c r="L20" s="2" t="inlineStr">
        <is>
          <t>output/v15/p5/informe.md#ficha-h3-ipva</t>
        </is>
      </c>
      <c r="M20" s="2" t="inlineStr">
        <is>
          <t>output/v15/p5/hechos.json:V15-H3-ipva</t>
        </is>
      </c>
    </row>
    <row r="21">
      <c r="A21" s="2" t="inlineStr">
        <is>
          <t>V15-H3-mde</t>
        </is>
      </c>
      <c r="B21" s="2" t="inlineStr">
        <is>
          <t>H3: efecto mínimo detectable con 80 % de potencia (2,8 × EE de Conley; referencia, EE no validado tras K16)</t>
        </is>
      </c>
      <c r="C21" s="2" t="n">
        <v>0.09719999999999999</v>
      </c>
      <c r="D21" s="2" t="n"/>
      <c r="E21" s="2" t="n"/>
      <c r="F21" s="2" t="inlineStr">
        <is>
          <t>% por DT</t>
        </is>
      </c>
      <c r="G21" s="2" t="inlineStr">
        <is>
          <t>2021-2024</t>
        </is>
      </c>
      <c r="H21" s="2" t="inlineStr">
        <is>
          <t>secciones con alquiler SERPAVI VC y código estable; entrenamiento</t>
        </is>
      </c>
      <c r="I21" s="2" t="inlineStr">
        <is>
          <t>INE (viviendas turísticas, experimental); MIVAU SERPAVI</t>
        </is>
      </c>
      <c r="J21" s="2" t="inlineStr">
        <is>
          <t>C4</t>
        </is>
      </c>
      <c r="K21" s="2" t="inlineStr">
        <is>
          <t>2026-10-17</t>
        </is>
      </c>
      <c r="L21" s="2" t="inlineStr">
        <is>
          <t>output/v15/p5/informe.md#ficha-h3-mde</t>
        </is>
      </c>
      <c r="M21" s="2" t="inlineStr">
        <is>
          <t>output/v15/p5/hechos.json:V15-H3-mde</t>
        </is>
      </c>
    </row>
    <row r="22">
      <c r="A22" s="2" t="inlineStr">
        <is>
          <t>V15-H3-n</t>
        </is>
      </c>
      <c r="B22" s="2" t="inlineStr">
        <is>
          <t>H3: secciones del panel principal</t>
        </is>
      </c>
      <c r="C22" s="2" t="n">
        <v>12976</v>
      </c>
      <c r="D22" s="2" t="n"/>
      <c r="E22" s="2" t="n"/>
      <c r="F22" s="2" t="inlineStr">
        <is>
          <t>secciones</t>
        </is>
      </c>
      <c r="G22" s="2" t="inlineStr">
        <is>
          <t>2021-2024</t>
        </is>
      </c>
      <c r="H22" s="2" t="inlineStr">
        <is>
          <t>secciones con alquiler SERPAVI VC y código estable; entrenamiento</t>
        </is>
      </c>
      <c r="I22" s="2" t="inlineStr">
        <is>
          <t>INE (viviendas turísticas, experimental); MIVAU SERPAVI</t>
        </is>
      </c>
      <c r="J22" s="2" t="inlineStr">
        <is>
          <t>C4</t>
        </is>
      </c>
      <c r="K22" s="2" t="inlineStr">
        <is>
          <t>2026-10-17</t>
        </is>
      </c>
      <c r="L22" s="2" t="inlineStr">
        <is>
          <t>output/v15/p5/informe.md#ficha-h3-n</t>
        </is>
      </c>
      <c r="M22" s="2" t="inlineStr">
        <is>
          <t>output/v15/p5/hechos.json:V15-H3-n</t>
        </is>
      </c>
    </row>
    <row r="23">
      <c r="A23" s="2" t="inlineStr">
        <is>
          <t>V15-H3-placebo</t>
        </is>
      </c>
      <c r="B23" s="2" t="inlineStr">
        <is>
          <t>H3: coeficiente del placebo de adelanto (exposición en t+1)</t>
        </is>
      </c>
      <c r="C23" s="2" t="n">
        <v>-0.0057</v>
      </c>
      <c r="D23" s="2" t="n"/>
      <c r="E23" s="2" t="n"/>
      <c r="F23" s="2" t="inlineStr">
        <is>
          <t>% por DT</t>
        </is>
      </c>
      <c r="G23" s="2" t="inlineStr">
        <is>
          <t>2021-2024</t>
        </is>
      </c>
      <c r="H23" s="2" t="inlineStr">
        <is>
          <t>secciones con alquiler SERPAVI VC y código estable; entrenamiento</t>
        </is>
      </c>
      <c r="I23" s="2" t="inlineStr">
        <is>
          <t>INE (viviendas turísticas, experimental); MIVAU SERPAVI</t>
        </is>
      </c>
      <c r="J23" s="2" t="inlineStr">
        <is>
          <t>C4</t>
        </is>
      </c>
      <c r="K23" s="2" t="inlineStr">
        <is>
          <t>2026-10-17</t>
        </is>
      </c>
      <c r="L23" s="2" t="inlineStr">
        <is>
          <t>output/v15/p5/informe.md#ficha-h3-placebo</t>
        </is>
      </c>
      <c r="M23" s="2" t="inlineStr">
        <is>
          <t>output/v15/p5/hechos.json:V15-H3-placebo</t>
        </is>
      </c>
    </row>
    <row r="24">
      <c r="A24" s="2" t="inlineStr">
        <is>
          <t>V15-H3-rango</t>
        </is>
      </c>
      <c r="B24" s="2" t="inlineStr">
        <is>
          <t>H3: mediana de los coeficientes del multiverso (min/max = rango de las especificaciones; no es IC)</t>
        </is>
      </c>
      <c r="C24" s="2" t="n">
        <v>0.070615</v>
      </c>
      <c r="D24" s="2" t="n">
        <v>0.002989</v>
      </c>
      <c r="E24" s="2" t="n">
        <v>0.22011</v>
      </c>
      <c r="F24" s="2" t="inlineStr">
        <is>
          <t>% por DT</t>
        </is>
      </c>
      <c r="G24" s="2" t="inlineStr">
        <is>
          <t>2021-2024</t>
        </is>
      </c>
      <c r="H24" s="2" t="inlineStr">
        <is>
          <t>secciones con alquiler SERPAVI VC y código estable; entrenamiento</t>
        </is>
      </c>
      <c r="I24" s="2" t="inlineStr">
        <is>
          <t>INE (viviendas turísticas, experimental); MIVAU SERPAVI</t>
        </is>
      </c>
      <c r="J24" s="2" t="inlineStr">
        <is>
          <t>C4</t>
        </is>
      </c>
      <c r="K24" s="2" t="inlineStr">
        <is>
          <t>2026-10-17</t>
        </is>
      </c>
      <c r="L24" s="2" t="inlineStr">
        <is>
          <t>output/v15/p5/informe.md#ficha-h3-rango</t>
        </is>
      </c>
      <c r="M24" s="2" t="inlineStr">
        <is>
          <t>output/v15/p5/hechos.json:V15-H3-rango</t>
        </is>
      </c>
    </row>
    <row r="25">
      <c r="A25" s="2" t="inlineStr">
        <is>
          <t>V15-H4-F</t>
        </is>
      </c>
      <c r="B25" s="2" t="inlineStr">
        <is>
          <t>F robusto de primera etapa (descriptivo)</t>
        </is>
      </c>
      <c r="C25" s="2" t="n">
        <v>70.16</v>
      </c>
      <c r="D25" s="2" t="n">
        <v>49.39</v>
      </c>
      <c r="E25" s="2" t="n">
        <v>175.67</v>
      </c>
      <c r="F25" s="2" t="inlineStr">
        <is>
          <t>F</t>
        </is>
      </c>
      <c r="G25" s="2" t="inlineStr">
        <is>
          <t>2012-2022</t>
        </is>
      </c>
      <c r="H25" s="2" t="inlineStr">
        <is>
          <t>entrenamiento</t>
        </is>
      </c>
      <c r="I25" s="2" t="inlineStr">
        <is>
          <t>INE padrón</t>
        </is>
      </c>
      <c r="J25" s="2" t="inlineStr">
        <is>
          <t>C4</t>
        </is>
      </c>
      <c r="K25" s="2" t="inlineStr">
        <is>
          <t>2026-10-17</t>
        </is>
      </c>
      <c r="L25" s="2" t="inlineStr">
        <is>
          <t>output/v15/p4/informe.md#F</t>
        </is>
      </c>
      <c r="M25" s="2" t="inlineStr">
        <is>
          <t>output/v15/p4/hechos.json:V15-H4-F</t>
        </is>
      </c>
    </row>
    <row r="26">
      <c r="A26" s="2" t="inlineStr">
        <is>
          <t>V15-H4-beta</t>
        </is>
      </c>
      <c r="B26" s="2" t="inlineStr">
        <is>
          <t>Asociación (2SLS puntual) entre población extranjera predicha y alquiler municipal (SERPAVI VC), % por punto</t>
        </is>
      </c>
      <c r="C26" s="2" t="n">
        <v>0.305</v>
      </c>
      <c r="D26" s="2" t="n">
        <v>-0.143</v>
      </c>
      <c r="E26" s="2" t="n">
        <v>0.388</v>
      </c>
      <c r="F26" s="2" t="inlineStr">
        <is>
          <t>% por p.p.</t>
        </is>
      </c>
      <c r="G26" s="2" t="inlineStr">
        <is>
          <t>2012-2022</t>
        </is>
      </c>
      <c r="H26" s="2" t="inlineStr">
        <is>
          <t>1273 municipios de entrenamiento</t>
        </is>
      </c>
      <c r="I26" s="2" t="inlineStr">
        <is>
          <t>INE padrón; MIVAU SERPAVI</t>
        </is>
      </c>
      <c r="J26" s="2" t="inlineStr">
        <is>
          <t>C4</t>
        </is>
      </c>
      <c r="K26" s="2" t="inlineStr">
        <is>
          <t>2026-10-17</t>
        </is>
      </c>
      <c r="L26" s="2" t="inlineStr">
        <is>
          <t>output/v15/p4/informe.md#beta</t>
        </is>
      </c>
      <c r="M26" s="2" t="inlineStr">
        <is>
          <t>output/v15/p4/hechos.json:V15-H4-beta</t>
        </is>
      </c>
    </row>
    <row r="27">
      <c r="A27" s="2" t="inlineStr">
        <is>
          <t>V15-H4-mediana</t>
        </is>
      </c>
      <c r="B27" s="2" t="inlineStr">
        <is>
          <t>H4: mediana de las 64 especificaciones del multiverso, % por punto (min/max = extremos; correlación frágil)</t>
        </is>
      </c>
      <c r="C27" s="2" t="n">
        <v>0.0795</v>
      </c>
      <c r="D27" s="2" t="n">
        <v>-0.1426</v>
      </c>
      <c r="E27" s="2" t="n">
        <v>0.3883</v>
      </c>
      <c r="F27" s="2" t="inlineStr">
        <is>
          <t>% por p.p.</t>
        </is>
      </c>
      <c r="G27" s="2" t="inlineStr">
        <is>
          <t>2012-2022</t>
        </is>
      </c>
      <c r="H27" s="2" t="inlineStr">
        <is>
          <t>1273 municipios de entrenamiento</t>
        </is>
      </c>
      <c r="I27" s="2" t="inlineStr">
        <is>
          <t>INE padrón; MIVAU SERPAVI; mediana leída de output/v15/p4/resultado.json (diagnosticos.multiverso_64, ×100)</t>
        </is>
      </c>
      <c r="J27" s="2" t="inlineStr">
        <is>
          <t>C4</t>
        </is>
      </c>
      <c r="K27" s="2" t="inlineStr">
        <is>
          <t>2026-10-17</t>
        </is>
      </c>
      <c r="L27" s="2" t="inlineStr">
        <is>
          <t>output/v15/p4/informe.md#beta</t>
        </is>
      </c>
      <c r="M27" s="2" t="inlineStr">
        <is>
          <t>output/v16/f7_hechos/hechos.json:V15-H4-mediana</t>
        </is>
      </c>
    </row>
    <row r="28">
      <c r="A28" s="2" t="inlineStr">
        <is>
          <t>V15-H4-neff</t>
        </is>
      </c>
      <c r="B28" s="2" t="inlineStr">
        <is>
          <t>Número efectivo de choques (1/HHI de Rotemberg)</t>
        </is>
      </c>
      <c r="C28" s="2" t="n">
        <v>5.46</v>
      </c>
      <c r="D28" s="2" t="n"/>
      <c r="E28" s="2" t="n"/>
      <c r="F28" s="2" t="inlineStr">
        <is>
          <t>choques</t>
        </is>
      </c>
      <c r="G28" s="2" t="inlineStr">
        <is>
          <t>2012-2022</t>
        </is>
      </c>
      <c r="H28" s="2" t="inlineStr">
        <is>
          <t>entrenamiento</t>
        </is>
      </c>
      <c r="I28" s="2" t="inlineStr">
        <is>
          <t>INE padrón</t>
        </is>
      </c>
      <c r="J28" s="2" t="inlineStr">
        <is>
          <t>C4</t>
        </is>
      </c>
      <c r="K28" s="2" t="inlineStr">
        <is>
          <t>2026-10-17</t>
        </is>
      </c>
      <c r="L28" s="2" t="inlineStr">
        <is>
          <t>output/v15/p4/informe.md#rotemberg</t>
        </is>
      </c>
      <c r="M28" s="2" t="inlineStr">
        <is>
          <t>output/v15/p4/hechos.json:V15-H4-neff</t>
        </is>
      </c>
    </row>
    <row r="29">
      <c r="A29" s="2" t="inlineStr">
        <is>
          <t>V15-H5-p-dm</t>
        </is>
      </c>
      <c r="B29" s="2" t="inlineStr">
        <is>
          <t>p unilateral DM-HLN de la combinación frente al AR(4)</t>
        </is>
      </c>
      <c r="C29" s="2" t="n">
        <v>0.866</v>
      </c>
      <c r="D29" s="2" t="n"/>
      <c r="E29" s="2" t="n"/>
      <c r="F29" s="2" t="inlineStr">
        <is>
          <t>p</t>
        </is>
      </c>
      <c r="G29" s="2" t="inlineStr">
        <is>
          <t>2013Q1-2026Q1</t>
        </is>
      </c>
      <c r="H29" s="2" t="inlineStr">
        <is>
          <t>53 errores</t>
        </is>
      </c>
      <c r="I29" s="2" t="inlineStr">
        <is>
          <t>MIVAU valor tasado</t>
        </is>
      </c>
      <c r="J29" s="2" t="inlineStr">
        <is>
          <t>C4</t>
        </is>
      </c>
      <c r="K29" s="2" t="inlineStr">
        <is>
          <t>2026-10-17</t>
        </is>
      </c>
      <c r="L29" s="2" t="inlineStr">
        <is>
          <t>output/v15/p9/informe.md#dm</t>
        </is>
      </c>
      <c r="M29" s="2" t="inlineStr">
        <is>
          <t>output/v15/p9/hechos.json:V15-H5-p-dm</t>
        </is>
      </c>
    </row>
    <row r="30">
      <c r="A30" s="2" t="inlineStr">
        <is>
          <t>V15-H5-razon-ecm</t>
        </is>
      </c>
      <c r="B30" s="2" t="inlineStr">
        <is>
          <t>Razón ECM de la combinación frente al AR(4) (h=1, valor tasado)</t>
        </is>
      </c>
      <c r="C30" s="2" t="n">
        <v>1.514</v>
      </c>
      <c r="D30" s="2" t="n">
        <v>0.975</v>
      </c>
      <c r="E30" s="2" t="n">
        <v>5.411</v>
      </c>
      <c r="F30" s="2" t="inlineStr">
        <is>
          <t>razón</t>
        </is>
      </c>
      <c r="G30" s="2" t="inlineStr">
        <is>
          <t>2013Q1-2026Q1</t>
        </is>
      </c>
      <c r="H30" s="2" t="inlineStr">
        <is>
          <t>53 errores de entrenamiento</t>
        </is>
      </c>
      <c r="I30" s="2" t="inlineStr">
        <is>
          <t>MIVAU valor tasado; INE; BdE</t>
        </is>
      </c>
      <c r="J30" s="2" t="inlineStr">
        <is>
          <t>C4</t>
        </is>
      </c>
      <c r="K30" s="2" t="inlineStr">
        <is>
          <t>2026-10-17</t>
        </is>
      </c>
      <c r="L30" s="2" t="inlineStr">
        <is>
          <t>output/v15/p9/informe.md#razon</t>
        </is>
      </c>
      <c r="M30" s="2" t="inlineStr">
        <is>
          <t>output/v15/p9/hechos.json:V15-H5-razon-ecm</t>
        </is>
      </c>
    </row>
    <row r="31">
      <c r="A31" s="2" t="inlineStr">
        <is>
          <t>V15-H5-razon-replica</t>
        </is>
      </c>
      <c r="B31" s="2" t="inlineStr">
        <is>
          <t>H5: razón ECM de la combinación frente al AR(4) en la réplica ciega de V16 (otra implementación de las elecciones abiertas; min/max = réplica y producción pre-registrada)</t>
        </is>
      </c>
      <c r="C31" s="2" t="n">
        <v>1.1535</v>
      </c>
      <c r="D31" s="2" t="n">
        <v>1.1535</v>
      </c>
      <c r="E31" s="2" t="n">
        <v>1.514</v>
      </c>
      <c r="F31" s="2" t="inlineStr">
        <is>
          <t>razón</t>
        </is>
      </c>
      <c r="G31" s="2" t="inlineStr">
        <is>
          <t>2013Q1-2026Q1</t>
        </is>
      </c>
      <c r="H31" s="2" t="inlineStr">
        <is>
          <t>53 errores de entrenamiento</t>
        </is>
      </c>
      <c r="I31" s="2" t="inlineStr">
        <is>
          <t>MIVAU valor tasado; INE; BdE; réplica ciega de V16</t>
        </is>
      </c>
      <c r="J31" s="2" t="inlineStr">
        <is>
          <t>C4</t>
        </is>
      </c>
      <c r="K31" s="2" t="inlineStr">
        <is>
          <t>2026-10-17</t>
        </is>
      </c>
      <c r="L31" s="2" t="inlineStr">
        <is>
          <t>output/v15/p9/informe.md#razon</t>
        </is>
      </c>
      <c r="M31" s="2" t="inlineStr">
        <is>
          <t>output/v16/f7_hechos/hechos.json:V15-H5-razon-replica</t>
        </is>
      </c>
    </row>
    <row r="32">
      <c r="A32" s="2" t="inlineStr">
        <is>
          <t>V16-ATL-COB-ALQ-MUN</t>
        </is>
      </c>
      <c r="B32" s="2" t="inlineStr">
        <is>
          <t>Municipios con alquiler SERPAVI publicable (n &gt;= 10 contratos y CV &lt;= 30 %)</t>
        </is>
      </c>
      <c r="C32" s="2" t="n">
        <v>1390</v>
      </c>
      <c r="D32" s="2" t="n"/>
      <c r="E32" s="2" t="n"/>
      <c r="F32" s="2" t="inlineStr">
        <is>
          <t>municipios</t>
        </is>
      </c>
      <c r="G32" s="2" t="inlineStr">
        <is>
          <t>2024</t>
        </is>
      </c>
      <c r="H32" s="2" t="inlineStr">
        <is>
          <t>municipios no sellados</t>
        </is>
      </c>
      <c r="I32" s="2" t="inlineStr">
        <is>
          <t>MIVAU SERPAVI</t>
        </is>
      </c>
      <c r="J32" s="2" t="inlineStr">
        <is>
          <t>C4</t>
        </is>
      </c>
      <c r="K32" s="2" t="inlineStr">
        <is>
          <t>2024</t>
        </is>
      </c>
      <c r="L32" s="2" t="inlineStr">
        <is>
          <t>output/v16/f2_atlas/atlas.md#cobertura</t>
        </is>
      </c>
      <c r="M32" s="2" t="inlineStr">
        <is>
          <t>output/v16/f2_atlas/hechos.json:V16-ATL-COB-ALQ-MUN</t>
        </is>
      </c>
    </row>
    <row r="33">
      <c r="A33" s="2" t="inlineStr">
        <is>
          <t>V16-ATL-COB-ESF-SECCION</t>
        </is>
      </c>
      <c r="B33" s="2" t="inlineStr">
        <is>
          <t>Secciones con la ratio de esfuerzo descriptiva publicable</t>
        </is>
      </c>
      <c r="C33" s="2" t="n">
        <v>10773</v>
      </c>
      <c r="D33" s="2" t="n"/>
      <c r="E33" s="2" t="n"/>
      <c r="F33" s="2" t="inlineStr">
        <is>
          <t>secciones</t>
        </is>
      </c>
      <c r="G33" s="2" t="inlineStr">
        <is>
          <t>2023</t>
        </is>
      </c>
      <c r="H33" s="2" t="inlineStr">
        <is>
          <t>secciones no selladas</t>
        </is>
      </c>
      <c r="I33" s="2" t="inlineStr">
        <is>
          <t>MIVAU SERPAVI; INE ADRH</t>
        </is>
      </c>
      <c r="J33" s="2" t="inlineStr">
        <is>
          <t>C4</t>
        </is>
      </c>
      <c r="K33" s="2" t="inlineStr">
        <is>
          <t>2023</t>
        </is>
      </c>
      <c r="L33" s="2" t="inlineStr">
        <is>
          <t>output/v16/f2_atlas/atlas.md#esfuerzo</t>
        </is>
      </c>
      <c r="M33" s="2" t="inlineStr">
        <is>
          <t>output/v16/f2_atlas/hechos.json:V16-ATL-COB-ESF-SECCION</t>
        </is>
      </c>
    </row>
    <row r="34">
      <c r="A34" s="2" t="inlineStr">
        <is>
          <t>V16-ATL-COB-FILAS</t>
        </is>
      </c>
      <c r="B34" s="2" t="inlineStr">
        <is>
          <t>Filas del atlas (formato largo)</t>
        </is>
      </c>
      <c r="C34" s="2" t="n">
        <v>1586227</v>
      </c>
      <c r="D34" s="2" t="n"/>
      <c r="E34" s="2" t="n"/>
      <c r="F34" s="2" t="inlineStr">
        <is>
          <t>filas</t>
        </is>
      </c>
      <c r="G34" s="2" t="inlineStr">
        <is>
          <t>varios</t>
        </is>
      </c>
      <c r="H34" s="2" t="inlineStr">
        <is>
          <t>32 indicadores, 7 escalas</t>
        </is>
      </c>
      <c r="I34" s="2" t="inlineStr">
        <is>
          <t>varias (véase atlas.md)</t>
        </is>
      </c>
      <c r="J34" s="2" t="inlineStr">
        <is>
          <t>C4</t>
        </is>
      </c>
      <c r="K34" s="2" t="inlineStr">
        <is>
          <t>2026-10-17</t>
        </is>
      </c>
      <c r="L34" s="2" t="inlineStr">
        <is>
          <t>output/v16/f2_atlas/atlas.md#cobertura</t>
        </is>
      </c>
      <c r="M34" s="2" t="inlineStr">
        <is>
          <t>output/v16/f2_atlas/hechos.json:V16-ATL-COB-FILAS</t>
        </is>
      </c>
    </row>
    <row r="35">
      <c r="A35" s="2" t="inlineStr">
        <is>
          <t>V16-ATL-COB-MUNICIPIO</t>
        </is>
      </c>
      <c r="B35" s="2" t="inlineStr">
        <is>
          <t>Unidades de escala municipio con al menos un indicador publicado</t>
        </is>
      </c>
      <c r="C35" s="2" t="n">
        <v>4904</v>
      </c>
      <c r="D35" s="2" t="n"/>
      <c r="E35" s="2" t="n"/>
      <c r="F35" s="2" t="inlineStr">
        <is>
          <t>unidades</t>
        </is>
      </c>
      <c r="G35" s="2" t="inlineStr">
        <is>
          <t>varios</t>
        </is>
      </c>
      <c r="H35" s="2" t="inlineStr">
        <is>
          <t>de 8205 del nomenclátor; las selladas V16 no figuran</t>
        </is>
      </c>
      <c r="I35" s="2" t="inlineStr">
        <is>
          <t>varias</t>
        </is>
      </c>
      <c r="J35" s="2" t="inlineStr">
        <is>
          <t>C4</t>
        </is>
      </c>
      <c r="K35" s="2" t="inlineStr">
        <is>
          <t>2026-10-17</t>
        </is>
      </c>
      <c r="L35" s="2" t="inlineStr">
        <is>
          <t>output/v16/f2_atlas/atlas.md#cobertura</t>
        </is>
      </c>
      <c r="M35" s="2" t="inlineStr">
        <is>
          <t>output/v16/f2_atlas/hechos.json:V16-ATL-COB-MUNICIPIO</t>
        </is>
      </c>
    </row>
    <row r="36">
      <c r="A36" s="2" t="inlineStr">
        <is>
          <t>V16-ATL-COB-SECCION</t>
        </is>
      </c>
      <c r="B36" s="2" t="inlineStr">
        <is>
          <t>Unidades de escala seccion con al menos un indicador publicado</t>
        </is>
      </c>
      <c r="C36" s="2" t="n">
        <v>17763</v>
      </c>
      <c r="D36" s="2" t="n"/>
      <c r="E36" s="2" t="n"/>
      <c r="F36" s="2" t="inlineStr">
        <is>
          <t>unidades</t>
        </is>
      </c>
      <c r="G36" s="2" t="inlineStr">
        <is>
          <t>varios</t>
        </is>
      </c>
      <c r="H36" s="2" t="inlineStr">
        <is>
          <t>de 37663 del nomenclátor; las selladas V16 no figuran</t>
        </is>
      </c>
      <c r="I36" s="2" t="inlineStr">
        <is>
          <t>varias</t>
        </is>
      </c>
      <c r="J36" s="2" t="inlineStr">
        <is>
          <t>C4</t>
        </is>
      </c>
      <c r="K36" s="2" t="inlineStr">
        <is>
          <t>2026-10-17</t>
        </is>
      </c>
      <c r="L36" s="2" t="inlineStr">
        <is>
          <t>output/v16/f2_atlas/atlas.md#cobertura</t>
        </is>
      </c>
      <c r="M36" s="2" t="inlineStr">
        <is>
          <t>output/v16/f2_atlas/hechos.json:V16-ATL-COB-SECCION</t>
        </is>
      </c>
    </row>
    <row r="37">
      <c r="A37" s="2" t="inlineStr">
        <is>
          <t>V16-ATL-COB-SUPRIMIDAS</t>
        </is>
      </c>
      <c r="B37" s="2" t="inlineStr">
        <is>
          <t>Porcentaje de filas suprimidas (base &lt; 10 o CV &gt; 30 % o sustituto)</t>
        </is>
      </c>
      <c r="C37" s="2" t="n">
        <v>4.52</v>
      </c>
      <c r="D37" s="2" t="n"/>
      <c r="E37" s="2" t="n"/>
      <c r="F37" s="2" t="inlineStr">
        <is>
          <t>%</t>
        </is>
      </c>
      <c r="G37" s="2" t="inlineStr">
        <is>
          <t>varios</t>
        </is>
      </c>
      <c r="H37" s="2" t="inlineStr">
        <is>
          <t>71717 de 1586227 filas</t>
        </is>
      </c>
      <c r="I37" s="2" t="inlineStr">
        <is>
          <t>varias</t>
        </is>
      </c>
      <c r="J37" s="2" t="inlineStr">
        <is>
          <t>C4</t>
        </is>
      </c>
      <c r="K37" s="2" t="inlineStr">
        <is>
          <t>2026-10-17</t>
        </is>
      </c>
      <c r="L37" s="2" t="inlineStr">
        <is>
          <t>output/v16/f2_atlas/atlas.md#supresion</t>
        </is>
      </c>
      <c r="M37" s="2" t="inlineStr">
        <is>
          <t>output/v16/f2_atlas/hechos.json:V16-ATL-COB-SUPRIMIDAS</t>
        </is>
      </c>
    </row>
    <row r="38">
      <c r="A38" s="2" t="inlineStr">
        <is>
          <t>V16-ATL-DISP-ALQUILER-M2</t>
        </is>
      </c>
      <c r="B38" s="2" t="inlineStr">
        <is>
          <t>Cociente P90/P10 de «Alquiler mediano €/m² y mes (SERPAVI)» entre municipios no sellados</t>
        </is>
      </c>
      <c r="C38" s="2" t="n">
        <v>2.493</v>
      </c>
      <c r="D38" s="2" t="n">
        <v>1.837</v>
      </c>
      <c r="E38" s="2" t="n">
        <v>13.99</v>
      </c>
      <c r="F38" s="2" t="inlineStr">
        <is>
          <t>cociente P90/P10 (min y max en la unidad del indicador: €/m² y mes)</t>
        </is>
      </c>
      <c r="G38" s="2" t="inlineStr">
        <is>
          <t>2024</t>
        </is>
      </c>
      <c r="H38" s="2" t="inlineStr">
        <is>
          <t>1390 unidades con dato de 1394 filas del periodo (el resto, suprimidas)</t>
        </is>
      </c>
      <c r="I38" s="2" t="inlineStr">
        <is>
          <t>MIVAU, SERPAVI (AEAT-IRPF, stock de contratos de alquiler declarados; tipología colectiva)</t>
        </is>
      </c>
      <c r="J38" s="2" t="inlineStr">
        <is>
          <t>C4</t>
        </is>
      </c>
      <c r="K38" s="2" t="inlineStr">
        <is>
          <t>2024</t>
        </is>
      </c>
      <c r="L38" s="2" t="inlineStr">
        <is>
          <t>output/v16/f2_atlas/atlas.md#dispersion</t>
        </is>
      </c>
      <c r="M38" s="2" t="inlineStr">
        <is>
          <t>output/v16/f2_atlas/hechos.json:V16-ATL-DISP-ALQUILER-M2</t>
        </is>
      </c>
    </row>
    <row r="39">
      <c r="A39" s="2" t="inlineStr">
        <is>
          <t>V16-ATL-DISP-ECV40-CCAA</t>
        </is>
      </c>
      <c r="B39" s="2" t="inlineStr">
        <is>
          <t>Cociente P90/P10 de «Sobreesfuerzo del 40 % (ECV), entre CCAA» entre ccaas no sellados</t>
        </is>
      </c>
      <c r="C39" s="2" t="n">
        <v>2.012</v>
      </c>
      <c r="D39" s="2" t="n">
        <v>3.478</v>
      </c>
      <c r="E39" s="2" t="n">
        <v>13.813</v>
      </c>
      <c r="F39" s="2" t="inlineStr">
        <is>
          <t>cociente P90/P10 (min y max en la unidad del indicador: % de la población)</t>
        </is>
      </c>
      <c r="G39" s="2" t="inlineStr">
        <is>
          <t>2025</t>
        </is>
      </c>
      <c r="H39" s="2" t="inlineStr">
        <is>
          <t>19 unidades con dato de 19 filas del periodo (el resto, suprimidas)</t>
        </is>
      </c>
      <c r="I39" s="2" t="inlineStr">
        <is>
          <t>INE, ECV (microdatos; f2_esfuerzo)</t>
        </is>
      </c>
      <c r="J39" s="2" t="inlineStr">
        <is>
          <t>C4</t>
        </is>
      </c>
      <c r="K39" s="2" t="inlineStr">
        <is>
          <t>2025</t>
        </is>
      </c>
      <c r="L39" s="2" t="inlineStr">
        <is>
          <t>output/v16/f2_atlas/atlas.md#dispersion</t>
        </is>
      </c>
      <c r="M39" s="2" t="inlineStr">
        <is>
          <t>output/v16/f2_atlas/hechos.json:V16-ATL-DISP-ECV40-CCAA</t>
        </is>
      </c>
    </row>
    <row r="40">
      <c r="A40" s="2" t="inlineStr">
        <is>
          <t>V16-ATL-DISP-ESFUERZO</t>
        </is>
      </c>
      <c r="B40" s="2" t="inlineStr">
        <is>
          <t>Cociente P90/P10 de «Ratio alquiler anual de 80 m² / renta neta media del hogar» entre municipios no sellados</t>
        </is>
      </c>
      <c r="C40" s="2" t="n">
        <v>1.912</v>
      </c>
      <c r="D40" s="2" t="n">
        <v>5.146</v>
      </c>
      <c r="E40" s="2" t="n">
        <v>32.853</v>
      </c>
      <c r="F40" s="2" t="inlineStr">
        <is>
          <t>cociente P90/P10 (min y max en la unidad del indicador: % de la renta neta media del hogar)</t>
        </is>
      </c>
      <c r="G40" s="2" t="inlineStr">
        <is>
          <t>2023</t>
        </is>
      </c>
      <c r="H40" s="2" t="inlineStr">
        <is>
          <t>1338 unidades con dato de 1340 filas del periodo (el resto, suprimidas)</t>
        </is>
      </c>
      <c r="I40" s="2" t="inlineStr">
        <is>
          <t>MIVAU, SERPAVI (AEAT-IRPF, stock de contratos de alquiler declarados; tipología colectiva) / INE, Atlas de Distribución de Renta de los Hogares (ADRH) 2015-2023</t>
        </is>
      </c>
      <c r="J40" s="2" t="inlineStr">
        <is>
          <t>C4</t>
        </is>
      </c>
      <c r="K40" s="2" t="inlineStr">
        <is>
          <t>2023</t>
        </is>
      </c>
      <c r="L40" s="2" t="inlineStr">
        <is>
          <t>output/v16/f2_atlas/atlas.md#dispersion</t>
        </is>
      </c>
      <c r="M40" s="2" t="inlineStr">
        <is>
          <t>output/v16/f2_atlas/hechos.json:V16-ATL-DISP-ESFUERZO</t>
        </is>
      </c>
    </row>
    <row r="41">
      <c r="A41" s="2" t="inlineStr">
        <is>
          <t>V16-ATL-DISP-ESFUERZO-SECCION</t>
        </is>
      </c>
      <c r="B41" s="2" t="inlineStr">
        <is>
          <t>Cociente P90/P10 de «Ratio alquiler anual de 80 m² / renta neta media del hogar, entre secciones» entre seccions no sellados</t>
        </is>
      </c>
      <c r="C41" s="2" t="n">
        <v>2.495</v>
      </c>
      <c r="D41" s="2" t="n">
        <v>3.851</v>
      </c>
      <c r="E41" s="2" t="n">
        <v>70.779</v>
      </c>
      <c r="F41" s="2" t="inlineStr">
        <is>
          <t>cociente P90/P10 (min y max en la unidad del indicador: % de la renta neta media del hogar)</t>
        </is>
      </c>
      <c r="G41" s="2" t="inlineStr">
        <is>
          <t>2023</t>
        </is>
      </c>
      <c r="H41" s="2" t="inlineStr">
        <is>
          <t>10773 unidades con dato de 10773 filas del periodo (el resto, suprimidas)</t>
        </is>
      </c>
      <c r="I41" s="2" t="inlineStr">
        <is>
          <t>MIVAU, SERPAVI (AEAT-IRPF, stock de contratos de alquiler declarados; tipología colectiva) / INE, Atlas de Distribución de Renta de los Hogares (ADRH) 2015-2023</t>
        </is>
      </c>
      <c r="J41" s="2" t="inlineStr">
        <is>
          <t>C4</t>
        </is>
      </c>
      <c r="K41" s="2" t="inlineStr">
        <is>
          <t>2023</t>
        </is>
      </c>
      <c r="L41" s="2" t="inlineStr">
        <is>
          <t>output/v16/f2_atlas/atlas.md#dispersion</t>
        </is>
      </c>
      <c r="M41" s="2" t="inlineStr">
        <is>
          <t>output/v16/f2_atlas/hechos.json:V16-ATL-DISP-ESFUERZO-SECCION</t>
        </is>
      </c>
    </row>
    <row r="42">
      <c r="A42" s="2" t="inlineStr">
        <is>
          <t>V16-ATL-DISP-EXTRANJERA</t>
        </is>
      </c>
      <c r="B42" s="2" t="inlineStr">
        <is>
          <t>Cociente P90/P10 de «Población de nacionalidad extranjera, % (censo anual)» entre municipios no sellados</t>
        </is>
      </c>
      <c r="C42" s="2" t="n">
        <v>17.804</v>
      </c>
      <c r="D42" s="2" t="n">
        <v>0</v>
      </c>
      <c r="E42" s="2" t="n">
        <v>88.40300000000001</v>
      </c>
      <c r="F42" s="2" t="inlineStr">
        <is>
          <t>cociente P90/P10 (min y max en la unidad del indicador: % de la población (censo anual))</t>
        </is>
      </c>
      <c r="G42" s="2" t="inlineStr">
        <is>
          <t>2025</t>
        </is>
      </c>
      <c r="H42" s="2" t="inlineStr">
        <is>
          <t>4857 unidades con dato de 4868 filas del periodo (el resto, suprimidas)</t>
        </is>
      </c>
      <c r="I42" s="2" t="inlineStr">
        <is>
          <t>INE, Censo anual de población</t>
        </is>
      </c>
      <c r="J42" s="2" t="inlineStr">
        <is>
          <t>C4</t>
        </is>
      </c>
      <c r="K42" s="2" t="inlineStr">
        <is>
          <t>2025</t>
        </is>
      </c>
      <c r="L42" s="2" t="inlineStr">
        <is>
          <t>output/v16/f2_atlas/atlas.md#dispersion</t>
        </is>
      </c>
      <c r="M42" s="2" t="inlineStr">
        <is>
          <t>output/v16/f2_atlas/hechos.json:V16-ATL-DISP-EXTRANJERA</t>
        </is>
      </c>
    </row>
    <row r="43">
      <c r="A43" s="2" t="inlineStr">
        <is>
          <t>V16-ATL-DISP-LANZ-PJ</t>
        </is>
      </c>
      <c r="B43" s="2" t="inlineStr">
        <is>
          <t>Cociente P90/P10 de «Lanzamientos por 10.000 viviendas, suma 2013-2024, entre partidos judiciales» entre partido judicials no sellados</t>
        </is>
      </c>
      <c r="C43" s="2" t="n">
        <v>8.491</v>
      </c>
      <c r="D43" s="2" t="n">
        <v>7.098</v>
      </c>
      <c r="E43" s="2" t="n">
        <v>594.342</v>
      </c>
      <c r="F43" s="2" t="inlineStr">
        <is>
          <t>cociente P90/P10 (min y max en la unidad del indicador: por 10.000 viviendas (Censo 2021), suma 2013-2024)</t>
        </is>
      </c>
      <c r="G43" s="2" t="inlineStr">
        <is>
          <t>2013-2024</t>
        </is>
      </c>
      <c r="H43" s="2" t="inlineStr">
        <is>
          <t>330 unidades con dato de 330 filas del periodo (el resto, suprimidas)</t>
        </is>
      </c>
      <c r="I43" s="2" t="inlineStr">
        <is>
          <t>CGPJ, estadística judicial (agregado propio; tercero no redistribuible, sin microdatos)</t>
        </is>
      </c>
      <c r="J43" s="2" t="inlineStr">
        <is>
          <t>C4</t>
        </is>
      </c>
      <c r="K43" s="2" t="inlineStr">
        <is>
          <t>2013-2024</t>
        </is>
      </c>
      <c r="L43" s="2" t="inlineStr">
        <is>
          <t>output/v16/f2_atlas/atlas.md#dispersion</t>
        </is>
      </c>
      <c r="M43" s="2" t="inlineStr">
        <is>
          <t>output/v16/f2_atlas/hechos.json:V16-ATL-DISP-LANZ-PJ</t>
        </is>
      </c>
    </row>
    <row r="44">
      <c r="A44" s="2" t="inlineStr">
        <is>
          <t>V16-ATL-DISP-NO-PRINCIPALES</t>
        </is>
      </c>
      <c r="B44" s="2" t="inlineStr">
        <is>
          <t>Cociente P90/P10 de «Viviendas no principales, % (Censo 2021)» entre municipios no sellados</t>
        </is>
      </c>
      <c r="C44" s="2" t="n">
        <v>2.961</v>
      </c>
      <c r="D44" s="2" t="n">
        <v>4.822</v>
      </c>
      <c r="E44" s="2" t="n">
        <v>96.117</v>
      </c>
      <c r="F44" s="2" t="inlineStr">
        <is>
          <t>cociente P90/P10 (min y max en la unidad del indicador: % de las viviendas)</t>
        </is>
      </c>
      <c r="G44" s="2" t="inlineStr">
        <is>
          <t>2021</t>
        </is>
      </c>
      <c r="H44" s="2" t="inlineStr">
        <is>
          <t>4867 unidades con dato de 4868 filas del periodo (el resto, suprimidas)</t>
        </is>
      </c>
      <c r="I44" s="2" t="inlineStr">
        <is>
          <t>INE, Censo de Población y Viviendas 2021</t>
        </is>
      </c>
      <c r="J44" s="2" t="inlineStr">
        <is>
          <t>C4</t>
        </is>
      </c>
      <c r="K44" s="2" t="inlineStr">
        <is>
          <t>2021</t>
        </is>
      </c>
      <c r="L44" s="2" t="inlineStr">
        <is>
          <t>output/v16/f2_atlas/atlas.md#dispersion</t>
        </is>
      </c>
      <c r="M44" s="2" t="inlineStr">
        <is>
          <t>output/v16/f2_atlas/hechos.json:V16-ATL-DISP-NO-PRINCIPALES</t>
        </is>
      </c>
    </row>
    <row r="45">
      <c r="A45" s="2" t="inlineStr">
        <is>
          <t>V16-ATL-DISP-PRECIO-PROV</t>
        </is>
      </c>
      <c r="B45" s="2" t="inlineStr">
        <is>
          <t>Cociente P90/P10 de «Valor tasado €/m², entre provincias» entre provincias no sellados</t>
        </is>
      </c>
      <c r="C45" s="2" t="n">
        <v>2.709</v>
      </c>
      <c r="D45" s="2" t="n">
        <v>854.2</v>
      </c>
      <c r="E45" s="2" t="n">
        <v>3514.6</v>
      </c>
      <c r="F45" s="2" t="inlineStr">
        <is>
          <t>cociente P90/P10 (min y max en la unidad del indicador: €/m²)</t>
        </is>
      </c>
      <c r="G45" s="2" t="inlineStr">
        <is>
          <t>2026T2</t>
        </is>
      </c>
      <c r="H45" s="2" t="inlineStr">
        <is>
          <t>38 unidades con dato de 38 filas del periodo (el resto, suprimidas)</t>
        </is>
      </c>
      <c r="I45" s="2" t="inlineStr">
        <is>
          <t>MIVAU, valor tasado de vivienda libre (€/m², media anual de los 4 trimestres)</t>
        </is>
      </c>
      <c r="J45" s="2" t="inlineStr">
        <is>
          <t>C4</t>
        </is>
      </c>
      <c r="K45" s="2" t="inlineStr">
        <is>
          <t>2026T2</t>
        </is>
      </c>
      <c r="L45" s="2" t="inlineStr">
        <is>
          <t>output/v16/f2_atlas/atlas.md#dispersion</t>
        </is>
      </c>
      <c r="M45" s="2" t="inlineStr">
        <is>
          <t>output/v16/f2_atlas/hechos.json:V16-ATL-DISP-PRECIO-PROV</t>
        </is>
      </c>
    </row>
    <row r="46">
      <c r="A46" s="2" t="inlineStr">
        <is>
          <t>V16-ATL-DISP-RENTA-HOGAR</t>
        </is>
      </c>
      <c r="B46" s="2" t="inlineStr">
        <is>
          <t>Cociente P90/P10 de «Renta neta media del hogar (ADRH)» entre municipios no sellados</t>
        </is>
      </c>
      <c r="C46" s="2" t="n">
        <v>1.756</v>
      </c>
      <c r="D46" s="2" t="n">
        <v>17450</v>
      </c>
      <c r="E46" s="2" t="n">
        <v>85692</v>
      </c>
      <c r="F46" s="2" t="inlineStr">
        <is>
          <t>cociente P90/P10 (min y max en la unidad del indicador: € por hogar y año)</t>
        </is>
      </c>
      <c r="G46" s="2" t="inlineStr">
        <is>
          <t>2023</t>
        </is>
      </c>
      <c r="H46" s="2" t="inlineStr">
        <is>
          <t>3986 unidades con dato de 4820 filas del periodo (el resto, suprimidas)</t>
        </is>
      </c>
      <c r="I46" s="2" t="inlineStr">
        <is>
          <t>INE, Atlas de Distribución de Renta de los Hogares (ADRH) 2015-2023</t>
        </is>
      </c>
      <c r="J46" s="2" t="inlineStr">
        <is>
          <t>C4</t>
        </is>
      </c>
      <c r="K46" s="2" t="inlineStr">
        <is>
          <t>2023</t>
        </is>
      </c>
      <c r="L46" s="2" t="inlineStr">
        <is>
          <t>output/v16/f2_atlas/atlas.md#dispersion</t>
        </is>
      </c>
      <c r="M46" s="2" t="inlineStr">
        <is>
          <t>output/v16/f2_atlas/hechos.json:V16-ATL-DISP-RENTA-HOGAR</t>
        </is>
      </c>
    </row>
    <row r="47">
      <c r="A47" s="2" t="inlineStr">
        <is>
          <t>V16-ATL-DISP-RENTA-UC-SECCION</t>
        </is>
      </c>
      <c r="B47" s="2" t="inlineStr">
        <is>
          <t>Cociente P90/P10 de «Renta mediana por unidad de consumo (ADRH), entre secciones» entre seccions no sellados</t>
        </is>
      </c>
      <c r="C47" s="2" t="n">
        <v>1.78</v>
      </c>
      <c r="D47" s="2" t="n">
        <v>7350</v>
      </c>
      <c r="E47" s="2" t="n">
        <v>44450</v>
      </c>
      <c r="F47" s="2" t="inlineStr">
        <is>
          <t>cociente P90/P10 (min y max en la unidad del indicador: € por unidad de consumo y año)</t>
        </is>
      </c>
      <c r="G47" s="2" t="inlineStr">
        <is>
          <t>2023</t>
        </is>
      </c>
      <c r="H47" s="2" t="inlineStr">
        <is>
          <t>16593 unidades con dato de 16593 filas del periodo (el resto, suprimidas)</t>
        </is>
      </c>
      <c r="I47" s="2" t="inlineStr">
        <is>
          <t>INE, Atlas de Distribución de Renta de los Hogares (ADRH) 2015-2023</t>
        </is>
      </c>
      <c r="J47" s="2" t="inlineStr">
        <is>
          <t>C4</t>
        </is>
      </c>
      <c r="K47" s="2" t="inlineStr">
        <is>
          <t>2023</t>
        </is>
      </c>
      <c r="L47" s="2" t="inlineStr">
        <is>
          <t>output/v16/f2_atlas/atlas.md#dispersion</t>
        </is>
      </c>
      <c r="M47" s="2" t="inlineStr">
        <is>
          <t>output/v16/f2_atlas/hechos.json:V16-ATL-DISP-RENTA-UC-SECCION</t>
        </is>
      </c>
    </row>
    <row r="48">
      <c r="A48" s="2" t="inlineStr">
        <is>
          <t>V16-ATL-DISP-VACIAS</t>
        </is>
      </c>
      <c r="B48" s="2" t="inlineStr">
        <is>
          <t>Cociente P90/P10 de «Viviendas vacías por consumo eléctrico, % (Censo 2021)» entre municipios no sellados</t>
        </is>
      </c>
      <c r="C48" s="2" t="n">
        <v>4.817</v>
      </c>
      <c r="D48" s="2" t="n">
        <v>2.28</v>
      </c>
      <c r="E48" s="2" t="n">
        <v>76.789</v>
      </c>
      <c r="F48" s="2" t="inlineStr">
        <is>
          <t>cociente P90/P10 (min y max en la unidad del indicador: % de las viviendas)</t>
        </is>
      </c>
      <c r="G48" s="2" t="inlineStr">
        <is>
          <t>2021</t>
        </is>
      </c>
      <c r="H48" s="2" t="inlineStr">
        <is>
          <t>1830 unidades con dato de 1830 filas del periodo (el resto, suprimidas)</t>
        </is>
      </c>
      <c r="I48" s="2" t="inlineStr">
        <is>
          <t>INE, Censo de Población y Viviendas 2021, tabla 59531 (consumo eléctrico)</t>
        </is>
      </c>
      <c r="J48" s="2" t="inlineStr">
        <is>
          <t>C4</t>
        </is>
      </c>
      <c r="K48" s="2" t="inlineStr">
        <is>
          <t>2021</t>
        </is>
      </c>
      <c r="L48" s="2" t="inlineStr">
        <is>
          <t>output/v16/f2_atlas/atlas.md#dispersion</t>
        </is>
      </c>
      <c r="M48" s="2" t="inlineStr">
        <is>
          <t>output/v16/f2_atlas/hechos.json:V16-ATL-DISP-VACIAS</t>
        </is>
      </c>
    </row>
    <row r="49">
      <c r="A49" s="2" t="inlineStr">
        <is>
          <t>V16-ATL-DISP-VT-PCT</t>
        </is>
      </c>
      <c r="B49" s="2" t="inlineStr">
        <is>
          <t>Cociente P90/P10 de «Viviendas turísticas, % de las viviendas (INE VTE)» entre municipios no sellados</t>
        </is>
      </c>
      <c r="C49" s="2" t="n">
        <v>23.608</v>
      </c>
      <c r="D49" s="2" t="n">
        <v>0.05</v>
      </c>
      <c r="E49" s="2" t="n">
        <v>18.24</v>
      </c>
      <c r="F49" s="2" t="inlineStr">
        <is>
          <t>cociente P90/P10 (min y max en la unidad del indicador: % de las viviendas)</t>
        </is>
      </c>
      <c r="G49" s="2" t="inlineStr">
        <is>
          <t>2026-05</t>
        </is>
      </c>
      <c r="H49" s="2" t="inlineStr">
        <is>
          <t>1104 unidades con dato de 4850 filas del periodo (el resto, suprimidas)</t>
        </is>
      </c>
      <c r="I49" s="2" t="inlineStr">
        <is>
          <t>INE, Viviendas turísticas en España (VTE), medición experimental</t>
        </is>
      </c>
      <c r="J49" s="2" t="inlineStr">
        <is>
          <t>C4</t>
        </is>
      </c>
      <c r="K49" s="2" t="inlineStr">
        <is>
          <t>2026-05</t>
        </is>
      </c>
      <c r="L49" s="2" t="inlineStr">
        <is>
          <t>output/v16/f2_atlas/atlas.md#dispersion</t>
        </is>
      </c>
      <c r="M49" s="2" t="inlineStr">
        <is>
          <t>output/v16/f2_atlas/hechos.json:V16-ATL-DISP-VT-PCT</t>
        </is>
      </c>
    </row>
    <row r="50">
      <c r="A50" s="2" t="inlineStr">
        <is>
          <t>V16-CON-HOG-CAMBIO</t>
        </is>
      </c>
      <c r="B50" s="2" t="inlineStr">
        <is>
          <t>Variación observada del número de hogares, España (valor: ECP; rango: ECP y EPA)</t>
        </is>
      </c>
      <c r="C50" s="2" t="n">
        <v>981823</v>
      </c>
      <c r="D50" s="2" t="n">
        <v>981823</v>
      </c>
      <c r="E50" s="2" t="n">
        <v>1062300</v>
      </c>
      <c r="F50" s="2" t="inlineStr">
        <is>
          <t>hogares</t>
        </is>
      </c>
      <c r="G50" s="2" t="inlineStr">
        <is>
          <t>1-1-2021 a 1-1-2025</t>
        </is>
      </c>
      <c r="H50" s="2" t="inlineStr">
        <is>
          <t>España</t>
        </is>
      </c>
      <c r="I50" s="2" t="inlineStr">
        <is>
          <t>INE ECP (t60129, t60133); INE EPA (hogares); Censo 2021 (microdatos)</t>
        </is>
      </c>
      <c r="J50" s="2" t="inlineStr">
        <is>
          <t>C4</t>
        </is>
      </c>
      <c r="K50" s="2" t="inlineStr">
        <is>
          <t>2026-01-01</t>
        </is>
      </c>
      <c r="L50" s="2" t="inlineStr">
        <is>
          <t>output/v16/f2_contabilidad/informe.md#v16-con-hog-cambio</t>
        </is>
      </c>
      <c r="M50" s="2" t="inlineStr">
        <is>
          <t>output/v16/f2_contabilidad/hechos.json:V16-CON-HOG-CAMBIO</t>
        </is>
      </c>
    </row>
    <row r="51">
      <c r="A51" s="2" t="inlineStr">
        <is>
          <t>V16-CON-HOG-CCAA-JEFATURA-PCT</t>
        </is>
      </c>
      <c r="B51" s="2" t="inlineStr">
        <is>
          <t>Residuo de jefatura como % de los hogares iniciales, 11 CCAA sin provincias selladas (valor: mediana; rango: mín. y máx.)</t>
        </is>
      </c>
      <c r="C51" s="2" t="n">
        <v>0.2215</v>
      </c>
      <c r="D51" s="2" t="n">
        <v>-0.2139</v>
      </c>
      <c r="E51" s="2" t="n">
        <v>1.3557</v>
      </c>
      <c r="F51" s="2" t="inlineStr">
        <is>
          <t>%</t>
        </is>
      </c>
      <c r="G51" s="2" t="inlineStr">
        <is>
          <t>1-1-2021 a 1-1-2025</t>
        </is>
      </c>
      <c r="H51" s="2" t="inlineStr">
        <is>
          <t>11 CCAA (8 excluidas por K8)</t>
        </is>
      </c>
      <c r="I51" s="2" t="inlineStr">
        <is>
          <t>INE ECP (t60129, t60133); INE EPA (hogares); Censo 2021 (microdatos)</t>
        </is>
      </c>
      <c r="J51" s="2" t="inlineStr">
        <is>
          <t>C4</t>
        </is>
      </c>
      <c r="K51" s="2" t="inlineStr">
        <is>
          <t>2026-01-01</t>
        </is>
      </c>
      <c r="L51" s="2" t="inlineStr">
        <is>
          <t>output/v16/f2_contabilidad/informe.md#v16-con-hog-ccaa-jefatura-pct</t>
        </is>
      </c>
      <c r="M51" s="2" t="inlineStr">
        <is>
          <t>output/v16/f2_contabilidad/hechos.json:V16-CON-HOG-CCAA-JEFATURA-PCT</t>
        </is>
      </c>
    </row>
    <row r="52">
      <c r="A52" s="2" t="inlineStr">
        <is>
          <t>V16-CON-HOG-CCAA-POBLACION-PCT</t>
        </is>
      </c>
      <c r="B52" s="2" t="inlineStr">
        <is>
          <t>Parte de población en el cambio observado de hogares, 11 CCAA (valor: mediana; rango: mín. y máx.)</t>
        </is>
      </c>
      <c r="C52" s="2" t="n">
        <v>37.3156</v>
      </c>
      <c r="D52" s="2" t="n">
        <v>-31.4392</v>
      </c>
      <c r="E52" s="2" t="n">
        <v>91.7231</v>
      </c>
      <c r="F52" s="2" t="inlineStr">
        <is>
          <t>% del cambio</t>
        </is>
      </c>
      <c r="G52" s="2" t="inlineStr">
        <is>
          <t>1-1-2021 a 1-1-2025</t>
        </is>
      </c>
      <c r="H52" s="2" t="inlineStr">
        <is>
          <t>11 CCAA (8 excluidas por K8)</t>
        </is>
      </c>
      <c r="I52" s="2" t="inlineStr">
        <is>
          <t>INE ECP (t60129, t60133); INE EPA (hogares); Censo 2021 (microdatos)</t>
        </is>
      </c>
      <c r="J52" s="2" t="inlineStr">
        <is>
          <t>C4</t>
        </is>
      </c>
      <c r="K52" s="2" t="inlineStr">
        <is>
          <t>2026-01-01</t>
        </is>
      </c>
      <c r="L52" s="2" t="inlineStr">
        <is>
          <t>output/v16/f2_contabilidad/informe.md#v16-con-hog-ccaa-poblacion-pct</t>
        </is>
      </c>
      <c r="M52" s="2" t="inlineStr">
        <is>
          <t>output/v16/f2_contabilidad/hechos.json:V16-CON-HOG-CCAA-POBLACION-PCT</t>
        </is>
      </c>
    </row>
    <row r="53">
      <c r="A53" s="2" t="inlineStr">
        <is>
          <t>V16-CON-HOG-COMPOSICION-NACIONALIDAD</t>
        </is>
      </c>
      <c r="B53" s="2" t="inlineStr">
        <is>
          <t>Contabilidad del cambio de hogares 2021-2025: parte de composición por nacionalidad (extranjera frente a española), España (Shapley; rango: órdenes y ECP/EPA)</t>
        </is>
      </c>
      <c r="C53" s="2" t="n">
        <v>-80764.1581</v>
      </c>
      <c r="D53" s="2" t="n">
        <v>-84075.20389999999</v>
      </c>
      <c r="E53" s="2" t="n">
        <v>-77809.2834</v>
      </c>
      <c r="F53" s="2" t="inlineStr">
        <is>
          <t>hogares</t>
        </is>
      </c>
      <c r="G53" s="2" t="inlineStr">
        <is>
          <t>1-1-2021 a 1-1-2025</t>
        </is>
      </c>
      <c r="H53" s="2" t="inlineStr">
        <is>
          <t>España</t>
        </is>
      </c>
      <c r="I53" s="2" t="inlineStr">
        <is>
          <t>INE ECP (t60129, t60133); INE EPA (hogares); Censo 2021 (microdatos)</t>
        </is>
      </c>
      <c r="J53" s="2" t="inlineStr">
        <is>
          <t>C4</t>
        </is>
      </c>
      <c r="K53" s="2" t="inlineStr">
        <is>
          <t>2026-01-01</t>
        </is>
      </c>
      <c r="L53" s="2" t="inlineStr">
        <is>
          <t>output/v16/f2_contabilidad/informe.md#v16-con-hog-composicion-nacionalidad</t>
        </is>
      </c>
      <c r="M53" s="2" t="inlineStr">
        <is>
          <t>output/v16/f2_contabilidad/hechos.json:V16-CON-HOG-COMPOSICION-NACIONALIDAD</t>
        </is>
      </c>
    </row>
    <row r="54">
      <c r="A54" s="2" t="inlineStr">
        <is>
          <t>V16-CON-HOG-ECP-EPA-DISCREPANCIA</t>
        </is>
      </c>
      <c r="B54" s="2" t="inlineStr">
        <is>
          <t>Diferencia del cambio de hogares 2021-2025 entre EPA y ECP</t>
        </is>
      </c>
      <c r="C54" s="2" t="n">
        <v>8.1967</v>
      </c>
      <c r="D54" s="2" t="n"/>
      <c r="E54" s="2" t="n"/>
      <c r="F54" s="2" t="inlineStr">
        <is>
          <t>%</t>
        </is>
      </c>
      <c r="G54" s="2" t="inlineStr">
        <is>
          <t>1-1-2021 a 1-1-2025</t>
        </is>
      </c>
      <c r="H54" s="2" t="inlineStr">
        <is>
          <t>España</t>
        </is>
      </c>
      <c r="I54" s="2" t="inlineStr">
        <is>
          <t>INE ECP; INE EPA</t>
        </is>
      </c>
      <c r="J54" s="2" t="inlineStr">
        <is>
          <t>C4</t>
        </is>
      </c>
      <c r="K54" s="2" t="inlineStr">
        <is>
          <t>2026-01-01</t>
        </is>
      </c>
      <c r="L54" s="2" t="inlineStr">
        <is>
          <t>output/v16/f2_contabilidad/informe.md#v16-con-hog-ecp-epa-discrepancia</t>
        </is>
      </c>
      <c r="M54" s="2" t="inlineStr">
        <is>
          <t>output/v16/f2_contabilidad/hechos.json:V16-CON-HOG-ECP-EPA-DISCREPANCIA</t>
        </is>
      </c>
    </row>
    <row r="55">
      <c r="A55" s="2" t="inlineStr">
        <is>
          <t>V16-CON-HOG-EPA-2002-2021-CAMBIO</t>
        </is>
      </c>
      <c r="B55" s="2" t="inlineStr">
        <is>
          <t>Variación de hogares EPA 2002T1-2021T1, España</t>
        </is>
      </c>
      <c r="C55" s="2" t="n">
        <v>4276400</v>
      </c>
      <c r="D55" s="2" t="n"/>
      <c r="E55" s="2" t="n"/>
      <c r="F55" s="2" t="inlineStr">
        <is>
          <t>hogares</t>
        </is>
      </c>
      <c r="G55" s="2" t="inlineStr">
        <is>
          <t>2002-2021</t>
        </is>
      </c>
      <c r="H55" s="2" t="inlineStr">
        <is>
          <t>España</t>
        </is>
      </c>
      <c r="I55" s="2" t="inlineStr">
        <is>
          <t>INE EPA (hogares); INE padrón (edad y nacionalidad); Censos 2011 y 2021 (microdatos)</t>
        </is>
      </c>
      <c r="J55" s="2" t="inlineStr">
        <is>
          <t>C4</t>
        </is>
      </c>
      <c r="K55" s="2" t="inlineStr">
        <is>
          <t>2021-01-01</t>
        </is>
      </c>
      <c r="L55" s="2" t="inlineStr">
        <is>
          <t>output/v16/f2_contabilidad/informe.md#v16-con-hog-epa-2002-2021-cambio</t>
        </is>
      </c>
      <c r="M55" s="2" t="inlineStr">
        <is>
          <t>output/v16/f2_contabilidad/hechos.json:V16-CON-HOG-EPA-2002-2021-CAMBIO</t>
        </is>
      </c>
    </row>
    <row r="56">
      <c r="A56" s="2" t="inlineStr">
        <is>
          <t>V16-CON-HOG-EPA-2002-2021-COMPOSICION-NACIONALIDAD</t>
        </is>
      </c>
      <c r="B56" s="2" t="inlineStr">
        <is>
          <t>Contabilidad EPA 2002-2021: composición por nacionalidad (valor: tasas del Censo 2021; rango: con tasas del Censo 2011 y órdenes)</t>
        </is>
      </c>
      <c r="C56" s="2" t="n">
        <v>-202132.7077</v>
      </c>
      <c r="D56" s="2" t="n">
        <v>-218730.0605</v>
      </c>
      <c r="E56" s="2" t="n">
        <v>-139312.2701</v>
      </c>
      <c r="F56" s="2" t="inlineStr">
        <is>
          <t>hogares</t>
        </is>
      </c>
      <c r="G56" s="2" t="inlineStr">
        <is>
          <t>2002-2021</t>
        </is>
      </c>
      <c r="H56" s="2" t="inlineStr">
        <is>
          <t>España</t>
        </is>
      </c>
      <c r="I56" s="2" t="inlineStr">
        <is>
          <t>INE EPA (hogares); INE padrón (edad y nacionalidad); Censos 2011 y 2021 (microdatos)</t>
        </is>
      </c>
      <c r="J56" s="2" t="inlineStr">
        <is>
          <t>C4</t>
        </is>
      </c>
      <c r="K56" s="2" t="inlineStr">
        <is>
          <t>2021-01-01</t>
        </is>
      </c>
      <c r="L56" s="2" t="inlineStr">
        <is>
          <t>output/v16/f2_contabilidad/informe.md#v16-con-hog-epa-2002-2021-composicion-nacionalidad</t>
        </is>
      </c>
      <c r="M56" s="2" t="inlineStr">
        <is>
          <t>output/v16/f2_contabilidad/hechos.json:V16-CON-HOG-EPA-2002-2021-COMPOSICION-NACIONALIDAD</t>
        </is>
      </c>
    </row>
    <row r="57">
      <c r="A57" s="2" t="inlineStr">
        <is>
          <t>V16-CON-HOG-EPA-2002-2021-ESTRUCTURA-EDAD</t>
        </is>
      </c>
      <c r="B57" s="2" t="inlineStr">
        <is>
          <t>Contabilidad EPA 2002-2021: estructura por edad (valor: tasas del Censo 2021; rango: con tasas del Censo 2011 y órdenes)</t>
        </is>
      </c>
      <c r="C57" s="2" t="n">
        <v>2012790.016</v>
      </c>
      <c r="D57" s="2" t="n">
        <v>1570413.556</v>
      </c>
      <c r="E57" s="2" t="n">
        <v>2159620.389</v>
      </c>
      <c r="F57" s="2" t="inlineStr">
        <is>
          <t>hogares</t>
        </is>
      </c>
      <c r="G57" s="2" t="inlineStr">
        <is>
          <t>2002-2021</t>
        </is>
      </c>
      <c r="H57" s="2" t="inlineStr">
        <is>
          <t>España</t>
        </is>
      </c>
      <c r="I57" s="2" t="inlineStr">
        <is>
          <t>INE EPA (hogares); INE padrón (edad y nacionalidad); Censos 2011 y 2021 (microdatos)</t>
        </is>
      </c>
      <c r="J57" s="2" t="inlineStr">
        <is>
          <t>C4</t>
        </is>
      </c>
      <c r="K57" s="2" t="inlineStr">
        <is>
          <t>2021-01-01</t>
        </is>
      </c>
      <c r="L57" s="2" t="inlineStr">
        <is>
          <t>output/v16/f2_contabilidad/informe.md#v16-con-hog-epa-2002-2021-estructura-edad</t>
        </is>
      </c>
      <c r="M57" s="2" t="inlineStr">
        <is>
          <t>output/v16/f2_contabilidad/hechos.json:V16-CON-HOG-EPA-2002-2021-ESTRUCTURA-EDAD</t>
        </is>
      </c>
    </row>
    <row r="58">
      <c r="A58" s="2" t="inlineStr">
        <is>
          <t>V16-CON-HOG-EPA-2002-2021-JEFATURA-RESIDUO</t>
        </is>
      </c>
      <c r="B58" s="2" t="inlineStr">
        <is>
          <t>Contabilidad EPA 2002-2021: residuo de jefatura (valor: tasas del Censo 2021; rango: con tasas del Censo 2011 y órdenes)</t>
        </is>
      </c>
      <c r="C58" s="2" t="n">
        <v>112035.0248</v>
      </c>
      <c r="D58" s="2" t="n">
        <v>112035.0248</v>
      </c>
      <c r="E58" s="2" t="n">
        <v>399826.9811</v>
      </c>
      <c r="F58" s="2" t="inlineStr">
        <is>
          <t>hogares</t>
        </is>
      </c>
      <c r="G58" s="2" t="inlineStr">
        <is>
          <t>2002-2021</t>
        </is>
      </c>
      <c r="H58" s="2" t="inlineStr">
        <is>
          <t>España</t>
        </is>
      </c>
      <c r="I58" s="2" t="inlineStr">
        <is>
          <t>INE EPA (hogares); INE padrón (edad y nacionalidad); Censos 2011 y 2021 (microdatos)</t>
        </is>
      </c>
      <c r="J58" s="2" t="inlineStr">
        <is>
          <t>C4</t>
        </is>
      </c>
      <c r="K58" s="2" t="inlineStr">
        <is>
          <t>2021-01-01</t>
        </is>
      </c>
      <c r="L58" s="2" t="inlineStr">
        <is>
          <t>output/v16/f2_contabilidad/informe.md#v16-con-hog-epa-2002-2021-jefatura-residuo</t>
        </is>
      </c>
      <c r="M58" s="2" t="inlineStr">
        <is>
          <t>output/v16/f2_contabilidad/hechos.json:V16-CON-HOG-EPA-2002-2021-JEFATURA-RESIDUO</t>
        </is>
      </c>
    </row>
    <row r="59">
      <c r="A59" s="2" t="inlineStr">
        <is>
          <t>V16-CON-HOG-EPA-2002-2021-POBLACION</t>
        </is>
      </c>
      <c r="B59" s="2" t="inlineStr">
        <is>
          <t>Contabilidad EPA 2002-2021: tamaño de la población (valor: tasas del Censo 2021; rango: con tasas del Censo 2011 y órdenes)</t>
        </is>
      </c>
      <c r="C59" s="2" t="n">
        <v>2353707.667</v>
      </c>
      <c r="D59" s="2" t="n">
        <v>2194101.055</v>
      </c>
      <c r="E59" s="2" t="n">
        <v>2512956.152</v>
      </c>
      <c r="F59" s="2" t="inlineStr">
        <is>
          <t>hogares</t>
        </is>
      </c>
      <c r="G59" s="2" t="inlineStr">
        <is>
          <t>2002-2021</t>
        </is>
      </c>
      <c r="H59" s="2" t="inlineStr">
        <is>
          <t>España</t>
        </is>
      </c>
      <c r="I59" s="2" t="inlineStr">
        <is>
          <t>INE EPA (hogares); INE padrón (edad y nacionalidad); Censos 2011 y 2021 (microdatos)</t>
        </is>
      </c>
      <c r="J59" s="2" t="inlineStr">
        <is>
          <t>C4</t>
        </is>
      </c>
      <c r="K59" s="2" t="inlineStr">
        <is>
          <t>2021-01-01</t>
        </is>
      </c>
      <c r="L59" s="2" t="inlineStr">
        <is>
          <t>output/v16/f2_contabilidad/informe.md#v16-con-hog-epa-2002-2021-poblacion</t>
        </is>
      </c>
      <c r="M59" s="2" t="inlineStr">
        <is>
          <t>output/v16/f2_contabilidad/hechos.json:V16-CON-HOG-EPA-2002-2021-POBLACION</t>
        </is>
      </c>
    </row>
    <row r="60">
      <c r="A60" s="2" t="inlineStr">
        <is>
          <t>V16-CON-HOG-EPA-2014-2021-JEFATURA</t>
        </is>
      </c>
      <c r="B60" s="2" t="inlineStr">
        <is>
          <t>Residuo de jefatura EPA 2014-2021, España (ruptura de la EPA en 2021T1 posible; no se interpreta)</t>
        </is>
      </c>
      <c r="C60" s="2" t="n">
        <v>-677775.8681</v>
      </c>
      <c r="D60" s="2" t="n"/>
      <c r="E60" s="2" t="n"/>
      <c r="F60" s="2" t="inlineStr">
        <is>
          <t>hogares</t>
        </is>
      </c>
      <c r="G60" s="2" t="inlineStr">
        <is>
          <t>2014-2021</t>
        </is>
      </c>
      <c r="H60" s="2" t="inlineStr">
        <is>
          <t>España</t>
        </is>
      </c>
      <c r="I60" s="2" t="inlineStr">
        <is>
          <t>INE EPA (hogares); INE padrón (edad y nacionalidad); Censos 2011 y 2021 (microdatos)</t>
        </is>
      </c>
      <c r="J60" s="2" t="inlineStr">
        <is>
          <t>C4</t>
        </is>
      </c>
      <c r="K60" s="2" t="inlineStr">
        <is>
          <t>2021-01-01</t>
        </is>
      </c>
      <c r="L60" s="2" t="inlineStr">
        <is>
          <t>output/v16/f2_contabilidad/informe.md#v16-con-hog-epa-2014-2021-jefatura</t>
        </is>
      </c>
      <c r="M60" s="2" t="inlineStr">
        <is>
          <t>output/v16/f2_contabilidad/hechos.json:V16-CON-HOG-EPA-2014-2021-JEFATURA</t>
        </is>
      </c>
    </row>
    <row r="61">
      <c r="A61" s="2" t="inlineStr">
        <is>
          <t>V16-CON-HOG-ESTRUCTURA-EDAD</t>
        </is>
      </c>
      <c r="B61" s="2" t="inlineStr">
        <is>
          <t>Contabilidad del cambio de hogares 2021-2025: parte de estructura por edad, España (Shapley; rango: órdenes y ECP/EPA)</t>
        </is>
      </c>
      <c r="C61" s="2" t="n">
        <v>371921.7725</v>
      </c>
      <c r="D61" s="2" t="n">
        <v>363854.6028</v>
      </c>
      <c r="E61" s="2" t="n">
        <v>381512.738</v>
      </c>
      <c r="F61" s="2" t="inlineStr">
        <is>
          <t>hogares</t>
        </is>
      </c>
      <c r="G61" s="2" t="inlineStr">
        <is>
          <t>1-1-2021 a 1-1-2025</t>
        </is>
      </c>
      <c r="H61" s="2" t="inlineStr">
        <is>
          <t>España</t>
        </is>
      </c>
      <c r="I61" s="2" t="inlineStr">
        <is>
          <t>INE ECP (t60129, t60133); INE EPA (hogares); Censo 2021 (microdatos)</t>
        </is>
      </c>
      <c r="J61" s="2" t="inlineStr">
        <is>
          <t>C4</t>
        </is>
      </c>
      <c r="K61" s="2" t="inlineStr">
        <is>
          <t>2026-01-01</t>
        </is>
      </c>
      <c r="L61" s="2" t="inlineStr">
        <is>
          <t>output/v16/f2_contabilidad/informe.md#v16-con-hog-estructura-edad</t>
        </is>
      </c>
      <c r="M61" s="2" t="inlineStr">
        <is>
          <t>output/v16/f2_contabilidad/hechos.json:V16-CON-HOG-ESTRUCTURA-EDAD</t>
        </is>
      </c>
    </row>
    <row r="62">
      <c r="A62" s="2" t="inlineStr">
        <is>
          <t>V16-CON-HOG-JEFATURA</t>
        </is>
      </c>
      <c r="B62" s="2" t="inlineStr">
        <is>
          <t>Contabilidad del cambio de hogares 2021-2025: residuo de jefatura (tasa agregada a población constante), España (rango: ECP y EPA)</t>
        </is>
      </c>
      <c r="C62" s="2" t="n">
        <v>20478.2232</v>
      </c>
      <c r="D62" s="2" t="n">
        <v>20478.2232</v>
      </c>
      <c r="E62" s="2" t="n">
        <v>97285.1072</v>
      </c>
      <c r="F62" s="2" t="inlineStr">
        <is>
          <t>hogares</t>
        </is>
      </c>
      <c r="G62" s="2" t="inlineStr">
        <is>
          <t>1-1-2021 a 1-1-2025</t>
        </is>
      </c>
      <c r="H62" s="2" t="inlineStr">
        <is>
          <t>España</t>
        </is>
      </c>
      <c r="I62" s="2" t="inlineStr">
        <is>
          <t>INE ECP (t60129, t60133); INE EPA (hogares); Censo 2021 (microdatos)</t>
        </is>
      </c>
      <c r="J62" s="2" t="inlineStr">
        <is>
          <t>C4</t>
        </is>
      </c>
      <c r="K62" s="2" t="inlineStr">
        <is>
          <t>2026-01-01</t>
        </is>
      </c>
      <c r="L62" s="2" t="inlineStr">
        <is>
          <t>output/v16/f2_contabilidad/informe.md#v16-con-hog-jefatura</t>
        </is>
      </c>
      <c r="M62" s="2" t="inlineStr">
        <is>
          <t>output/v16/f2_contabilidad/hechos.json:V16-CON-HOG-JEFATURA</t>
        </is>
      </c>
    </row>
    <row r="63">
      <c r="A63" s="2" t="inlineStr">
        <is>
          <t>V16-CON-HOG-POBLACION</t>
        </is>
      </c>
      <c r="B63" s="2" t="inlineStr">
        <is>
          <t>Contabilidad del cambio de hogares 2021-2025: parte de tamaño de la población, España (Shapley; rango: órdenes y ECP/EPA)</t>
        </is>
      </c>
      <c r="C63" s="2" t="n">
        <v>670187.1623</v>
      </c>
      <c r="D63" s="2" t="n">
        <v>662247.276</v>
      </c>
      <c r="E63" s="2" t="n">
        <v>680789.0429999999</v>
      </c>
      <c r="F63" s="2" t="inlineStr">
        <is>
          <t>hogares</t>
        </is>
      </c>
      <c r="G63" s="2" t="inlineStr">
        <is>
          <t>1-1-2021 a 1-1-2025</t>
        </is>
      </c>
      <c r="H63" s="2" t="inlineStr">
        <is>
          <t>España</t>
        </is>
      </c>
      <c r="I63" s="2" t="inlineStr">
        <is>
          <t>INE ECP (t60129, t60133); INE EPA (hogares); Censo 2021 (microdatos)</t>
        </is>
      </c>
      <c r="J63" s="2" t="inlineStr">
        <is>
          <t>C4</t>
        </is>
      </c>
      <c r="K63" s="2" t="inlineStr">
        <is>
          <t>2026-01-01</t>
        </is>
      </c>
      <c r="L63" s="2" t="inlineStr">
        <is>
          <t>output/v16/f2_contabilidad/informe.md#v16-con-hog-poblacion</t>
        </is>
      </c>
      <c r="M63" s="2" t="inlineStr">
        <is>
          <t>output/v16/f2_contabilidad/hechos.json:V16-CON-HOG-POBLACION</t>
        </is>
      </c>
    </row>
    <row r="64">
      <c r="A64" s="2" t="inlineStr">
        <is>
          <t>V16-CON-MIG-EMCR-SALDO</t>
        </is>
      </c>
      <c r="B64" s="2" t="inlineStr">
        <is>
          <t>Saldo migratorio exterior EMCR acumulado 2021-2024 frente a variación de la población extranjera ECP 1-1-2021 a 1-1-2025 (valor: saldo)</t>
        </is>
      </c>
      <c r="C64" s="2" t="n">
        <v>2186663</v>
      </c>
      <c r="D64" s="2" t="n">
        <v>1482129</v>
      </c>
      <c r="E64" s="2" t="n">
        <v>2186663</v>
      </c>
      <c r="F64" s="2" t="inlineStr">
        <is>
          <t>personas</t>
        </is>
      </c>
      <c r="G64" s="2" t="inlineStr">
        <is>
          <t>2021-2024</t>
        </is>
      </c>
      <c r="H64" s="2" t="inlineStr">
        <is>
          <t>España</t>
        </is>
      </c>
      <c r="I64" s="2" t="inlineStr">
        <is>
          <t>INE EMCR (t69711); INE ECP</t>
        </is>
      </c>
      <c r="J64" s="2" t="inlineStr">
        <is>
          <t>C4</t>
        </is>
      </c>
      <c r="K64" s="2" t="inlineStr">
        <is>
          <t>2024-12-31</t>
        </is>
      </c>
      <c r="L64" s="2" t="inlineStr">
        <is>
          <t>output/v16/f2_contabilidad/informe.md#v16-con-mig-emcr-saldo</t>
        </is>
      </c>
      <c r="M64" s="2" t="inlineStr">
        <is>
          <t>output/v16/f2_contabilidad/hechos.json:V16-CON-MIG-EMCR-SALDO</t>
        </is>
      </c>
    </row>
    <row r="65">
      <c r="A65" s="2" t="inlineStr">
        <is>
          <t>V16-CON-PRECIO-CUOTA-PC1-2007-2013</t>
        </is>
      </c>
      <c r="B65" s="2" t="inlineStr">
        <is>
          <t>Cuota del 1.er factor común (PC1) en la varianza del crecimiento interanual del valor tasado, 33 provincias (valor: cuota; rango: banda 95 %)</t>
        </is>
      </c>
      <c r="C65" s="2" t="n">
        <v>71.40219999999999</v>
      </c>
      <c r="D65" s="2" t="n">
        <v>40.0404</v>
      </c>
      <c r="E65" s="2" t="n">
        <v>82.9333</v>
      </c>
      <c r="F65" s="2" t="inlineStr">
        <is>
          <t>%</t>
        </is>
      </c>
      <c r="G65" s="2" t="inlineStr">
        <is>
          <t>2007-2013</t>
        </is>
      </c>
      <c r="H65" s="2" t="inlineStr">
        <is>
          <t>33 provincias (11 selladas v6 excluidas)</t>
        </is>
      </c>
      <c r="I65" s="2" t="inlineStr">
        <is>
          <t>MIVAU valor tasado (data/base)</t>
        </is>
      </c>
      <c r="J65" s="2" t="inlineStr">
        <is>
          <t>C4</t>
        </is>
      </c>
      <c r="K65" s="2" t="inlineStr">
        <is>
          <t>2013-12-31</t>
        </is>
      </c>
      <c r="L65" s="2" t="inlineStr">
        <is>
          <t>output/v16/f2_contabilidad/informe.md#v16-con-precio-cuota-pc1-2007-2013</t>
        </is>
      </c>
      <c r="M65" s="2" t="inlineStr">
        <is>
          <t>output/v16/f2_contabilidad/hechos.json:V16-CON-PRECIO-CUOTA-PC1-2007-2013</t>
        </is>
      </c>
    </row>
    <row r="66">
      <c r="A66" s="2" t="inlineStr">
        <is>
          <t>V16-CON-PRECIO-CUOTA-PC1-2014-2019</t>
        </is>
      </c>
      <c r="B66" s="2" t="inlineStr">
        <is>
          <t>Cuota del 1.er factor común (PC1) en la varianza del crecimiento interanual del valor tasado, 33 provincias (valor: cuota; rango: banda 95 %)</t>
        </is>
      </c>
      <c r="C66" s="2" t="n">
        <v>52.8903</v>
      </c>
      <c r="D66" s="2" t="n">
        <v>24.7918</v>
      </c>
      <c r="E66" s="2" t="n">
        <v>63.1126</v>
      </c>
      <c r="F66" s="2" t="inlineStr">
        <is>
          <t>%</t>
        </is>
      </c>
      <c r="G66" s="2" t="inlineStr">
        <is>
          <t>2014-2019</t>
        </is>
      </c>
      <c r="H66" s="2" t="inlineStr">
        <is>
          <t>33 provincias (11 selladas v6 excluidas)</t>
        </is>
      </c>
      <c r="I66" s="2" t="inlineStr">
        <is>
          <t>MIVAU valor tasado (data/base)</t>
        </is>
      </c>
      <c r="J66" s="2" t="inlineStr">
        <is>
          <t>C4</t>
        </is>
      </c>
      <c r="K66" s="2" t="inlineStr">
        <is>
          <t>2019-12-31</t>
        </is>
      </c>
      <c r="L66" s="2" t="inlineStr">
        <is>
          <t>output/v16/f2_contabilidad/informe.md#v16-con-precio-cuota-pc1-2014-2019</t>
        </is>
      </c>
      <c r="M66" s="2" t="inlineStr">
        <is>
          <t>output/v16/f2_contabilidad/hechos.json:V16-CON-PRECIO-CUOTA-PC1-2014-2019</t>
        </is>
      </c>
    </row>
    <row r="67">
      <c r="A67" s="2" t="inlineStr">
        <is>
          <t>V16-CON-PRECIO-CUOTA-PC1-2020-2026</t>
        </is>
      </c>
      <c r="B67" s="2" t="inlineStr">
        <is>
          <t>Cuota del 1.er factor común (PC1) en la varianza del crecimiento interanual del valor tasado, 33 provincias (valor: cuota; rango: banda 95 %)</t>
        </is>
      </c>
      <c r="C67" s="2" t="n">
        <v>80.85760000000001</v>
      </c>
      <c r="D67" s="2" t="n">
        <v>40.2043</v>
      </c>
      <c r="E67" s="2" t="n">
        <v>86.098</v>
      </c>
      <c r="F67" s="2" t="inlineStr">
        <is>
          <t>%</t>
        </is>
      </c>
      <c r="G67" s="2" t="inlineStr">
        <is>
          <t>2020-2026</t>
        </is>
      </c>
      <c r="H67" s="2" t="inlineStr">
        <is>
          <t>33 provincias (11 selladas v6 excluidas)</t>
        </is>
      </c>
      <c r="I67" s="2" t="inlineStr">
        <is>
          <t>MIVAU valor tasado (data/base)</t>
        </is>
      </c>
      <c r="J67" s="2" t="inlineStr">
        <is>
          <t>C4</t>
        </is>
      </c>
      <c r="K67" s="2" t="inlineStr">
        <is>
          <t>2026-06-30</t>
        </is>
      </c>
      <c r="L67" s="2" t="inlineStr">
        <is>
          <t>output/v16/f2_contabilidad/informe.md#v16-con-precio-cuota-pc1-2020-2026</t>
        </is>
      </c>
      <c r="M67" s="2" t="inlineStr">
        <is>
          <t>output/v16/f2_contabilidad/hechos.json:V16-CON-PRECIO-CUOTA-PC1-2020-2026</t>
        </is>
      </c>
    </row>
    <row r="68">
      <c r="A68" s="2" t="inlineStr">
        <is>
          <t>V16-CON-PRECIO-DFM-R2</t>
        </is>
      </c>
      <c r="B68" s="2" t="inlineStr">
        <is>
          <t>R² medio con el factor del DynamicFactor (tasa trimestral, 2007T1-2026T2), periodo 2020-2026 (rango: periodos 2007-2013 y 2014-2019)</t>
        </is>
      </c>
      <c r="C68" s="2" t="n">
        <v>45.0211</v>
      </c>
      <c r="D68" s="2" t="n">
        <v>17.6252</v>
      </c>
      <c r="E68" s="2" t="n">
        <v>45.0211</v>
      </c>
      <c r="F68" s="2" t="inlineStr">
        <is>
          <t>%</t>
        </is>
      </c>
      <c r="G68" s="2" t="inlineStr">
        <is>
          <t>2007-2026</t>
        </is>
      </c>
      <c r="H68" s="2" t="inlineStr">
        <is>
          <t>33 provincias</t>
        </is>
      </c>
      <c r="I68" s="2" t="inlineStr">
        <is>
          <t>MIVAU valor tasado (data/base); statsmodels</t>
        </is>
      </c>
      <c r="J68" s="2" t="inlineStr">
        <is>
          <t>C4</t>
        </is>
      </c>
      <c r="K68" s="2" t="inlineStr">
        <is>
          <t>2026-06-30</t>
        </is>
      </c>
      <c r="L68" s="2" t="inlineStr">
        <is>
          <t>output/v16/f2_contabilidad/informe.md#v16-con-precio-dfm-r2</t>
        </is>
      </c>
      <c r="M68" s="2" t="inlineStr">
        <is>
          <t>output/v16/f2_contabilidad/hechos.json:V16-CON-PRECIO-DFM-R2</t>
        </is>
      </c>
    </row>
    <row r="69">
      <c r="A69" s="2" t="inlineStr">
        <is>
          <t>V16-CON-PRECIO-LOCAL-CCAA</t>
        </is>
      </c>
      <c r="B69" s="2" t="inlineStr">
        <is>
          <t>Correlación media de los residuos locales entre provincias de la misma CCAA, 2014-2019 (rango: 2007-2013 a 2020-2026)</t>
        </is>
      </c>
      <c r="C69" s="2" t="n">
        <v>0.0204</v>
      </c>
      <c r="D69" s="2" t="n">
        <v>0.0204</v>
      </c>
      <c r="E69" s="2" t="n">
        <v>0.1126</v>
      </c>
      <c r="F69" s="2" t="inlineStr">
        <is>
          <t>correlación</t>
        </is>
      </c>
      <c r="G69" s="2" t="inlineStr">
        <is>
          <t>2014-2019</t>
        </is>
      </c>
      <c r="H69" s="2" t="inlineStr">
        <is>
          <t>provincias de la misma CCAA</t>
        </is>
      </c>
      <c r="I69" s="2" t="inlineStr">
        <is>
          <t>MIVAU valor tasado (data/base)</t>
        </is>
      </c>
      <c r="J69" s="2" t="inlineStr">
        <is>
          <t>C4</t>
        </is>
      </c>
      <c r="K69" s="2" t="inlineStr">
        <is>
          <t>2019-12-31</t>
        </is>
      </c>
      <c r="L69" s="2" t="inlineStr">
        <is>
          <t>output/v16/f2_contabilidad/informe.md#v16-con-precio-local-ccaa</t>
        </is>
      </c>
      <c r="M69" s="2" t="inlineStr">
        <is>
          <t>output/v16/f2_contabilidad/hechos.json:V16-CON-PRECIO-LOCAL-CCAA</t>
        </is>
      </c>
    </row>
    <row r="70">
      <c r="A70" s="2" t="inlineStr">
        <is>
          <t>V16-CON-PRECIO-R2-PROV-2007-2013</t>
        </is>
      </c>
      <c r="B70" s="2" t="inlineStr">
        <is>
          <t>Cuota común por provincia (R² con el factor), 33 provincias (valor: mediana; rango: mín. y máx.)</t>
        </is>
      </c>
      <c r="C70" s="2" t="n">
        <v>75.9594</v>
      </c>
      <c r="D70" s="2" t="n">
        <v>16.2717</v>
      </c>
      <c r="E70" s="2" t="n">
        <v>93.5204</v>
      </c>
      <c r="F70" s="2" t="inlineStr">
        <is>
          <t>%</t>
        </is>
      </c>
      <c r="G70" s="2" t="inlineStr">
        <is>
          <t>2007-2013</t>
        </is>
      </c>
      <c r="H70" s="2" t="inlineStr">
        <is>
          <t>33 provincias</t>
        </is>
      </c>
      <c r="I70" s="2" t="inlineStr">
        <is>
          <t>MIVAU valor tasado (data/base)</t>
        </is>
      </c>
      <c r="J70" s="2" t="inlineStr">
        <is>
          <t>C4</t>
        </is>
      </c>
      <c r="K70" s="2" t="inlineStr">
        <is>
          <t>2013-12-31</t>
        </is>
      </c>
      <c r="L70" s="2" t="inlineStr">
        <is>
          <t>output/v16/f2_contabilidad/informe.md#v16-con-precio-r2-prov-2007-2013</t>
        </is>
      </c>
      <c r="M70" s="2" t="inlineStr">
        <is>
          <t>output/v16/f2_contabilidad/hechos.json:V16-CON-PRECIO-R2-PROV-2007-2013</t>
        </is>
      </c>
    </row>
    <row r="71">
      <c r="A71" s="2" t="inlineStr">
        <is>
          <t>V16-CON-PRECIO-R2-PROV-2014-2019</t>
        </is>
      </c>
      <c r="B71" s="2" t="inlineStr">
        <is>
          <t>Cuota común por provincia (R² con el factor), 33 provincias (valor: mediana; rango: mín. y máx.)</t>
        </is>
      </c>
      <c r="C71" s="2" t="n">
        <v>53.1879</v>
      </c>
      <c r="D71" s="2" t="n">
        <v>1.1132</v>
      </c>
      <c r="E71" s="2" t="n">
        <v>87.96259999999999</v>
      </c>
      <c r="F71" s="2" t="inlineStr">
        <is>
          <t>%</t>
        </is>
      </c>
      <c r="G71" s="2" t="inlineStr">
        <is>
          <t>2014-2019</t>
        </is>
      </c>
      <c r="H71" s="2" t="inlineStr">
        <is>
          <t>33 provincias</t>
        </is>
      </c>
      <c r="I71" s="2" t="inlineStr">
        <is>
          <t>MIVAU valor tasado (data/base)</t>
        </is>
      </c>
      <c r="J71" s="2" t="inlineStr">
        <is>
          <t>C4</t>
        </is>
      </c>
      <c r="K71" s="2" t="inlineStr">
        <is>
          <t>2019-12-31</t>
        </is>
      </c>
      <c r="L71" s="2" t="inlineStr">
        <is>
          <t>output/v16/f2_contabilidad/informe.md#v16-con-precio-r2-prov-2014-2019</t>
        </is>
      </c>
      <c r="M71" s="2" t="inlineStr">
        <is>
          <t>output/v16/f2_contabilidad/hechos.json:V16-CON-PRECIO-R2-PROV-2014-2019</t>
        </is>
      </c>
    </row>
    <row r="72">
      <c r="A72" s="2" t="inlineStr">
        <is>
          <t>V16-CON-PRECIO-R2-PROV-2020-2026</t>
        </is>
      </c>
      <c r="B72" s="2" t="inlineStr">
        <is>
          <t>Cuota común por provincia (R² con el factor), 33 provincias (valor: mediana; rango: mín. y máx.)</t>
        </is>
      </c>
      <c r="C72" s="2" t="n">
        <v>83.1349</v>
      </c>
      <c r="D72" s="2" t="n">
        <v>51.0334</v>
      </c>
      <c r="E72" s="2" t="n">
        <v>95.5693</v>
      </c>
      <c r="F72" s="2" t="inlineStr">
        <is>
          <t>%</t>
        </is>
      </c>
      <c r="G72" s="2" t="inlineStr">
        <is>
          <t>2020-2026</t>
        </is>
      </c>
      <c r="H72" s="2" t="inlineStr">
        <is>
          <t>33 provincias</t>
        </is>
      </c>
      <c r="I72" s="2" t="inlineStr">
        <is>
          <t>MIVAU valor tasado (data/base)</t>
        </is>
      </c>
      <c r="J72" s="2" t="inlineStr">
        <is>
          <t>C4</t>
        </is>
      </c>
      <c r="K72" s="2" t="inlineStr">
        <is>
          <t>2026-06-30</t>
        </is>
      </c>
      <c r="L72" s="2" t="inlineStr">
        <is>
          <t>output/v16/f2_contabilidad/informe.md#v16-con-precio-r2-prov-2020-2026</t>
        </is>
      </c>
      <c r="M72" s="2" t="inlineStr">
        <is>
          <t>output/v16/f2_contabilidad/hechos.json:V16-CON-PRECIO-R2-PROV-2020-2026</t>
        </is>
      </c>
    </row>
    <row r="73">
      <c r="A73" s="2" t="inlineStr">
        <is>
          <t>V16-CON-PRECIO-V8-DIF-PP</t>
        </is>
      </c>
      <c r="B73" s="2" t="inlineStr">
        <is>
          <t>Diferencia de la cuota del PC1 (33 provincias, precio real) con la de V8 (17 CCAA) en P2, P3 y P5 (valor: media; rango: mín. y máx.)</t>
        </is>
      </c>
      <c r="C73" s="2" t="n">
        <v>-7.6853</v>
      </c>
      <c r="D73" s="2" t="n">
        <v>-14.5319</v>
      </c>
      <c r="E73" s="2" t="n">
        <v>-3.7209</v>
      </c>
      <c r="F73" s="2" t="inlineStr">
        <is>
          <t>pp</t>
        </is>
      </c>
      <c r="G73" s="2" t="inlineStr">
        <is>
          <t>P2, P3, P5 de V8</t>
        </is>
      </c>
      <c r="H73" s="2" t="inlineStr">
        <is>
          <t>33 provincias frente a 17 CCAA</t>
        </is>
      </c>
      <c r="I73" s="2" t="inlineStr">
        <is>
          <t>V8-M1; MIVAU valor tasado</t>
        </is>
      </c>
      <c r="J73" s="2" t="inlineStr">
        <is>
          <t>C4</t>
        </is>
      </c>
      <c r="K73" s="2" t="inlineStr">
        <is>
          <t>2026-06-30</t>
        </is>
      </c>
      <c r="L73" s="2" t="inlineStr">
        <is>
          <t>output/v16/f2_contabilidad/informe.md#v16-con-precio-v8-dif-pp</t>
        </is>
      </c>
      <c r="M73" s="2" t="inlineStr">
        <is>
          <t>output/v16/f2_contabilidad/hechos.json:V16-CON-PRECIO-V8-DIF-PP</t>
        </is>
      </c>
    </row>
    <row r="74">
      <c r="A74" s="2" t="inlineStr">
        <is>
          <t>V16-ESF-DES-alquiler_mercado-DFL-composicion-2019_2025</t>
        </is>
      </c>
      <c r="B74" s="2" t="inlineStr">
        <is>
          <t>parte del cambio atribuida contablemente a la composición (DFL) · alquiler a precio de mercado</t>
        </is>
      </c>
      <c r="C74" s="2" t="n">
        <v>-9.971</v>
      </c>
      <c r="D74" s="2" t="n">
        <v>-12.019</v>
      </c>
      <c r="E74" s="2" t="n">
        <v>-7.934</v>
      </c>
      <c r="F74" s="2" t="inlineStr">
        <is>
          <t>puntos porcentuales de la renta neta</t>
        </is>
      </c>
      <c r="G74" s="2" t="inlineStr">
        <is>
          <t>2019-2025</t>
        </is>
      </c>
      <c r="H74" s="2" t="inlineStr">
        <is>
          <t>España (hogares privados; agregado de las 19 regiones NUTS2 de la ECV)</t>
        </is>
      </c>
      <c r="I74" s="2" t="inlineStr">
        <is>
          <t>INE, Encuesta de Condiciones de Vida, microdatos transversales (ficheros D, H, R, P)</t>
        </is>
      </c>
      <c r="J74" s="2" t="inlineStr">
        <is>
          <t>C4</t>
        </is>
      </c>
      <c r="K74" s="2" t="inlineStr">
        <is>
          <t>2026-06-10</t>
        </is>
      </c>
      <c r="L74" s="2" t="inlineStr">
        <is>
          <t>output/v16/f2_esfuerzo/informe.md#esf-descomposicion</t>
        </is>
      </c>
      <c r="M74" s="2" t="inlineStr">
        <is>
          <t>output/v16/f2_esfuerzo/hechos.json:V16-ESF-DES-alquiler_mercado-DFL-composicion-2019_2025</t>
        </is>
      </c>
    </row>
    <row r="75">
      <c r="A75" s="2" t="inlineStr">
        <is>
          <t>V16-ESF-DES-alquiler_mercado-observado-total-2019_2025</t>
        </is>
      </c>
      <c r="B75" s="2" t="inlineStr">
        <is>
          <t>cambio observado del esfuerzo medio (gasto/renta) · alquiler a precio de mercado</t>
        </is>
      </c>
      <c r="C75" s="2" t="n">
        <v>-6.226</v>
      </c>
      <c r="D75" s="2" t="n">
        <v>-8.446</v>
      </c>
      <c r="E75" s="2" t="n">
        <v>-4.276</v>
      </c>
      <c r="F75" s="2" t="inlineStr">
        <is>
          <t>puntos porcentuales de la renta neta</t>
        </is>
      </c>
      <c r="G75" s="2" t="inlineStr">
        <is>
          <t>2019-2025</t>
        </is>
      </c>
      <c r="H75" s="2" t="inlineStr">
        <is>
          <t>España (hogares privados; agregado de las 19 regiones NUTS2 de la ECV)</t>
        </is>
      </c>
      <c r="I75" s="2" t="inlineStr">
        <is>
          <t>INE, Encuesta de Condiciones de Vida, microdatos transversales (ficheros D, H, R, P)</t>
        </is>
      </c>
      <c r="J75" s="2" t="inlineStr">
        <is>
          <t>C4</t>
        </is>
      </c>
      <c r="K75" s="2" t="inlineStr">
        <is>
          <t>2026-06-10</t>
        </is>
      </c>
      <c r="L75" s="2" t="inlineStr">
        <is>
          <t>output/v16/f2_esfuerzo/informe.md#esf-descomposicion</t>
        </is>
      </c>
      <c r="M75" s="2" t="inlineStr">
        <is>
          <t>output/v16/f2_esfuerzo/hechos.json:V16-ESF-DES-alquiler_mercado-observado-total-2019_2025</t>
        </is>
      </c>
    </row>
    <row r="76">
      <c r="A76" s="2" t="inlineStr">
        <is>
          <t>V16-ESF-DES-prop_con_hipoteca-DFL-composicion-2019_2025</t>
        </is>
      </c>
      <c r="B76" s="2" t="inlineStr">
        <is>
          <t>parte del cambio atribuida contablemente a la composición (DFL) · propiedad con hipoteca</t>
        </is>
      </c>
      <c r="C76" s="2" t="n">
        <v>-3.602</v>
      </c>
      <c r="D76" s="2" t="n">
        <v>-4.253</v>
      </c>
      <c r="E76" s="2" t="n">
        <v>-2.96</v>
      </c>
      <c r="F76" s="2" t="inlineStr">
        <is>
          <t>puntos porcentuales de la renta neta</t>
        </is>
      </c>
      <c r="G76" s="2" t="inlineStr">
        <is>
          <t>2019-2025</t>
        </is>
      </c>
      <c r="H76" s="2" t="inlineStr">
        <is>
          <t>España (hogares privados; agregado de las 19 regiones NUTS2 de la ECV)</t>
        </is>
      </c>
      <c r="I76" s="2" t="inlineStr">
        <is>
          <t>INE, Encuesta de Condiciones de Vida, microdatos transversales (ficheros D, H, R, P)</t>
        </is>
      </c>
      <c r="J76" s="2" t="inlineStr">
        <is>
          <t>C4</t>
        </is>
      </c>
      <c r="K76" s="2" t="inlineStr">
        <is>
          <t>2026-06-10</t>
        </is>
      </c>
      <c r="L76" s="2" t="inlineStr">
        <is>
          <t>output/v16/f2_esfuerzo/informe.md#esf-descomposicion</t>
        </is>
      </c>
      <c r="M76" s="2" t="inlineStr">
        <is>
          <t>output/v16/f2_esfuerzo/hechos.json:V16-ESF-DES-prop_con_hipoteca-DFL-composicion-2019_2025</t>
        </is>
      </c>
    </row>
    <row r="77">
      <c r="A77" s="2" t="inlineStr">
        <is>
          <t>V16-ESF-DES-prop_con_hipoteca-observado-total-2019_2025</t>
        </is>
      </c>
      <c r="B77" s="2" t="inlineStr">
        <is>
          <t>cambio observado del esfuerzo medio (gasto/renta) · propiedad con hipoteca</t>
        </is>
      </c>
      <c r="C77" s="2" t="n">
        <v>0.8129999999999999</v>
      </c>
      <c r="D77" s="2" t="n">
        <v>-0.098</v>
      </c>
      <c r="E77" s="2" t="n">
        <v>1.625</v>
      </c>
      <c r="F77" s="2" t="inlineStr">
        <is>
          <t>puntos porcentuales de la renta neta</t>
        </is>
      </c>
      <c r="G77" s="2" t="inlineStr">
        <is>
          <t>2019-2025</t>
        </is>
      </c>
      <c r="H77" s="2" t="inlineStr">
        <is>
          <t>España (hogares privados; agregado de las 19 regiones NUTS2 de la ECV)</t>
        </is>
      </c>
      <c r="I77" s="2" t="inlineStr">
        <is>
          <t>INE, Encuesta de Condiciones de Vida, microdatos transversales (ficheros D, H, R, P)</t>
        </is>
      </c>
      <c r="J77" s="2" t="inlineStr">
        <is>
          <t>C4</t>
        </is>
      </c>
      <c r="K77" s="2" t="inlineStr">
        <is>
          <t>2026-06-10</t>
        </is>
      </c>
      <c r="L77" s="2" t="inlineStr">
        <is>
          <t>output/v16/f2_esfuerzo/informe.md#esf-descomposicion</t>
        </is>
      </c>
      <c r="M77" s="2" t="inlineStr">
        <is>
          <t>output/v16/f2_esfuerzo/hechos.json:V16-ESF-DES-prop_con_hipoteca-observado-total-2019_2025</t>
        </is>
      </c>
    </row>
    <row r="78">
      <c r="A78" s="2" t="inlineStr">
        <is>
          <t>V16-ESF-EDA-16-34-S40-2008_2025</t>
        </is>
      </c>
      <c r="B78" s="2" t="inlineStr">
        <is>
          <t>Cambio de: Población con gasto neto de vivienda &gt; 40 % de la renta neta · sustentador de 16-34 años</t>
        </is>
      </c>
      <c r="C78" s="2" t="n">
        <v>-1.021</v>
      </c>
      <c r="D78" s="2" t="n">
        <v>-4.09</v>
      </c>
      <c r="E78" s="2" t="n">
        <v>2.055</v>
      </c>
      <c r="F78" s="2" t="inlineStr">
        <is>
          <t>puntos porcentuales</t>
        </is>
      </c>
      <c r="G78" s="2" t="inlineStr">
        <is>
          <t>2008-2025</t>
        </is>
      </c>
      <c r="H78" s="2" t="inlineStr">
        <is>
          <t>España (hogares privados; agregado de las 19 regiones NUTS2 de la ECV); el nivel de 2008 difiere de Eurostat más de 0,5 pp (ver informe, validación)</t>
        </is>
      </c>
      <c r="I78" s="2" t="inlineStr">
        <is>
          <t>INE, Encuesta de Condiciones de Vida, microdatos transversales (ficheros D, H, R, P)</t>
        </is>
      </c>
      <c r="J78" s="2" t="inlineStr">
        <is>
          <t>C4</t>
        </is>
      </c>
      <c r="K78" s="2" t="inlineStr">
        <is>
          <t>2026-06-10</t>
        </is>
      </c>
      <c r="L78" s="2" t="inlineStr">
        <is>
          <t>output/v16/f2_esfuerzo/informe.md#esf-edad</t>
        </is>
      </c>
      <c r="M78" s="2" t="inlineStr">
        <is>
          <t>output/v16/f2_esfuerzo/hechos.json:V16-ESF-EDA-16-34-S40-2008_2025</t>
        </is>
      </c>
    </row>
    <row r="79">
      <c r="A79" s="2" t="inlineStr">
        <is>
          <t>V16-ESF-EDA-16-34-S40-2019_2025</t>
        </is>
      </c>
      <c r="B79" s="2" t="inlineStr">
        <is>
          <t>Cambio de: Población con gasto neto de vivienda &gt; 40 % de la renta neta · sustentador de 16-34 años</t>
        </is>
      </c>
      <c r="C79" s="2" t="n">
        <v>-3.61</v>
      </c>
      <c r="D79" s="2" t="n">
        <v>-7.044</v>
      </c>
      <c r="E79" s="2" t="n">
        <v>0.098</v>
      </c>
      <c r="F79" s="2" t="inlineStr">
        <is>
          <t>puntos porcentuales</t>
        </is>
      </c>
      <c r="G79" s="2" t="inlineStr">
        <is>
          <t>2019-2025</t>
        </is>
      </c>
      <c r="H79" s="2" t="inlineStr">
        <is>
          <t>España (hogares privados; agregado de las 19 regiones NUTS2 de la ECV)</t>
        </is>
      </c>
      <c r="I79" s="2" t="inlineStr">
        <is>
          <t>INE, Encuesta de Condiciones de Vida, microdatos transversales (ficheros D, H, R, P)</t>
        </is>
      </c>
      <c r="J79" s="2" t="inlineStr">
        <is>
          <t>C4</t>
        </is>
      </c>
      <c r="K79" s="2" t="inlineStr">
        <is>
          <t>2026-06-10</t>
        </is>
      </c>
      <c r="L79" s="2" t="inlineStr">
        <is>
          <t>output/v16/f2_esfuerzo/informe.md#esf-edad</t>
        </is>
      </c>
      <c r="M79" s="2" t="inlineStr">
        <is>
          <t>output/v16/f2_esfuerzo/hechos.json:V16-ESF-EDA-16-34-S40-2019_2025</t>
        </is>
      </c>
    </row>
    <row r="80">
      <c r="A80" s="2" t="inlineStr">
        <is>
          <t>V16-ESF-EDA-16-34-S40-2025</t>
        </is>
      </c>
      <c r="B80" s="2" t="inlineStr">
        <is>
          <t>Población con gasto neto de vivienda &gt; 40 % de la renta neta · sustentador de 16-34 años</t>
        </is>
      </c>
      <c r="C80" s="2" t="n">
        <v>12.84</v>
      </c>
      <c r="D80" s="2" t="n">
        <v>10.796</v>
      </c>
      <c r="E80" s="2" t="n">
        <v>15.196</v>
      </c>
      <c r="F80" s="2" t="inlineStr">
        <is>
          <t>% de la población</t>
        </is>
      </c>
      <c r="G80" s="2" t="inlineStr">
        <is>
          <t>2025</t>
        </is>
      </c>
      <c r="H80" s="2" t="inlineStr">
        <is>
          <t>España (hogares privados; agregado de las 19 regiones NUTS2 de la ECV)</t>
        </is>
      </c>
      <c r="I80" s="2" t="inlineStr">
        <is>
          <t>INE, Encuesta de Condiciones de Vida, microdatos transversales (ficheros D, H, R, P)</t>
        </is>
      </c>
      <c r="J80" s="2" t="inlineStr">
        <is>
          <t>C4</t>
        </is>
      </c>
      <c r="K80" s="2" t="inlineStr">
        <is>
          <t>2026-06-10</t>
        </is>
      </c>
      <c r="L80" s="2" t="inlineStr">
        <is>
          <t>output/v16/f2_esfuerzo/informe.md#esf-edad</t>
        </is>
      </c>
      <c r="M80" s="2" t="inlineStr">
        <is>
          <t>output/v16/f2_esfuerzo/hechos.json:V16-ESF-EDA-16-34-S40-2025</t>
        </is>
      </c>
    </row>
    <row r="81">
      <c r="A81" s="2" t="inlineStr">
        <is>
          <t>V16-ESF-EDA-35-49-S40-2025</t>
        </is>
      </c>
      <c r="B81" s="2" t="inlineStr">
        <is>
          <t>Población con gasto neto de vivienda &gt; 40 % de la renta neta · sustentador de 35-49 años</t>
        </is>
      </c>
      <c r="C81" s="2" t="n">
        <v>8.551</v>
      </c>
      <c r="D81" s="2" t="n">
        <v>7.746</v>
      </c>
      <c r="E81" s="2" t="n">
        <v>9.534000000000001</v>
      </c>
      <c r="F81" s="2" t="inlineStr">
        <is>
          <t>% de la población</t>
        </is>
      </c>
      <c r="G81" s="2" t="inlineStr">
        <is>
          <t>2025</t>
        </is>
      </c>
      <c r="H81" s="2" t="inlineStr">
        <is>
          <t>España (hogares privados; agregado de las 19 regiones NUTS2 de la ECV)</t>
        </is>
      </c>
      <c r="I81" s="2" t="inlineStr">
        <is>
          <t>INE, Encuesta de Condiciones de Vida, microdatos transversales (ficheros D, H, R, P)</t>
        </is>
      </c>
      <c r="J81" s="2" t="inlineStr">
        <is>
          <t>C4</t>
        </is>
      </c>
      <c r="K81" s="2" t="inlineStr">
        <is>
          <t>2026-06-10</t>
        </is>
      </c>
      <c r="L81" s="2" t="inlineStr">
        <is>
          <t>output/v16/f2_esfuerzo/informe.md#esf-edad</t>
        </is>
      </c>
      <c r="M81" s="2" t="inlineStr">
        <is>
          <t>output/v16/f2_esfuerzo/hechos.json:V16-ESF-EDA-35-49-S40-2025</t>
        </is>
      </c>
    </row>
    <row r="82">
      <c r="A82" s="2" t="inlineStr">
        <is>
          <t>V16-ESF-EDA-50-64-S40-2025</t>
        </is>
      </c>
      <c r="B82" s="2" t="inlineStr">
        <is>
          <t>Población con gasto neto de vivienda &gt; 40 % de la renta neta · sustentador de 50-64 años</t>
        </is>
      </c>
      <c r="C82" s="2" t="n">
        <v>5.935</v>
      </c>
      <c r="D82" s="2" t="n">
        <v>5.116</v>
      </c>
      <c r="E82" s="2" t="n">
        <v>6.855</v>
      </c>
      <c r="F82" s="2" t="inlineStr">
        <is>
          <t>% de la población</t>
        </is>
      </c>
      <c r="G82" s="2" t="inlineStr">
        <is>
          <t>2025</t>
        </is>
      </c>
      <c r="H82" s="2" t="inlineStr">
        <is>
          <t>España (hogares privados; agregado de las 19 regiones NUTS2 de la ECV)</t>
        </is>
      </c>
      <c r="I82" s="2" t="inlineStr">
        <is>
          <t>INE, Encuesta de Condiciones de Vida, microdatos transversales (ficheros D, H, R, P)</t>
        </is>
      </c>
      <c r="J82" s="2" t="inlineStr">
        <is>
          <t>C4</t>
        </is>
      </c>
      <c r="K82" s="2" t="inlineStr">
        <is>
          <t>2026-06-10</t>
        </is>
      </c>
      <c r="L82" s="2" t="inlineStr">
        <is>
          <t>output/v16/f2_esfuerzo/informe.md#esf-edad</t>
        </is>
      </c>
      <c r="M82" s="2" t="inlineStr">
        <is>
          <t>output/v16/f2_esfuerzo/hechos.json:V16-ESF-EDA-50-64-S40-2025</t>
        </is>
      </c>
    </row>
    <row r="83">
      <c r="A83" s="2" t="inlineStr">
        <is>
          <t>V16-ESF-EDA-65+-S40-2025</t>
        </is>
      </c>
      <c r="B83" s="2" t="inlineStr">
        <is>
          <t>Población con gasto neto de vivienda &gt; 40 % de la renta neta · sustentador de 65+ años</t>
        </is>
      </c>
      <c r="C83" s="2" t="n">
        <v>4.557</v>
      </c>
      <c r="D83" s="2" t="n">
        <v>4.102</v>
      </c>
      <c r="E83" s="2" t="n">
        <v>5.057</v>
      </c>
      <c r="F83" s="2" t="inlineStr">
        <is>
          <t>% de la población</t>
        </is>
      </c>
      <c r="G83" s="2" t="inlineStr">
        <is>
          <t>2025</t>
        </is>
      </c>
      <c r="H83" s="2" t="inlineStr">
        <is>
          <t>España (hogares privados; agregado de las 19 regiones NUTS2 de la ECV)</t>
        </is>
      </c>
      <c r="I83" s="2" t="inlineStr">
        <is>
          <t>INE, Encuesta de Condiciones de Vida, microdatos transversales (ficheros D, H, R, P)</t>
        </is>
      </c>
      <c r="J83" s="2" t="inlineStr">
        <is>
          <t>C4</t>
        </is>
      </c>
      <c r="K83" s="2" t="inlineStr">
        <is>
          <t>2026-06-10</t>
        </is>
      </c>
      <c r="L83" s="2" t="inlineStr">
        <is>
          <t>output/v16/f2_esfuerzo/informe.md#esf-edad</t>
        </is>
      </c>
      <c r="M83" s="2" t="inlineStr">
        <is>
          <t>output/v16/f2_esfuerzo/hechos.json:V16-ESF-EDA-65+-S40-2025</t>
        </is>
      </c>
    </row>
    <row r="84">
      <c r="A84" s="2" t="inlineStr">
        <is>
          <t>V16-ESF-ESP-RES-2025</t>
        </is>
      </c>
      <c r="B84" s="2" t="inlineStr">
        <is>
          <t>Población que cae bajo el umbral de pobreza (60 % de la mediana) tras el gasto de vivienda y no estaba bajo él antes · España</t>
        </is>
      </c>
      <c r="C84" s="2" t="n">
        <v>9.266999999999999</v>
      </c>
      <c r="D84" s="2" t="n">
        <v>8.654</v>
      </c>
      <c r="E84" s="2" t="n">
        <v>9.869999999999999</v>
      </c>
      <c r="F84" s="2" t="inlineStr">
        <is>
          <t>% de la población</t>
        </is>
      </c>
      <c r="G84" s="2" t="inlineStr">
        <is>
          <t>2025</t>
        </is>
      </c>
      <c r="H84" s="2" t="inlineStr">
        <is>
          <t>España (hogares privados; agregado de las 19 regiones NUTS2 de la ECV)</t>
        </is>
      </c>
      <c r="I84" s="2" t="inlineStr">
        <is>
          <t>INE, Encuesta de Condiciones de Vida, microdatos transversales (ficheros D, H, R, P)</t>
        </is>
      </c>
      <c r="J84" s="2" t="inlineStr">
        <is>
          <t>C4</t>
        </is>
      </c>
      <c r="K84" s="2" t="inlineStr">
        <is>
          <t>2026-06-10</t>
        </is>
      </c>
      <c r="L84" s="2" t="inlineStr">
        <is>
          <t>output/v16/f2_esfuerzo/informe.md#esf-espana</t>
        </is>
      </c>
      <c r="M84" s="2" t="inlineStr">
        <is>
          <t>output/v16/f2_esfuerzo/hechos.json:V16-ESF-ESP-RES-2025</t>
        </is>
      </c>
    </row>
    <row r="85">
      <c r="A85" s="2" t="inlineStr">
        <is>
          <t>V16-ESF-ESP-S30-2025</t>
        </is>
      </c>
      <c r="B85" s="2" t="inlineStr">
        <is>
          <t>Población con gasto neto de vivienda &gt; 30 % de la renta neta · España</t>
        </is>
      </c>
      <c r="C85" s="2" t="n">
        <v>12.011</v>
      </c>
      <c r="D85" s="2" t="n">
        <v>11.42</v>
      </c>
      <c r="E85" s="2" t="n">
        <v>12.65</v>
      </c>
      <c r="F85" s="2" t="inlineStr">
        <is>
          <t>% de la población</t>
        </is>
      </c>
      <c r="G85" s="2" t="inlineStr">
        <is>
          <t>2025</t>
        </is>
      </c>
      <c r="H85" s="2" t="inlineStr">
        <is>
          <t>España (hogares privados; agregado de las 19 regiones NUTS2 de la ECV)</t>
        </is>
      </c>
      <c r="I85" s="2" t="inlineStr">
        <is>
          <t>INE, Encuesta de Condiciones de Vida, microdatos transversales (ficheros D, H, R, P)</t>
        </is>
      </c>
      <c r="J85" s="2" t="inlineStr">
        <is>
          <t>C4</t>
        </is>
      </c>
      <c r="K85" s="2" t="inlineStr">
        <is>
          <t>2026-06-10</t>
        </is>
      </c>
      <c r="L85" s="2" t="inlineStr">
        <is>
          <t>output/v16/f2_esfuerzo/informe.md#esf-espana</t>
        </is>
      </c>
      <c r="M85" s="2" t="inlineStr">
        <is>
          <t>output/v16/f2_esfuerzo/hechos.json:V16-ESF-ESP-S30-2025</t>
        </is>
      </c>
    </row>
    <row r="86">
      <c r="A86" s="2" t="inlineStr">
        <is>
          <t>V16-ESF-ESP-S40-2008_2025</t>
        </is>
      </c>
      <c r="B86" s="2" t="inlineStr">
        <is>
          <t>Cambio de: Población con gasto neto de vivienda &gt; 40 % de la renta neta · España</t>
        </is>
      </c>
      <c r="C86" s="2" t="n">
        <v>-2.911</v>
      </c>
      <c r="D86" s="2" t="n">
        <v>-3.813</v>
      </c>
      <c r="E86" s="2" t="n">
        <v>-1.98</v>
      </c>
      <c r="F86" s="2" t="inlineStr">
        <is>
          <t>puntos porcentuales</t>
        </is>
      </c>
      <c r="G86" s="2" t="inlineStr">
        <is>
          <t>2008-2025</t>
        </is>
      </c>
      <c r="H86" s="2" t="inlineStr">
        <is>
          <t>España (hogares privados; agregado de las 19 regiones NUTS2 de la ECV); el nivel de 2008 difiere de Eurostat más de 0,5 pp (ver informe, validación)</t>
        </is>
      </c>
      <c r="I86" s="2" t="inlineStr">
        <is>
          <t>INE, Encuesta de Condiciones de Vida, microdatos transversales (ficheros D, H, R, P)</t>
        </is>
      </c>
      <c r="J86" s="2" t="inlineStr">
        <is>
          <t>C4</t>
        </is>
      </c>
      <c r="K86" s="2" t="inlineStr">
        <is>
          <t>2026-06-10</t>
        </is>
      </c>
      <c r="L86" s="2" t="inlineStr">
        <is>
          <t>output/v16/f2_esfuerzo/informe.md#esf-espana</t>
        </is>
      </c>
      <c r="M86" s="2" t="inlineStr">
        <is>
          <t>output/v16/f2_esfuerzo/hechos.json:V16-ESF-ESP-S40-2008_2025</t>
        </is>
      </c>
    </row>
    <row r="87">
      <c r="A87" s="2" t="inlineStr">
        <is>
          <t>V16-ESF-ESP-S40-2015_2025</t>
        </is>
      </c>
      <c r="B87" s="2" t="inlineStr">
        <is>
          <t>Cambio de: Población con gasto neto de vivienda &gt; 40 % de la renta neta · España</t>
        </is>
      </c>
      <c r="C87" s="2" t="n">
        <v>-3.169</v>
      </c>
      <c r="D87" s="2" t="n">
        <v>-4.157</v>
      </c>
      <c r="E87" s="2" t="n">
        <v>-2.236</v>
      </c>
      <c r="F87" s="2" t="inlineStr">
        <is>
          <t>puntos porcentuales</t>
        </is>
      </c>
      <c r="G87" s="2" t="inlineStr">
        <is>
          <t>2015-2025</t>
        </is>
      </c>
      <c r="H87" s="2" t="inlineStr">
        <is>
          <t>España (hogares privados; agregado de las 19 regiones NUTS2 de la ECV)</t>
        </is>
      </c>
      <c r="I87" s="2" t="inlineStr">
        <is>
          <t>INE, Encuesta de Condiciones de Vida, microdatos transversales (ficheros D, H, R, P)</t>
        </is>
      </c>
      <c r="J87" s="2" t="inlineStr">
        <is>
          <t>C4</t>
        </is>
      </c>
      <c r="K87" s="2" t="inlineStr">
        <is>
          <t>2026-06-10</t>
        </is>
      </c>
      <c r="L87" s="2" t="inlineStr">
        <is>
          <t>output/v16/f2_esfuerzo/informe.md#esf-espana</t>
        </is>
      </c>
      <c r="M87" s="2" t="inlineStr">
        <is>
          <t>output/v16/f2_esfuerzo/hechos.json:V16-ESF-ESP-S40-2015_2025</t>
        </is>
      </c>
    </row>
    <row r="88">
      <c r="A88" s="2" t="inlineStr">
        <is>
          <t>V16-ESF-ESP-S40-2019_2025</t>
        </is>
      </c>
      <c r="B88" s="2" t="inlineStr">
        <is>
          <t>Cambio de: Población con gasto neto de vivienda &gt; 40 % de la renta neta · España</t>
        </is>
      </c>
      <c r="C88" s="2" t="n">
        <v>-1.372</v>
      </c>
      <c r="D88" s="2" t="n">
        <v>-2.207</v>
      </c>
      <c r="E88" s="2" t="n">
        <v>-0.43</v>
      </c>
      <c r="F88" s="2" t="inlineStr">
        <is>
          <t>puntos porcentuales</t>
        </is>
      </c>
      <c r="G88" s="2" t="inlineStr">
        <is>
          <t>2019-2025</t>
        </is>
      </c>
      <c r="H88" s="2" t="inlineStr">
        <is>
          <t>España (hogares privados; agregado de las 19 regiones NUTS2 de la ECV)</t>
        </is>
      </c>
      <c r="I88" s="2" t="inlineStr">
        <is>
          <t>INE, Encuesta de Condiciones de Vida, microdatos transversales (ficheros D, H, R, P)</t>
        </is>
      </c>
      <c r="J88" s="2" t="inlineStr">
        <is>
          <t>C4</t>
        </is>
      </c>
      <c r="K88" s="2" t="inlineStr">
        <is>
          <t>2026-06-10</t>
        </is>
      </c>
      <c r="L88" s="2" t="inlineStr">
        <is>
          <t>output/v16/f2_esfuerzo/informe.md#esf-espana</t>
        </is>
      </c>
      <c r="M88" s="2" t="inlineStr">
        <is>
          <t>output/v16/f2_esfuerzo/hechos.json:V16-ESF-ESP-S40-2019_2025</t>
        </is>
      </c>
    </row>
    <row r="89">
      <c r="A89" s="2" t="inlineStr">
        <is>
          <t>V16-ESF-ESP-S40-2025</t>
        </is>
      </c>
      <c r="B89" s="2" t="inlineStr">
        <is>
          <t>Población con gasto neto de vivienda &gt; 40 % de la renta neta · España</t>
        </is>
      </c>
      <c r="C89" s="2" t="n">
        <v>7.172</v>
      </c>
      <c r="D89" s="2" t="n">
        <v>6.75</v>
      </c>
      <c r="E89" s="2" t="n">
        <v>7.658</v>
      </c>
      <c r="F89" s="2" t="inlineStr">
        <is>
          <t>% de la población</t>
        </is>
      </c>
      <c r="G89" s="2" t="inlineStr">
        <is>
          <t>2025</t>
        </is>
      </c>
      <c r="H89" s="2" t="inlineStr">
        <is>
          <t>España (hogares privados; agregado de las 19 regiones NUTS2 de la ECV)</t>
        </is>
      </c>
      <c r="I89" s="2" t="inlineStr">
        <is>
          <t>INE, Encuesta de Condiciones de Vida, microdatos transversales (ficheros D, H, R, P)</t>
        </is>
      </c>
      <c r="J89" s="2" t="inlineStr">
        <is>
          <t>C4</t>
        </is>
      </c>
      <c r="K89" s="2" t="inlineStr">
        <is>
          <t>2026-06-10</t>
        </is>
      </c>
      <c r="L89" s="2" t="inlineStr">
        <is>
          <t>output/v16/f2_esfuerzo/informe.md#esf-espana</t>
        </is>
      </c>
      <c r="M89" s="2" t="inlineStr">
        <is>
          <t>output/v16/f2_esfuerzo/hechos.json:V16-ESF-ESP-S40-2025</t>
        </is>
      </c>
    </row>
    <row r="90">
      <c r="A90" s="2" t="inlineStr">
        <is>
          <t>V16-ESF-NAC-Espana-S40-2019_2025</t>
        </is>
      </c>
      <c r="B90" s="2" t="inlineStr">
        <is>
          <t>Cambio de: Población con gasto neto de vivienda &gt; 40 % de la renta neta · sustentador con nacionalidad española</t>
        </is>
      </c>
      <c r="C90" s="2" t="n">
        <v>-1.365</v>
      </c>
      <c r="D90" s="2" t="n">
        <v>-2.075</v>
      </c>
      <c r="E90" s="2" t="n">
        <v>-0.628</v>
      </c>
      <c r="F90" s="2" t="inlineStr">
        <is>
          <t>puntos porcentuales</t>
        </is>
      </c>
      <c r="G90" s="2" t="inlineStr">
        <is>
          <t>2019-2025</t>
        </is>
      </c>
      <c r="H90" s="2" t="inlineStr">
        <is>
          <t>España (hogares privados; agregado de las 19 regiones NUTS2 de la ECV)</t>
        </is>
      </c>
      <c r="I90" s="2" t="inlineStr">
        <is>
          <t>INE, Encuesta de Condiciones de Vida, microdatos transversales (ficheros D, H, R, P)</t>
        </is>
      </c>
      <c r="J90" s="2" t="inlineStr">
        <is>
          <t>C4</t>
        </is>
      </c>
      <c r="K90" s="2" t="inlineStr">
        <is>
          <t>2026-06-10</t>
        </is>
      </c>
      <c r="L90" s="2" t="inlineStr">
        <is>
          <t>output/v16/f2_esfuerzo/informe.md#esf-nacionalidad</t>
        </is>
      </c>
      <c r="M90" s="2" t="inlineStr">
        <is>
          <t>output/v16/f2_esfuerzo/hechos.json:V16-ESF-NAC-Espana-S40-2019_2025</t>
        </is>
      </c>
    </row>
    <row r="91">
      <c r="A91" s="2" t="inlineStr">
        <is>
          <t>V16-ESF-NAC-Espana-S40-2025</t>
        </is>
      </c>
      <c r="B91" s="2" t="inlineStr">
        <is>
          <t>Población con gasto neto de vivienda &gt; 40 % de la renta neta · sustentador con nacionalidad española</t>
        </is>
      </c>
      <c r="C91" s="2" t="n">
        <v>4.649</v>
      </c>
      <c r="D91" s="2" t="n">
        <v>4.319</v>
      </c>
      <c r="E91" s="2" t="n">
        <v>5.007</v>
      </c>
      <c r="F91" s="2" t="inlineStr">
        <is>
          <t>% de la población</t>
        </is>
      </c>
      <c r="G91" s="2" t="inlineStr">
        <is>
          <t>2025</t>
        </is>
      </c>
      <c r="H91" s="2" t="inlineStr">
        <is>
          <t>España (hogares privados; agregado de las 19 regiones NUTS2 de la ECV)</t>
        </is>
      </c>
      <c r="I91" s="2" t="inlineStr">
        <is>
          <t>INE, Encuesta de Condiciones de Vida, microdatos transversales (ficheros D, H, R, P)</t>
        </is>
      </c>
      <c r="J91" s="2" t="inlineStr">
        <is>
          <t>C4</t>
        </is>
      </c>
      <c r="K91" s="2" t="inlineStr">
        <is>
          <t>2026-06-10</t>
        </is>
      </c>
      <c r="L91" s="2" t="inlineStr">
        <is>
          <t>output/v16/f2_esfuerzo/informe.md#esf-nacionalidad</t>
        </is>
      </c>
      <c r="M91" s="2" t="inlineStr">
        <is>
          <t>output/v16/f2_esfuerzo/hechos.json:V16-ESF-NAC-Espana-S40-2025</t>
        </is>
      </c>
    </row>
    <row r="92">
      <c r="A92" s="2" t="inlineStr">
        <is>
          <t>V16-ESF-NAC-Resto-S40-2019_2025</t>
        </is>
      </c>
      <c r="B92" s="2" t="inlineStr">
        <is>
          <t>Cambio de: Población con gasto neto de vivienda &gt; 40 % de la renta neta · sustentador con nacionalidad de fuera de la UE</t>
        </is>
      </c>
      <c r="C92" s="2" t="n">
        <v>-8.85</v>
      </c>
      <c r="D92" s="2" t="n">
        <v>-15.644</v>
      </c>
      <c r="E92" s="2" t="n">
        <v>-1.675</v>
      </c>
      <c r="F92" s="2" t="inlineStr">
        <is>
          <t>puntos porcentuales</t>
        </is>
      </c>
      <c r="G92" s="2" t="inlineStr">
        <is>
          <t>2019-2025</t>
        </is>
      </c>
      <c r="H92" s="2" t="inlineStr">
        <is>
          <t>España (hogares privados; agregado de las 19 regiones NUTS2 de la ECV)</t>
        </is>
      </c>
      <c r="I92" s="2" t="inlineStr">
        <is>
          <t>INE, Encuesta de Condiciones de Vida, microdatos transversales (ficheros D, H, R, P)</t>
        </is>
      </c>
      <c r="J92" s="2" t="inlineStr">
        <is>
          <t>C4</t>
        </is>
      </c>
      <c r="K92" s="2" t="inlineStr">
        <is>
          <t>2026-06-10</t>
        </is>
      </c>
      <c r="L92" s="2" t="inlineStr">
        <is>
          <t>output/v16/f2_esfuerzo/informe.md#esf-nacionalidad</t>
        </is>
      </c>
      <c r="M92" s="2" t="inlineStr">
        <is>
          <t>output/v16/f2_esfuerzo/hechos.json:V16-ESF-NAC-Resto-S40-2019_2025</t>
        </is>
      </c>
    </row>
    <row r="93">
      <c r="A93" s="2" t="inlineStr">
        <is>
          <t>V16-ESF-NAC-Resto-S40-2025</t>
        </is>
      </c>
      <c r="B93" s="2" t="inlineStr">
        <is>
          <t>Población con gasto neto de vivienda &gt; 40 % de la renta neta · sustentador con nacionalidad de fuera de la UE</t>
        </is>
      </c>
      <c r="C93" s="2" t="n">
        <v>25.362</v>
      </c>
      <c r="D93" s="2" t="n">
        <v>22.131</v>
      </c>
      <c r="E93" s="2" t="n">
        <v>29.354</v>
      </c>
      <c r="F93" s="2" t="inlineStr">
        <is>
          <t>% de la población</t>
        </is>
      </c>
      <c r="G93" s="2" t="inlineStr">
        <is>
          <t>2025</t>
        </is>
      </c>
      <c r="H93" s="2" t="inlineStr">
        <is>
          <t>España (hogares privados; agregado de las 19 regiones NUTS2 de la ECV)</t>
        </is>
      </c>
      <c r="I93" s="2" t="inlineStr">
        <is>
          <t>INE, Encuesta de Condiciones de Vida, microdatos transversales (ficheros D, H, R, P)</t>
        </is>
      </c>
      <c r="J93" s="2" t="inlineStr">
        <is>
          <t>C4</t>
        </is>
      </c>
      <c r="K93" s="2" t="inlineStr">
        <is>
          <t>2026-06-10</t>
        </is>
      </c>
      <c r="L93" s="2" t="inlineStr">
        <is>
          <t>output/v16/f2_esfuerzo/informe.md#esf-nacionalidad</t>
        </is>
      </c>
      <c r="M93" s="2" t="inlineStr">
        <is>
          <t>output/v16/f2_esfuerzo/hechos.json:V16-ESF-NAC-Resto-S40-2025</t>
        </is>
      </c>
    </row>
    <row r="94">
      <c r="A94" s="2" t="inlineStr">
        <is>
          <t>V16-ESF-NAC-UE-S40-2019_2025</t>
        </is>
      </c>
      <c r="B94" s="2" t="inlineStr">
        <is>
          <t>Cambio de: Población con gasto neto de vivienda &gt; 40 % de la renta neta · sustentador con nacionalidad de otro país de la UE</t>
        </is>
      </c>
      <c r="C94" s="2" t="n">
        <v>-14.235</v>
      </c>
      <c r="D94" s="2" t="n">
        <v>-26.584</v>
      </c>
      <c r="E94" s="2" t="n">
        <v>-3.155</v>
      </c>
      <c r="F94" s="2" t="inlineStr">
        <is>
          <t>puntos porcentuales</t>
        </is>
      </c>
      <c r="G94" s="2" t="inlineStr">
        <is>
          <t>2019-2025</t>
        </is>
      </c>
      <c r="H94" s="2" t="inlineStr">
        <is>
          <t>España (hogares privados; agregado de las 19 regiones NUTS2 de la ECV)</t>
        </is>
      </c>
      <c r="I94" s="2" t="inlineStr">
        <is>
          <t>INE, Encuesta de Condiciones de Vida, microdatos transversales (ficheros D, H, R, P)</t>
        </is>
      </c>
      <c r="J94" s="2" t="inlineStr">
        <is>
          <t>C4</t>
        </is>
      </c>
      <c r="K94" s="2" t="inlineStr">
        <is>
          <t>2026-06-10</t>
        </is>
      </c>
      <c r="L94" s="2" t="inlineStr">
        <is>
          <t>output/v16/f2_esfuerzo/informe.md#esf-nacionalidad</t>
        </is>
      </c>
      <c r="M94" s="2" t="inlineStr">
        <is>
          <t>output/v16/f2_esfuerzo/hechos.json:V16-ESF-NAC-UE-S40-2019_2025</t>
        </is>
      </c>
    </row>
    <row r="95">
      <c r="A95" s="2" t="inlineStr">
        <is>
          <t>V16-ESF-NAC-UE-S40-2025</t>
        </is>
      </c>
      <c r="B95" s="2" t="inlineStr">
        <is>
          <t>Población con gasto neto de vivienda &gt; 40 % de la renta neta · sustentador con nacionalidad de otro país de la UE</t>
        </is>
      </c>
      <c r="C95" s="2" t="n">
        <v>18.454</v>
      </c>
      <c r="D95" s="2" t="n">
        <v>15.519</v>
      </c>
      <c r="E95" s="2" t="n">
        <v>22.222</v>
      </c>
      <c r="F95" s="2" t="inlineStr">
        <is>
          <t>% de la población</t>
        </is>
      </c>
      <c r="G95" s="2" t="inlineStr">
        <is>
          <t>2025</t>
        </is>
      </c>
      <c r="H95" s="2" t="inlineStr">
        <is>
          <t>España (hogares privados; agregado de las 19 regiones NUTS2 de la ECV)</t>
        </is>
      </c>
      <c r="I95" s="2" t="inlineStr">
        <is>
          <t>INE, Encuesta de Condiciones de Vida, microdatos transversales (ficheros D, H, R, P)</t>
        </is>
      </c>
      <c r="J95" s="2" t="inlineStr">
        <is>
          <t>C4</t>
        </is>
      </c>
      <c r="K95" s="2" t="inlineStr">
        <is>
          <t>2026-06-10</t>
        </is>
      </c>
      <c r="L95" s="2" t="inlineStr">
        <is>
          <t>output/v16/f2_esfuerzo/informe.md#esf-nacionalidad</t>
        </is>
      </c>
      <c r="M95" s="2" t="inlineStr">
        <is>
          <t>output/v16/f2_esfuerzo/hechos.json:V16-ESF-NAC-UE-S40-2025</t>
        </is>
      </c>
    </row>
    <row r="96">
      <c r="A96" s="2" t="inlineStr">
        <is>
          <t>V16-ESF-QUI-Q1-S40-2019_2025</t>
        </is>
      </c>
      <c r="B96" s="2" t="inlineStr">
        <is>
          <t>Cambio de: Población con gasto neto de vivienda &gt; 40 % de la renta neta · quintil de renta Q1</t>
        </is>
      </c>
      <c r="C96" s="2" t="n">
        <v>-4.763</v>
      </c>
      <c r="D96" s="2" t="n">
        <v>-8.279</v>
      </c>
      <c r="E96" s="2" t="n">
        <v>-0.902</v>
      </c>
      <c r="F96" s="2" t="inlineStr">
        <is>
          <t>puntos porcentuales</t>
        </is>
      </c>
      <c r="G96" s="2" t="inlineStr">
        <is>
          <t>2019-2025</t>
        </is>
      </c>
      <c r="H96" s="2" t="inlineStr">
        <is>
          <t>España (hogares privados; agregado de las 19 regiones NUTS2 de la ECV)</t>
        </is>
      </c>
      <c r="I96" s="2" t="inlineStr">
        <is>
          <t>INE, Encuesta de Condiciones de Vida, microdatos transversales (ficheros D, H, R, P)</t>
        </is>
      </c>
      <c r="J96" s="2" t="inlineStr">
        <is>
          <t>C4</t>
        </is>
      </c>
      <c r="K96" s="2" t="inlineStr">
        <is>
          <t>2026-06-10</t>
        </is>
      </c>
      <c r="L96" s="2" t="inlineStr">
        <is>
          <t>output/v16/f2_esfuerzo/informe.md#esf-quintil</t>
        </is>
      </c>
      <c r="M96" s="2" t="inlineStr">
        <is>
          <t>output/v16/f2_esfuerzo/hechos.json:V16-ESF-QUI-Q1-S40-2019_2025</t>
        </is>
      </c>
    </row>
    <row r="97">
      <c r="A97" s="2" t="inlineStr">
        <is>
          <t>V16-ESF-QUI-Q1-S40-2025</t>
        </is>
      </c>
      <c r="B97" s="2" t="inlineStr">
        <is>
          <t>Población con gasto neto de vivienda &gt; 40 % de la renta neta · quintil de renta Q1</t>
        </is>
      </c>
      <c r="C97" s="2" t="n">
        <v>27.716</v>
      </c>
      <c r="D97" s="2" t="n">
        <v>25.651</v>
      </c>
      <c r="E97" s="2" t="n">
        <v>29.941</v>
      </c>
      <c r="F97" s="2" t="inlineStr">
        <is>
          <t>% de la población</t>
        </is>
      </c>
      <c r="G97" s="2" t="inlineStr">
        <is>
          <t>2025</t>
        </is>
      </c>
      <c r="H97" s="2" t="inlineStr">
        <is>
          <t>España (hogares privados; agregado de las 19 regiones NUTS2 de la ECV)</t>
        </is>
      </c>
      <c r="I97" s="2" t="inlineStr">
        <is>
          <t>INE, Encuesta de Condiciones de Vida, microdatos transversales (ficheros D, H, R, P)</t>
        </is>
      </c>
      <c r="J97" s="2" t="inlineStr">
        <is>
          <t>C4</t>
        </is>
      </c>
      <c r="K97" s="2" t="inlineStr">
        <is>
          <t>2026-06-10</t>
        </is>
      </c>
      <c r="L97" s="2" t="inlineStr">
        <is>
          <t>output/v16/f2_esfuerzo/informe.md#esf-quintil</t>
        </is>
      </c>
      <c r="M97" s="2" t="inlineStr">
        <is>
          <t>output/v16/f2_esfuerzo/hechos.json:V16-ESF-QUI-Q1-S40-2025</t>
        </is>
      </c>
    </row>
    <row r="98">
      <c r="A98" s="2" t="inlineStr">
        <is>
          <t>V16-ESF-QUI-Q2-S40-2025</t>
        </is>
      </c>
      <c r="B98" s="2" t="inlineStr">
        <is>
          <t>Población con gasto neto de vivienda &gt; 40 % de la renta neta · quintil de renta Q2</t>
        </is>
      </c>
      <c r="C98" s="2" t="n">
        <v>5.17</v>
      </c>
      <c r="D98" s="2" t="n">
        <v>4.469</v>
      </c>
      <c r="E98" s="2" t="n">
        <v>5.959</v>
      </c>
      <c r="F98" s="2" t="inlineStr">
        <is>
          <t>% de la población</t>
        </is>
      </c>
      <c r="G98" s="2" t="inlineStr">
        <is>
          <t>2025</t>
        </is>
      </c>
      <c r="H98" s="2" t="inlineStr">
        <is>
          <t>España (hogares privados; agregado de las 19 regiones NUTS2 de la ECV)</t>
        </is>
      </c>
      <c r="I98" s="2" t="inlineStr">
        <is>
          <t>INE, Encuesta de Condiciones de Vida, microdatos transversales (ficheros D, H, R, P)</t>
        </is>
      </c>
      <c r="J98" s="2" t="inlineStr">
        <is>
          <t>C4</t>
        </is>
      </c>
      <c r="K98" s="2" t="inlineStr">
        <is>
          <t>2026-06-10</t>
        </is>
      </c>
      <c r="L98" s="2" t="inlineStr">
        <is>
          <t>output/v16/f2_esfuerzo/informe.md#esf-quintil</t>
        </is>
      </c>
      <c r="M98" s="2" t="inlineStr">
        <is>
          <t>output/v16/f2_esfuerzo/hechos.json:V16-ESF-QUI-Q2-S40-2025</t>
        </is>
      </c>
    </row>
    <row r="99">
      <c r="A99" s="2" t="inlineStr">
        <is>
          <t>V16-ESF-QUI-Q3-S40-2025</t>
        </is>
      </c>
      <c r="B99" s="2" t="inlineStr">
        <is>
          <t>Población con gasto neto de vivienda &gt; 40 % de la renta neta · quintil de renta Q3</t>
        </is>
      </c>
      <c r="C99" s="2" t="n">
        <v>1.877</v>
      </c>
      <c r="D99" s="2" t="n">
        <v>1.485</v>
      </c>
      <c r="E99" s="2" t="n">
        <v>2.325</v>
      </c>
      <c r="F99" s="2" t="inlineStr">
        <is>
          <t>% de la población</t>
        </is>
      </c>
      <c r="G99" s="2" t="inlineStr">
        <is>
          <t>2025</t>
        </is>
      </c>
      <c r="H99" s="2" t="inlineStr">
        <is>
          <t>España (hogares privados; agregado de las 19 regiones NUTS2 de la ECV)</t>
        </is>
      </c>
      <c r="I99" s="2" t="inlineStr">
        <is>
          <t>INE, Encuesta de Condiciones de Vida, microdatos transversales (ficheros D, H, R, P)</t>
        </is>
      </c>
      <c r="J99" s="2" t="inlineStr">
        <is>
          <t>C4</t>
        </is>
      </c>
      <c r="K99" s="2" t="inlineStr">
        <is>
          <t>2026-06-10</t>
        </is>
      </c>
      <c r="L99" s="2" t="inlineStr">
        <is>
          <t>output/v16/f2_esfuerzo/informe.md#esf-quintil</t>
        </is>
      </c>
      <c r="M99" s="2" t="inlineStr">
        <is>
          <t>output/v16/f2_esfuerzo/hechos.json:V16-ESF-QUI-Q3-S40-2025</t>
        </is>
      </c>
    </row>
    <row r="100">
      <c r="A100" s="2" t="inlineStr">
        <is>
          <t>V16-ESF-QUI-Q4-S40-2025</t>
        </is>
      </c>
      <c r="B100" s="2" t="inlineStr">
        <is>
          <t>Población con gasto neto de vivienda &gt; 40 % de la renta neta · quintil de renta Q4</t>
        </is>
      </c>
      <c r="C100" s="2" t="n">
        <v>0.888</v>
      </c>
      <c r="D100" s="2" t="n">
        <v>0.597</v>
      </c>
      <c r="E100" s="2" t="n">
        <v>1.206</v>
      </c>
      <c r="F100" s="2" t="inlineStr">
        <is>
          <t>% de la población</t>
        </is>
      </c>
      <c r="G100" s="2" t="inlineStr">
        <is>
          <t>2025</t>
        </is>
      </c>
      <c r="H100" s="2" t="inlineStr">
        <is>
          <t>España (hogares privados; agregado de las 19 regiones NUTS2 de la ECV)</t>
        </is>
      </c>
      <c r="I100" s="2" t="inlineStr">
        <is>
          <t>INE, Encuesta de Condiciones de Vida, microdatos transversales (ficheros D, H, R, P)</t>
        </is>
      </c>
      <c r="J100" s="2" t="inlineStr">
        <is>
          <t>C4</t>
        </is>
      </c>
      <c r="K100" s="2" t="inlineStr">
        <is>
          <t>2026-06-10</t>
        </is>
      </c>
      <c r="L100" s="2" t="inlineStr">
        <is>
          <t>output/v16/f2_esfuerzo/informe.md#esf-quintil</t>
        </is>
      </c>
      <c r="M100" s="2" t="inlineStr">
        <is>
          <t>output/v16/f2_esfuerzo/hechos.json:V16-ESF-QUI-Q4-S40-2025</t>
        </is>
      </c>
    </row>
    <row r="101">
      <c r="A101" s="2" t="inlineStr">
        <is>
          <t>V16-ESF-TEN-alquiler_mercado-S40-2008_2025</t>
        </is>
      </c>
      <c r="B101" s="2" t="inlineStr">
        <is>
          <t>Cambio de: Población con gasto neto de vivienda &gt; 40 % de la renta neta · alquiler a precio de mercado</t>
        </is>
      </c>
      <c r="C101" s="2" t="n">
        <v>-12.02</v>
      </c>
      <c r="D101" s="2" t="n">
        <v>-17.496</v>
      </c>
      <c r="E101" s="2" t="n">
        <v>-6.859</v>
      </c>
      <c r="F101" s="2" t="inlineStr">
        <is>
          <t>puntos porcentuales</t>
        </is>
      </c>
      <c r="G101" s="2" t="inlineStr">
        <is>
          <t>2008-2025</t>
        </is>
      </c>
      <c r="H101" s="2" t="inlineStr">
        <is>
          <t>España (hogares privados; agregado de las 19 regiones NUTS2 de la ECV); el nivel de 2008 difiere de Eurostat más de 0,5 pp (ver informe, validación)</t>
        </is>
      </c>
      <c r="I101" s="2" t="inlineStr">
        <is>
          <t>INE, Encuesta de Condiciones de Vida, microdatos transversales (ficheros D, H, R, P)</t>
        </is>
      </c>
      <c r="J101" s="2" t="inlineStr">
        <is>
          <t>C4</t>
        </is>
      </c>
      <c r="K101" s="2" t="inlineStr">
        <is>
          <t>2026-06-10</t>
        </is>
      </c>
      <c r="L101" s="2" t="inlineStr">
        <is>
          <t>output/v16/f2_esfuerzo/informe.md#esf-tenencia</t>
        </is>
      </c>
      <c r="M101" s="2" t="inlineStr">
        <is>
          <t>output/v16/f2_esfuerzo/hechos.json:V16-ESF-TEN-alquiler_mercado-S40-2008_2025</t>
        </is>
      </c>
    </row>
    <row r="102">
      <c r="A102" s="2" t="inlineStr">
        <is>
          <t>V16-ESF-TEN-alquiler_mercado-S40-2015_2025</t>
        </is>
      </c>
      <c r="B102" s="2" t="inlineStr">
        <is>
          <t>Cambio de: Población con gasto neto de vivienda &gt; 40 % de la renta neta · alquiler a precio de mercado</t>
        </is>
      </c>
      <c r="C102" s="2" t="n">
        <v>-16.529</v>
      </c>
      <c r="D102" s="2" t="n">
        <v>-20.956</v>
      </c>
      <c r="E102" s="2" t="n">
        <v>-11.526</v>
      </c>
      <c r="F102" s="2" t="inlineStr">
        <is>
          <t>puntos porcentuales</t>
        </is>
      </c>
      <c r="G102" s="2" t="inlineStr">
        <is>
          <t>2015-2025</t>
        </is>
      </c>
      <c r="H102" s="2" t="inlineStr">
        <is>
          <t>España (hogares privados; agregado de las 19 regiones NUTS2 de la ECV)</t>
        </is>
      </c>
      <c r="I102" s="2" t="inlineStr">
        <is>
          <t>INE, Encuesta de Condiciones de Vida, microdatos transversales (ficheros D, H, R, P)</t>
        </is>
      </c>
      <c r="J102" s="2" t="inlineStr">
        <is>
          <t>C4</t>
        </is>
      </c>
      <c r="K102" s="2" t="inlineStr">
        <is>
          <t>2026-06-10</t>
        </is>
      </c>
      <c r="L102" s="2" t="inlineStr">
        <is>
          <t>output/v16/f2_esfuerzo/informe.md#esf-tenencia</t>
        </is>
      </c>
      <c r="M102" s="2" t="inlineStr">
        <is>
          <t>output/v16/f2_esfuerzo/hechos.json:V16-ESF-TEN-alquiler_mercado-S40-2015_2025</t>
        </is>
      </c>
    </row>
    <row r="103">
      <c r="A103" s="2" t="inlineStr">
        <is>
          <t>V16-ESF-TEN-alquiler_mercado-S40-2019_2025</t>
        </is>
      </c>
      <c r="B103" s="2" t="inlineStr">
        <is>
          <t>Cambio de: Población con gasto neto de vivienda &gt; 40 % de la renta neta · alquiler a precio de mercado</t>
        </is>
      </c>
      <c r="C103" s="2" t="n">
        <v>-10.605</v>
      </c>
      <c r="D103" s="2" t="n">
        <v>-14.676</v>
      </c>
      <c r="E103" s="2" t="n">
        <v>-6.041</v>
      </c>
      <c r="F103" s="2" t="inlineStr">
        <is>
          <t>puntos porcentuales</t>
        </is>
      </c>
      <c r="G103" s="2" t="inlineStr">
        <is>
          <t>2019-2025</t>
        </is>
      </c>
      <c r="H103" s="2" t="inlineStr">
        <is>
          <t>España (hogares privados; agregado de las 19 regiones NUTS2 de la ECV)</t>
        </is>
      </c>
      <c r="I103" s="2" t="inlineStr">
        <is>
          <t>INE, Encuesta de Condiciones de Vida, microdatos transversales (ficheros D, H, R, P)</t>
        </is>
      </c>
      <c r="J103" s="2" t="inlineStr">
        <is>
          <t>C4</t>
        </is>
      </c>
      <c r="K103" s="2" t="inlineStr">
        <is>
          <t>2026-06-10</t>
        </is>
      </c>
      <c r="L103" s="2" t="inlineStr">
        <is>
          <t>output/v16/f2_esfuerzo/informe.md#esf-tenencia</t>
        </is>
      </c>
      <c r="M103" s="2" t="inlineStr">
        <is>
          <t>output/v16/f2_esfuerzo/hechos.json:V16-ESF-TEN-alquiler_mercado-S40-2019_2025</t>
        </is>
      </c>
    </row>
    <row r="104">
      <c r="A104" s="2" t="inlineStr">
        <is>
          <t>V16-ESF-TEN-alquiler_mercado-S40-2025</t>
        </is>
      </c>
      <c r="B104" s="2" t="inlineStr">
        <is>
          <t>Población con gasto neto de vivienda &gt; 40 % de la renta neta · alquiler a precio de mercado</t>
        </is>
      </c>
      <c r="C104" s="2" t="n">
        <v>26.796</v>
      </c>
      <c r="D104" s="2" t="n">
        <v>24.64</v>
      </c>
      <c r="E104" s="2" t="n">
        <v>29.264</v>
      </c>
      <c r="F104" s="2" t="inlineStr">
        <is>
          <t>% de la población</t>
        </is>
      </c>
      <c r="G104" s="2" t="inlineStr">
        <is>
          <t>2025</t>
        </is>
      </c>
      <c r="H104" s="2" t="inlineStr">
        <is>
          <t>España (hogares privados; agregado de las 19 regiones NUTS2 de la ECV)</t>
        </is>
      </c>
      <c r="I104" s="2" t="inlineStr">
        <is>
          <t>INE, Encuesta de Condiciones de Vida, microdatos transversales (ficheros D, H, R, P)</t>
        </is>
      </c>
      <c r="J104" s="2" t="inlineStr">
        <is>
          <t>C4</t>
        </is>
      </c>
      <c r="K104" s="2" t="inlineStr">
        <is>
          <t>2026-06-10</t>
        </is>
      </c>
      <c r="L104" s="2" t="inlineStr">
        <is>
          <t>output/v16/f2_esfuerzo/informe.md#esf-tenencia</t>
        </is>
      </c>
      <c r="M104" s="2" t="inlineStr">
        <is>
          <t>output/v16/f2_esfuerzo/hechos.json:V16-ESF-TEN-alquiler_mercado-S40-2025</t>
        </is>
      </c>
    </row>
    <row r="105">
      <c r="A105" s="2" t="inlineStr">
        <is>
          <t>V16-ESF-TEN-alquiler_reducido_cesion-S40-2025</t>
        </is>
      </c>
      <c r="B105" s="2" t="inlineStr">
        <is>
          <t>Población con gasto neto de vivienda &gt; 40 % de la renta neta · alquiler reducido o cesión</t>
        </is>
      </c>
      <c r="C105" s="2" t="n">
        <v>8.442</v>
      </c>
      <c r="D105" s="2" t="n">
        <v>6.821</v>
      </c>
      <c r="E105" s="2" t="n">
        <v>10.055</v>
      </c>
      <c r="F105" s="2" t="inlineStr">
        <is>
          <t>% de la población</t>
        </is>
      </c>
      <c r="G105" s="2" t="inlineStr">
        <is>
          <t>2025</t>
        </is>
      </c>
      <c r="H105" s="2" t="inlineStr">
        <is>
          <t>España (hogares privados; agregado de las 19 regiones NUTS2 de la ECV)</t>
        </is>
      </c>
      <c r="I105" s="2" t="inlineStr">
        <is>
          <t>INE, Encuesta de Condiciones de Vida, microdatos transversales (ficheros D, H, R, P)</t>
        </is>
      </c>
      <c r="J105" s="2" t="inlineStr">
        <is>
          <t>C4</t>
        </is>
      </c>
      <c r="K105" s="2" t="inlineStr">
        <is>
          <t>2026-06-10</t>
        </is>
      </c>
      <c r="L105" s="2" t="inlineStr">
        <is>
          <t>output/v16/f2_esfuerzo/informe.md#esf-tenencia</t>
        </is>
      </c>
      <c r="M105" s="2" t="inlineStr">
        <is>
          <t>output/v16/f2_esfuerzo/hechos.json:V16-ESF-TEN-alquiler_reducido_cesion-S40-2025</t>
        </is>
      </c>
    </row>
    <row r="106">
      <c r="A106" s="2" t="inlineStr">
        <is>
          <t>V16-ESF-TEN-prop_con_hipoteca-S40-2008_2025</t>
        </is>
      </c>
      <c r="B106" s="2" t="inlineStr">
        <is>
          <t>Cambio de: Población con gasto neto de vivienda &gt; 40 % de la renta neta · propiedad con hipoteca</t>
        </is>
      </c>
      <c r="C106" s="2" t="n">
        <v>-8.279999999999999</v>
      </c>
      <c r="D106" s="2" t="n">
        <v>-10.201</v>
      </c>
      <c r="E106" s="2" t="n">
        <v>-6.642</v>
      </c>
      <c r="F106" s="2" t="inlineStr">
        <is>
          <t>puntos porcentuales</t>
        </is>
      </c>
      <c r="G106" s="2" t="inlineStr">
        <is>
          <t>2008-2025</t>
        </is>
      </c>
      <c r="H106" s="2" t="inlineStr">
        <is>
          <t>España (hogares privados; agregado de las 19 regiones NUTS2 de la ECV); el nivel de 2008 difiere de Eurostat más de 0,5 pp (ver informe, validación)</t>
        </is>
      </c>
      <c r="I106" s="2" t="inlineStr">
        <is>
          <t>INE, Encuesta de Condiciones de Vida, microdatos transversales (ficheros D, H, R, P)</t>
        </is>
      </c>
      <c r="J106" s="2" t="inlineStr">
        <is>
          <t>C4</t>
        </is>
      </c>
      <c r="K106" s="2" t="inlineStr">
        <is>
          <t>2026-06-10</t>
        </is>
      </c>
      <c r="L106" s="2" t="inlineStr">
        <is>
          <t>output/v16/f2_esfuerzo/informe.md#esf-tenencia</t>
        </is>
      </c>
      <c r="M106" s="2" t="inlineStr">
        <is>
          <t>output/v16/f2_esfuerzo/hechos.json:V16-ESF-TEN-prop_con_hipoteca-S40-2008_2025</t>
        </is>
      </c>
    </row>
    <row r="107">
      <c r="A107" s="2" t="inlineStr">
        <is>
          <t>V16-ESF-TEN-prop_con_hipoteca-S40-2015_2025</t>
        </is>
      </c>
      <c r="B107" s="2" t="inlineStr">
        <is>
          <t>Cambio de: Población con gasto neto de vivienda &gt; 40 % de la renta neta · propiedad con hipoteca</t>
        </is>
      </c>
      <c r="C107" s="2" t="n">
        <v>-5.203</v>
      </c>
      <c r="D107" s="2" t="n">
        <v>-6.778</v>
      </c>
      <c r="E107" s="2" t="n">
        <v>-3.776</v>
      </c>
      <c r="F107" s="2" t="inlineStr">
        <is>
          <t>puntos porcentuales</t>
        </is>
      </c>
      <c r="G107" s="2" t="inlineStr">
        <is>
          <t>2015-2025</t>
        </is>
      </c>
      <c r="H107" s="2" t="inlineStr">
        <is>
          <t>España (hogares privados; agregado de las 19 regiones NUTS2 de la ECV)</t>
        </is>
      </c>
      <c r="I107" s="2" t="inlineStr">
        <is>
          <t>INE, Encuesta de Condiciones de Vida, microdatos transversales (ficheros D, H, R, P)</t>
        </is>
      </c>
      <c r="J107" s="2" t="inlineStr">
        <is>
          <t>C4</t>
        </is>
      </c>
      <c r="K107" s="2" t="inlineStr">
        <is>
          <t>2026-06-10</t>
        </is>
      </c>
      <c r="L107" s="2" t="inlineStr">
        <is>
          <t>output/v16/f2_esfuerzo/informe.md#esf-tenencia</t>
        </is>
      </c>
      <c r="M107" s="2" t="inlineStr">
        <is>
          <t>output/v16/f2_esfuerzo/hechos.json:V16-ESF-TEN-prop_con_hipoteca-S40-2015_2025</t>
        </is>
      </c>
    </row>
    <row r="108">
      <c r="A108" s="2" t="inlineStr">
        <is>
          <t>V16-ESF-TEN-prop_con_hipoteca-S40-2019_2025</t>
        </is>
      </c>
      <c r="B108" s="2" t="inlineStr">
        <is>
          <t>Cambio de: Población con gasto neto de vivienda &gt; 40 % de la renta neta · propiedad con hipoteca</t>
        </is>
      </c>
      <c r="C108" s="2" t="n">
        <v>-0.242</v>
      </c>
      <c r="D108" s="2" t="n">
        <v>-1.46</v>
      </c>
      <c r="E108" s="2" t="n">
        <v>0.951</v>
      </c>
      <c r="F108" s="2" t="inlineStr">
        <is>
          <t>puntos porcentuales</t>
        </is>
      </c>
      <c r="G108" s="2" t="inlineStr">
        <is>
          <t>2019-2025</t>
        </is>
      </c>
      <c r="H108" s="2" t="inlineStr">
        <is>
          <t>España (hogares privados; agregado de las 19 regiones NUTS2 de la ECV)</t>
        </is>
      </c>
      <c r="I108" s="2" t="inlineStr">
        <is>
          <t>INE, Encuesta de Condiciones de Vida, microdatos transversales (ficheros D, H, R, P)</t>
        </is>
      </c>
      <c r="J108" s="2" t="inlineStr">
        <is>
          <t>C4</t>
        </is>
      </c>
      <c r="K108" s="2" t="inlineStr">
        <is>
          <t>2026-06-10</t>
        </is>
      </c>
      <c r="L108" s="2" t="inlineStr">
        <is>
          <t>output/v16/f2_esfuerzo/informe.md#esf-tenencia</t>
        </is>
      </c>
      <c r="M108" s="2" t="inlineStr">
        <is>
          <t>output/v16/f2_esfuerzo/hechos.json:V16-ESF-TEN-prop_con_hipoteca-S40-2019_2025</t>
        </is>
      </c>
    </row>
    <row r="109">
      <c r="A109" s="2" t="inlineStr">
        <is>
          <t>V16-ESF-TEN-prop_con_hipoteca-S40-2025</t>
        </is>
      </c>
      <c r="B109" s="2" t="inlineStr">
        <is>
          <t>Población con gasto neto de vivienda &gt; 40 % de la renta neta · propiedad con hipoteca</t>
        </is>
      </c>
      <c r="C109" s="2" t="n">
        <v>3.449</v>
      </c>
      <c r="D109" s="2" t="n">
        <v>2.819</v>
      </c>
      <c r="E109" s="2" t="n">
        <v>4.233</v>
      </c>
      <c r="F109" s="2" t="inlineStr">
        <is>
          <t>% de la población</t>
        </is>
      </c>
      <c r="G109" s="2" t="inlineStr">
        <is>
          <t>2025</t>
        </is>
      </c>
      <c r="H109" s="2" t="inlineStr">
        <is>
          <t>España (hogares privados; agregado de las 19 regiones NUTS2 de la ECV)</t>
        </is>
      </c>
      <c r="I109" s="2" t="inlineStr">
        <is>
          <t>INE, Encuesta de Condiciones de Vida, microdatos transversales (ficheros D, H, R, P)</t>
        </is>
      </c>
      <c r="J109" s="2" t="inlineStr">
        <is>
          <t>C4</t>
        </is>
      </c>
      <c r="K109" s="2" t="inlineStr">
        <is>
          <t>2026-06-10</t>
        </is>
      </c>
      <c r="L109" s="2" t="inlineStr">
        <is>
          <t>output/v16/f2_esfuerzo/informe.md#esf-tenencia</t>
        </is>
      </c>
      <c r="M109" s="2" t="inlineStr">
        <is>
          <t>output/v16/f2_esfuerzo/hechos.json:V16-ESF-TEN-prop_con_hipoteca-S40-2025</t>
        </is>
      </c>
    </row>
    <row r="110">
      <c r="A110" s="2" t="inlineStr">
        <is>
          <t>V16-ESF-TEN-prop_sin_hipoteca-S40-2025</t>
        </is>
      </c>
      <c r="B110" s="2" t="inlineStr">
        <is>
          <t>Población con gasto neto de vivienda &gt; 40 % de la renta neta · propiedad sin hipoteca</t>
        </is>
      </c>
      <c r="C110" s="2" t="n">
        <v>1.87</v>
      </c>
      <c r="D110" s="2" t="n">
        <v>1.642</v>
      </c>
      <c r="E110" s="2" t="n">
        <v>2.148</v>
      </c>
      <c r="F110" s="2" t="inlineStr">
        <is>
          <t>% de la población</t>
        </is>
      </c>
      <c r="G110" s="2" t="inlineStr">
        <is>
          <t>2025</t>
        </is>
      </c>
      <c r="H110" s="2" t="inlineStr">
        <is>
          <t>España (hogares privados; agregado de las 19 regiones NUTS2 de la ECV)</t>
        </is>
      </c>
      <c r="I110" s="2" t="inlineStr">
        <is>
          <t>INE, Encuesta de Condiciones de Vida, microdatos transversales (ficheros D, H, R, P)</t>
        </is>
      </c>
      <c r="J110" s="2" t="inlineStr">
        <is>
          <t>C4</t>
        </is>
      </c>
      <c r="K110" s="2" t="inlineStr">
        <is>
          <t>2026-06-10</t>
        </is>
      </c>
      <c r="L110" s="2" t="inlineStr">
        <is>
          <t>output/v16/f2_esfuerzo/informe.md#esf-tenencia</t>
        </is>
      </c>
      <c r="M110" s="2" t="inlineStr">
        <is>
          <t>output/v16/f2_esfuerzo/hechos.json:V16-ESF-TEN-prop_sin_hipoteca-S40-2025</t>
        </is>
      </c>
    </row>
    <row r="111">
      <c r="A111" s="2" t="inlineStr">
        <is>
          <t>V16-FDR-Q9-g-q</t>
        </is>
      </c>
      <c r="B111" s="2" t="inlineStr">
        <is>
          <t>Q9-g: q-valor de Benjamini-Yekutieli en la rama diseños (m = 21)</t>
        </is>
      </c>
      <c r="C111" s="2" t="n">
        <v>0.3062101312</v>
      </c>
      <c r="D111" s="2" t="n">
        <v>0.3062101312</v>
      </c>
      <c r="E111" s="2" t="n">
        <v>0.3062101312</v>
      </c>
      <c r="F111" s="2" t="inlineStr">
        <is>
          <t>q-valor</t>
        </is>
      </c>
      <c r="G111" s="2" t="inlineStr">
        <is>
          <t>fase 6 de V16</t>
        </is>
      </c>
      <c r="H111" s="2" t="inlineStr">
        <is>
          <t>rama diseños</t>
        </is>
      </c>
      <c r="I111" s="2" t="inlineStr">
        <is>
          <t>cálculo propio sobre output/v16/*/resultado.json</t>
        </is>
      </c>
      <c r="J111" s="2" t="inlineStr">
        <is>
          <t>C4</t>
        </is>
      </c>
      <c r="K111" s="2" t="inlineStr">
        <is>
          <t>2026-10-17</t>
        </is>
      </c>
      <c r="L111" s="2" t="inlineStr">
        <is>
          <t>output/v16/fdr/informe.md#by</t>
        </is>
      </c>
      <c r="M111" s="2" t="inlineStr">
        <is>
          <t>output/v16/fdr/hechos.json:V16-FDR-Q9-g-q</t>
        </is>
      </c>
    </row>
    <row r="112">
      <c r="A112" s="2" t="inlineStr">
        <is>
          <t>V16-HEC-ALQ-BRECHA-2124-CAT</t>
        </is>
      </c>
      <c r="B112" s="2" t="inlineStr">
        <is>
          <t>Brecha de crecimiento contratos nuevos menos vigentes 2021-2024, Cataluña</t>
        </is>
      </c>
      <c r="C112" s="2" t="n">
        <v>10.785</v>
      </c>
      <c r="D112" s="2" t="n">
        <v>9.718</v>
      </c>
      <c r="E112" s="2" t="n">
        <v>11.852</v>
      </c>
      <c r="F112" s="2" t="inlineStr">
        <is>
          <t>p.p.</t>
        </is>
      </c>
      <c r="G112" s="2" t="inlineStr">
        <is>
          <t>2021-2024</t>
        </is>
      </c>
      <c r="H112" s="2" t="inlineStr">
        <is>
          <t>Cataluña</t>
        </is>
      </c>
      <c r="I112" s="2" t="inlineStr">
        <is>
          <t>INE IPVA; Incasòl fianzas; INE IPC alquiler</t>
        </is>
      </c>
      <c r="J112" s="2" t="inlineStr">
        <is>
          <t>C1</t>
        </is>
      </c>
      <c r="K112" s="2" t="inlineStr">
        <is>
          <t>2024</t>
        </is>
      </c>
      <c r="L112" s="2" t="inlineStr">
        <is>
          <t>output/v16/f2_hechos/fichas.md#v16-hec-alq-brecha-2124-cat</t>
        </is>
      </c>
      <c r="M112" s="2" t="inlineStr">
        <is>
          <t>output/v16/f2_hechos/hechos.json:V16-HEC-ALQ-BRECHA-2124-CAT</t>
        </is>
      </c>
    </row>
    <row r="113">
      <c r="A113" s="2" t="inlineStr">
        <is>
          <t>V16-HEC-ALQ-BRECHA-2124-CV</t>
        </is>
      </c>
      <c r="B113" s="2" t="inlineStr">
        <is>
          <t>Brecha de crecimiento contratos nuevos menos vigentes 2021-2024, Comunitat Valenciana</t>
        </is>
      </c>
      <c r="C113" s="2" t="n"/>
      <c r="D113" s="2" t="n">
        <v>16.045</v>
      </c>
      <c r="E113" s="2" t="n">
        <v>23.645</v>
      </c>
      <c r="F113" s="2" t="inlineStr">
        <is>
          <t>p.p.</t>
        </is>
      </c>
      <c r="G113" s="2" t="inlineStr">
        <is>
          <t>2021-2024</t>
        </is>
      </c>
      <c r="H113" s="2" t="inlineStr">
        <is>
          <t>Comunitat Valenciana</t>
        </is>
      </c>
      <c r="I113" s="2" t="inlineStr">
        <is>
          <t>INE IPVA; GVA fianzas; INE IPC alquiler</t>
        </is>
      </c>
      <c r="J113" s="2" t="inlineStr">
        <is>
          <t>C4</t>
        </is>
      </c>
      <c r="K113" s="2" t="inlineStr">
        <is>
          <t>2024</t>
        </is>
      </c>
      <c r="L113" s="2" t="inlineStr">
        <is>
          <t>output/v16/f2_hechos/fichas.md#v16-hec-alq-brecha-2124-cv</t>
        </is>
      </c>
      <c r="M113" s="2" t="inlineStr">
        <is>
          <t>output/v16/f2_hechos/hechos.json:V16-HEC-ALQ-BRECHA-2124-CV</t>
        </is>
      </c>
    </row>
    <row r="114">
      <c r="A114" s="2" t="inlineStr">
        <is>
          <t>V16-HEC-ALQ-BRECHA-2125-CAT</t>
        </is>
      </c>
      <c r="B114" s="2" t="inlineStr">
        <is>
          <t>Brecha de crecimiento fianzas nuevas menos IPC alquiler 2021-2025, Cataluña</t>
        </is>
      </c>
      <c r="C114" s="2" t="n">
        <v>12.647</v>
      </c>
      <c r="D114" s="2" t="n"/>
      <c r="E114" s="2" t="n"/>
      <c r="F114" s="2" t="inlineStr">
        <is>
          <t>p.p.</t>
        </is>
      </c>
      <c r="G114" s="2" t="inlineStr">
        <is>
          <t>2021-2025</t>
        </is>
      </c>
      <c r="H114" s="2" t="inlineStr">
        <is>
          <t>Cataluña</t>
        </is>
      </c>
      <c r="I114" s="2" t="inlineStr">
        <is>
          <t>Incasòl fianzas; INE IPC alquiler</t>
        </is>
      </c>
      <c r="J114" s="2" t="inlineStr">
        <is>
          <t>C4</t>
        </is>
      </c>
      <c r="K114" s="2" t="inlineStr">
        <is>
          <t>2025 (anual)</t>
        </is>
      </c>
      <c r="L114" s="2" t="inlineStr">
        <is>
          <t>output/v16/f2_hechos/fichas.md#v16-hec-alq-brecha-2125-cat</t>
        </is>
      </c>
      <c r="M114" s="2" t="inlineStr">
        <is>
          <t>output/v16/f2_hechos/hechos.json:V16-HEC-ALQ-BRECHA-2125-CAT</t>
        </is>
      </c>
    </row>
    <row r="115">
      <c r="A115" s="2" t="inlineStr">
        <is>
          <t>V16-HEC-ALQ-BRECHA-2125-CV</t>
        </is>
      </c>
      <c r="B115" s="2" t="inlineStr">
        <is>
          <t>Brecha de crecimiento fianzas nuevas menos IPC alquiler 2021-2025, Comunitat Valenciana</t>
        </is>
      </c>
      <c r="C115" s="2" t="n">
        <v>36.192</v>
      </c>
      <c r="D115" s="2" t="n"/>
      <c r="E115" s="2" t="n"/>
      <c r="F115" s="2" t="inlineStr">
        <is>
          <t>p.p.</t>
        </is>
      </c>
      <c r="G115" s="2" t="inlineStr">
        <is>
          <t>2021-2025</t>
        </is>
      </c>
      <c r="H115" s="2" t="inlineStr">
        <is>
          <t>Comunitat Valenciana</t>
        </is>
      </c>
      <c r="I115" s="2" t="inlineStr">
        <is>
          <t>GVA fianzas; INE IPC alquiler</t>
        </is>
      </c>
      <c r="J115" s="2" t="inlineStr">
        <is>
          <t>C4</t>
        </is>
      </c>
      <c r="K115" s="2" t="inlineStr">
        <is>
          <t>2025 (anual)</t>
        </is>
      </c>
      <c r="L115" s="2" t="inlineStr">
        <is>
          <t>output/v16/f2_hechos/fichas.md#v16-hec-alq-brecha-2125-cv</t>
        </is>
      </c>
      <c r="M115" s="2" t="inlineStr">
        <is>
          <t>output/v16/f2_hechos/hechos.json:V16-HEC-ALQ-BRECHA-2125-CV</t>
        </is>
      </c>
    </row>
    <row r="116">
      <c r="A116" s="2" t="inlineStr">
        <is>
          <t>V16-HEC-ALQ-IPC-NOMINAL-2007-2025</t>
        </is>
      </c>
      <c r="B116" s="2" t="inlineStr">
        <is>
          <t>IPC de alquiler (stock), cambio acumulado nominal 2007-2025, España</t>
        </is>
      </c>
      <c r="C116" s="2" t="n">
        <v>23.7</v>
      </c>
      <c r="D116" s="2" t="n"/>
      <c r="E116" s="2" t="n"/>
      <c r="F116" s="2" t="inlineStr">
        <is>
          <t>%</t>
        </is>
      </c>
      <c r="G116" s="2" t="inlineStr">
        <is>
          <t>2007-2025 (media anual)</t>
        </is>
      </c>
      <c r="H116" s="2" t="inlineStr">
        <is>
          <t>España</t>
        </is>
      </c>
      <c r="I116" s="2" t="inlineStr">
        <is>
          <t>INE IPC alquiler</t>
        </is>
      </c>
      <c r="J116" s="2" t="inlineStr">
        <is>
          <t>C4</t>
        </is>
      </c>
      <c r="K116" s="2" t="inlineStr">
        <is>
          <t>2025 (anual)</t>
        </is>
      </c>
      <c r="L116" s="2" t="inlineStr">
        <is>
          <t>output/v16/f2_hechos/fichas.md#v16-hec-alq-ipc-nominal-2007-2025</t>
        </is>
      </c>
      <c r="M116" s="2" t="inlineStr">
        <is>
          <t>output/v16/f2_hechos/hechos.json:V16-HEC-ALQ-IPC-NOMINAL-2007-2025</t>
        </is>
      </c>
    </row>
    <row r="117">
      <c r="A117" s="2" t="inlineStr">
        <is>
          <t>V16-HEC-ALQ-IPC-NOMINAL-2013-2025</t>
        </is>
      </c>
      <c r="B117" s="2" t="inlineStr">
        <is>
          <t>IPC de alquiler (stock), cambio acumulado nominal 2013-2025, España</t>
        </is>
      </c>
      <c r="C117" s="2" t="n">
        <v>12.283</v>
      </c>
      <c r="D117" s="2" t="n"/>
      <c r="E117" s="2" t="n"/>
      <c r="F117" s="2" t="inlineStr">
        <is>
          <t>%</t>
        </is>
      </c>
      <c r="G117" s="2" t="inlineStr">
        <is>
          <t>2013-2025 (media anual)</t>
        </is>
      </c>
      <c r="H117" s="2" t="inlineStr">
        <is>
          <t>España</t>
        </is>
      </c>
      <c r="I117" s="2" t="inlineStr">
        <is>
          <t>INE IPC alquiler</t>
        </is>
      </c>
      <c r="J117" s="2" t="inlineStr">
        <is>
          <t>C4</t>
        </is>
      </c>
      <c r="K117" s="2" t="inlineStr">
        <is>
          <t>2025 (anual)</t>
        </is>
      </c>
      <c r="L117" s="2" t="inlineStr">
        <is>
          <t>output/v16/f2_hechos/fichas.md#v16-hec-alq-ipc-nominal-2013-2025</t>
        </is>
      </c>
      <c r="M117" s="2" t="inlineStr">
        <is>
          <t>output/v16/f2_hechos/hechos.json:V16-HEC-ALQ-IPC-NOMINAL-2013-2025</t>
        </is>
      </c>
    </row>
    <row r="118">
      <c r="A118" s="2" t="inlineStr">
        <is>
          <t>V16-HEC-ALQ-IPC-NOMINAL-2019-2025</t>
        </is>
      </c>
      <c r="B118" s="2" t="inlineStr">
        <is>
          <t>IPC de alquiler (stock), cambio acumulado nominal 2019-2025, España</t>
        </is>
      </c>
      <c r="C118" s="2" t="n">
        <v>10.133</v>
      </c>
      <c r="D118" s="2" t="n"/>
      <c r="E118" s="2" t="n"/>
      <c r="F118" s="2" t="inlineStr">
        <is>
          <t>%</t>
        </is>
      </c>
      <c r="G118" s="2" t="inlineStr">
        <is>
          <t>2019-2025 (media anual)</t>
        </is>
      </c>
      <c r="H118" s="2" t="inlineStr">
        <is>
          <t>España</t>
        </is>
      </c>
      <c r="I118" s="2" t="inlineStr">
        <is>
          <t>INE IPC alquiler</t>
        </is>
      </c>
      <c r="J118" s="2" t="inlineStr">
        <is>
          <t>C4</t>
        </is>
      </c>
      <c r="K118" s="2" t="inlineStr">
        <is>
          <t>2025 (anual)</t>
        </is>
      </c>
      <c r="L118" s="2" t="inlineStr">
        <is>
          <t>output/v16/f2_hechos/fichas.md#v16-hec-alq-ipc-nominal-2019-2025</t>
        </is>
      </c>
      <c r="M118" s="2" t="inlineStr">
        <is>
          <t>output/v16/f2_hechos/hechos.json:V16-HEC-ALQ-IPC-NOMINAL-2019-2025</t>
        </is>
      </c>
    </row>
    <row r="119">
      <c r="A119" s="2" t="inlineStr">
        <is>
          <t>V16-HEC-ALQ-IPC-REAL-2007-2025</t>
        </is>
      </c>
      <c r="B119" s="2" t="inlineStr">
        <is>
          <t>IPC de alquiler (stock), cambio acumulado real 2007-2025, España</t>
        </is>
      </c>
      <c r="C119" s="2" t="n">
        <v>-13.28</v>
      </c>
      <c r="D119" s="2" t="n"/>
      <c r="E119" s="2" t="n"/>
      <c r="F119" s="2" t="inlineStr">
        <is>
          <t>%</t>
        </is>
      </c>
      <c r="G119" s="2" t="inlineStr">
        <is>
          <t>2007-2025 (media anual)</t>
        </is>
      </c>
      <c r="H119" s="2" t="inlineStr">
        <is>
          <t>España</t>
        </is>
      </c>
      <c r="I119" s="2" t="inlineStr">
        <is>
          <t>INE IPC alquiler</t>
        </is>
      </c>
      <c r="J119" s="2" t="inlineStr">
        <is>
          <t>C4</t>
        </is>
      </c>
      <c r="K119" s="2" t="inlineStr">
        <is>
          <t>2025 (anual)</t>
        </is>
      </c>
      <c r="L119" s="2" t="inlineStr">
        <is>
          <t>output/v16/f2_hechos/fichas.md#v16-hec-alq-ipc-real-2007-2025</t>
        </is>
      </c>
      <c r="M119" s="2" t="inlineStr">
        <is>
          <t>output/v16/f2_hechos/hechos.json:V16-HEC-ALQ-IPC-REAL-2007-2025</t>
        </is>
      </c>
    </row>
    <row r="120">
      <c r="A120" s="2" t="inlineStr">
        <is>
          <t>V16-HEC-ALQ-IPC-REAL-2013-2025</t>
        </is>
      </c>
      <c r="B120" s="2" t="inlineStr">
        <is>
          <t>IPC de alquiler (stock), cambio acumulado real 2013-2025, España</t>
        </is>
      </c>
      <c r="C120" s="2" t="n">
        <v>-10.846</v>
      </c>
      <c r="D120" s="2" t="n"/>
      <c r="E120" s="2" t="n"/>
      <c r="F120" s="2" t="inlineStr">
        <is>
          <t>%</t>
        </is>
      </c>
      <c r="G120" s="2" t="inlineStr">
        <is>
          <t>2013-2025 (media anual)</t>
        </is>
      </c>
      <c r="H120" s="2" t="inlineStr">
        <is>
          <t>España</t>
        </is>
      </c>
      <c r="I120" s="2" t="inlineStr">
        <is>
          <t>INE IPC alquiler</t>
        </is>
      </c>
      <c r="J120" s="2" t="inlineStr">
        <is>
          <t>C4</t>
        </is>
      </c>
      <c r="K120" s="2" t="inlineStr">
        <is>
          <t>2025 (anual)</t>
        </is>
      </c>
      <c r="L120" s="2" t="inlineStr">
        <is>
          <t>output/v16/f2_hechos/fichas.md#v16-hec-alq-ipc-real-2013-2025</t>
        </is>
      </c>
      <c r="M120" s="2" t="inlineStr">
        <is>
          <t>output/v16/f2_hechos/hechos.json:V16-HEC-ALQ-IPC-REAL-2013-2025</t>
        </is>
      </c>
    </row>
    <row r="121">
      <c r="A121" s="2" t="inlineStr">
        <is>
          <t>V16-HEC-ALQ-IPC-REAL-2019-2025</t>
        </is>
      </c>
      <c r="B121" s="2" t="inlineStr">
        <is>
          <t>IPC de alquiler (stock), cambio acumulado real 2019-2025, España</t>
        </is>
      </c>
      <c r="C121" s="2" t="n">
        <v>-9.493</v>
      </c>
      <c r="D121" s="2" t="n"/>
      <c r="E121" s="2" t="n"/>
      <c r="F121" s="2" t="inlineStr">
        <is>
          <t>%</t>
        </is>
      </c>
      <c r="G121" s="2" t="inlineStr">
        <is>
          <t>2019-2025 (media anual)</t>
        </is>
      </c>
      <c r="H121" s="2" t="inlineStr">
        <is>
          <t>España</t>
        </is>
      </c>
      <c r="I121" s="2" t="inlineStr">
        <is>
          <t>INE IPC alquiler</t>
        </is>
      </c>
      <c r="J121" s="2" t="inlineStr">
        <is>
          <t>C4</t>
        </is>
      </c>
      <c r="K121" s="2" t="inlineStr">
        <is>
          <t>2025 (anual)</t>
        </is>
      </c>
      <c r="L121" s="2" t="inlineStr">
        <is>
          <t>output/v16/f2_hechos/fichas.md#v16-hec-alq-ipc-real-2019-2025</t>
        </is>
      </c>
      <c r="M121" s="2" t="inlineStr">
        <is>
          <t>output/v16/f2_hechos/hechos.json:V16-HEC-ALQ-IPC-REAL-2019-2025</t>
        </is>
      </c>
    </row>
    <row r="122">
      <c r="A122" s="2" t="inlineStr">
        <is>
          <t>V16-HEC-ALQ-NIVEL-2024-CAT</t>
        </is>
      </c>
      <c r="B122" s="2" t="inlineStr">
        <is>
          <t>Brecha de nivel contrato nuevo frente a existente en 2024 (IPVA), Cataluña</t>
        </is>
      </c>
      <c r="C122" s="2" t="n">
        <v>10.775</v>
      </c>
      <c r="D122" s="2" t="n"/>
      <c r="E122" s="2" t="n"/>
      <c r="F122" s="2" t="inlineStr">
        <is>
          <t>%</t>
        </is>
      </c>
      <c r="G122" s="2" t="inlineStr">
        <is>
          <t>2024</t>
        </is>
      </c>
      <c r="H122" s="2" t="inlineStr">
        <is>
          <t>Cataluña</t>
        </is>
      </c>
      <c r="I122" s="2" t="inlineStr">
        <is>
          <t>INE IPVA</t>
        </is>
      </c>
      <c r="J122" s="2" t="inlineStr">
        <is>
          <t>C4</t>
        </is>
      </c>
      <c r="K122" s="2" t="inlineStr">
        <is>
          <t>2024</t>
        </is>
      </c>
      <c r="L122" s="2" t="inlineStr">
        <is>
          <t>output/v16/f2_hechos/fichas.md#v16-hec-alq-nivel-2024-cat</t>
        </is>
      </c>
      <c r="M122" s="2" t="inlineStr">
        <is>
          <t>output/v16/f2_hechos/hechos.json:V16-HEC-ALQ-NIVEL-2024-CAT</t>
        </is>
      </c>
    </row>
    <row r="123">
      <c r="A123" s="2" t="inlineStr">
        <is>
          <t>V16-HEC-ALQ-NIVEL-2024-CV</t>
        </is>
      </c>
      <c r="B123" s="2" t="inlineStr">
        <is>
          <t>Brecha de nivel contrato nuevo frente a existente en 2024 (IPVA), Comunitat Valenciana</t>
        </is>
      </c>
      <c r="C123" s="2" t="n">
        <v>19.182</v>
      </c>
      <c r="D123" s="2" t="n"/>
      <c r="E123" s="2" t="n"/>
      <c r="F123" s="2" t="inlineStr">
        <is>
          <t>%</t>
        </is>
      </c>
      <c r="G123" s="2" t="inlineStr">
        <is>
          <t>2024</t>
        </is>
      </c>
      <c r="H123" s="2" t="inlineStr">
        <is>
          <t>Comunitat Valenciana</t>
        </is>
      </c>
      <c r="I123" s="2" t="inlineStr">
        <is>
          <t>INE IPVA</t>
        </is>
      </c>
      <c r="J123" s="2" t="inlineStr">
        <is>
          <t>C4</t>
        </is>
      </c>
      <c r="K123" s="2" t="inlineStr">
        <is>
          <t>2024</t>
        </is>
      </c>
      <c r="L123" s="2" t="inlineStr">
        <is>
          <t>output/v16/f2_hechos/fichas.md#v16-hec-alq-nivel-2024-cv</t>
        </is>
      </c>
      <c r="M123" s="2" t="inlineStr">
        <is>
          <t>output/v16/f2_hechos/hechos.json:V16-HEC-ALQ-NIVEL-2024-CV</t>
        </is>
      </c>
    </row>
    <row r="124">
      <c r="A124" s="2" t="inlineStr">
        <is>
          <t>V16-HEC-ALQ-STOCK-NOMINAL-2013-2024</t>
        </is>
      </c>
      <c r="B124" s="2" t="inlineStr">
        <is>
          <t>Alquiler de contratos vigentes, cambio acumulado nominal 2013-2024, España</t>
        </is>
      </c>
      <c r="C124" s="2" t="n"/>
      <c r="D124" s="2" t="n">
        <v>9.637</v>
      </c>
      <c r="E124" s="2" t="n">
        <v>40.702</v>
      </c>
      <c r="F124" s="2" t="inlineStr">
        <is>
          <t>%</t>
        </is>
      </c>
      <c r="G124" s="2" t="inlineStr">
        <is>
          <t>2013-2024 (media anual)</t>
        </is>
      </c>
      <c r="H124" s="2" t="inlineStr">
        <is>
          <t>España</t>
        </is>
      </c>
      <c r="I124" s="2" t="inlineStr">
        <is>
          <t>INE IPC alquiler; INE IPVA; SERPAVI</t>
        </is>
      </c>
      <c r="J124" s="2" t="inlineStr">
        <is>
          <t>C4</t>
        </is>
      </c>
      <c r="K124" s="2" t="inlineStr">
        <is>
          <t>2024 (anual)</t>
        </is>
      </c>
      <c r="L124" s="2" t="inlineStr">
        <is>
          <t>output/v16/f2_hechos/fichas.md#v16-hec-alq-stock-nominal-2013-2024</t>
        </is>
      </c>
      <c r="M124" s="2" t="inlineStr">
        <is>
          <t>output/v16/f2_hechos/hechos.json:V16-HEC-ALQ-STOCK-NOMINAL-2013-2024</t>
        </is>
      </c>
    </row>
    <row r="125">
      <c r="A125" s="2" t="inlineStr">
        <is>
          <t>V16-HEC-ALQ-STOCK-NOMINAL-2019-2024</t>
        </is>
      </c>
      <c r="B125" s="2" t="inlineStr">
        <is>
          <t>Alquiler de contratos vigentes, cambio acumulado nominal 2019-2024, España</t>
        </is>
      </c>
      <c r="C125" s="2" t="n"/>
      <c r="D125" s="2" t="n">
        <v>7.537</v>
      </c>
      <c r="E125" s="2" t="n">
        <v>21.213</v>
      </c>
      <c r="F125" s="2" t="inlineStr">
        <is>
          <t>%</t>
        </is>
      </c>
      <c r="G125" s="2" t="inlineStr">
        <is>
          <t>2019-2024 (media anual)</t>
        </is>
      </c>
      <c r="H125" s="2" t="inlineStr">
        <is>
          <t>España</t>
        </is>
      </c>
      <c r="I125" s="2" t="inlineStr">
        <is>
          <t>INE IPC alquiler; INE IPVA; SERPAVI</t>
        </is>
      </c>
      <c r="J125" s="2" t="inlineStr">
        <is>
          <t>C4</t>
        </is>
      </c>
      <c r="K125" s="2" t="inlineStr">
        <is>
          <t>2024 (anual)</t>
        </is>
      </c>
      <c r="L125" s="2" t="inlineStr">
        <is>
          <t>output/v16/f2_hechos/fichas.md#v16-hec-alq-stock-nominal-2019-2024</t>
        </is>
      </c>
      <c r="M125" s="2" t="inlineStr">
        <is>
          <t>output/v16/f2_hechos/hechos.json:V16-HEC-ALQ-STOCK-NOMINAL-2019-2024</t>
        </is>
      </c>
    </row>
    <row r="126">
      <c r="A126" s="2" t="inlineStr">
        <is>
          <t>V16-HEC-ALQ-STOCK-REAL-2013-2024</t>
        </is>
      </c>
      <c r="B126" s="2" t="inlineStr">
        <is>
          <t>Alquiler de contratos vigentes, cambio acumulado real 2013-2024, España</t>
        </is>
      </c>
      <c r="C126" s="2" t="n"/>
      <c r="D126" s="2" t="n">
        <v>-10.62</v>
      </c>
      <c r="E126" s="2" t="n">
        <v>14.705</v>
      </c>
      <c r="F126" s="2" t="inlineStr">
        <is>
          <t>%</t>
        </is>
      </c>
      <c r="G126" s="2" t="inlineStr">
        <is>
          <t>2013-2024 (media anual)</t>
        </is>
      </c>
      <c r="H126" s="2" t="inlineStr">
        <is>
          <t>España</t>
        </is>
      </c>
      <c r="I126" s="2" t="inlineStr">
        <is>
          <t>INE IPC alquiler; INE IPVA; SERPAVI</t>
        </is>
      </c>
      <c r="J126" s="2" t="inlineStr">
        <is>
          <t>C4</t>
        </is>
      </c>
      <c r="K126" s="2" t="inlineStr">
        <is>
          <t>2024 (anual)</t>
        </is>
      </c>
      <c r="L126" s="2" t="inlineStr">
        <is>
          <t>output/v16/f2_hechos/fichas.md#v16-hec-alq-stock-real-2013-2024</t>
        </is>
      </c>
      <c r="M126" s="2" t="inlineStr">
        <is>
          <t>output/v16/f2_hechos/hechos.json:V16-HEC-ALQ-STOCK-REAL-2013-2024</t>
        </is>
      </c>
    </row>
    <row r="127">
      <c r="A127" s="2" t="inlineStr">
        <is>
          <t>V16-HEC-ALQ-STOCK-REAL-2019-2024</t>
        </is>
      </c>
      <c r="B127" s="2" t="inlineStr">
        <is>
          <t>Alquiler de contratos vigentes, cambio acumulado real 2019-2024, España</t>
        </is>
      </c>
      <c r="C127" s="2" t="n"/>
      <c r="D127" s="2" t="n">
        <v>-9.263999999999999</v>
      </c>
      <c r="E127" s="2" t="n">
        <v>2.275</v>
      </c>
      <c r="F127" s="2" t="inlineStr">
        <is>
          <t>%</t>
        </is>
      </c>
      <c r="G127" s="2" t="inlineStr">
        <is>
          <t>2019-2024 (media anual)</t>
        </is>
      </c>
      <c r="H127" s="2" t="inlineStr">
        <is>
          <t>España</t>
        </is>
      </c>
      <c r="I127" s="2" t="inlineStr">
        <is>
          <t>INE IPC alquiler; INE IPVA; SERPAVI</t>
        </is>
      </c>
      <c r="J127" s="2" t="inlineStr">
        <is>
          <t>C4</t>
        </is>
      </c>
      <c r="K127" s="2" t="inlineStr">
        <is>
          <t>2024 (anual)</t>
        </is>
      </c>
      <c r="L127" s="2" t="inlineStr">
        <is>
          <t>output/v16/f2_hechos/fichas.md#v16-hec-alq-stock-real-2019-2024</t>
        </is>
      </c>
      <c r="M127" s="2" t="inlineStr">
        <is>
          <t>output/v16/f2_hechos/hechos.json:V16-HEC-ALQ-STOCK-REAL-2019-2024</t>
        </is>
      </c>
    </row>
    <row r="128">
      <c r="A128" s="2" t="inlineStr">
        <is>
          <t>V16-HEC-ESPORADICO-2021</t>
        </is>
      </c>
      <c r="B128" s="2" t="inlineStr">
        <is>
          <t>Viviendas de uso esporádico por consumo eléctrico, Censo 2021</t>
        </is>
      </c>
      <c r="C128" s="2" t="n">
        <v>2517628</v>
      </c>
      <c r="D128" s="2" t="n"/>
      <c r="E128" s="2" t="n"/>
      <c r="F128" s="2" t="inlineStr">
        <is>
          <t>viviendas</t>
        </is>
      </c>
      <c r="G128" s="2" t="inlineStr">
        <is>
          <t>2021</t>
        </is>
      </c>
      <c r="H128" s="2" t="inlineStr">
        <is>
          <t>España</t>
        </is>
      </c>
      <c r="I128" s="2" t="inlineStr">
        <is>
          <t>Censo 2021 consumo eléctrico; Censo 2021</t>
        </is>
      </c>
      <c r="J128" s="2" t="inlineStr">
        <is>
          <t>C4</t>
        </is>
      </c>
      <c r="K128" s="2" t="inlineStr">
        <is>
          <t>2021</t>
        </is>
      </c>
      <c r="L128" s="2" t="inlineStr">
        <is>
          <t>output/v16/f2_hechos/fichas.md#v16-hec-esporadico-2021</t>
        </is>
      </c>
      <c r="M128" s="2" t="inlineStr">
        <is>
          <t>output/v16/f2_hechos/hechos.json:V16-HEC-ESPORADICO-2021</t>
        </is>
      </c>
    </row>
    <row r="129">
      <c r="A129" s="2" t="inlineStr">
        <is>
          <t>V16-HEC-HOGARES-ECP-2125</t>
        </is>
      </c>
      <c r="B129" s="2" t="inlineStr">
        <is>
          <t>Aumento del número de hogares (ECP, 1-1-2021 a 1-1-2025)</t>
        </is>
      </c>
      <c r="C129" s="2" t="n">
        <v>981823</v>
      </c>
      <c r="D129" s="2" t="n"/>
      <c r="E129" s="2" t="n"/>
      <c r="F129" s="2" t="inlineStr">
        <is>
          <t>hogares</t>
        </is>
      </c>
      <c r="G129" s="2" t="inlineStr">
        <is>
          <t>2021-2025</t>
        </is>
      </c>
      <c r="H129" s="2" t="inlineStr">
        <is>
          <t>España</t>
        </is>
      </c>
      <c r="I129" s="2" t="inlineStr">
        <is>
          <t>INE ECP</t>
        </is>
      </c>
      <c r="J129" s="2" t="inlineStr">
        <is>
          <t>C4</t>
        </is>
      </c>
      <c r="K129" s="2" t="inlineStr">
        <is>
          <t>2025T1</t>
        </is>
      </c>
      <c r="L129" s="2" t="inlineStr">
        <is>
          <t>output/v16/f2_hechos/fichas.md#v16-hec-hogares-ecp-2125</t>
        </is>
      </c>
      <c r="M129" s="2" t="inlineStr">
        <is>
          <t>output/v16/f2_hechos/hechos.json:V16-HEC-HOGARES-ECP-2125</t>
        </is>
      </c>
    </row>
    <row r="130">
      <c r="A130" s="2" t="inlineStr">
        <is>
          <t>V16-HEC-INTL-HPI_RPI-ES-2007-2025</t>
        </is>
      </c>
      <c r="B130" s="2" t="inlineStr">
        <is>
          <t>Ratio precio/alquiler, cambio acumulado del índice 2007-2025: España</t>
        </is>
      </c>
      <c r="C130" s="2" t="n">
        <v>-1.891</v>
      </c>
      <c r="D130" s="2" t="n"/>
      <c r="E130" s="2" t="n"/>
      <c r="F130" s="2" t="inlineStr">
        <is>
          <t>%</t>
        </is>
      </c>
      <c r="G130" s="2" t="inlineStr">
        <is>
          <t>2007-2025</t>
        </is>
      </c>
      <c r="H130" s="2" t="inlineStr">
        <is>
          <t>España</t>
        </is>
      </c>
      <c r="I130" s="2" t="inlineStr">
        <is>
          <t>OCDE</t>
        </is>
      </c>
      <c r="J130" s="2" t="inlineStr">
        <is>
          <t>C4</t>
        </is>
      </c>
      <c r="K130" s="2" t="inlineStr">
        <is>
          <t>2025</t>
        </is>
      </c>
      <c r="L130" s="2" t="inlineStr">
        <is>
          <t>output/v16/f2_hechos/fichas.md#v16-hec-intl-hpi_rpi-es-2007-2025</t>
        </is>
      </c>
      <c r="M130" s="2" t="inlineStr">
        <is>
          <t>output/v16/f2_hechos/hechos.json:V16-HEC-INTL-HPI_RPI-ES-2007-2025</t>
        </is>
      </c>
    </row>
    <row r="131">
      <c r="A131" s="2" t="inlineStr">
        <is>
          <t>V16-HEC-INTL-HPI_RPI-ES-2019-2025</t>
        </is>
      </c>
      <c r="B131" s="2" t="inlineStr">
        <is>
          <t>Ratio precio/alquiler, cambio acumulado del índice 2019-2025: España</t>
        </is>
      </c>
      <c r="C131" s="2" t="n">
        <v>31.473</v>
      </c>
      <c r="D131" s="2" t="n"/>
      <c r="E131" s="2" t="n"/>
      <c r="F131" s="2" t="inlineStr">
        <is>
          <t>%</t>
        </is>
      </c>
      <c r="G131" s="2" t="inlineStr">
        <is>
          <t>2019-2025</t>
        </is>
      </c>
      <c r="H131" s="2" t="inlineStr">
        <is>
          <t>España</t>
        </is>
      </c>
      <c r="I131" s="2" t="inlineStr">
        <is>
          <t>OCDE</t>
        </is>
      </c>
      <c r="J131" s="2" t="inlineStr">
        <is>
          <t>C4</t>
        </is>
      </c>
      <c r="K131" s="2" t="inlineStr">
        <is>
          <t>2025</t>
        </is>
      </c>
      <c r="L131" s="2" t="inlineStr">
        <is>
          <t>output/v16/f2_hechos/fichas.md#v16-hec-intl-hpi_rpi-es-2019-2025</t>
        </is>
      </c>
      <c r="M131" s="2" t="inlineStr">
        <is>
          <t>output/v16/f2_hechos/hechos.json:V16-HEC-INTL-HPI_RPI-ES-2019-2025</t>
        </is>
      </c>
    </row>
    <row r="132">
      <c r="A132" s="2" t="inlineStr">
        <is>
          <t>V16-HEC-INTL-HPI_RPI-MED-2007-2025</t>
        </is>
      </c>
      <c r="B132" s="2" t="inlineStr">
        <is>
          <t>Ratio precio/alquiler, cambio acumulado del índice 2007-2025: mediana UE (mínimo/máximo: mediana UE y OCDE)</t>
        </is>
      </c>
      <c r="C132" s="2" t="n">
        <v>7.526</v>
      </c>
      <c r="D132" s="2" t="n">
        <v>7.526</v>
      </c>
      <c r="E132" s="2" t="n">
        <v>14.842</v>
      </c>
      <c r="F132" s="2" t="inlineStr">
        <is>
          <t>%</t>
        </is>
      </c>
      <c r="G132" s="2" t="inlineStr">
        <is>
          <t>2007-2025</t>
        </is>
      </c>
      <c r="H132" s="2" t="inlineStr">
        <is>
          <t>UE (21 países) y OCDE (32 países)</t>
        </is>
      </c>
      <c r="I132" s="2" t="inlineStr">
        <is>
          <t>OCDE</t>
        </is>
      </c>
      <c r="J132" s="2" t="inlineStr">
        <is>
          <t>C4</t>
        </is>
      </c>
      <c r="K132" s="2" t="inlineStr">
        <is>
          <t>2025</t>
        </is>
      </c>
      <c r="L132" s="2" t="inlineStr">
        <is>
          <t>output/v16/f2_hechos/fichas.md#v16-hec-intl-hpi_rpi-med-2007-2025</t>
        </is>
      </c>
      <c r="M132" s="2" t="inlineStr">
        <is>
          <t>output/v16/f2_hechos/hechos.json:V16-HEC-INTL-HPI_RPI-MED-2007-2025</t>
        </is>
      </c>
    </row>
    <row r="133">
      <c r="A133" s="2" t="inlineStr">
        <is>
          <t>V16-HEC-INTL-HPI_RPI-MED-2019-2025</t>
        </is>
      </c>
      <c r="B133" s="2" t="inlineStr">
        <is>
          <t>Ratio precio/alquiler, cambio acumulado del índice 2019-2025: mediana UE (mínimo/máximo: mediana UE y OCDE)</t>
        </is>
      </c>
      <c r="C133" s="2" t="n">
        <v>16.243</v>
      </c>
      <c r="D133" s="2" t="n">
        <v>16.243</v>
      </c>
      <c r="E133" s="2" t="n">
        <v>16.243</v>
      </c>
      <c r="F133" s="2" t="inlineStr">
        <is>
          <t>%</t>
        </is>
      </c>
      <c r="G133" s="2" t="inlineStr">
        <is>
          <t>2019-2025</t>
        </is>
      </c>
      <c r="H133" s="2" t="inlineStr">
        <is>
          <t>UE (22 países) y OCDE (34 países)</t>
        </is>
      </c>
      <c r="I133" s="2" t="inlineStr">
        <is>
          <t>OCDE</t>
        </is>
      </c>
      <c r="J133" s="2" t="inlineStr">
        <is>
          <t>C4</t>
        </is>
      </c>
      <c r="K133" s="2" t="inlineStr">
        <is>
          <t>2025</t>
        </is>
      </c>
      <c r="L133" s="2" t="inlineStr">
        <is>
          <t>output/v16/f2_hechos/fichas.md#v16-hec-intl-hpi_rpi-med-2019-2025</t>
        </is>
      </c>
      <c r="M133" s="2" t="inlineStr">
        <is>
          <t>output/v16/f2_hechos/hechos.json:V16-HEC-INTL-HPI_RPI-MED-2019-2025</t>
        </is>
      </c>
    </row>
    <row r="134">
      <c r="A134" s="2" t="inlineStr">
        <is>
          <t>V16-HEC-INTL-HPI_YDH-ES-2007-2025</t>
        </is>
      </c>
      <c r="B134" s="2" t="inlineStr">
        <is>
          <t>Ratio precio/renta disponible, cambio acumulado del índice 2007-2025: España</t>
        </is>
      </c>
      <c r="C134" s="2" t="n">
        <v>-17.434</v>
      </c>
      <c r="D134" s="2" t="n"/>
      <c r="E134" s="2" t="n"/>
      <c r="F134" s="2" t="inlineStr">
        <is>
          <t>%</t>
        </is>
      </c>
      <c r="G134" s="2" t="inlineStr">
        <is>
          <t>2007-2025</t>
        </is>
      </c>
      <c r="H134" s="2" t="inlineStr">
        <is>
          <t>España</t>
        </is>
      </c>
      <c r="I134" s="2" t="inlineStr">
        <is>
          <t>OCDE</t>
        </is>
      </c>
      <c r="J134" s="2" t="inlineStr">
        <is>
          <t>C4</t>
        </is>
      </c>
      <c r="K134" s="2" t="inlineStr">
        <is>
          <t>2025</t>
        </is>
      </c>
      <c r="L134" s="2" t="inlineStr">
        <is>
          <t>output/v16/f2_hechos/fichas.md#v16-hec-intl-hpi_ydh-es-2007-2025</t>
        </is>
      </c>
      <c r="M134" s="2" t="inlineStr">
        <is>
          <t>output/v16/f2_hechos/hechos.json:V16-HEC-INTL-HPI_YDH-ES-2007-2025</t>
        </is>
      </c>
    </row>
    <row r="135">
      <c r="A135" s="2" t="inlineStr">
        <is>
          <t>V16-HEC-INTL-HPI_YDH-ES-2019-2025</t>
        </is>
      </c>
      <c r="B135" s="2" t="inlineStr">
        <is>
          <t>Ratio precio/renta disponible, cambio acumulado del índice 2019-2025: España</t>
        </is>
      </c>
      <c r="C135" s="2" t="n">
        <v>13.66</v>
      </c>
      <c r="D135" s="2" t="n"/>
      <c r="E135" s="2" t="n"/>
      <c r="F135" s="2" t="inlineStr">
        <is>
          <t>%</t>
        </is>
      </c>
      <c r="G135" s="2" t="inlineStr">
        <is>
          <t>2019-2025</t>
        </is>
      </c>
      <c r="H135" s="2" t="inlineStr">
        <is>
          <t>España</t>
        </is>
      </c>
      <c r="I135" s="2" t="inlineStr">
        <is>
          <t>OCDE</t>
        </is>
      </c>
      <c r="J135" s="2" t="inlineStr">
        <is>
          <t>C4</t>
        </is>
      </c>
      <c r="K135" s="2" t="inlineStr">
        <is>
          <t>2025</t>
        </is>
      </c>
      <c r="L135" s="2" t="inlineStr">
        <is>
          <t>output/v16/f2_hechos/fichas.md#v16-hec-intl-hpi_ydh-es-2019-2025</t>
        </is>
      </c>
      <c r="M135" s="2" t="inlineStr">
        <is>
          <t>output/v16/f2_hechos/hechos.json:V16-HEC-INTL-HPI_YDH-ES-2019-2025</t>
        </is>
      </c>
    </row>
    <row r="136">
      <c r="A136" s="2" t="inlineStr">
        <is>
          <t>V16-HEC-INTL-HPI_YDH-MED-2007-2025</t>
        </is>
      </c>
      <c r="B136" s="2" t="inlineStr">
        <is>
          <t>Ratio precio/renta disponible, cambio acumulado del índice 2007-2025: mediana UE (mínimo/máximo: mediana UE y OCDE)</t>
        </is>
      </c>
      <c r="C136" s="2" t="n">
        <v>-13.701</v>
      </c>
      <c r="D136" s="2" t="n">
        <v>-13.701</v>
      </c>
      <c r="E136" s="2" t="n">
        <v>-1.975</v>
      </c>
      <c r="F136" s="2" t="inlineStr">
        <is>
          <t>%</t>
        </is>
      </c>
      <c r="G136" s="2" t="inlineStr">
        <is>
          <t>2007-2025</t>
        </is>
      </c>
      <c r="H136" s="2" t="inlineStr">
        <is>
          <t>UE (21 países) y OCDE (31 países)</t>
        </is>
      </c>
      <c r="I136" s="2" t="inlineStr">
        <is>
          <t>OCDE</t>
        </is>
      </c>
      <c r="J136" s="2" t="inlineStr">
        <is>
          <t>C4</t>
        </is>
      </c>
      <c r="K136" s="2" t="inlineStr">
        <is>
          <t>2025</t>
        </is>
      </c>
      <c r="L136" s="2" t="inlineStr">
        <is>
          <t>output/v16/f2_hechos/fichas.md#v16-hec-intl-hpi_ydh-med-2007-2025</t>
        </is>
      </c>
      <c r="M136" s="2" t="inlineStr">
        <is>
          <t>output/v16/f2_hechos/hechos.json:V16-HEC-INTL-HPI_YDH-MED-2007-2025</t>
        </is>
      </c>
    </row>
    <row r="137">
      <c r="A137" s="2" t="inlineStr">
        <is>
          <t>V16-HEC-INTL-HPI_YDH-MED-2019-2025</t>
        </is>
      </c>
      <c r="B137" s="2" t="inlineStr">
        <is>
          <t>Ratio precio/renta disponible, cambio acumulado del índice 2019-2025: mediana UE (mínimo/máximo: mediana UE y OCDE)</t>
        </is>
      </c>
      <c r="C137" s="2" t="n">
        <v>3.184</v>
      </c>
      <c r="D137" s="2" t="n">
        <v>3.184</v>
      </c>
      <c r="E137" s="2" t="n">
        <v>3.184</v>
      </c>
      <c r="F137" s="2" t="inlineStr">
        <is>
          <t>%</t>
        </is>
      </c>
      <c r="G137" s="2" t="inlineStr">
        <is>
          <t>2019-2025</t>
        </is>
      </c>
      <c r="H137" s="2" t="inlineStr">
        <is>
          <t>UE (22 países) y OCDE (32 países)</t>
        </is>
      </c>
      <c r="I137" s="2" t="inlineStr">
        <is>
          <t>OCDE</t>
        </is>
      </c>
      <c r="J137" s="2" t="inlineStr">
        <is>
          <t>C4</t>
        </is>
      </c>
      <c r="K137" s="2" t="inlineStr">
        <is>
          <t>2025</t>
        </is>
      </c>
      <c r="L137" s="2" t="inlineStr">
        <is>
          <t>output/v16/f2_hechos/fichas.md#v16-hec-intl-hpi_ydh-med-2019-2025</t>
        </is>
      </c>
      <c r="M137" s="2" t="inlineStr">
        <is>
          <t>output/v16/f2_hechos/hechos.json:V16-HEC-INTL-HPI_YDH-MED-2019-2025</t>
        </is>
      </c>
    </row>
    <row r="138">
      <c r="A138" s="2" t="inlineStr">
        <is>
          <t>V16-HEC-INTL-RHP-ES-2007-2025</t>
        </is>
      </c>
      <c r="B138" s="2" t="inlineStr">
        <is>
          <t>Precio real de la vivienda, cambio acumulado 2007-2025: España</t>
        </is>
      </c>
      <c r="C138" s="2" t="n">
        <v>-12.842</v>
      </c>
      <c r="D138" s="2" t="n"/>
      <c r="E138" s="2" t="n"/>
      <c r="F138" s="2" t="inlineStr">
        <is>
          <t>%</t>
        </is>
      </c>
      <c r="G138" s="2" t="inlineStr">
        <is>
          <t>2007-2025</t>
        </is>
      </c>
      <c r="H138" s="2" t="inlineStr">
        <is>
          <t>España</t>
        </is>
      </c>
      <c r="I138" s="2" t="inlineStr">
        <is>
          <t>OCDE</t>
        </is>
      </c>
      <c r="J138" s="2" t="inlineStr">
        <is>
          <t>C4</t>
        </is>
      </c>
      <c r="K138" s="2" t="inlineStr">
        <is>
          <t>2025</t>
        </is>
      </c>
      <c r="L138" s="2" t="inlineStr">
        <is>
          <t>output/v16/f2_hechos/fichas.md#v16-hec-intl-rhp-es-2007-2025</t>
        </is>
      </c>
      <c r="M138" s="2" t="inlineStr">
        <is>
          <t>output/v16/f2_hechos/hechos.json:V16-HEC-INTL-RHP-ES-2007-2025</t>
        </is>
      </c>
    </row>
    <row r="139">
      <c r="A139" s="2" t="inlineStr">
        <is>
          <t>V16-HEC-INTL-RHP-ES-2019-2025</t>
        </is>
      </c>
      <c r="B139" s="2" t="inlineStr">
        <is>
          <t>Precio real de la vivienda, cambio acumulado 2019-2025: España</t>
        </is>
      </c>
      <c r="C139" s="2" t="n">
        <v>19.554</v>
      </c>
      <c r="D139" s="2" t="n"/>
      <c r="E139" s="2" t="n"/>
      <c r="F139" s="2" t="inlineStr">
        <is>
          <t>%</t>
        </is>
      </c>
      <c r="G139" s="2" t="inlineStr">
        <is>
          <t>2019-2025</t>
        </is>
      </c>
      <c r="H139" s="2" t="inlineStr">
        <is>
          <t>España</t>
        </is>
      </c>
      <c r="I139" s="2" t="inlineStr">
        <is>
          <t>OCDE</t>
        </is>
      </c>
      <c r="J139" s="2" t="inlineStr">
        <is>
          <t>C4</t>
        </is>
      </c>
      <c r="K139" s="2" t="inlineStr">
        <is>
          <t>2025</t>
        </is>
      </c>
      <c r="L139" s="2" t="inlineStr">
        <is>
          <t>output/v16/f2_hechos/fichas.md#v16-hec-intl-rhp-es-2019-2025</t>
        </is>
      </c>
      <c r="M139" s="2" t="inlineStr">
        <is>
          <t>output/v16/f2_hechos/hechos.json:V16-HEC-INTL-RHP-ES-2019-2025</t>
        </is>
      </c>
    </row>
    <row r="140">
      <c r="A140" s="2" t="inlineStr">
        <is>
          <t>V16-HEC-INTL-RHP-MED-2007-2025</t>
        </is>
      </c>
      <c r="B140" s="2" t="inlineStr">
        <is>
          <t>Precio real de la vivienda, cambio acumulado 2007-2025: mediana UE (mínimo/máximo: mediana UE y OCDE)</t>
        </is>
      </c>
      <c r="C140" s="2" t="n">
        <v>9.071</v>
      </c>
      <c r="D140" s="2" t="n">
        <v>9.071</v>
      </c>
      <c r="E140" s="2" t="n">
        <v>25.007</v>
      </c>
      <c r="F140" s="2" t="inlineStr">
        <is>
          <t>%</t>
        </is>
      </c>
      <c r="G140" s="2" t="inlineStr">
        <is>
          <t>2007-2025</t>
        </is>
      </c>
      <c r="H140" s="2" t="inlineStr">
        <is>
          <t>UE (21 países) y OCDE (35 países)</t>
        </is>
      </c>
      <c r="I140" s="2" t="inlineStr">
        <is>
          <t>OCDE</t>
        </is>
      </c>
      <c r="J140" s="2" t="inlineStr">
        <is>
          <t>C4</t>
        </is>
      </c>
      <c r="K140" s="2" t="inlineStr">
        <is>
          <t>2025</t>
        </is>
      </c>
      <c r="L140" s="2" t="inlineStr">
        <is>
          <t>output/v16/f2_hechos/fichas.md#v16-hec-intl-rhp-med-2007-2025</t>
        </is>
      </c>
      <c r="M140" s="2" t="inlineStr">
        <is>
          <t>output/v16/f2_hechos/hechos.json:V16-HEC-INTL-RHP-MED-2007-2025</t>
        </is>
      </c>
    </row>
    <row r="141">
      <c r="A141" s="2" t="inlineStr">
        <is>
          <t>V16-HEC-INTL-RHP-MED-2019-2025</t>
        </is>
      </c>
      <c r="B141" s="2" t="inlineStr">
        <is>
          <t>Precio real de la vivienda, cambio acumulado 2019-2025: mediana UE (mínimo/máximo: mediana UE y OCDE)</t>
        </is>
      </c>
      <c r="C141" s="2" t="n">
        <v>15.598</v>
      </c>
      <c r="D141" s="2" t="n">
        <v>13.736</v>
      </c>
      <c r="E141" s="2" t="n">
        <v>15.598</v>
      </c>
      <c r="F141" s="2" t="inlineStr">
        <is>
          <t>%</t>
        </is>
      </c>
      <c r="G141" s="2" t="inlineStr">
        <is>
          <t>2019-2025</t>
        </is>
      </c>
      <c r="H141" s="2" t="inlineStr">
        <is>
          <t>UE (22 países) y OCDE (37 países)</t>
        </is>
      </c>
      <c r="I141" s="2" t="inlineStr">
        <is>
          <t>OCDE</t>
        </is>
      </c>
      <c r="J141" s="2" t="inlineStr">
        <is>
          <t>C4</t>
        </is>
      </c>
      <c r="K141" s="2" t="inlineStr">
        <is>
          <t>2025</t>
        </is>
      </c>
      <c r="L141" s="2" t="inlineStr">
        <is>
          <t>output/v16/f2_hechos/fichas.md#v16-hec-intl-rhp-med-2019-2025</t>
        </is>
      </c>
      <c r="M141" s="2" t="inlineStr">
        <is>
          <t>output/v16/f2_hechos/hechos.json:V16-HEC-INTL-RHP-MED-2019-2025</t>
        </is>
      </c>
    </row>
    <row r="142">
      <c r="A142" s="2" t="inlineStr">
        <is>
          <t>V16-HEC-INTL-SOBRECARGA-ES-2025</t>
        </is>
      </c>
      <c r="B142" s="2" t="inlineStr">
        <is>
          <t>Tasa de sobrecarga del coste de la vivienda, España frente a la UE (2025); mínimo y máximo: España y UE</t>
        </is>
      </c>
      <c r="C142" s="2" t="n">
        <v>7.2</v>
      </c>
      <c r="D142" s="2" t="n">
        <v>7.2</v>
      </c>
      <c r="E142" s="2" t="n">
        <v>7.7</v>
      </c>
      <c r="F142" s="2" t="inlineStr">
        <is>
          <t>% de la población</t>
        </is>
      </c>
      <c r="G142" s="2" t="inlineStr">
        <is>
          <t>2025</t>
        </is>
      </c>
      <c r="H142" s="2" t="inlineStr">
        <is>
          <t>España y UE-27</t>
        </is>
      </c>
      <c r="I142" s="2" t="inlineStr">
        <is>
          <t>Eurostat ECV</t>
        </is>
      </c>
      <c r="J142" s="2" t="inlineStr">
        <is>
          <t>C4</t>
        </is>
      </c>
      <c r="K142" s="2" t="inlineStr">
        <is>
          <t>2025</t>
        </is>
      </c>
      <c r="L142" s="2" t="inlineStr">
        <is>
          <t>output/v16/f2_hechos/fichas.md#v16-hec-intl-sobrecarga-es-2025</t>
        </is>
      </c>
      <c r="M142" s="2" t="inlineStr">
        <is>
          <t>output/v16/f2_hechos/hechos.json:V16-HEC-INTL-SOBRECARGA-ES-2025</t>
        </is>
      </c>
    </row>
    <row r="143">
      <c r="A143" s="2" t="inlineStr">
        <is>
          <t>V16-HEC-IPV-NOM-2019-2025</t>
        </is>
      </c>
      <c r="B143" s="2" t="inlineStr">
        <is>
          <t>Precio de compra, cambio acumulado nominal 2019-2025 (media anual), España; medida: IPV del INE (ajustado por calidad); una sola fuente</t>
        </is>
      </c>
      <c r="C143" s="2" t="n">
        <v>44.4</v>
      </c>
      <c r="D143" s="2" t="n"/>
      <c r="E143" s="2" t="n"/>
      <c r="F143" s="2" t="inlineStr">
        <is>
          <t>%</t>
        </is>
      </c>
      <c r="G143" s="2" t="inlineStr">
        <is>
          <t>2019-2025 (media anual)</t>
        </is>
      </c>
      <c r="H143" s="2" t="inlineStr">
        <is>
          <t>España</t>
        </is>
      </c>
      <c r="I143" s="2" t="inlineStr">
        <is>
          <t>INE IPV; leído de output/v16/f2_hechos/fichas.md («Todas las medidas»)</t>
        </is>
      </c>
      <c r="J143" s="2" t="inlineStr">
        <is>
          <t>C4</t>
        </is>
      </c>
      <c r="K143" s="2" t="inlineStr">
        <is>
          <t>2025 (anual)</t>
        </is>
      </c>
      <c r="L143" s="2" t="inlineStr">
        <is>
          <t>output/v16/f2_hechos/fichas.md#v16-hec-precio-nom-2019-2025</t>
        </is>
      </c>
      <c r="M143" s="2" t="inlineStr">
        <is>
          <t>output/v16/f7_hechos/hechos.json:V16-HEC-IPV-NOM-2019-2025</t>
        </is>
      </c>
    </row>
    <row r="144">
      <c r="A144" s="2" t="inlineStr">
        <is>
          <t>V16-HEC-IPV-REAL-2019-2025</t>
        </is>
      </c>
      <c r="B144" s="2" t="inlineStr">
        <is>
          <t>Precio de compra, cambio acumulado real (deflactor IPC general) 2019-2025 (media anual), España; medida: IPV del INE (ajustado por calidad); una sola fuente</t>
        </is>
      </c>
      <c r="C144" s="2" t="n">
        <v>18.7</v>
      </c>
      <c r="D144" s="2" t="n"/>
      <c r="E144" s="2" t="n"/>
      <c r="F144" s="2" t="inlineStr">
        <is>
          <t>%</t>
        </is>
      </c>
      <c r="G144" s="2" t="inlineStr">
        <is>
          <t>2019-2025 (media anual)</t>
        </is>
      </c>
      <c r="H144" s="2" t="inlineStr">
        <is>
          <t>España</t>
        </is>
      </c>
      <c r="I144" s="2" t="inlineStr">
        <is>
          <t>INE IPV; leído de output/v16/f2_hechos/fichas.md («Todas las medidas»)</t>
        </is>
      </c>
      <c r="J144" s="2" t="inlineStr">
        <is>
          <t>C4</t>
        </is>
      </c>
      <c r="K144" s="2" t="inlineStr">
        <is>
          <t>2025 (anual)</t>
        </is>
      </c>
      <c r="L144" s="2" t="inlineStr">
        <is>
          <t>output/v16/f2_hechos/fichas.md#v16-hec-precio-real-2019-2025</t>
        </is>
      </c>
      <c r="M144" s="2" t="inlineStr">
        <is>
          <t>output/v16/f7_hechos/hechos.json:V16-HEC-IPV-REAL-2019-2025</t>
        </is>
      </c>
    </row>
    <row r="145">
      <c r="A145" s="2" t="inlineStr">
        <is>
          <t>V16-HEC-LANZ-2013</t>
        </is>
      </c>
      <c r="B145" s="2" t="inlineStr">
        <is>
          <t>Lanzamientos practicados en 2013, España (total)</t>
        </is>
      </c>
      <c r="C145" s="2" t="n">
        <v>67189</v>
      </c>
      <c r="D145" s="2" t="n"/>
      <c r="E145" s="2" t="n"/>
      <c r="F145" s="2" t="inlineStr">
        <is>
          <t>lanzamientos</t>
        </is>
      </c>
      <c r="G145" s="2" t="inlineStr">
        <is>
          <t>2013</t>
        </is>
      </c>
      <c r="H145" s="2" t="inlineStr">
        <is>
          <t>España</t>
        </is>
      </c>
      <c r="I145" s="2" t="inlineStr">
        <is>
          <t>CGPJ</t>
        </is>
      </c>
      <c r="J145" s="2" t="inlineStr">
        <is>
          <t>C4</t>
        </is>
      </c>
      <c r="K145" s="2" t="inlineStr">
        <is>
          <t>2013</t>
        </is>
      </c>
      <c r="L145" s="2" t="inlineStr">
        <is>
          <t>output/v16/f2_hechos/fichas.md#v16-hec-lanz-2013</t>
        </is>
      </c>
      <c r="M145" s="2" t="inlineStr">
        <is>
          <t>output/v16/f2_hechos/hechos.json:V16-HEC-LANZ-2013</t>
        </is>
      </c>
    </row>
    <row r="146">
      <c r="A146" s="2" t="inlineStr">
        <is>
          <t>V16-HEC-LANZ-2025</t>
        </is>
      </c>
      <c r="B146" s="2" t="inlineStr">
        <is>
          <t>Lanzamientos practicados en 2025, España (total)</t>
        </is>
      </c>
      <c r="C146" s="2" t="n">
        <v>24540</v>
      </c>
      <c r="D146" s="2" t="n"/>
      <c r="E146" s="2" t="n"/>
      <c r="F146" s="2" t="inlineStr">
        <is>
          <t>lanzamientos</t>
        </is>
      </c>
      <c r="G146" s="2" t="inlineStr">
        <is>
          <t>2025</t>
        </is>
      </c>
      <c r="H146" s="2" t="inlineStr">
        <is>
          <t>España</t>
        </is>
      </c>
      <c r="I146" s="2" t="inlineStr">
        <is>
          <t>CGPJ</t>
        </is>
      </c>
      <c r="J146" s="2" t="inlineStr">
        <is>
          <t>C4</t>
        </is>
      </c>
      <c r="K146" s="2" t="inlineStr">
        <is>
          <t>2025</t>
        </is>
      </c>
      <c r="L146" s="2" t="inlineStr">
        <is>
          <t>output/v16/f2_hechos/fichas.md#v16-hec-lanz-2025</t>
        </is>
      </c>
      <c r="M146" s="2" t="inlineStr">
        <is>
          <t>output/v16/f2_hechos/hechos.json:V16-HEC-LANZ-2025</t>
        </is>
      </c>
    </row>
    <row r="147">
      <c r="A147" s="2" t="inlineStr">
        <is>
          <t>V16-HEC-LANZ-PICO</t>
        </is>
      </c>
      <c r="B147" s="2" t="inlineStr">
        <is>
          <t>Año con más lanzamientos practicados 2013-2025 (2014), España</t>
        </is>
      </c>
      <c r="C147" s="2" t="n">
        <v>68091</v>
      </c>
      <c r="D147" s="2" t="n"/>
      <c r="E147" s="2" t="n"/>
      <c r="F147" s="2" t="inlineStr">
        <is>
          <t>lanzamientos</t>
        </is>
      </c>
      <c r="G147" s="2" t="inlineStr">
        <is>
          <t>2014</t>
        </is>
      </c>
      <c r="H147" s="2" t="inlineStr">
        <is>
          <t>España</t>
        </is>
      </c>
      <c r="I147" s="2" t="inlineStr">
        <is>
          <t>CGPJ</t>
        </is>
      </c>
      <c r="J147" s="2" t="inlineStr">
        <is>
          <t>C4</t>
        </is>
      </c>
      <c r="K147" s="2" t="inlineStr">
        <is>
          <t>2014</t>
        </is>
      </c>
      <c r="L147" s="2" t="inlineStr">
        <is>
          <t>output/v16/f2_hechos/fichas.md#v16-hec-lanz-pico</t>
        </is>
      </c>
      <c r="M147" s="2" t="inlineStr">
        <is>
          <t>output/v16/f2_hechos/hechos.json:V16-HEC-LANZ-PICO</t>
        </is>
      </c>
    </row>
    <row r="148">
      <c r="A148" s="2" t="inlineStr">
        <is>
          <t>V16-HEC-LANZ-TIPO-HIPOTECARIA-2025</t>
        </is>
      </c>
      <c r="B148" s="2" t="inlineStr">
        <is>
          <t>Cuota de los lanzamientos por tipo «hipotecaria» en 2025, España</t>
        </is>
      </c>
      <c r="C148" s="2" t="n">
        <v>17.71</v>
      </c>
      <c r="D148" s="2" t="n"/>
      <c r="E148" s="2" t="n"/>
      <c r="F148" s="2" t="inlineStr">
        <is>
          <t>%</t>
        </is>
      </c>
      <c r="G148" s="2" t="inlineStr">
        <is>
          <t>2025</t>
        </is>
      </c>
      <c r="H148" s="2" t="inlineStr">
        <is>
          <t>España</t>
        </is>
      </c>
      <c r="I148" s="2" t="inlineStr">
        <is>
          <t>CGPJ</t>
        </is>
      </c>
      <c r="J148" s="2" t="inlineStr">
        <is>
          <t>C4</t>
        </is>
      </c>
      <c r="K148" s="2" t="inlineStr">
        <is>
          <t>2025</t>
        </is>
      </c>
      <c r="L148" s="2" t="inlineStr">
        <is>
          <t>output/v16/f2_hechos/fichas.md#v16-hec-lanz-tipo-hipotecaria-2025</t>
        </is>
      </c>
      <c r="M148" s="2" t="inlineStr">
        <is>
          <t>output/v16/f2_hechos/hechos.json:V16-HEC-LANZ-TIPO-HIPOTECARIA-2025</t>
        </is>
      </c>
    </row>
    <row r="149">
      <c r="A149" s="2" t="inlineStr">
        <is>
          <t>V16-HEC-LANZ-TIPO-LAU-2025</t>
        </is>
      </c>
      <c r="B149" s="2" t="inlineStr">
        <is>
          <t>Cuota de los lanzamientos por tipo «lau» en 2025, España</t>
        </is>
      </c>
      <c r="C149" s="2" t="n">
        <v>74.64100000000001</v>
      </c>
      <c r="D149" s="2" t="n"/>
      <c r="E149" s="2" t="n"/>
      <c r="F149" s="2" t="inlineStr">
        <is>
          <t>%</t>
        </is>
      </c>
      <c r="G149" s="2" t="inlineStr">
        <is>
          <t>2025</t>
        </is>
      </c>
      <c r="H149" s="2" t="inlineStr">
        <is>
          <t>España</t>
        </is>
      </c>
      <c r="I149" s="2" t="inlineStr">
        <is>
          <t>CGPJ</t>
        </is>
      </c>
      <c r="J149" s="2" t="inlineStr">
        <is>
          <t>C4</t>
        </is>
      </c>
      <c r="K149" s="2" t="inlineStr">
        <is>
          <t>2025</t>
        </is>
      </c>
      <c r="L149" s="2" t="inlineStr">
        <is>
          <t>output/v16/f2_hechos/fichas.md#v16-hec-lanz-tipo-lau-2025</t>
        </is>
      </c>
      <c r="M149" s="2" t="inlineStr">
        <is>
          <t>output/v16/f2_hechos/hechos.json:V16-HEC-LANZ-TIPO-LAU-2025</t>
        </is>
      </c>
    </row>
    <row r="150">
      <c r="A150" s="2" t="inlineStr">
        <is>
          <t>V16-HEC-LANZ-TIPO-OTROS-2025</t>
        </is>
      </c>
      <c r="B150" s="2" t="inlineStr">
        <is>
          <t>Cuota de los lanzamientos por tipo «otros» en 2025, España</t>
        </is>
      </c>
      <c r="C150" s="2" t="n">
        <v>7.649</v>
      </c>
      <c r="D150" s="2" t="n"/>
      <c r="E150" s="2" t="n"/>
      <c r="F150" s="2" t="inlineStr">
        <is>
          <t>%</t>
        </is>
      </c>
      <c r="G150" s="2" t="inlineStr">
        <is>
          <t>2025</t>
        </is>
      </c>
      <c r="H150" s="2" t="inlineStr">
        <is>
          <t>España</t>
        </is>
      </c>
      <c r="I150" s="2" t="inlineStr">
        <is>
          <t>CGPJ</t>
        </is>
      </c>
      <c r="J150" s="2" t="inlineStr">
        <is>
          <t>C4</t>
        </is>
      </c>
      <c r="K150" s="2" t="inlineStr">
        <is>
          <t>2025</t>
        </is>
      </c>
      <c r="L150" s="2" t="inlineStr">
        <is>
          <t>output/v16/f2_hechos/fichas.md#v16-hec-lanz-tipo-otros-2025</t>
        </is>
      </c>
      <c r="M150" s="2" t="inlineStr">
        <is>
          <t>output/v16/f2_hechos/hechos.json:V16-HEC-LANZ-TIPO-OTROS-2025</t>
        </is>
      </c>
    </row>
    <row r="151">
      <c r="A151" s="2" t="inlineStr">
        <is>
          <t>V16-HEC-LANZ-UM4T</t>
        </is>
      </c>
      <c r="B151" s="2" t="inlineStr">
        <is>
          <t>Lanzamientos practicados en los últimos cuatro trimestres (2025T3-2026T2), España</t>
        </is>
      </c>
      <c r="C151" s="2" t="n">
        <v>18731</v>
      </c>
      <c r="D151" s="2" t="n"/>
      <c r="E151" s="2" t="n"/>
      <c r="F151" s="2" t="inlineStr">
        <is>
          <t>lanzamientos</t>
        </is>
      </c>
      <c r="G151" s="2" t="inlineStr">
        <is>
          <t>2025T3-2026T2</t>
        </is>
      </c>
      <c r="H151" s="2" t="inlineStr">
        <is>
          <t>España</t>
        </is>
      </c>
      <c r="I151" s="2" t="inlineStr">
        <is>
          <t>CGPJ</t>
        </is>
      </c>
      <c r="J151" s="2" t="inlineStr">
        <is>
          <t>C4</t>
        </is>
      </c>
      <c r="K151" s="2" t="inlineStr">
        <is>
          <t>2026T2</t>
        </is>
      </c>
      <c r="L151" s="2" t="inlineStr">
        <is>
          <t>output/v16/f2_hechos/fichas.md#v16-hec-lanz-um4t</t>
        </is>
      </c>
      <c r="M151" s="2" t="inlineStr">
        <is>
          <t>output/v16/f2_hechos/hechos.json:V16-HEC-LANZ-UM4T</t>
        </is>
      </c>
    </row>
    <row r="152">
      <c r="A152" s="2" t="inlineStr">
        <is>
          <t>V16-HEC-OBRA-SOBRE-HOGARES-2125</t>
        </is>
      </c>
      <c r="B152" s="2" t="inlineStr">
        <is>
          <t>Libres terminadas 2021-2025 por hogar nuevo (ECP 2021-2025)</t>
        </is>
      </c>
      <c r="C152" s="2" t="n">
        <v>0.42</v>
      </c>
      <c r="D152" s="2" t="n"/>
      <c r="E152" s="2" t="n"/>
      <c r="F152" s="2" t="inlineStr">
        <is>
          <t>viviendas por hogar</t>
        </is>
      </c>
      <c r="G152" s="2" t="inlineStr">
        <is>
          <t>2021-2025</t>
        </is>
      </c>
      <c r="H152" s="2" t="inlineStr">
        <is>
          <t>España</t>
        </is>
      </c>
      <c r="I152" s="2" t="inlineStr">
        <is>
          <t>MIVAU fin de obra; INE ECP</t>
        </is>
      </c>
      <c r="J152" s="2" t="inlineStr">
        <is>
          <t>C4</t>
        </is>
      </c>
      <c r="K152" s="2" t="inlineStr">
        <is>
          <t>2026T2</t>
        </is>
      </c>
      <c r="L152" s="2" t="inlineStr">
        <is>
          <t>output/v16/f2_hechos/fichas.md#v16-hec-obra-sobre-hogares-2125</t>
        </is>
      </c>
      <c r="M152" s="2" t="inlineStr">
        <is>
          <t>output/v16/f2_hechos/hechos.json:V16-HEC-OBRA-SOBRE-HOGARES-2125</t>
        </is>
      </c>
    </row>
    <row r="153">
      <c r="A153" s="2" t="inlineStr">
        <is>
          <t>V16-HEC-OBRA-TERMINADAS-2025</t>
        </is>
      </c>
      <c r="B153" s="2" t="inlineStr">
        <is>
          <t>Viviendas libres terminadas (MIVAU) en 2025</t>
        </is>
      </c>
      <c r="C153" s="2" t="n">
        <v>80792</v>
      </c>
      <c r="D153" s="2" t="n"/>
      <c r="E153" s="2" t="n"/>
      <c r="F153" s="2" t="inlineStr">
        <is>
          <t>viviendas</t>
        </is>
      </c>
      <c r="G153" s="2" t="inlineStr">
        <is>
          <t>2025</t>
        </is>
      </c>
      <c r="H153" s="2" t="inlineStr">
        <is>
          <t>España</t>
        </is>
      </c>
      <c r="I153" s="2" t="inlineStr">
        <is>
          <t>MIVAU fin de obra</t>
        </is>
      </c>
      <c r="J153" s="2" t="inlineStr">
        <is>
          <t>C4</t>
        </is>
      </c>
      <c r="K153" s="2" t="inlineStr">
        <is>
          <t>2026T2</t>
        </is>
      </c>
      <c r="L153" s="2" t="inlineStr">
        <is>
          <t>output/v16/f2_hechos/fichas.md#v16-hec-obra-terminadas-2025</t>
        </is>
      </c>
      <c r="M153" s="2" t="inlineStr">
        <is>
          <t>output/v16/f2_hechos/hechos.json:V16-HEC-OBRA-TERMINADAS-2025</t>
        </is>
      </c>
    </row>
    <row r="154">
      <c r="A154" s="2" t="inlineStr">
        <is>
          <t>V16-HEC-OBRA-TERMINADAS-2125</t>
        </is>
      </c>
      <c r="B154" s="2" t="inlineStr">
        <is>
          <t>Viviendas libres terminadas (MIVAU, certificados de fin de obra; sin protegidas), acumulado 2021-2025</t>
        </is>
      </c>
      <c r="C154" s="2" t="n">
        <v>411900</v>
      </c>
      <c r="D154" s="2" t="n"/>
      <c r="E154" s="2" t="n"/>
      <c r="F154" s="2" t="inlineStr">
        <is>
          <t>viviendas</t>
        </is>
      </c>
      <c r="G154" s="2" t="inlineStr">
        <is>
          <t>2021-2025</t>
        </is>
      </c>
      <c r="H154" s="2" t="inlineStr">
        <is>
          <t>España</t>
        </is>
      </c>
      <c r="I154" s="2" t="inlineStr">
        <is>
          <t>MIVAU fin de obra</t>
        </is>
      </c>
      <c r="J154" s="2" t="inlineStr">
        <is>
          <t>C4</t>
        </is>
      </c>
      <c r="K154" s="2" t="inlineStr">
        <is>
          <t>2026T2</t>
        </is>
      </c>
      <c r="L154" s="2" t="inlineStr">
        <is>
          <t>output/v16/f2_hechos/fichas.md#v16-hec-obra-terminadas-2125</t>
        </is>
      </c>
      <c r="M154" s="2" t="inlineStr">
        <is>
          <t>output/v16/f2_hechos/hechos.json:V16-HEC-OBRA-TERMINADAS-2125</t>
        </is>
      </c>
    </row>
    <row r="155">
      <c r="A155" s="2" t="inlineStr">
        <is>
          <t>V16-HEC-PARQUE-CATASTRO-CENSO-2021</t>
        </is>
      </c>
      <c r="B155" s="2" t="inlineStr">
        <is>
          <t>Unidades urbanas residenciales del Catastro (1-1-2022) frente a viviendas del Censo 2021, territorio común</t>
        </is>
      </c>
      <c r="C155" s="2" t="n">
        <v>-5.23</v>
      </c>
      <c r="D155" s="2" t="n"/>
      <c r="E155" s="2" t="n"/>
      <c r="F155" s="2" t="inlineStr">
        <is>
          <t>% de diferencia</t>
        </is>
      </c>
      <c r="G155" s="2" t="inlineStr">
        <is>
          <t>2021-2022</t>
        </is>
      </c>
      <c r="H155" s="2" t="inlineStr">
        <is>
          <t>Territorio común (sin País Vasco ni Navarra)</t>
        </is>
      </c>
      <c r="I155" s="2" t="inlineStr">
        <is>
          <t>Catastro; Censo 2021</t>
        </is>
      </c>
      <c r="J155" s="2" t="inlineStr">
        <is>
          <t>C4</t>
        </is>
      </c>
      <c r="K155" s="2" t="inlineStr">
        <is>
          <t>2022</t>
        </is>
      </c>
      <c r="L155" s="2" t="inlineStr">
        <is>
          <t>output/v16/f2_hechos/fichas.md#v16-hec-parque-catastro-censo-2021</t>
        </is>
      </c>
      <c r="M155" s="2" t="inlineStr">
        <is>
          <t>output/v16/f2_hechos/hechos.json:V16-HEC-PARQUE-CATASTRO-CENSO-2021</t>
        </is>
      </c>
    </row>
    <row r="156">
      <c r="A156" s="2" t="inlineStr">
        <is>
          <t>V16-HEC-PARQUE-NOPRINCIPALES-2021</t>
        </is>
      </c>
      <c r="B156" s="2" t="inlineStr">
        <is>
          <t>Viviendas no principales (secundarias y vacías), Censo 2021</t>
        </is>
      </c>
      <c r="C156" s="2" t="n">
        <v>8087092</v>
      </c>
      <c r="D156" s="2" t="n"/>
      <c r="E156" s="2" t="n"/>
      <c r="F156" s="2" t="inlineStr">
        <is>
          <t>viviendas</t>
        </is>
      </c>
      <c r="G156" s="2" t="inlineStr">
        <is>
          <t>1-11-2021</t>
        </is>
      </c>
      <c r="H156" s="2" t="inlineStr">
        <is>
          <t>España</t>
        </is>
      </c>
      <c r="I156" s="2" t="inlineStr">
        <is>
          <t>Censo 2021</t>
        </is>
      </c>
      <c r="J156" s="2" t="inlineStr">
        <is>
          <t>C4</t>
        </is>
      </c>
      <c r="K156" s="2" t="inlineStr">
        <is>
          <t>2021</t>
        </is>
      </c>
      <c r="L156" s="2" t="inlineStr">
        <is>
          <t>output/v16/f2_hechos/fichas.md#v16-hec-parque-noprincipales-2021</t>
        </is>
      </c>
      <c r="M156" s="2" t="inlineStr">
        <is>
          <t>output/v16/f2_hechos/hechos.json:V16-HEC-PARQUE-NOPRINCIPALES-2021</t>
        </is>
      </c>
    </row>
    <row r="157">
      <c r="A157" s="2" t="inlineStr">
        <is>
          <t>V16-HEC-PARQUE-PRINCIPALES-2021</t>
        </is>
      </c>
      <c r="B157" s="2" t="inlineStr">
        <is>
          <t>Viviendas principales, Censo 2021</t>
        </is>
      </c>
      <c r="C157" s="2" t="n">
        <v>18536616</v>
      </c>
      <c r="D157" s="2" t="n"/>
      <c r="E157" s="2" t="n"/>
      <c r="F157" s="2" t="inlineStr">
        <is>
          <t>viviendas</t>
        </is>
      </c>
      <c r="G157" s="2" t="inlineStr">
        <is>
          <t>1-11-2021</t>
        </is>
      </c>
      <c r="H157" s="2" t="inlineStr">
        <is>
          <t>España</t>
        </is>
      </c>
      <c r="I157" s="2" t="inlineStr">
        <is>
          <t>Censo 2021</t>
        </is>
      </c>
      <c r="J157" s="2" t="inlineStr">
        <is>
          <t>C4</t>
        </is>
      </c>
      <c r="K157" s="2" t="inlineStr">
        <is>
          <t>2021</t>
        </is>
      </c>
      <c r="L157" s="2" t="inlineStr">
        <is>
          <t>output/v16/f2_hechos/fichas.md#v16-hec-parque-principales-2021</t>
        </is>
      </c>
      <c r="M157" s="2" t="inlineStr">
        <is>
          <t>output/v16/f2_hechos/hechos.json:V16-HEC-PARQUE-PRINCIPALES-2021</t>
        </is>
      </c>
    </row>
    <row r="158">
      <c r="A158" s="2" t="inlineStr">
        <is>
          <t>V16-HEC-PARQUE-TOTAL-2021</t>
        </is>
      </c>
      <c r="B158" s="2" t="inlineStr">
        <is>
          <t>Viviendas familiares, Censo 2021</t>
        </is>
      </c>
      <c r="C158" s="2" t="n">
        <v>26623708</v>
      </c>
      <c r="D158" s="2" t="n"/>
      <c r="E158" s="2" t="n"/>
      <c r="F158" s="2" t="inlineStr">
        <is>
          <t>viviendas</t>
        </is>
      </c>
      <c r="G158" s="2" t="inlineStr">
        <is>
          <t>1-11-2021</t>
        </is>
      </c>
      <c r="H158" s="2" t="inlineStr">
        <is>
          <t>España</t>
        </is>
      </c>
      <c r="I158" s="2" t="inlineStr">
        <is>
          <t>Censo 2021</t>
        </is>
      </c>
      <c r="J158" s="2" t="inlineStr">
        <is>
          <t>C4</t>
        </is>
      </c>
      <c r="K158" s="2" t="inlineStr">
        <is>
          <t>2021</t>
        </is>
      </c>
      <c r="L158" s="2" t="inlineStr">
        <is>
          <t>output/v16/f2_hechos/fichas.md#v16-hec-parque-total-2021</t>
        </is>
      </c>
      <c r="M158" s="2" t="inlineStr">
        <is>
          <t>output/v16/f2_hechos/hechos.json:V16-HEC-PARQUE-TOTAL-2021</t>
        </is>
      </c>
    </row>
    <row r="159">
      <c r="A159" s="2" t="inlineStr">
        <is>
          <t>V16-HEC-PRECIO-CCAA-NCOINC-2007-2025</t>
        </is>
      </c>
      <c r="B159" s="2" t="inlineStr">
        <is>
          <t>CCAA (de 17) con al menos dos medidas de grupos distintos (IPV, tasado, Registradores) dentro de ±3.0 p.p. en el cambio real 2007-2025</t>
        </is>
      </c>
      <c r="C159" s="2" t="n">
        <v>10</v>
      </c>
      <c r="D159" s="2" t="n"/>
      <c r="E159" s="2" t="n"/>
      <c r="F159" s="2" t="inlineStr">
        <is>
          <t>CCAA</t>
        </is>
      </c>
      <c r="G159" s="2" t="inlineStr">
        <is>
          <t>2007-2025</t>
        </is>
      </c>
      <c r="H159" s="2" t="inlineStr">
        <is>
          <t>17 CCAA</t>
        </is>
      </c>
      <c r="I159" s="2" t="inlineStr">
        <is>
          <t>INE IPV; MIVAU valor tasado; Registradores</t>
        </is>
      </c>
      <c r="J159" s="2" t="inlineStr">
        <is>
          <t>C4</t>
        </is>
      </c>
      <c r="K159" s="2" t="inlineStr">
        <is>
          <t>2025 (anual)</t>
        </is>
      </c>
      <c r="L159" s="2" t="inlineStr">
        <is>
          <t>output/v16/f2_hechos/fichas.md#v16-hec-precio-ccaa-ncoinc-2007-2025</t>
        </is>
      </c>
      <c r="M159" s="2" t="inlineStr">
        <is>
          <t>output/v16/f2_hechos/hechos.json:V16-HEC-PRECIO-CCAA-NCOINC-2007-2025</t>
        </is>
      </c>
    </row>
    <row r="160">
      <c r="A160" s="2" t="inlineStr">
        <is>
          <t>V16-HEC-PRECIO-CCAA-NCOINC-2013-2025</t>
        </is>
      </c>
      <c r="B160" s="2" t="inlineStr">
        <is>
          <t>CCAA (de 17) con al menos dos medidas de grupos distintos (IPV, tasado, Registradores) dentro de ±3.0 p.p. en el cambio real 2013-2025</t>
        </is>
      </c>
      <c r="C160" s="2" t="n">
        <v>1</v>
      </c>
      <c r="D160" s="2" t="n"/>
      <c r="E160" s="2" t="n"/>
      <c r="F160" s="2" t="inlineStr">
        <is>
          <t>CCAA</t>
        </is>
      </c>
      <c r="G160" s="2" t="inlineStr">
        <is>
          <t>2013-2025</t>
        </is>
      </c>
      <c r="H160" s="2" t="inlineStr">
        <is>
          <t>17 CCAA</t>
        </is>
      </c>
      <c r="I160" s="2" t="inlineStr">
        <is>
          <t>INE IPV; MIVAU valor tasado; Registradores</t>
        </is>
      </c>
      <c r="J160" s="2" t="inlineStr">
        <is>
          <t>C4</t>
        </is>
      </c>
      <c r="K160" s="2" t="inlineStr">
        <is>
          <t>2025 (anual)</t>
        </is>
      </c>
      <c r="L160" s="2" t="inlineStr">
        <is>
          <t>output/v16/f2_hechos/fichas.md#v16-hec-precio-ccaa-ncoinc-2013-2025</t>
        </is>
      </c>
      <c r="M160" s="2" t="inlineStr">
        <is>
          <t>output/v16/f2_hechos/hechos.json:V16-HEC-PRECIO-CCAA-NCOINC-2013-2025</t>
        </is>
      </c>
    </row>
    <row r="161">
      <c r="A161" s="2" t="inlineStr">
        <is>
          <t>V16-HEC-PRECIO-CCAA-NCOINC-2019-2025</t>
        </is>
      </c>
      <c r="B161" s="2" t="inlineStr">
        <is>
          <t>CCAA (de 17) con al menos dos medidas de grupos distintos (IPV, tasado, Registradores) dentro de ±3.0 p.p. en el cambio real 2019-2025</t>
        </is>
      </c>
      <c r="C161" s="2" t="n">
        <v>10</v>
      </c>
      <c r="D161" s="2" t="n"/>
      <c r="E161" s="2" t="n"/>
      <c r="F161" s="2" t="inlineStr">
        <is>
          <t>CCAA</t>
        </is>
      </c>
      <c r="G161" s="2" t="inlineStr">
        <is>
          <t>2019-2025</t>
        </is>
      </c>
      <c r="H161" s="2" t="inlineStr">
        <is>
          <t>17 CCAA</t>
        </is>
      </c>
      <c r="I161" s="2" t="inlineStr">
        <is>
          <t>INE IPV; MIVAU valor tasado; Registradores</t>
        </is>
      </c>
      <c r="J161" s="2" t="inlineStr">
        <is>
          <t>C4</t>
        </is>
      </c>
      <c r="K161" s="2" t="inlineStr">
        <is>
          <t>2025 (anual)</t>
        </is>
      </c>
      <c r="L161" s="2" t="inlineStr">
        <is>
          <t>output/v16/f2_hechos/fichas.md#v16-hec-precio-ccaa-ncoinc-2019-2025</t>
        </is>
      </c>
      <c r="M161" s="2" t="inlineStr">
        <is>
          <t>output/v16/f2_hechos/hechos.json:V16-HEC-PRECIO-CCAA-NCOINC-2019-2025</t>
        </is>
      </c>
    </row>
    <row r="162">
      <c r="A162" s="2" t="inlineStr">
        <is>
          <t>V16-HEC-PRECIO-NOM-2007-2025</t>
        </is>
      </c>
      <c r="B162" s="2" t="inlineStr">
        <is>
          <t>Precio de compra, cambio acumulado nominales 2007-2025 (media anual), España; medidas: IPV del INE (ajustado por calidad) y precios medios por m²</t>
        </is>
      </c>
      <c r="C162" s="2" t="n"/>
      <c r="D162" s="2" t="n">
        <v>-1.937</v>
      </c>
      <c r="E162" s="2" t="n">
        <v>20.258</v>
      </c>
      <c r="F162" s="2" t="inlineStr">
        <is>
          <t>%</t>
        </is>
      </c>
      <c r="G162" s="2" t="inlineStr">
        <is>
          <t>2007-2025 (media anual)</t>
        </is>
      </c>
      <c r="H162" s="2" t="inlineStr">
        <is>
          <t>España</t>
        </is>
      </c>
      <c r="I162" s="2" t="inlineStr">
        <is>
          <t>INE IPV; MIVAU valor tasado; Registradores; Notariado</t>
        </is>
      </c>
      <c r="J162" s="2" t="inlineStr">
        <is>
          <t>C4</t>
        </is>
      </c>
      <c r="K162" s="2" t="inlineStr">
        <is>
          <t>2025 (anual)</t>
        </is>
      </c>
      <c r="L162" s="2" t="inlineStr">
        <is>
          <t>output/v16/f2_hechos/fichas.md#v16-hec-precio-nom-2007-2025</t>
        </is>
      </c>
      <c r="M162" s="2" t="inlineStr">
        <is>
          <t>output/v16/f2_hechos/hechos.json:V16-HEC-PRECIO-NOM-2007-2025</t>
        </is>
      </c>
    </row>
    <row r="163">
      <c r="A163" s="2" t="inlineStr">
        <is>
          <t>V16-HEC-PRECIO-NOM-2013-2025</t>
        </is>
      </c>
      <c r="B163" s="2" t="inlineStr">
        <is>
          <t>Precio de compra, cambio acumulado nominales 2013-2025 (media anual), España; medidas: IPV del INE (ajustado por calidad) y precios medios por m²</t>
        </is>
      </c>
      <c r="C163" s="2" t="n"/>
      <c r="D163" s="2" t="n">
        <v>42.279</v>
      </c>
      <c r="E163" s="2" t="n">
        <v>86.884</v>
      </c>
      <c r="F163" s="2" t="inlineStr">
        <is>
          <t>%</t>
        </is>
      </c>
      <c r="G163" s="2" t="inlineStr">
        <is>
          <t>2013-2025 (media anual)</t>
        </is>
      </c>
      <c r="H163" s="2" t="inlineStr">
        <is>
          <t>España</t>
        </is>
      </c>
      <c r="I163" s="2" t="inlineStr">
        <is>
          <t>INE IPV; MIVAU valor tasado; Registradores; Notariado</t>
        </is>
      </c>
      <c r="J163" s="2" t="inlineStr">
        <is>
          <t>C4</t>
        </is>
      </c>
      <c r="K163" s="2" t="inlineStr">
        <is>
          <t>2025 (anual)</t>
        </is>
      </c>
      <c r="L163" s="2" t="inlineStr">
        <is>
          <t>output/v16/f2_hechos/fichas.md#v16-hec-precio-nom-2013-2025</t>
        </is>
      </c>
      <c r="M163" s="2" t="inlineStr">
        <is>
          <t>output/v16/f2_hechos/hechos.json:V16-HEC-PRECIO-NOM-2013-2025</t>
        </is>
      </c>
    </row>
    <row r="164">
      <c r="A164" s="2" t="inlineStr">
        <is>
          <t>V16-HEC-PRECIO-NOM-2019-2025</t>
        </is>
      </c>
      <c r="B164" s="2" t="inlineStr">
        <is>
          <t>Precio de compra, cambio acumulado nominales 2019-2025 (media anual), España; medida: precio medio por m² sin ajuste de calidad (MIVAU valor tasado, Notariado, Registradores); el IPV del INE, ajustado por calidad, da 44.4 %</t>
        </is>
      </c>
      <c r="C164" s="2" t="n">
        <v>30.351</v>
      </c>
      <c r="D164" s="2" t="n">
        <v>29.635</v>
      </c>
      <c r="E164" s="2" t="n">
        <v>31.702</v>
      </c>
      <c r="F164" s="2" t="inlineStr">
        <is>
          <t>%</t>
        </is>
      </c>
      <c r="G164" s="2" t="inlineStr">
        <is>
          <t>2019-2025 (media anual)</t>
        </is>
      </c>
      <c r="H164" s="2" t="inlineStr">
        <is>
          <t>España</t>
        </is>
      </c>
      <c r="I164" s="2" t="inlineStr">
        <is>
          <t>INE IPV; MIVAU valor tasado; Registradores; Notariado</t>
        </is>
      </c>
      <c r="J164" s="2" t="inlineStr">
        <is>
          <t>C1</t>
        </is>
      </c>
      <c r="K164" s="2" t="inlineStr">
        <is>
          <t>2025 (anual)</t>
        </is>
      </c>
      <c r="L164" s="2" t="inlineStr">
        <is>
          <t>output/v16/f2_hechos/fichas.md#v16-hec-precio-nom-2019-2025</t>
        </is>
      </c>
      <c r="M164" s="2" t="inlineStr">
        <is>
          <t>output/v16/f2_hechos/hechos.json:V16-HEC-PRECIO-NOM-2019-2025</t>
        </is>
      </c>
    </row>
    <row r="165">
      <c r="A165" s="2" t="inlineStr">
        <is>
          <t>V16-HEC-PRECIO-REAL-2007-2025</t>
        </is>
      </c>
      <c r="B165" s="2" t="inlineStr">
        <is>
          <t>Precio de compra, cambio acumulado reales (deflactor IPC general) 2007-2025 (media anual), España; medidas: IPV del INE (ajustado por calidad) y precios medios por m²</t>
        </is>
      </c>
      <c r="C165" s="2" t="n"/>
      <c r="D165" s="2" t="n">
        <v>-31.253</v>
      </c>
      <c r="E165" s="2" t="n">
        <v>-15.693</v>
      </c>
      <c r="F165" s="2" t="inlineStr">
        <is>
          <t>%</t>
        </is>
      </c>
      <c r="G165" s="2" t="inlineStr">
        <is>
          <t>2007-2025 (media anual)</t>
        </is>
      </c>
      <c r="H165" s="2" t="inlineStr">
        <is>
          <t>España</t>
        </is>
      </c>
      <c r="I165" s="2" t="inlineStr">
        <is>
          <t>INE IPV; MIVAU valor tasado; Registradores; Notariado</t>
        </is>
      </c>
      <c r="J165" s="2" t="inlineStr">
        <is>
          <t>C4</t>
        </is>
      </c>
      <c r="K165" s="2" t="inlineStr">
        <is>
          <t>2025 (anual)</t>
        </is>
      </c>
      <c r="L165" s="2" t="inlineStr">
        <is>
          <t>output/v16/f2_hechos/fichas.md#v16-hec-precio-real-2007-2025</t>
        </is>
      </c>
      <c r="M165" s="2" t="inlineStr">
        <is>
          <t>output/v16/f2_hechos/hechos.json:V16-HEC-PRECIO-REAL-2007-2025</t>
        </is>
      </c>
    </row>
    <row r="166">
      <c r="A166" s="2" t="inlineStr">
        <is>
          <t>V16-HEC-PRECIO-REAL-2013-2025</t>
        </is>
      </c>
      <c r="B166" s="2" t="inlineStr">
        <is>
          <t>Precio de compra, cambio acumulado reales (deflactor IPC general) 2013-2025 (media anual), España; medidas: IPV del INE (ajustado por calidad) y precios medios por m²</t>
        </is>
      </c>
      <c r="C166" s="2" t="n"/>
      <c r="D166" s="2" t="n">
        <v>12.972</v>
      </c>
      <c r="E166" s="2" t="n">
        <v>48.388</v>
      </c>
      <c r="F166" s="2" t="inlineStr">
        <is>
          <t>%</t>
        </is>
      </c>
      <c r="G166" s="2" t="inlineStr">
        <is>
          <t>2013-2025 (media anual)</t>
        </is>
      </c>
      <c r="H166" s="2" t="inlineStr">
        <is>
          <t>España</t>
        </is>
      </c>
      <c r="I166" s="2" t="inlineStr">
        <is>
          <t>INE IPV; MIVAU valor tasado; Registradores; Notariado</t>
        </is>
      </c>
      <c r="J166" s="2" t="inlineStr">
        <is>
          <t>C4</t>
        </is>
      </c>
      <c r="K166" s="2" t="inlineStr">
        <is>
          <t>2025 (anual)</t>
        </is>
      </c>
      <c r="L166" s="2" t="inlineStr">
        <is>
          <t>output/v16/f2_hechos/fichas.md#v16-hec-precio-real-2013-2025</t>
        </is>
      </c>
      <c r="M166" s="2" t="inlineStr">
        <is>
          <t>output/v16/f2_hechos/hechos.json:V16-HEC-PRECIO-REAL-2013-2025</t>
        </is>
      </c>
    </row>
    <row r="167">
      <c r="A167" s="2" t="inlineStr">
        <is>
          <t>V16-HEC-PRECIO-REAL-2019-2025</t>
        </is>
      </c>
      <c r="B167" s="2" t="inlineStr">
        <is>
          <t>Precio de compra, cambio acumulado reales (deflactor IPC general) 2019-2025 (media anual), España; medida: precio medio por m² sin ajuste de calidad (MIVAU valor tasado, Notariado, Registradores); el IPV del INE, ajustado por calidad, da 18.7 %</t>
        </is>
      </c>
      <c r="C167" s="2" t="n">
        <v>7.123</v>
      </c>
      <c r="D167" s="2" t="n">
        <v>6.534</v>
      </c>
      <c r="E167" s="2" t="n">
        <v>8.231999999999999</v>
      </c>
      <c r="F167" s="2" t="inlineStr">
        <is>
          <t>%</t>
        </is>
      </c>
      <c r="G167" s="2" t="inlineStr">
        <is>
          <t>2019-2025 (media anual)</t>
        </is>
      </c>
      <c r="H167" s="2" t="inlineStr">
        <is>
          <t>España</t>
        </is>
      </c>
      <c r="I167" s="2" t="inlineStr">
        <is>
          <t>INE IPV; MIVAU valor tasado; Registradores; Notariado</t>
        </is>
      </c>
      <c r="J167" s="2" t="inlineStr">
        <is>
          <t>C1</t>
        </is>
      </c>
      <c r="K167" s="2" t="inlineStr">
        <is>
          <t>2025 (anual)</t>
        </is>
      </c>
      <c r="L167" s="2" t="inlineStr">
        <is>
          <t>output/v16/f2_hechos/fichas.md#v16-hec-precio-real-2019-2025</t>
        </is>
      </c>
      <c r="M167" s="2" t="inlineStr">
        <is>
          <t>output/v16/f2_hechos/hechos.json:V16-HEC-PRECIO-REAL-2019-2025</t>
        </is>
      </c>
    </row>
    <row r="168">
      <c r="A168" s="2" t="inlineStr">
        <is>
          <t>V16-HEC-VACIAS-CONSUMO-2021</t>
        </is>
      </c>
      <c r="B168" s="2" t="inlineStr">
        <is>
          <t>Viviendas vacías por consumo eléctrico (Censo 2021, tabla 59531)</t>
        </is>
      </c>
      <c r="C168" s="2" t="n">
        <v>3828307</v>
      </c>
      <c r="D168" s="2" t="n"/>
      <c r="E168" s="2" t="n"/>
      <c r="F168" s="2" t="inlineStr">
        <is>
          <t>viviendas</t>
        </is>
      </c>
      <c r="G168" s="2" t="inlineStr">
        <is>
          <t>2021</t>
        </is>
      </c>
      <c r="H168" s="2" t="inlineStr">
        <is>
          <t>España</t>
        </is>
      </c>
      <c r="I168" s="2" t="inlineStr">
        <is>
          <t>Censo 2021 consumo eléctrico; Censo 2021</t>
        </is>
      </c>
      <c r="J168" s="2" t="inlineStr">
        <is>
          <t>C4</t>
        </is>
      </c>
      <c r="K168" s="2" t="inlineStr">
        <is>
          <t>2021</t>
        </is>
      </c>
      <c r="L168" s="2" t="inlineStr">
        <is>
          <t>output/v16/f2_hechos/fichas.md#v16-hec-vacias-consumo-2021</t>
        </is>
      </c>
      <c r="M168" s="2" t="inlineStr">
        <is>
          <t>output/v16/f2_hechos/hechos.json:V16-HEC-VACIAS-CONSUMO-2021</t>
        </is>
      </c>
    </row>
    <row r="169">
      <c r="A169" s="2" t="inlineStr">
        <is>
          <t>V16-HEC-VACIAS-PCT-2021</t>
        </is>
      </c>
      <c r="B169" s="2" t="inlineStr">
        <is>
          <t>Vacías por consumo eléctrico sobre viviendas familiares, Censo 2021</t>
        </is>
      </c>
      <c r="C169" s="2" t="n">
        <v>14.379</v>
      </c>
      <c r="D169" s="2" t="n"/>
      <c r="E169" s="2" t="n"/>
      <c r="F169" s="2" t="inlineStr">
        <is>
          <t>%</t>
        </is>
      </c>
      <c r="G169" s="2" t="inlineStr">
        <is>
          <t>2021</t>
        </is>
      </c>
      <c r="H169" s="2" t="inlineStr">
        <is>
          <t>España</t>
        </is>
      </c>
      <c r="I169" s="2" t="inlineStr">
        <is>
          <t>Censo 2021 consumo eléctrico; Censo 2021</t>
        </is>
      </c>
      <c r="J169" s="2" t="inlineStr">
        <is>
          <t>C4</t>
        </is>
      </c>
      <c r="K169" s="2" t="inlineStr">
        <is>
          <t>2021</t>
        </is>
      </c>
      <c r="L169" s="2" t="inlineStr">
        <is>
          <t>output/v16/f2_hechos/fichas.md#v16-hec-vacias-pct-2021</t>
        </is>
      </c>
      <c r="M169" s="2" t="inlineStr">
        <is>
          <t>output/v16/f2_hechos/hechos.json:V16-HEC-VACIAS-PCT-2021</t>
        </is>
      </c>
    </row>
    <row r="170">
      <c r="A170" s="2" t="inlineStr">
        <is>
          <t>V16-Q1-1</t>
        </is>
      </c>
      <c r="B170" s="2" t="inlineStr">
        <is>
          <t>Municipios tratados fuera de Cataluña con panel SERPAVI en el entrenamiento</t>
        </is>
      </c>
      <c r="C170" s="2" t="n">
        <v>8</v>
      </c>
      <c r="D170" s="2" t="n"/>
      <c r="E170" s="2" t="n"/>
      <c r="F170" s="2" t="inlineStr">
        <is>
          <t>municipios</t>
        </is>
      </c>
      <c r="G170" s="2" t="inlineStr">
        <is>
          <t>2011-2024</t>
        </is>
      </c>
      <c r="H170" s="2" t="inlineStr">
        <is>
          <t>entrenamiento (CCAA no selladas)</t>
        </is>
      </c>
      <c r="I170" s="2" t="inlineStr">
        <is>
          <t>BOE zonas tensionadas; SERPAVI (MIVAU)</t>
        </is>
      </c>
      <c r="J170" s="2" t="inlineStr">
        <is>
          <t>C4</t>
        </is>
      </c>
      <c r="K170" s="2" t="inlineStr">
        <is>
          <t>2026-10-17</t>
        </is>
      </c>
      <c r="L170" s="2" t="inlineStr">
        <is>
          <t>output/v16/q1/informe.md#v16-q1-1</t>
        </is>
      </c>
      <c r="M170" s="2" t="inlineStr">
        <is>
          <t>output/v16/q1/hechos.json:V16-Q1-1</t>
        </is>
      </c>
    </row>
    <row r="171">
      <c r="A171" s="2" t="inlineStr">
        <is>
          <t>V16-Q1-2</t>
        </is>
      </c>
      <c r="B171" s="2" t="inlineStr">
        <is>
          <t>Primer inicio de zona vigente fuera de Cataluña (Q1b sin periodo posterior: último año SERPAVI 2024)</t>
        </is>
      </c>
      <c r="C171" s="2" t="n">
        <v>2025</v>
      </c>
      <c r="D171" s="2" t="n"/>
      <c r="E171" s="2" t="n"/>
      <c r="F171" s="2" t="inlineStr">
        <is>
          <t>año</t>
        </is>
      </c>
      <c r="G171" s="2" t="inlineStr">
        <is>
          <t>2025-2026</t>
        </is>
      </c>
      <c r="H171" s="2" t="inlineStr">
        <is>
          <t>entrenamiento</t>
        </is>
      </c>
      <c r="I171" s="2" t="inlineStr">
        <is>
          <t>BOE; intervenciones.csv V16</t>
        </is>
      </c>
      <c r="J171" s="2" t="inlineStr">
        <is>
          <t>C4</t>
        </is>
      </c>
      <c r="K171" s="2" t="inlineStr">
        <is>
          <t>2026-10-17</t>
        </is>
      </c>
      <c r="L171" s="2" t="inlineStr">
        <is>
          <t>output/v16/q1/informe.md#v16-q1-1</t>
        </is>
      </c>
      <c r="M171" s="2" t="inlineStr">
        <is>
          <t>output/v16/q1/hechos.json:V16-Q1-2</t>
        </is>
      </c>
    </row>
    <row r="172">
      <c r="A172" s="2" t="inlineStr">
        <is>
          <t>V16-Q1-3</t>
        </is>
      </c>
      <c r="B172" s="2" t="inlineStr">
        <is>
          <t>Diferencia media de compraventas, provincias con zona vigente frente a nunca tratadas (estimador CS, descriptivo)</t>
        </is>
      </c>
      <c r="C172" s="2" t="n">
        <v>-0.04780167409</v>
      </c>
      <c r="D172" s="2" t="n">
        <v>-0.06404975548</v>
      </c>
      <c r="E172" s="2" t="n">
        <v>-0.04780167409</v>
      </c>
      <c r="F172" s="2" t="inlineStr">
        <is>
          <t>Δlog</t>
        </is>
      </c>
      <c r="G172" s="2" t="inlineStr">
        <is>
          <t>2019T1-2026T2</t>
        </is>
      </c>
      <c r="H172" s="2" t="inlineStr">
        <is>
          <t>41 provincias de entrenamiento (8 con zona vigente)</t>
        </is>
      </c>
      <c r="I172" s="2" t="inlineStr">
        <is>
          <t>MIVAU transacciones; BOE</t>
        </is>
      </c>
      <c r="J172" s="2" t="inlineStr">
        <is>
          <t>C4</t>
        </is>
      </c>
      <c r="K172" s="2" t="inlineStr">
        <is>
          <t>2026-10-17</t>
        </is>
      </c>
      <c r="L172" s="2" t="inlineStr">
        <is>
          <t>output/v16/q1/informe.md#v16-q1-3</t>
        </is>
      </c>
      <c r="M172" s="2" t="inlineStr">
        <is>
          <t>output/v16/q1/hechos.json:V16-Q1-3</t>
        </is>
      </c>
    </row>
    <row r="173">
      <c r="A173" s="2" t="inlineStr">
        <is>
          <t>V16-Q1-4</t>
        </is>
      </c>
      <c r="B173" s="2" t="inlineStr">
        <is>
          <t>Misma comparación en un placebo de fecha (8 trimestres antes)</t>
        </is>
      </c>
      <c r="C173" s="2" t="n">
        <v>0.0002841621005</v>
      </c>
      <c r="D173" s="2" t="n"/>
      <c r="E173" s="2" t="n"/>
      <c r="F173" s="2" t="inlineStr">
        <is>
          <t>Δlog</t>
        </is>
      </c>
      <c r="G173" s="2" t="inlineStr">
        <is>
          <t>2019T1-2023T4</t>
        </is>
      </c>
      <c r="H173" s="2" t="inlineStr">
        <is>
          <t>41 provincias de entrenamiento (8 con zona vigente)</t>
        </is>
      </c>
      <c r="I173" s="2" t="inlineStr">
        <is>
          <t>MIVAU transacciones; BOE</t>
        </is>
      </c>
      <c r="J173" s="2" t="inlineStr">
        <is>
          <t>C4</t>
        </is>
      </c>
      <c r="K173" s="2" t="inlineStr">
        <is>
          <t>2026-10-17</t>
        </is>
      </c>
      <c r="L173" s="2" t="inlineStr">
        <is>
          <t>output/v16/q1/informe.md#v16-q1-4</t>
        </is>
      </c>
      <c r="M173" s="2" t="inlineStr">
        <is>
          <t>output/v16/q1/hechos.json:V16-Q1-4</t>
        </is>
      </c>
    </row>
    <row r="174">
      <c r="A174" s="2" t="inlineStr">
        <is>
          <t>V16-Q1-5</t>
        </is>
      </c>
      <c r="B174" s="2" t="inlineStr">
        <is>
          <t>Diferencia de la cohorte de Cataluña (2024T1)</t>
        </is>
      </c>
      <c r="C174" s="2" t="n">
        <v>-0.02550753243</v>
      </c>
      <c r="D174" s="2" t="n"/>
      <c r="E174" s="2" t="n"/>
      <c r="F174" s="2" t="inlineStr">
        <is>
          <t>Δlog</t>
        </is>
      </c>
      <c r="G174" s="2" t="inlineStr">
        <is>
          <t>2024T1-2026T2</t>
        </is>
      </c>
      <c r="H174" s="2" t="inlineStr">
        <is>
          <t>4 provincias catalanas frente a 33 nunca tratadas</t>
        </is>
      </c>
      <c r="I174" s="2" t="inlineStr">
        <is>
          <t>MIVAU transacciones; BOE</t>
        </is>
      </c>
      <c r="J174" s="2" t="inlineStr">
        <is>
          <t>C4</t>
        </is>
      </c>
      <c r="K174" s="2" t="inlineStr">
        <is>
          <t>2026-10-17</t>
        </is>
      </c>
      <c r="L174" s="2" t="inlineStr">
        <is>
          <t>output/v16/q1/informe.md#v16-q1-5</t>
        </is>
      </c>
      <c r="M174" s="2" t="inlineStr">
        <is>
          <t>output/v16/q1/hechos.json:V16-Q1-5</t>
        </is>
      </c>
    </row>
    <row r="175">
      <c r="A175" s="2" t="inlineStr">
        <is>
          <t>V16-Q1-6</t>
        </is>
      </c>
      <c r="B175" s="2" t="inlineStr">
        <is>
          <t>Tasa de declaración de zona entre municipios que superan el criterio de precio del art. 18</t>
        </is>
      </c>
      <c r="C175" s="2" t="n">
        <v>0.2372685185</v>
      </c>
      <c r="D175" s="2" t="n">
        <v>0.05555555556</v>
      </c>
      <c r="E175" s="2" t="n">
        <v>0.2372685185</v>
      </c>
      <c r="F175" s="2" t="inlineStr">
        <is>
          <t>proporción</t>
        </is>
      </c>
      <c r="G175" s="2" t="inlineStr">
        <is>
          <t>SERPAVI 2018-2023</t>
        </is>
      </c>
      <c r="H175" s="2" t="inlineStr">
        <is>
          <t>1188 municipios de entrenamiento</t>
        </is>
      </c>
      <c r="I175" s="2" t="inlineStr">
        <is>
          <t>SERPAVI VC; IPC (INE); BOE</t>
        </is>
      </c>
      <c r="J175" s="2" t="inlineStr">
        <is>
          <t>C4</t>
        </is>
      </c>
      <c r="K175" s="2" t="inlineStr">
        <is>
          <t>2026-10-17</t>
        </is>
      </c>
      <c r="L175" s="2" t="inlineStr">
        <is>
          <t>output/v16/q1/informe.md#v16-q1-6</t>
        </is>
      </c>
      <c r="M175" s="2" t="inlineStr">
        <is>
          <t>output/v16/q1/hechos.json:V16-Q1-6</t>
        </is>
      </c>
    </row>
    <row r="176">
      <c r="A176" s="2" t="inlineStr">
        <is>
          <t>V16-Q1-7</t>
        </is>
      </c>
      <c r="B176" s="2" t="inlineStr">
        <is>
          <t>Municipios de entrenamiento que superan IPC + 3 p.p. en 2018-2023 (SERPAVI)</t>
        </is>
      </c>
      <c r="C176" s="2" t="n">
        <v>864</v>
      </c>
      <c r="D176" s="2" t="n"/>
      <c r="E176" s="2" t="n"/>
      <c r="F176" s="2" t="inlineStr">
        <is>
          <t>municipios</t>
        </is>
      </c>
      <c r="G176" s="2" t="inlineStr">
        <is>
          <t>2018-2023</t>
        </is>
      </c>
      <c r="H176" s="2" t="inlineStr">
        <is>
          <t>1188 municipios</t>
        </is>
      </c>
      <c r="I176" s="2" t="inlineStr">
        <is>
          <t>SERPAVI VC; IPC (INE)</t>
        </is>
      </c>
      <c r="J176" s="2" t="inlineStr">
        <is>
          <t>C4</t>
        </is>
      </c>
      <c r="K176" s="2" t="inlineStr">
        <is>
          <t>2026-10-17</t>
        </is>
      </c>
      <c r="L176" s="2" t="inlineStr">
        <is>
          <t>output/v16/q1/informe.md#v16-q1-6</t>
        </is>
      </c>
      <c r="M176" s="2" t="inlineStr">
        <is>
          <t>output/v16/q1/hechos.json:V16-Q1-7</t>
        </is>
      </c>
    </row>
    <row r="177">
      <c r="A177" s="2" t="inlineStr">
        <is>
          <t>V16-Q10-1-red</t>
        </is>
      </c>
      <c r="B177" s="2" t="inlineStr">
        <is>
          <t>Q10-1: reducción puntual del ECM de MIDAS respecto al AR(4) en Δlog IPV nacional, h = 1</t>
        </is>
      </c>
      <c r="C177" s="2" t="n">
        <v>-0.1828012369</v>
      </c>
      <c r="D177" s="2" t="n">
        <v>-0.1828012369</v>
      </c>
      <c r="E177" s="2" t="n">
        <v>0.004530595966</v>
      </c>
      <c r="F177" s="2" t="inlineStr">
        <is>
          <t>reducción relativa del ECM</t>
        </is>
      </c>
      <c r="G177" s="2" t="inlineStr">
        <is>
          <t>2016Q1-2026Q2</t>
        </is>
      </c>
      <c r="H177" s="2" t="inlineStr">
        <is>
          <t>nacional, 38 objetivos</t>
        </is>
      </c>
      <c r="I177" s="2" t="inlineStr">
        <is>
          <t>INE; BdE; MIVAU</t>
        </is>
      </c>
      <c r="J177" s="2" t="inlineStr">
        <is>
          <t>C4</t>
        </is>
      </c>
      <c r="K177" s="2" t="inlineStr">
        <is>
          <t>2026-10-17</t>
        </is>
      </c>
      <c r="L177" s="2" t="inlineStr">
        <is>
          <t>output/v16/q10/informe.md#q10-1</t>
        </is>
      </c>
      <c r="M177" s="2" t="inlineStr">
        <is>
          <t>output/v16/q10/hechos.json:V16-Q10-1-red</t>
        </is>
      </c>
    </row>
    <row r="178">
      <c r="A178" s="2" t="inlineStr">
        <is>
          <t>V16-Q10-2-red</t>
        </is>
      </c>
      <c r="B178" s="2" t="inlineStr">
        <is>
          <t>Q10-2: reducción puntual del ECM de NOWCAST respecto al AR(4) en Δlog IPC de alquiler nacional, h = 1</t>
        </is>
      </c>
      <c r="C178" s="2" t="n">
        <v>-0.302933755</v>
      </c>
      <c r="D178" s="2" t="n">
        <v>-0.3434343498</v>
      </c>
      <c r="E178" s="2" t="n">
        <v>-0.05333745039</v>
      </c>
      <c r="F178" s="2" t="inlineStr">
        <is>
          <t>reducción relativa del ECM</t>
        </is>
      </c>
      <c r="G178" s="2" t="inlineStr">
        <is>
          <t>2011Q1-2026Q2</t>
        </is>
      </c>
      <c r="H178" s="2" t="inlineStr">
        <is>
          <t>nacional, 58 objetivos</t>
        </is>
      </c>
      <c r="I178" s="2" t="inlineStr">
        <is>
          <t>INE; BdE; MIVAU</t>
        </is>
      </c>
      <c r="J178" s="2" t="inlineStr">
        <is>
          <t>C4</t>
        </is>
      </c>
      <c r="K178" s="2" t="inlineStr">
        <is>
          <t>2026-10-17</t>
        </is>
      </c>
      <c r="L178" s="2" t="inlineStr">
        <is>
          <t>output/v16/q10/informe.md#q10-2</t>
        </is>
      </c>
      <c r="M178" s="2" t="inlineStr">
        <is>
          <t>output/v16/q10/hechos.json:V16-Q10-2-red</t>
        </is>
      </c>
    </row>
    <row r="179">
      <c r="A179" s="2" t="inlineStr">
        <is>
          <t>V16-Q10-3-red</t>
        </is>
      </c>
      <c r="B179" s="2" t="inlineStr">
        <is>
          <t>Q10-3: reducción puntual del ECM de MIDAS respecto al AR(4) en Δlog compraventas nacional, h = 1</t>
        </is>
      </c>
      <c r="C179" s="2" t="n">
        <v>0.4063718806</v>
      </c>
      <c r="D179" s="2" t="n">
        <v>-0.03044793914</v>
      </c>
      <c r="E179" s="2" t="n">
        <v>0.4063718806</v>
      </c>
      <c r="F179" s="2" t="inlineStr">
        <is>
          <t>reducción relativa del ECM</t>
        </is>
      </c>
      <c r="G179" s="2" t="inlineStr">
        <is>
          <t>2016Q1-2026Q2</t>
        </is>
      </c>
      <c r="H179" s="2" t="inlineStr">
        <is>
          <t>nacional, 42 objetivos</t>
        </is>
      </c>
      <c r="I179" s="2" t="inlineStr">
        <is>
          <t>INE; BdE; MIVAU</t>
        </is>
      </c>
      <c r="J179" s="2" t="inlineStr">
        <is>
          <t>C4</t>
        </is>
      </c>
      <c r="K179" s="2" t="inlineStr">
        <is>
          <t>2026-10-17</t>
        </is>
      </c>
      <c r="L179" s="2" t="inlineStr">
        <is>
          <t>output/v16/q10/informe.md#q10-3</t>
        </is>
      </c>
      <c r="M179" s="2" t="inlineStr">
        <is>
          <t>output/v16/q10/hechos.json:V16-Q10-3-red</t>
        </is>
      </c>
    </row>
    <row r="180">
      <c r="A180" s="2" t="inlineStr">
        <is>
          <t>V16-Q2-1</t>
        </is>
      </c>
      <c r="B180" s="2" t="inlineStr">
        <is>
          <t>Q2a · coeficiente DiD de intensidad (log IPC alquiler por DT del log de la exposición INE-VUT 2020-08)</t>
        </is>
      </c>
      <c r="C180" s="2" t="n">
        <v>0.01316180619</v>
      </c>
      <c r="D180" s="2" t="n">
        <v>0.007067612874</v>
      </c>
      <c r="E180" s="2" t="n">
        <v>0.01316180619</v>
      </c>
      <c r="F180" s="2" t="inlineStr">
        <is>
          <t>Δlog por DT</t>
        </is>
      </c>
      <c r="G180" s="2" t="inlineStr">
        <is>
          <t>2017-2019 frente a 2022-2025</t>
        </is>
      </c>
      <c r="H180" s="2" t="inlineStr">
        <is>
          <t>41 provincias de entrenamiento (Ceuta y Melilla incluidas)</t>
        </is>
      </c>
      <c r="I180" s="2" t="inlineStr">
        <is>
          <t>INE IPC alquiler; INE viviendas turísticas</t>
        </is>
      </c>
      <c r="J180" s="2" t="inlineStr">
        <is>
          <t>C4</t>
        </is>
      </c>
      <c r="K180" s="2" t="inlineStr">
        <is>
          <t>2026-10-17</t>
        </is>
      </c>
      <c r="L180" s="2" t="inlineStr">
        <is>
          <t>output/v16/q2/informe.md#v16-q2-1</t>
        </is>
      </c>
      <c r="M180" s="2" t="inlineStr">
        <is>
          <t>output/v16/q2/hechos.json:V16-Q2-1</t>
        </is>
      </c>
    </row>
    <row r="181">
      <c r="A181" s="2" t="inlineStr">
        <is>
          <t>V16-Q2-2</t>
        </is>
      </c>
      <c r="B181" s="2" t="inlineStr">
        <is>
          <t>Q2a · magnitud de referencia (0,04 × DT del log de la exposición)</t>
        </is>
      </c>
      <c r="C181" s="2" t="n">
        <v>0.03786138922</v>
      </c>
      <c r="D181" s="2" t="n"/>
      <c r="E181" s="2" t="n"/>
      <c r="F181" s="2" t="inlineStr">
        <is>
          <t>Δlog por DT</t>
        </is>
      </c>
      <c r="G181" s="2" t="inlineStr">
        <is>
          <t>2017-2025</t>
        </is>
      </c>
      <c r="H181" s="2" t="inlineStr">
        <is>
          <t>41 provincias de entrenamiento (Ceuta y Melilla incluidas)</t>
        </is>
      </c>
      <c r="I181" s="2" t="inlineStr">
        <is>
          <t>literatura L2/P5 (docs/v16/literatura.md)</t>
        </is>
      </c>
      <c r="J181" s="2" t="inlineStr">
        <is>
          <t>C4</t>
        </is>
      </c>
      <c r="K181" s="2" t="inlineStr">
        <is>
          <t>2026-10-17</t>
        </is>
      </c>
      <c r="L181" s="2" t="inlineStr">
        <is>
          <t>output/v16/q2/informe.md#v16-q2-1</t>
        </is>
      </c>
      <c r="M181" s="2" t="inlineStr">
        <is>
          <t>output/v16/q2/hechos.json:V16-Q2-2</t>
        </is>
      </c>
    </row>
    <row r="182">
      <c r="A182" s="2" t="inlineStr">
        <is>
          <t>V16-Q2-3</t>
        </is>
      </c>
      <c r="B182" s="2" t="inlineStr">
        <is>
          <t>Q2a · placebo de fecha</t>
        </is>
      </c>
      <c r="C182" s="2" t="n">
        <v>0.00258048861</v>
      </c>
      <c r="D182" s="2" t="n"/>
      <c r="E182" s="2" t="n"/>
      <c r="F182" s="2" t="inlineStr">
        <is>
          <t>Δlog por DT</t>
        </is>
      </c>
      <c r="G182" s="2" t="inlineStr">
        <is>
          <t>2012-2019</t>
        </is>
      </c>
      <c r="H182" s="2" t="inlineStr">
        <is>
          <t>41 provincias de entrenamiento (Ceuta y Melilla incluidas)</t>
        </is>
      </c>
      <c r="I182" s="2" t="inlineStr">
        <is>
          <t>INE IPC alquiler; INE viviendas turísticas</t>
        </is>
      </c>
      <c r="J182" s="2" t="inlineStr">
        <is>
          <t>C4</t>
        </is>
      </c>
      <c r="K182" s="2" t="inlineStr">
        <is>
          <t>2026-10-17</t>
        </is>
      </c>
      <c r="L182" s="2" t="inlineStr">
        <is>
          <t>output/v16/q2/informe.md#v16-q2-2</t>
        </is>
      </c>
      <c r="M182" s="2" t="inlineStr">
        <is>
          <t>output/v16/q2/hechos.json:V16-Q2-3</t>
        </is>
      </c>
    </row>
    <row r="183">
      <c r="A183" s="2" t="inlineStr">
        <is>
          <t>V16-Q2-4</t>
        </is>
      </c>
      <c r="B183" s="2" t="inlineStr">
        <is>
          <t>Q2c · coeficiente (Δlog IPVA-TAM municipal por DT del % de vivienda turística)</t>
        </is>
      </c>
      <c r="C183" s="2" t="n">
        <v>-0.005376098191</v>
      </c>
      <c r="D183" s="2" t="n">
        <v>-0.009540549202999999</v>
      </c>
      <c r="E183" s="2" t="n">
        <v>0.007848696475</v>
      </c>
      <c r="F183" s="2" t="inlineStr">
        <is>
          <t>Δlog por DT</t>
        </is>
      </c>
      <c r="G183" s="2" t="inlineStr">
        <is>
          <t>2021-2024</t>
        </is>
      </c>
      <c r="H183" s="2" t="inlineStr">
        <is>
          <t>384 municipios de entrenamiento</t>
        </is>
      </c>
      <c r="I183" s="2" t="inlineStr">
        <is>
          <t>IPVA-TAM (MIVAU/INE); INE viviendas turísticas</t>
        </is>
      </c>
      <c r="J183" s="2" t="inlineStr">
        <is>
          <t>C4</t>
        </is>
      </c>
      <c r="K183" s="2" t="inlineStr">
        <is>
          <t>2026-10-17</t>
        </is>
      </c>
      <c r="L183" s="2" t="inlineStr">
        <is>
          <t>output/v16/q2/informe.md#v16-q2-3</t>
        </is>
      </c>
      <c r="M183" s="2" t="inlineStr">
        <is>
          <t>output/v16/q2/hechos.json:V16-Q2-4</t>
        </is>
      </c>
    </row>
    <row r="184">
      <c r="A184" s="2" t="inlineStr">
        <is>
          <t>V16-Q2-5</t>
        </is>
      </c>
      <c r="B184" s="2" t="inlineStr">
        <is>
          <t>Q2c · magnitud de referencia (0,04 × DT del log de la exposición)</t>
        </is>
      </c>
      <c r="C184" s="2" t="n">
        <v>0.06326806615</v>
      </c>
      <c r="D184" s="2" t="n"/>
      <c r="E184" s="2" t="n"/>
      <c r="F184" s="2" t="inlineStr">
        <is>
          <t>Δlog por DT</t>
        </is>
      </c>
      <c r="G184" s="2" t="inlineStr">
        <is>
          <t>2021-2024</t>
        </is>
      </c>
      <c r="H184" s="2" t="inlineStr">
        <is>
          <t>384 municipios</t>
        </is>
      </c>
      <c r="I184" s="2" t="inlineStr">
        <is>
          <t>literatura L2/P5</t>
        </is>
      </c>
      <c r="J184" s="2" t="inlineStr">
        <is>
          <t>C4</t>
        </is>
      </c>
      <c r="K184" s="2" t="inlineStr">
        <is>
          <t>2026-10-17</t>
        </is>
      </c>
      <c r="L184" s="2" t="inlineStr">
        <is>
          <t>output/v16/q2/informe.md#v16-q2-3</t>
        </is>
      </c>
      <c r="M184" s="2" t="inlineStr">
        <is>
          <t>output/v16/q2/hechos.json:V16-Q2-5</t>
        </is>
      </c>
    </row>
    <row r="185">
      <c r="A185" s="2" t="inlineStr">
        <is>
          <t>V16-Q2-6</t>
        </is>
      </c>
      <c r="B185" s="2" t="inlineStr">
        <is>
          <t>Q2b · mediana de 8 especificaciones de robustez (Andalucía, dosis reconstruida)</t>
        </is>
      </c>
      <c r="C185" s="2" t="n">
        <v>0.0002048454016</v>
      </c>
      <c r="D185" s="2" t="n">
        <v>-0.01549778807</v>
      </c>
      <c r="E185" s="2" t="n">
        <v>0.0009760340101</v>
      </c>
      <c r="F185" s="2" t="inlineStr">
        <is>
          <t>Δlog por unidad de dosis</t>
        </is>
      </c>
      <c r="G185" s="2" t="inlineStr">
        <is>
          <t>2016-2024</t>
        </is>
      </c>
      <c r="H185" s="2" t="inlineStr">
        <is>
          <t>177 municipios (SERPAVI), 90 (IPVA)</t>
        </is>
      </c>
      <c r="I185" s="2" t="inlineStr">
        <is>
          <t>OpenRTA (terceros, agregado propio); SERPAVI; IPVA-TAM</t>
        </is>
      </c>
      <c r="J185" s="2" t="inlineStr">
        <is>
          <t>C4</t>
        </is>
      </c>
      <c r="K185" s="2" t="inlineStr">
        <is>
          <t>2026-10-17</t>
        </is>
      </c>
      <c r="L185" s="2" t="inlineStr">
        <is>
          <t>output/v16/q2/informe.md#v16-q2-4</t>
        </is>
      </c>
      <c r="M185" s="2" t="inlineStr">
        <is>
          <t>output/v16/q2/hechos.json:V16-Q2-6</t>
        </is>
      </c>
    </row>
    <row r="186">
      <c r="A186" s="2" t="inlineStr">
        <is>
          <t>V16-Q2-7</t>
        </is>
      </c>
      <c r="B186" s="2" t="inlineStr">
        <is>
          <t>Q2a · GATES: pendiente del cuartil superior menos el inferior del CATE proxy (descriptivo)</t>
        </is>
      </c>
      <c r="C186" s="2" t="n">
        <v>-0.006280780856</v>
      </c>
      <c r="D186" s="2" t="n"/>
      <c r="E186" s="2" t="n"/>
      <c r="F186" s="2" t="inlineStr">
        <is>
          <t>Δlog por DT</t>
        </is>
      </c>
      <c r="G186" s="2" t="inlineStr">
        <is>
          <t>2017-2025</t>
        </is>
      </c>
      <c r="H186" s="2" t="inlineStr">
        <is>
          <t>37 provincias con moderadores</t>
        </is>
      </c>
      <c r="I186" s="2" t="inlineStr">
        <is>
          <t>ADRH; padrón; Catastro/MIVAU</t>
        </is>
      </c>
      <c r="J186" s="2" t="inlineStr">
        <is>
          <t>C4</t>
        </is>
      </c>
      <c r="K186" s="2" t="inlineStr">
        <is>
          <t>2026-10-17</t>
        </is>
      </c>
      <c r="L186" s="2" t="inlineStr">
        <is>
          <t>output/v16/q2/informe.md#v16-q2-5</t>
        </is>
      </c>
      <c r="M186" s="2" t="inlineStr">
        <is>
          <t>output/v16/q2/hechos.json:V16-Q2-7</t>
        </is>
      </c>
    </row>
    <row r="187">
      <c r="A187" s="2" t="inlineStr">
        <is>
          <t>V16-Q3-b-beta</t>
        </is>
      </c>
      <c r="B187" s="2" t="inlineStr">
        <is>
          <t>Q3-b: asociación transversal del Δlog SERPAVI 2021-2024 con la cuota de extranjeros 2022 (por DT)</t>
        </is>
      </c>
      <c r="C187" s="2" t="n">
        <v>0.009077270952</v>
      </c>
      <c r="D187" s="2" t="n">
        <v>0.003445376155</v>
      </c>
      <c r="E187" s="2" t="n">
        <v>0.009077270952</v>
      </c>
      <c r="F187" s="2" t="inlineStr">
        <is>
          <t>log por desviación típica</t>
        </is>
      </c>
      <c r="G187" s="2" t="inlineStr">
        <is>
          <t>2021-2024</t>
        </is>
      </c>
      <c r="H187" s="2" t="inlineStr">
        <is>
          <t>9916 secciones en 748 municipios</t>
        </is>
      </c>
      <c r="I187" s="2" t="inlineStr">
        <is>
          <t>MIVAU SERPAVI (VC); INE padrón por sección</t>
        </is>
      </c>
      <c r="J187" s="2" t="inlineStr">
        <is>
          <t>C4</t>
        </is>
      </c>
      <c r="K187" s="2" t="inlineStr">
        <is>
          <t>2024</t>
        </is>
      </c>
      <c r="L187" s="2" t="inlineStr">
        <is>
          <t>output/v16/q3/informe.md#q3-b</t>
        </is>
      </c>
      <c r="M187" s="2" t="inlineStr">
        <is>
          <t>output/v16/q3/hechos.json:V16-Q3-b-beta</t>
        </is>
      </c>
    </row>
    <row r="188">
      <c r="A188" s="2" t="inlineStr">
        <is>
          <t>V16-Q3-b-mediana</t>
        </is>
      </c>
      <c r="B188" s="2" t="inlineStr">
        <is>
          <t>Q3-b: mediana de las 6 especificaciones del multiverso (min/max = extremos; correlación frágil, sin inferencia válida)</t>
        </is>
      </c>
      <c r="C188" s="2" t="n">
        <v>0.005752770186</v>
      </c>
      <c r="D188" s="2" t="n">
        <v>0.003445376155</v>
      </c>
      <c r="E188" s="2" t="n">
        <v>0.009077270952</v>
      </c>
      <c r="F188" s="2" t="inlineStr">
        <is>
          <t>log por desviación típica</t>
        </is>
      </c>
      <c r="G188" s="2" t="inlineStr">
        <is>
          <t>2021-2024</t>
        </is>
      </c>
      <c r="H188" s="2" t="inlineStr">
        <is>
          <t>9916 secciones en 748 municipios</t>
        </is>
      </c>
      <c r="I188" s="2" t="inlineStr">
        <is>
          <t>MIVAU SERPAVI (VC); INE padrón por sección; mediana leída de output/v16/q3/resultado.json (estimacion.Q3-b.multiverso)</t>
        </is>
      </c>
      <c r="J188" s="2" t="inlineStr">
        <is>
          <t>C4</t>
        </is>
      </c>
      <c r="K188" s="2" t="inlineStr">
        <is>
          <t>2024</t>
        </is>
      </c>
      <c r="L188" s="2" t="inlineStr">
        <is>
          <t>output/v16/q3/informe.md#q3-b</t>
        </is>
      </c>
      <c r="M188" s="2" t="inlineStr">
        <is>
          <t>output/v16/f7_hechos/hechos.json:V16-Q3-b-mediana</t>
        </is>
      </c>
    </row>
    <row r="189">
      <c r="A189" s="2" t="inlineStr">
        <is>
          <t>V16-Q3-b-pretendencia</t>
        </is>
      </c>
      <c r="B189" s="2" t="inlineStr">
        <is>
          <t>Q3-b: coeficiente placebo con el Δlog SERPAVI 2018-2021 (pretendencia)</t>
        </is>
      </c>
      <c r="C189" s="2" t="n">
        <v>0.005109416547</v>
      </c>
      <c r="D189" s="2" t="n"/>
      <c r="E189" s="2" t="n"/>
      <c r="F189" s="2" t="inlineStr">
        <is>
          <t>log por desviación típica</t>
        </is>
      </c>
      <c r="G189" s="2" t="inlineStr">
        <is>
          <t>2018-2021</t>
        </is>
      </c>
      <c r="H189" s="2" t="inlineStr">
        <is>
          <t>9560 secciones</t>
        </is>
      </c>
      <c r="I189" s="2" t="inlineStr">
        <is>
          <t>MIVAU SERPAVI (VC); INE padrón por sección</t>
        </is>
      </c>
      <c r="J189" s="2" t="inlineStr">
        <is>
          <t>C4</t>
        </is>
      </c>
      <c r="K189" s="2" t="inlineStr">
        <is>
          <t>2021</t>
        </is>
      </c>
      <c r="L189" s="2" t="inlineStr">
        <is>
          <t>output/v16/q3/informe.md#q3-b</t>
        </is>
      </c>
      <c r="M189" s="2" t="inlineStr">
        <is>
          <t>output/v16/q3/hechos.json:V16-Q3-b-pretendencia</t>
        </is>
      </c>
    </row>
    <row r="190">
      <c r="A190" s="2" t="inlineStr">
        <is>
          <t>V16-Q3-blp-gates</t>
        </is>
      </c>
      <c r="B190" s="2" t="inlineStr">
        <is>
          <t>Q3: diferencia GATES cuartil 4 menos cuartil 1 de la asociación de Q3-b (descriptivo)</t>
        </is>
      </c>
      <c r="C190" s="2" t="n">
        <v>0.0001615861905</v>
      </c>
      <c r="D190" s="2" t="n"/>
      <c r="E190" s="2" t="n"/>
      <c r="F190" s="2" t="inlineStr">
        <is>
          <t>log por desviación típica</t>
        </is>
      </c>
      <c r="G190" s="2" t="inlineStr">
        <is>
          <t>2021-2024</t>
        </is>
      </c>
      <c r="H190" s="2" t="inlineStr">
        <is>
          <t>9489 secciones</t>
        </is>
      </c>
      <c r="I190" s="2" t="inlineStr">
        <is>
          <t>MIVAU SERPAVI; INE; ADRH; Catastro</t>
        </is>
      </c>
      <c r="J190" s="2" t="inlineStr">
        <is>
          <t>C4</t>
        </is>
      </c>
      <c r="K190" s="2" t="inlineStr">
        <is>
          <t>2024</t>
        </is>
      </c>
      <c r="L190" s="2" t="inlineStr">
        <is>
          <t>output/v16/q3/informe.md#q3-blp</t>
        </is>
      </c>
      <c r="M190" s="2" t="inlineStr">
        <is>
          <t>output/v16/q3/hechos.json:V16-Q3-blp-gates</t>
        </is>
      </c>
    </row>
    <row r="191">
      <c r="A191" s="2" t="inlineStr">
        <is>
          <t>V16-Q3-c1-beta</t>
        </is>
      </c>
      <c r="B191" s="2" t="inlineStr">
        <is>
          <t>Q3-c1: asociación de log valor tasado con la población extranjera predicha (por punto), forma reducida</t>
        </is>
      </c>
      <c r="C191" s="2" t="n">
        <v>0.01189623268</v>
      </c>
      <c r="D191" s="2" t="n">
        <v>0.0118877272</v>
      </c>
      <c r="E191" s="2" t="n">
        <v>0.05251933747</v>
      </c>
      <c r="F191" s="2" t="inlineStr">
        <is>
          <t>log por punto de población</t>
        </is>
      </c>
      <c r="G191" s="2" t="inlineStr">
        <is>
          <t>2011-2022</t>
        </is>
      </c>
      <c r="H191" s="2" t="inlineStr">
        <is>
          <t>38 provincias</t>
        </is>
      </c>
      <c r="I191" s="2" t="inlineStr">
        <is>
          <t>Padrón por nacionalidad, SERPAVI y valor tasado/compraventas de entrenamiento</t>
        </is>
      </c>
      <c r="J191" s="2" t="inlineStr">
        <is>
          <t>C4</t>
        </is>
      </c>
      <c r="K191" s="2" t="inlineStr">
        <is>
          <t>2022</t>
        </is>
      </c>
      <c r="L191" s="2" t="inlineStr">
        <is>
          <t>output/v16/q3/informe.md#q3-c1</t>
        </is>
      </c>
      <c r="M191" s="2" t="inlineStr">
        <is>
          <t>output/v16/q3/hechos.json:V16-Q3-c1-beta</t>
        </is>
      </c>
    </row>
    <row r="192">
      <c r="A192" s="2" t="inlineStr">
        <is>
          <t>V16-Q3-c2-beta</t>
        </is>
      </c>
      <c r="B192" s="2" t="inlineStr">
        <is>
          <t>Q3-c2: asociación de log compraventas con la población extranjera predicha (por punto), forma reducida</t>
        </is>
      </c>
      <c r="C192" s="2" t="n">
        <v>-0.02817647825</v>
      </c>
      <c r="D192" s="2" t="n">
        <v>-0.08372081449</v>
      </c>
      <c r="E192" s="2" t="n">
        <v>-0.01563090315</v>
      </c>
      <c r="F192" s="2" t="inlineStr">
        <is>
          <t>log por punto de población</t>
        </is>
      </c>
      <c r="G192" s="2" t="inlineStr">
        <is>
          <t>2011-2022</t>
        </is>
      </c>
      <c r="H192" s="2" t="inlineStr">
        <is>
          <t>41 provincias de entrenamiento</t>
        </is>
      </c>
      <c r="I192" s="2" t="inlineStr">
        <is>
          <t>Padrón por nacionalidad, SERPAVI y valor tasado/compraventas de entrenamiento</t>
        </is>
      </c>
      <c r="J192" s="2" t="inlineStr">
        <is>
          <t>C4</t>
        </is>
      </c>
      <c r="K192" s="2" t="inlineStr">
        <is>
          <t>2022</t>
        </is>
      </c>
      <c r="L192" s="2" t="inlineStr">
        <is>
          <t>output/v16/q3/informe.md#q3-c2</t>
        </is>
      </c>
      <c r="M192" s="2" t="inlineStr">
        <is>
          <t>output/v16/q3/hechos.json:V16-Q3-c2-beta</t>
        </is>
      </c>
    </row>
    <row r="193">
      <c r="A193" s="2" t="inlineStr">
        <is>
          <t>V16-Q3-rotemberg-1</t>
        </is>
      </c>
      <c r="B193" s="2" t="inlineStr">
        <is>
          <t>Q3-c: peso de Rotemberg del origen con mayor peso (Rumanía) en el shift-share</t>
        </is>
      </c>
      <c r="C193" s="2" t="n">
        <v>0.4753220306</v>
      </c>
      <c r="D193" s="2" t="n"/>
      <c r="E193" s="2" t="n"/>
      <c r="F193" s="2" t="inlineStr">
        <is>
          <t>fracción del estimador</t>
        </is>
      </c>
      <c r="G193" s="2" t="inlineStr">
        <is>
          <t>2011-2022</t>
        </is>
      </c>
      <c r="H193" s="2" t="inlineStr">
        <is>
          <t>28 orígenes, 38 provincias</t>
        </is>
      </c>
      <c r="I193" s="2" t="inlineStr">
        <is>
          <t>INE padrón por nacionalidad</t>
        </is>
      </c>
      <c r="J193" s="2" t="inlineStr">
        <is>
          <t>C4</t>
        </is>
      </c>
      <c r="K193" s="2" t="inlineStr">
        <is>
          <t>2022</t>
        </is>
      </c>
      <c r="L193" s="2" t="inlineStr">
        <is>
          <t>output/v16/q3/informe.md#q3-rotemberg</t>
        </is>
      </c>
      <c r="M193" s="2" t="inlineStr">
        <is>
          <t>output/v16/q3/hechos.json:V16-Q3-rotemberg-1</t>
        </is>
      </c>
    </row>
    <row r="194">
      <c r="A194" s="2" t="inlineStr">
        <is>
          <t>V16-Q4a-beta</t>
        </is>
      </c>
      <c r="B194" s="2" t="inlineStr">
        <is>
          <t>Q4a: asociación de log obra nueva neta (obra &gt; 0) con el porcentaje de Red Natura municipal (por DT = 31,8 pp)</t>
        </is>
      </c>
      <c r="C194" s="2" t="n">
        <v>-0.1297192452</v>
      </c>
      <c r="D194" s="2" t="n">
        <v>-0.1297192452</v>
      </c>
      <c r="E194" s="2" t="n">
        <v>-0.002247721767</v>
      </c>
      <c r="F194" s="2" t="inlineStr">
        <is>
          <t>log por desviación típica</t>
        </is>
      </c>
      <c r="G194" s="2" t="inlineStr">
        <is>
          <t>2018-2025</t>
        </is>
      </c>
      <c r="H194" s="2" t="inlineStr">
        <is>
          <t>4374 municipios</t>
        </is>
      </c>
      <c r="I194" s="2" t="inlineStr">
        <is>
          <t>Catastro (obra neta); MITECO (Red Natura 2000)</t>
        </is>
      </c>
      <c r="J194" s="2" t="inlineStr">
        <is>
          <t>C4</t>
        </is>
      </c>
      <c r="K194" s="2" t="inlineStr">
        <is>
          <t>2025</t>
        </is>
      </c>
      <c r="L194" s="2" t="inlineStr">
        <is>
          <t>output/v16/q4/informe.md#q4a</t>
        </is>
      </c>
      <c r="M194" s="2" t="inlineStr">
        <is>
          <t>output/v16/q4/hechos.json:V16-Q4a-beta</t>
        </is>
      </c>
    </row>
    <row r="195">
      <c r="A195" s="2" t="inlineStr">
        <is>
          <t>V16-Q4b-beta</t>
        </is>
      </c>
      <c r="B195" s="2" t="inlineStr">
        <is>
          <t>Q4b: interacción del choque de demanda (Δ población extranjera predicha) con el % de Red Natura sobre el Δlog SERPAVI</t>
        </is>
      </c>
      <c r="C195" s="2" t="n">
        <v>-0.001382622347</v>
      </c>
      <c r="D195" s="2" t="n">
        <v>-0.002626293784</v>
      </c>
      <c r="E195" s="2" t="n">
        <v>-0.0007697661541</v>
      </c>
      <c r="F195" s="2" t="inlineStr">
        <is>
          <t>log por punto de choque y DT de RN</t>
        </is>
      </c>
      <c r="G195" s="2" t="inlineStr">
        <is>
          <t>2018-2022</t>
        </is>
      </c>
      <c r="H195" s="2" t="inlineStr">
        <is>
          <t>1293 municipios</t>
        </is>
      </c>
      <c r="I195" s="2" t="inlineStr">
        <is>
          <t>MIVAU SERPAVI; INE padrón; MITECO</t>
        </is>
      </c>
      <c r="J195" s="2" t="inlineStr">
        <is>
          <t>C4</t>
        </is>
      </c>
      <c r="K195" s="2" t="inlineStr">
        <is>
          <t>2022</t>
        </is>
      </c>
      <c r="L195" s="2" t="inlineStr">
        <is>
          <t>output/v16/q4/informe.md#q4b</t>
        </is>
      </c>
      <c r="M195" s="2" t="inlineStr">
        <is>
          <t>output/v16/q4/hechos.json:V16-Q4b-beta</t>
        </is>
      </c>
    </row>
    <row r="196">
      <c r="A196" s="2" t="inlineStr">
        <is>
          <t>V16-Q5-a-h4</t>
        </is>
      </c>
      <c r="B196" s="2" t="inlineStr">
        <is>
          <t>Q5-a: variación acumulada del IPC de alquiler nacional a 4 trimestres asociada a una DT de sorpresa monetaria (JK)</t>
        </is>
      </c>
      <c r="C196" s="2" t="n">
        <v>-0.0620540225</v>
      </c>
      <c r="D196" s="2" t="n">
        <v>-0.5832991177</v>
      </c>
      <c r="E196" s="2" t="n">
        <v>0.02479787503</v>
      </c>
      <c r="F196" s="2" t="inlineStr">
        <is>
          <t>% por DT de sorpresa</t>
        </is>
      </c>
      <c r="G196" s="2" t="inlineStr">
        <is>
          <t>2003Q2-2025Q2</t>
        </is>
      </c>
      <c r="H196" s="2" t="inlineStr">
        <is>
          <t>nacional, trimestral</t>
        </is>
      </c>
      <c r="I196" s="2" t="inlineStr">
        <is>
          <t>INE (IPC alquiler); BCE/JK (sorpresas)</t>
        </is>
      </c>
      <c r="J196" s="2" t="inlineStr">
        <is>
          <t>C4</t>
        </is>
      </c>
      <c r="K196" s="2" t="inlineStr">
        <is>
          <t>2025T4</t>
        </is>
      </c>
      <c r="L196" s="2" t="inlineStr">
        <is>
          <t>output/v16/q5/informe.md#q5a</t>
        </is>
      </c>
      <c r="M196" s="2" t="inlineStr">
        <is>
          <t>output/v16/q5/hechos.json:V16-Q5-a-h4</t>
        </is>
      </c>
    </row>
    <row r="197">
      <c r="A197" s="2" t="inlineStr">
        <is>
          <t>V16-Q5-p-h4</t>
        </is>
      </c>
      <c r="B197" s="2" t="inlineStr">
        <is>
          <t>Q5-p: variación acumulada del valor tasado nacional a 4 trimestres asociada a una DT de sorpresa monetaria (JK)</t>
        </is>
      </c>
      <c r="C197" s="2" t="n">
        <v>-0.5127882994</v>
      </c>
      <c r="D197" s="2" t="n">
        <v>-0.637181326</v>
      </c>
      <c r="E197" s="2" t="n">
        <v>2.303476249</v>
      </c>
      <c r="F197" s="2" t="inlineStr">
        <is>
          <t>% por DT de sorpresa</t>
        </is>
      </c>
      <c r="G197" s="2" t="inlineStr">
        <is>
          <t>2000Q2-2025Q2</t>
        </is>
      </c>
      <c r="H197" s="2" t="inlineStr">
        <is>
          <t>nacional, trimestral</t>
        </is>
      </c>
      <c r="I197" s="2" t="inlineStr">
        <is>
          <t>MIVAU (valor tasado); BCE/JK (sorpresas)</t>
        </is>
      </c>
      <c r="J197" s="2" t="inlineStr">
        <is>
          <t>C4</t>
        </is>
      </c>
      <c r="K197" s="2" t="inlineStr">
        <is>
          <t>2025T4</t>
        </is>
      </c>
      <c r="L197" s="2" t="inlineStr">
        <is>
          <t>output/v16/q5/informe.md#q5p</t>
        </is>
      </c>
      <c r="M197" s="2" t="inlineStr">
        <is>
          <t>output/v16/q5/hechos.json:V16-Q5-p-h4</t>
        </is>
      </c>
    </row>
    <row r="198">
      <c r="A198" s="2" t="inlineStr">
        <is>
          <t>V16-Q6-cambios</t>
        </is>
      </c>
      <c r="B198" s="2" t="inlineStr">
        <is>
          <t>Q6: número de cambios del tipo general del ITP en el calendario de entrenamiento</t>
        </is>
      </c>
      <c r="C198" s="2" t="n">
        <v>14</v>
      </c>
      <c r="D198" s="2" t="n"/>
      <c r="E198" s="2" t="n"/>
      <c r="F198" s="2" t="inlineStr">
        <is>
          <t>cambios</t>
        </is>
      </c>
      <c r="G198" s="2" t="inlineStr">
        <is>
          <t>2011-2024</t>
        </is>
      </c>
      <c r="H198" s="2" t="inlineStr">
        <is>
          <t>8 CCAA no selladas</t>
        </is>
      </c>
      <c r="I198" s="2" t="inlineStr">
        <is>
          <t>Ministerio de Hacienda, Tributación Autonómica (secundaria)</t>
        </is>
      </c>
      <c r="J198" s="2" t="inlineStr">
        <is>
          <t>C4</t>
        </is>
      </c>
      <c r="K198" s="2" t="inlineStr">
        <is>
          <t>2024</t>
        </is>
      </c>
      <c r="L198" s="2" t="inlineStr">
        <is>
          <t>output/v16/q6/informe.md#q6-calendario</t>
        </is>
      </c>
      <c r="M198" s="2" t="inlineStr">
        <is>
          <t>output/v16/q6/hechos.json:V16-Q6-cambios</t>
        </is>
      </c>
    </row>
    <row r="199">
      <c r="A199" s="2" t="inlineStr">
        <is>
          <t>V16-Q6-p-beta</t>
        </is>
      </c>
      <c r="B199" s="2" t="inlineStr">
        <is>
          <t>Q6-p: asociación del Δlog valor tasado con el cambio del tipo general del ITP (Wald-DID dCDH, por punto)</t>
        </is>
      </c>
      <c r="C199" s="2" t="n">
        <v>-0.002037210174</v>
      </c>
      <c r="D199" s="2" t="n">
        <v>-0.01550503373</v>
      </c>
      <c r="E199" s="2" t="n">
        <v>0.006449532188</v>
      </c>
      <c r="F199" s="2" t="inlineStr">
        <is>
          <t>log por punto de tipo</t>
        </is>
      </c>
      <c r="G199" s="2" t="inlineStr">
        <is>
          <t>2011-2024</t>
        </is>
      </c>
      <c r="H199" s="2" t="inlineStr">
        <is>
          <t>33 provincias con cambio en 7-8 CCAA</t>
        </is>
      </c>
      <c r="I199" s="2" t="inlineStr">
        <is>
          <t>Ministerio de Hacienda (tipos); MIVAU valor tasado</t>
        </is>
      </c>
      <c r="J199" s="2" t="inlineStr">
        <is>
          <t>C4</t>
        </is>
      </c>
      <c r="K199" s="2" t="inlineStr">
        <is>
          <t>2024</t>
        </is>
      </c>
      <c r="L199" s="2" t="inlineStr">
        <is>
          <t>output/v16/q6/informe.md#q6-p</t>
        </is>
      </c>
      <c r="M199" s="2" t="inlineStr">
        <is>
          <t>output/v16/q6/hechos.json:V16-Q6-p-beta</t>
        </is>
      </c>
    </row>
    <row r="200">
      <c r="A200" s="2" t="inlineStr">
        <is>
          <t>V16-Q6-v-beta</t>
        </is>
      </c>
      <c r="B200" s="2" t="inlineStr">
        <is>
          <t>Q6-v: asociación del Δlog compraventas con el cambio del tipo general del ITP (Wald-DID dCDH, por punto)</t>
        </is>
      </c>
      <c r="C200" s="2" t="n">
        <v>0.02508245316</v>
      </c>
      <c r="D200" s="2" t="n">
        <v>0.002489803845</v>
      </c>
      <c r="E200" s="2" t="n">
        <v>0.02508245316</v>
      </c>
      <c r="F200" s="2" t="inlineStr">
        <is>
          <t>log por punto de tipo</t>
        </is>
      </c>
      <c r="G200" s="2" t="inlineStr">
        <is>
          <t>2011-2024</t>
        </is>
      </c>
      <c r="H200" s="2" t="inlineStr">
        <is>
          <t>34 provincias con cambio en 8 CCAA</t>
        </is>
      </c>
      <c r="I200" s="2" t="inlineStr">
        <is>
          <t>Ministerio de Hacienda (tipos); INE ETDP</t>
        </is>
      </c>
      <c r="J200" s="2" t="inlineStr">
        <is>
          <t>C4</t>
        </is>
      </c>
      <c r="K200" s="2" t="inlineStr">
        <is>
          <t>2024</t>
        </is>
      </c>
      <c r="L200" s="2" t="inlineStr">
        <is>
          <t>output/v16/q6/informe.md#q6-v</t>
        </is>
      </c>
      <c r="M200" s="2" t="inlineStr">
        <is>
          <t>output/v16/q6/hechos.json:V16-Q6-v-beta</t>
        </is>
      </c>
    </row>
    <row r="201">
      <c r="A201" s="2" t="inlineStr">
        <is>
          <t>V16-Q6-v-placebo</t>
        </is>
      </c>
      <c r="B201" s="2" t="inlineStr">
        <is>
          <t>Q6-v: placebo con ΔY retardado un año</t>
        </is>
      </c>
      <c r="C201" s="2" t="n">
        <v>-0.04835529878</v>
      </c>
      <c r="D201" s="2" t="n"/>
      <c r="E201" s="2" t="n"/>
      <c r="F201" s="2" t="inlineStr">
        <is>
          <t>log por punto de tipo</t>
        </is>
      </c>
      <c r="G201" s="2" t="inlineStr">
        <is>
          <t>2011-2024</t>
        </is>
      </c>
      <c r="H201" s="2" t="inlineStr">
        <is>
          <t>34 provincias</t>
        </is>
      </c>
      <c r="I201" s="2" t="inlineStr">
        <is>
          <t>idem</t>
        </is>
      </c>
      <c r="J201" s="2" t="inlineStr">
        <is>
          <t>C4</t>
        </is>
      </c>
      <c r="K201" s="2" t="inlineStr">
        <is>
          <t>2024</t>
        </is>
      </c>
      <c r="L201" s="2" t="inlineStr">
        <is>
          <t>output/v16/q6/informe.md#q6-v</t>
        </is>
      </c>
      <c r="M201" s="2" t="inlineStr">
        <is>
          <t>output/v16/q6/hechos.json:V16-Q6-v-placebo</t>
        </is>
      </c>
    </row>
    <row r="202">
      <c r="A202" s="2" t="inlineStr">
        <is>
          <t>V16-Q7-1</t>
        </is>
      </c>
      <c r="B202" s="2" t="inlineStr">
        <is>
          <t>Q7a · diferencia en discontinuidades del log del alquiler mensual en el corte de 35 años (2023-2025 frente a 2018-2021, ±5 años)</t>
        </is>
      </c>
      <c r="C202" s="2" t="n">
        <v>-0.119972104</v>
      </c>
      <c r="D202" s="2" t="n">
        <v>-0.1482981821</v>
      </c>
      <c r="E202" s="2" t="n">
        <v>-0.119972104</v>
      </c>
      <c r="F202" s="2" t="inlineStr">
        <is>
          <t>Δlog</t>
        </is>
      </c>
      <c r="G202" s="2" t="inlineStr">
        <is>
          <t>2018-2021 / 2023-2025</t>
        </is>
      </c>
      <c r="H202" s="2" t="inlineStr">
        <is>
          <t>5061 hogares inquilinos de mercado, sustentador 30-40 años</t>
        </is>
      </c>
      <c r="I202" s="2" t="inlineStr">
        <is>
          <t>INE ECV (microdatos)</t>
        </is>
      </c>
      <c r="J202" s="2" t="inlineStr">
        <is>
          <t>C4</t>
        </is>
      </c>
      <c r="K202" s="2" t="inlineStr">
        <is>
          <t>2026-10-17</t>
        </is>
      </c>
      <c r="L202" s="2" t="inlineStr">
        <is>
          <t>output/v16/q7/informe.md#v16-q7-1</t>
        </is>
      </c>
      <c r="M202" s="2" t="inlineStr">
        <is>
          <t>output/v16/q7/hechos.json:V16-Q7-1</t>
        </is>
      </c>
    </row>
    <row r="203">
      <c r="A203" s="2" t="inlineStr">
        <is>
          <t>V16-Q7-2</t>
        </is>
      </c>
      <c r="B203" s="2" t="inlineStr">
        <is>
          <t>Q7a · salto del log del alquiler en el corte, antes (2018-2021)</t>
        </is>
      </c>
      <c r="C203" s="2" t="n">
        <v>0.08172925088999999</v>
      </c>
      <c r="D203" s="2" t="n"/>
      <c r="E203" s="2" t="n"/>
      <c r="F203" s="2" t="inlineStr">
        <is>
          <t>Δlog</t>
        </is>
      </c>
      <c r="G203" s="2" t="inlineStr">
        <is>
          <t>2018-2021</t>
        </is>
      </c>
      <c r="H203" s="2" t="inlineStr">
        <is>
          <t>2358 hogares</t>
        </is>
      </c>
      <c r="I203" s="2" t="inlineStr">
        <is>
          <t>INE ECV</t>
        </is>
      </c>
      <c r="J203" s="2" t="inlineStr">
        <is>
          <t>C4</t>
        </is>
      </c>
      <c r="K203" s="2" t="inlineStr">
        <is>
          <t>2026-10-17</t>
        </is>
      </c>
      <c r="L203" s="2" t="inlineStr">
        <is>
          <t>output/v16/q7/informe.md#v16-q7-1</t>
        </is>
      </c>
      <c r="M203" s="2" t="inlineStr">
        <is>
          <t>output/v16/q7/hechos.json:V16-Q7-2</t>
        </is>
      </c>
    </row>
    <row r="204">
      <c r="A204" s="2" t="inlineStr">
        <is>
          <t>V16-Q7-3</t>
        </is>
      </c>
      <c r="B204" s="2" t="inlineStr">
        <is>
          <t>Q7a · salto del log del alquiler en el corte, después (2023-2025)</t>
        </is>
      </c>
      <c r="C204" s="2" t="n">
        <v>-0.0382428531</v>
      </c>
      <c r="D204" s="2" t="n"/>
      <c r="E204" s="2" t="n"/>
      <c r="F204" s="2" t="inlineStr">
        <is>
          <t>Δlog</t>
        </is>
      </c>
      <c r="G204" s="2" t="inlineStr">
        <is>
          <t>2023-2025</t>
        </is>
      </c>
      <c r="H204" s="2" t="inlineStr">
        <is>
          <t>2703 hogares</t>
        </is>
      </c>
      <c r="I204" s="2" t="inlineStr">
        <is>
          <t>INE ECV</t>
        </is>
      </c>
      <c r="J204" s="2" t="inlineStr">
        <is>
          <t>C4</t>
        </is>
      </c>
      <c r="K204" s="2" t="inlineStr">
        <is>
          <t>2026-10-17</t>
        </is>
      </c>
      <c r="L204" s="2" t="inlineStr">
        <is>
          <t>output/v16/q7/informe.md#v16-q7-1</t>
        </is>
      </c>
      <c r="M204" s="2" t="inlineStr">
        <is>
          <t>output/v16/q7/hechos.json:V16-Q7-3</t>
        </is>
      </c>
    </row>
    <row r="205">
      <c r="A205" s="2" t="inlineStr">
        <is>
          <t>V16-Q7-4</t>
        </is>
      </c>
      <c r="B205" s="2" t="inlineStr">
        <is>
          <t>Q7a · diferencia en discontinuidades en umbrales placebo (31|32 y 39|40)</t>
        </is>
      </c>
      <c r="C205" s="2" t="n">
        <v>-0.05265065044</v>
      </c>
      <c r="D205" s="2" t="n">
        <v>-0.1354414093</v>
      </c>
      <c r="E205" s="2" t="n">
        <v>-0.05265065044</v>
      </c>
      <c r="F205" s="2" t="inlineStr">
        <is>
          <t>Δlog</t>
        </is>
      </c>
      <c r="G205" s="2" t="inlineStr">
        <is>
          <t>2018-2025</t>
        </is>
      </c>
      <c r="H205" s="2" t="inlineStr">
        <is>
          <t>inquilinos de mercado, ±3 años</t>
        </is>
      </c>
      <c r="I205" s="2" t="inlineStr">
        <is>
          <t>INE ECV</t>
        </is>
      </c>
      <c r="J205" s="2" t="inlineStr">
        <is>
          <t>C4</t>
        </is>
      </c>
      <c r="K205" s="2" t="inlineStr">
        <is>
          <t>2026-10-17</t>
        </is>
      </c>
      <c r="L205" s="2" t="inlineStr">
        <is>
          <t>output/v16/q7/informe.md#v16-q7-2</t>
        </is>
      </c>
      <c r="M205" s="2" t="inlineStr">
        <is>
          <t>output/v16/q7/hechos.json:V16-Q7-4</t>
        </is>
      </c>
    </row>
    <row r="206">
      <c r="A206" s="2" t="inlineStr">
        <is>
          <t>V16-Q7-5</t>
        </is>
      </c>
      <c r="B206" s="2" t="inlineStr">
        <is>
          <t>Q7a · diferencia en discontinuidades de la proporción de inquilinos de mercado en el corte</t>
        </is>
      </c>
      <c r="C206" s="2" t="n">
        <v>-0.04558849231</v>
      </c>
      <c r="D206" s="2" t="n"/>
      <c r="E206" s="2" t="n"/>
      <c r="F206" s="2" t="inlineStr">
        <is>
          <t>proporción</t>
        </is>
      </c>
      <c r="G206" s="2" t="inlineStr">
        <is>
          <t>2018-2021 / 2023-2025</t>
        </is>
      </c>
      <c r="H206" s="2" t="inlineStr">
        <is>
          <t>18623 hogares 30-40 años</t>
        </is>
      </c>
      <c r="I206" s="2" t="inlineStr">
        <is>
          <t>INE ECV</t>
        </is>
      </c>
      <c r="J206" s="2" t="inlineStr">
        <is>
          <t>C4</t>
        </is>
      </c>
      <c r="K206" s="2" t="inlineStr">
        <is>
          <t>2026-10-17</t>
        </is>
      </c>
      <c r="L206" s="2" t="inlineStr">
        <is>
          <t>output/v16/q7/informe.md#v16-q7-3</t>
        </is>
      </c>
      <c r="M206" s="2" t="inlineStr">
        <is>
          <t>output/v16/q7/hechos.json:V16-Q7-5</t>
        </is>
      </c>
    </row>
    <row r="207">
      <c r="A207" s="2" t="inlineStr">
        <is>
          <t>V16-Q8-1</t>
        </is>
      </c>
      <c r="B207" s="2" t="inlineStr">
        <is>
          <t>Cuota de compras de no residentes sobre el total de transacciones (agregado de entrenamiento), 2025T2-2026T1</t>
        </is>
      </c>
      <c r="C207" s="2" t="n">
        <v>7.35284251</v>
      </c>
      <c r="D207" s="2" t="n"/>
      <c r="E207" s="2" t="n"/>
      <c r="F207" s="2" t="inlineStr">
        <is>
          <t>% de las transacciones</t>
        </is>
      </c>
      <c r="G207" s="2" t="inlineStr">
        <is>
          <t>2025T2-2026T1</t>
        </is>
      </c>
      <c r="H207" s="2" t="inlineStr">
        <is>
          <t>9 CCAA de entrenamiento + Ceuta y Melilla</t>
        </is>
      </c>
      <c r="I207" s="2" t="inlineStr">
        <is>
          <t>MIVAU, Boletín Online (tabla 340101d0)</t>
        </is>
      </c>
      <c r="J207" s="2" t="inlineStr">
        <is>
          <t>C4</t>
        </is>
      </c>
      <c r="K207" s="2" t="inlineStr">
        <is>
          <t>2026-10-17</t>
        </is>
      </c>
      <c r="L207" s="2" t="inlineStr">
        <is>
          <t>output/v16/q8/informe.md#v16-q8-1</t>
        </is>
      </c>
      <c r="M207" s="2" t="inlineStr">
        <is>
          <t>output/v16/q8/hechos.json:V16-Q8-1</t>
        </is>
      </c>
    </row>
    <row r="208">
      <c r="A208" s="2" t="inlineStr">
        <is>
          <t>V16-Q8-2</t>
        </is>
      </c>
      <c r="B208" s="2" t="inlineStr">
        <is>
          <t>Cuota de compras de no residentes, 2024T2-2025T1</t>
        </is>
      </c>
      <c r="C208" s="2" t="n">
        <v>8.685709959</v>
      </c>
      <c r="D208" s="2" t="n"/>
      <c r="E208" s="2" t="n"/>
      <c r="F208" s="2" t="inlineStr">
        <is>
          <t>% de las transacciones</t>
        </is>
      </c>
      <c r="G208" s="2" t="inlineStr">
        <is>
          <t>2024T2-2025T1</t>
        </is>
      </c>
      <c r="H208" s="2" t="inlineStr">
        <is>
          <t>9 CCAA de entrenamiento + Ceuta y Melilla</t>
        </is>
      </c>
      <c r="I208" s="2" t="inlineStr">
        <is>
          <t>MIVAU, Boletín Online (tabla 340101d0)</t>
        </is>
      </c>
      <c r="J208" s="2" t="inlineStr">
        <is>
          <t>C4</t>
        </is>
      </c>
      <c r="K208" s="2" t="inlineStr">
        <is>
          <t>2026-10-17</t>
        </is>
      </c>
      <c r="L208" s="2" t="inlineStr">
        <is>
          <t>output/v16/q8/informe.md#v16-q8-1</t>
        </is>
      </c>
      <c r="M208" s="2" t="inlineStr">
        <is>
          <t>output/v16/q8/hechos.json:V16-Q8-2</t>
        </is>
      </c>
    </row>
    <row r="209">
      <c r="A209" s="2" t="inlineStr">
        <is>
          <t>V16-Q8-3</t>
        </is>
      </c>
      <c r="B209" s="2" t="inlineStr">
        <is>
          <t>Variación de la cuota entre ambas ventanas</t>
        </is>
      </c>
      <c r="C209" s="2" t="n">
        <v>-1.332867449</v>
      </c>
      <c r="D209" s="2" t="n">
        <v>-1.332867449</v>
      </c>
      <c r="E209" s="2" t="n">
        <v>-0.683418972</v>
      </c>
      <c r="F209" s="2" t="inlineStr">
        <is>
          <t>puntos porcentuales</t>
        </is>
      </c>
      <c r="G209" s="2" t="inlineStr">
        <is>
          <t>2024T2-2026T1</t>
        </is>
      </c>
      <c r="H209" s="2" t="inlineStr">
        <is>
          <t>ídem (mínimo y máximo: este año y el anterior)</t>
        </is>
      </c>
      <c r="I209" s="2" t="inlineStr">
        <is>
          <t>MIVAU, Boletín Online</t>
        </is>
      </c>
      <c r="J209" s="2" t="inlineStr">
        <is>
          <t>C4</t>
        </is>
      </c>
      <c r="K209" s="2" t="inlineStr">
        <is>
          <t>2026-10-17</t>
        </is>
      </c>
      <c r="L209" s="2" t="inlineStr">
        <is>
          <t>output/v16/q8/informe.md#v16-q8-2</t>
        </is>
      </c>
      <c r="M209" s="2" t="inlineStr">
        <is>
          <t>output/v16/q8/hechos.json:V16-Q8-3</t>
        </is>
      </c>
    </row>
    <row r="210">
      <c r="A210" s="2" t="inlineStr">
        <is>
          <t>V16-Q8-4</t>
        </is>
      </c>
      <c r="B210" s="2" t="inlineStr">
        <is>
          <t>Compras de no residentes (número), 2025</t>
        </is>
      </c>
      <c r="C210" s="2" t="n">
        <v>41239</v>
      </c>
      <c r="D210" s="2" t="n">
        <v>45087</v>
      </c>
      <c r="E210" s="2" t="n">
        <v>49157</v>
      </c>
      <c r="F210" s="2" t="inlineStr">
        <is>
          <t>transacciones</t>
        </is>
      </c>
      <c r="G210" s="2" t="inlineStr">
        <is>
          <t>2025</t>
        </is>
      </c>
      <c r="H210" s="2" t="inlineStr">
        <is>
          <t>ídem (mínimo y máximo: 2024 y 2022)</t>
        </is>
      </c>
      <c r="I210" s="2" t="inlineStr">
        <is>
          <t>MIVAU, Boletín Online</t>
        </is>
      </c>
      <c r="J210" s="2" t="inlineStr">
        <is>
          <t>C4</t>
        </is>
      </c>
      <c r="K210" s="2" t="inlineStr">
        <is>
          <t>2026-10-17</t>
        </is>
      </c>
      <c r="L210" s="2" t="inlineStr">
        <is>
          <t>output/v16/q8/informe.md#v16-q8-3</t>
        </is>
      </c>
      <c r="M210" s="2" t="inlineStr">
        <is>
          <t>output/v16/q8/hechos.json:V16-Q8-4</t>
        </is>
      </c>
    </row>
    <row r="211">
      <c r="A211" s="2" t="inlineStr">
        <is>
          <t>V16-Q8-5</t>
        </is>
      </c>
      <c r="B211" s="2" t="inlineStr">
        <is>
          <t>Cuota anual de compras de no residentes, 2025</t>
        </is>
      </c>
      <c r="C211" s="2" t="n">
        <v>7.561475147</v>
      </c>
      <c r="D211" s="2" t="n">
        <v>7.561475147</v>
      </c>
      <c r="E211" s="2" t="n">
        <v>9.714937331</v>
      </c>
      <c r="F211" s="2" t="inlineStr">
        <is>
          <t>% de las transacciones</t>
        </is>
      </c>
      <c r="G211" s="2" t="inlineStr">
        <is>
          <t>2025</t>
        </is>
      </c>
      <c r="H211" s="2" t="inlineStr">
        <is>
          <t>ídem (máximo: 2022)</t>
        </is>
      </c>
      <c r="I211" s="2" t="inlineStr">
        <is>
          <t>MIVAU, Boletín Online</t>
        </is>
      </c>
      <c r="J211" s="2" t="inlineStr">
        <is>
          <t>C4</t>
        </is>
      </c>
      <c r="K211" s="2" t="inlineStr">
        <is>
          <t>2026-10-17</t>
        </is>
      </c>
      <c r="L211" s="2" t="inlineStr">
        <is>
          <t>output/v16/q8/informe.md#v16-q8-3</t>
        </is>
      </c>
      <c r="M211" s="2" t="inlineStr">
        <is>
          <t>output/v16/q8/hechos.json:V16-Q8-5</t>
        </is>
      </c>
    </row>
    <row r="212">
      <c r="A212" s="2" t="inlineStr">
        <is>
          <t>V16-Q9-c</t>
        </is>
      </c>
      <c r="B212" s="2" t="inlineStr">
        <is>
          <t>Q9-c: elasticidad de largo plazo del valor tasado respecto al IPC de alquiler (CS-ARDL p=2, media entre provincias; puntual)</t>
        </is>
      </c>
      <c r="C212" s="2" t="n">
        <v>0.8384096583</v>
      </c>
      <c r="D212" s="2" t="n">
        <v>-1.4357332</v>
      </c>
      <c r="E212" s="2" t="n">
        <v>0.9497092463</v>
      </c>
      <c r="F212" s="2" t="inlineStr">
        <is>
          <t>elasticidad</t>
        </is>
      </c>
      <c r="G212" s="2" t="inlineStr">
        <is>
          <t>2002T1-2026T2</t>
        </is>
      </c>
      <c r="H212" s="2" t="inlineStr">
        <is>
          <t>33 provincias</t>
        </is>
      </c>
      <c r="I212" s="2" t="inlineStr">
        <is>
          <t>MIVAU; INE</t>
        </is>
      </c>
      <c r="J212" s="2" t="inlineStr">
        <is>
          <t>C4</t>
        </is>
      </c>
      <c r="K212" s="2" t="inlineStr">
        <is>
          <t>2026-10-17</t>
        </is>
      </c>
      <c r="L212" s="2" t="inlineStr">
        <is>
          <t>output/v16/q9/informe.md#q9c</t>
        </is>
      </c>
      <c r="M212" s="2" t="inlineStr">
        <is>
          <t>output/v16/q9/hechos.json:V16-Q9-c</t>
        </is>
      </c>
    </row>
    <row r="213">
      <c r="A213" s="2" t="inlineStr">
        <is>
          <t>V16-Q9-g</t>
        </is>
      </c>
      <c r="B213" s="2" t="inlineStr">
        <is>
          <t>Q9-g: estadístico GSADF del factor común de ln(valor tasado/IPC alquiler) (pista no confirmada, C4; min y max = valor crítico bootstrap del 95 %)</t>
        </is>
      </c>
      <c r="C213" s="2" t="n">
        <v>5.918697291</v>
      </c>
      <c r="D213" s="2" t="n">
        <v>3.340055339</v>
      </c>
      <c r="E213" s="2" t="n">
        <v>3.340055339</v>
      </c>
      <c r="F213" s="2" t="inlineStr">
        <is>
          <t>estadístico</t>
        </is>
      </c>
      <c r="G213" s="2" t="inlineStr">
        <is>
          <t>2002T1-2026T2</t>
        </is>
      </c>
      <c r="H213" s="2" t="inlineStr">
        <is>
          <t>33 provincias, factor</t>
        </is>
      </c>
      <c r="I213" s="2" t="inlineStr">
        <is>
          <t>MIVAU; INE</t>
        </is>
      </c>
      <c r="J213" s="2" t="inlineStr">
        <is>
          <t>C4</t>
        </is>
      </c>
      <c r="K213" s="2" t="inlineStr">
        <is>
          <t>2026-10-17</t>
        </is>
      </c>
      <c r="L213" s="2" t="inlineStr">
        <is>
          <t>output/v16/q9/informe.md#q9g</t>
        </is>
      </c>
      <c r="M213" s="2" t="inlineStr">
        <is>
          <t>output/v16/q9/hechos.json:V16-Q9-g</t>
        </is>
      </c>
    </row>
    <row r="214">
      <c r="A214" s="2" t="inlineStr">
        <is>
          <t>V16-Q9-gp</t>
        </is>
      </c>
      <c r="B214" s="2" t="inlineStr">
        <is>
          <t>Q9-g: p-valor bootstrap del GSADF del factor común, sin ajuste múltiple (pista no confirmada, C4)</t>
        </is>
      </c>
      <c r="C214" s="2" t="n">
        <v>0.004</v>
      </c>
      <c r="D214" s="2" t="n">
        <v>0.004</v>
      </c>
      <c r="E214" s="2" t="n">
        <v>0.004</v>
      </c>
      <c r="F214" s="2" t="inlineStr">
        <is>
          <t>p-valor</t>
        </is>
      </c>
      <c r="G214" s="2" t="inlineStr">
        <is>
          <t>2002T1-2026T2</t>
        </is>
      </c>
      <c r="H214" s="2" t="inlineStr">
        <is>
          <t>33 provincias, factor</t>
        </is>
      </c>
      <c r="I214" s="2" t="inlineStr">
        <is>
          <t>MIVAU; INE</t>
        </is>
      </c>
      <c r="J214" s="2" t="inlineStr">
        <is>
          <t>C4</t>
        </is>
      </c>
      <c r="K214" s="2" t="inlineStr">
        <is>
          <t>2026-10-17</t>
        </is>
      </c>
      <c r="L214" s="2" t="inlineStr">
        <is>
          <t>output/v16/q9/informe.md#q9g</t>
        </is>
      </c>
      <c r="M214" s="2" t="inlineStr">
        <is>
          <t>output/v16/q9/hechos.json:V16-Q9-gp</t>
        </is>
      </c>
    </row>
    <row r="215">
      <c r="A215" s="2" t="inlineStr">
        <is>
          <t>V16-REJILLA-estimadas</t>
        </is>
      </c>
      <c r="B215" s="2" t="inlineStr">
        <is>
          <t>Celdas de la rejilla fija con estimación TWFE puntual (de 83)</t>
        </is>
      </c>
      <c r="C215" s="2" t="n">
        <v>83</v>
      </c>
      <c r="D215" s="2" t="n">
        <v>83</v>
      </c>
      <c r="E215" s="2" t="n">
        <v>83</v>
      </c>
      <c r="F215" s="2" t="inlineStr">
        <is>
          <t>celdas</t>
        </is>
      </c>
      <c r="G215" s="2" t="inlineStr">
        <is>
          <t>2011-2025</t>
        </is>
      </c>
      <c r="H215" s="2" t="inlineStr">
        <is>
          <t>83 celdas</t>
        </is>
      </c>
      <c r="I215" s="2" t="inlineStr">
        <is>
          <t>paneles de entrenamiento</t>
        </is>
      </c>
      <c r="J215" s="2" t="inlineStr">
        <is>
          <t>C4</t>
        </is>
      </c>
      <c r="K215" s="2" t="inlineStr">
        <is>
          <t>2026-10-17</t>
        </is>
      </c>
      <c r="L215" s="2" t="inlineStr">
        <is>
          <t>output/v16/rejilla/informe.md#resumen</t>
        </is>
      </c>
      <c r="M215" s="2" t="inlineStr">
        <is>
          <t>output/v16/rejilla/hechos.json:V16-REJILLA-estimadas</t>
        </is>
      </c>
    </row>
    <row r="216">
      <c r="A216" s="2" t="inlineStr">
        <is>
          <t>V16-REJILLA-fam-Q1</t>
        </is>
      </c>
      <c r="B216" s="2" t="inlineStr">
        <is>
          <t>Q1: celdas estimadas con coeficiente positivo (de las estimadas)</t>
        </is>
      </c>
      <c r="C216" s="2" t="n">
        <v>9</v>
      </c>
      <c r="D216" s="2" t="n">
        <v>0</v>
      </c>
      <c r="E216" s="2" t="n">
        <v>18</v>
      </c>
      <c r="F216" s="2" t="inlineStr">
        <is>
          <t>celdas</t>
        </is>
      </c>
      <c r="G216" s="2" t="inlineStr">
        <is>
          <t>2011-2025</t>
        </is>
      </c>
      <c r="H216" s="2" t="inlineStr">
        <is>
          <t>18 celdas</t>
        </is>
      </c>
      <c r="I216" s="2" t="inlineStr">
        <is>
          <t>paneles de entrenamiento</t>
        </is>
      </c>
      <c r="J216" s="2" t="inlineStr">
        <is>
          <t>C4</t>
        </is>
      </c>
      <c r="K216" s="2" t="inlineStr">
        <is>
          <t>2026-10-17</t>
        </is>
      </c>
      <c r="L216" s="2" t="inlineStr">
        <is>
          <t>output/v16/rejilla/informe.md#resumen</t>
        </is>
      </c>
      <c r="M216" s="2" t="inlineStr">
        <is>
          <t>output/v16/rejilla/hechos.json:V16-REJILLA-fam-Q1</t>
        </is>
      </c>
    </row>
    <row r="217">
      <c r="A217" s="2" t="inlineStr">
        <is>
          <t>V16-REJILLA-fam-Q2</t>
        </is>
      </c>
      <c r="B217" s="2" t="inlineStr">
        <is>
          <t>Q2: celdas estimadas con coeficiente positivo (de las estimadas)</t>
        </is>
      </c>
      <c r="C217" s="2" t="n">
        <v>12</v>
      </c>
      <c r="D217" s="2" t="n">
        <v>0</v>
      </c>
      <c r="E217" s="2" t="n">
        <v>24</v>
      </c>
      <c r="F217" s="2" t="inlineStr">
        <is>
          <t>celdas</t>
        </is>
      </c>
      <c r="G217" s="2" t="inlineStr">
        <is>
          <t>2011-2025</t>
        </is>
      </c>
      <c r="H217" s="2" t="inlineStr">
        <is>
          <t>24 celdas</t>
        </is>
      </c>
      <c r="I217" s="2" t="inlineStr">
        <is>
          <t>paneles de entrenamiento</t>
        </is>
      </c>
      <c r="J217" s="2" t="inlineStr">
        <is>
          <t>C4</t>
        </is>
      </c>
      <c r="K217" s="2" t="inlineStr">
        <is>
          <t>2026-10-17</t>
        </is>
      </c>
      <c r="L217" s="2" t="inlineStr">
        <is>
          <t>output/v16/rejilla/informe.md#resumen</t>
        </is>
      </c>
      <c r="M217" s="2" t="inlineStr">
        <is>
          <t>output/v16/rejilla/hechos.json:V16-REJILLA-fam-Q2</t>
        </is>
      </c>
    </row>
    <row r="218">
      <c r="A218" s="2" t="inlineStr">
        <is>
          <t>V16-REJILLA-fam-Q3</t>
        </is>
      </c>
      <c r="B218" s="2" t="inlineStr">
        <is>
          <t>Q3: celdas estimadas con coeficiente positivo (de las estimadas)</t>
        </is>
      </c>
      <c r="C218" s="2" t="n">
        <v>11</v>
      </c>
      <c r="D218" s="2" t="n">
        <v>0</v>
      </c>
      <c r="E218" s="2" t="n">
        <v>21</v>
      </c>
      <c r="F218" s="2" t="inlineStr">
        <is>
          <t>celdas</t>
        </is>
      </c>
      <c r="G218" s="2" t="inlineStr">
        <is>
          <t>2011-2025</t>
        </is>
      </c>
      <c r="H218" s="2" t="inlineStr">
        <is>
          <t>21 celdas</t>
        </is>
      </c>
      <c r="I218" s="2" t="inlineStr">
        <is>
          <t>paneles de entrenamiento</t>
        </is>
      </c>
      <c r="J218" s="2" t="inlineStr">
        <is>
          <t>C4</t>
        </is>
      </c>
      <c r="K218" s="2" t="inlineStr">
        <is>
          <t>2026-10-17</t>
        </is>
      </c>
      <c r="L218" s="2" t="inlineStr">
        <is>
          <t>output/v16/rejilla/informe.md#resumen</t>
        </is>
      </c>
      <c r="M218" s="2" t="inlineStr">
        <is>
          <t>output/v16/rejilla/hechos.json:V16-REJILLA-fam-Q3</t>
        </is>
      </c>
    </row>
    <row r="219">
      <c r="A219" s="2" t="inlineStr">
        <is>
          <t>V16-REJILLA-fam-Q4</t>
        </is>
      </c>
      <c r="B219" s="2" t="inlineStr">
        <is>
          <t>Q4: celdas estimadas con coeficiente positivo (de las estimadas)</t>
        </is>
      </c>
      <c r="C219" s="2" t="n">
        <v>3</v>
      </c>
      <c r="D219" s="2" t="n">
        <v>0</v>
      </c>
      <c r="E219" s="2" t="n">
        <v>7</v>
      </c>
      <c r="F219" s="2" t="inlineStr">
        <is>
          <t>celdas</t>
        </is>
      </c>
      <c r="G219" s="2" t="inlineStr">
        <is>
          <t>2011-2025</t>
        </is>
      </c>
      <c r="H219" s="2" t="inlineStr">
        <is>
          <t>7 celdas</t>
        </is>
      </c>
      <c r="I219" s="2" t="inlineStr">
        <is>
          <t>paneles de entrenamiento</t>
        </is>
      </c>
      <c r="J219" s="2" t="inlineStr">
        <is>
          <t>C4</t>
        </is>
      </c>
      <c r="K219" s="2" t="inlineStr">
        <is>
          <t>2026-10-17</t>
        </is>
      </c>
      <c r="L219" s="2" t="inlineStr">
        <is>
          <t>output/v16/rejilla/informe.md#resumen</t>
        </is>
      </c>
      <c r="M219" s="2" t="inlineStr">
        <is>
          <t>output/v16/rejilla/hechos.json:V16-REJILLA-fam-Q4</t>
        </is>
      </c>
    </row>
    <row r="220">
      <c r="A220" s="2" t="inlineStr">
        <is>
          <t>V16-REJILLA-fam-Q6</t>
        </is>
      </c>
      <c r="B220" s="2" t="inlineStr">
        <is>
          <t>Q6: celdas estimadas con coeficiente positivo (de las estimadas)</t>
        </is>
      </c>
      <c r="C220" s="2" t="n">
        <v>7</v>
      </c>
      <c r="D220" s="2" t="n">
        <v>0</v>
      </c>
      <c r="E220" s="2" t="n">
        <v>13</v>
      </c>
      <c r="F220" s="2" t="inlineStr">
        <is>
          <t>celdas</t>
        </is>
      </c>
      <c r="G220" s="2" t="inlineStr">
        <is>
          <t>2011-2025</t>
        </is>
      </c>
      <c r="H220" s="2" t="inlineStr">
        <is>
          <t>13 celdas</t>
        </is>
      </c>
      <c r="I220" s="2" t="inlineStr">
        <is>
          <t>paneles de entrenamiento</t>
        </is>
      </c>
      <c r="J220" s="2" t="inlineStr">
        <is>
          <t>C4</t>
        </is>
      </c>
      <c r="K220" s="2" t="inlineStr">
        <is>
          <t>2026-10-17</t>
        </is>
      </c>
      <c r="L220" s="2" t="inlineStr">
        <is>
          <t>output/v16/rejilla/informe.md#resumen</t>
        </is>
      </c>
      <c r="M220" s="2" t="inlineStr">
        <is>
          <t>output/v16/rejilla/hechos.json:V16-REJILLA-fam-Q6</t>
        </is>
      </c>
    </row>
    <row r="221">
      <c r="A221" s="2" t="inlineStr">
        <is>
          <t>V16-T4-H2-min-interp</t>
        </is>
      </c>
      <c r="B221" s="2" t="inlineStr">
        <is>
          <t>T4-H2: mínimo de la rejilla del cambio del déficit 2025-2030 con interpolación lineal entre 2025 y el relleno (el publicado, con la convención «tras 2025 = relleno», es el min de T4-H2)</t>
        </is>
      </c>
      <c r="C221" s="2" t="n">
        <v>103788</v>
      </c>
      <c r="D221" s="2" t="n"/>
      <c r="E221" s="2" t="n"/>
      <c r="F221" s="2" t="inlineStr">
        <is>
          <t>viviendas</t>
        </is>
      </c>
      <c r="G221" s="2" t="inlineStr">
        <is>
          <t>2026-2030</t>
        </is>
      </c>
      <c r="H221" s="2" t="inlineStr">
        <is>
          <t>España</t>
        </is>
      </c>
      <c r="I221" s="2" t="inlineStr">
        <is>
          <t>Réplica ciega de V16 (output/v16/replica/v10_b2/resultado.json)</t>
        </is>
      </c>
      <c r="J221" s="2" t="inlineStr">
        <is>
          <t>C4</t>
        </is>
      </c>
      <c r="K221" s="2" t="inlineStr">
        <is>
          <t>2025</t>
        </is>
      </c>
      <c r="L221" s="2" t="inlineStr">
        <is>
          <t>output/v6_2/anexo_metodologico.md (T4-H2 / T4-H3, dos versiones del mínimo)</t>
        </is>
      </c>
      <c r="M221" s="2" t="inlineStr">
        <is>
          <t>output/v16/f7_hechos/hechos.json:V16-T4-H2-min-interp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Fuente: output/v15/*/resultado.json y output/v16/q*/resultado.json</t>
        </is>
      </c>
    </row>
    <row r="2">
      <c r="A2" s="1" t="inlineStr">
        <is>
          <t>fichero</t>
        </is>
      </c>
      <c r="B2" s="1" t="inlineStr">
        <is>
          <t>rama</t>
        </is>
      </c>
      <c r="C2" s="1" t="inlineStr">
        <is>
          <t>pregunta</t>
        </is>
      </c>
      <c r="D2" s="1" t="inlineStr">
        <is>
          <t>capa</t>
        </is>
      </c>
      <c r="E2" s="1" t="inlineStr">
        <is>
          <t>nivel_evidencia</t>
        </is>
      </c>
      <c r="F2" s="1" t="inlineStr">
        <is>
          <t>N</t>
        </is>
      </c>
      <c r="G2" s="1" t="inlineStr">
        <is>
          <t>metodo</t>
        </is>
      </c>
    </row>
    <row r="3">
      <c r="A3" s="2" t="inlineStr">
        <is>
          <t>output/v15/p10/resultado.json</t>
        </is>
      </c>
      <c r="B3" s="2" t="inlineStr">
        <is>
          <t>r15/p10</t>
        </is>
      </c>
      <c r="C3" s="2" t="inlineStr">
        <is>
          <t>E3: ¿hay dependencia espacial en el crecimiento del alquiler municipal (SERPAVI VC)?</t>
        </is>
      </c>
      <c r="D3" s="2" t="inlineStr">
        <is>
          <t>C4</t>
        </is>
      </c>
      <c r="E3" s="2" t="inlineStr">
        <is>
          <t>ASOCIACIÓN espacial (C4, exploratoria)</t>
        </is>
      </c>
      <c r="F3" s="2" t="inlineStr">
        <is>
          <t>1124</t>
        </is>
      </c>
      <c r="G3" s="2" t="inlineStr">
        <is>
          <t>SAR/SEM/SDM de máxima verosimilitud; W de contigüidad y de distancia inversa (25 km); Δlog SERPAVI VC</t>
        </is>
      </c>
    </row>
    <row r="4">
      <c r="A4" s="2" t="inlineStr">
        <is>
          <t>output/v15/p2/resultado.json</t>
        </is>
      </c>
      <c r="B4" s="2" t="inlineStr">
        <is>
          <t>r15/p2</t>
        </is>
      </c>
      <c r="C4" s="2" t="inlineStr">
        <is>
          <t>E1: ¿existe una relación de largo plazo entre el valor tasado y el alquiler/coste de uso en el panel provincial? (descriptiva)</t>
        </is>
      </c>
      <c r="D4" s="2" t="inlineStr">
        <is>
          <t>C4</t>
        </is>
      </c>
      <c r="E4" s="2" t="inlineStr">
        <is>
          <t>DESCRIPTIVO (asociación de largo plazo; C4, sin inferencia APTA)</t>
        </is>
      </c>
      <c r="F4" s="2" t="inlineStr">
        <is>
          <t>3610</t>
        </is>
      </c>
      <c r="G4" s="2" t="inlineStr">
        <is>
          <t>ECM por unidad: CS-ARDL (principal declarado, p=1, sin coste de uso), MG y PMG como contraste; todo puntual</t>
        </is>
      </c>
    </row>
    <row r="5">
      <c r="A5" s="2" t="inlineStr">
        <is>
          <t>output/v15/p4/resultado.json</t>
        </is>
      </c>
      <c r="B5" s="2" t="inlineStr">
        <is>
          <t>r15/p4</t>
        </is>
      </c>
      <c r="C5" s="2" t="inlineStr">
        <is>
          <t>H4: ¿se asocia la población extranjera predicha por cuotas de origen con el alquiler municipal? (asociación, solo puntual)</t>
        </is>
      </c>
      <c r="D5" s="2" t="inlineStr">
        <is>
          <t>C4</t>
        </is>
      </c>
      <c r="E5" s="2" t="inlineStr">
        <is>
          <t>ASOCIACIÓN (C4, estimación puntual; sin inferencia APTA)</t>
        </is>
      </c>
      <c r="F5" s="2" t="inlineStr">
        <is>
          <t>13417</t>
        </is>
      </c>
      <c r="G5" s="2" t="inlineStr">
        <is>
          <t>2SLS shift-share (Δlog alquiler SERPAVI VC sobre ΔPobExt/Pob(t-1); instrumento Σ cuotas 2003 × crecimiento nacional leave-one-out, sin orígenes residenciales); FE provincia×año; puntual</t>
        </is>
      </c>
    </row>
    <row r="6">
      <c r="A6" s="2" t="inlineStr">
        <is>
          <t>output/v15/p5/resultado.json</t>
        </is>
      </c>
      <c r="B6" s="2" t="inlineStr">
        <is>
          <t>v15/p5</t>
        </is>
      </c>
      <c r="C6" s="2" t="inlineStr">
        <is>
          <t>H3: asociación, dentro de cada sección, entre el porcentaje de viviendas turísticas (INE) y el alquiler declarado (SERPAVI VC, €/m², stock de contratos)</t>
        </is>
      </c>
      <c r="D6" s="2" t="inlineStr">
        <is>
          <t>C4</t>
        </is>
      </c>
      <c r="E6" s="2" t="inlineStr">
        <is>
          <t>DESCRIPTIVO</t>
        </is>
      </c>
      <c r="F6" s="2" t="inlineStr">
        <is>
          <t>{"observaciones": 50846, "secciones": 12976, "municipios": 1523}</t>
        </is>
      </c>
      <c r="G6" s="2" t="inlineStr">
        <is>
          <t>MCO con efectos fijos de sección y de municipio × año; exposición estandarizada por la DT intra-sección; solo estimación puntual (Conley 2 km NO APTO tras K16; agrupado por municipio sin validar)</t>
        </is>
      </c>
    </row>
    <row r="7">
      <c r="A7" s="2" t="inlineStr">
        <is>
          <t>output/v15/p5cv/resultado.json</t>
        </is>
      </c>
      <c r="B7" s="2" t="inlineStr">
        <is>
          <t>v15/p5cv</t>
        </is>
      </c>
      <c r="C7" s="2" t="inlineStr">
        <is>
          <t>E4: asociación entre la exposición turística con periodo previo (IDESCAT; registro GVA reconstruido) y el alquiler, en estudio de eventos de dosis continua</t>
        </is>
      </c>
      <c r="D7" s="2" t="inlineStr">
        <is>
          <t>C4</t>
        </is>
      </c>
      <c r="E7" s="2" t="inlineStr">
        <is>
          <t>EXPLORATORIO</t>
        </is>
      </c>
      <c r="F7" s="2" t="inlineStr">
        <is>
          <t>{"municipios_cataluna": 380, "municipios_valenciana": 207, "especificaciones": 16}</t>
        </is>
      </c>
      <c r="G7" s="2" t="inlineStr">
        <is>
          <t>estudio de eventos de dosis continua, efectos fijos de municipio y año, referencia 2017; coeficientes puntuales</t>
        </is>
      </c>
    </row>
    <row r="8">
      <c r="A8" s="2" t="inlineStr">
        <is>
          <t>output/v15/p6/resultado.json</t>
        </is>
      </c>
      <c r="B8" s="2" t="inlineStr"/>
      <c r="C8" s="2" t="inlineStr"/>
      <c r="D8" s="2" t="inlineStr"/>
      <c r="E8" s="2" t="inlineStr"/>
      <c r="F8" s="2" t="inlineStr">
        <is>
          <t>null</t>
        </is>
      </c>
      <c r="G8" s="2" t="inlineStr"/>
    </row>
    <row r="9">
      <c r="A9" s="2" t="inlineStr">
        <is>
          <t>output/v15/p7/resultado.json</t>
        </is>
      </c>
      <c r="B9" s="2" t="inlineStr">
        <is>
          <t>r15/p7</t>
        </is>
      </c>
      <c r="C9" s="2" t="inlineStr">
        <is>
          <t>E2: ¿se asocia la presión demográfica no cubierta por la obra con el crecimiento del alquiler? (descriptiva)</t>
        </is>
      </c>
      <c r="D9" s="2" t="inlineStr">
        <is>
          <t>C4</t>
        </is>
      </c>
      <c r="E9" s="2" t="inlineStr">
        <is>
          <t>DESCRIPTIVO (C4)</t>
        </is>
      </c>
      <c r="F9" s="2" t="inlineStr">
        <is>
          <t>35</t>
        </is>
      </c>
      <c r="G9" s="2" t="inlineStr">
        <is>
          <t>Correlaciones de Pearson/Spearman del exceso de presión (demanda − obra)/población inicial con el Δlog del alquiler; 24 especificaciones</t>
        </is>
      </c>
    </row>
    <row r="10">
      <c r="A10" s="2" t="inlineStr">
        <is>
          <t>output/v15/p9/resultado.json</t>
        </is>
      </c>
      <c r="B10" s="2" t="inlineStr">
        <is>
          <t>r15/p9</t>
        </is>
      </c>
      <c r="C10" s="2" t="inlineStr">
        <is>
          <t>H5: ¿predice la combinación el Δlog trimestral del valor tasado nacional mejor que el AR(4) y el ECM v1 en la misma muestra?</t>
        </is>
      </c>
      <c r="D10" s="2" t="inlineStr">
        <is>
          <t>C4</t>
        </is>
      </c>
      <c r="E10" s="2" t="inlineStr">
        <is>
          <t>PREDICTIVO (sin capa causal; C4 de entrenamiento)</t>
        </is>
      </c>
      <c r="F10" s="2" t="inlineStr">
        <is>
          <t>53</t>
        </is>
      </c>
      <c r="G10" s="2" t="inlineStr">
        <is>
          <t>Ventana expansiva, h = 1; combinación = media de DFM (2 factores), BVAR Minnesota (6 var.), LASSO (λ con embargo de 4 trimestres) y ARDL (BIC ≤ 4); DM-HLN unilateral</t>
        </is>
      </c>
    </row>
    <row r="11">
      <c r="A11" s="2" t="inlineStr">
        <is>
          <t>output/v15/potencia/resultado.json</t>
        </is>
      </c>
      <c r="B11" s="2" t="inlineStr">
        <is>
          <t>v15-f1-potencia</t>
        </is>
      </c>
      <c r="C11" s="2" t="inlineStr">
        <is>
          <t>Efecto mínimo detectable al 80 % por pregunta candidata (P1-P10)</t>
        </is>
      </c>
      <c r="D11" s="2" t="inlineStr">
        <is>
          <t>C4</t>
        </is>
      </c>
      <c r="E11" s="2" t="inlineStr">
        <is>
          <t>DESCRIPTIVO</t>
        </is>
      </c>
      <c r="F11" s="2" t="inlineStr">
        <is>
          <t>22</t>
        </is>
      </c>
      <c r="G11" s="2" t="inlineStr">
        <is>
          <t>aleatorización placebo, 500 réplicas, SEED=20261010; MDE80 = 2,8 × DT placebo; DM por simulación con bloques de 4</t>
        </is>
      </c>
    </row>
    <row r="12">
      <c r="A12" s="2" t="inlineStr">
        <is>
          <t>output/v16/q1/resultado.json</t>
        </is>
      </c>
      <c r="B12" s="2" t="inlineStr">
        <is>
          <t>v16/q1</t>
        </is>
      </c>
      <c r="C12" s="2" t="inlineStr">
        <is>
          <t>¿Qué diferencia hay, en el entrenamiento, entre los mercados con y sin zonas tensionadas declaradas (Q1a diagnóstico, Q1b SDID, Q1c compraventas provinciales)?</t>
        </is>
      </c>
      <c r="D12" s="2" t="inlineStr">
        <is>
          <t>C4</t>
        </is>
      </c>
      <c r="E12" s="2" t="inlineStr">
        <is>
          <t>DESCRIPTIVO</t>
        </is>
      </c>
      <c r="F12" s="2" t="inlineStr">
        <is>
          <t>{"Q1a_municipios": 1188, "Q1b_tratados_fuera_Cataluna": 8, "Q1c_provincias": 41, "Q1c_tratadas": 8}</t>
        </is>
      </c>
      <c r="G12" s="2" t="inlineStr">
        <is>
          <t>Q1a recuento de elegibilidad (art. 18); Q1b SDID con Conley-Taber (no estimable); Q1c Callaway-Sant'Anna sin regresores, puntual</t>
        </is>
      </c>
    </row>
    <row r="13">
      <c r="A13" s="2" t="inlineStr">
        <is>
          <t>output/v16/q10/resultado.json</t>
        </is>
      </c>
      <c r="B13" s="2" t="inlineStr">
        <is>
          <t>v16/q10</t>
        </is>
      </c>
      <c r="C13" s="2" t="inlineStr">
        <is>
          <t>Q10: predicción nacional (IPV, IPC de alquiler, compraventas) h = 1 frente a AR(4) y ECM v1; reducción puntual del ECM</t>
        </is>
      </c>
      <c r="D13" s="2" t="inlineStr">
        <is>
          <t>C4</t>
        </is>
      </c>
      <c r="E13" s="2" t="inlineStr">
        <is>
          <t>DESCRIPTIVO</t>
        </is>
      </c>
      <c r="F13" s="2" t="inlineStr">
        <is>
          <t>{"Q10-1": 38, "Q10-2": 58, "Q10-3": 42}</t>
        </is>
      </c>
      <c r="G13" s="2" t="inlineStr">
        <is>
          <t>ventana expansiva (30 trimestres iniciales); MIDAS exp-Almon / puente; DM-HLN y Clark-West NO APTOS: solo razones de ECM</t>
        </is>
      </c>
    </row>
    <row r="14">
      <c r="A14" s="2" t="inlineStr">
        <is>
          <t>output/v16/q2/resultado.json</t>
        </is>
      </c>
      <c r="B14" s="2" t="inlineStr">
        <is>
          <t>v16/q2</t>
        </is>
      </c>
      <c r="C14" s="2" t="inlineStr">
        <is>
          <t>¿Qué asociación hay, en el entrenamiento, entre la exposición a vivienda turística y la evolución del alquiler (Q2a provincial, Q2b Andalucía solo robustez, Q2c IPVA municipal)?</t>
        </is>
      </c>
      <c r="D14" s="2" t="inlineStr">
        <is>
          <t>C4</t>
        </is>
      </c>
      <c r="E14" s="2" t="inlineStr">
        <is>
          <t>DESCRIPTIVO</t>
        </is>
      </c>
      <c r="F14" s="2" t="inlineStr">
        <is>
          <t>{"Q2a_provincias": 41, "Q2a_obs": 287, "Q2c_municipios": 384, "Q2c_obs": 1149}</t>
        </is>
      </c>
      <c r="G14" s="2" t="inlineStr">
        <is>
          <t>Q2a DiD de intensidad en forma reducida (puntual); Q2b robustez; Q2c efectos fijos de municipio y año (puntual); BLP/GATES descriptivo</t>
        </is>
      </c>
    </row>
    <row r="15">
      <c r="A15" s="2" t="inlineStr">
        <is>
          <t>output/v16/q3/resultado.json</t>
        </is>
      </c>
      <c r="B15" s="2" t="inlineStr">
        <is>
          <t>r16/fase6-grupoB</t>
        </is>
      </c>
      <c r="C15" s="2" t="inlineStr">
        <is>
          <t>Q3: inmigración y precios/alquiler más allá de H4 (Q3-c1 valor tasado, Q3-c2 compraventas, Q3-b barrio) y BLP/GATES</t>
        </is>
      </c>
      <c r="D15" s="2" t="inlineStr">
        <is>
          <t>C4</t>
        </is>
      </c>
      <c r="E15" s="2" t="inlineStr">
        <is>
          <t>DESCRIPTIVO (Q3-b, con pretendencia no nula; Q3-c1, Q3-c2, BLP/GATES)</t>
        </is>
      </c>
      <c r="F15" s="2" t="inlineStr">
        <is>
          <t>{"Q3-c1": 451, "Q3-c2": 492, "Q3-b": 9916, "blp": 9489}</t>
        </is>
      </c>
      <c r="G15" s="2" t="inlineStr">
        <is>
          <t>Shift-share de forma reducida (cuotas de 2003 × crecimiento nacional sin la provincia) con FE de provincia y año; correlación transversal por sección con FE de municipio (puntual: Conley NO APTO, K16); BLP lineal y GATES con validación cruzada</t>
        </is>
      </c>
    </row>
    <row r="16">
      <c r="A16" s="2" t="inlineStr">
        <is>
          <t>output/v16/q4/resultado.json</t>
        </is>
      </c>
      <c r="B16" s="2" t="inlineStr">
        <is>
          <t>r16/fase6-grupoB</t>
        </is>
      </c>
      <c r="C16" s="2" t="inlineStr">
        <is>
          <t>Q4: oferta municipal y restricción física (% Red Natura): Q4a obra nueva neta, Q4b interacción con el choque de demanda de Q3</t>
        </is>
      </c>
      <c r="D16" s="2" t="inlineStr">
        <is>
          <t>C4</t>
        </is>
      </c>
      <c r="E16" s="2" t="inlineStr">
        <is>
          <t>DESCRIPTIVO</t>
        </is>
      </c>
      <c r="F16" s="2" t="inlineStr">
        <is>
          <t>{"Q4a": 18184, "Q4b": 6105}</t>
        </is>
      </c>
      <c r="G16" s="2" t="inlineStr">
        <is>
          <t>Q4a: MCO con FE de provincia y año, 2018-2025; Q4b: primeras diferencias con FE de año, interacción choque × RN, 2018-2022. Solo puntual.</t>
        </is>
      </c>
    </row>
    <row r="17">
      <c r="A17" s="2" t="inlineStr">
        <is>
          <t>output/v16/q5/resultado.json</t>
        </is>
      </c>
      <c r="B17" s="2" t="inlineStr">
        <is>
          <t>v16/q5</t>
        </is>
      </c>
      <c r="C17" s="2" t="inlineStr">
        <is>
          <t>Q5 (Q5-p valor tasado, Q5-a IPC de alquiler): proyección local a h = 4 sobre la sorpresa monetaria de Jarociński-Karadi</t>
        </is>
      </c>
      <c r="D17" s="2" t="inlineStr">
        <is>
          <t>C4</t>
        </is>
      </c>
      <c r="E17" s="2" t="inlineStr">
        <is>
          <t>DESCRIPTIVO</t>
        </is>
      </c>
      <c r="F17" s="2" t="inlineStr">
        <is>
          <t>{"Q5-p": 101, "Q5-a": 89}</t>
        </is>
      </c>
      <c r="G17" s="2" t="inlineStr">
        <is>
          <t>LP h=4, 4 rezagos del choque y de Δy; MCO; Newey-West de b fija NO APTO: solo estimación puntual sin IC ni p</t>
        </is>
      </c>
    </row>
    <row r="18">
      <c r="A18" s="2" t="inlineStr">
        <is>
          <t>output/v16/q6/resultado.json</t>
        </is>
      </c>
      <c r="B18" s="2" t="inlineStr">
        <is>
          <t>r16/fase6-grupoB</t>
        </is>
      </c>
      <c r="C18" s="2" t="inlineStr">
        <is>
          <t>Q6: fiscalidad de la compra (tipo general del ITP): Q6-v compraventas, Q6-p valor tasado</t>
        </is>
      </c>
      <c r="D18" s="2" t="inlineStr">
        <is>
          <t>C4</t>
        </is>
      </c>
      <c r="E18" s="2" t="inlineStr">
        <is>
          <t>DESCRIPTIVO</t>
        </is>
      </c>
      <c r="F18" s="2" t="inlineStr">
        <is>
          <t>{"Q6-v": 504, "Q6-p": 480}</t>
        </is>
      </c>
      <c r="G18" s="2" t="inlineStr">
        <is>
          <t>Wald-DID de de Chaisemartin-D'Haultfœuille (dosis continua, no absorbente) sobre panel anual provincial 2011-2024; referencia TWFE. Solo puntual.</t>
        </is>
      </c>
    </row>
    <row r="19">
      <c r="A19" s="2" t="inlineStr">
        <is>
          <t>output/v16/q7/resultado.json</t>
        </is>
      </c>
      <c r="B19" s="2" t="inlineStr">
        <is>
          <t>v16/q7</t>
        </is>
      </c>
      <c r="C19" s="2" t="inlineStr">
        <is>
          <t>¿Cambió en el corte de 35 años la diferencia de alquiler pagado entre inquilinos de mercado, de 2018-2021 a 2023-2025 (Q7a, diferencia en discontinuidades)?</t>
        </is>
      </c>
      <c r="D19" s="2" t="inlineStr">
        <is>
          <t>C4</t>
        </is>
      </c>
      <c r="E19" s="2" t="inlineStr">
        <is>
          <t>DESCRIPTIVO</t>
        </is>
      </c>
      <c r="F19" s="2" t="inlineStr">
        <is>
          <t>{"hogares_inquilinos_mercado": 6872, "n_principal": 5061}</t>
        </is>
      </c>
      <c r="G19" s="2" t="inlineStr">
        <is>
          <t>diferencia en discontinuidades lineal local, pesos DB090, anchos 3/5/7 años; sin intervalo</t>
        </is>
      </c>
    </row>
    <row r="20">
      <c r="A20" s="2" t="inlineStr">
        <is>
          <t>output/v16/q8/resultado.json</t>
        </is>
      </c>
      <c r="B20" s="2" t="inlineStr">
        <is>
          <t>v16/q8</t>
        </is>
      </c>
      <c r="C20" s="2" t="inlineStr">
        <is>
          <t>¿Cómo ha evolucionado la cuota de compras de no residentes (MIVAU) en el agregado de entrenamiento, antes y después de abril de 2025?</t>
        </is>
      </c>
      <c r="D20" s="2" t="inlineStr">
        <is>
          <t>C4</t>
        </is>
      </c>
      <c r="E20" s="2" t="inlineStr">
        <is>
          <t>DESCRIPTIVO</t>
        </is>
      </c>
      <c r="F20" s="2" t="inlineStr">
        <is>
          <t>{"trimestres": 78, "periodo": "2007Q1-2026Q2"}</t>
        </is>
      </c>
      <c r="G20" s="2" t="inlineStr">
        <is>
          <t>descriptivo: cuotas y niveles por trimestre y año, comparación de ventanas de 4 trimestres</t>
        </is>
      </c>
    </row>
    <row r="21">
      <c r="A21" s="2" t="inlineStr">
        <is>
          <t>output/v16/q9/resultado.json</t>
        </is>
      </c>
      <c r="B21" s="2" t="inlineStr">
        <is>
          <t>v16/q9</t>
        </is>
      </c>
      <c r="C21" s="2" t="inlineStr">
        <is>
          <t>Q9: ratio valor tasado / IPC de alquiler: explosividad del factor común (GSADF) y elasticidad de largo plazo provincial (CS-ARDL)</t>
        </is>
      </c>
      <c r="D21" s="2" t="inlineStr">
        <is>
          <t>C4</t>
        </is>
      </c>
      <c r="E21" s="2" t="inlineStr">
        <is>
          <t>DESCRIPTIVO</t>
        </is>
      </c>
      <c r="F21" s="2" t="inlineStr">
        <is>
          <t>{"Q9-g": 98, "Q9-c": 3234}</t>
        </is>
      </c>
      <c r="G21" s="2" t="inlineStr">
        <is>
          <t>GSADF con bootstrap salvaje (APTO); CS-ARDL/MG/PMG y CIPS puntuales (NO APTOS)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prefijo</t>
        </is>
      </c>
      <c r="B1" s="1" t="inlineStr">
        <is>
          <t>C1</t>
        </is>
      </c>
      <c r="C1" s="1" t="inlineStr">
        <is>
          <t>C2</t>
        </is>
      </c>
      <c r="D1" s="1" t="inlineStr">
        <is>
          <t>C3</t>
        </is>
      </c>
      <c r="E1" s="1" t="inlineStr">
        <is>
          <t>C3s</t>
        </is>
      </c>
      <c r="F1" s="1" t="inlineStr">
        <is>
          <t>C4</t>
        </is>
      </c>
      <c r="G1" s="1" t="inlineStr">
        <is>
          <t>total</t>
        </is>
      </c>
    </row>
    <row r="2">
      <c r="A2" s="3" t="inlineStr">
        <is>
          <t>V15-</t>
        </is>
      </c>
      <c r="B2" s="3">
        <f>COUNTIFS(Cifras!$A$3:$A$221,"V15-*",Cifras!$J$3:$J$221,"C1")</f>
        <v/>
      </c>
      <c r="C2" s="3">
        <f>COUNTIFS(Cifras!$A$3:$A$221,"V15-*",Cifras!$J$3:$J$221,"C2")</f>
        <v/>
      </c>
      <c r="D2" s="3">
        <f>COUNTIFS(Cifras!$A$3:$A$221,"V15-*",Cifras!$J$3:$J$221,"C3")</f>
        <v/>
      </c>
      <c r="E2" s="3">
        <f>COUNTIFS(Cifras!$A$3:$A$221,"V15-*",Cifras!$J$3:$J$221,"C3s")</f>
        <v/>
      </c>
      <c r="F2" s="3">
        <f>COUNTIFS(Cifras!$A$3:$A$221,"V15-*",Cifras!$J$3:$J$221,"C4")</f>
        <v/>
      </c>
      <c r="G2" s="3">
        <f>SUM(B2:F2)</f>
        <v/>
      </c>
    </row>
    <row r="3">
      <c r="A3" s="3" t="inlineStr">
        <is>
          <t>V16-</t>
        </is>
      </c>
      <c r="B3" s="3">
        <f>COUNTIFS(Cifras!$A$3:$A$221,"V16-*",Cifras!$J$3:$J$221,"C1")</f>
        <v/>
      </c>
      <c r="C3" s="3">
        <f>COUNTIFS(Cifras!$A$3:$A$221,"V16-*",Cifras!$J$3:$J$221,"C2")</f>
        <v/>
      </c>
      <c r="D3" s="3">
        <f>COUNTIFS(Cifras!$A$3:$A$221,"V16-*",Cifras!$J$3:$J$221,"C3")</f>
        <v/>
      </c>
      <c r="E3" s="3">
        <f>COUNTIFS(Cifras!$A$3:$A$221,"V16-*",Cifras!$J$3:$J$221,"C3s")</f>
        <v/>
      </c>
      <c r="F3" s="3">
        <f>COUNTIFS(Cifras!$A$3:$A$221,"V16-*",Cifras!$J$3:$J$221,"C4")</f>
        <v/>
      </c>
      <c r="G3" s="3">
        <f>SUM(B3:F3)</f>
        <v/>
      </c>
    </row>
    <row r="5">
      <c r="A5" s="4">
        <f>Cifras!A1</f>
        <v/>
      </c>
    </row>
    <row r="6">
      <c r="A6" s="4">
        <f>Resultados!A1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vivienda-espana-evidencia V16 (src/v16/f7_tablas.py)</dc:creator>
  <dc:title xmlns:dc="http://purl.org/dc/elements/1.1/">Tablas V16</dc:title>
  <dcterms:created xmlns:dcterms="http://purl.org/dc/terms/" xmlns:xsi="http://www.w3.org/2001/XMLSchema-instance" xsi:type="dcterms:W3CDTF">2026-10-14T00:00:00Z</dcterms:created>
  <dcterms:modified xmlns:dcterms="http://purl.org/dc/terms/" xmlns:xsi="http://www.w3.org/2001/XMLSchema-instance" xsi:type="dcterms:W3CDTF">2026-10-14T00:00:00Z</dcterms:modified>
</cp:coreProperties>
</file>