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fuente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1F4E99"/>
    </font>
    <font>
      <color rgb="001E7B34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E7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7" customWidth="1" min="8" max="8"/>
    <col width="40" customWidth="1" min="9" max="9"/>
    <col width="22" customWidth="1" min="10" max="10"/>
    <col width="40" customWidth="1" min="11" max="11"/>
    <col width="50" customWidth="1" min="12" max="12"/>
    <col width="12" customWidth="1" min="13" max="13"/>
    <col width="18" customWidth="1" min="14" max="14"/>
    <col width="12" customWidth="1" min="15" max="15"/>
    <col width="40" customWidth="1" min="16" max="16"/>
  </cols>
  <sheetData>
    <row r="1">
      <c r="A1" s="1" t="inlineStr">
        <is>
          <t>id</t>
        </is>
      </c>
      <c r="B1" s="1" t="inlineStr">
        <is>
          <t>enunciado (tal como se publica)</t>
        </is>
      </c>
      <c r="C1" s="1" t="inlineStr">
        <is>
          <t>valor</t>
        </is>
      </c>
      <c r="D1" s="1" t="inlineStr">
        <is>
          <t>mínimo</t>
        </is>
      </c>
      <c r="E1" s="1" t="inlineStr">
        <is>
          <t>máximo</t>
        </is>
      </c>
      <c r="F1" s="1" t="inlineStr">
        <is>
          <t>unidad</t>
        </is>
      </c>
      <c r="G1" s="1" t="inlineStr">
        <is>
          <t>periodo</t>
        </is>
      </c>
      <c r="H1" s="1" t="inlineStr">
        <is>
          <t>capa</t>
        </is>
      </c>
      <c r="I1" s="1" t="inlineStr">
        <is>
          <t>fuente(s)</t>
        </is>
      </c>
      <c r="J1" s="1" t="inlineStr">
        <is>
          <t>organismo</t>
        </is>
      </c>
      <c r="K1" s="1" t="inlineStr">
        <is>
          <t>URL de la fuente</t>
        </is>
      </c>
      <c r="L1" s="1" t="inlineStr">
        <is>
          <t>ficha del anexo</t>
        </is>
      </c>
      <c r="M1" s="1" t="inlineStr">
        <is>
          <t>amplitud del rango</t>
        </is>
      </c>
      <c r="N1" s="1" t="inlineStr">
        <is>
          <t>valor comprobado (revisor)</t>
        </is>
      </c>
      <c r="O1" s="1" t="inlineStr">
        <is>
          <t>¿coincide? (S/N)</t>
        </is>
      </c>
      <c r="P1" s="1" t="inlineStr">
        <is>
          <t>comentario (revisor)</t>
        </is>
      </c>
    </row>
    <row r="2">
      <c r="A2" s="2" t="inlineStr">
        <is>
          <t>R1C-001</t>
        </is>
      </c>
      <c r="B2" s="2" t="inlineStr">
        <is>
          <t>Hogares con vivienda principal en propiedad: 74,5 % de hogares (72,1-75,9 % de hogares) (2021-2022; BdE EFF; INE ECV; INE Censo 2021; dato de 2021-11 (Censo) / 2022 (EFF, ECV); C1)</t>
        </is>
      </c>
      <c r="C2" s="2" t="n">
        <v>74.5</v>
      </c>
      <c r="D2" s="2" t="n">
        <v>72.09999999999999</v>
      </c>
      <c r="E2" s="2" t="n">
        <v>75.90000000000001</v>
      </c>
      <c r="F2" s="2" t="inlineStr">
        <is>
          <t>% de hogares</t>
        </is>
      </c>
      <c r="G2" s="2" t="inlineStr">
        <is>
          <t>2021-2022</t>
        </is>
      </c>
      <c r="H2" s="2" t="inlineStr">
        <is>
          <t>C1 · C1</t>
        </is>
      </c>
      <c r="I2" s="2" t="inlineStr">
        <is>
          <t>BdE EFF; INE ECV; INE Censo 2021</t>
        </is>
      </c>
      <c r="J2" s="2" t="inlineStr">
        <is>
          <t>INE</t>
        </is>
      </c>
      <c r="K2" s="3">
        <f>IFERROR(INDEX(fuentes!$B$2:$B$7,MATCH(J2,fuentes!$A$2:$A$7,0)),"—")</f>
        <v/>
      </c>
      <c r="L2" s="2" t="inlineStr">
        <is>
          <t>A10 · metodologia/anexo_metodologico.md#a10-r1c-001-hogares-con-vivienda-principal-en-propiedad</t>
        </is>
      </c>
      <c r="M2" s="4">
        <f>IF(AND(ISNUMBER(D2),ISNUMBER(E2)),E2-D2,"")</f>
        <v/>
      </c>
      <c r="N2" s="5" t="n"/>
      <c r="O2" s="5" t="n"/>
      <c r="P2" s="5" t="n"/>
    </row>
    <row r="3">
      <c r="A3" s="2" t="inlineStr">
        <is>
          <t>A23-P2</t>
        </is>
      </c>
      <c r="B3" s="2" t="inlineStr">
        <is>
          <t>Precio de compra, núcleo MIVAU/Notariado/Registradores 2015-2025: 47,2 % (44,2-56,1 %) (2015-2025 (media anual); MIVAU valor tasado; Notariado CGN; Registradores opendata; dato de 2025 (anual); C1)</t>
        </is>
      </c>
      <c r="C3" s="2" t="n">
        <v>47.2</v>
      </c>
      <c r="D3" s="2" t="n">
        <v>44.2</v>
      </c>
      <c r="E3" s="2" t="n">
        <v>56.1</v>
      </c>
      <c r="F3" s="2" t="inlineStr">
        <is>
          <t>%</t>
        </is>
      </c>
      <c r="G3" s="2" t="inlineStr">
        <is>
          <t>2015-2025 (media anual)</t>
        </is>
      </c>
      <c r="H3" s="2" t="inlineStr">
        <is>
          <t>C1 · C1</t>
        </is>
      </c>
      <c r="I3" s="2" t="inlineStr">
        <is>
          <t>MIVAU valor tasado; Notariado CGN; Registradores opendata</t>
        </is>
      </c>
      <c r="J3" s="2" t="inlineStr">
        <is>
          <t>MIVAU</t>
        </is>
      </c>
      <c r="K3" s="3">
        <f>IFERROR(INDEX(fuentes!$B$2:$B$7,MATCH(J3,fuentes!$A$2:$A$7,0)),"—")</f>
        <v/>
      </c>
      <c r="L3" s="2" t="inlineStr">
        <is>
          <t>A8 · metodologia/anexo_metodologico.md#a8-a23-p2-precio-de-compra-variación-2015-2025-núcleo-mivau-notariado-y-registradores</t>
        </is>
      </c>
      <c r="M3" s="4">
        <f>IF(AND(ISNUMBER(D3),ISNUMBER(E3)),E3-D3,"")</f>
        <v/>
      </c>
      <c r="N3" s="5" t="n"/>
      <c r="O3" s="5" t="n"/>
      <c r="P3" s="5" t="n"/>
    </row>
    <row r="4">
      <c r="A4" s="2" t="inlineStr">
        <is>
          <t>A23-A9</t>
        </is>
      </c>
      <c r="B4" s="2" t="inlineStr">
        <is>
          <t>Contratos nuevos Cataluña 2021-2024: IPVA nuevo e Incasòl: 16,9 % (16,6-17,2 %) (2021-2024; INE IPVA (AEAT); Incasòl; dato de 2024; C1)</t>
        </is>
      </c>
      <c r="C4" s="2" t="n">
        <v>16.9</v>
      </c>
      <c r="D4" s="2" t="n">
        <v>16.6</v>
      </c>
      <c r="E4" s="2" t="n">
        <v>17.2</v>
      </c>
      <c r="F4" s="2" t="inlineStr">
        <is>
          <t>%</t>
        </is>
      </c>
      <c r="G4" s="2" t="inlineStr">
        <is>
          <t>2021-2024</t>
        </is>
      </c>
      <c r="H4" s="2" t="inlineStr">
        <is>
          <t>C1 · C1</t>
        </is>
      </c>
      <c r="I4" s="2" t="inlineStr">
        <is>
          <t>INE IPVA (AEAT); Incasòl</t>
        </is>
      </c>
      <c r="J4" s="2" t="inlineStr">
        <is>
          <t>INE</t>
        </is>
      </c>
      <c r="K4" s="3">
        <f>IFERROR(INDEX(fuentes!$B$2:$B$7,MATCH(J4,fuentes!$A$2:$A$7,0)),"—")</f>
        <v/>
      </c>
      <c r="L4" s="2" t="inlineStr">
        <is>
          <t>script de origen: output/v5/A23/hechos.json:A23-A9</t>
        </is>
      </c>
      <c r="M4" s="4">
        <f>IF(AND(ISNUMBER(D4),ISNUMBER(E4)),E4-D4,"")</f>
        <v/>
      </c>
      <c r="N4" s="5" t="n"/>
      <c r="O4" s="5" t="n"/>
      <c r="P4" s="5" t="n"/>
    </row>
    <row r="5">
      <c r="A5" s="2" t="inlineStr">
        <is>
          <t>A23-A10</t>
        </is>
      </c>
      <c r="B5" s="2" t="inlineStr">
        <is>
          <t>Contratos nuevos Comunitat Valenciana 2021-2024: IPVA nuevo y fianzas GVA: 28,5 % (26,1-30,8 %) (2021-2024; INE IPVA (AEAT); GVA fianzas; dato de 2024; C1)</t>
        </is>
      </c>
      <c r="C5" s="2" t="n">
        <v>28.5</v>
      </c>
      <c r="D5" s="2" t="n">
        <v>26.1</v>
      </c>
      <c r="E5" s="2" t="n">
        <v>30.8</v>
      </c>
      <c r="F5" s="2" t="inlineStr">
        <is>
          <t>%</t>
        </is>
      </c>
      <c r="G5" s="2" t="inlineStr">
        <is>
          <t>2021-2024</t>
        </is>
      </c>
      <c r="H5" s="2" t="inlineStr">
        <is>
          <t>C1 · C1</t>
        </is>
      </c>
      <c r="I5" s="2" t="inlineStr">
        <is>
          <t>INE IPVA (AEAT); GVA fianzas</t>
        </is>
      </c>
      <c r="J5" s="2" t="inlineStr">
        <is>
          <t>INE</t>
        </is>
      </c>
      <c r="K5" s="3">
        <f>IFERROR(INDEX(fuentes!$B$2:$B$7,MATCH(J5,fuentes!$A$2:$A$7,0)),"—")</f>
        <v/>
      </c>
      <c r="L5" s="2" t="inlineStr">
        <is>
          <t>A9 · metodologia/anexo_metodologico.md#a9-a23-a10-contratos-nuevos-en-la-comunitat-valenciana-2021-2024</t>
        </is>
      </c>
      <c r="M5" s="4">
        <f>IF(AND(ISNUMBER(D5),ISNUMBER(E5)),E5-D5,"")</f>
        <v/>
      </c>
      <c r="N5" s="5" t="n"/>
      <c r="O5" s="5" t="n"/>
      <c r="P5" s="5" t="n"/>
    </row>
    <row r="6">
      <c r="A6" s="2" t="inlineStr">
        <is>
          <t>L3-DEF-2124-SINBAJAS</t>
        </is>
      </c>
      <c r="B6" s="2" t="inlineStr">
        <is>
          <t>Déficit acumulado 2021-2024 sin bajas (todas las variantes de corrección EPA y de terminadas): 549.952 viviendas (389.361-710.542 viviendas) (2021-2024; hogares: EPA (varias correcciones) y ECP; terminadas: MIVAU y Catastro; dato de 2024T4; C2)</t>
        </is>
      </c>
      <c r="C6" s="2" t="n">
        <v>549952</v>
      </c>
      <c r="D6" s="2" t="n">
        <v>389361</v>
      </c>
      <c r="E6" s="2" t="n">
        <v>710542</v>
      </c>
      <c r="F6" s="2" t="inlineStr">
        <is>
          <t>viviendas</t>
        </is>
      </c>
      <c r="G6" s="2" t="inlineStr">
        <is>
          <t>2021-2024</t>
        </is>
      </c>
      <c r="H6" s="2" t="inlineStr">
        <is>
          <t>C2 · C2</t>
        </is>
      </c>
      <c r="I6" s="2" t="inlineStr">
        <is>
          <t>hogares: EPA (varias correcciones) y ECP; terminadas: MIVAU y Catastro</t>
        </is>
      </c>
      <c r="J6" s="2" t="inlineStr">
        <is>
          <t>MIVAU</t>
        </is>
      </c>
      <c r="K6" s="3">
        <f>IFERROR(INDEX(fuentes!$B$2:$B$7,MATCH(J6,fuentes!$A$2:$A$7,0)),"—")</f>
        <v/>
      </c>
      <c r="L6" s="2" t="inlineStr">
        <is>
          <t>A5 · metodologia/anexo_metodologico.md#a5-l3-def-2124-sinbajas-déficit-2021-2024-sin-bajas-todas-las-variantes-v62</t>
        </is>
      </c>
      <c r="M6" s="4">
        <f>IF(AND(ISNUMBER(D6),ISNUMBER(E6)),E6-D6,"")</f>
        <v/>
      </c>
      <c r="N6" s="5" t="n"/>
      <c r="O6" s="5" t="n"/>
      <c r="P6" s="5" t="n"/>
    </row>
    <row r="7">
      <c r="A7" s="2" t="inlineStr">
        <is>
          <t>L3-DEF-2124-SENS</t>
        </is>
      </c>
      <c r="B7" s="2" t="inlineStr">
        <is>
          <t>Sensibilidad: déficit 2021-2024 sin bajas sin las dos variantes que conservan el salto de la EPA (a y d1): 653.456 viviendas (596.371-710.542 viviendas) (2021-2024; ídem, sin variantes a y d1; dato de 2024T4; C2)</t>
        </is>
      </c>
      <c r="C7" s="2" t="n">
        <v>653456</v>
      </c>
      <c r="D7" s="2" t="n">
        <v>596371</v>
      </c>
      <c r="E7" s="2" t="n">
        <v>710542</v>
      </c>
      <c r="F7" s="2" t="inlineStr">
        <is>
          <t>viviendas</t>
        </is>
      </c>
      <c r="G7" s="2" t="inlineStr">
        <is>
          <t>2021-2024</t>
        </is>
      </c>
      <c r="H7" s="2" t="inlineStr">
        <is>
          <t>C2 · C2</t>
        </is>
      </c>
      <c r="I7" s="2" t="inlineStr">
        <is>
          <t>ídem, sin variantes a y d1</t>
        </is>
      </c>
      <c r="J7" s="2" t="inlineStr">
        <is>
          <t>propio (elaboración del proyecto)</t>
        </is>
      </c>
      <c r="K7" s="3">
        <f>IFERROR(INDEX(fuentes!$B$2:$B$7,MATCH(J7,fuentes!$A$2:$A$7,0)),"—")</f>
        <v/>
      </c>
      <c r="L7" s="2" t="inlineStr">
        <is>
          <t>script de origen: output/v6_2/L3/hechos.json:L3-DEF-2124-SENS</t>
        </is>
      </c>
      <c r="M7" s="4">
        <f>IF(AND(ISNUMBER(D7),ISNUMBER(E7)),E7-D7,"")</f>
        <v/>
      </c>
      <c r="N7" s="5" t="n"/>
      <c r="O7" s="5" t="n"/>
      <c r="P7" s="5" t="n"/>
    </row>
    <row r="8">
      <c r="A8" s="2" t="inlineStr">
        <is>
          <t>T4-H3</t>
        </is>
      </c>
      <c r="B8" s="2" t="inlineStr">
        <is>
          <t>Dirección nacional del déficit 2025-2030 en toda la rejilla (empeora); provincias que empeoran / mejoran / indeterminadas: 15 provincias (0-37 provincias) (2025-2030; B2; T1; T2; INE 54562; MIVAU; dato de 2025 (ECP y MIVAU); proyecciones INE 54562 y 36726 de 2026-06-17; C2)</t>
        </is>
      </c>
      <c r="C8" s="2" t="n">
        <v>15</v>
      </c>
      <c r="D8" s="2" t="n">
        <v>0</v>
      </c>
      <c r="E8" s="2" t="n">
        <v>37</v>
      </c>
      <c r="F8" s="2" t="inlineStr">
        <is>
          <t>provincias</t>
        </is>
      </c>
      <c r="G8" s="2" t="inlineStr">
        <is>
          <t>2025-2030</t>
        </is>
      </c>
      <c r="H8" s="2" t="inlineStr">
        <is>
          <t>C2 · C2</t>
        </is>
      </c>
      <c r="I8" s="2" t="inlineStr">
        <is>
          <t>B2; T1; T2; INE 54562; MIVAU</t>
        </is>
      </c>
      <c r="J8" s="2" t="inlineStr">
        <is>
          <t>INE</t>
        </is>
      </c>
      <c r="K8" s="3">
        <f>IFERROR(INDEX(fuentes!$B$2:$B$7,MATCH(J8,fuentes!$A$2:$A$7,0)),"—")</f>
        <v/>
      </c>
      <c r="L8" s="2" t="inlineStr">
        <is>
          <t>script de origen: output/v5_1/T4/hechos.json:T4-H3</t>
        </is>
      </c>
      <c r="M8" s="4">
        <f>IF(AND(ISNUMBER(D8),ISNUMBER(E8)),E8-D8,"")</f>
        <v/>
      </c>
      <c r="N8" s="5" t="n"/>
      <c r="O8" s="5" t="n"/>
      <c r="P8" s="5" t="n"/>
    </row>
    <row r="9">
      <c r="A9" s="2" t="inlineStr">
        <is>
          <t>E-B1-F</t>
        </is>
      </c>
      <c r="B9" s="2" t="inlineStr">
        <is>
          <t>Crecimiento de hogares proyectado (componente F, 10 años): 1.720.537 hogares (1.308.531-1.772.410 hogares) (2026-2035; INE Proyección de Hogares (tabla 54562); dato de 2026; C2)</t>
        </is>
      </c>
      <c r="C9" s="2" t="n">
        <v>1720537</v>
      </c>
      <c r="D9" s="2" t="n">
        <v>1308531.1</v>
      </c>
      <c r="E9" s="2" t="n">
        <v>1772410.4</v>
      </c>
      <c r="F9" s="2" t="inlineStr">
        <is>
          <t>hogares</t>
        </is>
      </c>
      <c r="G9" s="2" t="inlineStr">
        <is>
          <t>2026-2035</t>
        </is>
      </c>
      <c r="H9" s="2" t="inlineStr">
        <is>
          <t>C2 · C2</t>
        </is>
      </c>
      <c r="I9" s="2" t="inlineStr">
        <is>
          <t>INE Proyección de Hogares (tabla 54562)</t>
        </is>
      </c>
      <c r="J9" s="2" t="inlineStr">
        <is>
          <t>INE</t>
        </is>
      </c>
      <c r="K9" s="3">
        <f>IFERROR(INDEX(fuentes!$B$2:$B$7,MATCH(J9,fuentes!$A$2:$A$7,0)),"—")</f>
        <v/>
      </c>
      <c r="L9" s="2" t="inlineStr">
        <is>
          <t>A13-A14 · metodologia/anexo_metodologico.md#a13-a14-b1-h4-y-e-b1-f-crecimiento-de-hogares-proyectado-2026-2035</t>
        </is>
      </c>
      <c r="M9" s="4">
        <f>IF(AND(ISNUMBER(D9),ISNUMBER(E9)),E9-D9,"")</f>
        <v/>
      </c>
      <c r="N9" s="5" t="n"/>
      <c r="O9" s="5" t="n"/>
      <c r="P9" s="5" t="n"/>
    </row>
    <row r="10">
      <c r="A10" s="2" t="inlineStr">
        <is>
          <t>V8-QNA-pp-c-P5</t>
        </is>
      </c>
      <c r="B10" s="2" t="inlineStr">
        <is>
          <t>Cuota no atribuida de precio real de compra en P5 en puntos: media posterior (mediana 3,4; cola derecha pesada, con el tipo hipotecario del Banco de España en lugar del BCE la media sería 20,7 y la mediana 3,5); banda del 68 % exacta (cuantiles de la suma); condicionado a las restricciones de signo y de cero de M2: 9,5 pp (-7,8 a 16,4 pp) (P5 (2022T3-último dato); F5 (regla del §9 sobre M2, M6, M5, M4, M7); nacional_q_v8; dato de 2026T1; C3s)</t>
        </is>
      </c>
      <c r="C10" s="2" t="n">
        <v>9.516109999999999</v>
      </c>
      <c r="D10" s="2" t="n">
        <v>-7.7624</v>
      </c>
      <c r="E10" s="2" t="n">
        <v>16.4365</v>
      </c>
      <c r="F10" s="2" t="inlineStr">
        <is>
          <t>pp</t>
        </is>
      </c>
      <c r="G10" s="2" t="inlineStr">
        <is>
          <t>P5 (2022T3-último dato)</t>
        </is>
      </c>
      <c r="H10" s="2" t="inlineStr">
        <is>
          <t>C3s · C3s</t>
        </is>
      </c>
      <c r="I10" s="2" t="inlineStr">
        <is>
          <t>F5 (regla del §9 sobre M2, M6, M5, M4, M7); nacional_q_v8</t>
        </is>
      </c>
      <c r="J10" s="2" t="inlineStr">
        <is>
          <t>propio (elaboración del proyecto)</t>
        </is>
      </c>
      <c r="K10" s="3">
        <f>IFERROR(INDEX(fuentes!$B$2:$B$7,MATCH(J10,fuentes!$A$2:$A$7,0)),"—")</f>
        <v/>
      </c>
      <c r="L10" s="2" t="inlineStr">
        <is>
          <t>script de origen: output/v8/F6/hechos.json:V8-QNA-pp-c-P5</t>
        </is>
      </c>
      <c r="M10" s="4">
        <f>IF(AND(ISNUMBER(D10),ISNUMBER(E10)),E10-D10,"")</f>
        <v/>
      </c>
      <c r="N10" s="5" t="n"/>
      <c r="O10" s="5" t="n"/>
      <c r="P10" s="5" t="n"/>
    </row>
    <row r="11">
      <c r="A11" s="2" t="inlineStr">
        <is>
          <t>V17-AUD-DP-TIP-CALIBRACION-SOLO-HIPOTECA</t>
        </is>
      </c>
      <c r="B11" s="2" t="inlineStr">
        <is>
          <t>Calibración: efecto del tipo hipotecario si solo se transmite a la parte de compras con hipoteca (52 %): -5,9 % del nivel de precios (-11,7 a -5,9 % del nivel de precios) (2022-2025; TIP-CALIBRACION-EFECTO-HIPOTECARIO × 52 % (BdE IA2025, p. 124); dato de 2025; C4)</t>
        </is>
      </c>
      <c r="C11" s="2" t="n">
        <v>-5.9079</v>
      </c>
      <c r="D11" s="2" t="n">
        <v>-11.7498</v>
      </c>
      <c r="E11" s="2" t="n">
        <v>-5.9079</v>
      </c>
      <c r="F11" s="2" t="inlineStr">
        <is>
          <t>% del nivel de precios</t>
        </is>
      </c>
      <c r="G11" s="2" t="inlineStr">
        <is>
          <t>2022-2025</t>
        </is>
      </c>
      <c r="H11" s="2" t="inlineStr">
        <is>
          <t>C4 · C4 sin clase V18</t>
        </is>
      </c>
      <c r="I11" s="2" t="inlineStr">
        <is>
          <t>TIP-CALIBRACION-EFECTO-HIPOTECARIO × 52 % (BdE IA2025, p. 124)</t>
        </is>
      </c>
      <c r="J11" s="2" t="inlineStr">
        <is>
          <t>BdE</t>
        </is>
      </c>
      <c r="K11" s="3">
        <f>IFERROR(INDEX(fuentes!$B$2:$B$7,MATCH(J11,fuentes!$A$2:$A$7,0)),"—")</f>
        <v/>
      </c>
      <c r="L11" s="2" t="inlineStr">
        <is>
          <t>script de origen: output/v17/f5/hechos.json:V17-AUD-DP-TIP-CALIBRACION-SOLO-HIPOTECA</t>
        </is>
      </c>
      <c r="M11" s="4">
        <f>IF(AND(ISNUMBER(D11),ISNUMBER(E11)),E11-D11,"")</f>
        <v/>
      </c>
      <c r="N11" s="5" t="n"/>
      <c r="O11" s="5" t="n"/>
      <c r="P11" s="5" t="n"/>
    </row>
    <row r="12">
      <c r="A12" s="2" t="inlineStr">
        <is>
          <t>V17-DOC-OHB-GT-ALQUILER-BCN-2021</t>
        </is>
      </c>
      <c r="B12" s="2" t="inlineStr">
        <is>
          <t>Viviendas de alquiler habitual de Barcelona ciudad en manos de grandes tenedores (104.958 de 290.416): 36,1 % del alquiler habitual de la ciudad (1-1-2021; Observatori Metropolità de l'Habitatge de Barcelona (O-HB); dato de 2021; C4)</t>
        </is>
      </c>
      <c r="C12" s="2" t="n">
        <v>36.1</v>
      </c>
      <c r="D12" s="2" t="n"/>
      <c r="E12" s="2" t="n"/>
      <c r="F12" s="2" t="inlineStr">
        <is>
          <t>% del alquiler habitual de la ciudad</t>
        </is>
      </c>
      <c r="G12" s="2" t="inlineStr">
        <is>
          <t>1-1-2021</t>
        </is>
      </c>
      <c r="H12" s="2" t="inlineStr">
        <is>
          <t>C4 · C4 sin clase V18</t>
        </is>
      </c>
      <c r="I12" s="2" t="inlineStr">
        <is>
          <t>Observatori Metropolità de l'Habitatge de Barcelona (O-HB)</t>
        </is>
      </c>
      <c r="J12" s="2" t="inlineStr">
        <is>
          <t>propio (elaboración del proyecto)</t>
        </is>
      </c>
      <c r="K12" s="3">
        <f>IFERROR(INDEX(fuentes!$B$2:$B$7,MATCH(J12,fuentes!$A$2:$A$7,0)),"—")</f>
        <v/>
      </c>
      <c r="L12" s="2" t="inlineStr">
        <is>
          <t>script de origen: output/v17/f5/hechos.json:V17-DOC-OHB-GT-ALQUILER-BCN-2021</t>
        </is>
      </c>
      <c r="M12" s="4">
        <f>IF(AND(ISNUMBER(D12),ISNUMBER(E12)),E12-D12,"")</f>
        <v/>
      </c>
      <c r="N12" s="5" t="n"/>
      <c r="O12" s="5" t="n"/>
      <c r="P12" s="5" t="n"/>
    </row>
    <row r="13">
      <c r="A13" s="2" t="inlineStr">
        <is>
          <t>V16-Q8-1</t>
        </is>
      </c>
      <c r="B13" s="2" t="inlineStr">
        <is>
          <t>Cuota de compras de no residentes sobre el total de transacciones (agregado de entrenamiento), 2025T2-2026T1: 7,4 % de las transacciones (2025T2-2026T1; MIVAU, Boletín Online (tabla 340101d0); dato de 2026-10-17; C4)</t>
        </is>
      </c>
      <c r="C13" s="2" t="n">
        <v>7.35284251</v>
      </c>
      <c r="D13" s="2" t="n"/>
      <c r="E13" s="2" t="n"/>
      <c r="F13" s="2" t="inlineStr">
        <is>
          <t>% de las transacciones</t>
        </is>
      </c>
      <c r="G13" s="2" t="inlineStr">
        <is>
          <t>2025T2-2026T1</t>
        </is>
      </c>
      <c r="H13" s="2" t="inlineStr">
        <is>
          <t>C4 · C4 sin clase V18</t>
        </is>
      </c>
      <c r="I13" s="2" t="inlineStr">
        <is>
          <t>MIVAU, Boletín Online (tabla 340101d0)</t>
        </is>
      </c>
      <c r="J13" s="2" t="inlineStr">
        <is>
          <t>INE</t>
        </is>
      </c>
      <c r="K13" s="3">
        <f>IFERROR(INDEX(fuentes!$B$2:$B$7,MATCH(J13,fuentes!$A$2:$A$7,0)),"—")</f>
        <v/>
      </c>
      <c r="L13" s="2" t="inlineStr">
        <is>
          <t>script de origen: output/v16/q8/hechos.json:V16-Q8-1</t>
        </is>
      </c>
      <c r="M13" s="4">
        <f>IF(AND(ISNUMBER(D13),ISNUMBER(E13)),E13-D13,"")</f>
        <v/>
      </c>
      <c r="N13" s="5" t="n"/>
      <c r="O13" s="5" t="n"/>
      <c r="P13" s="5" t="n"/>
    </row>
    <row r="14">
      <c r="A14" s="2" t="inlineStr">
        <is>
          <t>V17-B5-LTV80</t>
        </is>
      </c>
      <c r="B14" s="2" t="inlineStr">
        <is>
          <t>Préstamos con RPV mayor que 80 % (% del total), último dato: 9,6 % del total (2026-06; Banco de España, Síntesis de indicadores del mercado de la vivienda (SI_1_5); dato de 2026-06; C4)</t>
        </is>
      </c>
      <c r="C14" s="2" t="n">
        <v>9.6</v>
      </c>
      <c r="D14" s="2" t="n">
        <v>12.492</v>
      </c>
      <c r="E14" s="2" t="n">
        <v>17.025</v>
      </c>
      <c r="F14" s="2" t="inlineStr">
        <is>
          <t>% del total</t>
        </is>
      </c>
      <c r="G14" s="2" t="inlineStr">
        <is>
          <t>2026-06</t>
        </is>
      </c>
      <c r="H14" s="2" t="inlineStr">
        <is>
          <t>C4 · C4 sin clase V18</t>
        </is>
      </c>
      <c r="I14" s="2" t="inlineStr">
        <is>
          <t>Banco de España, Síntesis de indicadores del mercado de la vivienda (SI_1_5)</t>
        </is>
      </c>
      <c r="J14" s="2" t="inlineStr">
        <is>
          <t>Banco de España</t>
        </is>
      </c>
      <c r="K14" s="3">
        <f>IFERROR(INDEX(fuentes!$B$2:$B$7,MATCH(J14,fuentes!$A$2:$A$7,0)),"—")</f>
        <v/>
      </c>
      <c r="L14" s="2" t="inlineStr">
        <is>
          <t>script de origen: output/v17/f5/hechos.json:V17-B5-LTV80</t>
        </is>
      </c>
      <c r="M14" s="4">
        <f>IF(AND(ISNUMBER(D14),ISNUMBER(E14)),E14-D14,"")</f>
        <v/>
      </c>
      <c r="N14" s="5" t="n"/>
      <c r="O14" s="5" t="n"/>
      <c r="P14" s="5" t="n"/>
    </row>
    <row r="15">
      <c r="A15" s="2" t="inlineStr">
        <is>
          <t>V18-E2-R1</t>
        </is>
      </c>
      <c r="B15" s="2" t="inlineStr">
        <is>
          <t>Coeficiente Reg × Post sobre el log de la renta media de contratos nuevos de alquiler (Ley 11/2020, Cataluña, Incasòl): -0,04 log (diferencia entre regulados y controles, posterior frente a previo) (-0,05 a -0,03 log (diferencia entre regulados y controles, posterior frente a previo)) (2019T1-2022T1; Incasòl, fianzas (Socrata qww9-bvhh, descarga 2026-10-14); BOE-A-2020-11363 (Ley 11/2020 de Cataluña) y cataluna_contencion_rentas_v3.csv (v3); docs/v18/plan_replicacion.md + plan_replicacion_adenda.md (pre-registro interno plan-replicacion-v18); dato de 2022; C4)</t>
        </is>
      </c>
      <c r="C15" s="2" t="n">
        <v>-0.038434</v>
      </c>
      <c r="D15" s="2" t="n">
        <v>-0.050944</v>
      </c>
      <c r="E15" s="2" t="n">
        <v>-0.02618</v>
      </c>
      <c r="F15" s="2" t="inlineStr">
        <is>
          <t>log (diferencia entre regulados y controles, posterior frente a previo)</t>
        </is>
      </c>
      <c r="G15" s="2" t="inlineStr">
        <is>
          <t>2019T1-2022T1</t>
        </is>
      </c>
      <c r="H15" s="2" t="inlineStr">
        <is>
          <t>C4 · V18 SUGESTIVO</t>
        </is>
      </c>
      <c r="I15" s="2" t="inlineStr">
        <is>
          <t>Incasòl, fianzas (Socrata qww9-bvhh, descarga 2026-10-14); BOE-A-2020-11363 (Ley 11/2020 de Cataluña) y cataluna_contencion_rentas_v3.csv (v3); docs/v18/plan_replicacion.md + plan_replicacion_adenda.md (pre-registro interno plan-replicacion-v18)</t>
        </is>
      </c>
      <c r="J15" s="2" t="inlineStr">
        <is>
          <t>Incasòl</t>
        </is>
      </c>
      <c r="K15" s="3">
        <f>IFERROR(INDEX(fuentes!$B$2:$B$7,MATCH(J15,fuentes!$A$2:$A$7,0)),"—")</f>
        <v/>
      </c>
      <c r="L15" s="2" t="inlineStr">
        <is>
          <t>script de origen: output/v18/f6/hechos.json:V18-E2-R1</t>
        </is>
      </c>
      <c r="M15" s="4">
        <f>IF(AND(ISNUMBER(D15),ISNUMBER(E15)),E15-D15,"")</f>
        <v/>
      </c>
      <c r="N15" s="5" t="n"/>
      <c r="O15" s="5" t="n"/>
      <c r="P15" s="5" t="n"/>
    </row>
    <row r="16">
      <c r="A16" s="2" t="inlineStr">
        <is>
          <t>V18-AUX-E2-R1-PCT</t>
        </is>
      </c>
      <c r="B16" s="2" t="inlineStr">
        <is>
          <t>Diferencia porcentual equivalente al coeficiente logarítmico de E2-R1: -3,8 % (2019T1-2022T1; Incasòl, fianzas (Socrata qww9-bvhh, descarga 2026-10-14); BOE-A-2020-11363 (Ley 11/2020 de Cataluña) y cataluna_contencion_rentas_v3.csv (v3); docs/v18/plan_replicacion.md + plan_replicacion_adenda.md (pre-registro interno plan-replicacion-v18); dato de 2022; C4)</t>
        </is>
      </c>
      <c r="C16" s="2" t="n">
        <v>-3.770478587</v>
      </c>
      <c r="D16" s="2" t="n"/>
      <c r="E16" s="2" t="n"/>
      <c r="F16" s="2" t="inlineStr">
        <is>
          <t>%</t>
        </is>
      </c>
      <c r="G16" s="2" t="inlineStr">
        <is>
          <t>2019T1-2022T1</t>
        </is>
      </c>
      <c r="H16" s="2" t="inlineStr">
        <is>
          <t>C4 · V18 SUGESTIVO</t>
        </is>
      </c>
      <c r="I16" s="2" t="inlineStr">
        <is>
          <t>Incasòl, fianzas (Socrata qww9-bvhh, descarga 2026-10-14); BOE-A-2020-11363 (Ley 11/2020 de Cataluña) y cataluna_contencion_rentas_v3.csv (v3); docs/v18/plan_replicacion.md + plan_replicacion_adenda.md (pre-registro interno plan-replicacion-v18)</t>
        </is>
      </c>
      <c r="J16" s="2" t="inlineStr">
        <is>
          <t>Incasòl</t>
        </is>
      </c>
      <c r="K16" s="3">
        <f>IFERROR(INDEX(fuentes!$B$2:$B$7,MATCH(J16,fuentes!$A$2:$A$7,0)),"—")</f>
        <v/>
      </c>
      <c r="L16" s="2" t="inlineStr">
        <is>
          <t>script de origen: output/v18/f6/hechos.json:V18-AUX-E2-R1-PCT</t>
        </is>
      </c>
      <c r="M16" s="4">
        <f>IF(AND(ISNUMBER(D16),ISNUMBER(E16)),E16-D16,"")</f>
        <v/>
      </c>
      <c r="N16" s="5" t="n"/>
      <c r="O16" s="5" t="n"/>
      <c r="P16" s="5" t="n"/>
    </row>
    <row r="17">
      <c r="A17" s="2" t="inlineStr">
        <is>
          <t>V18-B5-E2</t>
        </is>
      </c>
      <c r="B17" s="2" t="inlineStr">
        <is>
          <t>Magnitud preferida de topes al alquiler (E2): diferencia en ln de la renta de los contratos regulados: -0,12 a 0,00 diferencia en ln de la renta de los contratos regulados (estudios 2016-2024; output/v18/f5/magnitudes_estudios.csv; output/v18/f1/catalogo.csv; docs/v18/plan_replicacion_adenda.md (1.9); dato de 2024; C4)</t>
        </is>
      </c>
      <c r="C17" s="2" t="n"/>
      <c r="D17" s="2" t="n">
        <v>-0.1225</v>
      </c>
      <c r="E17" s="2" t="n">
        <v>0.0029</v>
      </c>
      <c r="F17" s="2" t="inlineStr">
        <is>
          <t>diferencia en ln de la renta de los contratos regulados</t>
        </is>
      </c>
      <c r="G17" s="2" t="inlineStr">
        <is>
          <t>estudios 2016-2024</t>
        </is>
      </c>
      <c r="H17" s="2" t="inlineStr">
        <is>
          <t>C4 · V18 SUGESTIVO</t>
        </is>
      </c>
      <c r="I17" s="2" t="inlineStr">
        <is>
          <t>output/v18/f5/magnitudes_estudios.csv; output/v18/f1/catalogo.csv; docs/v18/plan_replicacion_adenda.md (1.9)</t>
        </is>
      </c>
      <c r="J17" s="2" t="inlineStr">
        <is>
          <t>propio (elaboración del proyecto)</t>
        </is>
      </c>
      <c r="K17" s="3">
        <f>IFERROR(INDEX(fuentes!$B$2:$B$7,MATCH(J17,fuentes!$A$2:$A$7,0)),"—")</f>
        <v/>
      </c>
      <c r="L17" s="2" t="inlineStr">
        <is>
          <t>script de origen: output/v18/f6/hechos.json:V18-B5-E2</t>
        </is>
      </c>
      <c r="M17" s="4">
        <f>IF(AND(ISNUMBER(D17),ISNUMBER(E17)),E17-D17,"")</f>
        <v/>
      </c>
      <c r="N17" s="5" t="n"/>
      <c r="O17" s="5" t="n"/>
      <c r="P17" s="5" t="n"/>
    </row>
    <row r="18">
      <c r="A18" s="2" t="inlineStr">
        <is>
          <t>V18-E12-A2</t>
        </is>
      </c>
      <c r="B18" s="2" t="inlineStr">
        <is>
          <t>Viviendas valor tasado: respuesta a la vivienda protegida calificada, IV provincial (E12-A2): 22,1 % del valor tasado real (variación anual) por cada 100 viviendas protegidas calificadas por 100 del parque (2003-2024; data/raw/mivau_v2_protegida.csv (calificaciones definitivas anuales de vivienda protegida, tabla 1.6, MIVAU); data/raw/mivau_v2_iniciadas_terminadas_prov.csv (viviendas libres iniciadas); data/raw/mivau_parque.csv (parque de viviendas); base:valor_tasado provincial y base:deflactor (E12-A2); dato de 2024; C4)</t>
        </is>
      </c>
      <c r="C18" s="2" t="n">
        <v>22.084</v>
      </c>
      <c r="D18" s="2" t="n"/>
      <c r="E18" s="2" t="n"/>
      <c r="F18" s="2" t="inlineStr">
        <is>
          <t>% del valor tasado real (variación anual) por cada 100 viviendas protegidas calificadas por 100 del parque</t>
        </is>
      </c>
      <c r="G18" s="2" t="inlineStr">
        <is>
          <t>2003-2024</t>
        </is>
      </c>
      <c r="H18" s="2" t="inlineStr">
        <is>
          <t>C4 · V18 ASOCIACIÓN</t>
        </is>
      </c>
      <c r="I18" s="2" t="inlineStr">
        <is>
          <t>data/raw/mivau_v2_protegida.csv (calificaciones definitivas anuales de vivienda protegida, tabla 1.6, MIVAU); data/raw/mivau_v2_iniciadas_terminadas_prov.csv (viviendas libres iniciadas); data/raw/mivau_parque.csv (parque de viviendas); base:valor_tasado provincial y base:deflactor (E12-A2)</t>
        </is>
      </c>
      <c r="J18" s="2" t="inlineStr">
        <is>
          <t>MIVAU</t>
        </is>
      </c>
      <c r="K18" s="3">
        <f>IFERROR(INDEX(fuentes!$B$2:$B$7,MATCH(J18,fuentes!$A$2:$A$7,0)),"—")</f>
        <v/>
      </c>
      <c r="L18" s="2" t="inlineStr">
        <is>
          <t>script de origen: output/v18/f6/hechos.json:V18-E12-A2</t>
        </is>
      </c>
      <c r="M18" s="4">
        <f>IF(AND(ISNUMBER(D18),ISNUMBER(E18)),E18-D18,"")</f>
        <v/>
      </c>
      <c r="N18" s="5" t="n"/>
      <c r="O18" s="5" t="n"/>
      <c r="P18" s="5" t="n"/>
    </row>
    <row r="19">
      <c r="A19" s="2" t="inlineStr">
        <is>
          <t>V18-E5-A1-psi</t>
        </is>
      </c>
      <c r="B19" s="2" t="inlineStr">
        <is>
          <t>E5-A1: coeficiente de la interacción (forma reducida, asociación): 0,00 Δ ln P por punto de Z y por desviación típica de S (-0,01 a 0,01 Δ ln P por punto de Z y por desviación típica de S) (2014-2022; MIVAU valor tasado e iniciadas; Eurostat nama_10r_3empers (INE); deflactor del proyecto; dato de 2022; C4)</t>
        </is>
      </c>
      <c r="C19" s="2" t="n">
        <v>0.002439</v>
      </c>
      <c r="D19" s="2" t="n">
        <v>-0.007625</v>
      </c>
      <c r="E19" s="2" t="n">
        <v>0.010496</v>
      </c>
      <c r="F19" s="2" t="inlineStr">
        <is>
          <t>Δ ln P por punto de Z y por desviación típica de S</t>
        </is>
      </c>
      <c r="G19" s="2" t="inlineStr">
        <is>
          <t>2014-2022</t>
        </is>
      </c>
      <c r="H19" s="2" t="inlineStr">
        <is>
          <t>C4 · V18 ASOCIACIÓN</t>
        </is>
      </c>
      <c r="I19" s="2" t="inlineStr">
        <is>
          <t>MIVAU valor tasado e iniciadas; Eurostat nama_10r_3empers (INE); deflactor del proyecto</t>
        </is>
      </c>
      <c r="J19" s="2" t="inlineStr">
        <is>
          <t>INE</t>
        </is>
      </c>
      <c r="K19" s="3">
        <f>IFERROR(INDEX(fuentes!$B$2:$B$7,MATCH(J19,fuentes!$A$2:$A$7,0)),"—")</f>
        <v/>
      </c>
      <c r="L19" s="2" t="inlineStr">
        <is>
          <t>script de origen: output/v18/f6/hechos.json:V18-E5-A1-psi</t>
        </is>
      </c>
      <c r="M19" s="4">
        <f>IF(AND(ISNUMBER(D19),ISNUMBER(E19)),E19-D19,"")</f>
        <v/>
      </c>
      <c r="N19" s="5" t="n"/>
      <c r="O19" s="5" t="n"/>
      <c r="P19" s="5" t="n"/>
    </row>
    <row r="20">
      <c r="A20" s="2" t="inlineStr">
        <is>
          <t>V18-F1-R1</t>
        </is>
      </c>
      <c r="B20" s="2" t="inlineStr">
        <is>
          <t>Respuesta de corto plazo de la variación del precio real a la variación de la renta real de los hogares (ln) (modelo F1-R1): 0,13 elasticidad de impacto en variaciones (corto plazo; MCO clásico) (-0,02 a 0,27 elasticidad de impacto en variaciones (corto plazo; MCO clásico)) (1999Q1-2026Q2; base:p_tasado (MIVAU, valor tasado nacional) hasta 2026T2; base:deflactor hasta 2026T2; base:renta_hog_real (INE CNT; cálculo propio) hasta 2026T2; base:tipo_hip_real_bde hasta 2026T2; base:pob_total (INE ECP; 44 trimestres interpolados 1999-2020); dato de 2026; C4)</t>
        </is>
      </c>
      <c r="C20" s="2" t="n">
        <v>0.1261</v>
      </c>
      <c r="D20" s="2" t="n">
        <v>-0.0227</v>
      </c>
      <c r="E20" s="2" t="n">
        <v>0.2749</v>
      </c>
      <c r="F20" s="2" t="inlineStr">
        <is>
          <t>elasticidad de impacto en variaciones (corto plazo; MCO clásico)</t>
        </is>
      </c>
      <c r="G20" s="2" t="inlineStr">
        <is>
          <t>1999Q1-2026Q2</t>
        </is>
      </c>
      <c r="H20" s="2" t="inlineStr">
        <is>
          <t>C4 · V18 ASOCIACIÓN</t>
        </is>
      </c>
      <c r="I20" s="2" t="inlineStr">
        <is>
          <t>base:p_tasado (MIVAU, valor tasado nacional) hasta 2026T2; base:deflactor hasta 2026T2; base:renta_hog_real (INE CNT; cálculo propio) hasta 2026T2; base:tipo_hip_real_bde hasta 2026T2; base:pob_total (INE ECP; 44 trimestres interpolados 1999-2020)</t>
        </is>
      </c>
      <c r="J20" s="2" t="inlineStr">
        <is>
          <t>INE</t>
        </is>
      </c>
      <c r="K20" s="3">
        <f>IFERROR(INDEX(fuentes!$B$2:$B$7,MATCH(J20,fuentes!$A$2:$A$7,0)),"—")</f>
        <v/>
      </c>
      <c r="L20" s="2" t="inlineStr">
        <is>
          <t>script de origen: output/v18/f6/hechos.json:V18-F1-R1</t>
        </is>
      </c>
      <c r="M20" s="4">
        <f>IF(AND(ISNUMBER(D20),ISNUMBER(E20)),E20-D20,"")</f>
        <v/>
      </c>
      <c r="N20" s="5" t="n"/>
      <c r="O20" s="5" t="n"/>
      <c r="P20" s="5" t="n"/>
    </row>
    <row r="21">
      <c r="A21" s="2" t="inlineStr">
        <is>
          <t>V18-E10-A1</t>
        </is>
      </c>
      <c r="B21" s="2" t="inlineStr">
        <is>
          <t>Alquiler municipal por m² y % de viviendas de grandes tenedores: asociación transversal (E10-A1): 1,1 % de variación del alquiler por m² (log × 100) por punto porcentual de viviendas de grandes tenedores en el municipio (-0,07 a 2,2 % de variación del alquiler por m² (log × 100) por punto porcentual de viviendas de grandes tenedores en el municipio) (2019-2024; base:serpavi_alquiler_m2_mediana municipal, vivienda colectiva (MIVAU/SERPAVI) 2019 y 2024; base:v12_titularidad_pct_mas10 y base:v12_titularidad_pct_pj municipales 2024 (Catastro; tramo contado dentro del municipio: cota inferior); base:adrh_renta_neta_persona por sección 2023 (promedio municipal); base:pob_censo_anual municipal 2024 (total); data/base/geo/municipios.parquet (centroides); output/v17/auditoria/oferta_titularidad_hechos.json (V17-AUD-OT-CAT-GT-PARQUE-2026); dato de 2024; C4)</t>
        </is>
      </c>
      <c r="C21" s="2" t="n">
        <v>1.0683</v>
      </c>
      <c r="D21" s="2" t="n">
        <v>-0.0682</v>
      </c>
      <c r="E21" s="2" t="n">
        <v>2.2047</v>
      </c>
      <c r="F21" s="2" t="inlineStr">
        <is>
          <t>% de variación del alquiler por m² (log × 100) por punto porcentual de viviendas de grandes tenedores en el municipio</t>
        </is>
      </c>
      <c r="G21" s="2" t="inlineStr">
        <is>
          <t>2019-2024</t>
        </is>
      </c>
      <c r="H21" s="2" t="inlineStr">
        <is>
          <t>C4 · V18 ASOCIACIÓN</t>
        </is>
      </c>
      <c r="I21" s="2" t="inlineStr">
        <is>
          <t>base:serpavi_alquiler_m2_mediana municipal, vivienda colectiva (MIVAU/SERPAVI) 2019 y 2024; base:v12_titularidad_pct_mas10 y base:v12_titularidad_pct_pj municipales 2024 (Catastro; tramo contado dentro del municipio: cota inferior); base:adrh_renta_neta_persona por sección 2023 (promedio municipal); base:pob_censo_anual municipal 2024 (total); data/base/geo/municipios.parquet (centroides); output/v17/auditoria/oferta_titularidad_hechos.json (V17-AUD-OT-CAT-GT-PARQUE-2026)</t>
        </is>
      </c>
      <c r="J21" s="2" t="inlineStr">
        <is>
          <t>MIVAU</t>
        </is>
      </c>
      <c r="K21" s="3">
        <f>IFERROR(INDEX(fuentes!$B$2:$B$7,MATCH(J21,fuentes!$A$2:$A$7,0)),"—")</f>
        <v/>
      </c>
      <c r="L21" s="2" t="inlineStr">
        <is>
          <t>script de origen: output/v18/f6/hechos.json:V18-E10-A1</t>
        </is>
      </c>
      <c r="M21" s="4">
        <f>IF(AND(ISNUMBER(D21),ISNUMBER(E21)),E21-D21,"")</f>
        <v/>
      </c>
      <c r="N21" s="5" t="n"/>
      <c r="O21" s="5" t="n"/>
      <c r="P21" s="5" t="n"/>
    </row>
    <row r="22">
      <c r="A22" s="2" t="inlineStr">
        <is>
          <t>V18-E1-R4</t>
        </is>
      </c>
      <c r="B22" s="2" t="inlineStr">
        <is>
          <t>Coeficiente de estar a menos de 500 m de la Sagrada Família × posterior (2014-2019) sobre el log del alquiler mediano SERPAVI por sección, frente al anillo de 500-1.000 m: 0,00 log (diferencia entre radio y anillo, posterior frente a 2013) (-0,03 a 0,07 log (diferencia entre radio y anillo, posterior frente a 2013)) (2011-2019; SERPAVI (MIVAU), alquiler mediano por sección, 2011-2024; Ajuntament de Barcelona, registro de viviendas de uso turístico (cortes trimestrales con coordenadas, data/manual/v11); INE, viviendas turísticas (INE-VUT) por sección; Censo 2021 (viviendas por sección); docs/v18/plan_replicacion.md + plan_replicacion_adenda.md (pre-registro interno plan-replicacion-v18); dato de 2019; C4)</t>
        </is>
      </c>
      <c r="C22" s="2" t="n">
        <v>0.001659</v>
      </c>
      <c r="D22" s="2" t="n">
        <v>-0.034597</v>
      </c>
      <c r="E22" s="2" t="n">
        <v>0.067167</v>
      </c>
      <c r="F22" s="2" t="inlineStr">
        <is>
          <t>log (diferencia entre radio y anillo, posterior frente a 2013)</t>
        </is>
      </c>
      <c r="G22" s="2" t="inlineStr">
        <is>
          <t>2011-2019</t>
        </is>
      </c>
      <c r="H22" s="2" t="inlineStr">
        <is>
          <t>C4 · V18 NO CONCLUYENTE</t>
        </is>
      </c>
      <c r="I22" s="2" t="inlineStr">
        <is>
          <t>SERPAVI (MIVAU), alquiler mediano por sección, 2011-2024; Ajuntament de Barcelona, registro de viviendas de uso turístico (cortes trimestrales con coordenadas, data/manual/v11); INE, viviendas turísticas (INE-VUT) por sección; Censo 2021 (viviendas por sección); docs/v18/plan_replicacion.md + plan_replicacion_adenda.md (pre-registro interno plan-replicacion-v18)</t>
        </is>
      </c>
      <c r="J22" s="2" t="inlineStr">
        <is>
          <t>INE</t>
        </is>
      </c>
      <c r="K22" s="3">
        <f>IFERROR(INDEX(fuentes!$B$2:$B$7,MATCH(J22,fuentes!$A$2:$A$7,0)),"—")</f>
        <v/>
      </c>
      <c r="L22" s="2" t="inlineStr">
        <is>
          <t>script de origen: output/v18/f6/hechos.json:V18-E1-R4</t>
        </is>
      </c>
      <c r="M22" s="4">
        <f>IF(AND(ISNUMBER(D22),ISNUMBER(E22)),E22-D22,"")</f>
        <v/>
      </c>
      <c r="N22" s="5" t="n"/>
      <c r="O22" s="5" t="n"/>
      <c r="P22" s="5" t="n"/>
    </row>
    <row r="23">
      <c r="A23" s="2" t="inlineStr">
        <is>
          <t>V18-E3-R1-F</t>
        </is>
      </c>
      <c r="B23" s="2" t="inlineStr">
        <is>
          <t>E3-R1: F efectivo de Montiel Olea-Pflueger de la primera etapa: 81,1 estadístico F (2002, 2004-2008; Eurostat cens_01rsctz (Censo 2001, INE); Eurostat migr_imm1ctz (INE); MIVAU valor tasado e iniciadas; base del proyecto: pob_extranj, pob_total; Eurostat demo_r_pjanaggr3 y nama_10r_3empers (INE); dato de 2008; C4)</t>
        </is>
      </c>
      <c r="C23" s="2" t="n">
        <v>81.073734</v>
      </c>
      <c r="D23" s="2" t="n"/>
      <c r="E23" s="2" t="n"/>
      <c r="F23" s="2" t="inlineStr">
        <is>
          <t>estadístico F</t>
        </is>
      </c>
      <c r="G23" s="2" t="inlineStr">
        <is>
          <t>2002, 2004-2008</t>
        </is>
      </c>
      <c r="H23" s="2" t="inlineStr">
        <is>
          <t>C4 · V18 NO CONCLUYENTE</t>
        </is>
      </c>
      <c r="I23" s="2" t="inlineStr">
        <is>
          <t>Eurostat cens_01rsctz (Censo 2001, INE); Eurostat migr_imm1ctz (INE); MIVAU valor tasado e iniciadas; base del proyecto: pob_extranj, pob_total; Eurostat demo_r_pjanaggr3 y nama_10r_3empers (INE)</t>
        </is>
      </c>
      <c r="J23" s="2" t="inlineStr">
        <is>
          <t>INE</t>
        </is>
      </c>
      <c r="K23" s="3">
        <f>IFERROR(INDEX(fuentes!$B$2:$B$7,MATCH(J23,fuentes!$A$2:$A$7,0)),"—")</f>
        <v/>
      </c>
      <c r="L23" s="2" t="inlineStr">
        <is>
          <t>script de origen: output/v18/f6/hechos.json:V18-E3-R1-F</t>
        </is>
      </c>
      <c r="M23" s="4">
        <f>IF(AND(ISNUMBER(D23),ISNUMBER(E23)),E23-D23,"")</f>
        <v/>
      </c>
      <c r="N23" s="5" t="n"/>
      <c r="O23" s="5" t="n"/>
      <c r="P23" s="5" t="n"/>
    </row>
    <row r="24">
      <c r="A24" s="2" t="inlineStr">
        <is>
          <t>V18-B5-E9</t>
        </is>
      </c>
      <c r="B24" s="2" t="inlineStr">
        <is>
          <t>Magnitud preferida de compradores no residentes (E9): % de precio por +1 pp de cuota de compras de no residentes: 1,4-2,1 % de precio por +1 pp de cuota de compras de no residentes (estudios 1999-2014; output/v18/f5/magnitudes_estudios.csv; output/v18/f1/catalogo.csv; docs/v18/plan_replicacion_adenda.md (1.9); dato de 2014; C4)</t>
        </is>
      </c>
      <c r="C24" s="2" t="n"/>
      <c r="D24" s="2" t="n">
        <v>1.4</v>
      </c>
      <c r="E24" s="2" t="n">
        <v>2.1</v>
      </c>
      <c r="F24" s="2" t="inlineStr">
        <is>
          <t>% de precio por +1 pp de cuota de compras de no residentes</t>
        </is>
      </c>
      <c r="G24" s="2" t="inlineStr">
        <is>
          <t>estudios 1999-2014</t>
        </is>
      </c>
      <c r="H24" s="2" t="inlineStr">
        <is>
          <t>C4 · V18 NO ESTIMABLE</t>
        </is>
      </c>
      <c r="I24" s="2" t="inlineStr">
        <is>
          <t>output/v18/f5/magnitudes_estudios.csv; output/v18/f1/catalogo.csv; docs/v18/plan_replicacion_adenda.md (1.9)</t>
        </is>
      </c>
      <c r="J24" s="2" t="inlineStr">
        <is>
          <t>propio (elaboración del proyecto)</t>
        </is>
      </c>
      <c r="K24" s="3">
        <f>IFERROR(INDEX(fuentes!$B$2:$B$7,MATCH(J24,fuentes!$A$2:$A$7,0)),"—")</f>
        <v/>
      </c>
      <c r="L24" s="2" t="inlineStr">
        <is>
          <t>script de origen: output/v18/f6/hechos.json:V18-B5-E9</t>
        </is>
      </c>
      <c r="M24" s="4">
        <f>IF(AND(ISNUMBER(D24),ISNUMBER(E24)),E24-D24,"")</f>
        <v/>
      </c>
      <c r="N24" s="5" t="n"/>
      <c r="O24" s="5" t="n"/>
      <c r="P24" s="5" t="n"/>
    </row>
    <row r="25">
      <c r="A25" s="2" t="inlineStr">
        <is>
          <t>V18-E9-1HHI-todos-paises</t>
        </is>
      </c>
      <c r="B25" s="2" t="inlineStr">
        <is>
          <t>E9: número efectivo de choques si los 28 países del padrón tuvieran serie de riesgo (información): 11,5 choques efectivos (2003; Padrón por nacionalidad 2003 (INE); Eurostat eu_hpi; OCDE house prices; dato de 2003; C4)</t>
        </is>
      </c>
      <c r="C25" s="2" t="n">
        <v>11.538973</v>
      </c>
      <c r="D25" s="2" t="n"/>
      <c r="E25" s="2" t="n"/>
      <c r="F25" s="2" t="inlineStr">
        <is>
          <t>choques efectivos</t>
        </is>
      </c>
      <c r="G25" s="2" t="inlineStr">
        <is>
          <t>2003</t>
        </is>
      </c>
      <c r="H25" s="2" t="inlineStr">
        <is>
          <t>C4 · V18 NO ESTIMABLE</t>
        </is>
      </c>
      <c r="I25" s="2" t="inlineStr">
        <is>
          <t>Padrón por nacionalidad 2003 (INE); Eurostat eu_hpi; OCDE house prices</t>
        </is>
      </c>
      <c r="J25" s="2" t="inlineStr">
        <is>
          <t>INE</t>
        </is>
      </c>
      <c r="K25" s="3">
        <f>IFERROR(INDEX(fuentes!$B$2:$B$7,MATCH(J25,fuentes!$A$2:$A$7,0)),"—")</f>
        <v/>
      </c>
      <c r="L25" s="2" t="inlineStr">
        <is>
          <t>script de origen: output/v18/f6/hechos.json:V18-E9-1HHI-todos-paises</t>
        </is>
      </c>
      <c r="M25" s="4">
        <f>IF(AND(ISNUMBER(D25),ISNUMBER(E25)),E25-D25,"")</f>
        <v/>
      </c>
      <c r="N25" s="5" t="n"/>
      <c r="O25" s="5" t="n"/>
      <c r="P25" s="5" t="n"/>
    </row>
    <row r="26">
      <c r="A26" s="2" t="inlineStr">
        <is>
          <t>V18-AUX-CAT-FICHAS</t>
        </is>
      </c>
      <c r="B26" s="2" t="inlineStr">
        <is>
          <t>Fichas del catálogo de la literatura: 181,0 fichas (2026; output/v18/f1/catalogo.csv; output/v18/f1/informe.md; dato de 2026; C4)</t>
        </is>
      </c>
      <c r="C26" s="2" t="n">
        <v>181</v>
      </c>
      <c r="D26" s="2" t="n"/>
      <c r="E26" s="2" t="n"/>
      <c r="F26" s="2" t="inlineStr">
        <is>
          <t>fichas</t>
        </is>
      </c>
      <c r="G26" s="2" t="inlineStr">
        <is>
          <t>2026</t>
        </is>
      </c>
      <c r="H26" s="2" t="inlineStr">
        <is>
          <t>C4 · V18 NO ESTIMABLE</t>
        </is>
      </c>
      <c r="I26" s="2" t="inlineStr">
        <is>
          <t>output/v18/f1/catalogo.csv; output/v18/f1/informe.md</t>
        </is>
      </c>
      <c r="J26" s="2" t="inlineStr">
        <is>
          <t>propio (elaboración del proyecto)</t>
        </is>
      </c>
      <c r="K26" s="3">
        <f>IFERROR(INDEX(fuentes!$B$2:$B$7,MATCH(J26,fuentes!$A$2:$A$7,0)),"—")</f>
        <v/>
      </c>
      <c r="L26" s="2" t="inlineStr">
        <is>
          <t>script de origen: output/v18/f6/hechos.json:V18-AUX-CAT-FICHAS</t>
        </is>
      </c>
      <c r="M26" s="4">
        <f>IF(AND(ISNUMBER(D26),ISNUMBER(E26)),E26-D26,"")</f>
        <v/>
      </c>
      <c r="N26" s="5" t="n"/>
      <c r="O26" s="5" t="n"/>
      <c r="P26" s="5" t="n"/>
    </row>
    <row r="27">
      <c r="A27" s="2" t="inlineStr">
        <is>
          <t>V18-AUX-MC-CONLEY-TAM</t>
        </is>
      </c>
      <c r="B27" s="2" t="inlineStr">
        <is>
          <t>Tamaño empírico al 5 % de conley (filas decisivas): 0,05-0,26 (simulación (semilla 20261010); output/v18/montecarlo/conley/tabla.csv; output/v18/montecarlo/conley/resultado.json; dato de 2026; C4)</t>
        </is>
      </c>
      <c r="C27" s="2" t="n"/>
      <c r="D27" s="2" t="n">
        <v>0.052</v>
      </c>
      <c r="E27" s="2" t="n">
        <v>0.261</v>
      </c>
      <c r="F27" s="2" t="inlineStr">
        <is>
          <t>proporción</t>
        </is>
      </c>
      <c r="G27" s="2" t="inlineStr">
        <is>
          <t>simulación (semilla 20261010)</t>
        </is>
      </c>
      <c r="H27" s="2" t="inlineStr">
        <is>
          <t>C4 · V18 NO ESTIMABLE</t>
        </is>
      </c>
      <c r="I27" s="2" t="inlineStr">
        <is>
          <t>output/v18/montecarlo/conley/tabla.csv; output/v18/montecarlo/conley/resultado.json</t>
        </is>
      </c>
      <c r="J27" s="2" t="inlineStr">
        <is>
          <t>propio (elaboración del proyecto)</t>
        </is>
      </c>
      <c r="K27" s="3">
        <f>IFERROR(INDEX(fuentes!$B$2:$B$7,MATCH(J27,fuentes!$A$2:$A$7,0)),"—")</f>
        <v/>
      </c>
      <c r="L27" s="2" t="inlineStr">
        <is>
          <t>script de origen: output/v18/f6/hechos.json:V18-AUX-MC-CONLEY-TAM</t>
        </is>
      </c>
      <c r="M27" s="4">
        <f>IF(AND(ISNUMBER(D27),ISNUMBER(E27)),E27-D27,"")</f>
        <v/>
      </c>
      <c r="N27" s="5" t="n"/>
      <c r="O27" s="5" t="n"/>
      <c r="P27" s="5" t="n"/>
    </row>
    <row r="28">
      <c r="A28" s="2" t="inlineStr">
        <is>
          <t>V18-AUX-LIT-ACCETTURO-2012-BDI-ET</t>
        </is>
      </c>
      <c r="B28" s="2" t="inlineStr">
        <is>
          <t>Error típico del valor publicado por Accetturo et al. (2012), distritos de 20 ciudades de Italia (factor E3): 0,05 elasticidad log-log (ciudad) (2012; docs/v18/bib/inmigracion/accetturo_2012_bdi.md; output/v18/f5/magnitudes_estudios.csv; dato de 2012; C4)</t>
        </is>
      </c>
      <c r="C28" s="2" t="n">
        <v>0.053</v>
      </c>
      <c r="D28" s="2" t="n"/>
      <c r="E28" s="2" t="n"/>
      <c r="F28" s="2" t="inlineStr">
        <is>
          <t>elasticidad log-log (ciudad)</t>
        </is>
      </c>
      <c r="G28" s="2" t="inlineStr">
        <is>
          <t>2012</t>
        </is>
      </c>
      <c r="H28" s="2" t="inlineStr">
        <is>
          <t>C4 · V18 sin clase propia</t>
        </is>
      </c>
      <c r="I28" s="2" t="inlineStr">
        <is>
          <t>docs/v18/bib/inmigracion/accetturo_2012_bdi.md; output/v18/f5/magnitudes_estudios.csv</t>
        </is>
      </c>
      <c r="J28" s="2" t="inlineStr">
        <is>
          <t>propio (elaboración del proyecto)</t>
        </is>
      </c>
      <c r="K28" s="3">
        <f>IFERROR(INDEX(fuentes!$B$2:$B$7,MATCH(J28,fuentes!$A$2:$A$7,0)),"—")</f>
        <v/>
      </c>
      <c r="L28" s="2" t="inlineStr">
        <is>
          <t>script de origen: output/v18/f6/hechos.json:V18-AUX-LIT-ACCETTURO-2012-BDI-ET</t>
        </is>
      </c>
      <c r="M28" s="4">
        <f>IF(AND(ISNUMBER(D28),ISNUMBER(E28)),E28-D28,"")</f>
        <v/>
      </c>
      <c r="N28" s="5" t="n"/>
      <c r="O28" s="5" t="n"/>
      <c r="P28" s="5" t="n"/>
    </row>
    <row r="29">
      <c r="A29" s="2" t="inlineStr">
        <is>
          <t>V18-AUX-LIT-SANJUAN-2023-BDE-BE2302ART09</t>
        </is>
      </c>
      <c r="B29" s="2" t="inlineStr">
        <is>
          <t>Valor publicado por San Juan (2023, Banco de España), BVAR, 2004-2022 (factor E7, literatura): -2,0 % del precio por +100 pb a 8 trimestres (2004-2022; docs/v18/bib/tipos/sanjuan_2023_bde_be2302art09.md; output/v18/f5/magnitudes_estudios.csv; dato de 2022; C4)</t>
        </is>
      </c>
      <c r="C29" s="2" t="n">
        <v>-2</v>
      </c>
      <c r="D29" s="2" t="n"/>
      <c r="E29" s="2" t="n"/>
      <c r="F29" s="2" t="inlineStr">
        <is>
          <t>% del precio por +100 pb a 8 trimestres</t>
        </is>
      </c>
      <c r="G29" s="2" t="inlineStr">
        <is>
          <t>2004-2022</t>
        </is>
      </c>
      <c r="H29" s="2" t="inlineStr">
        <is>
          <t>C4 · V18 sin clase propia</t>
        </is>
      </c>
      <c r="I29" s="2" t="inlineStr">
        <is>
          <t>docs/v18/bib/tipos/sanjuan_2023_bde_be2302art09.md; output/v18/f5/magnitudes_estudios.csv</t>
        </is>
      </c>
      <c r="J29" s="2" t="inlineStr">
        <is>
          <t>BdE</t>
        </is>
      </c>
      <c r="K29" s="3">
        <f>IFERROR(INDEX(fuentes!$B$2:$B$7,MATCH(J29,fuentes!$A$2:$A$7,0)),"—")</f>
        <v/>
      </c>
      <c r="L29" s="2" t="inlineStr">
        <is>
          <t>script de origen: output/v18/f6/hechos.json:V18-AUX-LIT-SANJUAN-2023-BDE-BE2302ART09</t>
        </is>
      </c>
      <c r="M29" s="4">
        <f>IF(AND(ISNUMBER(D29),ISNUMBER(E29)),E29-D29,"")</f>
        <v/>
      </c>
      <c r="N29" s="5" t="n"/>
      <c r="O29" s="5" t="n"/>
      <c r="P29" s="5" t="n"/>
    </row>
    <row r="30">
      <c r="A30" s="2" t="inlineStr">
        <is>
          <t>V18-AUX-LIT-SEGU2018</t>
        </is>
      </c>
      <c r="B30" s="2" t="inlineStr">
        <is>
          <t>Valor publicado por Segú (2018), Barcelona, 2009-2016 (factor E1, literatura): 0,04 Δln alquiler por punto de densidad de Airbnb (2009-2016; docs/v18/bib/turismo/segu2018.md; output/v18/f5/magnitudes_estudios.csv; dato de 2016; C4)</t>
        </is>
      </c>
      <c r="C30" s="2" t="n">
        <v>0.038</v>
      </c>
      <c r="D30" s="2" t="n"/>
      <c r="E30" s="2" t="n"/>
      <c r="F30" s="2" t="inlineStr">
        <is>
          <t>Δln alquiler por punto de densidad de Airbnb</t>
        </is>
      </c>
      <c r="G30" s="2" t="inlineStr">
        <is>
          <t>2009-2016</t>
        </is>
      </c>
      <c r="H30" s="2" t="inlineStr">
        <is>
          <t>C4 · V18 sin clase propia</t>
        </is>
      </c>
      <c r="I30" s="2" t="inlineStr">
        <is>
          <t>docs/v18/bib/turismo/segu2018.md; output/v18/f5/magnitudes_estudios.csv</t>
        </is>
      </c>
      <c r="J30" s="2" t="inlineStr">
        <is>
          <t>propio (elaboración del proyecto)</t>
        </is>
      </c>
      <c r="K30" s="3">
        <f>IFERROR(INDEX(fuentes!$B$2:$B$7,MATCH(J30,fuentes!$A$2:$A$7,0)),"—")</f>
        <v/>
      </c>
      <c r="L30" s="2" t="inlineStr">
        <is>
          <t>script de origen: output/v18/f6/hechos.json:V18-AUX-LIT-SEGU2018</t>
        </is>
      </c>
      <c r="M30" s="4">
        <f>IF(AND(ISNUMBER(D30),ISNUMBER(E30)),E30-D30,"")</f>
        <v/>
      </c>
      <c r="N30" s="5" t="n"/>
      <c r="O30" s="5" t="n"/>
      <c r="P30" s="5" t="n"/>
    </row>
    <row r="31">
      <c r="A31" s="2" t="inlineStr">
        <is>
          <t>V18-E10-A1-v1</t>
        </is>
      </c>
      <c r="B31" s="2" t="inlineStr">
        <is>
          <t>Alquiler municipal por m² y % de viviendas de grandes tenedores: asociación transversal (E10-A1-v1): 2,7 % de variación del alquiler por m² (log × 100) por punto porcentual de viviendas de grandes tenedores en el municipio (1,5-3,9 % de variación del alquiler por m² (log × 100) por punto porcentual de viviendas de grandes tenedores en el municipio) (2019-2024; base:serpavi_alquiler_m2_mediana municipal, vivienda colectiva (MIVAU/SERPAVI) 2019 y 2024; base:v12_titularidad_pct_mas10 y base:v12_titularidad_pct_pj municipales 2024 (Catastro; tramo contado dentro del municipio: cota inferior); base:adrh_renta_neta_persona por sección 2023 (promedio municipal); base:pob_censo_anual municipal 2024 (total); data/base/geo/municipios.parquet (centroides); output/v17/auditoria/oferta_titularidad_hechos.json (V17-AUD-OT-CAT-GT-PARQUE-2026); dato de 2024; C4)</t>
        </is>
      </c>
      <c r="C31" s="2" t="n">
        <v>2.7075</v>
      </c>
      <c r="D31" s="2" t="n">
        <v>1.5415</v>
      </c>
      <c r="E31" s="2" t="n">
        <v>3.8735</v>
      </c>
      <c r="F31" s="2" t="inlineStr">
        <is>
          <t>% de variación del alquiler por m² (log × 100) por punto porcentual de viviendas de grandes tenedores en el municipio</t>
        </is>
      </c>
      <c r="G31" s="2" t="inlineStr">
        <is>
          <t>2019-2024</t>
        </is>
      </c>
      <c r="H31" s="2" t="inlineStr">
        <is>
          <t>C4 · V18 sin clase propia</t>
        </is>
      </c>
      <c r="I31" s="2" t="inlineStr">
        <is>
          <t>base:serpavi_alquiler_m2_mediana municipal, vivienda colectiva (MIVAU/SERPAVI) 2019 y 2024; base:v12_titularidad_pct_mas10 y base:v12_titularidad_pct_pj municipales 2024 (Catastro; tramo contado dentro del municipio: cota inferior); base:adrh_renta_neta_persona por sección 2023 (promedio municipal); base:pob_censo_anual municipal 2024 (total); data/base/geo/municipios.parquet (centroides); output/v17/auditoria/oferta_titularidad_hechos.json (V17-AUD-OT-CAT-GT-PARQUE-2026)</t>
        </is>
      </c>
      <c r="J31" s="2" t="inlineStr">
        <is>
          <t>MIVAU</t>
        </is>
      </c>
      <c r="K31" s="3">
        <f>IFERROR(INDEX(fuentes!$B$2:$B$7,MATCH(J31,fuentes!$A$2:$A$7,0)),"—")</f>
        <v/>
      </c>
      <c r="L31" s="2" t="inlineStr">
        <is>
          <t>script de origen: output/v18/f6/hechos.json:V18-E10-A1-v1</t>
        </is>
      </c>
      <c r="M31" s="4">
        <f>IF(AND(ISNUMBER(D31),ISNUMBER(E31)),E31-D31,"")</f>
        <v/>
      </c>
      <c r="N31" s="5" t="n"/>
      <c r="O31" s="5" t="n"/>
      <c r="P31" s="5" t="n"/>
    </row>
    <row r="32">
      <c r="A32" s="2" t="inlineStr">
        <is>
          <t>V18-AUX-LIT-PEREZGARCIA2026</t>
        </is>
      </c>
      <c r="B32" s="2" t="inlineStr">
        <is>
          <t>Valor publicado por Pérez García (2026), zonas tensionadas 2024 (factor E2, literatura): -0,03 puntos de crecimiento de la renta (2026; docs/v18/bib/topes/perezgarcia2026.md; output/v18/f5/magnitudes_estudios.csv; dato de 2026; C4)</t>
        </is>
      </c>
      <c r="C32" s="2" t="n">
        <v>-0.0298</v>
      </c>
      <c r="D32" s="2" t="n"/>
      <c r="E32" s="2" t="n"/>
      <c r="F32" s="2" t="inlineStr">
        <is>
          <t>puntos de crecimiento de la renta</t>
        </is>
      </c>
      <c r="G32" s="2" t="inlineStr">
        <is>
          <t>2026</t>
        </is>
      </c>
      <c r="H32" s="2" t="inlineStr">
        <is>
          <t>C4 · V18 sin clase propia</t>
        </is>
      </c>
      <c r="I32" s="2" t="inlineStr">
        <is>
          <t>docs/v18/bib/topes/perezgarcia2026.md; output/v18/f5/magnitudes_estudios.csv</t>
        </is>
      </c>
      <c r="J32" s="2" t="inlineStr">
        <is>
          <t>propio (elaboración del proyecto)</t>
        </is>
      </c>
      <c r="K32" s="3">
        <f>IFERROR(INDEX(fuentes!$B$2:$B$7,MATCH(J32,fuentes!$A$2:$A$7,0)),"—")</f>
        <v/>
      </c>
      <c r="L32" s="2" t="inlineStr">
        <is>
          <t>script de origen: output/v18/f6/hechos.json:V18-AUX-LIT-PEREZGARCIA2026</t>
        </is>
      </c>
      <c r="M32" s="4">
        <f>IF(AND(ISNUMBER(D32),ISNUMBER(E32)),E32-D32,"")</f>
        <v/>
      </c>
      <c r="N32" s="5" t="n"/>
      <c r="O32" s="5" t="n"/>
      <c r="P32" s="5" t="n"/>
    </row>
    <row r="33">
      <c r="A33" s="2" t="inlineStr">
        <is>
          <t>V18-AUX-REP-CHAVES-PUB-ET</t>
        </is>
      </c>
      <c r="B33" s="2" t="inlineStr">
        <is>
          <t>Error típico publicado por Chaves-Fonseca (2026): 0,00 ln del precio por 100 anuncios en el barrio (IV) (2010-2018; output/v18/reproduccion/chavesfonseca2026/tabla.csv; output/v18/reproduccion/chavesfonseca2026/resultado.json; output/v18/reproduccion/chavesfonseca2026/informe.md; dato de 2018; C4)</t>
        </is>
      </c>
      <c r="C33" s="2" t="n">
        <v>0.004</v>
      </c>
      <c r="D33" s="2" t="n"/>
      <c r="E33" s="2" t="n"/>
      <c r="F33" s="2" t="inlineStr">
        <is>
          <t>ln del precio por 100 anuncios en el barrio (IV)</t>
        </is>
      </c>
      <c r="G33" s="2" t="inlineStr">
        <is>
          <t>2010-2018</t>
        </is>
      </c>
      <c r="H33" s="2" t="inlineStr">
        <is>
          <t>C4 · V18 sin clase propia</t>
        </is>
      </c>
      <c r="I33" s="2" t="inlineStr">
        <is>
          <t>output/v18/reproduccion/chavesfonseca2026/tabla.csv; output/v18/reproduccion/chavesfonseca2026/resultado.json; output/v18/reproduccion/chavesfonseca2026/informe.md</t>
        </is>
      </c>
      <c r="J33" s="2" t="inlineStr">
        <is>
          <t>propio (elaboración del proyecto)</t>
        </is>
      </c>
      <c r="K33" s="3">
        <f>IFERROR(INDEX(fuentes!$B$2:$B$7,MATCH(J33,fuentes!$A$2:$A$7,0)),"—")</f>
        <v/>
      </c>
      <c r="L33" s="2" t="inlineStr">
        <is>
          <t>script de origen: output/v18/f6/hechos.json:V18-AUX-REP-CHAVES-PUB-ET</t>
        </is>
      </c>
      <c r="M33" s="4">
        <f>IF(AND(ISNUMBER(D33),ISNUMBER(E33)),E33-D33,"")</f>
        <v/>
      </c>
      <c r="N33" s="5" t="n"/>
      <c r="O33" s="5" t="n"/>
      <c r="P33" s="5" t="n"/>
    </row>
    <row r="34">
      <c r="A34" s="2" t="inlineStr">
        <is>
          <t>V18-AUX-LIT-JOFREMONSENY2023-ET</t>
        </is>
      </c>
      <c r="B34" s="2" t="inlineStr">
        <is>
          <t>Error típico del valor publicado por Jofre-Monseny et al. (2023), Cataluña, 2020-2022 (factor E2): 0,01 ln de la renta media, tabla 2 (2020-2022; docs/v18/bib/topes/jofremonseny2023.md; output/v18/f5/magnitudes_estudios.csv; dato de 2022; C4)</t>
        </is>
      </c>
      <c r="C34" s="2" t="n">
        <v>0.006</v>
      </c>
      <c r="D34" s="2" t="n"/>
      <c r="E34" s="2" t="n"/>
      <c r="F34" s="2" t="inlineStr">
        <is>
          <t>ln de la renta media, tabla 2</t>
        </is>
      </c>
      <c r="G34" s="2" t="inlineStr">
        <is>
          <t>2020-2022</t>
        </is>
      </c>
      <c r="H34" s="2" t="inlineStr">
        <is>
          <t>C4 · V18 sin clase propia</t>
        </is>
      </c>
      <c r="I34" s="2" t="inlineStr">
        <is>
          <t>docs/v18/bib/topes/jofremonseny2023.md; output/v18/f5/magnitudes_estudios.csv</t>
        </is>
      </c>
      <c r="J34" s="2" t="inlineStr">
        <is>
          <t>propio (elaboración del proyecto)</t>
        </is>
      </c>
      <c r="K34" s="3">
        <f>IFERROR(INDEX(fuentes!$B$2:$B$7,MATCH(J34,fuentes!$A$2:$A$7,0)),"—")</f>
        <v/>
      </c>
      <c r="L34" s="2" t="inlineStr">
        <is>
          <t>script de origen: output/v18/f6/hechos.json:V18-AUX-LIT-JOFREMONSENY2023-ET</t>
        </is>
      </c>
      <c r="M34" s="4">
        <f>IF(AND(ISNUMBER(D34),ISNUMBER(E34)),E34-D34,"")</f>
        <v/>
      </c>
      <c r="N34" s="5" t="n"/>
      <c r="O34" s="5" t="n"/>
      <c r="P34" s="5" t="n"/>
    </row>
    <row r="35">
      <c r="A35" s="2" t="inlineStr">
        <is>
          <t>V18-AUX-LIT-GARCIALOPEZ2020</t>
        </is>
      </c>
      <c r="B35" s="2" t="inlineStr">
        <is>
          <t>Valor publicado por García-López et al. (2020), Barcelona, 2007-2017 (factor E1, literatura): 0,02 ln por cada 100 anuncios en la BSA (IV, alquileres) (2007-2017; docs/v18/bib/turismo/garcialopez2020.md; output/v18/f5/magnitudes_estudios.csv; dato de 2017; C4)</t>
        </is>
      </c>
      <c r="C35" s="2" t="n">
        <v>0.022</v>
      </c>
      <c r="D35" s="2" t="n"/>
      <c r="E35" s="2" t="n"/>
      <c r="F35" s="2" t="inlineStr">
        <is>
          <t>ln por cada 100 anuncios en la BSA (IV, alquileres)</t>
        </is>
      </c>
      <c r="G35" s="2" t="inlineStr">
        <is>
          <t>2007-2017</t>
        </is>
      </c>
      <c r="H35" s="2" t="inlineStr">
        <is>
          <t>C4 · V18 sin clase propia</t>
        </is>
      </c>
      <c r="I35" s="2" t="inlineStr">
        <is>
          <t>docs/v18/bib/turismo/garcialopez2020.md; output/v18/f5/magnitudes_estudios.csv</t>
        </is>
      </c>
      <c r="J35" s="2" t="inlineStr">
        <is>
          <t>propio (elaboración del proyecto)</t>
        </is>
      </c>
      <c r="K35" s="3">
        <f>IFERROR(INDEX(fuentes!$B$2:$B$7,MATCH(J35,fuentes!$A$2:$A$7,0)),"—")</f>
        <v/>
      </c>
      <c r="L35" s="2" t="inlineStr">
        <is>
          <t>script de origen: output/v18/f6/hechos.json:V18-AUX-LIT-GARCIALOPEZ2020</t>
        </is>
      </c>
      <c r="M35" s="4">
        <f>IF(AND(ISNUMBER(D35),ISNUMBER(E35)),E35-D35,"")</f>
        <v/>
      </c>
      <c r="N35" s="5" t="n"/>
      <c r="O35" s="5" t="n"/>
      <c r="P35" s="5" t="n"/>
    </row>
    <row r="36">
      <c r="A36" s="2" t="inlineStr">
        <is>
          <t>V18-AUX-LIT-SANCHIS-GUARNER-2017-LSE</t>
        </is>
      </c>
      <c r="B36" s="2" t="inlineStr">
        <is>
          <t>Valor publicado por Sanchis-Guarner (2017), provincias, 2001-2012 (factor E3, literatura): 3,0 puntos de crecimiento del precio por punto de tasa de inmigración (semielasticidad ≈ % por 1 %) (2001-2012; docs/v18/bib/inmigracion/sanchis_guarner_2017_lse.md; output/v18/f5/magnitudes_estudios.csv; dato de 2012; C4)</t>
        </is>
      </c>
      <c r="C36" s="2" t="n">
        <v>3.046</v>
      </c>
      <c r="D36" s="2" t="n"/>
      <c r="E36" s="2" t="n"/>
      <c r="F36" s="2" t="inlineStr">
        <is>
          <t>puntos de crecimiento del precio por punto de tasa de inmigración (semielasticidad ≈ % por 1 %)</t>
        </is>
      </c>
      <c r="G36" s="2" t="inlineStr">
        <is>
          <t>2001-2012</t>
        </is>
      </c>
      <c r="H36" s="2" t="inlineStr">
        <is>
          <t>C4 · V18 sin clase propia</t>
        </is>
      </c>
      <c r="I36" s="2" t="inlineStr">
        <is>
          <t>docs/v18/bib/inmigracion/sanchis_guarner_2017_lse.md; output/v18/f5/magnitudes_estudios.csv</t>
        </is>
      </c>
      <c r="J36" s="2" t="inlineStr">
        <is>
          <t>propio (elaboración del proyecto)</t>
        </is>
      </c>
      <c r="K36" s="3">
        <f>IFERROR(INDEX(fuentes!$B$2:$B$7,MATCH(J36,fuentes!$A$2:$A$7,0)),"—")</f>
        <v/>
      </c>
      <c r="L36" s="2" t="inlineStr">
        <is>
          <t>script de origen: output/v18/f6/hechos.json:V18-AUX-LIT-SANCHIS-GUARNER-2017-LSE</t>
        </is>
      </c>
      <c r="M36" s="4">
        <f>IF(AND(ISNUMBER(D36),ISNUMBER(E36)),E36-D36,"")</f>
        <v/>
      </c>
      <c r="N36" s="5" t="n"/>
      <c r="O36" s="5" t="n"/>
      <c r="P36" s="5" t="n"/>
    </row>
    <row r="37">
      <c r="A37" s="2" t="inlineStr">
        <is>
          <t>V18-AUX-LIT-MENSE-2025-JPEMACRO</t>
        </is>
      </c>
      <c r="B37" s="2" t="inlineStr">
        <is>
          <t>Valor publicado por Mense (2025), 94 regiones de Alemania, 2010-2017 (factor E6, literatura): -0,19 elasticidad del alquiler respecto a la oferta nueva (2010-2017; docs/v18/bib/obra_nueva/mense_2025_jpemacro.md; output/v18/f5/magnitudes_estudios.csv; dato de 2017; C4)</t>
        </is>
      </c>
      <c r="C37" s="2" t="n">
        <v>-0.192</v>
      </c>
      <c r="D37" s="2" t="n"/>
      <c r="E37" s="2" t="n"/>
      <c r="F37" s="2" t="inlineStr">
        <is>
          <t>elasticidad del alquiler respecto a la oferta nueva</t>
        </is>
      </c>
      <c r="G37" s="2" t="inlineStr">
        <is>
          <t>2010-2017</t>
        </is>
      </c>
      <c r="H37" s="2" t="inlineStr">
        <is>
          <t>C4 · V18 sin clase propia</t>
        </is>
      </c>
      <c r="I37" s="2" t="inlineStr">
        <is>
          <t>docs/v18/bib/obra_nueva/mense_2025_jpemacro.md; output/v18/f5/magnitudes_estudios.csv</t>
        </is>
      </c>
      <c r="J37" s="2" t="inlineStr">
        <is>
          <t>propio (elaboración del proyecto)</t>
        </is>
      </c>
      <c r="K37" s="3">
        <f>IFERROR(INDEX(fuentes!$B$2:$B$7,MATCH(J37,fuentes!$A$2:$A$7,0)),"—")</f>
        <v/>
      </c>
      <c r="L37" s="2" t="inlineStr">
        <is>
          <t>script de origen: output/v18/f6/hechos.json:V18-AUX-LIT-MENSE-2025-JPEMACRO</t>
        </is>
      </c>
      <c r="M37" s="4">
        <f>IF(AND(ISNUMBER(D37),ISNUMBER(E37)),E37-D37,"")</f>
        <v/>
      </c>
      <c r="N37" s="5" t="n"/>
      <c r="O37" s="5" t="n"/>
      <c r="P37" s="5" t="n"/>
    </row>
    <row r="38">
      <c r="A38" s="2" t="inlineStr">
        <is>
          <t>V18-AUX-LIT-EEROLA-ETAL-2026-JPUBE-ET</t>
        </is>
      </c>
      <c r="B38" s="2" t="inlineStr">
        <is>
          <t>Error típico del valor publicado por Eerola et al. (2026), Finlandia, reforma de 2015 (factor E4): 0,03 θ (2026; docs/v18/bib/ayudas/eerola_etal_2026_jpube.md; output/v18/f5/magnitudes_estudios.csv; dato de 2026; C4)</t>
        </is>
      </c>
      <c r="C38" s="2" t="n">
        <v>0.028</v>
      </c>
      <c r="D38" s="2" t="n"/>
      <c r="E38" s="2" t="n"/>
      <c r="F38" s="2" t="inlineStr">
        <is>
          <t>θ</t>
        </is>
      </c>
      <c r="G38" s="2" t="inlineStr">
        <is>
          <t>2026</t>
        </is>
      </c>
      <c r="H38" s="2" t="inlineStr">
        <is>
          <t>C4 · V18 sin clase propia</t>
        </is>
      </c>
      <c r="I38" s="2" t="inlineStr">
        <is>
          <t>docs/v18/bib/ayudas/eerola_etal_2026_jpube.md; output/v18/f5/magnitudes_estudios.csv</t>
        </is>
      </c>
      <c r="J38" s="2" t="inlineStr">
        <is>
          <t>propio (elaboración del proyecto)</t>
        </is>
      </c>
      <c r="K38" s="3">
        <f>IFERROR(INDEX(fuentes!$B$2:$B$7,MATCH(J38,fuentes!$A$2:$A$7,0)),"—")</f>
        <v/>
      </c>
      <c r="L38" s="2" t="inlineStr">
        <is>
          <t>script de origen: output/v18/f6/hechos.json:V18-AUX-LIT-EEROLA-ETAL-2026-JPUBE-ET</t>
        </is>
      </c>
      <c r="M38" s="4">
        <f>IF(AND(ISNUMBER(D38),ISNUMBER(E38)),E38-D38,"")</f>
        <v/>
      </c>
      <c r="N38" s="5" t="n"/>
      <c r="O38" s="5" t="n"/>
      <c r="P38" s="5" t="n"/>
    </row>
    <row r="39">
      <c r="A39" s="2" t="inlineStr">
        <is>
          <t>V18-AUX-LIT-GO2009-EUR-ET</t>
        </is>
      </c>
      <c r="B39" s="2" t="inlineStr">
        <is>
          <t>Error típico del coeficiente de la versión IZA de 2009 de González y Ortega: 18,6 €/m² por punto de población (1998-2008; docs/v18/bib/inmigracion/gonzalez_ortega_2009_iza.md; dato de 2008; C4)</t>
        </is>
      </c>
      <c r="C39" s="2" t="n">
        <v>18.58</v>
      </c>
      <c r="D39" s="2" t="n"/>
      <c r="E39" s="2" t="n"/>
      <c r="F39" s="2" t="inlineStr">
        <is>
          <t>€/m² por punto de población</t>
        </is>
      </c>
      <c r="G39" s="2" t="inlineStr">
        <is>
          <t>1998-2008</t>
        </is>
      </c>
      <c r="H39" s="2" t="inlineStr">
        <is>
          <t>C4 · V18 sin clase propia</t>
        </is>
      </c>
      <c r="I39" s="2" t="inlineStr">
        <is>
          <t>docs/v18/bib/inmigracion/gonzalez_ortega_2009_iza.md</t>
        </is>
      </c>
      <c r="J39" s="2" t="inlineStr">
        <is>
          <t>propio (elaboración del proyecto)</t>
        </is>
      </c>
      <c r="K39" s="3">
        <f>IFERROR(INDEX(fuentes!$B$2:$B$7,MATCH(J39,fuentes!$A$2:$A$7,0)),"—")</f>
        <v/>
      </c>
      <c r="L39" s="2" t="inlineStr">
        <is>
          <t>script de origen: output/v18/f6/hechos.json:V18-AUX-LIT-GO2009-EUR-ET</t>
        </is>
      </c>
      <c r="M39" s="4">
        <f>IF(AND(ISNUMBER(D39),ISNUMBER(E39)),E39-D39,"")</f>
        <v/>
      </c>
      <c r="N39" s="5" t="n"/>
      <c r="O39" s="5" t="n"/>
      <c r="P39" s="5" t="n"/>
    </row>
    <row r="40">
      <c r="A40" s="2" t="inlineStr">
        <is>
          <t>V18-AUX-F1-OOS-RMSE-ECM</t>
        </is>
      </c>
      <c r="B40" s="2" t="inlineStr">
        <is>
          <t>RMSE fuera de muestra a un paso del modelo F1-ECM (precio real, trimestral): 1,4 % (variación trimestral del precio real) (1999T1-2026T2; base:p_tasado (MIVAU, valor tasado nacional) hasta 2026T2; base:deflactor hasta 2026T2; base:renta_hog_real (INE CNT; cálculo propio) hasta 2026T2; base:tipo_hip_real_bde hasta 2026T2; base:pob_total (INE ECP; 44 trimestres interpolados 1999-2020); output/v18/estimacion/f_conjunto/resultado.json; dato de 2026; C4)</t>
        </is>
      </c>
      <c r="C40" s="2" t="n">
        <v>1.3576</v>
      </c>
      <c r="D40" s="2" t="n"/>
      <c r="E40" s="2" t="n"/>
      <c r="F40" s="2" t="inlineStr">
        <is>
          <t>% (variación trimestral del precio real)</t>
        </is>
      </c>
      <c r="G40" s="2" t="inlineStr">
        <is>
          <t>1999T1-2026T2</t>
        </is>
      </c>
      <c r="H40" s="2" t="inlineStr">
        <is>
          <t>C4 · V18 sin clase propia</t>
        </is>
      </c>
      <c r="I40" s="2" t="inlineStr">
        <is>
          <t>base:p_tasado (MIVAU, valor tasado nacional) hasta 2026T2; base:deflactor hasta 2026T2; base:renta_hog_real (INE CNT; cálculo propio) hasta 2026T2; base:tipo_hip_real_bde hasta 2026T2; base:pob_total (INE ECP; 44 trimestres interpolados 1999-2020); output/v18/estimacion/f_conjunto/resultado.json</t>
        </is>
      </c>
      <c r="J40" s="2" t="inlineStr">
        <is>
          <t>INE</t>
        </is>
      </c>
      <c r="K40" s="3">
        <f>IFERROR(INDEX(fuentes!$B$2:$B$7,MATCH(J40,fuentes!$A$2:$A$7,0)),"—")</f>
        <v/>
      </c>
      <c r="L40" s="2" t="inlineStr">
        <is>
          <t>script de origen: output/v18/f6/hechos.json:V18-AUX-F1-OOS-RMSE-ECM</t>
        </is>
      </c>
      <c r="M40" s="4">
        <f>IF(AND(ISNUMBER(D40),ISNUMBER(E40)),E40-D40,"")</f>
        <v/>
      </c>
      <c r="N40" s="5" t="n"/>
      <c r="O40" s="5" t="n"/>
      <c r="P40" s="5" t="n"/>
    </row>
    <row r="41">
      <c r="A41" s="2" t="inlineStr">
        <is>
          <t>V18-E2-B6-R1CV1</t>
        </is>
      </c>
      <c r="B41" s="2" t="inlineStr">
        <is>
          <t>Coeficiente Reg × Post sobre el log de contratos nuevos por 1.000 hogares inquilinos del Censo 2021 (E2-R1c-v1): -0,03 log (-0,08 a 0,02 log) (2019T1-2022T1; Incasòl, fianzas (Socrata qww9-bvhh, descarga 2026-10-14); BOE-A-2020-11363 (Ley 11/2020 de Cataluña) y cataluna_contencion_rentas_v3.csv (v3); INE, Padrón municipal; IDESCAT (viviendas de uso turístico); INE, Censo 2021 (muestra del 10 %); docs/v18/revision_estimaciones/ronda1_e2_e8.md (ronda 1 del abogado del diablo); dato de 2022; C4)</t>
        </is>
      </c>
      <c r="C41" s="2" t="n">
        <v>-0.031396</v>
      </c>
      <c r="D41" s="2" t="n">
        <v>-0.084619</v>
      </c>
      <c r="E41" s="2" t="n">
        <v>0.021828</v>
      </c>
      <c r="F41" s="2" t="inlineStr">
        <is>
          <t>log</t>
        </is>
      </c>
      <c r="G41" s="2" t="inlineStr">
        <is>
          <t>2019T1-2022T1</t>
        </is>
      </c>
      <c r="H41" s="2" t="inlineStr">
        <is>
          <t>C4 · V18 sin clase propia</t>
        </is>
      </c>
      <c r="I41" s="2" t="inlineStr">
        <is>
          <t>Incasòl, fianzas (Socrata qww9-bvhh, descarga 2026-10-14); BOE-A-2020-11363 (Ley 11/2020 de Cataluña) y cataluna_contencion_rentas_v3.csv (v3); INE, Padrón municipal; IDESCAT (viviendas de uso turístico); INE, Censo 2021 (muestra del 10 %); docs/v18/revision_estimaciones/ronda1_e2_e8.md (ronda 1 del abogado del diablo)</t>
        </is>
      </c>
      <c r="J41" s="2" t="inlineStr">
        <is>
          <t>INE</t>
        </is>
      </c>
      <c r="K41" s="3">
        <f>IFERROR(INDEX(fuentes!$B$2:$B$7,MATCH(J41,fuentes!$A$2:$A$7,0)),"—")</f>
        <v/>
      </c>
      <c r="L41" s="2" t="inlineStr">
        <is>
          <t>script de origen: output/v18/f6/hechos.json:V18-E2-B6-R1CV1</t>
        </is>
      </c>
      <c r="M41" s="4">
        <f>IF(AND(ISNUMBER(D41),ISNUMBER(E41)),E41-D41,"")</f>
        <v/>
      </c>
      <c r="N41" s="5" t="n"/>
      <c r="O41" s="5" t="n"/>
      <c r="P41" s="5" t="n"/>
    </row>
  </sheetData>
  <dataValidations count="1">
    <dataValidation sqref="O2:O41" showDropDown="0" showInputMessage="0" showErrorMessage="0" allowBlank="1" type="list">
      <formula1>"S,N"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organismo</t>
        </is>
      </c>
      <c r="B1" s="6" t="inlineStr">
        <is>
          <t>url</t>
        </is>
      </c>
    </row>
    <row r="2">
      <c r="A2" s="7" t="inlineStr">
        <is>
          <t>Banco de España</t>
        </is>
      </c>
      <c r="B2" s="7" t="inlineStr">
        <is>
          <t>https://www.bde.es/webbe/es/estadisticas/</t>
        </is>
      </c>
    </row>
    <row r="3">
      <c r="A3" s="7" t="inlineStr">
        <is>
          <t>BdE</t>
        </is>
      </c>
      <c r="B3" s="7" t="inlineStr">
        <is>
          <t>https://www.bde.es/webbe/es/estadisticas/</t>
        </is>
      </c>
    </row>
    <row r="4">
      <c r="A4" s="7" t="inlineStr">
        <is>
          <t>INE</t>
        </is>
      </c>
      <c r="B4" s="7" t="inlineStr">
        <is>
          <t>https://www.ine.es</t>
        </is>
      </c>
    </row>
    <row r="5">
      <c r="A5" s="7" t="inlineStr">
        <is>
          <t>Incasòl</t>
        </is>
      </c>
      <c r="B5" s="7" t="inlineStr">
        <is>
          <t>https://analisi.transparenciacatalunya.cat</t>
        </is>
      </c>
    </row>
    <row r="6">
      <c r="A6" s="7" t="inlineStr">
        <is>
          <t>MIVAU</t>
        </is>
      </c>
      <c r="B6" s="7" t="inlineStr">
        <is>
          <t>https://www.mivau.gob.es/el-ministerio/informacion-estadistica</t>
        </is>
      </c>
    </row>
    <row r="7">
      <c r="A7" s="7" t="inlineStr">
        <is>
          <t>propio (elaboración del proyecto)</t>
        </is>
      </c>
      <c r="B7" s="7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Hoja para la revisión externa de la publicación 2.0 (documento final; preparada, sin publicar).</t>
        </is>
      </c>
    </row>
    <row r="2">
      <c r="A2" t="inlineStr">
        <is>
          <t>Una fila por cifra: 40 cifras citadas en el documento final, de output/v5/cifras_clave.csv, estratificadas por capa y por clase V18 (columna «capa»), una por ficha, SEED=20261010.</t>
        </is>
      </c>
    </row>
    <row r="3">
      <c r="A3" t="inlineStr">
        <is>
          <t>Colores: azul = dato fijo copiado de cifras_clave (fuente en la columna «fuente(s)»); negro = cálculo; verde = viene de otra pestaña.</t>
        </is>
      </c>
    </row>
    <row r="4">
      <c r="A4" t="inlineStr">
        <is>
          <t>Rellene solo las tres últimas columnas de «revision». Guía: revision_externa/2_0/guia.md (y guia.pdf).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vivienda-espana-evidencia 2.0 (src/documento_final/revision_externa.py)</dc:creator>
  <dc:title xmlns:dc="http://purl.org/dc/elements/1.1/">Revisión externa: muestra de cifras</dc:title>
  <dcterms:created xmlns:dcterms="http://purl.org/dc/terms/" xmlns:xsi="http://www.w3.org/2001/XMLSchema-instance" xsi:type="dcterms:W3CDTF">2026-10-16T00:00:00Z</dcterms:created>
  <dcterms:modified xmlns:dcterms="http://purl.org/dc/terms/" xmlns:xsi="http://www.w3.org/2001/XMLSchema-instance" xsi:type="dcterms:W3CDTF">2026-10-16T00:00:00Z</dcterms:modified>
</cp:coreProperties>
</file>