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1_poblacion" sheetId="2" state="visible" r:id="rId2"/>
    <sheet xmlns:r="http://schemas.openxmlformats.org/officeDocument/2006/relationships" name="B3_hogares" sheetId="3" state="visible" r:id="rId3"/>
    <sheet xmlns:r="http://schemas.openxmlformats.org/officeDocument/2006/relationships" name="B4_oferta" sheetId="4" state="visible" r:id="rId4"/>
    <sheet xmlns:r="http://schemas.openxmlformats.org/officeDocument/2006/relationships" name="B5_titularidad" sheetId="5" state="visible" r:id="rId5"/>
    <sheet xmlns:r="http://schemas.openxmlformats.org/officeDocument/2006/relationships" name="B6_condiciones" sheetId="6" state="visible" r:id="rId6"/>
    <sheet xmlns:r="http://schemas.openxmlformats.org/officeDocument/2006/relationships" name="B7_turismo" sheetId="7" state="visible" r:id="rId7"/>
    <sheet xmlns:r="http://schemas.openxmlformats.org/officeDocument/2006/relationships" name="Fu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V12 (vínculos a las hojas de cálculo)</t>
        </is>
      </c>
    </row>
    <row r="2">
      <c r="A2" t="inlineStr">
        <is>
          <t>Celdas en verde: vínculos a otras hojas. Descriptivo (C4).</t>
        </is>
      </c>
    </row>
    <row r="4">
      <c r="A4" t="inlineStr">
        <is>
          <t>Crecimiento de la población, último periodo</t>
        </is>
      </c>
      <c r="B4" s="2">
        <f>'B1_poblacion'!D8</f>
        <v/>
      </c>
    </row>
    <row r="5">
      <c r="A5" t="inlineStr">
        <is>
          <t>Saldo con el extranjero, último periodo</t>
        </is>
      </c>
      <c r="B5" s="2">
        <f>'B1_poblacion'!F8</f>
        <v/>
      </c>
    </row>
    <row r="6">
      <c r="A6" t="inlineStr">
        <is>
          <t>Saldo vegetativo, último periodo</t>
        </is>
      </c>
      <c r="B6" s="2">
        <f>'B1_poblacion'!E8</f>
        <v/>
      </c>
    </row>
    <row r="7">
      <c r="A7" t="inlineStr">
        <is>
          <t>Hogares nuevos 2021-2024 (provincias)</t>
        </is>
      </c>
      <c r="B7" s="2">
        <f>SUM('B4_oferta'!B4:B55)</f>
        <v/>
      </c>
    </row>
    <row r="8">
      <c r="A8" t="inlineStr">
        <is>
          <t>Obra nueva neta Catastro 2021-2024 (provincias con dato)</t>
        </is>
      </c>
      <c r="B8" s="2">
        <f>SUM('B4_oferta'!C4:C55)</f>
        <v/>
      </c>
    </row>
    <row r="9">
      <c r="A9" t="inlineStr">
        <is>
          <t>Viviendas de titulares con &gt; 10 (España, %)</t>
        </is>
      </c>
      <c r="B9" s="2">
        <f>'B5_titularidad'!H4</f>
        <v/>
      </c>
    </row>
    <row r="10">
      <c r="A10" t="inlineStr">
        <is>
          <t>Viviendas de personas jurídicas (España, %)</t>
        </is>
      </c>
      <c r="B10" s="2">
        <f>'B5_titularidad'!J4</f>
        <v/>
      </c>
    </row>
    <row r="11">
      <c r="A11" t="inlineStr">
        <is>
          <t>Crecimiento de hogares 2011-2021 (suma de provincias)</t>
        </is>
      </c>
      <c r="B11" s="2">
        <f>SUM('B3_hogares'!G4:G55)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B1_poblacion</t>
        </is>
      </c>
    </row>
    <row r="2">
      <c r="A2" t="inlineStr">
        <is>
          <t>Fuente de las entradas (azul): INE: padrón y censo anual, MNP, EVR/EMCR (output/v12/b1). Cálculos en negro (fórmulas).</t>
        </is>
      </c>
    </row>
    <row r="3">
      <c r="A3" s="1" t="inlineStr">
        <is>
          <t>periodo</t>
        </is>
      </c>
      <c r="B3" s="1" t="inlineStr">
        <is>
          <t>anios</t>
        </is>
      </c>
      <c r="C3" s="1" t="inlineStr">
        <is>
          <t>poblacion_inicio</t>
        </is>
      </c>
      <c r="D3" s="1" t="inlineStr">
        <is>
          <t>crecimiento</t>
        </is>
      </c>
      <c r="E3" s="1" t="inlineStr">
        <is>
          <t>vegetativo</t>
        </is>
      </c>
      <c r="F3" s="1" t="inlineStr">
        <is>
          <t>saldo_exterior</t>
        </is>
      </c>
      <c r="G3" s="1" t="inlineStr">
        <is>
          <t>saldo_interior</t>
        </is>
      </c>
      <c r="H3" s="1" t="inlineStr">
        <is>
          <t>residuo</t>
        </is>
      </c>
      <c r="I3" s="1" t="inlineStr">
        <is>
          <t>saldo_exterior_por_mil_anual</t>
        </is>
      </c>
      <c r="J3" s="1" t="inlineStr">
        <is>
          <t>vegetativo_por_mil_anual</t>
        </is>
      </c>
    </row>
    <row r="4">
      <c r="A4" s="3" t="inlineStr">
        <is>
          <t>2003-2007</t>
        </is>
      </c>
      <c r="B4" s="3" t="n">
        <v>5</v>
      </c>
      <c r="C4" s="3" t="n">
        <v>42717064</v>
      </c>
      <c r="D4" s="3" t="n">
        <v>3440758</v>
      </c>
      <c r="E4" s="3" t="n">
        <v>441232</v>
      </c>
      <c r="F4" s="3" t="n">
        <v>3154542</v>
      </c>
      <c r="G4" s="3" t="n">
        <v>0</v>
      </c>
      <c r="H4" s="4">
        <f>D4-E4-F4-G4</f>
        <v/>
      </c>
      <c r="I4" s="4">
        <f>1000*F4/C4/B4</f>
        <v/>
      </c>
      <c r="J4" s="4">
        <f>1000*E4/C4/B4</f>
        <v/>
      </c>
    </row>
    <row r="5">
      <c r="A5" s="3" t="inlineStr">
        <is>
          <t>2008-2013</t>
        </is>
      </c>
      <c r="B5" s="3" t="n">
        <v>6</v>
      </c>
      <c r="C5" s="3" t="n">
        <v>46157822</v>
      </c>
      <c r="D5" s="3" t="n">
        <v>613519</v>
      </c>
      <c r="E5" s="3" t="n">
        <v>522433</v>
      </c>
      <c r="F5" s="3" t="n">
        <v>691833</v>
      </c>
      <c r="G5" s="3" t="n">
        <v>0</v>
      </c>
      <c r="H5" s="4">
        <f>D5-E5-F5-G5</f>
        <v/>
      </c>
      <c r="I5" s="4">
        <f>1000*F5/C5/B5</f>
        <v/>
      </c>
      <c r="J5" s="4">
        <f>1000*E5/C5/B5</f>
        <v/>
      </c>
    </row>
    <row r="6">
      <c r="A6" s="3" t="inlineStr">
        <is>
          <t>2014-2019</t>
        </is>
      </c>
      <c r="B6" s="3" t="n">
        <v>6</v>
      </c>
      <c r="C6" s="3" t="n">
        <v>46771341</v>
      </c>
      <c r="D6" s="3" t="n">
        <v>679454</v>
      </c>
      <c r="E6" s="3" t="n">
        <v>-111584</v>
      </c>
      <c r="F6" s="3" t="n">
        <v>1272915</v>
      </c>
      <c r="G6" s="3" t="n">
        <v>0</v>
      </c>
      <c r="H6" s="4">
        <f>D6-E6-F6-G6</f>
        <v/>
      </c>
      <c r="I6" s="4">
        <f>1000*F6/C6/B6</f>
        <v/>
      </c>
      <c r="J6" s="4">
        <f>1000*E6/C6/B6</f>
        <v/>
      </c>
    </row>
    <row r="7">
      <c r="A7" s="3" t="inlineStr">
        <is>
          <t>2020-2021</t>
        </is>
      </c>
      <c r="B7" s="3" t="n">
        <v>2</v>
      </c>
      <c r="C7" s="3" t="n">
        <v>47450795</v>
      </c>
      <c r="D7" s="3" t="n">
        <v>24625</v>
      </c>
      <c r="E7" s="3" t="n">
        <v>-264138</v>
      </c>
      <c r="F7" s="3" t="n">
        <v>443487</v>
      </c>
      <c r="G7" s="3" t="n">
        <v>0</v>
      </c>
      <c r="H7" s="4">
        <f>D7-E7-F7-G7</f>
        <v/>
      </c>
      <c r="I7" s="4">
        <f>1000*F7/C7/B7</f>
        <v/>
      </c>
      <c r="J7" s="4">
        <f>1000*E7/C7/B7</f>
        <v/>
      </c>
    </row>
    <row r="8">
      <c r="A8" s="3" t="inlineStr">
        <is>
          <t>2022-2024</t>
        </is>
      </c>
      <c r="B8" s="3" t="n">
        <v>3</v>
      </c>
      <c r="C8" s="3" t="n">
        <v>47486727</v>
      </c>
      <c r="D8" s="3" t="n">
        <v>1641570</v>
      </c>
      <c r="E8" s="3" t="n">
        <v>-362896</v>
      </c>
      <c r="F8" s="3" t="n">
        <v>1995569</v>
      </c>
      <c r="G8" s="3" t="n">
        <v>0</v>
      </c>
      <c r="H8" s="4">
        <f>D8-E8-F8-G8</f>
        <v/>
      </c>
      <c r="I8" s="4">
        <f>1000*F8/C8/B8</f>
        <v/>
      </c>
      <c r="J8" s="4">
        <f>1000*E8/C8/B8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B3_hogares</t>
        </is>
      </c>
    </row>
    <row r="2">
      <c r="A2" t="inlineStr">
        <is>
          <t>Fuente de las entradas (azul): INE, Censos 2011 y 2021 (microdatos); output/v12/b3. Cálculos en negro (fórmulas).</t>
        </is>
      </c>
    </row>
    <row r="3">
      <c r="A3" s="1" t="inlineStr">
        <is>
          <t>cpro</t>
        </is>
      </c>
      <c r="B3" s="1" t="inlineStr">
        <is>
          <t>hogares_2011</t>
        </is>
      </c>
      <c r="C3" s="1" t="inlineStr">
        <is>
          <t>hogares_2021</t>
        </is>
      </c>
      <c r="D3" s="1" t="inlineStr">
        <is>
          <t>poblacion_A</t>
        </is>
      </c>
      <c r="E3" s="1" t="inlineStr">
        <is>
          <t>estructura_A</t>
        </is>
      </c>
      <c r="F3" s="1" t="inlineStr">
        <is>
          <t>jefatura_A</t>
        </is>
      </c>
      <c r="G3" s="1" t="inlineStr">
        <is>
          <t>crecimiento</t>
        </is>
      </c>
      <c r="H3" s="1" t="inlineStr">
        <is>
          <t>control_suma_A</t>
        </is>
      </c>
      <c r="I3" s="1" t="inlineStr">
        <is>
          <t>pct_jefatura_A</t>
        </is>
      </c>
    </row>
    <row r="4">
      <c r="A4" s="3" t="inlineStr">
        <is>
          <t>01</t>
        </is>
      </c>
      <c r="B4" s="3" t="n">
        <v>135107.1865</v>
      </c>
      <c r="C4" s="3" t="n">
        <v>140218</v>
      </c>
      <c r="D4" s="3" t="n">
        <v>5206.188981</v>
      </c>
      <c r="E4" s="3" t="n">
        <v>3018.194845</v>
      </c>
      <c r="F4" s="3" t="n">
        <v>-3113.570283</v>
      </c>
      <c r="G4" s="4">
        <f>C4-B4</f>
        <v/>
      </c>
      <c r="H4" s="4">
        <f>D4+E4+F4-(C4-B4)</f>
        <v/>
      </c>
      <c r="I4" s="4">
        <f>100*F4/ABS(C4-B4)</f>
        <v/>
      </c>
    </row>
    <row r="5">
      <c r="A5" s="3" t="inlineStr">
        <is>
          <t>02</t>
        </is>
      </c>
      <c r="B5" s="3" t="n">
        <v>149373.2147</v>
      </c>
      <c r="C5" s="3" t="n">
        <v>151262</v>
      </c>
      <c r="D5" s="3" t="n">
        <v>-5878.803183</v>
      </c>
      <c r="E5" s="3" t="n">
        <v>10380.99631</v>
      </c>
      <c r="F5" s="3" t="n">
        <v>-2613.407862</v>
      </c>
      <c r="G5" s="4">
        <f>C5-B5</f>
        <v/>
      </c>
      <c r="H5" s="4">
        <f>D5+E5+F5-(C5-B5)</f>
        <v/>
      </c>
      <c r="I5" s="4">
        <f>100*F5/ABS(C5-B5)</f>
        <v/>
      </c>
    </row>
    <row r="6">
      <c r="A6" s="3" t="inlineStr">
        <is>
          <t>03</t>
        </is>
      </c>
      <c r="B6" s="3" t="n">
        <v>738366.5431</v>
      </c>
      <c r="C6" s="3" t="n">
        <v>754099</v>
      </c>
      <c r="D6" s="3" t="n">
        <v>11614.87636</v>
      </c>
      <c r="E6" s="3" t="n">
        <v>36957.8959</v>
      </c>
      <c r="F6" s="3" t="n">
        <v>-32840.31538</v>
      </c>
      <c r="G6" s="4">
        <f>C6-B6</f>
        <v/>
      </c>
      <c r="H6" s="4">
        <f>D6+E6+F6-(C6-B6)</f>
        <v/>
      </c>
      <c r="I6" s="4">
        <f>100*F6/ABS(C6-B6)</f>
        <v/>
      </c>
    </row>
    <row r="7">
      <c r="A7" s="3" t="inlineStr">
        <is>
          <t>04</t>
        </is>
      </c>
      <c r="B7" s="3" t="n">
        <v>249308.7657</v>
      </c>
      <c r="C7" s="3" t="n">
        <v>275726</v>
      </c>
      <c r="D7" s="3" t="n">
        <v>14426.84881</v>
      </c>
      <c r="E7" s="3" t="n">
        <v>17374.63463</v>
      </c>
      <c r="F7" s="3" t="n">
        <v>-5384.249134</v>
      </c>
      <c r="G7" s="4">
        <f>C7-B7</f>
        <v/>
      </c>
      <c r="H7" s="4">
        <f>D7+E7+F7-(C7-B7)</f>
        <v/>
      </c>
      <c r="I7" s="4">
        <f>100*F7/ABS(C7-B7)</f>
        <v/>
      </c>
    </row>
    <row r="8">
      <c r="A8" s="3" t="inlineStr">
        <is>
          <t>05</t>
        </is>
      </c>
      <c r="B8" s="3" t="n">
        <v>69316.10301000001</v>
      </c>
      <c r="C8" s="3" t="n">
        <v>69768</v>
      </c>
      <c r="D8" s="3" t="n">
        <v>-5286.585283</v>
      </c>
      <c r="E8" s="3" t="n">
        <v>3547.742741</v>
      </c>
      <c r="F8" s="3" t="n">
        <v>2190.739535</v>
      </c>
      <c r="G8" s="4">
        <f>C8-B8</f>
        <v/>
      </c>
      <c r="H8" s="4">
        <f>D8+E8+F8-(C8-B8)</f>
        <v/>
      </c>
      <c r="I8" s="4">
        <f>100*F8/ABS(C8-B8)</f>
        <v/>
      </c>
    </row>
    <row r="9">
      <c r="A9" s="3" t="inlineStr">
        <is>
          <t>06</t>
        </is>
      </c>
      <c r="B9" s="3" t="n">
        <v>259955.1008</v>
      </c>
      <c r="C9" s="3" t="n">
        <v>266157</v>
      </c>
      <c r="D9" s="3" t="n">
        <v>-7644.028411</v>
      </c>
      <c r="E9" s="3" t="n">
        <v>17960.63451</v>
      </c>
      <c r="F9" s="3" t="n">
        <v>-4114.706916</v>
      </c>
      <c r="G9" s="4">
        <f>C9-B9</f>
        <v/>
      </c>
      <c r="H9" s="4">
        <f>D9+E9+F9-(C9-B9)</f>
        <v/>
      </c>
      <c r="I9" s="4">
        <f>100*F9/ABS(C9-B9)</f>
        <v/>
      </c>
    </row>
    <row r="10">
      <c r="A10" s="3" t="inlineStr">
        <is>
          <t>07</t>
        </is>
      </c>
      <c r="B10" s="3" t="n">
        <v>429737.0157</v>
      </c>
      <c r="C10" s="3" t="n">
        <v>441536</v>
      </c>
      <c r="D10" s="3" t="n">
        <v>32219.51887</v>
      </c>
      <c r="E10" s="3" t="n">
        <v>21584.80158</v>
      </c>
      <c r="F10" s="3" t="n">
        <v>-42005.33613</v>
      </c>
      <c r="G10" s="4">
        <f>C10-B10</f>
        <v/>
      </c>
      <c r="H10" s="4">
        <f>D10+E10+F10-(C10-B10)</f>
        <v/>
      </c>
      <c r="I10" s="4">
        <f>100*F10/ABS(C10-B10)</f>
        <v/>
      </c>
    </row>
    <row r="11">
      <c r="A11" s="3" t="inlineStr">
        <is>
          <t>08</t>
        </is>
      </c>
      <c r="B11" s="3" t="n">
        <v>2168607.113</v>
      </c>
      <c r="C11" s="3" t="n">
        <v>2197826</v>
      </c>
      <c r="D11" s="3" t="n">
        <v>62289.14918</v>
      </c>
      <c r="E11" s="3" t="n">
        <v>77450.08374</v>
      </c>
      <c r="F11" s="3" t="n">
        <v>-110520.3459</v>
      </c>
      <c r="G11" s="4">
        <f>C11-B11</f>
        <v/>
      </c>
      <c r="H11" s="4">
        <f>D11+E11+F11-(C11-B11)</f>
        <v/>
      </c>
      <c r="I11" s="4">
        <f>100*F11/ABS(C11-B11)</f>
        <v/>
      </c>
    </row>
    <row r="12">
      <c r="A12" s="3" t="inlineStr">
        <is>
          <t>09</t>
        </is>
      </c>
      <c r="B12" s="3" t="n">
        <v>151831.3254</v>
      </c>
      <c r="C12" s="3" t="n">
        <v>152331</v>
      </c>
      <c r="D12" s="3" t="n">
        <v>-7580.285062</v>
      </c>
      <c r="E12" s="3" t="n">
        <v>7148.601498</v>
      </c>
      <c r="F12" s="3" t="n">
        <v>931.3581913</v>
      </c>
      <c r="G12" s="4">
        <f>C12-B12</f>
        <v/>
      </c>
      <c r="H12" s="4">
        <f>D12+E12+F12-(C12-B12)</f>
        <v/>
      </c>
      <c r="I12" s="4">
        <f>100*F12/ABS(C12-B12)</f>
        <v/>
      </c>
    </row>
    <row r="13">
      <c r="A13" s="3" t="inlineStr">
        <is>
          <t>10</t>
        </is>
      </c>
      <c r="B13" s="3" t="n">
        <v>165024.858</v>
      </c>
      <c r="C13" s="3" t="n">
        <v>168207</v>
      </c>
      <c r="D13" s="3" t="n">
        <v>-8833.603084</v>
      </c>
      <c r="E13" s="3" t="n">
        <v>12692.85833</v>
      </c>
      <c r="F13" s="3" t="n">
        <v>-677.1132065</v>
      </c>
      <c r="G13" s="4">
        <f>C13-B13</f>
        <v/>
      </c>
      <c r="H13" s="4">
        <f>D13+E13+F13-(C13-B13)</f>
        <v/>
      </c>
      <c r="I13" s="4">
        <f>100*F13/ABS(C13-B13)</f>
        <v/>
      </c>
    </row>
    <row r="14">
      <c r="A14" s="3" t="inlineStr">
        <is>
          <t>11</t>
        </is>
      </c>
      <c r="B14" s="3" t="n">
        <v>447974.7377</v>
      </c>
      <c r="C14" s="3" t="n">
        <v>468478</v>
      </c>
      <c r="D14" s="3" t="n">
        <v>2152.797827</v>
      </c>
      <c r="E14" s="3" t="n">
        <v>41318.88752</v>
      </c>
      <c r="F14" s="3" t="n">
        <v>-22968.42308</v>
      </c>
      <c r="G14" s="4">
        <f>C14-B14</f>
        <v/>
      </c>
      <c r="H14" s="4">
        <f>D14+E14+F14-(C14-B14)</f>
        <v/>
      </c>
      <c r="I14" s="4">
        <f>100*F14/ABS(C14-B14)</f>
        <v/>
      </c>
    </row>
    <row r="15">
      <c r="A15" s="3" t="inlineStr">
        <is>
          <t>12</t>
        </is>
      </c>
      <c r="B15" s="3" t="n">
        <v>233871.1608</v>
      </c>
      <c r="C15" s="3" t="n">
        <v>238331</v>
      </c>
      <c r="D15" s="3" t="n">
        <v>-2216.006556</v>
      </c>
      <c r="E15" s="3" t="n">
        <v>12289.14935</v>
      </c>
      <c r="F15" s="3" t="n">
        <v>-5613.303579</v>
      </c>
      <c r="G15" s="4">
        <f>C15-B15</f>
        <v/>
      </c>
      <c r="H15" s="4">
        <f>D15+E15+F15-(C15-B15)</f>
        <v/>
      </c>
      <c r="I15" s="4">
        <f>100*F15/ABS(C15-B15)</f>
        <v/>
      </c>
    </row>
    <row r="16">
      <c r="A16" s="3" t="inlineStr">
        <is>
          <t>13</t>
        </is>
      </c>
      <c r="B16" s="3" t="n">
        <v>198017.0081</v>
      </c>
      <c r="C16" s="3" t="n">
        <v>193882</v>
      </c>
      <c r="D16" s="3" t="n">
        <v>-12421.27983</v>
      </c>
      <c r="E16" s="3" t="n">
        <v>12038.38292</v>
      </c>
      <c r="F16" s="3" t="n">
        <v>-3752.111179</v>
      </c>
      <c r="G16" s="4">
        <f>C16-B16</f>
        <v/>
      </c>
      <c r="H16" s="4">
        <f>D16+E16+F16-(C16-B16)</f>
        <v/>
      </c>
      <c r="I16" s="4">
        <f>100*F16/ABS(C16-B16)</f>
        <v/>
      </c>
    </row>
    <row r="17">
      <c r="A17" s="3" t="inlineStr">
        <is>
          <t>14</t>
        </is>
      </c>
      <c r="B17" s="3" t="n">
        <v>296688.1381</v>
      </c>
      <c r="C17" s="3" t="n">
        <v>299409</v>
      </c>
      <c r="D17" s="3" t="n">
        <v>-10363.1661</v>
      </c>
      <c r="E17" s="3" t="n">
        <v>19968.82818</v>
      </c>
      <c r="F17" s="3" t="n">
        <v>-6884.800172</v>
      </c>
      <c r="G17" s="4">
        <f>C17-B17</f>
        <v/>
      </c>
      <c r="H17" s="4">
        <f>D17+E17+F17-(C17-B17)</f>
        <v/>
      </c>
      <c r="I17" s="4">
        <f>100*F17/ABS(C17-B17)</f>
        <v/>
      </c>
    </row>
    <row r="18">
      <c r="A18" s="3" t="inlineStr">
        <is>
          <t>15</t>
        </is>
      </c>
      <c r="B18" s="3" t="n">
        <v>440350.5688</v>
      </c>
      <c r="C18" s="3" t="n">
        <v>453399</v>
      </c>
      <c r="D18" s="3" t="n">
        <v>-8597.905935999999</v>
      </c>
      <c r="E18" s="3" t="n">
        <v>26109.05535</v>
      </c>
      <c r="F18" s="3" t="n">
        <v>-4462.718188</v>
      </c>
      <c r="G18" s="4">
        <f>C18-B18</f>
        <v/>
      </c>
      <c r="H18" s="4">
        <f>D18+E18+F18-(C18-B18)</f>
        <v/>
      </c>
      <c r="I18" s="4">
        <f>100*F18/ABS(C18-B18)</f>
        <v/>
      </c>
    </row>
    <row r="19">
      <c r="A19" s="3" t="inlineStr">
        <is>
          <t>16</t>
        </is>
      </c>
      <c r="B19" s="3" t="n">
        <v>83350.26536999999</v>
      </c>
      <c r="C19" s="3" t="n">
        <v>80906</v>
      </c>
      <c r="D19" s="3" t="n">
        <v>-6577.941056</v>
      </c>
      <c r="E19" s="3" t="n">
        <v>4534.107714</v>
      </c>
      <c r="F19" s="3" t="n">
        <v>-400.432029</v>
      </c>
      <c r="G19" s="4">
        <f>C19-B19</f>
        <v/>
      </c>
      <c r="H19" s="4">
        <f>D19+E19+F19-(C19-B19)</f>
        <v/>
      </c>
      <c r="I19" s="4">
        <f>100*F19/ABS(C19-B19)</f>
        <v/>
      </c>
    </row>
    <row r="20">
      <c r="A20" s="3" t="inlineStr">
        <is>
          <t>17</t>
        </is>
      </c>
      <c r="B20" s="3" t="n">
        <v>292053.6661</v>
      </c>
      <c r="C20" s="3" t="n">
        <v>298926</v>
      </c>
      <c r="D20" s="3" t="n">
        <v>12880.59653</v>
      </c>
      <c r="E20" s="3" t="n">
        <v>11593.9107</v>
      </c>
      <c r="F20" s="3" t="n">
        <v>-17602.17335</v>
      </c>
      <c r="G20" s="4">
        <f>C20-B20</f>
        <v/>
      </c>
      <c r="H20" s="4">
        <f>D20+E20+F20-(C20-B20)</f>
        <v/>
      </c>
      <c r="I20" s="4">
        <f>100*F20/ABS(C20-B20)</f>
        <v/>
      </c>
    </row>
    <row r="21">
      <c r="A21" s="3" t="inlineStr">
        <is>
          <t>18</t>
        </is>
      </c>
      <c r="B21" s="3" t="n">
        <v>350185.9547</v>
      </c>
      <c r="C21" s="3" t="n">
        <v>368011</v>
      </c>
      <c r="D21" s="3" t="n">
        <v>1644.778714</v>
      </c>
      <c r="E21" s="3" t="n">
        <v>22932.92132</v>
      </c>
      <c r="F21" s="3" t="n">
        <v>-6752.654772</v>
      </c>
      <c r="G21" s="4">
        <f>C21-B21</f>
        <v/>
      </c>
      <c r="H21" s="4">
        <f>D21+E21+F21-(C21-B21)</f>
        <v/>
      </c>
      <c r="I21" s="4">
        <f>100*F21/ABS(C21-B21)</f>
        <v/>
      </c>
    </row>
    <row r="22">
      <c r="A22" s="3" t="inlineStr">
        <is>
          <t>19</t>
        </is>
      </c>
      <c r="B22" s="3" t="n">
        <v>98931.07563000001</v>
      </c>
      <c r="C22" s="3" t="n">
        <v>104311</v>
      </c>
      <c r="D22" s="3" t="n">
        <v>3590.217851</v>
      </c>
      <c r="E22" s="3" t="n">
        <v>4652.180878</v>
      </c>
      <c r="F22" s="3" t="n">
        <v>-2862.474361</v>
      </c>
      <c r="G22" s="4">
        <f>C22-B22</f>
        <v/>
      </c>
      <c r="H22" s="4">
        <f>D22+E22+F22-(C22-B22)</f>
        <v/>
      </c>
      <c r="I22" s="4">
        <f>100*F22/ABS(C22-B22)</f>
        <v/>
      </c>
    </row>
    <row r="23">
      <c r="A23" s="3" t="inlineStr">
        <is>
          <t>20</t>
        </is>
      </c>
      <c r="B23" s="3" t="n">
        <v>286537.4489</v>
      </c>
      <c r="C23" s="3" t="n">
        <v>298410</v>
      </c>
      <c r="D23" s="3" t="n">
        <v>6345.074205</v>
      </c>
      <c r="E23" s="3" t="n">
        <v>7513.616678</v>
      </c>
      <c r="F23" s="3" t="n">
        <v>-1986.139807</v>
      </c>
      <c r="G23" s="4">
        <f>C23-B23</f>
        <v/>
      </c>
      <c r="H23" s="4">
        <f>D23+E23+F23-(C23-B23)</f>
        <v/>
      </c>
      <c r="I23" s="4">
        <f>100*F23/ABS(C23-B23)</f>
        <v/>
      </c>
    </row>
    <row r="24">
      <c r="A24" s="3" t="inlineStr">
        <is>
          <t>21</t>
        </is>
      </c>
      <c r="B24" s="3" t="n">
        <v>189566.3437</v>
      </c>
      <c r="C24" s="3" t="n">
        <v>201365</v>
      </c>
      <c r="D24" s="3" t="n">
        <v>2900.405625</v>
      </c>
      <c r="E24" s="3" t="n">
        <v>13798.10673</v>
      </c>
      <c r="F24" s="3" t="n">
        <v>-4899.856082</v>
      </c>
      <c r="G24" s="4">
        <f>C24-B24</f>
        <v/>
      </c>
      <c r="H24" s="4">
        <f>D24+E24+F24-(C24-B24)</f>
        <v/>
      </c>
      <c r="I24" s="4">
        <f>100*F24/ABS(C24-B24)</f>
        <v/>
      </c>
    </row>
    <row r="25">
      <c r="A25" s="3" t="inlineStr">
        <is>
          <t>22</t>
        </is>
      </c>
      <c r="B25" s="3" t="n">
        <v>89179.94637000001</v>
      </c>
      <c r="C25" s="3" t="n">
        <v>90254</v>
      </c>
      <c r="D25" s="3" t="n">
        <v>-1810.587432</v>
      </c>
      <c r="E25" s="3" t="n">
        <v>1914.200076</v>
      </c>
      <c r="F25" s="3" t="n">
        <v>970.4409896</v>
      </c>
      <c r="G25" s="4">
        <f>C25-B25</f>
        <v/>
      </c>
      <c r="H25" s="4">
        <f>D25+E25+F25-(C25-B25)</f>
        <v/>
      </c>
      <c r="I25" s="4">
        <f>100*F25/ABS(C25-B25)</f>
        <v/>
      </c>
    </row>
    <row r="26">
      <c r="A26" s="3" t="inlineStr">
        <is>
          <t>23</t>
        </is>
      </c>
      <c r="B26" s="3" t="n">
        <v>247993.4588</v>
      </c>
      <c r="C26" s="3" t="n">
        <v>246169</v>
      </c>
      <c r="D26" s="3" t="n">
        <v>-14444.8329</v>
      </c>
      <c r="E26" s="3" t="n">
        <v>17992.93293</v>
      </c>
      <c r="F26" s="3" t="n">
        <v>-5372.558869</v>
      </c>
      <c r="G26" s="4">
        <f>C26-B26</f>
        <v/>
      </c>
      <c r="H26" s="4">
        <f>D26+E26+F26-(C26-B26)</f>
        <v/>
      </c>
      <c r="I26" s="4">
        <f>100*F26/ABS(C26-B26)</f>
        <v/>
      </c>
    </row>
    <row r="27">
      <c r="A27" s="3" t="inlineStr">
        <is>
          <t>24</t>
        </is>
      </c>
      <c r="B27" s="3" t="n">
        <v>206059.7971</v>
      </c>
      <c r="C27" s="3" t="n">
        <v>198576</v>
      </c>
      <c r="D27" s="3" t="n">
        <v>-17857.14164</v>
      </c>
      <c r="E27" s="3" t="n">
        <v>13756.12376</v>
      </c>
      <c r="F27" s="3" t="n">
        <v>-3382.779189</v>
      </c>
      <c r="G27" s="4">
        <f>C27-B27</f>
        <v/>
      </c>
      <c r="H27" s="4">
        <f>D27+E27+F27-(C27-B27)</f>
        <v/>
      </c>
      <c r="I27" s="4">
        <f>100*F27/ABS(C27-B27)</f>
        <v/>
      </c>
    </row>
    <row r="28">
      <c r="A28" s="3" t="inlineStr">
        <is>
          <t>25</t>
        </is>
      </c>
      <c r="B28" s="3" t="n">
        <v>171180.2736</v>
      </c>
      <c r="C28" s="3" t="n">
        <v>169763</v>
      </c>
      <c r="D28" s="3" t="n">
        <v>544.939446</v>
      </c>
      <c r="E28" s="3" t="n">
        <v>5186.40988</v>
      </c>
      <c r="F28" s="3" t="n">
        <v>-7148.622893</v>
      </c>
      <c r="G28" s="4">
        <f>C28-B28</f>
        <v/>
      </c>
      <c r="H28" s="4">
        <f>D28+E28+F28-(C28-B28)</f>
        <v/>
      </c>
      <c r="I28" s="4">
        <f>100*F28/ABS(C28-B28)</f>
        <v/>
      </c>
    </row>
    <row r="29">
      <c r="A29" s="3" t="inlineStr">
        <is>
          <t>26</t>
        </is>
      </c>
      <c r="B29" s="3" t="n">
        <v>129984.0312</v>
      </c>
      <c r="C29" s="3" t="n">
        <v>132241</v>
      </c>
      <c r="D29" s="3" t="n">
        <v>-865.5931064</v>
      </c>
      <c r="E29" s="3" t="n">
        <v>5533.464088</v>
      </c>
      <c r="F29" s="3" t="n">
        <v>-2410.902173</v>
      </c>
      <c r="G29" s="4">
        <f>C29-B29</f>
        <v/>
      </c>
      <c r="H29" s="4">
        <f>D29+E29+F29-(C29-B29)</f>
        <v/>
      </c>
      <c r="I29" s="4">
        <f>100*F29/ABS(C29-B29)</f>
        <v/>
      </c>
    </row>
    <row r="30">
      <c r="A30" s="3" t="inlineStr">
        <is>
          <t>27</t>
        </is>
      </c>
      <c r="B30" s="3" t="n">
        <v>135891.2712</v>
      </c>
      <c r="C30" s="3" t="n">
        <v>137555</v>
      </c>
      <c r="D30" s="3" t="n">
        <v>-8652.848586</v>
      </c>
      <c r="E30" s="3" t="n">
        <v>5704.956069</v>
      </c>
      <c r="F30" s="3" t="n">
        <v>4611.621318</v>
      </c>
      <c r="G30" s="4">
        <f>C30-B30</f>
        <v/>
      </c>
      <c r="H30" s="4">
        <f>D30+E30+F30-(C30-B30)</f>
        <v/>
      </c>
      <c r="I30" s="4">
        <f>100*F30/ABS(C30-B30)</f>
        <v/>
      </c>
    </row>
    <row r="31">
      <c r="A31" s="3" t="inlineStr">
        <is>
          <t>28</t>
        </is>
      </c>
      <c r="B31" s="3" t="n">
        <v>2469378.357</v>
      </c>
      <c r="C31" s="3" t="n">
        <v>2546843</v>
      </c>
      <c r="D31" s="3" t="n">
        <v>114925.2441</v>
      </c>
      <c r="E31" s="3" t="n">
        <v>134979.4674</v>
      </c>
      <c r="F31" s="3" t="n">
        <v>-172440.0686</v>
      </c>
      <c r="G31" s="4">
        <f>C31-B31</f>
        <v/>
      </c>
      <c r="H31" s="4">
        <f>D31+E31+F31-(C31-B31)</f>
        <v/>
      </c>
      <c r="I31" s="4">
        <f>100*F31/ABS(C31-B31)</f>
        <v/>
      </c>
    </row>
    <row r="32">
      <c r="A32" s="3" t="inlineStr">
        <is>
          <t>29</t>
        </is>
      </c>
      <c r="B32" s="3" t="n">
        <v>606351.4544</v>
      </c>
      <c r="C32" s="3" t="n">
        <v>660344</v>
      </c>
      <c r="D32" s="3" t="n">
        <v>38125.29863</v>
      </c>
      <c r="E32" s="3" t="n">
        <v>42846.32064</v>
      </c>
      <c r="F32" s="3" t="n">
        <v>-26979.07365</v>
      </c>
      <c r="G32" s="4">
        <f>C32-B32</f>
        <v/>
      </c>
      <c r="H32" s="4">
        <f>D32+E32+F32-(C32-B32)</f>
        <v/>
      </c>
      <c r="I32" s="4">
        <f>100*F32/ABS(C32-B32)</f>
        <v/>
      </c>
    </row>
    <row r="33">
      <c r="A33" s="3" t="inlineStr">
        <is>
          <t>30</t>
        </is>
      </c>
      <c r="B33" s="3" t="n">
        <v>515367.0665</v>
      </c>
      <c r="C33" s="3" t="n">
        <v>540662</v>
      </c>
      <c r="D33" s="3" t="n">
        <v>17415.84863</v>
      </c>
      <c r="E33" s="3" t="n">
        <v>32944.20245</v>
      </c>
      <c r="F33" s="3" t="n">
        <v>-25065.11763</v>
      </c>
      <c r="G33" s="4">
        <f>C33-B33</f>
        <v/>
      </c>
      <c r="H33" s="4">
        <f>D33+E33+F33-(C33-B33)</f>
        <v/>
      </c>
      <c r="I33" s="4">
        <f>100*F33/ABS(C33-B33)</f>
        <v/>
      </c>
    </row>
    <row r="34">
      <c r="A34" s="3" t="inlineStr">
        <is>
          <t>31</t>
        </is>
      </c>
      <c r="B34" s="3" t="n">
        <v>248596.3297</v>
      </c>
      <c r="C34" s="3" t="n">
        <v>256330</v>
      </c>
      <c r="D34" s="3" t="n">
        <v>8283.560063999999</v>
      </c>
      <c r="E34" s="3" t="n">
        <v>6855.081087</v>
      </c>
      <c r="F34" s="3" t="n">
        <v>-7404.970832</v>
      </c>
      <c r="G34" s="4">
        <f>C34-B34</f>
        <v/>
      </c>
      <c r="H34" s="4">
        <f>D34+E34+F34-(C34-B34)</f>
        <v/>
      </c>
      <c r="I34" s="4">
        <f>100*F34/ABS(C34-B34)</f>
        <v/>
      </c>
    </row>
    <row r="35">
      <c r="A35" s="3" t="inlineStr">
        <is>
          <t>32</t>
        </is>
      </c>
      <c r="B35" s="3" t="n">
        <v>133985.2402</v>
      </c>
      <c r="C35" s="3" t="n">
        <v>133631</v>
      </c>
      <c r="D35" s="3" t="n">
        <v>-9542.866875</v>
      </c>
      <c r="E35" s="3" t="n">
        <v>5614.155412</v>
      </c>
      <c r="F35" s="3" t="n">
        <v>3574.471245</v>
      </c>
      <c r="G35" s="4">
        <f>C35-B35</f>
        <v/>
      </c>
      <c r="H35" s="4">
        <f>D35+E35+F35-(C35-B35)</f>
        <v/>
      </c>
      <c r="I35" s="4">
        <f>100*F35/ABS(C35-B35)</f>
        <v/>
      </c>
    </row>
    <row r="36">
      <c r="A36" s="3" t="inlineStr">
        <is>
          <t>33</t>
        </is>
      </c>
      <c r="B36" s="3" t="n">
        <v>457798.2898</v>
      </c>
      <c r="C36" s="3" t="n">
        <v>446569</v>
      </c>
      <c r="D36" s="3" t="n">
        <v>-26171.39576</v>
      </c>
      <c r="E36" s="3" t="n">
        <v>22602.10162</v>
      </c>
      <c r="F36" s="3" t="n">
        <v>-7659.995614</v>
      </c>
      <c r="G36" s="4">
        <f>C36-B36</f>
        <v/>
      </c>
      <c r="H36" s="4">
        <f>D36+E36+F36-(C36-B36)</f>
        <v/>
      </c>
      <c r="I36" s="4">
        <f>100*F36/ABS(C36-B36)</f>
        <v/>
      </c>
    </row>
    <row r="37">
      <c r="A37" s="3" t="inlineStr">
        <is>
          <t>34</t>
        </is>
      </c>
      <c r="B37" s="3" t="n">
        <v>69196.59507</v>
      </c>
      <c r="C37" s="3" t="n">
        <v>68354</v>
      </c>
      <c r="D37" s="3" t="n">
        <v>-4706.285146</v>
      </c>
      <c r="E37" s="3" t="n">
        <v>4138.591927</v>
      </c>
      <c r="F37" s="3" t="n">
        <v>-274.9018504</v>
      </c>
      <c r="G37" s="4">
        <f>C37-B37</f>
        <v/>
      </c>
      <c r="H37" s="4">
        <f>D37+E37+F37-(C37-B37)</f>
        <v/>
      </c>
      <c r="I37" s="4">
        <f>100*F37/ABS(C37-B37)</f>
        <v/>
      </c>
    </row>
    <row r="38">
      <c r="A38" s="3" t="inlineStr">
        <is>
          <t>35</t>
        </is>
      </c>
      <c r="B38" s="3" t="n">
        <v>409328.8969</v>
      </c>
      <c r="C38" s="3" t="n">
        <v>422911</v>
      </c>
      <c r="D38" s="3" t="n">
        <v>15434.62842</v>
      </c>
      <c r="E38" s="3" t="n">
        <v>42816.43795</v>
      </c>
      <c r="F38" s="3" t="n">
        <v>-44668.96331</v>
      </c>
      <c r="G38" s="4">
        <f>C38-B38</f>
        <v/>
      </c>
      <c r="H38" s="4">
        <f>D38+E38+F38-(C38-B38)</f>
        <v/>
      </c>
      <c r="I38" s="4">
        <f>100*F38/ABS(C38-B38)</f>
        <v/>
      </c>
    </row>
    <row r="39">
      <c r="A39" s="3" t="inlineStr">
        <is>
          <t>36</t>
        </is>
      </c>
      <c r="B39" s="3" t="n">
        <v>349005.4787</v>
      </c>
      <c r="C39" s="3" t="n">
        <v>366506</v>
      </c>
      <c r="D39" s="3" t="n">
        <v>-4841.532451</v>
      </c>
      <c r="E39" s="3" t="n">
        <v>28489.10673</v>
      </c>
      <c r="F39" s="3" t="n">
        <v>-6147.052959</v>
      </c>
      <c r="G39" s="4">
        <f>C39-B39</f>
        <v/>
      </c>
      <c r="H39" s="4">
        <f>D39+E39+F39-(C39-B39)</f>
        <v/>
      </c>
      <c r="I39" s="4">
        <f>100*F39/ABS(C39-B39)</f>
        <v/>
      </c>
    </row>
    <row r="40">
      <c r="A40" s="3" t="inlineStr">
        <is>
          <t>37</t>
        </is>
      </c>
      <c r="B40" s="3" t="n">
        <v>143713.904</v>
      </c>
      <c r="C40" s="3" t="n">
        <v>143233</v>
      </c>
      <c r="D40" s="3" t="n">
        <v>-8786.402065</v>
      </c>
      <c r="E40" s="3" t="n">
        <v>7317.448901</v>
      </c>
      <c r="F40" s="3" t="n">
        <v>988.0491323</v>
      </c>
      <c r="G40" s="4">
        <f>C40-B40</f>
        <v/>
      </c>
      <c r="H40" s="4">
        <f>D40+E40+F40-(C40-B40)</f>
        <v/>
      </c>
      <c r="I40" s="4">
        <f>100*F40/ABS(C40-B40)</f>
        <v/>
      </c>
    </row>
    <row r="41">
      <c r="A41" s="3" t="inlineStr">
        <is>
          <t>38</t>
        </is>
      </c>
      <c r="B41" s="3" t="n">
        <v>380623.6077</v>
      </c>
      <c r="C41" s="3" t="n">
        <v>397432</v>
      </c>
      <c r="D41" s="3" t="n">
        <v>19735.97265</v>
      </c>
      <c r="E41" s="3" t="n">
        <v>30047.64445</v>
      </c>
      <c r="F41" s="3" t="n">
        <v>-32975.22479</v>
      </c>
      <c r="G41" s="4">
        <f>C41-B41</f>
        <v/>
      </c>
      <c r="H41" s="4">
        <f>D41+E41+F41-(C41-B41)</f>
        <v/>
      </c>
      <c r="I41" s="4">
        <f>100*F41/ABS(C41-B41)</f>
        <v/>
      </c>
    </row>
    <row r="42">
      <c r="A42" s="3" t="inlineStr">
        <is>
          <t>39</t>
        </is>
      </c>
      <c r="B42" s="3" t="n">
        <v>236742.9729</v>
      </c>
      <c r="C42" s="3" t="n">
        <v>238230</v>
      </c>
      <c r="D42" s="3" t="n">
        <v>-3688.181591</v>
      </c>
      <c r="E42" s="3" t="n">
        <v>12039.52117</v>
      </c>
      <c r="F42" s="3" t="n">
        <v>-6864.31243</v>
      </c>
      <c r="G42" s="4">
        <f>C42-B42</f>
        <v/>
      </c>
      <c r="H42" s="4">
        <f>D42+E42+F42-(C42-B42)</f>
        <v/>
      </c>
      <c r="I42" s="4">
        <f>100*F42/ABS(C42-B42)</f>
        <v/>
      </c>
    </row>
    <row r="43">
      <c r="A43" s="3" t="inlineStr">
        <is>
          <t>40</t>
        </is>
      </c>
      <c r="B43" s="3" t="n">
        <v>64256.5577</v>
      </c>
      <c r="C43" s="3" t="n">
        <v>63353</v>
      </c>
      <c r="D43" s="3" t="n">
        <v>-3367.956031</v>
      </c>
      <c r="E43" s="3" t="n">
        <v>3457.244074</v>
      </c>
      <c r="F43" s="3" t="n">
        <v>-992.8457484</v>
      </c>
      <c r="G43" s="4">
        <f>C43-B43</f>
        <v/>
      </c>
      <c r="H43" s="4">
        <f>D43+E43+F43-(C43-B43)</f>
        <v/>
      </c>
      <c r="I43" s="4">
        <f>100*F43/ABS(C43-B43)</f>
        <v/>
      </c>
    </row>
    <row r="44">
      <c r="A44" s="3" t="inlineStr">
        <is>
          <t>41</t>
        </is>
      </c>
      <c r="B44" s="3" t="n">
        <v>699153.6429</v>
      </c>
      <c r="C44" s="3" t="n">
        <v>723494</v>
      </c>
      <c r="D44" s="3" t="n">
        <v>5306.18549</v>
      </c>
      <c r="E44" s="3" t="n">
        <v>51614.43413</v>
      </c>
      <c r="F44" s="3" t="n">
        <v>-32580.2625</v>
      </c>
      <c r="G44" s="4">
        <f>C44-B44</f>
        <v/>
      </c>
      <c r="H44" s="4">
        <f>D44+E44+F44-(C44-B44)</f>
        <v/>
      </c>
      <c r="I44" s="4">
        <f>100*F44/ABS(C44-B44)</f>
        <v/>
      </c>
    </row>
    <row r="45">
      <c r="A45" s="3" t="inlineStr">
        <is>
          <t>42</t>
        </is>
      </c>
      <c r="B45" s="3" t="n">
        <v>38273.44661</v>
      </c>
      <c r="C45" s="3" t="n">
        <v>37971</v>
      </c>
      <c r="D45" s="3" t="n">
        <v>-2086.22982</v>
      </c>
      <c r="E45" s="3" t="n">
        <v>1624.922978</v>
      </c>
      <c r="F45" s="3" t="n">
        <v>158.860231</v>
      </c>
      <c r="G45" s="4">
        <f>C45-B45</f>
        <v/>
      </c>
      <c r="H45" s="4">
        <f>D45+E45+F45-(C45-B45)</f>
        <v/>
      </c>
      <c r="I45" s="4">
        <f>100*F45/ABS(C45-B45)</f>
        <v/>
      </c>
    </row>
    <row r="46">
      <c r="A46" s="3" t="inlineStr">
        <is>
          <t>43</t>
        </is>
      </c>
      <c r="B46" s="3" t="n">
        <v>313102.5961</v>
      </c>
      <c r="C46" s="3" t="n">
        <v>322844</v>
      </c>
      <c r="D46" s="3" t="n">
        <v>6104.117583</v>
      </c>
      <c r="E46" s="3" t="n">
        <v>15547.01345</v>
      </c>
      <c r="F46" s="3" t="n">
        <v>-11909.72711</v>
      </c>
      <c r="G46" s="4">
        <f>C46-B46</f>
        <v/>
      </c>
      <c r="H46" s="4">
        <f>D46+E46+F46-(C46-B46)</f>
        <v/>
      </c>
      <c r="I46" s="4">
        <f>100*F46/ABS(C46-B46)</f>
        <v/>
      </c>
    </row>
    <row r="47">
      <c r="A47" s="3" t="inlineStr">
        <is>
          <t>44</t>
        </is>
      </c>
      <c r="B47" s="3" t="n">
        <v>56108.66273</v>
      </c>
      <c r="C47" s="3" t="n">
        <v>54625</v>
      </c>
      <c r="D47" s="3" t="n">
        <v>-3237.990829</v>
      </c>
      <c r="E47" s="3" t="n">
        <v>1906.41486</v>
      </c>
      <c r="F47" s="3" t="n">
        <v>-152.0867582</v>
      </c>
      <c r="G47" s="4">
        <f>C47-B47</f>
        <v/>
      </c>
      <c r="H47" s="4">
        <f>D47+E47+F47-(C47-B47)</f>
        <v/>
      </c>
      <c r="I47" s="4">
        <f>100*F47/ABS(C47-B47)</f>
        <v/>
      </c>
    </row>
    <row r="48">
      <c r="A48" s="3" t="inlineStr">
        <is>
          <t>45</t>
        </is>
      </c>
      <c r="B48" s="3" t="n">
        <v>257844.8252</v>
      </c>
      <c r="C48" s="3" t="n">
        <v>269362</v>
      </c>
      <c r="D48" s="3" t="n">
        <v>2092.395969</v>
      </c>
      <c r="E48" s="3" t="n">
        <v>15397.53751</v>
      </c>
      <c r="F48" s="3" t="n">
        <v>-5972.758679</v>
      </c>
      <c r="G48" s="4">
        <f>C48-B48</f>
        <v/>
      </c>
      <c r="H48" s="4">
        <f>D48+E48+F48-(C48-B48)</f>
        <v/>
      </c>
      <c r="I48" s="4">
        <f>100*F48/ABS(C48-B48)</f>
        <v/>
      </c>
    </row>
    <row r="49">
      <c r="A49" s="3" t="inlineStr">
        <is>
          <t>46</t>
        </is>
      </c>
      <c r="B49" s="3" t="n">
        <v>1014657.842</v>
      </c>
      <c r="C49" s="3" t="n">
        <v>1030071</v>
      </c>
      <c r="D49" s="3" t="n">
        <v>5538.850893</v>
      </c>
      <c r="E49" s="3" t="n">
        <v>54059.25523</v>
      </c>
      <c r="F49" s="3" t="n">
        <v>-44184.94836</v>
      </c>
      <c r="G49" s="4">
        <f>C49-B49</f>
        <v/>
      </c>
      <c r="H49" s="4">
        <f>D49+E49+F49-(C49-B49)</f>
        <v/>
      </c>
      <c r="I49" s="4">
        <f>100*F49/ABS(C49-B49)</f>
        <v/>
      </c>
    </row>
    <row r="50">
      <c r="A50" s="3" t="inlineStr">
        <is>
          <t>47</t>
        </is>
      </c>
      <c r="B50" s="3" t="n">
        <v>215837.7288</v>
      </c>
      <c r="C50" s="3" t="n">
        <v>216117</v>
      </c>
      <c r="D50" s="3" t="n">
        <v>-6514.611666</v>
      </c>
      <c r="E50" s="3" t="n">
        <v>11371.37176</v>
      </c>
      <c r="F50" s="3" t="n">
        <v>-4577.488861</v>
      </c>
      <c r="G50" s="4">
        <f>C50-B50</f>
        <v/>
      </c>
      <c r="H50" s="4">
        <f>D50+E50+F50-(C50-B50)</f>
        <v/>
      </c>
      <c r="I50" s="4">
        <f>100*F50/ABS(C50-B50)</f>
        <v/>
      </c>
    </row>
    <row r="51">
      <c r="A51" s="3" t="inlineStr">
        <is>
          <t>48</t>
        </is>
      </c>
      <c r="B51" s="3" t="n">
        <v>467294.9275</v>
      </c>
      <c r="C51" s="3" t="n">
        <v>480876</v>
      </c>
      <c r="D51" s="3" t="n">
        <v>-2342.415181</v>
      </c>
      <c r="E51" s="3" t="n">
        <v>20232.21236</v>
      </c>
      <c r="F51" s="3" t="n">
        <v>-4308.72473</v>
      </c>
      <c r="G51" s="4">
        <f>C51-B51</f>
        <v/>
      </c>
      <c r="H51" s="4">
        <f>D51+E51+F51-(C51-B51)</f>
        <v/>
      </c>
      <c r="I51" s="4">
        <f>100*F51/ABS(C51-B51)</f>
        <v/>
      </c>
    </row>
    <row r="52">
      <c r="A52" s="3" t="inlineStr">
        <is>
          <t>49</t>
        </is>
      </c>
      <c r="B52" s="3" t="n">
        <v>79480.07419</v>
      </c>
      <c r="C52" s="3" t="n">
        <v>76035</v>
      </c>
      <c r="D52" s="3" t="n">
        <v>-8827.223798999999</v>
      </c>
      <c r="E52" s="3" t="n">
        <v>4209.831692</v>
      </c>
      <c r="F52" s="3" t="n">
        <v>1172.317919</v>
      </c>
      <c r="G52" s="4">
        <f>C52-B52</f>
        <v/>
      </c>
      <c r="H52" s="4">
        <f>D52+E52+F52-(C52-B52)</f>
        <v/>
      </c>
      <c r="I52" s="4">
        <f>100*F52/ABS(C52-B52)</f>
        <v/>
      </c>
    </row>
    <row r="53">
      <c r="A53" s="3" t="inlineStr">
        <is>
          <t>50</t>
        </is>
      </c>
      <c r="B53" s="3" t="n">
        <v>393581.8497</v>
      </c>
      <c r="C53" s="3" t="n">
        <v>395356</v>
      </c>
      <c r="D53" s="3" t="n">
        <v>-482.9483412</v>
      </c>
      <c r="E53" s="3" t="n">
        <v>14704.85306</v>
      </c>
      <c r="F53" s="3" t="n">
        <v>-12447.75438</v>
      </c>
      <c r="G53" s="4">
        <f>C53-B53</f>
        <v/>
      </c>
      <c r="H53" s="4">
        <f>D53+E53+F53-(C53-B53)</f>
        <v/>
      </c>
      <c r="I53" s="4">
        <f>100*F53/ABS(C53-B53)</f>
        <v/>
      </c>
    </row>
    <row r="54">
      <c r="A54" s="3" t="inlineStr">
        <is>
          <t>51</t>
        </is>
      </c>
      <c r="B54" s="3" t="n">
        <v>24903.58255</v>
      </c>
      <c r="C54" s="3" t="n">
        <v>25380</v>
      </c>
      <c r="D54" s="3" t="n">
        <v>-415.1238262</v>
      </c>
      <c r="E54" s="3" t="n">
        <v>1664.806203</v>
      </c>
      <c r="F54" s="3" t="n">
        <v>-773.2649224</v>
      </c>
      <c r="G54" s="4">
        <f>C54-B54</f>
        <v/>
      </c>
      <c r="H54" s="4">
        <f>D54+E54+F54-(C54-B54)</f>
        <v/>
      </c>
      <c r="I54" s="4">
        <f>100*F54/ABS(C54-B54)</f>
        <v/>
      </c>
    </row>
    <row r="55">
      <c r="A55" s="3" t="inlineStr">
        <is>
          <t>52</t>
        </is>
      </c>
      <c r="B55" s="3" t="n">
        <v>24666.01077</v>
      </c>
      <c r="C55" s="3" t="n">
        <v>25578</v>
      </c>
      <c r="D55" s="3" t="n">
        <v>1495.511521</v>
      </c>
      <c r="E55" s="3" t="n">
        <v>1570.693198</v>
      </c>
      <c r="F55" s="3" t="n">
        <v>-2154.215485</v>
      </c>
      <c r="G55" s="4">
        <f>C55-B55</f>
        <v/>
      </c>
      <c r="H55" s="4">
        <f>D55+E55+F55-(C55-B55)</f>
        <v/>
      </c>
      <c r="I55" s="4">
        <f>100*F55/ABS(C55-B55)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B4_oferta</t>
        </is>
      </c>
    </row>
    <row r="2">
      <c r="A2" t="inlineStr">
        <is>
          <t>Fuente de las entradas (azul): INE ECP (hogares); Catastro URBANA; MIVAU (output/v12/b4). Cálculos en negro (fórmulas).</t>
        </is>
      </c>
    </row>
    <row r="3">
      <c r="A3" s="1" t="inlineStr">
        <is>
          <t>cpro</t>
        </is>
      </c>
      <c r="B3" s="1" t="inlineStr">
        <is>
          <t>hogares_nuevos_ecp</t>
        </is>
      </c>
      <c r="C3" s="1" t="inlineStr">
        <is>
          <t>obra_neta_catastro</t>
        </is>
      </c>
      <c r="D3" s="1" t="inlineStr">
        <is>
          <t>terminadas_mivau</t>
        </is>
      </c>
      <c r="E3" s="1" t="inlineStr">
        <is>
          <t>ratio_catastro_hogares</t>
        </is>
      </c>
      <c r="F3" s="1" t="inlineStr">
        <is>
          <t>ratio_mivau_hogares</t>
        </is>
      </c>
      <c r="G3" s="1" t="inlineStr">
        <is>
          <t>diferencia_catastro_mivau_pct</t>
        </is>
      </c>
    </row>
    <row r="4">
      <c r="A4" s="3" t="inlineStr">
        <is>
          <t>01</t>
        </is>
      </c>
      <c r="B4" s="3" t="n">
        <v>5562</v>
      </c>
      <c r="C4" s="3" t="n"/>
      <c r="D4" s="3" t="n">
        <v>2930</v>
      </c>
      <c r="E4" s="4">
        <f>IF(AND(ISNUMBER(C4),B4&gt;0),C4/B4,"")</f>
        <v/>
      </c>
      <c r="F4" s="4">
        <f>IF(AND(ISNUMBER(D4),B4&gt;0),D4/B4,"")</f>
        <v/>
      </c>
      <c r="G4" s="4">
        <f>IF(AND(ISNUMBER(C4),ISNUMBER(D4),D4&gt;0),100*(C4/D4-1),"")</f>
        <v/>
      </c>
    </row>
    <row r="5">
      <c r="A5" s="3" t="inlineStr">
        <is>
          <t>02</t>
        </is>
      </c>
      <c r="B5" s="3" t="n">
        <v>5944</v>
      </c>
      <c r="C5" s="3" t="n">
        <v>2103</v>
      </c>
      <c r="D5" s="3" t="n">
        <v>3042</v>
      </c>
      <c r="E5" s="4">
        <f>IF(AND(ISNUMBER(C5),B5&gt;0),C5/B5,"")</f>
        <v/>
      </c>
      <c r="F5" s="4">
        <f>IF(AND(ISNUMBER(D5),B5&gt;0),D5/B5,"")</f>
        <v/>
      </c>
      <c r="G5" s="4">
        <f>IF(AND(ISNUMBER(C5),ISNUMBER(D5),D5&gt;0),100*(C5/D5-1),"")</f>
        <v/>
      </c>
    </row>
    <row r="6">
      <c r="A6" s="3" t="inlineStr">
        <is>
          <t>03</t>
        </is>
      </c>
      <c r="B6" s="3" t="n">
        <v>64333</v>
      </c>
      <c r="C6" s="3" t="n">
        <v>21022</v>
      </c>
      <c r="D6" s="3" t="n">
        <v>18551</v>
      </c>
      <c r="E6" s="4">
        <f>IF(AND(ISNUMBER(C6),B6&gt;0),C6/B6,"")</f>
        <v/>
      </c>
      <c r="F6" s="4">
        <f>IF(AND(ISNUMBER(D6),B6&gt;0),D6/B6,"")</f>
        <v/>
      </c>
      <c r="G6" s="4">
        <f>IF(AND(ISNUMBER(C6),ISNUMBER(D6),D6&gt;0),100*(C6/D6-1),"")</f>
        <v/>
      </c>
    </row>
    <row r="7">
      <c r="A7" s="3" t="inlineStr">
        <is>
          <t>04</t>
        </is>
      </c>
      <c r="B7" s="3" t="n">
        <v>19868</v>
      </c>
      <c r="C7" s="3" t="n">
        <v>4100</v>
      </c>
      <c r="D7" s="3" t="n">
        <v>4278</v>
      </c>
      <c r="E7" s="4">
        <f>IF(AND(ISNUMBER(C7),B7&gt;0),C7/B7,"")</f>
        <v/>
      </c>
      <c r="F7" s="4">
        <f>IF(AND(ISNUMBER(D7),B7&gt;0),D7/B7,"")</f>
        <v/>
      </c>
      <c r="G7" s="4">
        <f>IF(AND(ISNUMBER(C7),ISNUMBER(D7),D7&gt;0),100*(C7/D7-1),"")</f>
        <v/>
      </c>
    </row>
    <row r="8">
      <c r="A8" s="3" t="inlineStr">
        <is>
          <t>05</t>
        </is>
      </c>
      <c r="B8" s="3" t="n">
        <v>2103</v>
      </c>
      <c r="C8" s="3" t="n">
        <v>1154</v>
      </c>
      <c r="D8" s="3" t="n">
        <v>1022</v>
      </c>
      <c r="E8" s="4">
        <f>IF(AND(ISNUMBER(C8),B8&gt;0),C8/B8,"")</f>
        <v/>
      </c>
      <c r="F8" s="4">
        <f>IF(AND(ISNUMBER(D8),B8&gt;0),D8/B8,"")</f>
        <v/>
      </c>
      <c r="G8" s="4">
        <f>IF(AND(ISNUMBER(C8),ISNUMBER(D8),D8&gt;0),100*(C8/D8-1),"")</f>
        <v/>
      </c>
    </row>
    <row r="9">
      <c r="A9" s="3" t="inlineStr">
        <is>
          <t>06</t>
        </is>
      </c>
      <c r="B9" s="3" t="n">
        <v>7901</v>
      </c>
      <c r="C9" s="3" t="n">
        <v>5467</v>
      </c>
      <c r="D9" s="3" t="n">
        <v>2959</v>
      </c>
      <c r="E9" s="4">
        <f>IF(AND(ISNUMBER(C9),B9&gt;0),C9/B9,"")</f>
        <v/>
      </c>
      <c r="F9" s="4">
        <f>IF(AND(ISNUMBER(D9),B9&gt;0),D9/B9,"")</f>
        <v/>
      </c>
      <c r="G9" s="4">
        <f>IF(AND(ISNUMBER(C9),ISNUMBER(D9),D9&gt;0),100*(C9/D9-1),"")</f>
        <v/>
      </c>
    </row>
    <row r="10">
      <c r="A10" s="3" t="inlineStr">
        <is>
          <t>07</t>
        </is>
      </c>
      <c r="B10" s="3" t="n">
        <v>24612</v>
      </c>
      <c r="C10" s="3" t="n">
        <v>10623</v>
      </c>
      <c r="D10" s="3" t="n">
        <v>12047</v>
      </c>
      <c r="E10" s="4">
        <f>IF(AND(ISNUMBER(C10),B10&gt;0),C10/B10,"")</f>
        <v/>
      </c>
      <c r="F10" s="4">
        <f>IF(AND(ISNUMBER(D10),B10&gt;0),D10/B10,"")</f>
        <v/>
      </c>
      <c r="G10" s="4">
        <f>IF(AND(ISNUMBER(C10),ISNUMBER(D10),D10&gt;0),100*(C10/D10-1),"")</f>
        <v/>
      </c>
    </row>
    <row r="11">
      <c r="A11" s="3" t="inlineStr">
        <is>
          <t>08</t>
        </is>
      </c>
      <c r="B11" s="3" t="n">
        <v>115006</v>
      </c>
      <c r="C11" s="3" t="n">
        <v>42483</v>
      </c>
      <c r="D11" s="3" t="n">
        <v>37533</v>
      </c>
      <c r="E11" s="4">
        <f>IF(AND(ISNUMBER(C11),B11&gt;0),C11/B11,"")</f>
        <v/>
      </c>
      <c r="F11" s="4">
        <f>IF(AND(ISNUMBER(D11),B11&gt;0),D11/B11,"")</f>
        <v/>
      </c>
      <c r="G11" s="4">
        <f>IF(AND(ISNUMBER(C11),ISNUMBER(D11),D11&gt;0),100*(C11/D11-1),"")</f>
        <v/>
      </c>
    </row>
    <row r="12">
      <c r="A12" s="3" t="inlineStr">
        <is>
          <t>09</t>
        </is>
      </c>
      <c r="B12" s="3" t="n">
        <v>6067</v>
      </c>
      <c r="C12" s="3" t="n">
        <v>3162</v>
      </c>
      <c r="D12" s="3" t="n">
        <v>3309</v>
      </c>
      <c r="E12" s="4">
        <f>IF(AND(ISNUMBER(C12),B12&gt;0),C12/B12,"")</f>
        <v/>
      </c>
      <c r="F12" s="4">
        <f>IF(AND(ISNUMBER(D12),B12&gt;0),D12/B12,"")</f>
        <v/>
      </c>
      <c r="G12" s="4">
        <f>IF(AND(ISNUMBER(C12),ISNUMBER(D12),D12&gt;0),100*(C12/D12-1),"")</f>
        <v/>
      </c>
    </row>
    <row r="13">
      <c r="A13" s="3" t="inlineStr">
        <is>
          <t>10</t>
        </is>
      </c>
      <c r="B13" s="3" t="n">
        <v>3730</v>
      </c>
      <c r="C13" s="3" t="n">
        <v>2963</v>
      </c>
      <c r="D13" s="3" t="n">
        <v>3516</v>
      </c>
      <c r="E13" s="4">
        <f>IF(AND(ISNUMBER(C13),B13&gt;0),C13/B13,"")</f>
        <v/>
      </c>
      <c r="F13" s="4">
        <f>IF(AND(ISNUMBER(D13),B13&gt;0),D13/B13,"")</f>
        <v/>
      </c>
      <c r="G13" s="4">
        <f>IF(AND(ISNUMBER(C13),ISNUMBER(D13),D13&gt;0),100*(C13/D13-1),"")</f>
        <v/>
      </c>
    </row>
    <row r="14">
      <c r="A14" s="3" t="inlineStr">
        <is>
          <t>11</t>
        </is>
      </c>
      <c r="B14" s="3" t="n">
        <v>21193</v>
      </c>
      <c r="C14" s="3" t="n">
        <v>11017</v>
      </c>
      <c r="D14" s="3" t="n">
        <v>8254</v>
      </c>
      <c r="E14" s="4">
        <f>IF(AND(ISNUMBER(C14),B14&gt;0),C14/B14,"")</f>
        <v/>
      </c>
      <c r="F14" s="4">
        <f>IF(AND(ISNUMBER(D14),B14&gt;0),D14/B14,"")</f>
        <v/>
      </c>
      <c r="G14" s="4">
        <f>IF(AND(ISNUMBER(C14),ISNUMBER(D14),D14&gt;0),100*(C14/D14-1),"")</f>
        <v/>
      </c>
    </row>
    <row r="15">
      <c r="A15" s="3" t="inlineStr">
        <is>
          <t>12</t>
        </is>
      </c>
      <c r="B15" s="3" t="n">
        <v>17873</v>
      </c>
      <c r="C15" s="3" t="n">
        <v>3968</v>
      </c>
      <c r="D15" s="3" t="n">
        <v>3076</v>
      </c>
      <c r="E15" s="4">
        <f>IF(AND(ISNUMBER(C15),B15&gt;0),C15/B15,"")</f>
        <v/>
      </c>
      <c r="F15" s="4">
        <f>IF(AND(ISNUMBER(D15),B15&gt;0),D15/B15,"")</f>
        <v/>
      </c>
      <c r="G15" s="4">
        <f>IF(AND(ISNUMBER(C15),ISNUMBER(D15),D15&gt;0),100*(C15/D15-1),"")</f>
        <v/>
      </c>
    </row>
    <row r="16">
      <c r="A16" s="3" t="inlineStr">
        <is>
          <t>13</t>
        </is>
      </c>
      <c r="B16" s="3" t="n">
        <v>6677</v>
      </c>
      <c r="C16" s="3" t="n">
        <v>1626</v>
      </c>
      <c r="D16" s="3" t="n">
        <v>3781</v>
      </c>
      <c r="E16" s="4">
        <f>IF(AND(ISNUMBER(C16),B16&gt;0),C16/B16,"")</f>
        <v/>
      </c>
      <c r="F16" s="4">
        <f>IF(AND(ISNUMBER(D16),B16&gt;0),D16/B16,"")</f>
        <v/>
      </c>
      <c r="G16" s="4">
        <f>IF(AND(ISNUMBER(C16),ISNUMBER(D16),D16&gt;0),100*(C16/D16-1),"")</f>
        <v/>
      </c>
    </row>
    <row r="17">
      <c r="A17" s="3" t="inlineStr">
        <is>
          <t>14</t>
        </is>
      </c>
      <c r="B17" s="3" t="n">
        <v>8966</v>
      </c>
      <c r="C17" s="3" t="n">
        <v>7946</v>
      </c>
      <c r="D17" s="3" t="n">
        <v>4555</v>
      </c>
      <c r="E17" s="4">
        <f>IF(AND(ISNUMBER(C17),B17&gt;0),C17/B17,"")</f>
        <v/>
      </c>
      <c r="F17" s="4">
        <f>IF(AND(ISNUMBER(D17),B17&gt;0),D17/B17,"")</f>
        <v/>
      </c>
      <c r="G17" s="4">
        <f>IF(AND(ISNUMBER(C17),ISNUMBER(D17),D17&gt;0),100*(C17/D17-1),"")</f>
        <v/>
      </c>
    </row>
    <row r="18">
      <c r="A18" s="3" t="inlineStr">
        <is>
          <t>15</t>
        </is>
      </c>
      <c r="B18" s="3" t="n">
        <v>19212</v>
      </c>
      <c r="C18" s="3" t="n">
        <v>9511</v>
      </c>
      <c r="D18" s="3" t="n">
        <v>5100</v>
      </c>
      <c r="E18" s="4">
        <f>IF(AND(ISNUMBER(C18),B18&gt;0),C18/B18,"")</f>
        <v/>
      </c>
      <c r="F18" s="4">
        <f>IF(AND(ISNUMBER(D18),B18&gt;0),D18/B18,"")</f>
        <v/>
      </c>
      <c r="G18" s="4">
        <f>IF(AND(ISNUMBER(C18),ISNUMBER(D18),D18&gt;0),100*(C18/D18-1),"")</f>
        <v/>
      </c>
    </row>
    <row r="19">
      <c r="A19" s="3" t="inlineStr">
        <is>
          <t>16</t>
        </is>
      </c>
      <c r="B19" s="3" t="n">
        <v>2744</v>
      </c>
      <c r="C19" s="3" t="n">
        <v>456</v>
      </c>
      <c r="D19" s="3" t="n">
        <v>1166</v>
      </c>
      <c r="E19" s="4">
        <f>IF(AND(ISNUMBER(C19),B19&gt;0),C19/B19,"")</f>
        <v/>
      </c>
      <c r="F19" s="4">
        <f>IF(AND(ISNUMBER(D19),B19&gt;0),D19/B19,"")</f>
        <v/>
      </c>
      <c r="G19" s="4">
        <f>IF(AND(ISNUMBER(C19),ISNUMBER(D19),D19&gt;0),100*(C19/D19-1),"")</f>
        <v/>
      </c>
    </row>
    <row r="20">
      <c r="A20" s="3" t="inlineStr">
        <is>
          <t>17</t>
        </is>
      </c>
      <c r="B20" s="3" t="n">
        <v>20266</v>
      </c>
      <c r="C20" s="3" t="n">
        <v>3370</v>
      </c>
      <c r="D20" s="3" t="n">
        <v>5014</v>
      </c>
      <c r="E20" s="4">
        <f>IF(AND(ISNUMBER(C20),B20&gt;0),C20/B20,"")</f>
        <v/>
      </c>
      <c r="F20" s="4">
        <f>IF(AND(ISNUMBER(D20),B20&gt;0),D20/B20,"")</f>
        <v/>
      </c>
      <c r="G20" s="4">
        <f>IF(AND(ISNUMBER(C20),ISNUMBER(D20),D20&gt;0),100*(C20/D20-1),"")</f>
        <v/>
      </c>
    </row>
    <row r="21">
      <c r="A21" s="3" t="inlineStr">
        <is>
          <t>18</t>
        </is>
      </c>
      <c r="B21" s="3" t="n">
        <v>21104</v>
      </c>
      <c r="C21" s="3" t="n">
        <v>7585</v>
      </c>
      <c r="D21" s="3" t="n">
        <v>6321</v>
      </c>
      <c r="E21" s="4">
        <f>IF(AND(ISNUMBER(C21),B21&gt;0),C21/B21,"")</f>
        <v/>
      </c>
      <c r="F21" s="4">
        <f>IF(AND(ISNUMBER(D21),B21&gt;0),D21/B21,"")</f>
        <v/>
      </c>
      <c r="G21" s="4">
        <f>IF(AND(ISNUMBER(C21),ISNUMBER(D21),D21&gt;0),100*(C21/D21-1),"")</f>
        <v/>
      </c>
    </row>
    <row r="22">
      <c r="A22" s="3" t="inlineStr">
        <is>
          <t>19</t>
        </is>
      </c>
      <c r="B22" s="3" t="n">
        <v>8252</v>
      </c>
      <c r="C22" s="3" t="n">
        <v>2652</v>
      </c>
      <c r="D22" s="3" t="n">
        <v>4353</v>
      </c>
      <c r="E22" s="4">
        <f>IF(AND(ISNUMBER(C22),B22&gt;0),C22/B22,"")</f>
        <v/>
      </c>
      <c r="F22" s="4">
        <f>IF(AND(ISNUMBER(D22),B22&gt;0),D22/B22,"")</f>
        <v/>
      </c>
      <c r="G22" s="4">
        <f>IF(AND(ISNUMBER(C22),ISNUMBER(D22),D22&gt;0),100*(C22/D22-1),"")</f>
        <v/>
      </c>
    </row>
    <row r="23">
      <c r="A23" s="3" t="inlineStr">
        <is>
          <t>20</t>
        </is>
      </c>
      <c r="B23" s="3" t="n">
        <v>8777</v>
      </c>
      <c r="C23" s="3" t="n"/>
      <c r="D23" s="3" t="n">
        <v>6495</v>
      </c>
      <c r="E23" s="4">
        <f>IF(AND(ISNUMBER(C23),B23&gt;0),C23/B23,"")</f>
        <v/>
      </c>
      <c r="F23" s="4">
        <f>IF(AND(ISNUMBER(D23),B23&gt;0),D23/B23,"")</f>
        <v/>
      </c>
      <c r="G23" s="4">
        <f>IF(AND(ISNUMBER(C23),ISNUMBER(D23),D23&gt;0),100*(C23/D23-1),"")</f>
        <v/>
      </c>
    </row>
    <row r="24">
      <c r="A24" s="3" t="inlineStr">
        <is>
          <t>21</t>
        </is>
      </c>
      <c r="B24" s="3" t="n">
        <v>8537</v>
      </c>
      <c r="C24" s="3" t="n">
        <v>3981</v>
      </c>
      <c r="D24" s="3" t="n">
        <v>3241</v>
      </c>
      <c r="E24" s="4">
        <f>IF(AND(ISNUMBER(C24),B24&gt;0),C24/B24,"")</f>
        <v/>
      </c>
      <c r="F24" s="4">
        <f>IF(AND(ISNUMBER(D24),B24&gt;0),D24/B24,"")</f>
        <v/>
      </c>
      <c r="G24" s="4">
        <f>IF(AND(ISNUMBER(C24),ISNUMBER(D24),D24&gt;0),100*(C24/D24-1),"")</f>
        <v/>
      </c>
    </row>
    <row r="25">
      <c r="A25" s="3" t="inlineStr">
        <is>
          <t>22</t>
        </is>
      </c>
      <c r="B25" s="3" t="n">
        <v>3978</v>
      </c>
      <c r="C25" s="3" t="n">
        <v>1373</v>
      </c>
      <c r="D25" s="3" t="n">
        <v>1886</v>
      </c>
      <c r="E25" s="4">
        <f>IF(AND(ISNUMBER(C25),B25&gt;0),C25/B25,"")</f>
        <v/>
      </c>
      <c r="F25" s="4">
        <f>IF(AND(ISNUMBER(D25),B25&gt;0),D25/B25,"")</f>
        <v/>
      </c>
      <c r="G25" s="4">
        <f>IF(AND(ISNUMBER(C25),ISNUMBER(D25),D25&gt;0),100*(C25/D25-1),"")</f>
        <v/>
      </c>
    </row>
    <row r="26">
      <c r="A26" s="3" t="inlineStr">
        <is>
          <t>23</t>
        </is>
      </c>
      <c r="B26" s="3" t="n">
        <v>5999</v>
      </c>
      <c r="C26" s="3" t="n">
        <v>2348</v>
      </c>
      <c r="D26" s="3" t="n">
        <v>2511</v>
      </c>
      <c r="E26" s="4">
        <f>IF(AND(ISNUMBER(C26),B26&gt;0),C26/B26,"")</f>
        <v/>
      </c>
      <c r="F26" s="4">
        <f>IF(AND(ISNUMBER(D26),B26&gt;0),D26/B26,"")</f>
        <v/>
      </c>
      <c r="G26" s="4">
        <f>IF(AND(ISNUMBER(C26),ISNUMBER(D26),D26&gt;0),100*(C26/D26-1),"")</f>
        <v/>
      </c>
    </row>
    <row r="27">
      <c r="A27" s="3" t="inlineStr">
        <is>
          <t>24</t>
        </is>
      </c>
      <c r="B27" s="3" t="n">
        <v>4236</v>
      </c>
      <c r="C27" s="3" t="n">
        <v>2094</v>
      </c>
      <c r="D27" s="3" t="n">
        <v>1768</v>
      </c>
      <c r="E27" s="4">
        <f>IF(AND(ISNUMBER(C27),B27&gt;0),C27/B27,"")</f>
        <v/>
      </c>
      <c r="F27" s="4">
        <f>IF(AND(ISNUMBER(D27),B27&gt;0),D27/B27,"")</f>
        <v/>
      </c>
      <c r="G27" s="4">
        <f>IF(AND(ISNUMBER(C27),ISNUMBER(D27),D27&gt;0),100*(C27/D27-1),"")</f>
        <v/>
      </c>
    </row>
    <row r="28">
      <c r="A28" s="3" t="inlineStr">
        <is>
          <t>25</t>
        </is>
      </c>
      <c r="B28" s="3" t="n">
        <v>9011</v>
      </c>
      <c r="C28" s="3" t="n">
        <v>2675</v>
      </c>
      <c r="D28" s="3" t="n">
        <v>2298</v>
      </c>
      <c r="E28" s="4">
        <f>IF(AND(ISNUMBER(C28),B28&gt;0),C28/B28,"")</f>
        <v/>
      </c>
      <c r="F28" s="4">
        <f>IF(AND(ISNUMBER(D28),B28&gt;0),D28/B28,"")</f>
        <v/>
      </c>
      <c r="G28" s="4">
        <f>IF(AND(ISNUMBER(C28),ISNUMBER(D28),D28&gt;0),100*(C28/D28-1),"")</f>
        <v/>
      </c>
    </row>
    <row r="29">
      <c r="A29" s="3" t="inlineStr">
        <is>
          <t>26</t>
        </is>
      </c>
      <c r="B29" s="3" t="n">
        <v>5779</v>
      </c>
      <c r="C29" s="3" t="n">
        <v>1898</v>
      </c>
      <c r="D29" s="3" t="n">
        <v>3614</v>
      </c>
      <c r="E29" s="4">
        <f>IF(AND(ISNUMBER(C29),B29&gt;0),C29/B29,"")</f>
        <v/>
      </c>
      <c r="F29" s="4">
        <f>IF(AND(ISNUMBER(D29),B29&gt;0),D29/B29,"")</f>
        <v/>
      </c>
      <c r="G29" s="4">
        <f>IF(AND(ISNUMBER(C29),ISNUMBER(D29),D29&gt;0),100*(C29/D29-1),"")</f>
        <v/>
      </c>
    </row>
    <row r="30">
      <c r="A30" s="3" t="inlineStr">
        <is>
          <t>27</t>
        </is>
      </c>
      <c r="B30" s="3" t="n">
        <v>3566</v>
      </c>
      <c r="C30" s="3" t="n">
        <v>85</v>
      </c>
      <c r="D30" s="3" t="n">
        <v>889</v>
      </c>
      <c r="E30" s="4">
        <f>IF(AND(ISNUMBER(C30),B30&gt;0),C30/B30,"")</f>
        <v/>
      </c>
      <c r="F30" s="4">
        <f>IF(AND(ISNUMBER(D30),B30&gt;0),D30/B30,"")</f>
        <v/>
      </c>
      <c r="G30" s="4">
        <f>IF(AND(ISNUMBER(C30),ISNUMBER(D30),D30&gt;0),100*(C30/D30-1),"")</f>
        <v/>
      </c>
    </row>
    <row r="31">
      <c r="A31" s="3" t="inlineStr">
        <is>
          <t>28</t>
        </is>
      </c>
      <c r="B31" s="3" t="n">
        <v>161957</v>
      </c>
      <c r="C31" s="3" t="n">
        <v>73931</v>
      </c>
      <c r="D31" s="3" t="n">
        <v>79010</v>
      </c>
      <c r="E31" s="4">
        <f>IF(AND(ISNUMBER(C31),B31&gt;0),C31/B31,"")</f>
        <v/>
      </c>
      <c r="F31" s="4">
        <f>IF(AND(ISNUMBER(D31),B31&gt;0),D31/B31,"")</f>
        <v/>
      </c>
      <c r="G31" s="4">
        <f>IF(AND(ISNUMBER(C31),ISNUMBER(D31),D31&gt;0),100*(C31/D31-1),"")</f>
        <v/>
      </c>
    </row>
    <row r="32">
      <c r="A32" s="3" t="inlineStr">
        <is>
          <t>29</t>
        </is>
      </c>
      <c r="B32" s="3" t="n">
        <v>46567</v>
      </c>
      <c r="C32" s="3" t="n">
        <v>22451</v>
      </c>
      <c r="D32" s="3" t="n">
        <v>23057</v>
      </c>
      <c r="E32" s="4">
        <f>IF(AND(ISNUMBER(C32),B32&gt;0),C32/B32,"")</f>
        <v/>
      </c>
      <c r="F32" s="4">
        <f>IF(AND(ISNUMBER(D32),B32&gt;0),D32/B32,"")</f>
        <v/>
      </c>
      <c r="G32" s="4">
        <f>IF(AND(ISNUMBER(C32),ISNUMBER(D32),D32&gt;0),100*(C32/D32-1),"")</f>
        <v/>
      </c>
    </row>
    <row r="33">
      <c r="A33" s="3" t="inlineStr">
        <is>
          <t>30</t>
        </is>
      </c>
      <c r="B33" s="3" t="n">
        <v>39233</v>
      </c>
      <c r="C33" s="3" t="n">
        <v>7683</v>
      </c>
      <c r="D33" s="3" t="n">
        <v>9090</v>
      </c>
      <c r="E33" s="4">
        <f>IF(AND(ISNUMBER(C33),B33&gt;0),C33/B33,"")</f>
        <v/>
      </c>
      <c r="F33" s="4">
        <f>IF(AND(ISNUMBER(D33),B33&gt;0),D33/B33,"")</f>
        <v/>
      </c>
      <c r="G33" s="4">
        <f>IF(AND(ISNUMBER(C33),ISNUMBER(D33),D33&gt;0),100*(C33/D33-1),"")</f>
        <v/>
      </c>
    </row>
    <row r="34">
      <c r="A34" s="3" t="inlineStr">
        <is>
          <t>31</t>
        </is>
      </c>
      <c r="B34" s="3" t="n">
        <v>13534</v>
      </c>
      <c r="C34" s="3" t="n"/>
      <c r="D34" s="3" t="n">
        <v>9383</v>
      </c>
      <c r="E34" s="4">
        <f>IF(AND(ISNUMBER(C34),B34&gt;0),C34/B34,"")</f>
        <v/>
      </c>
      <c r="F34" s="4">
        <f>IF(AND(ISNUMBER(D34),B34&gt;0),D34/B34,"")</f>
        <v/>
      </c>
      <c r="G34" s="4">
        <f>IF(AND(ISNUMBER(C34),ISNUMBER(D34),D34&gt;0),100*(C34/D34-1),"")</f>
        <v/>
      </c>
    </row>
    <row r="35">
      <c r="A35" s="3" t="inlineStr">
        <is>
          <t>32</t>
        </is>
      </c>
      <c r="B35" s="3" t="n">
        <v>3113</v>
      </c>
      <c r="C35" s="3" t="n">
        <v>89</v>
      </c>
      <c r="D35" s="3" t="n">
        <v>788</v>
      </c>
      <c r="E35" s="4">
        <f>IF(AND(ISNUMBER(C35),B35&gt;0),C35/B35,"")</f>
        <v/>
      </c>
      <c r="F35" s="4">
        <f>IF(AND(ISNUMBER(D35),B35&gt;0),D35/B35,"")</f>
        <v/>
      </c>
      <c r="G35" s="4">
        <f>IF(AND(ISNUMBER(C35),ISNUMBER(D35),D35&gt;0),100*(C35/D35-1),"")</f>
        <v/>
      </c>
    </row>
    <row r="36">
      <c r="A36" s="3" t="inlineStr">
        <is>
          <t>33</t>
        </is>
      </c>
      <c r="B36" s="3" t="n">
        <v>10768</v>
      </c>
      <c r="C36" s="3" t="n">
        <v>8014</v>
      </c>
      <c r="D36" s="3" t="n">
        <v>7488</v>
      </c>
      <c r="E36" s="4">
        <f>IF(AND(ISNUMBER(C36),B36&gt;0),C36/B36,"")</f>
        <v/>
      </c>
      <c r="F36" s="4">
        <f>IF(AND(ISNUMBER(D36),B36&gt;0),D36/B36,"")</f>
        <v/>
      </c>
      <c r="G36" s="4">
        <f>IF(AND(ISNUMBER(C36),ISNUMBER(D36),D36&gt;0),100*(C36/D36-1),"")</f>
        <v/>
      </c>
    </row>
    <row r="37">
      <c r="A37" s="3" t="inlineStr">
        <is>
          <t>34</t>
        </is>
      </c>
      <c r="B37" s="3" t="n">
        <v>1474</v>
      </c>
      <c r="C37" s="3" t="n">
        <v>-155</v>
      </c>
      <c r="D37" s="3" t="n">
        <v>1107</v>
      </c>
      <c r="E37" s="4">
        <f>IF(AND(ISNUMBER(C37),B37&gt;0),C37/B37,"")</f>
        <v/>
      </c>
      <c r="F37" s="4">
        <f>IF(AND(ISNUMBER(D37),B37&gt;0),D37/B37,"")</f>
        <v/>
      </c>
      <c r="G37" s="4">
        <f>IF(AND(ISNUMBER(C37),ISNUMBER(D37),D37&gt;0),100*(C37/D37-1),"")</f>
        <v/>
      </c>
    </row>
    <row r="38">
      <c r="A38" s="3" t="inlineStr">
        <is>
          <t>35</t>
        </is>
      </c>
      <c r="B38" s="3" t="n">
        <v>22015</v>
      </c>
      <c r="C38" s="3" t="n">
        <v>11110</v>
      </c>
      <c r="D38" s="3" t="n">
        <v>5845</v>
      </c>
      <c r="E38" s="4">
        <f>IF(AND(ISNUMBER(C38),B38&gt;0),C38/B38,"")</f>
        <v/>
      </c>
      <c r="F38" s="4">
        <f>IF(AND(ISNUMBER(D38),B38&gt;0),D38/B38,"")</f>
        <v/>
      </c>
      <c r="G38" s="4">
        <f>IF(AND(ISNUMBER(C38),ISNUMBER(D38),D38&gt;0),100*(C38/D38-1),"")</f>
        <v/>
      </c>
    </row>
    <row r="39">
      <c r="A39" s="3" t="inlineStr">
        <is>
          <t>36</t>
        </is>
      </c>
      <c r="B39" s="3" t="n">
        <v>11029</v>
      </c>
      <c r="C39" s="3" t="n">
        <v>5963</v>
      </c>
      <c r="D39" s="3" t="n">
        <v>4250</v>
      </c>
      <c r="E39" s="4">
        <f>IF(AND(ISNUMBER(C39),B39&gt;0),C39/B39,"")</f>
        <v/>
      </c>
      <c r="F39" s="4">
        <f>IF(AND(ISNUMBER(D39),B39&gt;0),D39/B39,"")</f>
        <v/>
      </c>
      <c r="G39" s="4">
        <f>IF(AND(ISNUMBER(C39),ISNUMBER(D39),D39&gt;0),100*(C39/D39-1),"")</f>
        <v/>
      </c>
    </row>
    <row r="40">
      <c r="A40" s="3" t="inlineStr">
        <is>
          <t>37</t>
        </is>
      </c>
      <c r="B40" s="3" t="n">
        <v>4749</v>
      </c>
      <c r="C40" s="3" t="n">
        <v>1575</v>
      </c>
      <c r="D40" s="3" t="n">
        <v>1656</v>
      </c>
      <c r="E40" s="4">
        <f>IF(AND(ISNUMBER(C40),B40&gt;0),C40/B40,"")</f>
        <v/>
      </c>
      <c r="F40" s="4">
        <f>IF(AND(ISNUMBER(D40),B40&gt;0),D40/B40,"")</f>
        <v/>
      </c>
      <c r="G40" s="4">
        <f>IF(AND(ISNUMBER(C40),ISNUMBER(D40),D40&gt;0),100*(C40/D40-1),"")</f>
        <v/>
      </c>
    </row>
    <row r="41">
      <c r="A41" s="3" t="inlineStr">
        <is>
          <t>38</t>
        </is>
      </c>
      <c r="B41" s="3" t="n">
        <v>19734</v>
      </c>
      <c r="C41" s="3" t="n">
        <v>7367</v>
      </c>
      <c r="D41" s="3" t="n">
        <v>4944</v>
      </c>
      <c r="E41" s="4">
        <f>IF(AND(ISNUMBER(C41),B41&gt;0),C41/B41,"")</f>
        <v/>
      </c>
      <c r="F41" s="4">
        <f>IF(AND(ISNUMBER(D41),B41&gt;0),D41/B41,"")</f>
        <v/>
      </c>
      <c r="G41" s="4">
        <f>IF(AND(ISNUMBER(C41),ISNUMBER(D41),D41&gt;0),100*(C41/D41-1),"")</f>
        <v/>
      </c>
    </row>
    <row r="42">
      <c r="A42" s="3" t="inlineStr">
        <is>
          <t>39</t>
        </is>
      </c>
      <c r="B42" s="3" t="n">
        <v>8914</v>
      </c>
      <c r="C42" s="3" t="n">
        <v>2830</v>
      </c>
      <c r="D42" s="3" t="n">
        <v>3629</v>
      </c>
      <c r="E42" s="4">
        <f>IF(AND(ISNUMBER(C42),B42&gt;0),C42/B42,"")</f>
        <v/>
      </c>
      <c r="F42" s="4">
        <f>IF(AND(ISNUMBER(D42),B42&gt;0),D42/B42,"")</f>
        <v/>
      </c>
      <c r="G42" s="4">
        <f>IF(AND(ISNUMBER(C42),ISNUMBER(D42),D42&gt;0),100*(C42/D42-1),"")</f>
        <v/>
      </c>
    </row>
    <row r="43">
      <c r="A43" s="3" t="inlineStr">
        <is>
          <t>40</t>
        </is>
      </c>
      <c r="B43" s="3" t="n">
        <v>3098</v>
      </c>
      <c r="C43" s="3" t="n">
        <v>1291</v>
      </c>
      <c r="D43" s="3" t="n">
        <v>1332</v>
      </c>
      <c r="E43" s="4">
        <f>IF(AND(ISNUMBER(C43),B43&gt;0),C43/B43,"")</f>
        <v/>
      </c>
      <c r="F43" s="4">
        <f>IF(AND(ISNUMBER(D43),B43&gt;0),D43/B43,"")</f>
        <v/>
      </c>
      <c r="G43" s="4">
        <f>IF(AND(ISNUMBER(C43),ISNUMBER(D43),D43&gt;0),100*(C43/D43-1),"")</f>
        <v/>
      </c>
    </row>
    <row r="44">
      <c r="A44" s="3" t="inlineStr">
        <is>
          <t>41</t>
        </is>
      </c>
      <c r="B44" s="3" t="n">
        <v>32819</v>
      </c>
      <c r="C44" s="3" t="n">
        <v>17080</v>
      </c>
      <c r="D44" s="3" t="n">
        <v>18191</v>
      </c>
      <c r="E44" s="4">
        <f>IF(AND(ISNUMBER(C44),B44&gt;0),C44/B44,"")</f>
        <v/>
      </c>
      <c r="F44" s="4">
        <f>IF(AND(ISNUMBER(D44),B44&gt;0),D44/B44,"")</f>
        <v/>
      </c>
      <c r="G44" s="4">
        <f>IF(AND(ISNUMBER(C44),ISNUMBER(D44),D44&gt;0),100*(C44/D44-1),"")</f>
        <v/>
      </c>
    </row>
    <row r="45">
      <c r="A45" s="3" t="inlineStr">
        <is>
          <t>42</t>
        </is>
      </c>
      <c r="B45" s="3" t="n">
        <v>1415</v>
      </c>
      <c r="C45" s="3" t="n">
        <v>759</v>
      </c>
      <c r="D45" s="3" t="n">
        <v>1952</v>
      </c>
      <c r="E45" s="4">
        <f>IF(AND(ISNUMBER(C45),B45&gt;0),C45/B45,"")</f>
        <v/>
      </c>
      <c r="F45" s="4">
        <f>IF(AND(ISNUMBER(D45),B45&gt;0),D45/B45,"")</f>
        <v/>
      </c>
      <c r="G45" s="4">
        <f>IF(AND(ISNUMBER(C45),ISNUMBER(D45),D45&gt;0),100*(C45/D45-1),"")</f>
        <v/>
      </c>
    </row>
    <row r="46">
      <c r="A46" s="3" t="inlineStr">
        <is>
          <t>43</t>
        </is>
      </c>
      <c r="B46" s="3" t="n">
        <v>26694</v>
      </c>
      <c r="C46" s="3" t="n">
        <v>5062</v>
      </c>
      <c r="D46" s="3" t="n">
        <v>4122</v>
      </c>
      <c r="E46" s="4">
        <f>IF(AND(ISNUMBER(C46),B46&gt;0),C46/B46,"")</f>
        <v/>
      </c>
      <c r="F46" s="4">
        <f>IF(AND(ISNUMBER(D46),B46&gt;0),D46/B46,"")</f>
        <v/>
      </c>
      <c r="G46" s="4">
        <f>IF(AND(ISNUMBER(C46),ISNUMBER(D46),D46&gt;0),100*(C46/D46-1),"")</f>
        <v/>
      </c>
    </row>
    <row r="47">
      <c r="A47" s="3" t="inlineStr">
        <is>
          <t>44</t>
        </is>
      </c>
      <c r="B47" s="3" t="n">
        <v>1919</v>
      </c>
      <c r="C47" s="3" t="n">
        <v>540</v>
      </c>
      <c r="D47" s="3" t="n">
        <v>1137</v>
      </c>
      <c r="E47" s="4">
        <f>IF(AND(ISNUMBER(C47),B47&gt;0),C47/B47,"")</f>
        <v/>
      </c>
      <c r="F47" s="4">
        <f>IF(AND(ISNUMBER(D47),B47&gt;0),D47/B47,"")</f>
        <v/>
      </c>
      <c r="G47" s="4">
        <f>IF(AND(ISNUMBER(C47),ISNUMBER(D47),D47&gt;0),100*(C47/D47-1),"")</f>
        <v/>
      </c>
    </row>
    <row r="48">
      <c r="A48" s="3" t="inlineStr">
        <is>
          <t>45</t>
        </is>
      </c>
      <c r="B48" s="3" t="n">
        <v>20350</v>
      </c>
      <c r="C48" s="3" t="n">
        <v>4453</v>
      </c>
      <c r="D48" s="3" t="n">
        <v>5670</v>
      </c>
      <c r="E48" s="4">
        <f>IF(AND(ISNUMBER(C48),B48&gt;0),C48/B48,"")</f>
        <v/>
      </c>
      <c r="F48" s="4">
        <f>IF(AND(ISNUMBER(D48),B48&gt;0),D48/B48,"")</f>
        <v/>
      </c>
      <c r="G48" s="4">
        <f>IF(AND(ISNUMBER(C48),ISNUMBER(D48),D48&gt;0),100*(C48/D48-1),"")</f>
        <v/>
      </c>
    </row>
    <row r="49">
      <c r="A49" s="3" t="inlineStr">
        <is>
          <t>46</t>
        </is>
      </c>
      <c r="B49" s="3" t="n">
        <v>73004</v>
      </c>
      <c r="C49" s="3" t="n">
        <v>19369</v>
      </c>
      <c r="D49" s="3" t="n">
        <v>15961</v>
      </c>
      <c r="E49" s="4">
        <f>IF(AND(ISNUMBER(C49),B49&gt;0),C49/B49,"")</f>
        <v/>
      </c>
      <c r="F49" s="4">
        <f>IF(AND(ISNUMBER(D49),B49&gt;0),D49/B49,"")</f>
        <v/>
      </c>
      <c r="G49" s="4">
        <f>IF(AND(ISNUMBER(C49),ISNUMBER(D49),D49&gt;0),100*(C49/D49-1),"")</f>
        <v/>
      </c>
    </row>
    <row r="50">
      <c r="A50" s="3" t="inlineStr">
        <is>
          <t>47</t>
        </is>
      </c>
      <c r="B50" s="3" t="n">
        <v>9233</v>
      </c>
      <c r="C50" s="3" t="n">
        <v>4744</v>
      </c>
      <c r="D50" s="3" t="n">
        <v>4999</v>
      </c>
      <c r="E50" s="4">
        <f>IF(AND(ISNUMBER(C50),B50&gt;0),C50/B50,"")</f>
        <v/>
      </c>
      <c r="F50" s="4">
        <f>IF(AND(ISNUMBER(D50),B50&gt;0),D50/B50,"")</f>
        <v/>
      </c>
      <c r="G50" s="4">
        <f>IF(AND(ISNUMBER(C50),ISNUMBER(D50),D50&gt;0),100*(C50/D50-1),"")</f>
        <v/>
      </c>
    </row>
    <row r="51">
      <c r="A51" s="3" t="inlineStr">
        <is>
          <t>48</t>
        </is>
      </c>
      <c r="B51" s="3" t="n">
        <v>16942</v>
      </c>
      <c r="C51" s="3" t="n"/>
      <c r="D51" s="3" t="n">
        <v>8390</v>
      </c>
      <c r="E51" s="4">
        <f>IF(AND(ISNUMBER(C51),B51&gt;0),C51/B51,"")</f>
        <v/>
      </c>
      <c r="F51" s="4">
        <f>IF(AND(ISNUMBER(D51),B51&gt;0),D51/B51,"")</f>
        <v/>
      </c>
      <c r="G51" s="4">
        <f>IF(AND(ISNUMBER(C51),ISNUMBER(D51),D51&gt;0),100*(C51/D51-1),"")</f>
        <v/>
      </c>
    </row>
    <row r="52">
      <c r="A52" s="3" t="inlineStr">
        <is>
          <t>49</t>
        </is>
      </c>
      <c r="B52" s="3" t="n">
        <v>1027</v>
      </c>
      <c r="C52" s="3" t="n">
        <v>-557</v>
      </c>
      <c r="D52" s="3" t="n">
        <v>621</v>
      </c>
      <c r="E52" s="4">
        <f>IF(AND(ISNUMBER(C52),B52&gt;0),C52/B52,"")</f>
        <v/>
      </c>
      <c r="F52" s="4">
        <f>IF(AND(ISNUMBER(D52),B52&gt;0),D52/B52,"")</f>
        <v/>
      </c>
      <c r="G52" s="4">
        <f>IF(AND(ISNUMBER(C52),ISNUMBER(D52),D52&gt;0),100*(C52/D52-1),"")</f>
        <v/>
      </c>
    </row>
    <row r="53">
      <c r="A53" s="3" t="inlineStr">
        <is>
          <t>50</t>
        </is>
      </c>
      <c r="B53" s="3" t="n">
        <v>18493</v>
      </c>
      <c r="C53" s="3" t="n">
        <v>6247</v>
      </c>
      <c r="D53" s="3" t="n">
        <v>7470</v>
      </c>
      <c r="E53" s="4">
        <f>IF(AND(ISNUMBER(C53),B53&gt;0),C53/B53,"")</f>
        <v/>
      </c>
      <c r="F53" s="4">
        <f>IF(AND(ISNUMBER(D53),B53&gt;0),D53/B53,"")</f>
        <v/>
      </c>
      <c r="G53" s="4">
        <f>IF(AND(ISNUMBER(C53),ISNUMBER(D53),D53&gt;0),100*(C53/D53-1),"")</f>
        <v/>
      </c>
    </row>
    <row r="54">
      <c r="A54" s="3" t="inlineStr">
        <is>
          <t>51</t>
        </is>
      </c>
      <c r="B54" s="3" t="n">
        <v>937</v>
      </c>
      <c r="C54" s="3" t="n">
        <v>1083</v>
      </c>
      <c r="D54" s="3" t="n"/>
      <c r="E54" s="4">
        <f>IF(AND(ISNUMBER(C54),B54&gt;0),C54/B54,"")</f>
        <v/>
      </c>
      <c r="F54" s="4">
        <f>IF(AND(ISNUMBER(D54),B54&gt;0),D54/B54,"")</f>
        <v/>
      </c>
      <c r="G54" s="4">
        <f>IF(AND(ISNUMBER(C54),ISNUMBER(D54),D54&gt;0),100*(C54/D54-1),"")</f>
        <v/>
      </c>
    </row>
    <row r="55">
      <c r="A55" s="3" t="inlineStr">
        <is>
          <t>52</t>
        </is>
      </c>
      <c r="B55" s="3" t="n">
        <v>1509</v>
      </c>
      <c r="C55" s="3" t="n">
        <v>1663</v>
      </c>
      <c r="D55" s="3" t="n"/>
      <c r="E55" s="4">
        <f>IF(AND(ISNUMBER(C55),B55&gt;0),C55/B55,"")</f>
        <v/>
      </c>
      <c r="F55" s="4">
        <f>IF(AND(ISNUMBER(D55),B55&gt;0),D55/B55,"")</f>
        <v/>
      </c>
      <c r="G55" s="4">
        <f>IF(AND(ISNUMBER(C55),ISNUMBER(D55),D55&gt;0),100*(C55/D55-1),"")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B5_titularidad</t>
        </is>
      </c>
    </row>
    <row r="2">
      <c r="A2" t="inlineStr">
        <is>
          <t>Fuente de las entradas (azul): Catastro, titularidad (uso residencial; tramos dentro del ámbito); output/v12/b5. Cálculos en negro (fórmulas).</t>
        </is>
      </c>
    </row>
    <row r="3">
      <c r="A3" s="1" t="inlineStr">
        <is>
          <t>nivel</t>
        </is>
      </c>
      <c r="B3" s="1" t="inlineStr">
        <is>
          <t>cod_territorio</t>
        </is>
      </c>
      <c r="C3" s="1" t="inlineStr">
        <is>
          <t>viviendas</t>
        </is>
      </c>
      <c r="D3" s="1" t="inlineStr">
        <is>
          <t>viv_mas10</t>
        </is>
      </c>
      <c r="E3" s="1" t="inlineStr">
        <is>
          <t>viv_mas100</t>
        </is>
      </c>
      <c r="F3" s="1" t="inlineStr">
        <is>
          <t>viv_PJ</t>
        </is>
      </c>
      <c r="G3" s="1" t="inlineStr">
        <is>
          <t>viv_PE</t>
        </is>
      </c>
      <c r="H3" s="1" t="inlineStr">
        <is>
          <t>pct_mas10</t>
        </is>
      </c>
      <c r="I3" s="1" t="inlineStr">
        <is>
          <t>pct_mas100</t>
        </is>
      </c>
      <c r="J3" s="1" t="inlineStr">
        <is>
          <t>pct_PJ</t>
        </is>
      </c>
      <c r="K3" s="1" t="inlineStr">
        <is>
          <t>pct_PE</t>
        </is>
      </c>
    </row>
    <row r="4">
      <c r="A4" s="3" t="inlineStr">
        <is>
          <t>nacional</t>
        </is>
      </c>
      <c r="B4" s="3" t="inlineStr">
        <is>
          <t>00</t>
        </is>
      </c>
      <c r="C4" s="3" t="n">
        <v>24332088</v>
      </c>
      <c r="D4" s="3" t="n">
        <v>1013400</v>
      </c>
      <c r="E4" s="3" t="n">
        <v>500981</v>
      </c>
      <c r="F4" s="3" t="n">
        <v>1115198</v>
      </c>
      <c r="G4" s="3" t="n">
        <v>262394</v>
      </c>
      <c r="H4" s="4">
        <f>100*D4/C4</f>
        <v/>
      </c>
      <c r="I4" s="4">
        <f>100*E4/C4</f>
        <v/>
      </c>
      <c r="J4" s="4">
        <f>100*F4/C4</f>
        <v/>
      </c>
      <c r="K4" s="4">
        <f>100*G4/C4</f>
        <v/>
      </c>
    </row>
    <row r="5">
      <c r="A5" s="3" t="inlineStr">
        <is>
          <t>provincia</t>
        </is>
      </c>
      <c r="B5" s="3" t="inlineStr">
        <is>
          <t>04</t>
        </is>
      </c>
      <c r="C5" s="3" t="n">
        <v>411323</v>
      </c>
      <c r="D5" s="3" t="n">
        <v>20381</v>
      </c>
      <c r="E5" s="3" t="n">
        <v>9595</v>
      </c>
      <c r="F5" s="3" t="n">
        <v>26046</v>
      </c>
      <c r="G5" s="3" t="n">
        <v>4845</v>
      </c>
      <c r="H5" s="4">
        <f>100*D5/C5</f>
        <v/>
      </c>
      <c r="I5" s="4">
        <f>100*E5/C5</f>
        <v/>
      </c>
      <c r="J5" s="4">
        <f>100*F5/C5</f>
        <v/>
      </c>
      <c r="K5" s="4">
        <f>100*G5/C5</f>
        <v/>
      </c>
    </row>
    <row r="6">
      <c r="A6" s="3" t="inlineStr">
        <is>
          <t>provincia</t>
        </is>
      </c>
      <c r="B6" s="3" t="inlineStr">
        <is>
          <t>11</t>
        </is>
      </c>
      <c r="C6" s="3" t="n">
        <v>613368</v>
      </c>
      <c r="D6" s="3" t="n">
        <v>29531</v>
      </c>
      <c r="E6" s="3" t="n">
        <v>21972</v>
      </c>
      <c r="F6" s="3" t="n">
        <v>25423</v>
      </c>
      <c r="G6" s="3" t="n">
        <v>16047</v>
      </c>
      <c r="H6" s="4">
        <f>100*D6/C6</f>
        <v/>
      </c>
      <c r="I6" s="4">
        <f>100*E6/C6</f>
        <v/>
      </c>
      <c r="J6" s="4">
        <f>100*F6/C6</f>
        <v/>
      </c>
      <c r="K6" s="4">
        <f>100*G6/C6</f>
        <v/>
      </c>
    </row>
    <row r="7">
      <c r="A7" s="3" t="inlineStr">
        <is>
          <t>provincia</t>
        </is>
      </c>
      <c r="B7" s="3" t="inlineStr">
        <is>
          <t>14</t>
        </is>
      </c>
      <c r="C7" s="3" t="n">
        <v>405341</v>
      </c>
      <c r="D7" s="3" t="n">
        <v>12593</v>
      </c>
      <c r="E7" s="3" t="n">
        <v>8320</v>
      </c>
      <c r="F7" s="3" t="n">
        <v>10981</v>
      </c>
      <c r="G7" s="3" t="n">
        <v>7374</v>
      </c>
      <c r="H7" s="4">
        <f>100*D7/C7</f>
        <v/>
      </c>
      <c r="I7" s="4">
        <f>100*E7/C7</f>
        <v/>
      </c>
      <c r="J7" s="4">
        <f>100*F7/C7</f>
        <v/>
      </c>
      <c r="K7" s="4">
        <f>100*G7/C7</f>
        <v/>
      </c>
    </row>
    <row r="8">
      <c r="A8" s="3" t="inlineStr">
        <is>
          <t>provincia</t>
        </is>
      </c>
      <c r="B8" s="3" t="inlineStr">
        <is>
          <t>18</t>
        </is>
      </c>
      <c r="C8" s="3" t="n">
        <v>548390</v>
      </c>
      <c r="D8" s="3" t="n">
        <v>19380</v>
      </c>
      <c r="E8" s="3" t="n">
        <v>8622</v>
      </c>
      <c r="F8" s="3" t="n">
        <v>20893</v>
      </c>
      <c r="G8" s="3" t="n">
        <v>5983</v>
      </c>
      <c r="H8" s="4">
        <f>100*D8/C8</f>
        <v/>
      </c>
      <c r="I8" s="4">
        <f>100*E8/C8</f>
        <v/>
      </c>
      <c r="J8" s="4">
        <f>100*F8/C8</f>
        <v/>
      </c>
      <c r="K8" s="4">
        <f>100*G8/C8</f>
        <v/>
      </c>
    </row>
    <row r="9">
      <c r="A9" s="3" t="inlineStr">
        <is>
          <t>provincia</t>
        </is>
      </c>
      <c r="B9" s="3" t="inlineStr">
        <is>
          <t>21</t>
        </is>
      </c>
      <c r="C9" s="3" t="n">
        <v>312108</v>
      </c>
      <c r="D9" s="3" t="n">
        <v>13980</v>
      </c>
      <c r="E9" s="3" t="n">
        <v>9340</v>
      </c>
      <c r="F9" s="3" t="n">
        <v>11520</v>
      </c>
      <c r="G9" s="3" t="n">
        <v>8191</v>
      </c>
      <c r="H9" s="4">
        <f>100*D9/C9</f>
        <v/>
      </c>
      <c r="I9" s="4">
        <f>100*E9/C9</f>
        <v/>
      </c>
      <c r="J9" s="4">
        <f>100*F9/C9</f>
        <v/>
      </c>
      <c r="K9" s="4">
        <f>100*G9/C9</f>
        <v/>
      </c>
    </row>
    <row r="10">
      <c r="A10" s="3" t="inlineStr">
        <is>
          <t>provincia</t>
        </is>
      </c>
      <c r="B10" s="3" t="inlineStr">
        <is>
          <t>23</t>
        </is>
      </c>
      <c r="C10" s="3" t="n">
        <v>354778</v>
      </c>
      <c r="D10" s="3" t="n">
        <v>10852</v>
      </c>
      <c r="E10" s="3" t="n">
        <v>7175</v>
      </c>
      <c r="F10" s="3" t="n">
        <v>6154</v>
      </c>
      <c r="G10" s="3" t="n">
        <v>6402</v>
      </c>
      <c r="H10" s="4">
        <f>100*D10/C10</f>
        <v/>
      </c>
      <c r="I10" s="4">
        <f>100*E10/C10</f>
        <v/>
      </c>
      <c r="J10" s="4">
        <f>100*F10/C10</f>
        <v/>
      </c>
      <c r="K10" s="4">
        <f>100*G10/C10</f>
        <v/>
      </c>
    </row>
    <row r="11">
      <c r="A11" s="3" t="inlineStr">
        <is>
          <t>provincia</t>
        </is>
      </c>
      <c r="B11" s="3" t="inlineStr">
        <is>
          <t>29</t>
        </is>
      </c>
      <c r="C11" s="3" t="n">
        <v>968034</v>
      </c>
      <c r="D11" s="3" t="n">
        <v>31352</v>
      </c>
      <c r="E11" s="3" t="n">
        <v>12746</v>
      </c>
      <c r="F11" s="3" t="n">
        <v>59167</v>
      </c>
      <c r="G11" s="3" t="n">
        <v>9032</v>
      </c>
      <c r="H11" s="4">
        <f>100*D11/C11</f>
        <v/>
      </c>
      <c r="I11" s="4">
        <f>100*E11/C11</f>
        <v/>
      </c>
      <c r="J11" s="4">
        <f>100*F11/C11</f>
        <v/>
      </c>
      <c r="K11" s="4">
        <f>100*G11/C11</f>
        <v/>
      </c>
    </row>
    <row r="12">
      <c r="A12" s="3" t="inlineStr">
        <is>
          <t>provincia</t>
        </is>
      </c>
      <c r="B12" s="3" t="inlineStr">
        <is>
          <t>41</t>
        </is>
      </c>
      <c r="C12" s="3" t="n">
        <v>891520</v>
      </c>
      <c r="D12" s="3" t="n">
        <v>39286</v>
      </c>
      <c r="E12" s="3" t="n">
        <v>26037</v>
      </c>
      <c r="F12" s="3" t="n">
        <v>36890</v>
      </c>
      <c r="G12" s="3" t="n">
        <v>16855</v>
      </c>
      <c r="H12" s="4">
        <f>100*D12/C12</f>
        <v/>
      </c>
      <c r="I12" s="4">
        <f>100*E12/C12</f>
        <v/>
      </c>
      <c r="J12" s="4">
        <f>100*F12/C12</f>
        <v/>
      </c>
      <c r="K12" s="4">
        <f>100*G12/C12</f>
        <v/>
      </c>
    </row>
    <row r="13">
      <c r="A13" s="3" t="inlineStr">
        <is>
          <t>provincia</t>
        </is>
      </c>
      <c r="B13" s="3" t="inlineStr">
        <is>
          <t>22</t>
        </is>
      </c>
      <c r="C13" s="3" t="n">
        <v>165869</v>
      </c>
      <c r="D13" s="3" t="n">
        <v>3559</v>
      </c>
      <c r="E13" s="3" t="n">
        <v>313</v>
      </c>
      <c r="F13" s="3" t="n">
        <v>6266</v>
      </c>
      <c r="G13" s="3" t="n">
        <v>1474</v>
      </c>
      <c r="H13" s="4">
        <f>100*D13/C13</f>
        <v/>
      </c>
      <c r="I13" s="4">
        <f>100*E13/C13</f>
        <v/>
      </c>
      <c r="J13" s="4">
        <f>100*F13/C13</f>
        <v/>
      </c>
      <c r="K13" s="4">
        <f>100*G13/C13</f>
        <v/>
      </c>
    </row>
    <row r="14">
      <c r="A14" s="3" t="inlineStr">
        <is>
          <t>provincia</t>
        </is>
      </c>
      <c r="B14" s="3" t="inlineStr">
        <is>
          <t>44</t>
        </is>
      </c>
      <c r="C14" s="3" t="n">
        <v>121422</v>
      </c>
      <c r="D14" s="3" t="n">
        <v>2072</v>
      </c>
      <c r="E14" s="3" t="n">
        <v>706</v>
      </c>
      <c r="F14" s="3" t="n">
        <v>3064</v>
      </c>
      <c r="G14" s="3" t="n">
        <v>1666</v>
      </c>
      <c r="H14" s="4">
        <f>100*D14/C14</f>
        <v/>
      </c>
      <c r="I14" s="4">
        <f>100*E14/C14</f>
        <v/>
      </c>
      <c r="J14" s="4">
        <f>100*F14/C14</f>
        <v/>
      </c>
      <c r="K14" s="4">
        <f>100*G14/C14</f>
        <v/>
      </c>
    </row>
    <row r="15">
      <c r="A15" s="3" t="inlineStr">
        <is>
          <t>provincia</t>
        </is>
      </c>
      <c r="B15" s="3" t="inlineStr">
        <is>
          <t>50</t>
        </is>
      </c>
      <c r="C15" s="3" t="n">
        <v>531947</v>
      </c>
      <c r="D15" s="3" t="n">
        <v>14577</v>
      </c>
      <c r="E15" s="3" t="n">
        <v>5106</v>
      </c>
      <c r="F15" s="3" t="n">
        <v>18778</v>
      </c>
      <c r="G15" s="3" t="n">
        <v>2691</v>
      </c>
      <c r="H15" s="4">
        <f>100*D15/C15</f>
        <v/>
      </c>
      <c r="I15" s="4">
        <f>100*E15/C15</f>
        <v/>
      </c>
      <c r="J15" s="4">
        <f>100*F15/C15</f>
        <v/>
      </c>
      <c r="K15" s="4">
        <f>100*G15/C15</f>
        <v/>
      </c>
    </row>
    <row r="16">
      <c r="A16" s="3" t="inlineStr">
        <is>
          <t>provincia</t>
        </is>
      </c>
      <c r="B16" s="3" t="inlineStr">
        <is>
          <t>33</t>
        </is>
      </c>
      <c r="C16" s="3" t="n">
        <v>649112</v>
      </c>
      <c r="D16" s="3" t="n">
        <v>23269</v>
      </c>
      <c r="E16" s="3" t="n">
        <v>14019</v>
      </c>
      <c r="F16" s="3" t="n">
        <v>15621</v>
      </c>
      <c r="G16" s="3" t="n">
        <v>11078</v>
      </c>
      <c r="H16" s="4">
        <f>100*D16/C16</f>
        <v/>
      </c>
      <c r="I16" s="4">
        <f>100*E16/C16</f>
        <v/>
      </c>
      <c r="J16" s="4">
        <f>100*F16/C16</f>
        <v/>
      </c>
      <c r="K16" s="4">
        <f>100*G16/C16</f>
        <v/>
      </c>
    </row>
    <row r="17">
      <c r="A17" s="3" t="inlineStr">
        <is>
          <t>provincia</t>
        </is>
      </c>
      <c r="B17" s="3" t="inlineStr">
        <is>
          <t>07</t>
        </is>
      </c>
      <c r="C17" s="3" t="n">
        <v>576709</v>
      </c>
      <c r="D17" s="3" t="n">
        <v>24198</v>
      </c>
      <c r="E17" s="3" t="n">
        <v>5683</v>
      </c>
      <c r="F17" s="3" t="n">
        <v>38702</v>
      </c>
      <c r="G17" s="3" t="n">
        <v>3530</v>
      </c>
      <c r="H17" s="4">
        <f>100*D17/C17</f>
        <v/>
      </c>
      <c r="I17" s="4">
        <f>100*E17/C17</f>
        <v/>
      </c>
      <c r="J17" s="4">
        <f>100*F17/C17</f>
        <v/>
      </c>
      <c r="K17" s="4">
        <f>100*G17/C17</f>
        <v/>
      </c>
    </row>
    <row r="18">
      <c r="A18" s="3" t="inlineStr">
        <is>
          <t>provincia</t>
        </is>
      </c>
      <c r="B18" s="3" t="inlineStr">
        <is>
          <t>35</t>
        </is>
      </c>
      <c r="C18" s="3" t="n">
        <v>494130</v>
      </c>
      <c r="D18" s="3" t="n">
        <v>39149</v>
      </c>
      <c r="E18" s="3" t="n">
        <v>18132</v>
      </c>
      <c r="F18" s="3" t="n">
        <v>38711</v>
      </c>
      <c r="G18" s="3" t="n">
        <v>7278</v>
      </c>
      <c r="H18" s="4">
        <f>100*D18/C18</f>
        <v/>
      </c>
      <c r="I18" s="4">
        <f>100*E18/C18</f>
        <v/>
      </c>
      <c r="J18" s="4">
        <f>100*F18/C18</f>
        <v/>
      </c>
      <c r="K18" s="4">
        <f>100*G18/C18</f>
        <v/>
      </c>
    </row>
    <row r="19">
      <c r="A19" s="3" t="inlineStr">
        <is>
          <t>provincia</t>
        </is>
      </c>
      <c r="B19" s="3" t="inlineStr">
        <is>
          <t>38</t>
        </is>
      </c>
      <c r="C19" s="3" t="n">
        <v>503459</v>
      </c>
      <c r="D19" s="3" t="n">
        <v>40157</v>
      </c>
      <c r="E19" s="3" t="n">
        <v>17743</v>
      </c>
      <c r="F19" s="3" t="n">
        <v>38173</v>
      </c>
      <c r="G19" s="3" t="n">
        <v>6778</v>
      </c>
      <c r="H19" s="4">
        <f>100*D19/C19</f>
        <v/>
      </c>
      <c r="I19" s="4">
        <f>100*E19/C19</f>
        <v/>
      </c>
      <c r="J19" s="4">
        <f>100*F19/C19</f>
        <v/>
      </c>
      <c r="K19" s="4">
        <f>100*G19/C19</f>
        <v/>
      </c>
    </row>
    <row r="20">
      <c r="A20" s="3" t="inlineStr">
        <is>
          <t>provincia</t>
        </is>
      </c>
      <c r="B20" s="3" t="inlineStr">
        <is>
          <t>39</t>
        </is>
      </c>
      <c r="C20" s="3" t="n">
        <v>370122</v>
      </c>
      <c r="D20" s="3" t="n">
        <v>7358</v>
      </c>
      <c r="E20" s="3" t="n">
        <v>2651</v>
      </c>
      <c r="F20" s="3" t="n">
        <v>11740</v>
      </c>
      <c r="G20" s="3" t="n">
        <v>1622</v>
      </c>
      <c r="H20" s="4">
        <f>100*D20/C20</f>
        <v/>
      </c>
      <c r="I20" s="4">
        <f>100*E20/C20</f>
        <v/>
      </c>
      <c r="J20" s="4">
        <f>100*F20/C20</f>
        <v/>
      </c>
      <c r="K20" s="4">
        <f>100*G20/C20</f>
        <v/>
      </c>
    </row>
    <row r="21">
      <c r="A21" s="3" t="inlineStr">
        <is>
          <t>provincia</t>
        </is>
      </c>
      <c r="B21" s="3" t="inlineStr">
        <is>
          <t>02</t>
        </is>
      </c>
      <c r="C21" s="3" t="n">
        <v>226697</v>
      </c>
      <c r="D21" s="3" t="n">
        <v>5624</v>
      </c>
      <c r="E21" s="3" t="n">
        <v>2834</v>
      </c>
      <c r="F21" s="3" t="n">
        <v>6510</v>
      </c>
      <c r="G21" s="3" t="n">
        <v>2507</v>
      </c>
      <c r="H21" s="4">
        <f>100*D21/C21</f>
        <v/>
      </c>
      <c r="I21" s="4">
        <f>100*E21/C21</f>
        <v/>
      </c>
      <c r="J21" s="4">
        <f>100*F21/C21</f>
        <v/>
      </c>
      <c r="K21" s="4">
        <f>100*G21/C21</f>
        <v/>
      </c>
    </row>
    <row r="22">
      <c r="A22" s="3" t="inlineStr">
        <is>
          <t>provincia</t>
        </is>
      </c>
      <c r="B22" s="3" t="inlineStr">
        <is>
          <t>13</t>
        </is>
      </c>
      <c r="C22" s="3" t="n">
        <v>300040</v>
      </c>
      <c r="D22" s="3" t="n">
        <v>8496</v>
      </c>
      <c r="E22" s="3" t="n">
        <v>5010</v>
      </c>
      <c r="F22" s="3" t="n">
        <v>8848</v>
      </c>
      <c r="G22" s="3" t="n">
        <v>4574</v>
      </c>
      <c r="H22" s="4">
        <f>100*D22/C22</f>
        <v/>
      </c>
      <c r="I22" s="4">
        <f>100*E22/C22</f>
        <v/>
      </c>
      <c r="J22" s="4">
        <f>100*F22/C22</f>
        <v/>
      </c>
      <c r="K22" s="4">
        <f>100*G22/C22</f>
        <v/>
      </c>
    </row>
    <row r="23">
      <c r="A23" s="3" t="inlineStr">
        <is>
          <t>provincia</t>
        </is>
      </c>
      <c r="B23" s="3" t="inlineStr">
        <is>
          <t>16</t>
        </is>
      </c>
      <c r="C23" s="3" t="n">
        <v>158809</v>
      </c>
      <c r="D23" s="3" t="n">
        <v>2102</v>
      </c>
      <c r="E23" s="3" t="n">
        <v>611</v>
      </c>
      <c r="F23" s="3" t="n">
        <v>3604</v>
      </c>
      <c r="G23" s="3" t="n">
        <v>1293</v>
      </c>
      <c r="H23" s="4">
        <f>100*D23/C23</f>
        <v/>
      </c>
      <c r="I23" s="4">
        <f>100*E23/C23</f>
        <v/>
      </c>
      <c r="J23" s="4">
        <f>100*F23/C23</f>
        <v/>
      </c>
      <c r="K23" s="4">
        <f>100*G23/C23</f>
        <v/>
      </c>
    </row>
    <row r="24">
      <c r="A24" s="3" t="inlineStr">
        <is>
          <t>provincia</t>
        </is>
      </c>
      <c r="B24" s="3" t="inlineStr">
        <is>
          <t>19</t>
        </is>
      </c>
      <c r="C24" s="3" t="n">
        <v>185434</v>
      </c>
      <c r="D24" s="3" t="n">
        <v>3536</v>
      </c>
      <c r="E24" s="3" t="n">
        <v>1428</v>
      </c>
      <c r="F24" s="3" t="n">
        <v>5396</v>
      </c>
      <c r="G24" s="3" t="n">
        <v>1212</v>
      </c>
      <c r="H24" s="4">
        <f>100*D24/C24</f>
        <v/>
      </c>
      <c r="I24" s="4">
        <f>100*E24/C24</f>
        <v/>
      </c>
      <c r="J24" s="4">
        <f>100*F24/C24</f>
        <v/>
      </c>
      <c r="K24" s="4">
        <f>100*G24/C24</f>
        <v/>
      </c>
    </row>
    <row r="25">
      <c r="A25" s="3" t="inlineStr">
        <is>
          <t>provincia</t>
        </is>
      </c>
      <c r="B25" s="3" t="inlineStr">
        <is>
          <t>45</t>
        </is>
      </c>
      <c r="C25" s="3" t="n">
        <v>427626</v>
      </c>
      <c r="D25" s="3" t="n">
        <v>13222</v>
      </c>
      <c r="E25" s="3" t="n">
        <v>4861</v>
      </c>
      <c r="F25" s="3" t="n">
        <v>20128</v>
      </c>
      <c r="G25" s="3" t="n">
        <v>1367</v>
      </c>
      <c r="H25" s="4">
        <f>100*D25/C25</f>
        <v/>
      </c>
      <c r="I25" s="4">
        <f>100*E25/C25</f>
        <v/>
      </c>
      <c r="J25" s="4">
        <f>100*F25/C25</f>
        <v/>
      </c>
      <c r="K25" s="4">
        <f>100*G25/C25</f>
        <v/>
      </c>
    </row>
    <row r="26">
      <c r="A26" s="3" t="inlineStr">
        <is>
          <t>provincia</t>
        </is>
      </c>
      <c r="B26" s="3" t="inlineStr">
        <is>
          <t>09</t>
        </is>
      </c>
      <c r="C26" s="3" t="n">
        <v>270083</v>
      </c>
      <c r="D26" s="3" t="n">
        <v>4715</v>
      </c>
      <c r="E26" s="3" t="n">
        <v>2188</v>
      </c>
      <c r="F26" s="3" t="n">
        <v>6621</v>
      </c>
      <c r="G26" s="3" t="n">
        <v>1996</v>
      </c>
      <c r="H26" s="4">
        <f>100*D26/C26</f>
        <v/>
      </c>
      <c r="I26" s="4">
        <f>100*E26/C26</f>
        <v/>
      </c>
      <c r="J26" s="4">
        <f>100*F26/C26</f>
        <v/>
      </c>
      <c r="K26" s="4">
        <f>100*G26/C26</f>
        <v/>
      </c>
    </row>
    <row r="27">
      <c r="A27" s="3" t="inlineStr">
        <is>
          <t>provincia</t>
        </is>
      </c>
      <c r="B27" s="3" t="inlineStr">
        <is>
          <t>24</t>
        </is>
      </c>
      <c r="C27" s="3" t="n">
        <v>336206</v>
      </c>
      <c r="D27" s="3" t="n">
        <v>5945</v>
      </c>
      <c r="E27" s="3" t="n">
        <v>1593</v>
      </c>
      <c r="F27" s="3" t="n">
        <v>7391</v>
      </c>
      <c r="G27" s="3" t="n">
        <v>1851</v>
      </c>
      <c r="H27" s="4">
        <f>100*D27/C27</f>
        <v/>
      </c>
      <c r="I27" s="4">
        <f>100*E27/C27</f>
        <v/>
      </c>
      <c r="J27" s="4">
        <f>100*F27/C27</f>
        <v/>
      </c>
      <c r="K27" s="4">
        <f>100*G27/C27</f>
        <v/>
      </c>
    </row>
    <row r="28">
      <c r="A28" s="3" t="inlineStr">
        <is>
          <t>provincia</t>
        </is>
      </c>
      <c r="B28" s="3" t="inlineStr">
        <is>
          <t>34</t>
        </is>
      </c>
      <c r="C28" s="3" t="n">
        <v>111894</v>
      </c>
      <c r="D28" s="3" t="n">
        <v>1877</v>
      </c>
      <c r="E28" s="3" t="n">
        <v>343</v>
      </c>
      <c r="F28" s="3" t="n">
        <v>2392</v>
      </c>
      <c r="G28" s="3" t="n">
        <v>858</v>
      </c>
      <c r="H28" s="4">
        <f>100*D28/C28</f>
        <v/>
      </c>
      <c r="I28" s="4">
        <f>100*E28/C28</f>
        <v/>
      </c>
      <c r="J28" s="4">
        <f>100*F28/C28</f>
        <v/>
      </c>
      <c r="K28" s="4">
        <f>100*G28/C28</f>
        <v/>
      </c>
    </row>
    <row r="29">
      <c r="A29" s="3" t="inlineStr">
        <is>
          <t>provincia</t>
        </is>
      </c>
      <c r="B29" s="3" t="inlineStr">
        <is>
          <t>37</t>
        </is>
      </c>
      <c r="C29" s="3" t="n">
        <v>239087</v>
      </c>
      <c r="D29" s="3" t="n">
        <v>3869</v>
      </c>
      <c r="E29" s="3" t="n">
        <v>946</v>
      </c>
      <c r="F29" s="3" t="n">
        <v>5468</v>
      </c>
      <c r="G29" s="3" t="n">
        <v>1400</v>
      </c>
      <c r="H29" s="4">
        <f>100*D29/C29</f>
        <v/>
      </c>
      <c r="I29" s="4">
        <f>100*E29/C29</f>
        <v/>
      </c>
      <c r="J29" s="4">
        <f>100*F29/C29</f>
        <v/>
      </c>
      <c r="K29" s="4">
        <f>100*G29/C29</f>
        <v/>
      </c>
    </row>
    <row r="30">
      <c r="A30" s="3" t="inlineStr">
        <is>
          <t>provincia</t>
        </is>
      </c>
      <c r="B30" s="3" t="inlineStr">
        <is>
          <t>40</t>
        </is>
      </c>
      <c r="C30" s="3" t="n">
        <v>124713</v>
      </c>
      <c r="D30" s="3" t="n">
        <v>2141</v>
      </c>
      <c r="E30" s="3" t="n">
        <v>509</v>
      </c>
      <c r="F30" s="3" t="n">
        <v>3645</v>
      </c>
      <c r="G30" s="3" t="n">
        <v>972</v>
      </c>
      <c r="H30" s="4">
        <f>100*D30/C30</f>
        <v/>
      </c>
      <c r="I30" s="4">
        <f>100*E30/C30</f>
        <v/>
      </c>
      <c r="J30" s="4">
        <f>100*F30/C30</f>
        <v/>
      </c>
      <c r="K30" s="4">
        <f>100*G30/C30</f>
        <v/>
      </c>
    </row>
    <row r="31">
      <c r="A31" s="3" t="inlineStr">
        <is>
          <t>provincia</t>
        </is>
      </c>
      <c r="B31" s="3" t="inlineStr">
        <is>
          <t>42</t>
        </is>
      </c>
      <c r="C31" s="3" t="n">
        <v>82159</v>
      </c>
      <c r="D31" s="3" t="n">
        <v>1138</v>
      </c>
      <c r="E31" s="3" t="n">
        <v>142</v>
      </c>
      <c r="F31" s="3" t="n">
        <v>1598</v>
      </c>
      <c r="G31" s="3" t="n">
        <v>1126</v>
      </c>
      <c r="H31" s="4">
        <f>100*D31/C31</f>
        <v/>
      </c>
      <c r="I31" s="4">
        <f>100*E31/C31</f>
        <v/>
      </c>
      <c r="J31" s="4">
        <f>100*F31/C31</f>
        <v/>
      </c>
      <c r="K31" s="4">
        <f>100*G31/C31</f>
        <v/>
      </c>
    </row>
    <row r="32">
      <c r="A32" s="3" t="inlineStr">
        <is>
          <t>provincia</t>
        </is>
      </c>
      <c r="B32" s="3" t="inlineStr">
        <is>
          <t>47</t>
        </is>
      </c>
      <c r="C32" s="3" t="n">
        <v>291878</v>
      </c>
      <c r="D32" s="3" t="n">
        <v>6501</v>
      </c>
      <c r="E32" s="3" t="n">
        <v>3194</v>
      </c>
      <c r="F32" s="3" t="n">
        <v>8614</v>
      </c>
      <c r="G32" s="3" t="n">
        <v>1804</v>
      </c>
      <c r="H32" s="4">
        <f>100*D32/C32</f>
        <v/>
      </c>
      <c r="I32" s="4">
        <f>100*E32/C32</f>
        <v/>
      </c>
      <c r="J32" s="4">
        <f>100*F32/C32</f>
        <v/>
      </c>
      <c r="K32" s="4">
        <f>100*G32/C32</f>
        <v/>
      </c>
    </row>
    <row r="33">
      <c r="A33" s="3" t="inlineStr">
        <is>
          <t>provincia</t>
        </is>
      </c>
      <c r="B33" s="3" t="inlineStr">
        <is>
          <t>49</t>
        </is>
      </c>
      <c r="C33" s="3" t="n">
        <v>148105</v>
      </c>
      <c r="D33" s="3" t="n">
        <v>1688</v>
      </c>
      <c r="E33" s="3" t="n">
        <v>622</v>
      </c>
      <c r="F33" s="3" t="n">
        <v>2218</v>
      </c>
      <c r="G33" s="3" t="n">
        <v>1098</v>
      </c>
      <c r="H33" s="4">
        <f>100*D33/C33</f>
        <v/>
      </c>
      <c r="I33" s="4">
        <f>100*E33/C33</f>
        <v/>
      </c>
      <c r="J33" s="4">
        <f>100*F33/C33</f>
        <v/>
      </c>
      <c r="K33" s="4">
        <f>100*G33/C33</f>
        <v/>
      </c>
    </row>
    <row r="34">
      <c r="A34" s="3" t="inlineStr">
        <is>
          <t>provincia</t>
        </is>
      </c>
      <c r="B34" s="3" t="inlineStr">
        <is>
          <t>05</t>
        </is>
      </c>
      <c r="C34" s="3" t="n">
        <v>167998</v>
      </c>
      <c r="D34" s="3" t="n">
        <v>2287</v>
      </c>
      <c r="E34" s="3" t="n">
        <v>734</v>
      </c>
      <c r="F34" s="3" t="n">
        <v>3723</v>
      </c>
      <c r="G34" s="3" t="n">
        <v>1118</v>
      </c>
      <c r="H34" s="4">
        <f>100*D34/C34</f>
        <v/>
      </c>
      <c r="I34" s="4">
        <f>100*E34/C34</f>
        <v/>
      </c>
      <c r="J34" s="4">
        <f>100*F34/C34</f>
        <v/>
      </c>
      <c r="K34" s="4">
        <f>100*G34/C34</f>
        <v/>
      </c>
    </row>
    <row r="35">
      <c r="A35" s="3" t="inlineStr">
        <is>
          <t>provincia</t>
        </is>
      </c>
      <c r="B35" s="3" t="inlineStr">
        <is>
          <t>08</t>
        </is>
      </c>
      <c r="C35" s="3" t="n">
        <v>2458661</v>
      </c>
      <c r="D35" s="3" t="n">
        <v>140831</v>
      </c>
      <c r="E35" s="3" t="n">
        <v>62341</v>
      </c>
      <c r="F35" s="3" t="n">
        <v>160207</v>
      </c>
      <c r="G35" s="3" t="n">
        <v>29393</v>
      </c>
      <c r="H35" s="4">
        <f>100*D35/C35</f>
        <v/>
      </c>
      <c r="I35" s="4">
        <f>100*E35/C35</f>
        <v/>
      </c>
      <c r="J35" s="4">
        <f>100*F35/C35</f>
        <v/>
      </c>
      <c r="K35" s="4">
        <f>100*G35/C35</f>
        <v/>
      </c>
    </row>
    <row r="36">
      <c r="A36" s="3" t="inlineStr">
        <is>
          <t>provincia</t>
        </is>
      </c>
      <c r="B36" s="3" t="inlineStr">
        <is>
          <t>17</t>
        </is>
      </c>
      <c r="C36" s="3" t="n">
        <v>515378</v>
      </c>
      <c r="D36" s="3" t="n">
        <v>24504</v>
      </c>
      <c r="E36" s="3" t="n">
        <v>8889</v>
      </c>
      <c r="F36" s="3" t="n">
        <v>40024</v>
      </c>
      <c r="G36" s="3" t="n">
        <v>3856</v>
      </c>
      <c r="H36" s="4">
        <f>100*D36/C36</f>
        <v/>
      </c>
      <c r="I36" s="4">
        <f>100*E36/C36</f>
        <v/>
      </c>
      <c r="J36" s="4">
        <f>100*F36/C36</f>
        <v/>
      </c>
      <c r="K36" s="4">
        <f>100*G36/C36</f>
        <v/>
      </c>
    </row>
    <row r="37">
      <c r="A37" s="3" t="inlineStr">
        <is>
          <t>provincia</t>
        </is>
      </c>
      <c r="B37" s="3" t="inlineStr">
        <is>
          <t>25</t>
        </is>
      </c>
      <c r="C37" s="3" t="n">
        <v>241205</v>
      </c>
      <c r="D37" s="3" t="n">
        <v>12100</v>
      </c>
      <c r="E37" s="3" t="n">
        <v>4039</v>
      </c>
      <c r="F37" s="3" t="n">
        <v>18168</v>
      </c>
      <c r="G37" s="3" t="n">
        <v>2895</v>
      </c>
      <c r="H37" s="4">
        <f>100*D37/C37</f>
        <v/>
      </c>
      <c r="I37" s="4">
        <f>100*E37/C37</f>
        <v/>
      </c>
      <c r="J37" s="4">
        <f>100*F37/C37</f>
        <v/>
      </c>
      <c r="K37" s="4">
        <f>100*G37/C37</f>
        <v/>
      </c>
    </row>
    <row r="38">
      <c r="A38" s="3" t="inlineStr">
        <is>
          <t>provincia</t>
        </is>
      </c>
      <c r="B38" s="3" t="inlineStr">
        <is>
          <t>43</t>
        </is>
      </c>
      <c r="C38" s="3" t="n">
        <v>540096</v>
      </c>
      <c r="D38" s="3" t="n">
        <v>20560</v>
      </c>
      <c r="E38" s="3" t="n">
        <v>9176</v>
      </c>
      <c r="F38" s="3" t="n">
        <v>31934</v>
      </c>
      <c r="G38" s="3" t="n">
        <v>3967</v>
      </c>
      <c r="H38" s="4">
        <f>100*D38/C38</f>
        <v/>
      </c>
      <c r="I38" s="4">
        <f>100*E38/C38</f>
        <v/>
      </c>
      <c r="J38" s="4">
        <f>100*F38/C38</f>
        <v/>
      </c>
      <c r="K38" s="4">
        <f>100*G38/C38</f>
        <v/>
      </c>
    </row>
    <row r="39">
      <c r="A39" s="3" t="inlineStr">
        <is>
          <t>provincia</t>
        </is>
      </c>
      <c r="B39" s="3" t="inlineStr">
        <is>
          <t>51</t>
        </is>
      </c>
      <c r="C39" s="3" t="n">
        <v>25192</v>
      </c>
      <c r="D39" s="3" t="n">
        <v>3324</v>
      </c>
      <c r="E39" s="3" t="n">
        <v>2656</v>
      </c>
      <c r="F39" s="3" t="n">
        <v>745</v>
      </c>
      <c r="G39" s="3" t="n">
        <v>2637</v>
      </c>
      <c r="H39" s="4">
        <f>100*D39/C39</f>
        <v/>
      </c>
      <c r="I39" s="4">
        <f>100*E39/C39</f>
        <v/>
      </c>
      <c r="J39" s="4">
        <f>100*F39/C39</f>
        <v/>
      </c>
      <c r="K39" s="4">
        <f>100*G39/C39</f>
        <v/>
      </c>
    </row>
    <row r="40">
      <c r="A40" s="3" t="inlineStr">
        <is>
          <t>provincia</t>
        </is>
      </c>
      <c r="B40" s="3" t="inlineStr">
        <is>
          <t>03</t>
        </is>
      </c>
      <c r="C40" s="3" t="n">
        <v>1341360</v>
      </c>
      <c r="D40" s="3" t="n">
        <v>34758</v>
      </c>
      <c r="E40" s="3" t="n">
        <v>13903</v>
      </c>
      <c r="F40" s="3" t="n">
        <v>60543</v>
      </c>
      <c r="G40" s="3" t="n">
        <v>7771</v>
      </c>
      <c r="H40" s="4">
        <f>100*D40/C40</f>
        <v/>
      </c>
      <c r="I40" s="4">
        <f>100*E40/C40</f>
        <v/>
      </c>
      <c r="J40" s="4">
        <f>100*F40/C40</f>
        <v/>
      </c>
      <c r="K40" s="4">
        <f>100*G40/C40</f>
        <v/>
      </c>
    </row>
    <row r="41">
      <c r="A41" s="3" t="inlineStr">
        <is>
          <t>provincia</t>
        </is>
      </c>
      <c r="B41" s="3" t="inlineStr">
        <is>
          <t>12</t>
        </is>
      </c>
      <c r="C41" s="3" t="n">
        <v>436074</v>
      </c>
      <c r="D41" s="3" t="n">
        <v>12882</v>
      </c>
      <c r="E41" s="3" t="n">
        <v>4882</v>
      </c>
      <c r="F41" s="3" t="n">
        <v>18685</v>
      </c>
      <c r="G41" s="3" t="n">
        <v>2364</v>
      </c>
      <c r="H41" s="4">
        <f>100*D41/C41</f>
        <v/>
      </c>
      <c r="I41" s="4">
        <f>100*E41/C41</f>
        <v/>
      </c>
      <c r="J41" s="4">
        <f>100*F41/C41</f>
        <v/>
      </c>
      <c r="K41" s="4">
        <f>100*G41/C41</f>
        <v/>
      </c>
    </row>
    <row r="42">
      <c r="A42" s="3" t="inlineStr">
        <is>
          <t>provincia</t>
        </is>
      </c>
      <c r="B42" s="3" t="inlineStr">
        <is>
          <t>46</t>
        </is>
      </c>
      <c r="C42" s="3" t="n">
        <v>1459939</v>
      </c>
      <c r="D42" s="3" t="n">
        <v>47406</v>
      </c>
      <c r="E42" s="3" t="n">
        <v>18656</v>
      </c>
      <c r="F42" s="3" t="n">
        <v>58155</v>
      </c>
      <c r="G42" s="3" t="n">
        <v>9621</v>
      </c>
      <c r="H42" s="4">
        <f>100*D42/C42</f>
        <v/>
      </c>
      <c r="I42" s="4">
        <f>100*E42/C42</f>
        <v/>
      </c>
      <c r="J42" s="4">
        <f>100*F42/C42</f>
        <v/>
      </c>
      <c r="K42" s="4">
        <f>100*G42/C42</f>
        <v/>
      </c>
    </row>
    <row r="43">
      <c r="A43" s="3" t="inlineStr">
        <is>
          <t>provincia</t>
        </is>
      </c>
      <c r="B43" s="3" t="inlineStr">
        <is>
          <t>06</t>
        </is>
      </c>
      <c r="C43" s="3" t="n">
        <v>382875</v>
      </c>
      <c r="D43" s="3" t="n">
        <v>13950</v>
      </c>
      <c r="E43" s="3" t="n">
        <v>10843</v>
      </c>
      <c r="F43" s="3" t="n">
        <v>7334</v>
      </c>
      <c r="G43" s="3" t="n">
        <v>11057</v>
      </c>
      <c r="H43" s="4">
        <f>100*D43/C43</f>
        <v/>
      </c>
      <c r="I43" s="4">
        <f>100*E43/C43</f>
        <v/>
      </c>
      <c r="J43" s="4">
        <f>100*F43/C43</f>
        <v/>
      </c>
      <c r="K43" s="4">
        <f>100*G43/C43</f>
        <v/>
      </c>
    </row>
    <row r="44">
      <c r="A44" s="3" t="inlineStr">
        <is>
          <t>provincia</t>
        </is>
      </c>
      <c r="B44" s="3" t="inlineStr">
        <is>
          <t>10</t>
        </is>
      </c>
      <c r="C44" s="3" t="n">
        <v>289391</v>
      </c>
      <c r="D44" s="3" t="n">
        <v>7733</v>
      </c>
      <c r="E44" s="3" t="n">
        <v>5304</v>
      </c>
      <c r="F44" s="3" t="n">
        <v>5257</v>
      </c>
      <c r="G44" s="3" t="n">
        <v>5869</v>
      </c>
      <c r="H44" s="4">
        <f>100*D44/C44</f>
        <v/>
      </c>
      <c r="I44" s="4">
        <f>100*E44/C44</f>
        <v/>
      </c>
      <c r="J44" s="4">
        <f>100*F44/C44</f>
        <v/>
      </c>
      <c r="K44" s="4">
        <f>100*G44/C44</f>
        <v/>
      </c>
    </row>
    <row r="45">
      <c r="A45" s="3" t="inlineStr">
        <is>
          <t>provincia</t>
        </is>
      </c>
      <c r="B45" s="3" t="inlineStr">
        <is>
          <t>15</t>
        </is>
      </c>
      <c r="C45" s="3" t="n">
        <v>631767</v>
      </c>
      <c r="D45" s="3" t="n">
        <v>15659</v>
      </c>
      <c r="E45" s="3" t="n">
        <v>6522</v>
      </c>
      <c r="F45" s="3" t="n">
        <v>16264</v>
      </c>
      <c r="G45" s="3" t="n">
        <v>4149</v>
      </c>
      <c r="H45" s="4">
        <f>100*D45/C45</f>
        <v/>
      </c>
      <c r="I45" s="4">
        <f>100*E45/C45</f>
        <v/>
      </c>
      <c r="J45" s="4">
        <f>100*F45/C45</f>
        <v/>
      </c>
      <c r="K45" s="4">
        <f>100*G45/C45</f>
        <v/>
      </c>
    </row>
    <row r="46">
      <c r="A46" s="3" t="inlineStr">
        <is>
          <t>provincia</t>
        </is>
      </c>
      <c r="B46" s="3" t="inlineStr">
        <is>
          <t>27</t>
        </is>
      </c>
      <c r="C46" s="3" t="n">
        <v>250291</v>
      </c>
      <c r="D46" s="3" t="n">
        <v>6611</v>
      </c>
      <c r="E46" s="3" t="n">
        <v>3140</v>
      </c>
      <c r="F46" s="3" t="n">
        <v>6693</v>
      </c>
      <c r="G46" s="3" t="n">
        <v>1750</v>
      </c>
      <c r="H46" s="4">
        <f>100*D46/C46</f>
        <v/>
      </c>
      <c r="I46" s="4">
        <f>100*E46/C46</f>
        <v/>
      </c>
      <c r="J46" s="4">
        <f>100*F46/C46</f>
        <v/>
      </c>
      <c r="K46" s="4">
        <f>100*G46/C46</f>
        <v/>
      </c>
    </row>
    <row r="47">
      <c r="A47" s="3" t="inlineStr">
        <is>
          <t>provincia</t>
        </is>
      </c>
      <c r="B47" s="3" t="inlineStr">
        <is>
          <t>32</t>
        </is>
      </c>
      <c r="C47" s="3" t="n">
        <v>266739</v>
      </c>
      <c r="D47" s="3" t="n">
        <v>6040</v>
      </c>
      <c r="E47" s="3" t="n">
        <v>2231</v>
      </c>
      <c r="F47" s="3" t="n">
        <v>5360</v>
      </c>
      <c r="G47" s="3" t="n">
        <v>1608</v>
      </c>
      <c r="H47" s="4">
        <f>100*D47/C47</f>
        <v/>
      </c>
      <c r="I47" s="4">
        <f>100*E47/C47</f>
        <v/>
      </c>
      <c r="J47" s="4">
        <f>100*F47/C47</f>
        <v/>
      </c>
      <c r="K47" s="4">
        <f>100*G47/C47</f>
        <v/>
      </c>
    </row>
    <row r="48">
      <c r="A48" s="3" t="inlineStr">
        <is>
          <t>provincia</t>
        </is>
      </c>
      <c r="B48" s="3" t="inlineStr">
        <is>
          <t>36</t>
        </is>
      </c>
      <c r="C48" s="3" t="n">
        <v>493690</v>
      </c>
      <c r="D48" s="3" t="n">
        <v>9146</v>
      </c>
      <c r="E48" s="3" t="n">
        <v>2272</v>
      </c>
      <c r="F48" s="3" t="n">
        <v>12613</v>
      </c>
      <c r="G48" s="3" t="n">
        <v>1980</v>
      </c>
      <c r="H48" s="4">
        <f>100*D48/C48</f>
        <v/>
      </c>
      <c r="I48" s="4">
        <f>100*E48/C48</f>
        <v/>
      </c>
      <c r="J48" s="4">
        <f>100*F48/C48</f>
        <v/>
      </c>
      <c r="K48" s="4">
        <f>100*G48/C48</f>
        <v/>
      </c>
    </row>
    <row r="49">
      <c r="A49" s="3" t="inlineStr">
        <is>
          <t>provincia</t>
        </is>
      </c>
      <c r="B49" s="3" t="inlineStr">
        <is>
          <t>28</t>
        </is>
      </c>
      <c r="C49" s="3" t="n">
        <v>2975239</v>
      </c>
      <c r="D49" s="3" t="n">
        <v>144904</v>
      </c>
      <c r="E49" s="3" t="n">
        <v>82538</v>
      </c>
      <c r="F49" s="3" t="n">
        <v>173016</v>
      </c>
      <c r="G49" s="3" t="n">
        <v>30704</v>
      </c>
      <c r="H49" s="4">
        <f>100*D49/C49</f>
        <v/>
      </c>
      <c r="I49" s="4">
        <f>100*E49/C49</f>
        <v/>
      </c>
      <c r="J49" s="4">
        <f>100*F49/C49</f>
        <v/>
      </c>
      <c r="K49" s="4">
        <f>100*G49/C49</f>
        <v/>
      </c>
    </row>
    <row r="50">
      <c r="A50" s="3" t="inlineStr">
        <is>
          <t>provincia</t>
        </is>
      </c>
      <c r="B50" s="3" t="inlineStr">
        <is>
          <t>52</t>
        </is>
      </c>
      <c r="C50" s="3" t="n">
        <v>27335</v>
      </c>
      <c r="D50" s="3" t="n">
        <v>4911</v>
      </c>
      <c r="E50" s="3" t="n">
        <v>3443</v>
      </c>
      <c r="F50" s="3" t="n">
        <v>939</v>
      </c>
      <c r="G50" s="3" t="n">
        <v>2908</v>
      </c>
      <c r="H50" s="4">
        <f>100*D50/C50</f>
        <v/>
      </c>
      <c r="I50" s="4">
        <f>100*E50/C50</f>
        <v/>
      </c>
      <c r="J50" s="4">
        <f>100*F50/C50</f>
        <v/>
      </c>
      <c r="K50" s="4">
        <f>100*G50/C50</f>
        <v/>
      </c>
    </row>
    <row r="51">
      <c r="A51" s="3" t="inlineStr">
        <is>
          <t>provincia</t>
        </is>
      </c>
      <c r="B51" s="3" t="inlineStr">
        <is>
          <t>30</t>
        </is>
      </c>
      <c r="C51" s="3" t="n">
        <v>803337</v>
      </c>
      <c r="D51" s="3" t="n">
        <v>31457</v>
      </c>
      <c r="E51" s="3" t="n">
        <v>12352</v>
      </c>
      <c r="F51" s="3" t="n">
        <v>39837</v>
      </c>
      <c r="G51" s="3" t="n">
        <v>4924</v>
      </c>
      <c r="H51" s="4">
        <f>100*D51/C51</f>
        <v/>
      </c>
      <c r="I51" s="4">
        <f>100*E51/C51</f>
        <v/>
      </c>
      <c r="J51" s="4">
        <f>100*F51/C51</f>
        <v/>
      </c>
      <c r="K51" s="4">
        <f>100*G51/C51</f>
        <v/>
      </c>
    </row>
    <row r="52">
      <c r="A52" s="3" t="inlineStr">
        <is>
          <t>provincia</t>
        </is>
      </c>
      <c r="B52" s="3" t="inlineStr">
        <is>
          <t>26</t>
        </is>
      </c>
      <c r="C52" s="3" t="n">
        <v>205158</v>
      </c>
      <c r="D52" s="3" t="n">
        <v>3231</v>
      </c>
      <c r="E52" s="3" t="n">
        <v>730</v>
      </c>
      <c r="F52" s="3" t="n">
        <v>5139</v>
      </c>
      <c r="G52" s="3" t="n">
        <v>919</v>
      </c>
      <c r="H52" s="4">
        <f>100*D52/C52</f>
        <v/>
      </c>
      <c r="I52" s="4">
        <f>100*E52/C52</f>
        <v/>
      </c>
      <c r="J52" s="4">
        <f>100*F52/C52</f>
        <v/>
      </c>
      <c r="K52" s="4">
        <f>100*G52/C52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B6_condiciones</t>
        </is>
      </c>
    </row>
    <row r="2">
      <c r="A2" t="inlineStr">
        <is>
          <t>Fuente de las entradas (azul): INE, ECV (microdatos); bootstrap por hogar (output/v12/b6). Cálculos en negro (fórmulas).</t>
        </is>
      </c>
    </row>
    <row r="3">
      <c r="A3" s="1" t="inlineStr">
        <is>
          <t>indicador</t>
        </is>
      </c>
      <c r="B3" s="1" t="inlineStr">
        <is>
          <t>extranjera</t>
        </is>
      </c>
      <c r="C3" s="1" t="inlineStr">
        <is>
          <t>espanola_cruda</t>
        </is>
      </c>
      <c r="D3" s="1" t="inlineStr">
        <is>
          <t>espanola_misma_edad_y_renta</t>
        </is>
      </c>
      <c r="E3" s="1" t="inlineStr">
        <is>
          <t>ic95_inf</t>
        </is>
      </c>
      <c r="F3" s="1" t="inlineStr">
        <is>
          <t>ic95_sup</t>
        </is>
      </c>
      <c r="G3" s="1" t="inlineStr">
        <is>
          <t>diferencia_cruda</t>
        </is>
      </c>
      <c r="H3" s="1" t="inlineStr">
        <is>
          <t>diferencia_misma_edad_renta</t>
        </is>
      </c>
    </row>
    <row r="4">
      <c r="A4" s="3" t="inlineStr">
        <is>
          <t>propiedad</t>
        </is>
      </c>
      <c r="B4" s="3" t="n">
        <v>33.39</v>
      </c>
      <c r="C4" s="3" t="n">
        <v>81.62</v>
      </c>
      <c r="D4" s="3" t="n">
        <v>73.5</v>
      </c>
      <c r="E4" s="3" t="n">
        <v>-41.99</v>
      </c>
      <c r="F4" s="3" t="n">
        <v>-38.07</v>
      </c>
      <c r="G4" s="4">
        <f>B4-C4</f>
        <v/>
      </c>
      <c r="H4" s="4">
        <f>B4-D4</f>
        <v/>
      </c>
    </row>
    <row r="5">
      <c r="A5" s="3" t="inlineStr">
        <is>
          <t>tenencia_3</t>
        </is>
      </c>
      <c r="B5" s="3" t="n">
        <v>56.07</v>
      </c>
      <c r="C5" s="3" t="n">
        <v>10.22</v>
      </c>
      <c r="D5" s="3" t="n">
        <v>14.25</v>
      </c>
      <c r="E5" s="3" t="n">
        <v>39.96</v>
      </c>
      <c r="F5" s="3" t="n">
        <v>43.84</v>
      </c>
      <c r="G5" s="4">
        <f>B5-C5</f>
        <v/>
      </c>
      <c r="H5" s="4">
        <f>B5-D5</f>
        <v/>
      </c>
    </row>
    <row r="6">
      <c r="A6" s="3" t="inlineStr">
        <is>
          <t>sobrecarga_30</t>
        </is>
      </c>
      <c r="B6" s="3" t="n">
        <v>38.59</v>
      </c>
      <c r="C6" s="3" t="n">
        <v>8.6</v>
      </c>
      <c r="D6" s="3" t="n">
        <v>18.01</v>
      </c>
      <c r="E6" s="3" t="n">
        <v>18.67</v>
      </c>
      <c r="F6" s="3" t="n">
        <v>22.25</v>
      </c>
      <c r="G6" s="4">
        <f>B6-C6</f>
        <v/>
      </c>
      <c r="H6" s="4">
        <f>B6-D6</f>
        <v/>
      </c>
    </row>
    <row r="7">
      <c r="A7" s="3" t="inlineStr">
        <is>
          <t>sobrecarga_40</t>
        </is>
      </c>
      <c r="B7" s="3" t="n">
        <v>25.66</v>
      </c>
      <c r="C7" s="3" t="n">
        <v>4.71</v>
      </c>
      <c r="D7" s="3" t="n">
        <v>11</v>
      </c>
      <c r="E7" s="3" t="n">
        <v>13.27</v>
      </c>
      <c r="F7" s="3" t="n">
        <v>16.31</v>
      </c>
      <c r="G7" s="4">
        <f>B7-C7</f>
        <v/>
      </c>
      <c r="H7" s="4">
        <f>B7-D7</f>
        <v/>
      </c>
    </row>
    <row r="8">
      <c r="A8" s="3" t="inlineStr">
        <is>
          <t>esfuerzo_alquiler_30</t>
        </is>
      </c>
      <c r="B8" s="3" t="n">
        <v>36.13</v>
      </c>
      <c r="C8" s="3" t="n">
        <v>26.31</v>
      </c>
      <c r="D8" s="3" t="n">
        <v>36.98</v>
      </c>
      <c r="E8" s="3" t="n">
        <v>-3.2</v>
      </c>
      <c r="F8" s="3" t="n">
        <v>1.84</v>
      </c>
      <c r="G8" s="4">
        <f>B8-C8</f>
        <v/>
      </c>
      <c r="H8" s="4">
        <f>B8-D8</f>
        <v/>
      </c>
    </row>
    <row r="9">
      <c r="A9" s="3" t="inlineStr">
        <is>
          <t>esfuerzo_alquiler_40</t>
        </is>
      </c>
      <c r="B9" s="3" t="n">
        <v>21.91</v>
      </c>
      <c r="C9" s="3" t="n">
        <v>13.64</v>
      </c>
      <c r="D9" s="3" t="n">
        <v>22.01</v>
      </c>
      <c r="E9" s="3" t="n">
        <v>-2.33</v>
      </c>
      <c r="F9" s="3" t="n">
        <v>2.23</v>
      </c>
      <c r="G9" s="4">
        <f>B9-C9</f>
        <v/>
      </c>
      <c r="H9" s="4">
        <f>B9-D9</f>
        <v/>
      </c>
    </row>
    <row r="10">
      <c r="A10" s="3" t="inlineStr">
        <is>
          <t>hacinamiento</t>
        </is>
      </c>
      <c r="B10" s="3" t="n">
        <v>17.12</v>
      </c>
      <c r="C10" s="3" t="n">
        <v>5.91</v>
      </c>
      <c r="D10" s="3" t="n">
        <v>8.970000000000001</v>
      </c>
      <c r="E10" s="3" t="n">
        <v>6.36</v>
      </c>
      <c r="F10" s="3" t="n">
        <v>9.9</v>
      </c>
      <c r="G10" s="4">
        <f>B10-C10</f>
        <v/>
      </c>
      <c r="H10" s="4">
        <f>B10-D10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B7_turismo</t>
        </is>
      </c>
    </row>
    <row r="2">
      <c r="A2" t="inlineStr">
        <is>
          <t>Fuente de las entradas (azul): INE (viviendas turísticas, experimental); registro GVA (output/v12/b7). Cálculos en negro (fórmulas).</t>
        </is>
      </c>
    </row>
    <row r="3">
      <c r="A3" s="1" t="inlineStr">
        <is>
          <t>cod_municipio</t>
        </is>
      </c>
      <c r="B3" s="1" t="inlineStr">
        <is>
          <t>vut_ine_2026-05</t>
        </is>
      </c>
      <c r="C3" s="1" t="inlineStr">
        <is>
          <t>registro_gva_2026-10-14</t>
        </is>
      </c>
      <c r="D3" s="1" t="inlineStr">
        <is>
          <t>parque_ine</t>
        </is>
      </c>
      <c r="E3" s="1" t="inlineStr">
        <is>
          <t>ratio_registro_ine</t>
        </is>
      </c>
      <c r="F3" s="1" t="inlineStr">
        <is>
          <t>pct_ine_parque</t>
        </is>
      </c>
    </row>
    <row r="4">
      <c r="A4" s="3" t="inlineStr">
        <is>
          <t>03001</t>
        </is>
      </c>
      <c r="B4" s="3" t="n">
        <v>26</v>
      </c>
      <c r="C4" s="3" t="n">
        <v>26</v>
      </c>
      <c r="D4" s="3" t="n">
        <v>598.003588</v>
      </c>
      <c r="E4" s="4">
        <f>IF(AND(ISNUMBER(B4),ISNUMBER(C4),B4&gt;0),C4/B4,"")</f>
        <v/>
      </c>
      <c r="F4" s="4">
        <f>IF(AND(ISNUMBER(B4),ISNUMBER(D4),D4&gt;0),100*B4/D4,"")</f>
        <v/>
      </c>
    </row>
    <row r="5">
      <c r="A5" s="3" t="inlineStr">
        <is>
          <t>03002</t>
        </is>
      </c>
      <c r="B5" s="3" t="n">
        <v>15</v>
      </c>
      <c r="C5" s="3" t="n">
        <v>8</v>
      </c>
      <c r="D5" s="3" t="n">
        <v>2936.472181</v>
      </c>
      <c r="E5" s="4">
        <f>IF(AND(ISNUMBER(B5),ISNUMBER(C5),B5&gt;0),C5/B5,"")</f>
        <v/>
      </c>
      <c r="F5" s="4">
        <f>IF(AND(ISNUMBER(B5),ISNUMBER(D5),D5&gt;0),100*B5/D5,"")</f>
        <v/>
      </c>
    </row>
    <row r="6">
      <c r="A6" s="3" t="inlineStr">
        <is>
          <t>03003</t>
        </is>
      </c>
      <c r="B6" s="3" t="n">
        <v>4</v>
      </c>
      <c r="C6" s="3" t="n">
        <v>7</v>
      </c>
      <c r="D6" s="3" t="n">
        <v>633.0115525</v>
      </c>
      <c r="E6" s="4">
        <f>IF(AND(ISNUMBER(B6),ISNUMBER(C6),B6&gt;0),C6/B6,"")</f>
        <v/>
      </c>
      <c r="F6" s="4">
        <f>IF(AND(ISNUMBER(B6),ISNUMBER(D6),D6&gt;0),100*B6/D6,"")</f>
        <v/>
      </c>
    </row>
    <row r="7">
      <c r="A7" s="3" t="inlineStr">
        <is>
          <t>03004</t>
        </is>
      </c>
      <c r="B7" s="3" t="n">
        <v>17</v>
      </c>
      <c r="C7" s="3" t="n">
        <v>32</v>
      </c>
      <c r="D7" s="3" t="n">
        <v>930.9967141</v>
      </c>
      <c r="E7" s="4">
        <f>IF(AND(ISNUMBER(B7),ISNUMBER(C7),B7&gt;0),C7/B7,"")</f>
        <v/>
      </c>
      <c r="F7" s="4">
        <f>IF(AND(ISNUMBER(B7),ISNUMBER(D7),D7&gt;0),100*B7/D7,"")</f>
        <v/>
      </c>
    </row>
    <row r="8">
      <c r="A8" s="3" t="inlineStr">
        <is>
          <t>03005</t>
        </is>
      </c>
      <c r="B8" s="3" t="n">
        <v>8</v>
      </c>
      <c r="C8" s="3" t="n">
        <v>3</v>
      </c>
      <c r="D8" s="3" t="n">
        <v>3028.258235</v>
      </c>
      <c r="E8" s="4">
        <f>IF(AND(ISNUMBER(B8),ISNUMBER(C8),B8&gt;0),C8/B8,"")</f>
        <v/>
      </c>
      <c r="F8" s="4">
        <f>IF(AND(ISNUMBER(B8),ISNUMBER(D8),D8&gt;0),100*B8/D8,"")</f>
        <v/>
      </c>
    </row>
    <row r="9">
      <c r="A9" s="3" t="inlineStr">
        <is>
          <t>03006</t>
        </is>
      </c>
      <c r="B9" s="3" t="n">
        <v>24</v>
      </c>
      <c r="C9" s="3" t="n">
        <v>53</v>
      </c>
      <c r="D9" s="3" t="n">
        <v>1093.99216</v>
      </c>
      <c r="E9" s="4">
        <f>IF(AND(ISNUMBER(B9),ISNUMBER(C9),B9&gt;0),C9/B9,"")</f>
        <v/>
      </c>
      <c r="F9" s="4">
        <f>IF(AND(ISNUMBER(B9),ISNUMBER(D9),D9&gt;0),100*B9/D9,"")</f>
        <v/>
      </c>
    </row>
    <row r="10">
      <c r="A10" s="3" t="inlineStr">
        <is>
          <t>03007</t>
        </is>
      </c>
      <c r="B10" s="3" t="n">
        <v>1</v>
      </c>
      <c r="C10" s="3" t="n">
        <v>2</v>
      </c>
      <c r="D10" s="3" t="n">
        <v>224.0143369</v>
      </c>
      <c r="E10" s="4">
        <f>IF(AND(ISNUMBER(B10),ISNUMBER(C10),B10&gt;0),C10/B10,"")</f>
        <v/>
      </c>
      <c r="F10" s="4">
        <f>IF(AND(ISNUMBER(B10),ISNUMBER(D10),D10&gt;0),100*B10/D10,"")</f>
        <v/>
      </c>
    </row>
    <row r="11">
      <c r="A11" s="3" t="inlineStr">
        <is>
          <t>03008</t>
        </is>
      </c>
      <c r="B11" s="3" t="n">
        <v>6</v>
      </c>
      <c r="C11" s="3" t="n">
        <v>1</v>
      </c>
      <c r="D11" s="3" t="n">
        <v>255.9945388</v>
      </c>
      <c r="E11" s="4">
        <f>IF(AND(ISNUMBER(B11),ISNUMBER(C11),B11&gt;0),C11/B11,"")</f>
        <v/>
      </c>
      <c r="F11" s="4">
        <f>IF(AND(ISNUMBER(B11),ISNUMBER(D11),D11&gt;0),100*B11/D11,"")</f>
        <v/>
      </c>
    </row>
    <row r="12">
      <c r="A12" s="3" t="inlineStr">
        <is>
          <t>03009</t>
        </is>
      </c>
      <c r="B12" s="3" t="n">
        <v>61</v>
      </c>
      <c r="C12" s="3" t="n">
        <v>34</v>
      </c>
      <c r="D12" s="3" t="n">
        <v>15798.90167</v>
      </c>
      <c r="E12" s="4">
        <f>IF(AND(ISNUMBER(B12),ISNUMBER(C12),B12&gt;0),C12/B12,"")</f>
        <v/>
      </c>
      <c r="F12" s="4">
        <f>IF(AND(ISNUMBER(B12),ISNUMBER(D12),D12&gt;0),100*B12/D12,"")</f>
        <v/>
      </c>
    </row>
    <row r="13">
      <c r="A13" s="3" t="inlineStr">
        <is>
          <t>03010</t>
        </is>
      </c>
      <c r="B13" s="3" t="n">
        <v>4</v>
      </c>
      <c r="C13" s="3" t="n">
        <v>3</v>
      </c>
      <c r="D13" s="3" t="n">
        <v>343.997248</v>
      </c>
      <c r="E13" s="4">
        <f>IF(AND(ISNUMBER(B13),ISNUMBER(C13),B13&gt;0),C13/B13,"")</f>
        <v/>
      </c>
      <c r="F13" s="4">
        <f>IF(AND(ISNUMBER(B13),ISNUMBER(D13),D13&gt;0),100*B13/D13,"")</f>
        <v/>
      </c>
    </row>
    <row r="14">
      <c r="A14" s="3" t="inlineStr">
        <is>
          <t>03011</t>
        </is>
      </c>
      <c r="B14" s="3" t="n">
        <v>494</v>
      </c>
      <c r="C14" s="3" t="n">
        <v>1017</v>
      </c>
      <c r="D14" s="3" t="n">
        <v>12269.16009</v>
      </c>
      <c r="E14" s="4">
        <f>IF(AND(ISNUMBER(B14),ISNUMBER(C14),B14&gt;0),C14/B14,"")</f>
        <v/>
      </c>
      <c r="F14" s="4">
        <f>IF(AND(ISNUMBER(B14),ISNUMBER(D14),D14&gt;0),100*B14/D14,"")</f>
        <v/>
      </c>
    </row>
    <row r="15">
      <c r="A15" s="3" t="inlineStr">
        <is>
          <t>03012</t>
        </is>
      </c>
      <c r="B15" s="3" t="n">
        <v>36</v>
      </c>
      <c r="C15" s="3" t="n">
        <v>23</v>
      </c>
      <c r="D15" s="3" t="n">
        <v>4239.7833</v>
      </c>
      <c r="E15" s="4">
        <f>IF(AND(ISNUMBER(B15),ISNUMBER(C15),B15&gt;0),C15/B15,"")</f>
        <v/>
      </c>
      <c r="F15" s="4">
        <f>IF(AND(ISNUMBER(B15),ISNUMBER(D15),D15&gt;0),100*B15/D15,"")</f>
        <v/>
      </c>
    </row>
    <row r="16">
      <c r="A16" s="3" t="inlineStr">
        <is>
          <t>03013</t>
        </is>
      </c>
      <c r="B16" s="3" t="n">
        <v>1</v>
      </c>
      <c r="C16" s="3" t="n">
        <v>2</v>
      </c>
      <c r="D16" s="3" t="n">
        <v>944.2870633</v>
      </c>
      <c r="E16" s="4">
        <f>IF(AND(ISNUMBER(B16),ISNUMBER(C16),B16&gt;0),C16/B16,"")</f>
        <v/>
      </c>
      <c r="F16" s="4">
        <f>IF(AND(ISNUMBER(B16),ISNUMBER(D16),D16&gt;0),100*B16/D16,"")</f>
        <v/>
      </c>
    </row>
    <row r="17">
      <c r="A17" s="3" t="inlineStr">
        <is>
          <t>03014</t>
        </is>
      </c>
      <c r="B17" s="3" t="n">
        <v>2854</v>
      </c>
      <c r="C17" s="3" t="n">
        <v>3096</v>
      </c>
      <c r="D17" s="3" t="n">
        <v>159154.5885</v>
      </c>
      <c r="E17" s="4">
        <f>IF(AND(ISNUMBER(B17),ISNUMBER(C17),B17&gt;0),C17/B17,"")</f>
        <v/>
      </c>
      <c r="F17" s="4">
        <f>IF(AND(ISNUMBER(B17),ISNUMBER(D17),D17&gt;0),100*B17/D17,"")</f>
        <v/>
      </c>
    </row>
    <row r="18">
      <c r="A18" s="3" t="inlineStr">
        <is>
          <t>03015</t>
        </is>
      </c>
      <c r="B18" s="3" t="n">
        <v>14</v>
      </c>
      <c r="C18" s="3" t="n">
        <v>10</v>
      </c>
      <c r="D18" s="3" t="n">
        <v>7259.847513</v>
      </c>
      <c r="E18" s="4">
        <f>IF(AND(ISNUMBER(B18),ISNUMBER(C18),B18&gt;0),C18/B18,"")</f>
        <v/>
      </c>
      <c r="F18" s="4">
        <f>IF(AND(ISNUMBER(B18),ISNUMBER(D18),D18&gt;0),100*B18/D18,"")</f>
        <v/>
      </c>
    </row>
    <row r="19">
      <c r="A19" s="3" t="inlineStr">
        <is>
          <t>03016</t>
        </is>
      </c>
      <c r="B19" s="3" t="n">
        <v>0</v>
      </c>
      <c r="C19" s="3" t="n"/>
      <c r="D19" s="3" t="n"/>
      <c r="E19" s="4">
        <f>IF(AND(ISNUMBER(B19),ISNUMBER(C19),B19&gt;0),C19/B19,"")</f>
        <v/>
      </c>
      <c r="F19" s="4">
        <f>IF(AND(ISNUMBER(B19),ISNUMBER(D19),D19&gt;0),100*B19/D19,"")</f>
        <v/>
      </c>
    </row>
    <row r="20">
      <c r="A20" s="3" t="inlineStr">
        <is>
          <t>03017</t>
        </is>
      </c>
      <c r="B20" s="3" t="n">
        <v>0</v>
      </c>
      <c r="C20" s="3" t="n"/>
      <c r="D20" s="3" t="n"/>
      <c r="E20" s="4">
        <f>IF(AND(ISNUMBER(B20),ISNUMBER(C20),B20&gt;0),C20/B20,"")</f>
        <v/>
      </c>
      <c r="F20" s="4">
        <f>IF(AND(ISNUMBER(B20),ISNUMBER(D20),D20&gt;0),100*B20/D20,"")</f>
        <v/>
      </c>
    </row>
    <row r="21">
      <c r="A21" s="3" t="inlineStr">
        <is>
          <t>03018</t>
        </is>
      </c>
      <c r="B21" s="3" t="n">
        <v>1002</v>
      </c>
      <c r="C21" s="3" t="n">
        <v>1570</v>
      </c>
      <c r="D21" s="3" t="n">
        <v>18309.00141</v>
      </c>
      <c r="E21" s="4">
        <f>IF(AND(ISNUMBER(B21),ISNUMBER(C21),B21&gt;0),C21/B21,"")</f>
        <v/>
      </c>
      <c r="F21" s="4">
        <f>IF(AND(ISNUMBER(B21),ISNUMBER(D21),D21&gt;0),100*B21/D21,"")</f>
        <v/>
      </c>
    </row>
    <row r="22">
      <c r="A22" s="3" t="inlineStr">
        <is>
          <t>03019</t>
        </is>
      </c>
      <c r="B22" s="3" t="n">
        <v>16</v>
      </c>
      <c r="C22" s="3" t="n">
        <v>4</v>
      </c>
      <c r="D22" s="3" t="n">
        <v>4113.745572</v>
      </c>
      <c r="E22" s="4">
        <f>IF(AND(ISNUMBER(B22),ISNUMBER(C22),B22&gt;0),C22/B22,"")</f>
        <v/>
      </c>
      <c r="F22" s="4">
        <f>IF(AND(ISNUMBER(B22),ISNUMBER(D22),D22&gt;0),100*B22/D22,"")</f>
        <v/>
      </c>
    </row>
    <row r="23">
      <c r="A23" s="3" t="inlineStr">
        <is>
          <t>03020</t>
        </is>
      </c>
      <c r="B23" s="3" t="n">
        <v>0</v>
      </c>
      <c r="C23" s="3" t="n"/>
      <c r="D23" s="3" t="n"/>
      <c r="E23" s="4">
        <f>IF(AND(ISNUMBER(B23),ISNUMBER(C23),B23&gt;0),C23/B23,"")</f>
        <v/>
      </c>
      <c r="F23" s="4">
        <f>IF(AND(ISNUMBER(B23),ISNUMBER(D23),D23&gt;0),100*B23/D23,"")</f>
        <v/>
      </c>
    </row>
    <row r="24">
      <c r="A24" s="3" t="inlineStr">
        <is>
          <t>03021</t>
        </is>
      </c>
      <c r="B24" s="3" t="n">
        <v>15</v>
      </c>
      <c r="C24" s="3" t="n">
        <v>17</v>
      </c>
      <c r="D24" s="3" t="n">
        <v>3843.104343</v>
      </c>
      <c r="E24" s="4">
        <f>IF(AND(ISNUMBER(B24),ISNUMBER(C24),B24&gt;0),C24/B24,"")</f>
        <v/>
      </c>
      <c r="F24" s="4">
        <f>IF(AND(ISNUMBER(B24),ISNUMBER(D24),D24&gt;0),100*B24/D24,"")</f>
        <v/>
      </c>
    </row>
    <row r="25">
      <c r="A25" s="3" t="inlineStr">
        <is>
          <t>03022</t>
        </is>
      </c>
      <c r="B25" s="3" t="n">
        <v>1</v>
      </c>
      <c r="C25" s="3" t="n"/>
      <c r="D25" s="3" t="n">
        <v>185.013876</v>
      </c>
      <c r="E25" s="4">
        <f>IF(AND(ISNUMBER(B25),ISNUMBER(C25),B25&gt;0),C25/B25,"")</f>
        <v/>
      </c>
      <c r="F25" s="4">
        <f>IF(AND(ISNUMBER(B25),ISNUMBER(D25),D25&gt;0),100*B25/D25,"")</f>
        <v/>
      </c>
    </row>
    <row r="26">
      <c r="A26" s="3" t="inlineStr">
        <is>
          <t>03023</t>
        </is>
      </c>
      <c r="B26" s="3" t="n">
        <v>3</v>
      </c>
      <c r="C26" s="3" t="n">
        <v>2</v>
      </c>
      <c r="D26" s="3" t="n">
        <v>1356.238698</v>
      </c>
      <c r="E26" s="4">
        <f>IF(AND(ISNUMBER(B26),ISNUMBER(C26),B26&gt;0),C26/B26,"")</f>
        <v/>
      </c>
      <c r="F26" s="4">
        <f>IF(AND(ISNUMBER(B26),ISNUMBER(D26),D26&gt;0),100*B26/D26,"")</f>
        <v/>
      </c>
    </row>
    <row r="27">
      <c r="A27" s="3" t="inlineStr">
        <is>
          <t>03024</t>
        </is>
      </c>
      <c r="B27" s="3" t="n">
        <v>0</v>
      </c>
      <c r="C27" s="3" t="n">
        <v>2</v>
      </c>
      <c r="D27" s="3" t="n"/>
      <c r="E27" s="4">
        <f>IF(AND(ISNUMBER(B27),ISNUMBER(C27),B27&gt;0),C27/B27,"")</f>
        <v/>
      </c>
      <c r="F27" s="4">
        <f>IF(AND(ISNUMBER(B27),ISNUMBER(D27),D27&gt;0),100*B27/D27,"")</f>
        <v/>
      </c>
    </row>
    <row r="28">
      <c r="A28" s="3" t="inlineStr">
        <is>
          <t>03025</t>
        </is>
      </c>
      <c r="B28" s="3" t="n">
        <v>3</v>
      </c>
      <c r="C28" s="3" t="n">
        <v>2</v>
      </c>
      <c r="D28" s="3" t="n">
        <v>1113.172542</v>
      </c>
      <c r="E28" s="4">
        <f>IF(AND(ISNUMBER(B28),ISNUMBER(C28),B28&gt;0),C28/B28,"")</f>
        <v/>
      </c>
      <c r="F28" s="4">
        <f>IF(AND(ISNUMBER(B28),ISNUMBER(D28),D28&gt;0),100*B28/D28,"")</f>
        <v/>
      </c>
    </row>
    <row r="29">
      <c r="A29" s="3" t="inlineStr">
        <is>
          <t>03026</t>
        </is>
      </c>
      <c r="B29" s="3" t="n">
        <v>32</v>
      </c>
      <c r="C29" s="3" t="n">
        <v>39</v>
      </c>
      <c r="D29" s="3" t="n">
        <v>1371.977362</v>
      </c>
      <c r="E29" s="4">
        <f>IF(AND(ISNUMBER(B29),ISNUMBER(C29),B29&gt;0),C29/B29,"")</f>
        <v/>
      </c>
      <c r="F29" s="4">
        <f>IF(AND(ISNUMBER(B29),ISNUMBER(D29),D29&gt;0),100*B29/D29,"")</f>
        <v/>
      </c>
    </row>
    <row r="30">
      <c r="A30" s="3" t="inlineStr">
        <is>
          <t>03027</t>
        </is>
      </c>
      <c r="B30" s="3" t="n">
        <v>2</v>
      </c>
      <c r="C30" s="3" t="n">
        <v>5</v>
      </c>
      <c r="D30" s="3" t="n">
        <v>232.9916123</v>
      </c>
      <c r="E30" s="4">
        <f>IF(AND(ISNUMBER(B30),ISNUMBER(C30),B30&gt;0),C30/B30,"")</f>
        <v/>
      </c>
      <c r="F30" s="4">
        <f>IF(AND(ISNUMBER(B30),ISNUMBER(D30),D30&gt;0),100*B30/D30,"")</f>
        <v/>
      </c>
    </row>
    <row r="31">
      <c r="A31" s="3" t="inlineStr">
        <is>
          <t>03028</t>
        </is>
      </c>
      <c r="B31" s="3" t="n">
        <v>0</v>
      </c>
      <c r="C31" s="3" t="n">
        <v>5</v>
      </c>
      <c r="D31" s="3" t="n"/>
      <c r="E31" s="4">
        <f>IF(AND(ISNUMBER(B31),ISNUMBER(C31),B31&gt;0),C31/B31,"")</f>
        <v/>
      </c>
      <c r="F31" s="4">
        <f>IF(AND(ISNUMBER(B31),ISNUMBER(D31),D31&gt;0),100*B31/D31,"")</f>
        <v/>
      </c>
    </row>
    <row r="32">
      <c r="A32" s="3" t="inlineStr">
        <is>
          <t>03029</t>
        </is>
      </c>
      <c r="B32" s="3" t="n">
        <v>8</v>
      </c>
      <c r="C32" s="3" t="n">
        <v>12</v>
      </c>
      <c r="D32" s="3" t="n">
        <v>501.002004</v>
      </c>
      <c r="E32" s="4">
        <f>IF(AND(ISNUMBER(B32),ISNUMBER(C32),B32&gt;0),C32/B32,"")</f>
        <v/>
      </c>
      <c r="F32" s="4">
        <f>IF(AND(ISNUMBER(B32),ISNUMBER(D32),D32&gt;0),100*B32/D32,"")</f>
        <v/>
      </c>
    </row>
    <row r="33">
      <c r="A33" s="3" t="inlineStr">
        <is>
          <t>03030</t>
        </is>
      </c>
      <c r="B33" s="3" t="n">
        <v>19</v>
      </c>
      <c r="C33" s="3" t="n">
        <v>40</v>
      </c>
      <c r="D33" s="3" t="n">
        <v>941.0133228</v>
      </c>
      <c r="E33" s="4">
        <f>IF(AND(ISNUMBER(B33),ISNUMBER(C33),B33&gt;0),C33/B33,"")</f>
        <v/>
      </c>
      <c r="F33" s="4">
        <f>IF(AND(ISNUMBER(B33),ISNUMBER(D33),D33&gt;0),100*B33/D33,"")</f>
        <v/>
      </c>
    </row>
    <row r="34">
      <c r="A34" s="3" t="inlineStr">
        <is>
          <t>03031</t>
        </is>
      </c>
      <c r="B34" s="3" t="n">
        <v>2564</v>
      </c>
      <c r="C34" s="3" t="n">
        <v>5642</v>
      </c>
      <c r="D34" s="3" t="n">
        <v>59118.18085</v>
      </c>
      <c r="E34" s="4">
        <f>IF(AND(ISNUMBER(B34),ISNUMBER(C34),B34&gt;0),C34/B34,"")</f>
        <v/>
      </c>
      <c r="F34" s="4">
        <f>IF(AND(ISNUMBER(B34),ISNUMBER(D34),D34&gt;0),100*B34/D34,"")</f>
        <v/>
      </c>
    </row>
    <row r="35">
      <c r="A35" s="3" t="inlineStr">
        <is>
          <t>03032</t>
        </is>
      </c>
      <c r="B35" s="3" t="n">
        <v>0</v>
      </c>
      <c r="C35" s="3" t="n"/>
      <c r="D35" s="3" t="n"/>
      <c r="E35" s="4">
        <f>IF(AND(ISNUMBER(B35),ISNUMBER(C35),B35&gt;0),C35/B35,"")</f>
        <v/>
      </c>
      <c r="F35" s="4">
        <f>IF(AND(ISNUMBER(B35),ISNUMBER(D35),D35&gt;0),100*B35/D35,"")</f>
        <v/>
      </c>
    </row>
    <row r="36">
      <c r="A36" s="3" t="inlineStr">
        <is>
          <t>03033</t>
        </is>
      </c>
      <c r="B36" s="3" t="n">
        <v>1</v>
      </c>
      <c r="C36" s="3" t="n">
        <v>1</v>
      </c>
      <c r="D36" s="3" t="n">
        <v>186.0119048</v>
      </c>
      <c r="E36" s="4">
        <f>IF(AND(ISNUMBER(B36),ISNUMBER(C36),B36&gt;0),C36/B36,"")</f>
        <v/>
      </c>
      <c r="F36" s="4">
        <f>IF(AND(ISNUMBER(B36),ISNUMBER(D36),D36&gt;0),100*B36/D36,"")</f>
        <v/>
      </c>
    </row>
    <row r="37">
      <c r="A37" s="3" t="inlineStr">
        <is>
          <t>03034</t>
        </is>
      </c>
      <c r="B37" s="3" t="n">
        <v>24</v>
      </c>
      <c r="C37" s="3" t="n">
        <v>21</v>
      </c>
      <c r="D37" s="3" t="n">
        <v>2377.885663</v>
      </c>
      <c r="E37" s="4">
        <f>IF(AND(ISNUMBER(B37),ISNUMBER(C37),B37&gt;0),C37/B37,"")</f>
        <v/>
      </c>
      <c r="F37" s="4">
        <f>IF(AND(ISNUMBER(B37),ISNUMBER(D37),D37&gt;0),100*B37/D37,"")</f>
        <v/>
      </c>
    </row>
    <row r="38">
      <c r="A38" s="3" t="inlineStr">
        <is>
          <t>03035</t>
        </is>
      </c>
      <c r="B38" s="3" t="n">
        <v>1</v>
      </c>
      <c r="C38" s="3" t="n">
        <v>1</v>
      </c>
      <c r="D38" s="3" t="n">
        <v>610.8735492</v>
      </c>
      <c r="E38" s="4">
        <f>IF(AND(ISNUMBER(B38),ISNUMBER(C38),B38&gt;0),C38/B38,"")</f>
        <v/>
      </c>
      <c r="F38" s="4">
        <f>IF(AND(ISNUMBER(B38),ISNUMBER(D38),D38&gt;0),100*B38/D38,"")</f>
        <v/>
      </c>
    </row>
    <row r="39">
      <c r="A39" s="3" t="inlineStr">
        <is>
          <t>03036</t>
        </is>
      </c>
      <c r="B39" s="3" t="n">
        <v>0</v>
      </c>
      <c r="C39" s="3" t="n"/>
      <c r="D39" s="3" t="n"/>
      <c r="E39" s="4">
        <f>IF(AND(ISNUMBER(B39),ISNUMBER(C39),B39&gt;0),C39/B39,"")</f>
        <v/>
      </c>
      <c r="F39" s="4">
        <f>IF(AND(ISNUMBER(B39),ISNUMBER(D39),D39&gt;0),100*B39/D39,"")</f>
        <v/>
      </c>
    </row>
    <row r="40">
      <c r="A40" s="3" t="inlineStr">
        <is>
          <t>03037</t>
        </is>
      </c>
      <c r="B40" s="3" t="n">
        <v>25</v>
      </c>
      <c r="C40" s="3" t="n">
        <v>36</v>
      </c>
      <c r="D40" s="3" t="n">
        <v>496.9981313</v>
      </c>
      <c r="E40" s="4">
        <f>IF(AND(ISNUMBER(B40),ISNUMBER(C40),B40&gt;0),C40/B40,"")</f>
        <v/>
      </c>
      <c r="F40" s="4">
        <f>IF(AND(ISNUMBER(B40),ISNUMBER(D40),D40&gt;0),100*B40/D40,"")</f>
        <v/>
      </c>
    </row>
    <row r="41">
      <c r="A41" s="3" t="inlineStr">
        <is>
          <t>03038</t>
        </is>
      </c>
      <c r="B41" s="3" t="n">
        <v>0</v>
      </c>
      <c r="C41" s="3" t="n"/>
      <c r="D41" s="3" t="n"/>
      <c r="E41" s="4">
        <f>IF(AND(ISNUMBER(B41),ISNUMBER(C41),B41&gt;0),C41/B41,"")</f>
        <v/>
      </c>
      <c r="F41" s="4">
        <f>IF(AND(ISNUMBER(B41),ISNUMBER(D41),D41&gt;0),100*B41/D41,"")</f>
        <v/>
      </c>
    </row>
    <row r="42">
      <c r="A42" s="3" t="inlineStr">
        <is>
          <t>03039</t>
        </is>
      </c>
      <c r="B42" s="3" t="n">
        <v>1</v>
      </c>
      <c r="C42" s="3" t="n"/>
      <c r="D42" s="3" t="n">
        <v>108.0030241</v>
      </c>
      <c r="E42" s="4">
        <f>IF(AND(ISNUMBER(B42),ISNUMBER(C42),B42&gt;0),C42/B42,"")</f>
        <v/>
      </c>
      <c r="F42" s="4">
        <f>IF(AND(ISNUMBER(B42),ISNUMBER(D42),D42&gt;0),100*B42/D42,"")</f>
        <v/>
      </c>
    </row>
    <row r="43">
      <c r="A43" s="3" t="inlineStr">
        <is>
          <t>03040</t>
        </is>
      </c>
      <c r="B43" s="3" t="n">
        <v>4</v>
      </c>
      <c r="C43" s="3" t="n">
        <v>6</v>
      </c>
      <c r="D43" s="3" t="n">
        <v>298.9983555</v>
      </c>
      <c r="E43" s="4">
        <f>IF(AND(ISNUMBER(B43),ISNUMBER(C43),B43&gt;0),C43/B43,"")</f>
        <v/>
      </c>
      <c r="F43" s="4">
        <f>IF(AND(ISNUMBER(B43),ISNUMBER(D43),D43&gt;0),100*B43/D43,"")</f>
        <v/>
      </c>
    </row>
    <row r="44">
      <c r="A44" s="3" t="inlineStr">
        <is>
          <t>03041</t>
        </is>
      </c>
      <c r="B44" s="3" t="n">
        <v>856</v>
      </c>
      <c r="C44" s="3" t="n">
        <v>1244</v>
      </c>
      <c r="D44" s="3" t="n">
        <v>10061.07587</v>
      </c>
      <c r="E44" s="4">
        <f>IF(AND(ISNUMBER(B44),ISNUMBER(C44),B44&gt;0),C44/B44,"")</f>
        <v/>
      </c>
      <c r="F44" s="4">
        <f>IF(AND(ISNUMBER(B44),ISNUMBER(D44),D44&gt;0),100*B44/D44,"")</f>
        <v/>
      </c>
    </row>
    <row r="45">
      <c r="A45" s="3" t="inlineStr">
        <is>
          <t>03042</t>
        </is>
      </c>
      <c r="B45" s="3" t="n">
        <v>518</v>
      </c>
      <c r="C45" s="3" t="n">
        <v>748</v>
      </c>
      <c r="D45" s="3" t="n">
        <v>5829.985031</v>
      </c>
      <c r="E45" s="4">
        <f>IF(AND(ISNUMBER(B45),ISNUMBER(C45),B45&gt;0),C45/B45,"")</f>
        <v/>
      </c>
      <c r="F45" s="4">
        <f>IF(AND(ISNUMBER(B45),ISNUMBER(D45),D45&gt;0),100*B45/D45,"")</f>
        <v/>
      </c>
    </row>
    <row r="46">
      <c r="A46" s="3" t="inlineStr">
        <is>
          <t>03043</t>
        </is>
      </c>
      <c r="B46" s="3" t="n">
        <v>32</v>
      </c>
      <c r="C46" s="3" t="n">
        <v>24</v>
      </c>
      <c r="D46" s="3" t="n">
        <v>2879.058467</v>
      </c>
      <c r="E46" s="4">
        <f>IF(AND(ISNUMBER(B46),ISNUMBER(C46),B46&gt;0),C46/B46,"")</f>
        <v/>
      </c>
      <c r="F46" s="4">
        <f>IF(AND(ISNUMBER(B46),ISNUMBER(D46),D46&gt;0),100*B46/D46,"")</f>
        <v/>
      </c>
    </row>
    <row r="47">
      <c r="A47" s="3" t="inlineStr">
        <is>
          <t>03044</t>
        </is>
      </c>
      <c r="B47" s="3" t="n">
        <v>3</v>
      </c>
      <c r="C47" s="3" t="n">
        <v>6</v>
      </c>
      <c r="D47" s="3" t="n">
        <v>1071.811361</v>
      </c>
      <c r="E47" s="4">
        <f>IF(AND(ISNUMBER(B47),ISNUMBER(C47),B47&gt;0),C47/B47,"")</f>
        <v/>
      </c>
      <c r="F47" s="4">
        <f>IF(AND(ISNUMBER(B47),ISNUMBER(D47),D47&gt;0),100*B47/D47,"")</f>
        <v/>
      </c>
    </row>
    <row r="48">
      <c r="A48" s="3" t="inlineStr">
        <is>
          <t>03045</t>
        </is>
      </c>
      <c r="B48" s="3" t="n">
        <v>8</v>
      </c>
      <c r="C48" s="3" t="n">
        <v>9</v>
      </c>
      <c r="D48" s="3" t="n">
        <v>345.0060376</v>
      </c>
      <c r="E48" s="4">
        <f>IF(AND(ISNUMBER(B48),ISNUMBER(C48),B48&gt;0),C48/B48,"")</f>
        <v/>
      </c>
      <c r="F48" s="4">
        <f>IF(AND(ISNUMBER(B48),ISNUMBER(D48),D48&gt;0),100*B48/D48,"")</f>
        <v/>
      </c>
    </row>
    <row r="49">
      <c r="A49" s="3" t="inlineStr">
        <is>
          <t>03046</t>
        </is>
      </c>
      <c r="B49" s="3" t="n">
        <v>63</v>
      </c>
      <c r="C49" s="3" t="n">
        <v>97</v>
      </c>
      <c r="D49" s="3" t="n">
        <v>2344.011608</v>
      </c>
      <c r="E49" s="4">
        <f>IF(AND(ISNUMBER(B49),ISNUMBER(C49),B49&gt;0),C49/B49,"")</f>
        <v/>
      </c>
      <c r="F49" s="4">
        <f>IF(AND(ISNUMBER(B49),ISNUMBER(D49),D49&gt;0),100*B49/D49,"")</f>
        <v/>
      </c>
    </row>
    <row r="50">
      <c r="A50" s="3" t="inlineStr">
        <is>
          <t>03047</t>
        </is>
      </c>
      <c r="B50" s="3" t="n">
        <v>2943</v>
      </c>
      <c r="C50" s="3" t="n">
        <v>5558</v>
      </c>
      <c r="D50" s="3" t="n">
        <v>26155.99517</v>
      </c>
      <c r="E50" s="4">
        <f>IF(AND(ISNUMBER(B50),ISNUMBER(C50),B50&gt;0),C50/B50,"")</f>
        <v/>
      </c>
      <c r="F50" s="4">
        <f>IF(AND(ISNUMBER(B50),ISNUMBER(D50),D50&gt;0),100*B50/D50,"")</f>
        <v/>
      </c>
    </row>
    <row r="51">
      <c r="A51" s="3" t="inlineStr">
        <is>
          <t>03048</t>
        </is>
      </c>
      <c r="B51" s="3" t="n">
        <v>31</v>
      </c>
      <c r="C51" s="3" t="n">
        <v>26</v>
      </c>
      <c r="D51" s="3" t="n">
        <v>3834.140093</v>
      </c>
      <c r="E51" s="4">
        <f>IF(AND(ISNUMBER(B51),ISNUMBER(C51),B51&gt;0),C51/B51,"")</f>
        <v/>
      </c>
      <c r="F51" s="4">
        <f>IF(AND(ISNUMBER(B51),ISNUMBER(D51),D51&gt;0),100*B51/D51,"")</f>
        <v/>
      </c>
    </row>
    <row r="52">
      <c r="A52" s="3" t="inlineStr">
        <is>
          <t>03049</t>
        </is>
      </c>
      <c r="B52" s="3" t="n">
        <v>3</v>
      </c>
      <c r="C52" s="3" t="n">
        <v>2</v>
      </c>
      <c r="D52" s="3" t="n">
        <v>2481.168916</v>
      </c>
      <c r="E52" s="4">
        <f>IF(AND(ISNUMBER(B52),ISNUMBER(C52),B52&gt;0),C52/B52,"")</f>
        <v/>
      </c>
      <c r="F52" s="4">
        <f>IF(AND(ISNUMBER(B52),ISNUMBER(D52),D52&gt;0),100*B52/D52,"")</f>
        <v/>
      </c>
    </row>
    <row r="53">
      <c r="A53" s="3" t="inlineStr">
        <is>
          <t>03050</t>
        </is>
      </c>
      <c r="B53" s="3" t="n">
        <v>1081</v>
      </c>
      <c r="C53" s="3" t="n">
        <v>1853</v>
      </c>
      <c r="D53" s="3" t="n">
        <v>26800.89088</v>
      </c>
      <c r="E53" s="4">
        <f>IF(AND(ISNUMBER(B53),ISNUMBER(C53),B53&gt;0),C53/B53,"")</f>
        <v/>
      </c>
      <c r="F53" s="4">
        <f>IF(AND(ISNUMBER(B53),ISNUMBER(D53),D53&gt;0),100*B53/D53,"")</f>
        <v/>
      </c>
    </row>
    <row r="54">
      <c r="A54" s="3" t="inlineStr">
        <is>
          <t>03051</t>
        </is>
      </c>
      <c r="B54" s="3" t="n">
        <v>4</v>
      </c>
      <c r="C54" s="3" t="n"/>
      <c r="D54" s="3" t="n">
        <v>343.997248</v>
      </c>
      <c r="E54" s="4">
        <f>IF(AND(ISNUMBER(B54),ISNUMBER(C54),B54&gt;0),C54/B54,"")</f>
        <v/>
      </c>
      <c r="F54" s="4">
        <f>IF(AND(ISNUMBER(B54),ISNUMBER(D54),D54&gt;0),100*B54/D54,"")</f>
        <v/>
      </c>
    </row>
    <row r="55">
      <c r="A55" s="3" t="inlineStr">
        <is>
          <t>03052</t>
        </is>
      </c>
      <c r="B55" s="3" t="n">
        <v>0</v>
      </c>
      <c r="C55" s="3" t="n">
        <v>2</v>
      </c>
      <c r="D55" s="3" t="n"/>
      <c r="E55" s="4">
        <f>IF(AND(ISNUMBER(B55),ISNUMBER(C55),B55&gt;0),C55/B55,"")</f>
        <v/>
      </c>
      <c r="F55" s="4">
        <f>IF(AND(ISNUMBER(B55),ISNUMBER(D55),D55&gt;0),100*B55/D55,"")</f>
        <v/>
      </c>
    </row>
    <row r="56">
      <c r="A56" s="3" t="inlineStr">
        <is>
          <t>03053</t>
        </is>
      </c>
      <c r="B56" s="3" t="n">
        <v>20</v>
      </c>
      <c r="C56" s="3" t="n">
        <v>20</v>
      </c>
      <c r="D56" s="3" t="n">
        <v>6105.642773</v>
      </c>
      <c r="E56" s="4">
        <f>IF(AND(ISNUMBER(B56),ISNUMBER(C56),B56&gt;0),C56/B56,"")</f>
        <v/>
      </c>
      <c r="F56" s="4">
        <f>IF(AND(ISNUMBER(B56),ISNUMBER(D56),D56&gt;0),100*B56/D56,"")</f>
        <v/>
      </c>
    </row>
    <row r="57">
      <c r="A57" s="3" t="inlineStr">
        <is>
          <t>03054</t>
        </is>
      </c>
      <c r="B57" s="3" t="n">
        <v>3</v>
      </c>
      <c r="C57" s="3" t="n">
        <v>4</v>
      </c>
      <c r="D57" s="3" t="n">
        <v>552.9953917</v>
      </c>
      <c r="E57" s="4">
        <f>IF(AND(ISNUMBER(B57),ISNUMBER(C57),B57&gt;0),C57/B57,"")</f>
        <v/>
      </c>
      <c r="F57" s="4">
        <f>IF(AND(ISNUMBER(B57),ISNUMBER(D57),D57&gt;0),100*B57/D57,"")</f>
        <v/>
      </c>
    </row>
    <row r="58">
      <c r="A58" s="3" t="inlineStr">
        <is>
          <t>03055</t>
        </is>
      </c>
      <c r="B58" s="3" t="n">
        <v>14</v>
      </c>
      <c r="C58" s="3" t="n">
        <v>4</v>
      </c>
      <c r="D58" s="3" t="n">
        <v>4643.810961</v>
      </c>
      <c r="E58" s="4">
        <f>IF(AND(ISNUMBER(B58),ISNUMBER(C58),B58&gt;0),C58/B58,"")</f>
        <v/>
      </c>
      <c r="F58" s="4">
        <f>IF(AND(ISNUMBER(B58),ISNUMBER(D58),D58&gt;0),100*B58/D58,"")</f>
        <v/>
      </c>
    </row>
    <row r="59">
      <c r="A59" s="3" t="inlineStr">
        <is>
          <t>03056</t>
        </is>
      </c>
      <c r="B59" s="3" t="n">
        <v>10</v>
      </c>
      <c r="C59" s="3" t="n">
        <v>8</v>
      </c>
      <c r="D59" s="3" t="n">
        <v>3564.886279</v>
      </c>
      <c r="E59" s="4">
        <f>IF(AND(ISNUMBER(B59),ISNUMBER(C59),B59&gt;0),C59/B59,"")</f>
        <v/>
      </c>
      <c r="F59" s="4">
        <f>IF(AND(ISNUMBER(B59),ISNUMBER(D59),D59&gt;0),100*B59/D59,"")</f>
        <v/>
      </c>
    </row>
    <row r="60">
      <c r="A60" s="3" t="inlineStr">
        <is>
          <t>03057</t>
        </is>
      </c>
      <c r="B60" s="3" t="n">
        <v>11</v>
      </c>
      <c r="C60" s="3" t="n">
        <v>3</v>
      </c>
      <c r="D60" s="3" t="n">
        <v>461.0033108</v>
      </c>
      <c r="E60" s="4">
        <f>IF(AND(ISNUMBER(B60),ISNUMBER(C60),B60&gt;0),C60/B60,"")</f>
        <v/>
      </c>
      <c r="F60" s="4">
        <f>IF(AND(ISNUMBER(B60),ISNUMBER(D60),D60&gt;0),100*B60/D60,"")</f>
        <v/>
      </c>
    </row>
    <row r="61">
      <c r="A61" s="3" t="inlineStr">
        <is>
          <t>03058</t>
        </is>
      </c>
      <c r="B61" s="3" t="n">
        <v>3</v>
      </c>
      <c r="C61" s="3" t="n">
        <v>4</v>
      </c>
      <c r="D61" s="3" t="n">
        <v>1714.907666</v>
      </c>
      <c r="E61" s="4">
        <f>IF(AND(ISNUMBER(B61),ISNUMBER(C61),B61&gt;0),C61/B61,"")</f>
        <v/>
      </c>
      <c r="F61" s="4">
        <f>IF(AND(ISNUMBER(B61),ISNUMBER(D61),D61&gt;0),100*B61/D61,"")</f>
        <v/>
      </c>
    </row>
    <row r="62">
      <c r="A62" s="3" t="inlineStr">
        <is>
          <t>03059</t>
        </is>
      </c>
      <c r="B62" s="3" t="n">
        <v>16</v>
      </c>
      <c r="C62" s="3" t="n">
        <v>2</v>
      </c>
      <c r="D62" s="3" t="n">
        <v>6331.53593</v>
      </c>
      <c r="E62" s="4">
        <f>IF(AND(ISNUMBER(B62),ISNUMBER(C62),B62&gt;0),C62/B62,"")</f>
        <v/>
      </c>
      <c r="F62" s="4">
        <f>IF(AND(ISNUMBER(B62),ISNUMBER(D62),D62&gt;0),100*B62/D62,"")</f>
        <v/>
      </c>
    </row>
    <row r="63">
      <c r="A63" s="3" t="inlineStr">
        <is>
          <t>03060</t>
        </is>
      </c>
      <c r="B63" s="3" t="n">
        <v>3</v>
      </c>
      <c r="C63" s="3" t="n">
        <v>3</v>
      </c>
      <c r="D63" s="3" t="n">
        <v>155.998128</v>
      </c>
      <c r="E63" s="4">
        <f>IF(AND(ISNUMBER(B63),ISNUMBER(C63),B63&gt;0),C63/B63,"")</f>
        <v/>
      </c>
      <c r="F63" s="4">
        <f>IF(AND(ISNUMBER(B63),ISNUMBER(D63),D63&gt;0),100*B63/D63,"")</f>
        <v/>
      </c>
    </row>
    <row r="64">
      <c r="A64" s="3" t="inlineStr">
        <is>
          <t>03061</t>
        </is>
      </c>
      <c r="B64" s="3" t="n">
        <v>10</v>
      </c>
      <c r="C64" s="3" t="n">
        <v>15</v>
      </c>
      <c r="D64" s="3" t="n">
        <v>1467.997651</v>
      </c>
      <c r="E64" s="4">
        <f>IF(AND(ISNUMBER(B64),ISNUMBER(C64),B64&gt;0),C64/B64,"")</f>
        <v/>
      </c>
      <c r="F64" s="4">
        <f>IF(AND(ISNUMBER(B64),ISNUMBER(D64),D64&gt;0),100*B64/D64,"")</f>
        <v/>
      </c>
    </row>
    <row r="65">
      <c r="A65" s="3" t="inlineStr">
        <is>
          <t>03062</t>
        </is>
      </c>
      <c r="B65" s="3" t="n">
        <v>8</v>
      </c>
      <c r="C65" s="3" t="n">
        <v>24</v>
      </c>
      <c r="D65" s="3" t="n">
        <v>646.9874646</v>
      </c>
      <c r="E65" s="4">
        <f>IF(AND(ISNUMBER(B65),ISNUMBER(C65),B65&gt;0),C65/B65,"")</f>
        <v/>
      </c>
      <c r="F65" s="4">
        <f>IF(AND(ISNUMBER(B65),ISNUMBER(D65),D65&gt;0),100*B65/D65,"")</f>
        <v/>
      </c>
    </row>
    <row r="66">
      <c r="A66" s="3" t="inlineStr">
        <is>
          <t>03063</t>
        </is>
      </c>
      <c r="B66" s="3" t="n">
        <v>2926</v>
      </c>
      <c r="C66" s="3" t="n">
        <v>5204</v>
      </c>
      <c r="D66" s="3" t="n">
        <v>44641.04554</v>
      </c>
      <c r="E66" s="4">
        <f>IF(AND(ISNUMBER(B66),ISNUMBER(C66),B66&gt;0),C66/B66,"")</f>
        <v/>
      </c>
      <c r="F66" s="4">
        <f>IF(AND(ISNUMBER(B66),ISNUMBER(D66),D66&gt;0),100*B66/D66,"")</f>
        <v/>
      </c>
    </row>
    <row r="67">
      <c r="A67" s="3" t="inlineStr">
        <is>
          <t>03064</t>
        </is>
      </c>
      <c r="B67" s="3" t="n">
        <v>23</v>
      </c>
      <c r="C67" s="3" t="n">
        <v>22</v>
      </c>
      <c r="D67" s="3" t="n">
        <v>3828.162408</v>
      </c>
      <c r="E67" s="4">
        <f>IF(AND(ISNUMBER(B67),ISNUMBER(C67),B67&gt;0),C67/B67,"")</f>
        <v/>
      </c>
      <c r="F67" s="4">
        <f>IF(AND(ISNUMBER(B67),ISNUMBER(D67),D67&gt;0),100*B67/D67,"")</f>
        <v/>
      </c>
    </row>
    <row r="68">
      <c r="A68" s="3" t="inlineStr">
        <is>
          <t>03065</t>
        </is>
      </c>
      <c r="B68" s="3" t="n">
        <v>537</v>
      </c>
      <c r="C68" s="3" t="n">
        <v>944</v>
      </c>
      <c r="D68" s="3" t="n">
        <v>74488.51011</v>
      </c>
      <c r="E68" s="4">
        <f>IF(AND(ISNUMBER(B68),ISNUMBER(C68),B68&gt;0),C68/B68,"")</f>
        <v/>
      </c>
      <c r="F68" s="4">
        <f>IF(AND(ISNUMBER(B68),ISNUMBER(D68),D68&gt;0),100*B68/D68,"")</f>
        <v/>
      </c>
    </row>
    <row r="69">
      <c r="A69" s="3" t="inlineStr">
        <is>
          <t>03066</t>
        </is>
      </c>
      <c r="B69" s="3" t="n">
        <v>21</v>
      </c>
      <c r="C69" s="3" t="n">
        <v>5</v>
      </c>
      <c r="D69" s="3" t="n">
        <v>10517.02457</v>
      </c>
      <c r="E69" s="4">
        <f>IF(AND(ISNUMBER(B69),ISNUMBER(C69),B69&gt;0),C69/B69,"")</f>
        <v/>
      </c>
      <c r="F69" s="4">
        <f>IF(AND(ISNUMBER(B69),ISNUMBER(D69),D69&gt;0),100*B69/D69,"")</f>
        <v/>
      </c>
    </row>
    <row r="70">
      <c r="A70" s="3" t="inlineStr">
        <is>
          <t>03067</t>
        </is>
      </c>
      <c r="B70" s="3" t="n">
        <v>8</v>
      </c>
      <c r="C70" s="3" t="n">
        <v>7</v>
      </c>
      <c r="D70" s="3" t="n">
        <v>124.000248</v>
      </c>
      <c r="E70" s="4">
        <f>IF(AND(ISNUMBER(B70),ISNUMBER(C70),B70&gt;0),C70/B70,"")</f>
        <v/>
      </c>
      <c r="F70" s="4">
        <f>IF(AND(ISNUMBER(B70),ISNUMBER(D70),D70&gt;0),100*B70/D70,"")</f>
        <v/>
      </c>
    </row>
    <row r="71">
      <c r="A71" s="3" t="inlineStr">
        <is>
          <t>03068</t>
        </is>
      </c>
      <c r="B71" s="3" t="n">
        <v>0</v>
      </c>
      <c r="C71" s="3" t="n"/>
      <c r="D71" s="3" t="n"/>
      <c r="E71" s="4">
        <f>IF(AND(ISNUMBER(B71),ISNUMBER(C71),B71&gt;0),C71/B71,"")</f>
        <v/>
      </c>
      <c r="F71" s="4">
        <f>IF(AND(ISNUMBER(B71),ISNUMBER(D71),D71&gt;0),100*B71/D71,"")</f>
        <v/>
      </c>
    </row>
    <row r="72">
      <c r="A72" s="3" t="inlineStr">
        <is>
          <t>03069</t>
        </is>
      </c>
      <c r="B72" s="3" t="n">
        <v>415</v>
      </c>
      <c r="C72" s="3" t="n">
        <v>871</v>
      </c>
      <c r="D72" s="3" t="n">
        <v>6559.81303</v>
      </c>
      <c r="E72" s="4">
        <f>IF(AND(ISNUMBER(B72),ISNUMBER(C72),B72&gt;0),C72/B72,"")</f>
        <v/>
      </c>
      <c r="F72" s="4">
        <f>IF(AND(ISNUMBER(B72),ISNUMBER(D72),D72&gt;0),100*B72/D72,"")</f>
        <v/>
      </c>
    </row>
    <row r="73">
      <c r="A73" s="3" t="inlineStr">
        <is>
          <t>03070</t>
        </is>
      </c>
      <c r="B73" s="3" t="n">
        <v>17</v>
      </c>
      <c r="C73" s="3" t="n">
        <v>24</v>
      </c>
      <c r="D73" s="3" t="n">
        <v>3657.725008</v>
      </c>
      <c r="E73" s="4">
        <f>IF(AND(ISNUMBER(B73),ISNUMBER(C73),B73&gt;0),C73/B73,"")</f>
        <v/>
      </c>
      <c r="F73" s="4">
        <f>IF(AND(ISNUMBER(B73),ISNUMBER(D73),D73&gt;0),100*B73/D73,"")</f>
        <v/>
      </c>
    </row>
    <row r="74">
      <c r="A74" s="3" t="inlineStr">
        <is>
          <t>03071</t>
        </is>
      </c>
      <c r="B74" s="3" t="n">
        <v>18</v>
      </c>
      <c r="C74" s="3" t="n">
        <v>26</v>
      </c>
      <c r="D74" s="3" t="n">
        <v>2829.035214</v>
      </c>
      <c r="E74" s="4">
        <f>IF(AND(ISNUMBER(B74),ISNUMBER(C74),B74&gt;0),C74/B74,"")</f>
        <v/>
      </c>
      <c r="F74" s="4">
        <f>IF(AND(ISNUMBER(B74),ISNUMBER(D74),D74&gt;0),100*B74/D74,"")</f>
        <v/>
      </c>
    </row>
    <row r="75">
      <c r="A75" s="3" t="inlineStr">
        <is>
          <t>03072</t>
        </is>
      </c>
      <c r="B75" s="3" t="n">
        <v>1</v>
      </c>
      <c r="C75" s="3" t="n">
        <v>6</v>
      </c>
      <c r="D75" s="3" t="n">
        <v>452.079566</v>
      </c>
      <c r="E75" s="4">
        <f>IF(AND(ISNUMBER(B75),ISNUMBER(C75),B75&gt;0),C75/B75,"")</f>
        <v/>
      </c>
      <c r="F75" s="4">
        <f>IF(AND(ISNUMBER(B75),ISNUMBER(D75),D75&gt;0),100*B75/D75,"")</f>
        <v/>
      </c>
    </row>
    <row r="76">
      <c r="A76" s="3" t="inlineStr">
        <is>
          <t>03073</t>
        </is>
      </c>
      <c r="B76" s="3" t="n">
        <v>0</v>
      </c>
      <c r="C76" s="3" t="n"/>
      <c r="D76" s="3" t="n"/>
      <c r="E76" s="4">
        <f>IF(AND(ISNUMBER(B76),ISNUMBER(C76),B76&gt;0),C76/B76,"")</f>
        <v/>
      </c>
      <c r="F76" s="4">
        <f>IF(AND(ISNUMBER(B76),ISNUMBER(D76),D76&gt;0),100*B76/D76,"")</f>
        <v/>
      </c>
    </row>
    <row r="77">
      <c r="A77" s="3" t="inlineStr">
        <is>
          <t>03074</t>
        </is>
      </c>
      <c r="B77" s="3" t="n">
        <v>2</v>
      </c>
      <c r="C77" s="3" t="n"/>
      <c r="D77" s="3" t="n">
        <v>1182.033097</v>
      </c>
      <c r="E77" s="4">
        <f>IF(AND(ISNUMBER(B77),ISNUMBER(C77),B77&gt;0),C77/B77,"")</f>
        <v/>
      </c>
      <c r="F77" s="4">
        <f>IF(AND(ISNUMBER(B77),ISNUMBER(D77),D77&gt;0),100*B77/D77,"")</f>
        <v/>
      </c>
    </row>
    <row r="78">
      <c r="A78" s="3" t="inlineStr">
        <is>
          <t>03075</t>
        </is>
      </c>
      <c r="B78" s="3" t="n">
        <v>17</v>
      </c>
      <c r="C78" s="3" t="n">
        <v>24</v>
      </c>
      <c r="D78" s="3" t="n">
        <v>304.0002861</v>
      </c>
      <c r="E78" s="4">
        <f>IF(AND(ISNUMBER(B78),ISNUMBER(C78),B78&gt;0),C78/B78,"")</f>
        <v/>
      </c>
      <c r="F78" s="4">
        <f>IF(AND(ISNUMBER(B78),ISNUMBER(D78),D78&gt;0),100*B78/D78,"")</f>
        <v/>
      </c>
    </row>
    <row r="79">
      <c r="A79" s="3" t="inlineStr">
        <is>
          <t>03076</t>
        </is>
      </c>
      <c r="B79" s="3" t="n">
        <v>276</v>
      </c>
      <c r="C79" s="3" t="n">
        <v>276</v>
      </c>
      <c r="D79" s="3" t="n">
        <v>24668.6133</v>
      </c>
      <c r="E79" s="4">
        <f>IF(AND(ISNUMBER(B79),ISNUMBER(C79),B79&gt;0),C79/B79,"")</f>
        <v/>
      </c>
      <c r="F79" s="4">
        <f>IF(AND(ISNUMBER(B79),ISNUMBER(D79),D79&gt;0),100*B79/D79,"")</f>
        <v/>
      </c>
    </row>
    <row r="80">
      <c r="A80" s="3" t="inlineStr">
        <is>
          <t>03077</t>
        </is>
      </c>
      <c r="B80" s="3" t="n">
        <v>19</v>
      </c>
      <c r="C80" s="3" t="n">
        <v>24</v>
      </c>
      <c r="D80" s="3" t="n">
        <v>2401.112094</v>
      </c>
      <c r="E80" s="4">
        <f>IF(AND(ISNUMBER(B80),ISNUMBER(C80),B80&gt;0),C80/B80,"")</f>
        <v/>
      </c>
      <c r="F80" s="4">
        <f>IF(AND(ISNUMBER(B80),ISNUMBER(D80),D80&gt;0),100*B80/D80,"")</f>
        <v/>
      </c>
    </row>
    <row r="81">
      <c r="A81" s="3" t="inlineStr">
        <is>
          <t>03078</t>
        </is>
      </c>
      <c r="B81" s="3" t="n">
        <v>7</v>
      </c>
      <c r="C81" s="3" t="n">
        <v>4</v>
      </c>
      <c r="D81" s="3" t="n">
        <v>1131.03894</v>
      </c>
      <c r="E81" s="4">
        <f>IF(AND(ISNUMBER(B81),ISNUMBER(C81),B81&gt;0),C81/B81,"")</f>
        <v/>
      </c>
      <c r="F81" s="4">
        <f>IF(AND(ISNUMBER(B81),ISNUMBER(D81),D81&gt;0),100*B81/D81,"")</f>
        <v/>
      </c>
    </row>
    <row r="82">
      <c r="A82" s="3" t="inlineStr">
        <is>
          <t>03079</t>
        </is>
      </c>
      <c r="B82" s="3" t="n">
        <v>10</v>
      </c>
      <c r="C82" s="3" t="n">
        <v>6</v>
      </c>
      <c r="D82" s="3" t="n">
        <v>6136.72023</v>
      </c>
      <c r="E82" s="4">
        <f>IF(AND(ISNUMBER(B82),ISNUMBER(C82),B82&gt;0),C82/B82,"")</f>
        <v/>
      </c>
      <c r="F82" s="4">
        <f>IF(AND(ISNUMBER(B82),ISNUMBER(D82),D82&gt;0),100*B82/D82,"")</f>
        <v/>
      </c>
    </row>
    <row r="83">
      <c r="A83" s="3" t="inlineStr">
        <is>
          <t>03080</t>
        </is>
      </c>
      <c r="B83" s="3" t="n">
        <v>2</v>
      </c>
      <c r="C83" s="3" t="n">
        <v>2</v>
      </c>
      <c r="D83" s="3" t="n">
        <v>1327.140013</v>
      </c>
      <c r="E83" s="4">
        <f>IF(AND(ISNUMBER(B83),ISNUMBER(C83),B83&gt;0),C83/B83,"")</f>
        <v/>
      </c>
      <c r="F83" s="4">
        <f>IF(AND(ISNUMBER(B83),ISNUMBER(D83),D83&gt;0),100*B83/D83,"")</f>
        <v/>
      </c>
    </row>
    <row r="84">
      <c r="A84" s="3" t="inlineStr">
        <is>
          <t>03081</t>
        </is>
      </c>
      <c r="B84" s="3" t="n">
        <v>38</v>
      </c>
      <c r="C84" s="3" t="n">
        <v>68</v>
      </c>
      <c r="D84" s="3" t="n">
        <v>2242.988639</v>
      </c>
      <c r="E84" s="4">
        <f>IF(AND(ISNUMBER(B84),ISNUMBER(C84),B84&gt;0),C84/B84,"")</f>
        <v/>
      </c>
      <c r="F84" s="4">
        <f>IF(AND(ISNUMBER(B84),ISNUMBER(D84),D84&gt;0),100*B84/D84,"")</f>
        <v/>
      </c>
    </row>
    <row r="85">
      <c r="A85" s="3" t="inlineStr">
        <is>
          <t>03082</t>
        </is>
      </c>
      <c r="B85" s="3" t="n">
        <v>2406</v>
      </c>
      <c r="C85" s="3" t="n">
        <v>4302</v>
      </c>
      <c r="D85" s="3" t="n">
        <v>26818.91648</v>
      </c>
      <c r="E85" s="4">
        <f>IF(AND(ISNUMBER(B85),ISNUMBER(C85),B85&gt;0),C85/B85,"")</f>
        <v/>
      </c>
      <c r="F85" s="4">
        <f>IF(AND(ISNUMBER(B85),ISNUMBER(D85),D85&gt;0),100*B85/D85,"")</f>
        <v/>
      </c>
    </row>
    <row r="86">
      <c r="A86" s="3" t="inlineStr">
        <is>
          <t>03083</t>
        </is>
      </c>
      <c r="B86" s="3" t="n">
        <v>15</v>
      </c>
      <c r="C86" s="3" t="n">
        <v>12</v>
      </c>
      <c r="D86" s="3" t="n">
        <v>3061.050669</v>
      </c>
      <c r="E86" s="4">
        <f>IF(AND(ISNUMBER(B86),ISNUMBER(C86),B86&gt;0),C86/B86,"")</f>
        <v/>
      </c>
      <c r="F86" s="4">
        <f>IF(AND(ISNUMBER(B86),ISNUMBER(D86),D86&gt;0),100*B86/D86,"")</f>
        <v/>
      </c>
    </row>
    <row r="87">
      <c r="A87" s="3" t="inlineStr">
        <is>
          <t>03084</t>
        </is>
      </c>
      <c r="B87" s="3" t="n">
        <v>1</v>
      </c>
      <c r="C87" s="3" t="n">
        <v>2</v>
      </c>
      <c r="D87" s="3" t="n">
        <v>533.9028297</v>
      </c>
      <c r="E87" s="4">
        <f>IF(AND(ISNUMBER(B87),ISNUMBER(C87),B87&gt;0),C87/B87,"")</f>
        <v/>
      </c>
      <c r="F87" s="4">
        <f>IF(AND(ISNUMBER(B87),ISNUMBER(D87),D87&gt;0),100*B87/D87,"")</f>
        <v/>
      </c>
    </row>
    <row r="88">
      <c r="A88" s="3" t="inlineStr">
        <is>
          <t>03085</t>
        </is>
      </c>
      <c r="B88" s="3" t="n">
        <v>27</v>
      </c>
      <c r="C88" s="3" t="n">
        <v>38</v>
      </c>
      <c r="D88" s="3" t="n">
        <v>834.0025947</v>
      </c>
      <c r="E88" s="4">
        <f>IF(AND(ISNUMBER(B88),ISNUMBER(C88),B88&gt;0),C88/B88,"")</f>
        <v/>
      </c>
      <c r="F88" s="4">
        <f>IF(AND(ISNUMBER(B88),ISNUMBER(D88),D88&gt;0),100*B88/D88,"")</f>
        <v/>
      </c>
    </row>
    <row r="89">
      <c r="A89" s="3" t="inlineStr">
        <is>
          <t>03086</t>
        </is>
      </c>
      <c r="B89" s="3" t="n">
        <v>1</v>
      </c>
      <c r="C89" s="3" t="n"/>
      <c r="D89" s="3" t="n">
        <v>237.9819134</v>
      </c>
      <c r="E89" s="4">
        <f>IF(AND(ISNUMBER(B89),ISNUMBER(C89),B89&gt;0),C89/B89,"")</f>
        <v/>
      </c>
      <c r="F89" s="4">
        <f>IF(AND(ISNUMBER(B89),ISNUMBER(D89),D89&gt;0),100*B89/D89,"")</f>
        <v/>
      </c>
    </row>
    <row r="90">
      <c r="A90" s="3" t="inlineStr">
        <is>
          <t>03088</t>
        </is>
      </c>
      <c r="B90" s="3" t="n">
        <v>16</v>
      </c>
      <c r="C90" s="3" t="n">
        <v>15</v>
      </c>
      <c r="D90" s="3" t="n">
        <v>2109.982856</v>
      </c>
      <c r="E90" s="4">
        <f>IF(AND(ISNUMBER(B90),ISNUMBER(C90),B90&gt;0),C90/B90,"")</f>
        <v/>
      </c>
      <c r="F90" s="4">
        <f>IF(AND(ISNUMBER(B90),ISNUMBER(D90),D90&gt;0),100*B90/D90,"")</f>
        <v/>
      </c>
    </row>
    <row r="91">
      <c r="A91" s="3" t="inlineStr">
        <is>
          <t>03089</t>
        </is>
      </c>
      <c r="B91" s="3" t="n">
        <v>17</v>
      </c>
      <c r="C91" s="3" t="n">
        <v>7</v>
      </c>
      <c r="D91" s="3" t="n">
        <v>4853.403084</v>
      </c>
      <c r="E91" s="4">
        <f>IF(AND(ISNUMBER(B91),ISNUMBER(C91),B91&gt;0),C91/B91,"")</f>
        <v/>
      </c>
      <c r="F91" s="4">
        <f>IF(AND(ISNUMBER(B91),ISNUMBER(D91),D91&gt;0),100*B91/D91,"")</f>
        <v/>
      </c>
    </row>
    <row r="92">
      <c r="A92" s="3" t="inlineStr">
        <is>
          <t>03090</t>
        </is>
      </c>
      <c r="B92" s="3" t="n">
        <v>112</v>
      </c>
      <c r="C92" s="3" t="n">
        <v>208</v>
      </c>
      <c r="D92" s="3" t="n">
        <v>8413.098828</v>
      </c>
      <c r="E92" s="4">
        <f>IF(AND(ISNUMBER(B92),ISNUMBER(C92),B92&gt;0),C92/B92,"")</f>
        <v/>
      </c>
      <c r="F92" s="4">
        <f>IF(AND(ISNUMBER(B92),ISNUMBER(D92),D92&gt;0),100*B92/D92,"")</f>
        <v/>
      </c>
    </row>
    <row r="93">
      <c r="A93" s="3" t="inlineStr">
        <is>
          <t>03091</t>
        </is>
      </c>
      <c r="B93" s="3" t="n">
        <v>9</v>
      </c>
      <c r="C93" s="3" t="n">
        <v>17</v>
      </c>
      <c r="D93" s="3" t="n">
        <v>580.9825059999999</v>
      </c>
      <c r="E93" s="4">
        <f>IF(AND(ISNUMBER(B93),ISNUMBER(C93),B93&gt;0),C93/B93,"")</f>
        <v/>
      </c>
      <c r="F93" s="4">
        <f>IF(AND(ISNUMBER(B93),ISNUMBER(D93),D93&gt;0),100*B93/D93,"")</f>
        <v/>
      </c>
    </row>
    <row r="94">
      <c r="A94" s="3" t="inlineStr">
        <is>
          <t>03092</t>
        </is>
      </c>
      <c r="B94" s="3" t="n">
        <v>3</v>
      </c>
      <c r="C94" s="3" t="n">
        <v>4</v>
      </c>
      <c r="D94" s="3" t="n">
        <v>2486.318713</v>
      </c>
      <c r="E94" s="4">
        <f>IF(AND(ISNUMBER(B94),ISNUMBER(C94),B94&gt;0),C94/B94,"")</f>
        <v/>
      </c>
      <c r="F94" s="4">
        <f>IF(AND(ISNUMBER(B94),ISNUMBER(D94),D94&gt;0),100*B94/D94,"")</f>
        <v/>
      </c>
    </row>
    <row r="95">
      <c r="A95" s="3" t="inlineStr">
        <is>
          <t>03093</t>
        </is>
      </c>
      <c r="B95" s="3" t="n">
        <v>34</v>
      </c>
      <c r="C95" s="3" t="n">
        <v>26</v>
      </c>
      <c r="D95" s="3" t="n">
        <v>8485.990027</v>
      </c>
      <c r="E95" s="4">
        <f>IF(AND(ISNUMBER(B95),ISNUMBER(C95),B95&gt;0),C95/B95,"")</f>
        <v/>
      </c>
      <c r="F95" s="4">
        <f>IF(AND(ISNUMBER(B95),ISNUMBER(D95),D95&gt;0),100*B95/D95,"")</f>
        <v/>
      </c>
    </row>
    <row r="96">
      <c r="A96" s="3" t="inlineStr">
        <is>
          <t>03094</t>
        </is>
      </c>
      <c r="B96" s="3" t="n">
        <v>58</v>
      </c>
      <c r="C96" s="3" t="n">
        <v>81</v>
      </c>
      <c r="D96" s="3" t="n">
        <v>9562.10925</v>
      </c>
      <c r="E96" s="4">
        <f>IF(AND(ISNUMBER(B96),ISNUMBER(C96),B96&gt;0),C96/B96,"")</f>
        <v/>
      </c>
      <c r="F96" s="4">
        <f>IF(AND(ISNUMBER(B96),ISNUMBER(D96),D96&gt;0),100*B96/D96,"")</f>
        <v/>
      </c>
    </row>
    <row r="97">
      <c r="A97" s="3" t="inlineStr">
        <is>
          <t>03095</t>
        </is>
      </c>
      <c r="B97" s="3" t="n">
        <v>16</v>
      </c>
      <c r="C97" s="3" t="n">
        <v>16</v>
      </c>
      <c r="D97" s="3" t="n">
        <v>3376.011298</v>
      </c>
      <c r="E97" s="4">
        <f>IF(AND(ISNUMBER(B97),ISNUMBER(C97),B97&gt;0),C97/B97,"")</f>
        <v/>
      </c>
      <c r="F97" s="4">
        <f>IF(AND(ISNUMBER(B97),ISNUMBER(D97),D97&gt;0),100*B97/D97,"")</f>
        <v/>
      </c>
    </row>
    <row r="98">
      <c r="A98" s="3" t="inlineStr">
        <is>
          <t>03096</t>
        </is>
      </c>
      <c r="B98" s="3" t="n">
        <v>14</v>
      </c>
      <c r="C98" s="3" t="n">
        <v>8</v>
      </c>
      <c r="D98" s="3" t="n">
        <v>3860.261918</v>
      </c>
      <c r="E98" s="4">
        <f>IF(AND(ISNUMBER(B98),ISNUMBER(C98),B98&gt;0),C98/B98,"")</f>
        <v/>
      </c>
      <c r="F98" s="4">
        <f>IF(AND(ISNUMBER(B98),ISNUMBER(D98),D98&gt;0),100*B98/D98,"")</f>
        <v/>
      </c>
    </row>
    <row r="99">
      <c r="A99" s="3" t="inlineStr">
        <is>
          <t>03097</t>
        </is>
      </c>
      <c r="B99" s="3" t="n">
        <v>64</v>
      </c>
      <c r="C99" s="3" t="n">
        <v>97</v>
      </c>
      <c r="D99" s="3" t="n">
        <v>1837.021729</v>
      </c>
      <c r="E99" s="4">
        <f>IF(AND(ISNUMBER(B99),ISNUMBER(C99),B99&gt;0),C99/B99,"")</f>
        <v/>
      </c>
      <c r="F99" s="4">
        <f>IF(AND(ISNUMBER(B99),ISNUMBER(D99),D99&gt;0),100*B99/D99,"")</f>
        <v/>
      </c>
    </row>
    <row r="100">
      <c r="A100" s="3" t="inlineStr">
        <is>
          <t>03098</t>
        </is>
      </c>
      <c r="B100" s="3" t="n">
        <v>3</v>
      </c>
      <c r="C100" s="3" t="n">
        <v>6</v>
      </c>
      <c r="D100" s="3" t="n">
        <v>807.9719903</v>
      </c>
      <c r="E100" s="4">
        <f>IF(AND(ISNUMBER(B100),ISNUMBER(C100),B100&gt;0),C100/B100,"")</f>
        <v/>
      </c>
      <c r="F100" s="4">
        <f>IF(AND(ISNUMBER(B100),ISNUMBER(D100),D100&gt;0),100*B100/D100,"")</f>
        <v/>
      </c>
    </row>
    <row r="101">
      <c r="A101" s="3" t="inlineStr">
        <is>
          <t>03099</t>
        </is>
      </c>
      <c r="B101" s="3" t="n">
        <v>2090</v>
      </c>
      <c r="C101" s="3" t="n">
        <v>4611</v>
      </c>
      <c r="D101" s="3" t="n">
        <v>74549.44154</v>
      </c>
      <c r="E101" s="4">
        <f>IF(AND(ISNUMBER(B101),ISNUMBER(C101),B101&gt;0),C101/B101,"")</f>
        <v/>
      </c>
      <c r="F101" s="4">
        <f>IF(AND(ISNUMBER(B101),ISNUMBER(D101),D101&gt;0),100*B101/D101,"")</f>
        <v/>
      </c>
    </row>
    <row r="102">
      <c r="A102" s="3" t="inlineStr">
        <is>
          <t>03100</t>
        </is>
      </c>
      <c r="B102" s="3" t="n">
        <v>10</v>
      </c>
      <c r="C102" s="3" t="n">
        <v>9</v>
      </c>
      <c r="D102" s="3" t="n">
        <v>844.0243079000001</v>
      </c>
      <c r="E102" s="4">
        <f>IF(AND(ISNUMBER(B102),ISNUMBER(C102),B102&gt;0),C102/B102,"")</f>
        <v/>
      </c>
      <c r="F102" s="4">
        <f>IF(AND(ISNUMBER(B102),ISNUMBER(D102),D102&gt;0),100*B102/D102,"")</f>
        <v/>
      </c>
    </row>
    <row r="103">
      <c r="A103" s="3" t="inlineStr">
        <is>
          <t>03101</t>
        </is>
      </c>
      <c r="B103" s="3" t="n">
        <v>184</v>
      </c>
      <c r="C103" s="3" t="n">
        <v>311</v>
      </c>
      <c r="D103" s="3" t="n">
        <v>6284.86986</v>
      </c>
      <c r="E103" s="4">
        <f>IF(AND(ISNUMBER(B103),ISNUMBER(C103),B103&gt;0),C103/B103,"")</f>
        <v/>
      </c>
      <c r="F103" s="4">
        <f>IF(AND(ISNUMBER(B103),ISNUMBER(D103),D103&gt;0),100*B103/D103,"")</f>
        <v/>
      </c>
    </row>
    <row r="104">
      <c r="A104" s="3" t="inlineStr">
        <is>
          <t>03102</t>
        </is>
      </c>
      <c r="B104" s="3" t="n">
        <v>138</v>
      </c>
      <c r="C104" s="3" t="n">
        <v>171</v>
      </c>
      <c r="D104" s="3" t="n">
        <v>7320.844141</v>
      </c>
      <c r="E104" s="4">
        <f>IF(AND(ISNUMBER(B104),ISNUMBER(C104),B104&gt;0),C104/B104,"")</f>
        <v/>
      </c>
      <c r="F104" s="4">
        <f>IF(AND(ISNUMBER(B104),ISNUMBER(D104),D104&gt;0),100*B104/D104,"")</f>
        <v/>
      </c>
    </row>
    <row r="105">
      <c r="A105" s="3" t="inlineStr">
        <is>
          <t>03103</t>
        </is>
      </c>
      <c r="B105" s="3" t="n">
        <v>6</v>
      </c>
      <c r="C105" s="3" t="n">
        <v>4</v>
      </c>
      <c r="D105" s="3" t="n">
        <v>380.0114003</v>
      </c>
      <c r="E105" s="4">
        <f>IF(AND(ISNUMBER(B105),ISNUMBER(C105),B105&gt;0),C105/B105,"")</f>
        <v/>
      </c>
      <c r="F105" s="4">
        <f>IF(AND(ISNUMBER(B105),ISNUMBER(D105),D105&gt;0),100*B105/D105,"")</f>
        <v/>
      </c>
    </row>
    <row r="106">
      <c r="A106" s="3" t="inlineStr">
        <is>
          <t>03104</t>
        </is>
      </c>
      <c r="B106" s="3" t="n">
        <v>11</v>
      </c>
      <c r="C106" s="3" t="n">
        <v>6</v>
      </c>
      <c r="D106" s="3" t="n">
        <v>6679.930429</v>
      </c>
      <c r="E106" s="4">
        <f>IF(AND(ISNUMBER(B106),ISNUMBER(C106),B106&gt;0),C106/B106,"")</f>
        <v/>
      </c>
      <c r="F106" s="4">
        <f>IF(AND(ISNUMBER(B106),ISNUMBER(D106),D106&gt;0),100*B106/D106,"")</f>
        <v/>
      </c>
    </row>
    <row r="107">
      <c r="A107" s="3" t="inlineStr">
        <is>
          <t>03105</t>
        </is>
      </c>
      <c r="B107" s="3" t="n">
        <v>19</v>
      </c>
      <c r="C107" s="3" t="n">
        <v>18</v>
      </c>
      <c r="D107" s="3" t="n">
        <v>5040.445079</v>
      </c>
      <c r="E107" s="4">
        <f>IF(AND(ISNUMBER(B107),ISNUMBER(C107),B107&gt;0),C107/B107,"")</f>
        <v/>
      </c>
      <c r="F107" s="4">
        <f>IF(AND(ISNUMBER(B107),ISNUMBER(D107),D107&gt;0),100*B107/D107,"")</f>
        <v/>
      </c>
    </row>
    <row r="108">
      <c r="A108" s="3" t="inlineStr">
        <is>
          <t>03106</t>
        </is>
      </c>
      <c r="B108" s="3" t="n">
        <v>4</v>
      </c>
      <c r="C108" s="3" t="n">
        <v>6</v>
      </c>
      <c r="D108" s="3" t="n">
        <v>670.0167504</v>
      </c>
      <c r="E108" s="4">
        <f>IF(AND(ISNUMBER(B108),ISNUMBER(C108),B108&gt;0),C108/B108,"")</f>
        <v/>
      </c>
      <c r="F108" s="4">
        <f>IF(AND(ISNUMBER(B108),ISNUMBER(D108),D108&gt;0),100*B108/D108,"")</f>
        <v/>
      </c>
    </row>
    <row r="109">
      <c r="A109" s="3" t="inlineStr">
        <is>
          <t>03107</t>
        </is>
      </c>
      <c r="B109" s="3" t="n">
        <v>68</v>
      </c>
      <c r="C109" s="3" t="n">
        <v>140</v>
      </c>
      <c r="D109" s="3" t="n">
        <v>3405.878837</v>
      </c>
      <c r="E109" s="4">
        <f>IF(AND(ISNUMBER(B109),ISNUMBER(C109),B109&gt;0),C109/B109,"")</f>
        <v/>
      </c>
      <c r="F109" s="4">
        <f>IF(AND(ISNUMBER(B109),ISNUMBER(D109),D109&gt;0),100*B109/D109,"")</f>
        <v/>
      </c>
    </row>
    <row r="110">
      <c r="A110" s="3" t="inlineStr">
        <is>
          <t>03109</t>
        </is>
      </c>
      <c r="B110" s="3" t="n">
        <v>0</v>
      </c>
      <c r="C110" s="3" t="n"/>
      <c r="D110" s="3" t="n"/>
      <c r="E110" s="4">
        <f>IF(AND(ISNUMBER(B110),ISNUMBER(C110),B110&gt;0),C110/B110,"")</f>
        <v/>
      </c>
      <c r="F110" s="4">
        <f>IF(AND(ISNUMBER(B110),ISNUMBER(D110),D110&gt;0),100*B110/D110,"")</f>
        <v/>
      </c>
    </row>
    <row r="111">
      <c r="A111" s="3" t="inlineStr">
        <is>
          <t>03110</t>
        </is>
      </c>
      <c r="B111" s="3" t="n">
        <v>45</v>
      </c>
      <c r="C111" s="3" t="n">
        <v>74</v>
      </c>
      <c r="D111" s="3" t="n">
        <v>684.0049248</v>
      </c>
      <c r="E111" s="4">
        <f>IF(AND(ISNUMBER(B111),ISNUMBER(C111),B111&gt;0),C111/B111,"")</f>
        <v/>
      </c>
      <c r="F111" s="4">
        <f>IF(AND(ISNUMBER(B111),ISNUMBER(D111),D111&gt;0),100*B111/D111,"")</f>
        <v/>
      </c>
    </row>
    <row r="112">
      <c r="A112" s="3" t="inlineStr">
        <is>
          <t>03111</t>
        </is>
      </c>
      <c r="B112" s="3" t="n">
        <v>2</v>
      </c>
      <c r="C112" s="3" t="n"/>
      <c r="D112" s="3" t="n">
        <v>407.996736</v>
      </c>
      <c r="E112" s="4">
        <f>IF(AND(ISNUMBER(B112),ISNUMBER(C112),B112&gt;0),C112/B112,"")</f>
        <v/>
      </c>
      <c r="F112" s="4">
        <f>IF(AND(ISNUMBER(B112),ISNUMBER(D112),D112&gt;0),100*B112/D112,"")</f>
        <v/>
      </c>
    </row>
    <row r="113">
      <c r="A113" s="3" t="inlineStr">
        <is>
          <t>03112</t>
        </is>
      </c>
      <c r="B113" s="3" t="n">
        <v>16</v>
      </c>
      <c r="C113" s="3" t="n">
        <v>19</v>
      </c>
      <c r="D113" s="3" t="n">
        <v>1377.054824</v>
      </c>
      <c r="E113" s="4">
        <f>IF(AND(ISNUMBER(B113),ISNUMBER(C113),B113&gt;0),C113/B113,"")</f>
        <v/>
      </c>
      <c r="F113" s="4">
        <f>IF(AND(ISNUMBER(B113),ISNUMBER(D113),D113&gt;0),100*B113/D113,"")</f>
        <v/>
      </c>
    </row>
    <row r="114">
      <c r="A114" s="3" t="inlineStr">
        <is>
          <t>03113</t>
        </is>
      </c>
      <c r="B114" s="3" t="n">
        <v>502</v>
      </c>
      <c r="C114" s="3" t="n">
        <v>974</v>
      </c>
      <c r="D114" s="3" t="n">
        <v>14951.9681</v>
      </c>
      <c r="E114" s="4">
        <f>IF(AND(ISNUMBER(B114),ISNUMBER(C114),B114&gt;0),C114/B114,"")</f>
        <v/>
      </c>
      <c r="F114" s="4">
        <f>IF(AND(ISNUMBER(B114),ISNUMBER(D114),D114&gt;0),100*B114/D114,"")</f>
        <v/>
      </c>
    </row>
    <row r="115">
      <c r="A115" s="3" t="inlineStr">
        <is>
          <t>03114</t>
        </is>
      </c>
      <c r="B115" s="3" t="n">
        <v>5</v>
      </c>
      <c r="C115" s="3" t="n">
        <v>7</v>
      </c>
      <c r="D115" s="3" t="n">
        <v>1874.765654</v>
      </c>
      <c r="E115" s="4">
        <f>IF(AND(ISNUMBER(B115),ISNUMBER(C115),B115&gt;0),C115/B115,"")</f>
        <v/>
      </c>
      <c r="F115" s="4">
        <f>IF(AND(ISNUMBER(B115),ISNUMBER(D115),D115&gt;0),100*B115/D115,"")</f>
        <v/>
      </c>
    </row>
    <row r="116">
      <c r="A116" s="3" t="inlineStr">
        <is>
          <t>03115</t>
        </is>
      </c>
      <c r="B116" s="3" t="n">
        <v>7</v>
      </c>
      <c r="C116" s="3" t="n">
        <v>8</v>
      </c>
      <c r="D116" s="3" t="n">
        <v>346.0036578</v>
      </c>
      <c r="E116" s="4">
        <f>IF(AND(ISNUMBER(B116),ISNUMBER(C116),B116&gt;0),C116/B116,"")</f>
        <v/>
      </c>
      <c r="F116" s="4">
        <f>IF(AND(ISNUMBER(B116),ISNUMBER(D116),D116&gt;0),100*B116/D116,"")</f>
        <v/>
      </c>
    </row>
    <row r="117">
      <c r="A117" s="3" t="inlineStr">
        <is>
          <t>03116</t>
        </is>
      </c>
      <c r="B117" s="3" t="n">
        <v>3</v>
      </c>
      <c r="C117" s="3" t="n">
        <v>2</v>
      </c>
      <c r="D117" s="3" t="n">
        <v>1124.016486</v>
      </c>
      <c r="E117" s="4">
        <f>IF(AND(ISNUMBER(B117),ISNUMBER(C117),B117&gt;0),C117/B117,"")</f>
        <v/>
      </c>
      <c r="F117" s="4">
        <f>IF(AND(ISNUMBER(B117),ISNUMBER(D117),D117&gt;0),100*B117/D117,"")</f>
        <v/>
      </c>
    </row>
    <row r="118">
      <c r="A118" s="3" t="inlineStr">
        <is>
          <t>03117</t>
        </is>
      </c>
      <c r="B118" s="3" t="n">
        <v>13</v>
      </c>
      <c r="C118" s="3" t="n">
        <v>27</v>
      </c>
      <c r="D118" s="3" t="n">
        <v>574.9922597</v>
      </c>
      <c r="E118" s="4">
        <f>IF(AND(ISNUMBER(B118),ISNUMBER(C118),B118&gt;0),C118/B118,"")</f>
        <v/>
      </c>
      <c r="F118" s="4">
        <f>IF(AND(ISNUMBER(B118),ISNUMBER(D118),D118&gt;0),100*B118/D118,"")</f>
        <v/>
      </c>
    </row>
    <row r="119">
      <c r="A119" s="3" t="inlineStr">
        <is>
          <t>03118</t>
        </is>
      </c>
      <c r="B119" s="3" t="n">
        <v>180</v>
      </c>
      <c r="C119" s="3" t="n">
        <v>313</v>
      </c>
      <c r="D119" s="3" t="n">
        <v>10132.6385</v>
      </c>
      <c r="E119" s="4">
        <f>IF(AND(ISNUMBER(B119),ISNUMBER(C119),B119&gt;0),C119/B119,"")</f>
        <v/>
      </c>
      <c r="F119" s="4">
        <f>IF(AND(ISNUMBER(B119),ISNUMBER(D119),D119&gt;0),100*B119/D119,"")</f>
        <v/>
      </c>
    </row>
    <row r="120">
      <c r="A120" s="3" t="inlineStr">
        <is>
          <t>03119</t>
        </is>
      </c>
      <c r="B120" s="3" t="n">
        <v>118</v>
      </c>
      <c r="C120" s="3" t="n">
        <v>214</v>
      </c>
      <c r="D120" s="3" t="n">
        <v>11659.12731</v>
      </c>
      <c r="E120" s="4">
        <f>IF(AND(ISNUMBER(B120),ISNUMBER(C120),B120&gt;0),C120/B120,"")</f>
        <v/>
      </c>
      <c r="F120" s="4">
        <f>IF(AND(ISNUMBER(B120),ISNUMBER(D120),D120&gt;0),100*B120/D120,"")</f>
        <v/>
      </c>
    </row>
    <row r="121">
      <c r="A121" s="3" t="inlineStr">
        <is>
          <t>03120</t>
        </is>
      </c>
      <c r="B121" s="3" t="n">
        <v>152</v>
      </c>
      <c r="C121" s="3" t="n">
        <v>248</v>
      </c>
      <c r="D121" s="3" t="n">
        <v>6101.00734</v>
      </c>
      <c r="E121" s="4">
        <f>IF(AND(ISNUMBER(B121),ISNUMBER(C121),B121&gt;0),C121/B121,"")</f>
        <v/>
      </c>
      <c r="F121" s="4">
        <f>IF(AND(ISNUMBER(B121),ISNUMBER(D121),D121&gt;0),100*B121/D121,"")</f>
        <v/>
      </c>
    </row>
    <row r="122">
      <c r="A122" s="3" t="inlineStr">
        <is>
          <t>03121</t>
        </is>
      </c>
      <c r="B122" s="3" t="n">
        <v>1548</v>
      </c>
      <c r="C122" s="3" t="n">
        <v>3051</v>
      </c>
      <c r="D122" s="3" t="n">
        <v>45155.13517</v>
      </c>
      <c r="E122" s="4">
        <f>IF(AND(ISNUMBER(B122),ISNUMBER(C122),B122&gt;0),C122/B122,"")</f>
        <v/>
      </c>
      <c r="F122" s="4">
        <f>IF(AND(ISNUMBER(B122),ISNUMBER(D122),D122&gt;0),100*B122/D122,"")</f>
        <v/>
      </c>
    </row>
    <row r="123">
      <c r="A123" s="3" t="inlineStr">
        <is>
          <t>03122</t>
        </is>
      </c>
      <c r="B123" s="3" t="n">
        <v>58</v>
      </c>
      <c r="C123" s="3" t="n">
        <v>101</v>
      </c>
      <c r="D123" s="3" t="n">
        <v>18551.70655</v>
      </c>
      <c r="E123" s="4">
        <f>IF(AND(ISNUMBER(B123),ISNUMBER(C123),B123&gt;0),C123/B123,"")</f>
        <v/>
      </c>
      <c r="F123" s="4">
        <f>IF(AND(ISNUMBER(B123),ISNUMBER(D123),D123&gt;0),100*B123/D123,"")</f>
        <v/>
      </c>
    </row>
    <row r="124">
      <c r="A124" s="3" t="inlineStr">
        <is>
          <t>03123</t>
        </is>
      </c>
      <c r="B124" s="3" t="n">
        <v>6</v>
      </c>
      <c r="C124" s="3" t="n">
        <v>3</v>
      </c>
      <c r="D124" s="3" t="n">
        <v>3009.775177</v>
      </c>
      <c r="E124" s="4">
        <f>IF(AND(ISNUMBER(B124),ISNUMBER(C124),B124&gt;0),C124/B124,"")</f>
        <v/>
      </c>
      <c r="F124" s="4">
        <f>IF(AND(ISNUMBER(B124),ISNUMBER(D124),D124&gt;0),100*B124/D124,"")</f>
        <v/>
      </c>
    </row>
    <row r="125">
      <c r="A125" s="3" t="inlineStr">
        <is>
          <t>03124</t>
        </is>
      </c>
      <c r="B125" s="3" t="n">
        <v>13</v>
      </c>
      <c r="C125" s="3" t="n">
        <v>8</v>
      </c>
      <c r="D125" s="3" t="n">
        <v>819.000819</v>
      </c>
      <c r="E125" s="4">
        <f>IF(AND(ISNUMBER(B125),ISNUMBER(C125),B125&gt;0),C125/B125,"")</f>
        <v/>
      </c>
      <c r="F125" s="4">
        <f>IF(AND(ISNUMBER(B125),ISNUMBER(D125),D125&gt;0),100*B125/D125,"")</f>
        <v/>
      </c>
    </row>
    <row r="126">
      <c r="A126" s="3" t="inlineStr">
        <is>
          <t>03125</t>
        </is>
      </c>
      <c r="B126" s="3" t="n">
        <v>6</v>
      </c>
      <c r="C126" s="3" t="n">
        <v>11</v>
      </c>
      <c r="D126" s="3" t="n">
        <v>474.0085322</v>
      </c>
      <c r="E126" s="4">
        <f>IF(AND(ISNUMBER(B126),ISNUMBER(C126),B126&gt;0),C126/B126,"")</f>
        <v/>
      </c>
      <c r="F126" s="4">
        <f>IF(AND(ISNUMBER(B126),ISNUMBER(D126),D126&gt;0),100*B126/D126,"")</f>
        <v/>
      </c>
    </row>
    <row r="127">
      <c r="A127" s="3" t="inlineStr">
        <is>
          <t>03127</t>
        </is>
      </c>
      <c r="B127" s="3" t="n">
        <v>9</v>
      </c>
      <c r="C127" s="3" t="n">
        <v>6</v>
      </c>
      <c r="D127" s="3" t="n">
        <v>725.9820924000001</v>
      </c>
      <c r="E127" s="4">
        <f>IF(AND(ISNUMBER(B127),ISNUMBER(C127),B127&gt;0),C127/B127,"")</f>
        <v/>
      </c>
      <c r="F127" s="4">
        <f>IF(AND(ISNUMBER(B127),ISNUMBER(D127),D127&gt;0),100*B127/D127,"")</f>
        <v/>
      </c>
    </row>
    <row r="128">
      <c r="A128" s="3" t="inlineStr">
        <is>
          <t>03128</t>
        </is>
      </c>
      <c r="B128" s="3" t="n">
        <v>1173</v>
      </c>
      <c r="C128" s="3" t="n">
        <v>2091</v>
      </c>
      <c r="D128" s="3" t="n">
        <v>12771.10942</v>
      </c>
      <c r="E128" s="4">
        <f>IF(AND(ISNUMBER(B128),ISNUMBER(C128),B128&gt;0),C128/B128,"")</f>
        <v/>
      </c>
      <c r="F128" s="4">
        <f>IF(AND(ISNUMBER(B128),ISNUMBER(D128),D128&gt;0),100*B128/D128,"")</f>
        <v/>
      </c>
    </row>
    <row r="129">
      <c r="A129" s="3" t="inlineStr">
        <is>
          <t>03129</t>
        </is>
      </c>
      <c r="B129" s="3" t="n">
        <v>8</v>
      </c>
      <c r="C129" s="3" t="n">
        <v>6</v>
      </c>
      <c r="D129" s="3" t="n">
        <v>1816.942993</v>
      </c>
      <c r="E129" s="4">
        <f>IF(AND(ISNUMBER(B129),ISNUMBER(C129),B129&gt;0),C129/B129,"")</f>
        <v/>
      </c>
      <c r="F129" s="4">
        <f>IF(AND(ISNUMBER(B129),ISNUMBER(D129),D129&gt;0),100*B129/D129,"")</f>
        <v/>
      </c>
    </row>
    <row r="130">
      <c r="A130" s="3" t="inlineStr">
        <is>
          <t>03130</t>
        </is>
      </c>
      <c r="B130" s="3" t="n">
        <v>0</v>
      </c>
      <c r="C130" s="3" t="n"/>
      <c r="D130" s="3" t="n"/>
      <c r="E130" s="4">
        <f>IF(AND(ISNUMBER(B130),ISNUMBER(C130),B130&gt;0),C130/B130,"")</f>
        <v/>
      </c>
      <c r="F130" s="4">
        <f>IF(AND(ISNUMBER(B130),ISNUMBER(D130),D130&gt;0),100*B130/D130,"")</f>
        <v/>
      </c>
    </row>
    <row r="131">
      <c r="A131" s="3" t="inlineStr">
        <is>
          <t>03131</t>
        </is>
      </c>
      <c r="B131" s="3" t="n">
        <v>3</v>
      </c>
      <c r="C131" s="3" t="n">
        <v>3</v>
      </c>
      <c r="D131" s="3" t="n">
        <v>278.0094523</v>
      </c>
      <c r="E131" s="4">
        <f>IF(AND(ISNUMBER(B131),ISNUMBER(C131),B131&gt;0),C131/B131,"")</f>
        <v/>
      </c>
      <c r="F131" s="4">
        <f>IF(AND(ISNUMBER(B131),ISNUMBER(D131),D131&gt;0),100*B131/D131,"")</f>
        <v/>
      </c>
    </row>
    <row r="132">
      <c r="A132" s="3" t="inlineStr">
        <is>
          <t>03132</t>
        </is>
      </c>
      <c r="B132" s="3" t="n">
        <v>5</v>
      </c>
      <c r="C132" s="3" t="n">
        <v>4</v>
      </c>
      <c r="D132" s="3" t="n">
        <v>779.0588969</v>
      </c>
      <c r="E132" s="4">
        <f>IF(AND(ISNUMBER(B132),ISNUMBER(C132),B132&gt;0),C132/B132,"")</f>
        <v/>
      </c>
      <c r="F132" s="4">
        <f>IF(AND(ISNUMBER(B132),ISNUMBER(D132),D132&gt;0),100*B132/D132,"")</f>
        <v/>
      </c>
    </row>
    <row r="133">
      <c r="A133" s="3" t="inlineStr">
        <is>
          <t>03133</t>
        </is>
      </c>
      <c r="B133" s="3" t="n">
        <v>3887</v>
      </c>
      <c r="C133" s="3" t="n">
        <v>10225</v>
      </c>
      <c r="D133" s="3" t="n">
        <v>122736.0541</v>
      </c>
      <c r="E133" s="4">
        <f>IF(AND(ISNUMBER(B133),ISNUMBER(C133),B133&gt;0),C133/B133,"")</f>
        <v/>
      </c>
      <c r="F133" s="4">
        <f>IF(AND(ISNUMBER(B133),ISNUMBER(D133),D133&gt;0),100*B133/D133,"")</f>
        <v/>
      </c>
    </row>
    <row r="134">
      <c r="A134" s="3" t="inlineStr">
        <is>
          <t>03134</t>
        </is>
      </c>
      <c r="B134" s="3" t="n">
        <v>0</v>
      </c>
      <c r="C134" s="3" t="n">
        <v>1</v>
      </c>
      <c r="D134" s="3" t="n"/>
      <c r="E134" s="4">
        <f>IF(AND(ISNUMBER(B134),ISNUMBER(C134),B134&gt;0),C134/B134,"")</f>
        <v/>
      </c>
      <c r="F134" s="4">
        <f>IF(AND(ISNUMBER(B134),ISNUMBER(D134),D134&gt;0),100*B134/D134,"")</f>
        <v/>
      </c>
    </row>
    <row r="135">
      <c r="A135" s="3" t="inlineStr">
        <is>
          <t>03135</t>
        </is>
      </c>
      <c r="B135" s="3" t="n">
        <v>1</v>
      </c>
      <c r="C135" s="3" t="n">
        <v>3</v>
      </c>
      <c r="D135" s="3" t="n">
        <v>309.9814011</v>
      </c>
      <c r="E135" s="4">
        <f>IF(AND(ISNUMBER(B135),ISNUMBER(C135),B135&gt;0),C135/B135,"")</f>
        <v/>
      </c>
      <c r="F135" s="4">
        <f>IF(AND(ISNUMBER(B135),ISNUMBER(D135),D135&gt;0),100*B135/D135,"")</f>
        <v/>
      </c>
    </row>
    <row r="136">
      <c r="A136" s="3" t="inlineStr">
        <is>
          <t>03136</t>
        </is>
      </c>
      <c r="B136" s="3" t="n">
        <v>16</v>
      </c>
      <c r="C136" s="3" t="n">
        <v>10</v>
      </c>
      <c r="D136" s="3" t="n">
        <v>795.9802995</v>
      </c>
      <c r="E136" s="4">
        <f>IF(AND(ISNUMBER(B136),ISNUMBER(C136),B136&gt;0),C136/B136,"")</f>
        <v/>
      </c>
      <c r="F136" s="4">
        <f>IF(AND(ISNUMBER(B136),ISNUMBER(D136),D136&gt;0),100*B136/D136,"")</f>
        <v/>
      </c>
    </row>
    <row r="137">
      <c r="A137" s="3" t="inlineStr">
        <is>
          <t>03137</t>
        </is>
      </c>
      <c r="B137" s="3" t="n">
        <v>23</v>
      </c>
      <c r="C137" s="3" t="n">
        <v>12</v>
      </c>
      <c r="D137" s="3" t="n">
        <v>662.0038569</v>
      </c>
      <c r="E137" s="4">
        <f>IF(AND(ISNUMBER(B137),ISNUMBER(C137),B137&gt;0),C137/B137,"")</f>
        <v/>
      </c>
      <c r="F137" s="4">
        <f>IF(AND(ISNUMBER(B137),ISNUMBER(D137),D137&gt;0),100*B137/D137,"")</f>
        <v/>
      </c>
    </row>
    <row r="138">
      <c r="A138" s="3" t="inlineStr">
        <is>
          <t>03138</t>
        </is>
      </c>
      <c r="B138" s="3" t="n">
        <v>125</v>
      </c>
      <c r="C138" s="3" t="n">
        <v>195</v>
      </c>
      <c r="D138" s="3" t="n">
        <v>3913.908274</v>
      </c>
      <c r="E138" s="4">
        <f>IF(AND(ISNUMBER(B138),ISNUMBER(C138),B138&gt;0),C138/B138,"")</f>
        <v/>
      </c>
      <c r="F138" s="4">
        <f>IF(AND(ISNUMBER(B138),ISNUMBER(D138),D138&gt;0),100*B138/D138,"")</f>
        <v/>
      </c>
    </row>
    <row r="139">
      <c r="A139" s="3" t="inlineStr">
        <is>
          <t>03139</t>
        </is>
      </c>
      <c r="B139" s="3" t="n">
        <v>928</v>
      </c>
      <c r="C139" s="3" t="n">
        <v>1866</v>
      </c>
      <c r="D139" s="3" t="n">
        <v>25779.85595</v>
      </c>
      <c r="E139" s="4">
        <f>IF(AND(ISNUMBER(B139),ISNUMBER(C139),B139&gt;0),C139/B139,"")</f>
        <v/>
      </c>
      <c r="F139" s="4">
        <f>IF(AND(ISNUMBER(B139),ISNUMBER(D139),D139&gt;0),100*B139/D139,"")</f>
        <v/>
      </c>
    </row>
    <row r="140">
      <c r="A140" s="3" t="inlineStr">
        <is>
          <t>03140</t>
        </is>
      </c>
      <c r="B140" s="3" t="n">
        <v>37</v>
      </c>
      <c r="C140" s="3" t="n">
        <v>20</v>
      </c>
      <c r="D140" s="3" t="n">
        <v>13373.07214</v>
      </c>
      <c r="E140" s="4">
        <f>IF(AND(ISNUMBER(B140),ISNUMBER(C140),B140&gt;0),C140/B140,"")</f>
        <v/>
      </c>
      <c r="F140" s="4">
        <f>IF(AND(ISNUMBER(B140),ISNUMBER(D140),D140&gt;0),100*B140/D140,"")</f>
        <v/>
      </c>
    </row>
    <row r="141">
      <c r="A141" s="3" t="inlineStr">
        <is>
          <t>03901</t>
        </is>
      </c>
      <c r="B141" s="3" t="n">
        <v>213</v>
      </c>
      <c r="C141" s="3" t="n">
        <v>219</v>
      </c>
      <c r="D141" s="3" t="n">
        <v>2930.009904</v>
      </c>
      <c r="E141" s="4">
        <f>IF(AND(ISNUMBER(B141),ISNUMBER(C141),B141&gt;0),C141/B141,"")</f>
        <v/>
      </c>
      <c r="F141" s="4">
        <f>IF(AND(ISNUMBER(B141),ISNUMBER(D141),D141&gt;0),100*B141/D141,"")</f>
        <v/>
      </c>
    </row>
    <row r="142">
      <c r="A142" s="3" t="inlineStr">
        <is>
          <t>03902</t>
        </is>
      </c>
      <c r="B142" s="3" t="n">
        <v>398</v>
      </c>
      <c r="C142" s="3" t="n">
        <v>756</v>
      </c>
      <c r="D142" s="3" t="n">
        <v>24533.83985</v>
      </c>
      <c r="E142" s="4">
        <f>IF(AND(ISNUMBER(B142),ISNUMBER(C142),B142&gt;0),C142/B142,"")</f>
        <v/>
      </c>
      <c r="F142" s="4">
        <f>IF(AND(ISNUMBER(B142),ISNUMBER(D142),D142&gt;0),100*B142/D142,"")</f>
        <v/>
      </c>
    </row>
    <row r="143">
      <c r="A143" s="3" t="inlineStr">
        <is>
          <t>03903</t>
        </is>
      </c>
      <c r="B143" s="3" t="n">
        <v>59</v>
      </c>
      <c r="C143" s="3" t="n">
        <v>88</v>
      </c>
      <c r="D143" s="3" t="n">
        <v>3430.062157</v>
      </c>
      <c r="E143" s="4">
        <f>IF(AND(ISNUMBER(B143),ISNUMBER(C143),B143&gt;0),C143/B143,"")</f>
        <v/>
      </c>
      <c r="F143" s="4">
        <f>IF(AND(ISNUMBER(B143),ISNUMBER(D143),D143&gt;0),100*B143/D143,"")</f>
        <v/>
      </c>
    </row>
    <row r="144">
      <c r="A144" s="3" t="inlineStr">
        <is>
          <t>03904</t>
        </is>
      </c>
      <c r="B144" s="3" t="n">
        <v>0</v>
      </c>
      <c r="C144" s="3" t="n"/>
      <c r="D144" s="3" t="n"/>
      <c r="E144" s="4">
        <f>IF(AND(ISNUMBER(B144),ISNUMBER(C144),B144&gt;0),C144/B144,"")</f>
        <v/>
      </c>
      <c r="F144" s="4">
        <f>IF(AND(ISNUMBER(B144),ISNUMBER(D144),D144&gt;0),100*B144/D144,"")</f>
        <v/>
      </c>
    </row>
    <row r="145">
      <c r="A145" s="3" t="inlineStr">
        <is>
          <t>12001</t>
        </is>
      </c>
      <c r="B145" s="3" t="n">
        <v>12</v>
      </c>
      <c r="C145" s="3" t="n">
        <v>7</v>
      </c>
      <c r="D145" s="3" t="n">
        <v>1324.064879</v>
      </c>
      <c r="E145" s="4">
        <f>IF(AND(ISNUMBER(B145),ISNUMBER(C145),B145&gt;0),C145/B145,"")</f>
        <v/>
      </c>
      <c r="F145" s="4">
        <f>IF(AND(ISNUMBER(B145),ISNUMBER(D145),D145&gt;0),100*B145/D145,"")</f>
        <v/>
      </c>
    </row>
    <row r="146">
      <c r="A146" s="3" t="inlineStr">
        <is>
          <t>12002</t>
        </is>
      </c>
      <c r="B146" s="3" t="n">
        <v>1</v>
      </c>
      <c r="C146" s="3" t="n">
        <v>2</v>
      </c>
      <c r="D146" s="3" t="n">
        <v>232.9916123</v>
      </c>
      <c r="E146" s="4">
        <f>IF(AND(ISNUMBER(B146),ISNUMBER(C146),B146&gt;0),C146/B146,"")</f>
        <v/>
      </c>
      <c r="F146" s="4">
        <f>IF(AND(ISNUMBER(B146),ISNUMBER(D146),D146&gt;0),100*B146/D146,"")</f>
        <v/>
      </c>
    </row>
    <row r="147">
      <c r="A147" s="3" t="inlineStr">
        <is>
          <t>12003</t>
        </is>
      </c>
      <c r="B147" s="3" t="n">
        <v>3</v>
      </c>
      <c r="C147" s="3" t="n">
        <v>3</v>
      </c>
      <c r="D147" s="3" t="n">
        <v>1325.088339</v>
      </c>
      <c r="E147" s="4">
        <f>IF(AND(ISNUMBER(B147),ISNUMBER(C147),B147&gt;0),C147/B147,"")</f>
        <v/>
      </c>
      <c r="F147" s="4">
        <f>IF(AND(ISNUMBER(B147),ISNUMBER(D147),D147&gt;0),100*B147/D147,"")</f>
        <v/>
      </c>
    </row>
    <row r="148">
      <c r="A148" s="3" t="inlineStr">
        <is>
          <t>12004</t>
        </is>
      </c>
      <c r="B148" s="3" t="n">
        <v>855</v>
      </c>
      <c r="C148" s="3" t="n">
        <v>2190</v>
      </c>
      <c r="D148" s="3" t="n">
        <v>13781.46402</v>
      </c>
      <c r="E148" s="4">
        <f>IF(AND(ISNUMBER(B148),ISNUMBER(C148),B148&gt;0),C148/B148,"")</f>
        <v/>
      </c>
      <c r="F148" s="4">
        <f>IF(AND(ISNUMBER(B148),ISNUMBER(D148),D148&gt;0),100*B148/D148,"")</f>
        <v/>
      </c>
    </row>
    <row r="149">
      <c r="A149" s="3" t="inlineStr">
        <is>
          <t>12005</t>
        </is>
      </c>
      <c r="B149" s="3" t="n">
        <v>6</v>
      </c>
      <c r="C149" s="3" t="n">
        <v>7</v>
      </c>
      <c r="D149" s="3" t="n">
        <v>3859.533107</v>
      </c>
      <c r="E149" s="4">
        <f>IF(AND(ISNUMBER(B149),ISNUMBER(C149),B149&gt;0),C149/B149,"")</f>
        <v/>
      </c>
      <c r="F149" s="4">
        <f>IF(AND(ISNUMBER(B149),ISNUMBER(D149),D149&gt;0),100*B149/D149,"")</f>
        <v/>
      </c>
    </row>
    <row r="150">
      <c r="A150" s="3" t="inlineStr">
        <is>
          <t>12006</t>
        </is>
      </c>
      <c r="B150" s="3" t="n">
        <v>2</v>
      </c>
      <c r="C150" s="3" t="n">
        <v>3</v>
      </c>
      <c r="D150" s="3" t="n">
        <v>300.9781791</v>
      </c>
      <c r="E150" s="4">
        <f>IF(AND(ISNUMBER(B150),ISNUMBER(C150),B150&gt;0),C150/B150,"")</f>
        <v/>
      </c>
      <c r="F150" s="4">
        <f>IF(AND(ISNUMBER(B150),ISNUMBER(D150),D150&gt;0),100*B150/D150,"")</f>
        <v/>
      </c>
    </row>
    <row r="151">
      <c r="A151" s="3" t="inlineStr">
        <is>
          <t>12007</t>
        </is>
      </c>
      <c r="B151" s="3" t="n">
        <v>1</v>
      </c>
      <c r="C151" s="3" t="n">
        <v>2</v>
      </c>
      <c r="D151" s="3" t="n">
        <v>579.0387956</v>
      </c>
      <c r="E151" s="4">
        <f>IF(AND(ISNUMBER(B151),ISNUMBER(C151),B151&gt;0),C151/B151,"")</f>
        <v/>
      </c>
      <c r="F151" s="4">
        <f>IF(AND(ISNUMBER(B151),ISNUMBER(D151),D151&gt;0),100*B151/D151,"")</f>
        <v/>
      </c>
    </row>
    <row r="152">
      <c r="A152" s="3" t="inlineStr">
        <is>
          <t>12008</t>
        </is>
      </c>
      <c r="B152" s="3" t="n">
        <v>3</v>
      </c>
      <c r="C152" s="3" t="n">
        <v>3</v>
      </c>
      <c r="D152" s="3" t="n">
        <v>498.0079681</v>
      </c>
      <c r="E152" s="4">
        <f>IF(AND(ISNUMBER(B152),ISNUMBER(C152),B152&gt;0),C152/B152,"")</f>
        <v/>
      </c>
      <c r="F152" s="4">
        <f>IF(AND(ISNUMBER(B152),ISNUMBER(D152),D152&gt;0),100*B152/D152,"")</f>
        <v/>
      </c>
    </row>
    <row r="153">
      <c r="A153" s="3" t="inlineStr">
        <is>
          <t>12009</t>
        </is>
      </c>
      <c r="B153" s="3" t="n">
        <v>22</v>
      </c>
      <c r="C153" s="3" t="n">
        <v>27</v>
      </c>
      <c r="D153" s="3" t="n">
        <v>8413.130574000001</v>
      </c>
      <c r="E153" s="4">
        <f>IF(AND(ISNUMBER(B153),ISNUMBER(C153),B153&gt;0),C153/B153,"")</f>
        <v/>
      </c>
      <c r="F153" s="4">
        <f>IF(AND(ISNUMBER(B153),ISNUMBER(D153),D153&gt;0),100*B153/D153,"")</f>
        <v/>
      </c>
    </row>
    <row r="154">
      <c r="A154" s="3" t="inlineStr">
        <is>
          <t>12010</t>
        </is>
      </c>
      <c r="B154" s="3" t="n">
        <v>0</v>
      </c>
      <c r="C154" s="3" t="n">
        <v>3</v>
      </c>
      <c r="D154" s="3" t="n"/>
      <c r="E154" s="4">
        <f>IF(AND(ISNUMBER(B154),ISNUMBER(C154),B154&gt;0),C154/B154,"")</f>
        <v/>
      </c>
      <c r="F154" s="4">
        <f>IF(AND(ISNUMBER(B154),ISNUMBER(D154),D154&gt;0),100*B154/D154,"")</f>
        <v/>
      </c>
    </row>
    <row r="155">
      <c r="A155" s="3" t="inlineStr">
        <is>
          <t>12011</t>
        </is>
      </c>
      <c r="B155" s="3" t="n">
        <v>30</v>
      </c>
      <c r="C155" s="3" t="n">
        <v>81</v>
      </c>
      <c r="D155" s="3" t="n">
        <v>3045.066991</v>
      </c>
      <c r="E155" s="4">
        <f>IF(AND(ISNUMBER(B155),ISNUMBER(C155),B155&gt;0),C155/B155,"")</f>
        <v/>
      </c>
      <c r="F155" s="4">
        <f>IF(AND(ISNUMBER(B155),ISNUMBER(D155),D155&gt;0),100*B155/D155,"")</f>
        <v/>
      </c>
    </row>
    <row r="156">
      <c r="A156" s="3" t="inlineStr">
        <is>
          <t>12012</t>
        </is>
      </c>
      <c r="B156" s="3" t="n">
        <v>15</v>
      </c>
      <c r="C156" s="3" t="n">
        <v>13</v>
      </c>
      <c r="D156" s="3" t="n">
        <v>2814.379635</v>
      </c>
      <c r="E156" s="4">
        <f>IF(AND(ISNUMBER(B156),ISNUMBER(C156),B156&gt;0),C156/B156,"")</f>
        <v/>
      </c>
      <c r="F156" s="4">
        <f>IF(AND(ISNUMBER(B156),ISNUMBER(D156),D156&gt;0),100*B156/D156,"")</f>
        <v/>
      </c>
    </row>
    <row r="157">
      <c r="A157" s="3" t="inlineStr">
        <is>
          <t>12013</t>
        </is>
      </c>
      <c r="B157" s="3" t="n">
        <v>1</v>
      </c>
      <c r="C157" s="3" t="n"/>
      <c r="D157" s="3" t="n">
        <v>312.9890454</v>
      </c>
      <c r="E157" s="4">
        <f>IF(AND(ISNUMBER(B157),ISNUMBER(C157),B157&gt;0),C157/B157,"")</f>
        <v/>
      </c>
      <c r="F157" s="4">
        <f>IF(AND(ISNUMBER(B157),ISNUMBER(D157),D157&gt;0),100*B157/D157,"")</f>
        <v/>
      </c>
    </row>
    <row r="158">
      <c r="A158" s="3" t="inlineStr">
        <is>
          <t>12014</t>
        </is>
      </c>
      <c r="B158" s="3" t="n">
        <v>0</v>
      </c>
      <c r="C158" s="3" t="n">
        <v>3</v>
      </c>
      <c r="D158" s="3" t="n"/>
      <c r="E158" s="4">
        <f>IF(AND(ISNUMBER(B158),ISNUMBER(C158),B158&gt;0),C158/B158,"")</f>
        <v/>
      </c>
      <c r="F158" s="4">
        <f>IF(AND(ISNUMBER(B158),ISNUMBER(D158),D158&gt;0),100*B158/D158,"")</f>
        <v/>
      </c>
    </row>
    <row r="159">
      <c r="A159" s="3" t="inlineStr">
        <is>
          <t>12015</t>
        </is>
      </c>
      <c r="B159" s="3" t="n">
        <v>1</v>
      </c>
      <c r="C159" s="3" t="n">
        <v>1</v>
      </c>
      <c r="D159" s="3" t="n">
        <v>215.9827214</v>
      </c>
      <c r="E159" s="4">
        <f>IF(AND(ISNUMBER(B159),ISNUMBER(C159),B159&gt;0),C159/B159,"")</f>
        <v/>
      </c>
      <c r="F159" s="4">
        <f>IF(AND(ISNUMBER(B159),ISNUMBER(D159),D159&gt;0),100*B159/D159,"")</f>
        <v/>
      </c>
    </row>
    <row r="160">
      <c r="A160" s="3" t="inlineStr">
        <is>
          <t>12016</t>
        </is>
      </c>
      <c r="B160" s="3" t="n">
        <v>2</v>
      </c>
      <c r="C160" s="3" t="n">
        <v>2</v>
      </c>
      <c r="D160" s="3" t="n">
        <v>829.8755187</v>
      </c>
      <c r="E160" s="4">
        <f>IF(AND(ISNUMBER(B160),ISNUMBER(C160),B160&gt;0),C160/B160,"")</f>
        <v/>
      </c>
      <c r="F160" s="4">
        <f>IF(AND(ISNUMBER(B160),ISNUMBER(D160),D160&gt;0),100*B160/D160,"")</f>
        <v/>
      </c>
    </row>
    <row r="161">
      <c r="A161" s="3" t="inlineStr">
        <is>
          <t>12017</t>
        </is>
      </c>
      <c r="B161" s="3" t="n">
        <v>1</v>
      </c>
      <c r="C161" s="3" t="n"/>
      <c r="D161" s="3" t="n">
        <v>378.9314134</v>
      </c>
      <c r="E161" s="4">
        <f>IF(AND(ISNUMBER(B161),ISNUMBER(C161),B161&gt;0),C161/B161,"")</f>
        <v/>
      </c>
      <c r="F161" s="4">
        <f>IF(AND(ISNUMBER(B161),ISNUMBER(D161),D161&gt;0),100*B161/D161,"")</f>
        <v/>
      </c>
    </row>
    <row r="162">
      <c r="A162" s="3" t="inlineStr">
        <is>
          <t>12018</t>
        </is>
      </c>
      <c r="B162" s="3" t="n">
        <v>2</v>
      </c>
      <c r="C162" s="3" t="n">
        <v>2</v>
      </c>
      <c r="D162" s="3" t="n">
        <v>396.9829297</v>
      </c>
      <c r="E162" s="4">
        <f>IF(AND(ISNUMBER(B162),ISNUMBER(C162),B162&gt;0),C162/B162,"")</f>
        <v/>
      </c>
      <c r="F162" s="4">
        <f>IF(AND(ISNUMBER(B162),ISNUMBER(D162),D162&gt;0),100*B162/D162,"")</f>
        <v/>
      </c>
    </row>
    <row r="163">
      <c r="A163" s="3" t="inlineStr">
        <is>
          <t>12020</t>
        </is>
      </c>
      <c r="B163" s="3" t="n">
        <v>1</v>
      </c>
      <c r="C163" s="3" t="n">
        <v>1</v>
      </c>
      <c r="D163" s="3" t="n">
        <v>223.015165</v>
      </c>
      <c r="E163" s="4">
        <f>IF(AND(ISNUMBER(B163),ISNUMBER(C163),B163&gt;0),C163/B163,"")</f>
        <v/>
      </c>
      <c r="F163" s="4">
        <f>IF(AND(ISNUMBER(B163),ISNUMBER(D163),D163&gt;0),100*B163/D163,"")</f>
        <v/>
      </c>
    </row>
    <row r="164">
      <c r="A164" s="3" t="inlineStr">
        <is>
          <t>12021</t>
        </is>
      </c>
      <c r="B164" s="3" t="n">
        <v>1</v>
      </c>
      <c r="C164" s="3" t="n"/>
      <c r="D164" s="3" t="n">
        <v>611.995104</v>
      </c>
      <c r="E164" s="4">
        <f>IF(AND(ISNUMBER(B164),ISNUMBER(C164),B164&gt;0),C164/B164,"")</f>
        <v/>
      </c>
      <c r="F164" s="4">
        <f>IF(AND(ISNUMBER(B164),ISNUMBER(D164),D164&gt;0),100*B164/D164,"")</f>
        <v/>
      </c>
    </row>
    <row r="165">
      <c r="A165" s="3" t="inlineStr">
        <is>
          <t>12022</t>
        </is>
      </c>
      <c r="B165" s="3" t="n">
        <v>0</v>
      </c>
      <c r="C165" s="3" t="n">
        <v>2</v>
      </c>
      <c r="D165" s="3" t="n"/>
      <c r="E165" s="4">
        <f>IF(AND(ISNUMBER(B165),ISNUMBER(C165),B165&gt;0),C165/B165,"")</f>
        <v/>
      </c>
      <c r="F165" s="4">
        <f>IF(AND(ISNUMBER(B165),ISNUMBER(D165),D165&gt;0),100*B165/D165,"")</f>
        <v/>
      </c>
    </row>
    <row r="166">
      <c r="A166" s="3" t="inlineStr">
        <is>
          <t>12024</t>
        </is>
      </c>
      <c r="B166" s="3" t="n">
        <v>9</v>
      </c>
      <c r="C166" s="3" t="n">
        <v>1</v>
      </c>
      <c r="D166" s="3" t="n">
        <v>260.998173</v>
      </c>
      <c r="E166" s="4">
        <f>IF(AND(ISNUMBER(B166),ISNUMBER(C166),B166&gt;0),C166/B166,"")</f>
        <v/>
      </c>
      <c r="F166" s="4">
        <f>IF(AND(ISNUMBER(B166),ISNUMBER(D166),D166&gt;0),100*B166/D166,"")</f>
        <v/>
      </c>
    </row>
    <row r="167">
      <c r="A167" s="3" t="inlineStr">
        <is>
          <t>12025</t>
        </is>
      </c>
      <c r="B167" s="3" t="n">
        <v>1</v>
      </c>
      <c r="C167" s="3" t="n">
        <v>2</v>
      </c>
      <c r="D167" s="3" t="n">
        <v>362.9764065</v>
      </c>
      <c r="E167" s="4">
        <f>IF(AND(ISNUMBER(B167),ISNUMBER(C167),B167&gt;0),C167/B167,"")</f>
        <v/>
      </c>
      <c r="F167" s="4">
        <f>IF(AND(ISNUMBER(B167),ISNUMBER(D167),D167&gt;0),100*B167/D167,"")</f>
        <v/>
      </c>
    </row>
    <row r="168">
      <c r="A168" s="3" t="inlineStr">
        <is>
          <t>12026</t>
        </is>
      </c>
      <c r="B168" s="3" t="n">
        <v>10</v>
      </c>
      <c r="C168" s="3" t="n">
        <v>9</v>
      </c>
      <c r="D168" s="3" t="n">
        <v>1315.962627</v>
      </c>
      <c r="E168" s="4">
        <f>IF(AND(ISNUMBER(B168),ISNUMBER(C168),B168&gt;0),C168/B168,"")</f>
        <v/>
      </c>
      <c r="F168" s="4">
        <f>IF(AND(ISNUMBER(B168),ISNUMBER(D168),D168&gt;0),100*B168/D168,"")</f>
        <v/>
      </c>
    </row>
    <row r="169">
      <c r="A169" s="3" t="inlineStr">
        <is>
          <t>12027</t>
        </is>
      </c>
      <c r="B169" s="3" t="n">
        <v>199</v>
      </c>
      <c r="C169" s="3" t="n">
        <v>420</v>
      </c>
      <c r="D169" s="3" t="n">
        <v>17896.96082</v>
      </c>
      <c r="E169" s="4">
        <f>IF(AND(ISNUMBER(B169),ISNUMBER(C169),B169&gt;0),C169/B169,"")</f>
        <v/>
      </c>
      <c r="F169" s="4">
        <f>IF(AND(ISNUMBER(B169),ISNUMBER(D169),D169&gt;0),100*B169/D169,"")</f>
        <v/>
      </c>
    </row>
    <row r="170">
      <c r="A170" s="3" t="inlineStr">
        <is>
          <t>12028</t>
        </is>
      </c>
      <c r="B170" s="3" t="n">
        <v>429</v>
      </c>
      <c r="C170" s="3" t="n">
        <v>972</v>
      </c>
      <c r="D170" s="3" t="n">
        <v>21024.91797</v>
      </c>
      <c r="E170" s="4">
        <f>IF(AND(ISNUMBER(B170),ISNUMBER(C170),B170&gt;0),C170/B170,"")</f>
        <v/>
      </c>
      <c r="F170" s="4">
        <f>IF(AND(ISNUMBER(B170),ISNUMBER(D170),D170&gt;0),100*B170/D170,"")</f>
        <v/>
      </c>
    </row>
    <row r="171">
      <c r="A171" s="3" t="inlineStr">
        <is>
          <t>12029</t>
        </is>
      </c>
      <c r="B171" s="3" t="n">
        <v>0</v>
      </c>
      <c r="C171" s="3" t="n">
        <v>4</v>
      </c>
      <c r="D171" s="3" t="n"/>
      <c r="E171" s="4">
        <f>IF(AND(ISNUMBER(B171),ISNUMBER(C171),B171&gt;0),C171/B171,"")</f>
        <v/>
      </c>
      <c r="F171" s="4">
        <f>IF(AND(ISNUMBER(B171),ISNUMBER(D171),D171&gt;0),100*B171/D171,"")</f>
        <v/>
      </c>
    </row>
    <row r="172">
      <c r="A172" s="3" t="inlineStr">
        <is>
          <t>12031</t>
        </is>
      </c>
      <c r="B172" s="3" t="n">
        <v>6</v>
      </c>
      <c r="C172" s="3" t="n">
        <v>6</v>
      </c>
      <c r="D172" s="3" t="n">
        <v>3319.774709</v>
      </c>
      <c r="E172" s="4">
        <f>IF(AND(ISNUMBER(B172),ISNUMBER(C172),B172&gt;0),C172/B172,"")</f>
        <v/>
      </c>
      <c r="F172" s="4">
        <f>IF(AND(ISNUMBER(B172),ISNUMBER(D172),D172&gt;0),100*B172/D172,"")</f>
        <v/>
      </c>
    </row>
    <row r="173">
      <c r="A173" s="3" t="inlineStr">
        <is>
          <t>12032</t>
        </is>
      </c>
      <c r="B173" s="3" t="n">
        <v>73</v>
      </c>
      <c r="C173" s="3" t="n">
        <v>123</v>
      </c>
      <c r="D173" s="3" t="n">
        <v>15715.78156</v>
      </c>
      <c r="E173" s="4">
        <f>IF(AND(ISNUMBER(B173),ISNUMBER(C173),B173&gt;0),C173/B173,"")</f>
        <v/>
      </c>
      <c r="F173" s="4">
        <f>IF(AND(ISNUMBER(B173),ISNUMBER(D173),D173&gt;0),100*B173/D173,"")</f>
        <v/>
      </c>
    </row>
    <row r="174">
      <c r="A174" s="3" t="inlineStr">
        <is>
          <t>12033</t>
        </is>
      </c>
      <c r="B174" s="3" t="n">
        <v>137</v>
      </c>
      <c r="C174" s="3" t="n">
        <v>211</v>
      </c>
      <c r="D174" s="3" t="n">
        <v>3438.096846</v>
      </c>
      <c r="E174" s="4">
        <f>IF(AND(ISNUMBER(B174),ISNUMBER(C174),B174&gt;0),C174/B174,"")</f>
        <v/>
      </c>
      <c r="F174" s="4">
        <f>IF(AND(ISNUMBER(B174),ISNUMBER(D174),D174&gt;0),100*B174/D174,"")</f>
        <v/>
      </c>
    </row>
    <row r="175">
      <c r="A175" s="3" t="inlineStr">
        <is>
          <t>12034</t>
        </is>
      </c>
      <c r="B175" s="3" t="n">
        <v>15</v>
      </c>
      <c r="C175" s="3" t="n">
        <v>16</v>
      </c>
      <c r="D175" s="3" t="n">
        <v>1658.00818</v>
      </c>
      <c r="E175" s="4">
        <f>IF(AND(ISNUMBER(B175),ISNUMBER(C175),B175&gt;0),C175/B175,"")</f>
        <v/>
      </c>
      <c r="F175" s="4">
        <f>IF(AND(ISNUMBER(B175),ISNUMBER(D175),D175&gt;0),100*B175/D175,"")</f>
        <v/>
      </c>
    </row>
    <row r="176">
      <c r="A176" s="3" t="inlineStr">
        <is>
          <t>12036</t>
        </is>
      </c>
      <c r="B176" s="3" t="n">
        <v>5</v>
      </c>
      <c r="C176" s="3" t="n">
        <v>5</v>
      </c>
      <c r="D176" s="3" t="n">
        <v>668.9858175000001</v>
      </c>
      <c r="E176" s="4">
        <f>IF(AND(ISNUMBER(B176),ISNUMBER(C176),B176&gt;0),C176/B176,"")</f>
        <v/>
      </c>
      <c r="F176" s="4">
        <f>IF(AND(ISNUMBER(B176),ISNUMBER(D176),D176&gt;0),100*B176/D176,"")</f>
        <v/>
      </c>
    </row>
    <row r="177">
      <c r="A177" s="3" t="inlineStr">
        <is>
          <t>12037</t>
        </is>
      </c>
      <c r="B177" s="3" t="n">
        <v>0</v>
      </c>
      <c r="C177" s="3" t="n">
        <v>2</v>
      </c>
      <c r="D177" s="3" t="n"/>
      <c r="E177" s="4">
        <f>IF(AND(ISNUMBER(B177),ISNUMBER(C177),B177&gt;0),C177/B177,"")</f>
        <v/>
      </c>
      <c r="F177" s="4">
        <f>IF(AND(ISNUMBER(B177),ISNUMBER(D177),D177&gt;0),100*B177/D177,"")</f>
        <v/>
      </c>
    </row>
    <row r="178">
      <c r="A178" s="3" t="inlineStr">
        <is>
          <t>12038</t>
        </is>
      </c>
      <c r="B178" s="3" t="n">
        <v>5</v>
      </c>
      <c r="C178" s="3" t="n">
        <v>2</v>
      </c>
      <c r="D178" s="3" t="n">
        <v>269.9929802</v>
      </c>
      <c r="E178" s="4">
        <f>IF(AND(ISNUMBER(B178),ISNUMBER(C178),B178&gt;0),C178/B178,"")</f>
        <v/>
      </c>
      <c r="F178" s="4">
        <f>IF(AND(ISNUMBER(B178),ISNUMBER(D178),D178&gt;0),100*B178/D178,"")</f>
        <v/>
      </c>
    </row>
    <row r="179">
      <c r="A179" s="3" t="inlineStr">
        <is>
          <t>12039</t>
        </is>
      </c>
      <c r="B179" s="3" t="n">
        <v>3</v>
      </c>
      <c r="C179" s="3" t="n"/>
      <c r="D179" s="3" t="n">
        <v>835.8874338000001</v>
      </c>
      <c r="E179" s="4">
        <f>IF(AND(ISNUMBER(B179),ISNUMBER(C179),B179&gt;0),C179/B179,"")</f>
        <v/>
      </c>
      <c r="F179" s="4">
        <f>IF(AND(ISNUMBER(B179),ISNUMBER(D179),D179&gt;0),100*B179/D179,"")</f>
        <v/>
      </c>
    </row>
    <row r="180">
      <c r="A180" s="3" t="inlineStr">
        <is>
          <t>12040</t>
        </is>
      </c>
      <c r="B180" s="3" t="n">
        <v>393</v>
      </c>
      <c r="C180" s="3" t="n">
        <v>634</v>
      </c>
      <c r="D180" s="3" t="n">
        <v>74286.38685</v>
      </c>
      <c r="E180" s="4">
        <f>IF(AND(ISNUMBER(B180),ISNUMBER(C180),B180&gt;0),C180/B180,"")</f>
        <v/>
      </c>
      <c r="F180" s="4">
        <f>IF(AND(ISNUMBER(B180),ISNUMBER(D180),D180&gt;0),100*B180/D180,"")</f>
        <v/>
      </c>
    </row>
    <row r="181">
      <c r="A181" s="3" t="inlineStr">
        <is>
          <t>12041</t>
        </is>
      </c>
      <c r="B181" s="3" t="n">
        <v>3</v>
      </c>
      <c r="C181" s="3" t="n">
        <v>4</v>
      </c>
      <c r="D181" s="3" t="n">
        <v>308.0082136</v>
      </c>
      <c r="E181" s="4">
        <f>IF(AND(ISNUMBER(B181),ISNUMBER(C181),B181&gt;0),C181/B181,"")</f>
        <v/>
      </c>
      <c r="F181" s="4">
        <f>IF(AND(ISNUMBER(B181),ISNUMBER(D181),D181&gt;0),100*B181/D181,"")</f>
        <v/>
      </c>
    </row>
    <row r="182">
      <c r="A182" s="3" t="inlineStr">
        <is>
          <t>12042</t>
        </is>
      </c>
      <c r="B182" s="3" t="n">
        <v>7</v>
      </c>
      <c r="C182" s="3" t="n">
        <v>4</v>
      </c>
      <c r="D182" s="3" t="n">
        <v>657.0302234</v>
      </c>
      <c r="E182" s="4">
        <f>IF(AND(ISNUMBER(B182),ISNUMBER(C182),B182&gt;0),C182/B182,"")</f>
        <v/>
      </c>
      <c r="F182" s="4">
        <f>IF(AND(ISNUMBER(B182),ISNUMBER(D182),D182&gt;0),100*B182/D182,"")</f>
        <v/>
      </c>
    </row>
    <row r="183">
      <c r="A183" s="3" t="inlineStr">
        <is>
          <t>12043</t>
        </is>
      </c>
      <c r="B183" s="3" t="n">
        <v>19</v>
      </c>
      <c r="C183" s="3" t="n">
        <v>10</v>
      </c>
      <c r="D183" s="3" t="n">
        <v>1073.992426</v>
      </c>
      <c r="E183" s="4">
        <f>IF(AND(ISNUMBER(B183),ISNUMBER(C183),B183&gt;0),C183/B183,"")</f>
        <v/>
      </c>
      <c r="F183" s="4">
        <f>IF(AND(ISNUMBER(B183),ISNUMBER(D183),D183&gt;0),100*B183/D183,"")</f>
        <v/>
      </c>
    </row>
    <row r="184">
      <c r="A184" s="3" t="inlineStr">
        <is>
          <t>12044</t>
        </is>
      </c>
      <c r="B184" s="3" t="n">
        <v>4</v>
      </c>
      <c r="C184" s="3" t="n">
        <v>7</v>
      </c>
      <c r="D184" s="3" t="n">
        <v>804.9909439</v>
      </c>
      <c r="E184" s="4">
        <f>IF(AND(ISNUMBER(B184),ISNUMBER(C184),B184&gt;0),C184/B184,"")</f>
        <v/>
      </c>
      <c r="F184" s="4">
        <f>IF(AND(ISNUMBER(B184),ISNUMBER(D184),D184&gt;0),100*B184/D184,"")</f>
        <v/>
      </c>
    </row>
    <row r="185">
      <c r="A185" s="3" t="inlineStr">
        <is>
          <t>12045</t>
        </is>
      </c>
      <c r="B185" s="3" t="n">
        <v>5</v>
      </c>
      <c r="C185" s="3" t="n">
        <v>2</v>
      </c>
      <c r="D185" s="3" t="n">
        <v>640.0409625999999</v>
      </c>
      <c r="E185" s="4">
        <f>IF(AND(ISNUMBER(B185),ISNUMBER(C185),B185&gt;0),C185/B185,"")</f>
        <v/>
      </c>
      <c r="F185" s="4">
        <f>IF(AND(ISNUMBER(B185),ISNUMBER(D185),D185&gt;0),100*B185/D185,"")</f>
        <v/>
      </c>
    </row>
    <row r="186">
      <c r="A186" s="3" t="inlineStr">
        <is>
          <t>12046</t>
        </is>
      </c>
      <c r="B186" s="3" t="n">
        <v>3</v>
      </c>
      <c r="C186" s="3" t="n">
        <v>7</v>
      </c>
      <c r="D186" s="3" t="n">
        <v>693.962526</v>
      </c>
      <c r="E186" s="4">
        <f>IF(AND(ISNUMBER(B186),ISNUMBER(C186),B186&gt;0),C186/B186,"")</f>
        <v/>
      </c>
      <c r="F186" s="4">
        <f>IF(AND(ISNUMBER(B186),ISNUMBER(D186),D186&gt;0),100*B186/D186,"")</f>
        <v/>
      </c>
    </row>
    <row r="187">
      <c r="A187" s="3" t="inlineStr">
        <is>
          <t>12048</t>
        </is>
      </c>
      <c r="B187" s="3" t="n">
        <v>9</v>
      </c>
      <c r="C187" s="3" t="n">
        <v>8</v>
      </c>
      <c r="D187" s="3" t="n">
        <v>609.0133982999999</v>
      </c>
      <c r="E187" s="4">
        <f>IF(AND(ISNUMBER(B187),ISNUMBER(C187),B187&gt;0),C187/B187,"")</f>
        <v/>
      </c>
      <c r="F187" s="4">
        <f>IF(AND(ISNUMBER(B187),ISNUMBER(D187),D187&gt;0),100*B187/D187,"")</f>
        <v/>
      </c>
    </row>
    <row r="188">
      <c r="A188" s="3" t="inlineStr">
        <is>
          <t>12049</t>
        </is>
      </c>
      <c r="B188" s="3" t="n">
        <v>1</v>
      </c>
      <c r="C188" s="3" t="n">
        <v>5</v>
      </c>
      <c r="D188" s="3" t="n">
        <v>515.995872</v>
      </c>
      <c r="E188" s="4">
        <f>IF(AND(ISNUMBER(B188),ISNUMBER(C188),B188&gt;0),C188/B188,"")</f>
        <v/>
      </c>
      <c r="F188" s="4">
        <f>IF(AND(ISNUMBER(B188),ISNUMBER(D188),D188&gt;0),100*B188/D188,"")</f>
        <v/>
      </c>
    </row>
    <row r="189">
      <c r="A189" s="3" t="inlineStr">
        <is>
          <t>12050</t>
        </is>
      </c>
      <c r="B189" s="3" t="n">
        <v>6</v>
      </c>
      <c r="C189" s="3" t="n">
        <v>2</v>
      </c>
      <c r="D189" s="3" t="n">
        <v>1653.803749</v>
      </c>
      <c r="E189" s="4">
        <f>IF(AND(ISNUMBER(B189),ISNUMBER(C189),B189&gt;0),C189/B189,"")</f>
        <v/>
      </c>
      <c r="F189" s="4">
        <f>IF(AND(ISNUMBER(B189),ISNUMBER(D189),D189&gt;0),100*B189/D189,"")</f>
        <v/>
      </c>
    </row>
    <row r="190">
      <c r="A190" s="3" t="inlineStr">
        <is>
          <t>12051</t>
        </is>
      </c>
      <c r="B190" s="3" t="n">
        <v>6</v>
      </c>
      <c r="C190" s="3" t="n">
        <v>3</v>
      </c>
      <c r="D190" s="3" t="n">
        <v>829.9903168</v>
      </c>
      <c r="E190" s="4">
        <f>IF(AND(ISNUMBER(B190),ISNUMBER(C190),B190&gt;0),C190/B190,"")</f>
        <v/>
      </c>
      <c r="F190" s="4">
        <f>IF(AND(ISNUMBER(B190),ISNUMBER(D190),D190&gt;0),100*B190/D190,"")</f>
        <v/>
      </c>
    </row>
    <row r="191">
      <c r="A191" s="3" t="inlineStr">
        <is>
          <t>12052</t>
        </is>
      </c>
      <c r="B191" s="3" t="n">
        <v>3</v>
      </c>
      <c r="C191" s="3" t="n">
        <v>5</v>
      </c>
      <c r="D191" s="3" t="n">
        <v>888.8888889</v>
      </c>
      <c r="E191" s="4">
        <f>IF(AND(ISNUMBER(B191),ISNUMBER(C191),B191&gt;0),C191/B191,"")</f>
        <v/>
      </c>
      <c r="F191" s="4">
        <f>IF(AND(ISNUMBER(B191),ISNUMBER(D191),D191&gt;0),100*B191/D191,"")</f>
        <v/>
      </c>
    </row>
    <row r="192">
      <c r="A192" s="3" t="inlineStr">
        <is>
          <t>12053</t>
        </is>
      </c>
      <c r="B192" s="3" t="n">
        <v>42</v>
      </c>
      <c r="C192" s="3" t="n">
        <v>79</v>
      </c>
      <c r="D192" s="3" t="n">
        <v>3754.924812</v>
      </c>
      <c r="E192" s="4">
        <f>IF(AND(ISNUMBER(B192),ISNUMBER(C192),B192&gt;0),C192/B192,"")</f>
        <v/>
      </c>
      <c r="F192" s="4">
        <f>IF(AND(ISNUMBER(B192),ISNUMBER(D192),D192&gt;0),100*B192/D192,"")</f>
        <v/>
      </c>
    </row>
    <row r="193">
      <c r="A193" s="3" t="inlineStr">
        <is>
          <t>12055</t>
        </is>
      </c>
      <c r="B193" s="3" t="n">
        <v>0</v>
      </c>
      <c r="C193" s="3" t="n">
        <v>2</v>
      </c>
      <c r="D193" s="3" t="n"/>
      <c r="E193" s="4">
        <f>IF(AND(ISNUMBER(B193),ISNUMBER(C193),B193&gt;0),C193/B193,"")</f>
        <v/>
      </c>
      <c r="F193" s="4">
        <f>IF(AND(ISNUMBER(B193),ISNUMBER(D193),D193&gt;0),100*B193/D193,"")</f>
        <v/>
      </c>
    </row>
    <row r="194">
      <c r="A194" s="3" t="inlineStr">
        <is>
          <t>12056</t>
        </is>
      </c>
      <c r="B194" s="3" t="n">
        <v>7</v>
      </c>
      <c r="C194" s="3" t="n">
        <v>1</v>
      </c>
      <c r="D194" s="3" t="n">
        <v>434.9987571</v>
      </c>
      <c r="E194" s="4">
        <f>IF(AND(ISNUMBER(B194),ISNUMBER(C194),B194&gt;0),C194/B194,"")</f>
        <v/>
      </c>
      <c r="F194" s="4">
        <f>IF(AND(ISNUMBER(B194),ISNUMBER(D194),D194&gt;0),100*B194/D194,"")</f>
        <v/>
      </c>
    </row>
    <row r="195">
      <c r="A195" s="3" t="inlineStr">
        <is>
          <t>12057</t>
        </is>
      </c>
      <c r="B195" s="3" t="n">
        <v>19</v>
      </c>
      <c r="C195" s="3" t="n">
        <v>12</v>
      </c>
      <c r="D195" s="3" t="n">
        <v>937.0222419</v>
      </c>
      <c r="E195" s="4">
        <f>IF(AND(ISNUMBER(B195),ISNUMBER(C195),B195&gt;0),C195/B195,"")</f>
        <v/>
      </c>
      <c r="F195" s="4">
        <f>IF(AND(ISNUMBER(B195),ISNUMBER(D195),D195&gt;0),100*B195/D195,"")</f>
        <v/>
      </c>
    </row>
    <row r="196">
      <c r="A196" s="3" t="inlineStr">
        <is>
          <t>12058</t>
        </is>
      </c>
      <c r="B196" s="3" t="n">
        <v>0</v>
      </c>
      <c r="C196" s="3" t="n"/>
      <c r="D196" s="3" t="n"/>
      <c r="E196" s="4">
        <f>IF(AND(ISNUMBER(B196),ISNUMBER(C196),B196&gt;0),C196/B196,"")</f>
        <v/>
      </c>
      <c r="F196" s="4">
        <f>IF(AND(ISNUMBER(B196),ISNUMBER(D196),D196&gt;0),100*B196/D196,"")</f>
        <v/>
      </c>
    </row>
    <row r="197">
      <c r="A197" s="3" t="inlineStr">
        <is>
          <t>12059</t>
        </is>
      </c>
      <c r="B197" s="3" t="n">
        <v>1</v>
      </c>
      <c r="C197" s="3" t="n">
        <v>2</v>
      </c>
      <c r="D197" s="3" t="n">
        <v>366.0322108</v>
      </c>
      <c r="E197" s="4">
        <f>IF(AND(ISNUMBER(B197),ISNUMBER(C197),B197&gt;0),C197/B197,"")</f>
        <v/>
      </c>
      <c r="F197" s="4">
        <f>IF(AND(ISNUMBER(B197),ISNUMBER(D197),D197&gt;0),100*B197/D197,"")</f>
        <v/>
      </c>
    </row>
    <row r="198">
      <c r="A198" s="3" t="inlineStr">
        <is>
          <t>12060</t>
        </is>
      </c>
      <c r="B198" s="3" t="n">
        <v>2</v>
      </c>
      <c r="C198" s="3" t="n">
        <v>2</v>
      </c>
      <c r="D198" s="3" t="n">
        <v>570.939195</v>
      </c>
      <c r="E198" s="4">
        <f>IF(AND(ISNUMBER(B198),ISNUMBER(C198),B198&gt;0),C198/B198,"")</f>
        <v/>
      </c>
      <c r="F198" s="4">
        <f>IF(AND(ISNUMBER(B198),ISNUMBER(D198),D198&gt;0),100*B198/D198,"")</f>
        <v/>
      </c>
    </row>
    <row r="199">
      <c r="A199" s="3" t="inlineStr">
        <is>
          <t>12061</t>
        </is>
      </c>
      <c r="B199" s="3" t="n">
        <v>5</v>
      </c>
      <c r="C199" s="3" t="n">
        <v>4</v>
      </c>
      <c r="D199" s="3" t="n">
        <v>555.9879907</v>
      </c>
      <c r="E199" s="4">
        <f>IF(AND(ISNUMBER(B199),ISNUMBER(C199),B199&gt;0),C199/B199,"")</f>
        <v/>
      </c>
      <c r="F199" s="4">
        <f>IF(AND(ISNUMBER(B199),ISNUMBER(D199),D199&gt;0),100*B199/D199,"")</f>
        <v/>
      </c>
    </row>
    <row r="200">
      <c r="A200" s="3" t="inlineStr">
        <is>
          <t>12063</t>
        </is>
      </c>
      <c r="B200" s="3" t="n">
        <v>0</v>
      </c>
      <c r="C200" s="3" t="n">
        <v>1</v>
      </c>
      <c r="D200" s="3" t="n"/>
      <c r="E200" s="4">
        <f>IF(AND(ISNUMBER(B200),ISNUMBER(C200),B200&gt;0),C200/B200,"")</f>
        <v/>
      </c>
      <c r="F200" s="4">
        <f>IF(AND(ISNUMBER(B200),ISNUMBER(D200),D200&gt;0),100*B200/D200,"")</f>
        <v/>
      </c>
    </row>
    <row r="201">
      <c r="A201" s="3" t="inlineStr">
        <is>
          <t>12064</t>
        </is>
      </c>
      <c r="B201" s="3" t="n">
        <v>2</v>
      </c>
      <c r="C201" s="3" t="n">
        <v>1</v>
      </c>
      <c r="D201" s="3" t="n">
        <v>177.999288</v>
      </c>
      <c r="E201" s="4">
        <f>IF(AND(ISNUMBER(B201),ISNUMBER(C201),B201&gt;0),C201/B201,"")</f>
        <v/>
      </c>
      <c r="F201" s="4">
        <f>IF(AND(ISNUMBER(B201),ISNUMBER(D201),D201&gt;0),100*B201/D201,"")</f>
        <v/>
      </c>
    </row>
    <row r="202">
      <c r="A202" s="3" t="inlineStr">
        <is>
          <t>12065</t>
        </is>
      </c>
      <c r="B202" s="3" t="n">
        <v>1</v>
      </c>
      <c r="C202" s="3" t="n">
        <v>1</v>
      </c>
      <c r="D202" s="3" t="n">
        <v>668.8963211</v>
      </c>
      <c r="E202" s="4">
        <f>IF(AND(ISNUMBER(B202),ISNUMBER(C202),B202&gt;0),C202/B202,"")</f>
        <v/>
      </c>
      <c r="F202" s="4">
        <f>IF(AND(ISNUMBER(B202),ISNUMBER(D202),D202&gt;0),100*B202/D202,"")</f>
        <v/>
      </c>
    </row>
    <row r="203">
      <c r="A203" s="3" t="inlineStr">
        <is>
          <t>12067</t>
        </is>
      </c>
      <c r="B203" s="3" t="n">
        <v>1</v>
      </c>
      <c r="C203" s="3" t="n">
        <v>2</v>
      </c>
      <c r="D203" s="3" t="n">
        <v>550.9641873</v>
      </c>
      <c r="E203" s="4">
        <f>IF(AND(ISNUMBER(B203),ISNUMBER(C203),B203&gt;0),C203/B203,"")</f>
        <v/>
      </c>
      <c r="F203" s="4">
        <f>IF(AND(ISNUMBER(B203),ISNUMBER(D203),D203&gt;0),100*B203/D203,"")</f>
        <v/>
      </c>
    </row>
    <row r="204">
      <c r="A204" s="3" t="inlineStr">
        <is>
          <t>12068</t>
        </is>
      </c>
      <c r="B204" s="3" t="n">
        <v>1</v>
      </c>
      <c r="C204" s="3" t="n">
        <v>1</v>
      </c>
      <c r="D204" s="3" t="n">
        <v>157.0105197</v>
      </c>
      <c r="E204" s="4">
        <f>IF(AND(ISNUMBER(B204),ISNUMBER(C204),B204&gt;0),C204/B204,"")</f>
        <v/>
      </c>
      <c r="F204" s="4">
        <f>IF(AND(ISNUMBER(B204),ISNUMBER(D204),D204&gt;0),100*B204/D204,"")</f>
        <v/>
      </c>
    </row>
    <row r="205">
      <c r="A205" s="3" t="inlineStr">
        <is>
          <t>12069</t>
        </is>
      </c>
      <c r="B205" s="3" t="n">
        <v>0</v>
      </c>
      <c r="C205" s="3" t="n"/>
      <c r="D205" s="3" t="n"/>
      <c r="E205" s="4">
        <f>IF(AND(ISNUMBER(B205),ISNUMBER(C205),B205&gt;0),C205/B205,"")</f>
        <v/>
      </c>
      <c r="F205" s="4">
        <f>IF(AND(ISNUMBER(B205),ISNUMBER(D205),D205&gt;0),100*B205/D205,"")</f>
        <v/>
      </c>
    </row>
    <row r="206">
      <c r="A206" s="3" t="inlineStr">
        <is>
          <t>12070</t>
        </is>
      </c>
      <c r="B206" s="3" t="n">
        <v>1</v>
      </c>
      <c r="C206" s="3" t="n">
        <v>1</v>
      </c>
      <c r="D206" s="3" t="n">
        <v>628.9308176</v>
      </c>
      <c r="E206" s="4">
        <f>IF(AND(ISNUMBER(B206),ISNUMBER(C206),B206&gt;0),C206/B206,"")</f>
        <v/>
      </c>
      <c r="F206" s="4">
        <f>IF(AND(ISNUMBER(B206),ISNUMBER(D206),D206&gt;0),100*B206/D206,"")</f>
        <v/>
      </c>
    </row>
    <row r="207">
      <c r="A207" s="3" t="inlineStr">
        <is>
          <t>12071</t>
        </is>
      </c>
      <c r="B207" s="3" t="n">
        <v>20</v>
      </c>
      <c r="C207" s="3" t="n">
        <v>23</v>
      </c>
      <c r="D207" s="3" t="n">
        <v>2083.9446</v>
      </c>
      <c r="E207" s="4">
        <f>IF(AND(ISNUMBER(B207),ISNUMBER(C207),B207&gt;0),C207/B207,"")</f>
        <v/>
      </c>
      <c r="F207" s="4">
        <f>IF(AND(ISNUMBER(B207),ISNUMBER(D207),D207&gt;0),100*B207/D207,"")</f>
        <v/>
      </c>
    </row>
    <row r="208">
      <c r="A208" s="3" t="inlineStr">
        <is>
          <t>12072</t>
        </is>
      </c>
      <c r="B208" s="3" t="n">
        <v>14</v>
      </c>
      <c r="C208" s="3" t="n">
        <v>14</v>
      </c>
      <c r="D208" s="3" t="n">
        <v>1611.974669</v>
      </c>
      <c r="E208" s="4">
        <f>IF(AND(ISNUMBER(B208),ISNUMBER(C208),B208&gt;0),C208/B208,"")</f>
        <v/>
      </c>
      <c r="F208" s="4">
        <f>IF(AND(ISNUMBER(B208),ISNUMBER(D208),D208&gt;0),100*B208/D208,"")</f>
        <v/>
      </c>
    </row>
    <row r="209">
      <c r="A209" s="3" t="inlineStr">
        <is>
          <t>12073</t>
        </is>
      </c>
      <c r="B209" s="3" t="n">
        <v>0</v>
      </c>
      <c r="C209" s="3" t="n">
        <v>3</v>
      </c>
      <c r="D209" s="3" t="n"/>
      <c r="E209" s="4">
        <f>IF(AND(ISNUMBER(B209),ISNUMBER(C209),B209&gt;0),C209/B209,"")</f>
        <v/>
      </c>
      <c r="F209" s="4">
        <f>IF(AND(ISNUMBER(B209),ISNUMBER(D209),D209&gt;0),100*B209/D209,"")</f>
        <v/>
      </c>
    </row>
    <row r="210">
      <c r="A210" s="3" t="inlineStr">
        <is>
          <t>12074</t>
        </is>
      </c>
      <c r="B210" s="3" t="n">
        <v>2</v>
      </c>
      <c r="C210" s="3" t="n">
        <v>2</v>
      </c>
      <c r="D210" s="3" t="n">
        <v>589.9705015</v>
      </c>
      <c r="E210" s="4">
        <f>IF(AND(ISNUMBER(B210),ISNUMBER(C210),B210&gt;0),C210/B210,"")</f>
        <v/>
      </c>
      <c r="F210" s="4">
        <f>IF(AND(ISNUMBER(B210),ISNUMBER(D210),D210&gt;0),100*B210/D210,"")</f>
        <v/>
      </c>
    </row>
    <row r="211">
      <c r="A211" s="3" t="inlineStr">
        <is>
          <t>12075</t>
        </is>
      </c>
      <c r="B211" s="3" t="n">
        <v>5</v>
      </c>
      <c r="C211" s="3" t="n">
        <v>3</v>
      </c>
      <c r="D211" s="3" t="n">
        <v>222.9952725</v>
      </c>
      <c r="E211" s="4">
        <f>IF(AND(ISNUMBER(B211),ISNUMBER(C211),B211&gt;0),C211/B211,"")</f>
        <v/>
      </c>
      <c r="F211" s="4">
        <f>IF(AND(ISNUMBER(B211),ISNUMBER(D211),D211&gt;0),100*B211/D211,"")</f>
        <v/>
      </c>
    </row>
    <row r="212">
      <c r="A212" s="3" t="inlineStr">
        <is>
          <t>12076</t>
        </is>
      </c>
      <c r="B212" s="3" t="n">
        <v>0</v>
      </c>
      <c r="C212" s="3" t="n">
        <v>2</v>
      </c>
      <c r="D212" s="3" t="n"/>
      <c r="E212" s="4">
        <f>IF(AND(ISNUMBER(B212),ISNUMBER(C212),B212&gt;0),C212/B212,"")</f>
        <v/>
      </c>
      <c r="F212" s="4">
        <f>IF(AND(ISNUMBER(B212),ISNUMBER(D212),D212&gt;0),100*B212/D212,"")</f>
        <v/>
      </c>
    </row>
    <row r="213">
      <c r="A213" s="3" t="inlineStr">
        <is>
          <t>12077</t>
        </is>
      </c>
      <c r="B213" s="3" t="n">
        <v>164</v>
      </c>
      <c r="C213" s="3" t="n">
        <v>304</v>
      </c>
      <c r="D213" s="3" t="n">
        <v>12203.02896</v>
      </c>
      <c r="E213" s="4">
        <f>IF(AND(ISNUMBER(B213),ISNUMBER(C213),B213&gt;0),C213/B213,"")</f>
        <v/>
      </c>
      <c r="F213" s="4">
        <f>IF(AND(ISNUMBER(B213),ISNUMBER(D213),D213&gt;0),100*B213/D213,"")</f>
        <v/>
      </c>
    </row>
    <row r="214">
      <c r="A214" s="3" t="inlineStr">
        <is>
          <t>12078</t>
        </is>
      </c>
      <c r="B214" s="3" t="n">
        <v>12</v>
      </c>
      <c r="C214" s="3" t="n">
        <v>9</v>
      </c>
      <c r="D214" s="3" t="n">
        <v>615.9848057</v>
      </c>
      <c r="E214" s="4">
        <f>IF(AND(ISNUMBER(B214),ISNUMBER(C214),B214&gt;0),C214/B214,"")</f>
        <v/>
      </c>
      <c r="F214" s="4">
        <f>IF(AND(ISNUMBER(B214),ISNUMBER(D214),D214&gt;0),100*B214/D214,"")</f>
        <v/>
      </c>
    </row>
    <row r="215">
      <c r="A215" s="3" t="inlineStr">
        <is>
          <t>12079</t>
        </is>
      </c>
      <c r="B215" s="3" t="n">
        <v>31</v>
      </c>
      <c r="C215" s="3" t="n">
        <v>27</v>
      </c>
      <c r="D215" s="3" t="n">
        <v>1332.989336</v>
      </c>
      <c r="E215" s="4">
        <f>IF(AND(ISNUMBER(B215),ISNUMBER(C215),B215&gt;0),C215/B215,"")</f>
        <v/>
      </c>
      <c r="F215" s="4">
        <f>IF(AND(ISNUMBER(B215),ISNUMBER(D215),D215&gt;0),100*B215/D215,"")</f>
        <v/>
      </c>
    </row>
    <row r="216">
      <c r="A216" s="3" t="inlineStr">
        <is>
          <t>12080</t>
        </is>
      </c>
      <c r="B216" s="3" t="n">
        <v>56</v>
      </c>
      <c r="C216" s="3" t="n">
        <v>51</v>
      </c>
      <c r="D216" s="3" t="n">
        <v>2159.989863</v>
      </c>
      <c r="E216" s="4">
        <f>IF(AND(ISNUMBER(B216),ISNUMBER(C216),B216&gt;0),C216/B216,"")</f>
        <v/>
      </c>
      <c r="F216" s="4">
        <f>IF(AND(ISNUMBER(B216),ISNUMBER(D216),D216&gt;0),100*B216/D216,"")</f>
        <v/>
      </c>
    </row>
    <row r="217">
      <c r="A217" s="3" t="inlineStr">
        <is>
          <t>12081</t>
        </is>
      </c>
      <c r="B217" s="3" t="n">
        <v>17</v>
      </c>
      <c r="C217" s="3" t="n">
        <v>16</v>
      </c>
      <c r="D217" s="3" t="n">
        <v>1293.956462</v>
      </c>
      <c r="E217" s="4">
        <f>IF(AND(ISNUMBER(B217),ISNUMBER(C217),B217&gt;0),C217/B217,"")</f>
        <v/>
      </c>
      <c r="F217" s="4">
        <f>IF(AND(ISNUMBER(B217),ISNUMBER(D217),D217&gt;0),100*B217/D217,"")</f>
        <v/>
      </c>
    </row>
    <row r="218">
      <c r="A218" s="3" t="inlineStr">
        <is>
          <t>12082</t>
        </is>
      </c>
      <c r="B218" s="3" t="n">
        <v>21</v>
      </c>
      <c r="C218" s="3" t="n">
        <v>35</v>
      </c>
      <c r="D218" s="3" t="n">
        <v>4403.191249</v>
      </c>
      <c r="E218" s="4">
        <f>IF(AND(ISNUMBER(B218),ISNUMBER(C218),B218&gt;0),C218/B218,"")</f>
        <v/>
      </c>
      <c r="F218" s="4">
        <f>IF(AND(ISNUMBER(B218),ISNUMBER(D218),D218&gt;0),100*B218/D218,"")</f>
        <v/>
      </c>
    </row>
    <row r="219">
      <c r="A219" s="3" t="inlineStr">
        <is>
          <t>12083</t>
        </is>
      </c>
      <c r="B219" s="3" t="n">
        <v>9</v>
      </c>
      <c r="C219" s="3" t="n">
        <v>1</v>
      </c>
      <c r="D219" s="3" t="n">
        <v>127.000254</v>
      </c>
      <c r="E219" s="4">
        <f>IF(AND(ISNUMBER(B219),ISNUMBER(C219),B219&gt;0),C219/B219,"")</f>
        <v/>
      </c>
      <c r="F219" s="4">
        <f>IF(AND(ISNUMBER(B219),ISNUMBER(D219),D219&gt;0),100*B219/D219,"")</f>
        <v/>
      </c>
    </row>
    <row r="220">
      <c r="A220" s="3" t="inlineStr">
        <is>
          <t>12084</t>
        </is>
      </c>
      <c r="B220" s="3" t="n">
        <v>15</v>
      </c>
      <c r="C220" s="3" t="n">
        <v>3</v>
      </c>
      <c r="D220" s="3" t="n">
        <v>3791.105015</v>
      </c>
      <c r="E220" s="4">
        <f>IF(AND(ISNUMBER(B220),ISNUMBER(C220),B220&gt;0),C220/B220,"")</f>
        <v/>
      </c>
      <c r="F220" s="4">
        <f>IF(AND(ISNUMBER(B220),ISNUMBER(D220),D220&gt;0),100*B220/D220,"")</f>
        <v/>
      </c>
    </row>
    <row r="221">
      <c r="A221" s="3" t="inlineStr">
        <is>
          <t>12085</t>
        </is>
      </c>
      <c r="B221" s="3" t="n">
        <v>1386</v>
      </c>
      <c r="C221" s="3" t="n">
        <v>3192</v>
      </c>
      <c r="D221" s="3" t="n">
        <v>29113.05052</v>
      </c>
      <c r="E221" s="4">
        <f>IF(AND(ISNUMBER(B221),ISNUMBER(C221),B221&gt;0),C221/B221,"")</f>
        <v/>
      </c>
      <c r="F221" s="4">
        <f>IF(AND(ISNUMBER(B221),ISNUMBER(D221),D221&gt;0),100*B221/D221,"")</f>
        <v/>
      </c>
    </row>
    <row r="222">
      <c r="A222" s="3" t="inlineStr">
        <is>
          <t>12087</t>
        </is>
      </c>
      <c r="B222" s="3" t="n">
        <v>0</v>
      </c>
      <c r="C222" s="3" t="n"/>
      <c r="D222" s="3" t="n"/>
      <c r="E222" s="4">
        <f>IF(AND(ISNUMBER(B222),ISNUMBER(C222),B222&gt;0),C222/B222,"")</f>
        <v/>
      </c>
      <c r="F222" s="4">
        <f>IF(AND(ISNUMBER(B222),ISNUMBER(D222),D222&gt;0),100*B222/D222,"")</f>
        <v/>
      </c>
    </row>
    <row r="223">
      <c r="A223" s="3" t="inlineStr">
        <is>
          <t>12088</t>
        </is>
      </c>
      <c r="B223" s="3" t="n">
        <v>1</v>
      </c>
      <c r="C223" s="3" t="n">
        <v>1</v>
      </c>
      <c r="D223" s="3" t="n">
        <v>169.0045631</v>
      </c>
      <c r="E223" s="4">
        <f>IF(AND(ISNUMBER(B223),ISNUMBER(C223),B223&gt;0),C223/B223,"")</f>
        <v/>
      </c>
      <c r="F223" s="4">
        <f>IF(AND(ISNUMBER(B223),ISNUMBER(D223),D223&gt;0),100*B223/D223,"")</f>
        <v/>
      </c>
    </row>
    <row r="224">
      <c r="A224" s="3" t="inlineStr">
        <is>
          <t>12089</t>
        </is>
      </c>
      <c r="B224" s="3" t="n">
        <v>1781</v>
      </c>
      <c r="C224" s="3" t="n">
        <v>3024</v>
      </c>
      <c r="D224" s="3" t="n">
        <v>18226.02275</v>
      </c>
      <c r="E224" s="4">
        <f>IF(AND(ISNUMBER(B224),ISNUMBER(C224),B224&gt;0),C224/B224,"")</f>
        <v/>
      </c>
      <c r="F224" s="4">
        <f>IF(AND(ISNUMBER(B224),ISNUMBER(D224),D224&gt;0),100*B224/D224,"")</f>
        <v/>
      </c>
    </row>
    <row r="225">
      <c r="A225" s="3" t="inlineStr">
        <is>
          <t>12090</t>
        </is>
      </c>
      <c r="B225" s="3" t="n">
        <v>0</v>
      </c>
      <c r="C225" s="3" t="n"/>
      <c r="D225" s="3" t="n"/>
      <c r="E225" s="4">
        <f>IF(AND(ISNUMBER(B225),ISNUMBER(C225),B225&gt;0),C225/B225,"")</f>
        <v/>
      </c>
      <c r="F225" s="4">
        <f>IF(AND(ISNUMBER(B225),ISNUMBER(D225),D225&gt;0),100*B225/D225,"")</f>
        <v/>
      </c>
    </row>
    <row r="226">
      <c r="A226" s="3" t="inlineStr">
        <is>
          <t>12091</t>
        </is>
      </c>
      <c r="B226" s="3" t="n">
        <v>2</v>
      </c>
      <c r="C226" s="3" t="n">
        <v>2</v>
      </c>
      <c r="D226" s="3" t="n">
        <v>292.0134326</v>
      </c>
      <c r="E226" s="4">
        <f>IF(AND(ISNUMBER(B226),ISNUMBER(C226),B226&gt;0),C226/B226,"")</f>
        <v/>
      </c>
      <c r="F226" s="4">
        <f>IF(AND(ISNUMBER(B226),ISNUMBER(D226),D226&gt;0),100*B226/D226,"")</f>
        <v/>
      </c>
    </row>
    <row r="227">
      <c r="A227" s="3" t="inlineStr">
        <is>
          <t>12092</t>
        </is>
      </c>
      <c r="B227" s="3" t="n">
        <v>2</v>
      </c>
      <c r="C227" s="3" t="n">
        <v>6</v>
      </c>
      <c r="D227" s="3" t="n">
        <v>501.002004</v>
      </c>
      <c r="E227" s="4">
        <f>IF(AND(ISNUMBER(B227),ISNUMBER(C227),B227&gt;0),C227/B227,"")</f>
        <v/>
      </c>
      <c r="F227" s="4">
        <f>IF(AND(ISNUMBER(B227),ISNUMBER(D227),D227&gt;0),100*B227/D227,"")</f>
        <v/>
      </c>
    </row>
    <row r="228">
      <c r="A228" s="3" t="inlineStr">
        <is>
          <t>12093</t>
        </is>
      </c>
      <c r="B228" s="3" t="n">
        <v>14</v>
      </c>
      <c r="C228" s="3" t="n">
        <v>8</v>
      </c>
      <c r="D228" s="3" t="n">
        <v>572.9955388</v>
      </c>
      <c r="E228" s="4">
        <f>IF(AND(ISNUMBER(B228),ISNUMBER(C228),B228&gt;0),C228/B228,"")</f>
        <v/>
      </c>
      <c r="F228" s="4">
        <f>IF(AND(ISNUMBER(B228),ISNUMBER(D228),D228&gt;0),100*B228/D228,"")</f>
        <v/>
      </c>
    </row>
    <row r="229">
      <c r="A229" s="3" t="inlineStr">
        <is>
          <t>12094</t>
        </is>
      </c>
      <c r="B229" s="3" t="n">
        <v>6</v>
      </c>
      <c r="C229" s="3" t="n">
        <v>6</v>
      </c>
      <c r="D229" s="3" t="n">
        <v>837.0535714</v>
      </c>
      <c r="E229" s="4">
        <f>IF(AND(ISNUMBER(B229),ISNUMBER(C229),B229&gt;0),C229/B229,"")</f>
        <v/>
      </c>
      <c r="F229" s="4">
        <f>IF(AND(ISNUMBER(B229),ISNUMBER(D229),D229&gt;0),100*B229/D229,"")</f>
        <v/>
      </c>
    </row>
    <row r="230">
      <c r="A230" s="3" t="inlineStr">
        <is>
          <t>12095</t>
        </is>
      </c>
      <c r="B230" s="3" t="n">
        <v>1</v>
      </c>
      <c r="C230" s="3" t="n"/>
      <c r="D230" s="3" t="n">
        <v>843.8818565</v>
      </c>
      <c r="E230" s="4">
        <f>IF(AND(ISNUMBER(B230),ISNUMBER(C230),B230&gt;0),C230/B230,"")</f>
        <v/>
      </c>
      <c r="F230" s="4">
        <f>IF(AND(ISNUMBER(B230),ISNUMBER(D230),D230&gt;0),100*B230/D230,"")</f>
        <v/>
      </c>
    </row>
    <row r="231">
      <c r="A231" s="3" t="inlineStr">
        <is>
          <t>12096</t>
        </is>
      </c>
      <c r="B231" s="3" t="n">
        <v>6</v>
      </c>
      <c r="C231" s="3" t="n">
        <v>4</v>
      </c>
      <c r="D231" s="3" t="n">
        <v>896.9950665</v>
      </c>
      <c r="E231" s="4">
        <f>IF(AND(ISNUMBER(B231),ISNUMBER(C231),B231&gt;0),C231/B231,"")</f>
        <v/>
      </c>
      <c r="F231" s="4">
        <f>IF(AND(ISNUMBER(B231),ISNUMBER(D231),D231&gt;0),100*B231/D231,"")</f>
        <v/>
      </c>
    </row>
    <row r="232">
      <c r="A232" s="3" t="inlineStr">
        <is>
          <t>12097</t>
        </is>
      </c>
      <c r="B232" s="3" t="n">
        <v>0</v>
      </c>
      <c r="C232" s="3" t="n"/>
      <c r="D232" s="3" t="n"/>
      <c r="E232" s="4">
        <f>IF(AND(ISNUMBER(B232),ISNUMBER(C232),B232&gt;0),C232/B232,"")</f>
        <v/>
      </c>
      <c r="F232" s="4">
        <f>IF(AND(ISNUMBER(B232),ISNUMBER(D232),D232&gt;0),100*B232/D232,"")</f>
        <v/>
      </c>
    </row>
    <row r="233">
      <c r="A233" s="3" t="inlineStr">
        <is>
          <t>12098</t>
        </is>
      </c>
      <c r="B233" s="3" t="n">
        <v>1</v>
      </c>
      <c r="C233" s="3" t="n">
        <v>2</v>
      </c>
      <c r="D233" s="3" t="n">
        <v>634.115409</v>
      </c>
      <c r="E233" s="4">
        <f>IF(AND(ISNUMBER(B233),ISNUMBER(C233),B233&gt;0),C233/B233,"")</f>
        <v/>
      </c>
      <c r="F233" s="4">
        <f>IF(AND(ISNUMBER(B233),ISNUMBER(D233),D233&gt;0),100*B233/D233,"")</f>
        <v/>
      </c>
    </row>
    <row r="234">
      <c r="A234" s="3" t="inlineStr">
        <is>
          <t>12099</t>
        </is>
      </c>
      <c r="B234" s="3" t="n">
        <v>180</v>
      </c>
      <c r="C234" s="3" t="n">
        <v>243</v>
      </c>
      <c r="D234" s="3" t="n">
        <v>2473.00305</v>
      </c>
      <c r="E234" s="4">
        <f>IF(AND(ISNUMBER(B234),ISNUMBER(C234),B234&gt;0),C234/B234,"")</f>
        <v/>
      </c>
      <c r="F234" s="4">
        <f>IF(AND(ISNUMBER(B234),ISNUMBER(D234),D234&gt;0),100*B234/D234,"")</f>
        <v/>
      </c>
    </row>
    <row r="235">
      <c r="A235" s="3" t="inlineStr">
        <is>
          <t>12100</t>
        </is>
      </c>
      <c r="B235" s="3" t="n">
        <v>17</v>
      </c>
      <c r="C235" s="3" t="n">
        <v>20</v>
      </c>
      <c r="D235" s="3" t="n">
        <v>1588.935754</v>
      </c>
      <c r="E235" s="4">
        <f>IF(AND(ISNUMBER(B235),ISNUMBER(C235),B235&gt;0),C235/B235,"")</f>
        <v/>
      </c>
      <c r="F235" s="4">
        <f>IF(AND(ISNUMBER(B235),ISNUMBER(D235),D235&gt;0),100*B235/D235,"")</f>
        <v/>
      </c>
    </row>
    <row r="236">
      <c r="A236" s="3" t="inlineStr">
        <is>
          <t>12101</t>
        </is>
      </c>
      <c r="B236" s="3" t="n">
        <v>3</v>
      </c>
      <c r="C236" s="3" t="n">
        <v>6</v>
      </c>
      <c r="D236" s="3" t="n">
        <v>473.0368969</v>
      </c>
      <c r="E236" s="4">
        <f>IF(AND(ISNUMBER(B236),ISNUMBER(C236),B236&gt;0),C236/B236,"")</f>
        <v/>
      </c>
      <c r="F236" s="4">
        <f>IF(AND(ISNUMBER(B236),ISNUMBER(D236),D236&gt;0),100*B236/D236,"")</f>
        <v/>
      </c>
    </row>
    <row r="237">
      <c r="A237" s="3" t="inlineStr">
        <is>
          <t>12102</t>
        </is>
      </c>
      <c r="B237" s="3" t="n">
        <v>6</v>
      </c>
      <c r="C237" s="3" t="n">
        <v>5</v>
      </c>
      <c r="D237" s="3" t="n">
        <v>739.0072669</v>
      </c>
      <c r="E237" s="4">
        <f>IF(AND(ISNUMBER(B237),ISNUMBER(C237),B237&gt;0),C237/B237,"")</f>
        <v/>
      </c>
      <c r="F237" s="4">
        <f>IF(AND(ISNUMBER(B237),ISNUMBER(D237),D237&gt;0),100*B237/D237,"")</f>
        <v/>
      </c>
    </row>
    <row r="238">
      <c r="A238" s="3" t="inlineStr">
        <is>
          <t>12103</t>
        </is>
      </c>
      <c r="B238" s="3" t="n">
        <v>1</v>
      </c>
      <c r="C238" s="3" t="n">
        <v>1</v>
      </c>
      <c r="D238" s="3" t="n">
        <v>154.9907006</v>
      </c>
      <c r="E238" s="4">
        <f>IF(AND(ISNUMBER(B238),ISNUMBER(C238),B238&gt;0),C238/B238,"")</f>
        <v/>
      </c>
      <c r="F238" s="4">
        <f>IF(AND(ISNUMBER(B238),ISNUMBER(D238),D238&gt;0),100*B238/D238,"")</f>
        <v/>
      </c>
    </row>
    <row r="239">
      <c r="A239" s="3" t="inlineStr">
        <is>
          <t>12104</t>
        </is>
      </c>
      <c r="B239" s="3" t="n">
        <v>25</v>
      </c>
      <c r="C239" s="3" t="n">
        <v>28</v>
      </c>
      <c r="D239" s="3" t="n">
        <v>4895.197371</v>
      </c>
      <c r="E239" s="4">
        <f>IF(AND(ISNUMBER(B239),ISNUMBER(C239),B239&gt;0),C239/B239,"")</f>
        <v/>
      </c>
      <c r="F239" s="4">
        <f>IF(AND(ISNUMBER(B239),ISNUMBER(D239),D239&gt;0),100*B239/D239,"")</f>
        <v/>
      </c>
    </row>
    <row r="240">
      <c r="A240" s="3" t="inlineStr">
        <is>
          <t>12105</t>
        </is>
      </c>
      <c r="B240" s="3" t="n">
        <v>4</v>
      </c>
      <c r="C240" s="3" t="n">
        <v>4</v>
      </c>
      <c r="D240" s="3" t="n">
        <v>1297.016861</v>
      </c>
      <c r="E240" s="4">
        <f>IF(AND(ISNUMBER(B240),ISNUMBER(C240),B240&gt;0),C240/B240,"")</f>
        <v/>
      </c>
      <c r="F240" s="4">
        <f>IF(AND(ISNUMBER(B240),ISNUMBER(D240),D240&gt;0),100*B240/D240,"")</f>
        <v/>
      </c>
    </row>
    <row r="241">
      <c r="A241" s="3" t="inlineStr">
        <is>
          <t>12106</t>
        </is>
      </c>
      <c r="B241" s="3" t="n">
        <v>3</v>
      </c>
      <c r="C241" s="3" t="n">
        <v>3</v>
      </c>
      <c r="D241" s="3" t="n">
        <v>1215.066829</v>
      </c>
      <c r="E241" s="4">
        <f>IF(AND(ISNUMBER(B241),ISNUMBER(C241),B241&gt;0),C241/B241,"")</f>
        <v/>
      </c>
      <c r="F241" s="4">
        <f>IF(AND(ISNUMBER(B241),ISNUMBER(D241),D241&gt;0),100*B241/D241,"")</f>
        <v/>
      </c>
    </row>
    <row r="242">
      <c r="A242" s="3" t="inlineStr">
        <is>
          <t>12107</t>
        </is>
      </c>
      <c r="B242" s="3" t="n">
        <v>0</v>
      </c>
      <c r="C242" s="3" t="n">
        <v>1</v>
      </c>
      <c r="D242" s="3" t="n"/>
      <c r="E242" s="4">
        <f>IF(AND(ISNUMBER(B242),ISNUMBER(C242),B242&gt;0),C242/B242,"")</f>
        <v/>
      </c>
      <c r="F242" s="4">
        <f>IF(AND(ISNUMBER(B242),ISNUMBER(D242),D242&gt;0),100*B242/D242,"")</f>
        <v/>
      </c>
    </row>
    <row r="243">
      <c r="A243" s="3" t="inlineStr">
        <is>
          <t>12108</t>
        </is>
      </c>
      <c r="B243" s="3" t="n">
        <v>1</v>
      </c>
      <c r="C243" s="3" t="n">
        <v>5</v>
      </c>
      <c r="D243" s="3" t="n">
        <v>593.8242279999999</v>
      </c>
      <c r="E243" s="4">
        <f>IF(AND(ISNUMBER(B243),ISNUMBER(C243),B243&gt;0),C243/B243,"")</f>
        <v/>
      </c>
      <c r="F243" s="4">
        <f>IF(AND(ISNUMBER(B243),ISNUMBER(D243),D243&gt;0),100*B243/D243,"")</f>
        <v/>
      </c>
    </row>
    <row r="244">
      <c r="A244" s="3" t="inlineStr">
        <is>
          <t>12109</t>
        </is>
      </c>
      <c r="B244" s="3" t="n">
        <v>4</v>
      </c>
      <c r="C244" s="3" t="n">
        <v>3</v>
      </c>
      <c r="D244" s="3" t="n">
        <v>725.0317201</v>
      </c>
      <c r="E244" s="4">
        <f>IF(AND(ISNUMBER(B244),ISNUMBER(C244),B244&gt;0),C244/B244,"")</f>
        <v/>
      </c>
      <c r="F244" s="4">
        <f>IF(AND(ISNUMBER(B244),ISNUMBER(D244),D244&gt;0),100*B244/D244,"")</f>
        <v/>
      </c>
    </row>
    <row r="245">
      <c r="A245" s="3" t="inlineStr">
        <is>
          <t>12110</t>
        </is>
      </c>
      <c r="B245" s="3" t="n">
        <v>0</v>
      </c>
      <c r="C245" s="3" t="n"/>
      <c r="D245" s="3" t="n"/>
      <c r="E245" s="4">
        <f>IF(AND(ISNUMBER(B245),ISNUMBER(C245),B245&gt;0),C245/B245,"")</f>
        <v/>
      </c>
      <c r="F245" s="4">
        <f>IF(AND(ISNUMBER(B245),ISNUMBER(D245),D245&gt;0),100*B245/D245,"")</f>
        <v/>
      </c>
    </row>
    <row r="246">
      <c r="A246" s="3" t="inlineStr">
        <is>
          <t>12111</t>
        </is>
      </c>
      <c r="B246" s="3" t="n">
        <v>4</v>
      </c>
      <c r="C246" s="3" t="n">
        <v>3</v>
      </c>
      <c r="D246" s="3" t="n">
        <v>636.0311655</v>
      </c>
      <c r="E246" s="4">
        <f>IF(AND(ISNUMBER(B246),ISNUMBER(C246),B246&gt;0),C246/B246,"")</f>
        <v/>
      </c>
      <c r="F246" s="4">
        <f>IF(AND(ISNUMBER(B246),ISNUMBER(D246),D246&gt;0),100*B246/D246,"")</f>
        <v/>
      </c>
    </row>
    <row r="247">
      <c r="A247" s="3" t="inlineStr">
        <is>
          <t>12112</t>
        </is>
      </c>
      <c r="B247" s="3" t="n">
        <v>2</v>
      </c>
      <c r="C247" s="3" t="n"/>
      <c r="D247" s="3" t="n">
        <v>203.0044661</v>
      </c>
      <c r="E247" s="4">
        <f>IF(AND(ISNUMBER(B247),ISNUMBER(C247),B247&gt;0),C247/B247,"")</f>
        <v/>
      </c>
      <c r="F247" s="4">
        <f>IF(AND(ISNUMBER(B247),ISNUMBER(D247),D247&gt;0),100*B247/D247,"")</f>
        <v/>
      </c>
    </row>
    <row r="248">
      <c r="A248" s="3" t="inlineStr">
        <is>
          <t>12113</t>
        </is>
      </c>
      <c r="B248" s="3" t="n">
        <v>0</v>
      </c>
      <c r="C248" s="3" t="n"/>
      <c r="D248" s="3" t="n"/>
      <c r="E248" s="4">
        <f>IF(AND(ISNUMBER(B248),ISNUMBER(C248),B248&gt;0),C248/B248,"")</f>
        <v/>
      </c>
      <c r="F248" s="4">
        <f>IF(AND(ISNUMBER(B248),ISNUMBER(D248),D248&gt;0),100*B248/D248,"")</f>
        <v/>
      </c>
    </row>
    <row r="249">
      <c r="A249" s="3" t="inlineStr">
        <is>
          <t>12114</t>
        </is>
      </c>
      <c r="B249" s="3" t="n">
        <v>3</v>
      </c>
      <c r="C249" s="3" t="n">
        <v>5</v>
      </c>
      <c r="D249" s="3" t="n">
        <v>686.9704603</v>
      </c>
      <c r="E249" s="4">
        <f>IF(AND(ISNUMBER(B249),ISNUMBER(C249),B249&gt;0),C249/B249,"")</f>
        <v/>
      </c>
      <c r="F249" s="4">
        <f>IF(AND(ISNUMBER(B249),ISNUMBER(D249),D249&gt;0),100*B249/D249,"")</f>
        <v/>
      </c>
    </row>
    <row r="250">
      <c r="A250" s="3" t="inlineStr">
        <is>
          <t>12115</t>
        </is>
      </c>
      <c r="B250" s="3" t="n">
        <v>0</v>
      </c>
      <c r="C250" s="3" t="n">
        <v>1</v>
      </c>
      <c r="D250" s="3" t="n"/>
      <c r="E250" s="4">
        <f>IF(AND(ISNUMBER(B250),ISNUMBER(C250),B250&gt;0),C250/B250,"")</f>
        <v/>
      </c>
      <c r="F250" s="4">
        <f>IF(AND(ISNUMBER(B250),ISNUMBER(D250),D250&gt;0),100*B250/D250,"")</f>
        <v/>
      </c>
    </row>
    <row r="251">
      <c r="A251" s="3" t="inlineStr">
        <is>
          <t>12116</t>
        </is>
      </c>
      <c r="B251" s="3" t="n">
        <v>1</v>
      </c>
      <c r="C251" s="3" t="n">
        <v>2</v>
      </c>
      <c r="D251" s="3" t="n">
        <v>131.9957761</v>
      </c>
      <c r="E251" s="4">
        <f>IF(AND(ISNUMBER(B251),ISNUMBER(C251),B251&gt;0),C251/B251,"")</f>
        <v/>
      </c>
      <c r="F251" s="4">
        <f>IF(AND(ISNUMBER(B251),ISNUMBER(D251),D251&gt;0),100*B251/D251,"")</f>
        <v/>
      </c>
    </row>
    <row r="252">
      <c r="A252" s="3" t="inlineStr">
        <is>
          <t>12117</t>
        </is>
      </c>
      <c r="B252" s="3" t="n">
        <v>64</v>
      </c>
      <c r="C252" s="3" t="n">
        <v>186</v>
      </c>
      <c r="D252" s="3" t="n">
        <v>5848.17915</v>
      </c>
      <c r="E252" s="4">
        <f>IF(AND(ISNUMBER(B252),ISNUMBER(C252),B252&gt;0),C252/B252,"")</f>
        <v/>
      </c>
      <c r="F252" s="4">
        <f>IF(AND(ISNUMBER(B252),ISNUMBER(D252),D252&gt;0),100*B252/D252,"")</f>
        <v/>
      </c>
    </row>
    <row r="253">
      <c r="A253" s="3" t="inlineStr">
        <is>
          <t>12118</t>
        </is>
      </c>
      <c r="B253" s="3" t="n">
        <v>0</v>
      </c>
      <c r="C253" s="3" t="n"/>
      <c r="D253" s="3" t="n"/>
      <c r="E253" s="4">
        <f>IF(AND(ISNUMBER(B253),ISNUMBER(C253),B253&gt;0),C253/B253,"")</f>
        <v/>
      </c>
      <c r="F253" s="4">
        <f>IF(AND(ISNUMBER(B253),ISNUMBER(D253),D253&gt;0),100*B253/D253,"")</f>
        <v/>
      </c>
    </row>
    <row r="254">
      <c r="A254" s="3" t="inlineStr">
        <is>
          <t>12119</t>
        </is>
      </c>
      <c r="B254" s="3" t="n">
        <v>2</v>
      </c>
      <c r="C254" s="3" t="n"/>
      <c r="D254" s="3" t="n">
        <v>177.0068148</v>
      </c>
      <c r="E254" s="4">
        <f>IF(AND(ISNUMBER(B254),ISNUMBER(C254),B254&gt;0),C254/B254,"")</f>
        <v/>
      </c>
      <c r="F254" s="4">
        <f>IF(AND(ISNUMBER(B254),ISNUMBER(D254),D254&gt;0),100*B254/D254,"")</f>
        <v/>
      </c>
    </row>
    <row r="255">
      <c r="A255" s="3" t="inlineStr">
        <is>
          <t>12120</t>
        </is>
      </c>
      <c r="B255" s="3" t="n">
        <v>0</v>
      </c>
      <c r="C255" s="3" t="n">
        <v>2</v>
      </c>
      <c r="D255" s="3" t="n"/>
      <c r="E255" s="4">
        <f>IF(AND(ISNUMBER(B255),ISNUMBER(C255),B255&gt;0),C255/B255,"")</f>
        <v/>
      </c>
      <c r="F255" s="4">
        <f>IF(AND(ISNUMBER(B255),ISNUMBER(D255),D255&gt;0),100*B255/D255,"")</f>
        <v/>
      </c>
    </row>
    <row r="256">
      <c r="A256" s="3" t="inlineStr">
        <is>
          <t>12121</t>
        </is>
      </c>
      <c r="B256" s="3" t="n">
        <v>7</v>
      </c>
      <c r="C256" s="3" t="n">
        <v>5</v>
      </c>
      <c r="D256" s="3" t="n">
        <v>989.9589874</v>
      </c>
      <c r="E256" s="4">
        <f>IF(AND(ISNUMBER(B256),ISNUMBER(C256),B256&gt;0),C256/B256,"")</f>
        <v/>
      </c>
      <c r="F256" s="4">
        <f>IF(AND(ISNUMBER(B256),ISNUMBER(D256),D256&gt;0),100*B256/D256,"")</f>
        <v/>
      </c>
    </row>
    <row r="257">
      <c r="A257" s="3" t="inlineStr">
        <is>
          <t>12122</t>
        </is>
      </c>
      <c r="B257" s="3" t="n">
        <v>13</v>
      </c>
      <c r="C257" s="3" t="n">
        <v>8</v>
      </c>
      <c r="D257" s="3" t="n">
        <v>1261.034048</v>
      </c>
      <c r="E257" s="4">
        <f>IF(AND(ISNUMBER(B257),ISNUMBER(C257),B257&gt;0),C257/B257,"")</f>
        <v/>
      </c>
      <c r="F257" s="4">
        <f>IF(AND(ISNUMBER(B257),ISNUMBER(D257),D257&gt;0),100*B257/D257,"")</f>
        <v/>
      </c>
    </row>
    <row r="258">
      <c r="A258" s="3" t="inlineStr">
        <is>
          <t>12123</t>
        </is>
      </c>
      <c r="B258" s="3" t="n">
        <v>0</v>
      </c>
      <c r="C258" s="3" t="n"/>
      <c r="D258" s="3" t="n"/>
      <c r="E258" s="4">
        <f>IF(AND(ISNUMBER(B258),ISNUMBER(C258),B258&gt;0),C258/B258,"")</f>
        <v/>
      </c>
      <c r="F258" s="4">
        <f>IF(AND(ISNUMBER(B258),ISNUMBER(D258),D258&gt;0),100*B258/D258,"")</f>
        <v/>
      </c>
    </row>
    <row r="259">
      <c r="A259" s="3" t="inlineStr">
        <is>
          <t>12124</t>
        </is>
      </c>
      <c r="B259" s="3" t="n">
        <v>5</v>
      </c>
      <c r="C259" s="3" t="n">
        <v>1</v>
      </c>
      <c r="D259" s="3" t="n">
        <v>1111.111111</v>
      </c>
      <c r="E259" s="4">
        <f>IF(AND(ISNUMBER(B259),ISNUMBER(C259),B259&gt;0),C259/B259,"")</f>
        <v/>
      </c>
      <c r="F259" s="4">
        <f>IF(AND(ISNUMBER(B259),ISNUMBER(D259),D259&gt;0),100*B259/D259,"")</f>
        <v/>
      </c>
    </row>
    <row r="260">
      <c r="A260" s="3" t="inlineStr">
        <is>
          <t>12125</t>
        </is>
      </c>
      <c r="B260" s="3" t="n">
        <v>5</v>
      </c>
      <c r="C260" s="3" t="n">
        <v>2</v>
      </c>
      <c r="D260" s="3" t="n">
        <v>473.9785762</v>
      </c>
      <c r="E260" s="4">
        <f>IF(AND(ISNUMBER(B260),ISNUMBER(C260),B260&gt;0),C260/B260,"")</f>
        <v/>
      </c>
      <c r="F260" s="4">
        <f>IF(AND(ISNUMBER(B260),ISNUMBER(D260),D260&gt;0),100*B260/D260,"")</f>
        <v/>
      </c>
    </row>
    <row r="261">
      <c r="A261" s="3" t="inlineStr">
        <is>
          <t>12126</t>
        </is>
      </c>
      <c r="B261" s="3" t="n">
        <v>15</v>
      </c>
      <c r="C261" s="3" t="n">
        <v>5</v>
      </c>
      <c r="D261" s="3" t="n">
        <v>4327.693753</v>
      </c>
      <c r="E261" s="4">
        <f>IF(AND(ISNUMBER(B261),ISNUMBER(C261),B261&gt;0),C261/B261,"")</f>
        <v/>
      </c>
      <c r="F261" s="4">
        <f>IF(AND(ISNUMBER(B261),ISNUMBER(D261),D261&gt;0),100*B261/D261,"")</f>
        <v/>
      </c>
    </row>
    <row r="262">
      <c r="A262" s="3" t="inlineStr">
        <is>
          <t>12127</t>
        </is>
      </c>
      <c r="B262" s="3" t="n">
        <v>1</v>
      </c>
      <c r="C262" s="3" t="n">
        <v>2</v>
      </c>
      <c r="D262" s="3" t="n">
        <v>260.0104004</v>
      </c>
      <c r="E262" s="4">
        <f>IF(AND(ISNUMBER(B262),ISNUMBER(C262),B262&gt;0),C262/B262,"")</f>
        <v/>
      </c>
      <c r="F262" s="4">
        <f>IF(AND(ISNUMBER(B262),ISNUMBER(D262),D262&gt;0),100*B262/D262,"")</f>
        <v/>
      </c>
    </row>
    <row r="263">
      <c r="A263" s="3" t="inlineStr">
        <is>
          <t>12128</t>
        </is>
      </c>
      <c r="B263" s="3" t="n">
        <v>27</v>
      </c>
      <c r="C263" s="3" t="n">
        <v>18</v>
      </c>
      <c r="D263" s="3" t="n">
        <v>1751.995328</v>
      </c>
      <c r="E263" s="4">
        <f>IF(AND(ISNUMBER(B263),ISNUMBER(C263),B263&gt;0),C263/B263,"")</f>
        <v/>
      </c>
      <c r="F263" s="4">
        <f>IF(AND(ISNUMBER(B263),ISNUMBER(D263),D263&gt;0),100*B263/D263,"")</f>
        <v/>
      </c>
    </row>
    <row r="264">
      <c r="A264" s="3" t="inlineStr">
        <is>
          <t>12129</t>
        </is>
      </c>
      <c r="B264" s="3" t="n">
        <v>19</v>
      </c>
      <c r="C264" s="3" t="n">
        <v>8</v>
      </c>
      <c r="D264" s="3" t="n">
        <v>2253.099664</v>
      </c>
      <c r="E264" s="4">
        <f>IF(AND(ISNUMBER(B264),ISNUMBER(C264),B264&gt;0),C264/B264,"")</f>
        <v/>
      </c>
      <c r="F264" s="4">
        <f>IF(AND(ISNUMBER(B264),ISNUMBER(D264),D264&gt;0),100*B264/D264,"")</f>
        <v/>
      </c>
    </row>
    <row r="265">
      <c r="A265" s="3" t="inlineStr">
        <is>
          <t>12130</t>
        </is>
      </c>
      <c r="B265" s="3" t="n">
        <v>13</v>
      </c>
      <c r="C265" s="3" t="n">
        <v>10</v>
      </c>
      <c r="D265" s="3" t="n">
        <v>772.0173407</v>
      </c>
      <c r="E265" s="4">
        <f>IF(AND(ISNUMBER(B265),ISNUMBER(C265),B265&gt;0),C265/B265,"")</f>
        <v/>
      </c>
      <c r="F265" s="4">
        <f>IF(AND(ISNUMBER(B265),ISNUMBER(D265),D265&gt;0),100*B265/D265,"")</f>
        <v/>
      </c>
    </row>
    <row r="266">
      <c r="A266" s="3" t="inlineStr">
        <is>
          <t>12131</t>
        </is>
      </c>
      <c r="B266" s="3" t="n">
        <v>1</v>
      </c>
      <c r="C266" s="3" t="n"/>
      <c r="D266" s="3" t="n">
        <v>183.9926403</v>
      </c>
      <c r="E266" s="4">
        <f>IF(AND(ISNUMBER(B266),ISNUMBER(C266),B266&gt;0),C266/B266,"")</f>
        <v/>
      </c>
      <c r="F266" s="4">
        <f>IF(AND(ISNUMBER(B266),ISNUMBER(D266),D266&gt;0),100*B266/D266,"")</f>
        <v/>
      </c>
    </row>
    <row r="267">
      <c r="A267" s="3" t="inlineStr">
        <is>
          <t>12132</t>
        </is>
      </c>
      <c r="B267" s="3" t="n">
        <v>0</v>
      </c>
      <c r="C267" s="3" t="n"/>
      <c r="D267" s="3" t="n"/>
      <c r="E267" s="4">
        <f>IF(AND(ISNUMBER(B267),ISNUMBER(C267),B267&gt;0),C267/B267,"")</f>
        <v/>
      </c>
      <c r="F267" s="4">
        <f>IF(AND(ISNUMBER(B267),ISNUMBER(D267),D267&gt;0),100*B267/D267,"")</f>
        <v/>
      </c>
    </row>
    <row r="268">
      <c r="A268" s="3" t="inlineStr">
        <is>
          <t>12133</t>
        </is>
      </c>
      <c r="B268" s="3" t="n">
        <v>5</v>
      </c>
      <c r="C268" s="3" t="n">
        <v>7</v>
      </c>
      <c r="D268" s="3" t="n">
        <v>202.9962243</v>
      </c>
      <c r="E268" s="4">
        <f>IF(AND(ISNUMBER(B268),ISNUMBER(C268),B268&gt;0),C268/B268,"")</f>
        <v/>
      </c>
      <c r="F268" s="4">
        <f>IF(AND(ISNUMBER(B268),ISNUMBER(D268),D268&gt;0),100*B268/D268,"")</f>
        <v/>
      </c>
    </row>
    <row r="269">
      <c r="A269" s="3" t="inlineStr">
        <is>
          <t>12134</t>
        </is>
      </c>
      <c r="B269" s="3" t="n">
        <v>2</v>
      </c>
      <c r="C269" s="3" t="n">
        <v>1</v>
      </c>
      <c r="D269" s="3" t="n">
        <v>183.9926403</v>
      </c>
      <c r="E269" s="4">
        <f>IF(AND(ISNUMBER(B269),ISNUMBER(C269),B269&gt;0),C269/B269,"")</f>
        <v/>
      </c>
      <c r="F269" s="4">
        <f>IF(AND(ISNUMBER(B269),ISNUMBER(D269),D269&gt;0),100*B269/D269,"")</f>
        <v/>
      </c>
    </row>
    <row r="270">
      <c r="A270" s="3" t="inlineStr">
        <is>
          <t>12135</t>
        </is>
      </c>
      <c r="B270" s="3" t="n">
        <v>24</v>
      </c>
      <c r="C270" s="3" t="n">
        <v>21</v>
      </c>
      <c r="D270" s="3" t="n">
        <v>8403.163640999999</v>
      </c>
      <c r="E270" s="4">
        <f>IF(AND(ISNUMBER(B270),ISNUMBER(C270),B270&gt;0),C270/B270,"")</f>
        <v/>
      </c>
      <c r="F270" s="4">
        <f>IF(AND(ISNUMBER(B270),ISNUMBER(D270),D270&gt;0),100*B270/D270,"")</f>
        <v/>
      </c>
    </row>
    <row r="271">
      <c r="A271" s="3" t="inlineStr">
        <is>
          <t>12136</t>
        </is>
      </c>
      <c r="B271" s="3" t="n">
        <v>0</v>
      </c>
      <c r="C271" s="3" t="n"/>
      <c r="D271" s="3" t="n"/>
      <c r="E271" s="4">
        <f>IF(AND(ISNUMBER(B271),ISNUMBER(C271),B271&gt;0),C271/B271,"")</f>
        <v/>
      </c>
      <c r="F271" s="4">
        <f>IF(AND(ISNUMBER(B271),ISNUMBER(D271),D271&gt;0),100*B271/D271,"")</f>
        <v/>
      </c>
    </row>
    <row r="272">
      <c r="A272" s="3" t="inlineStr">
        <is>
          <t>12137</t>
        </is>
      </c>
      <c r="B272" s="3" t="n">
        <v>1</v>
      </c>
      <c r="C272" s="3" t="n">
        <v>1</v>
      </c>
      <c r="D272" s="3" t="n">
        <v>170.0102006</v>
      </c>
      <c r="E272" s="4">
        <f>IF(AND(ISNUMBER(B272),ISNUMBER(C272),B272&gt;0),C272/B272,"")</f>
        <v/>
      </c>
      <c r="F272" s="4">
        <f>IF(AND(ISNUMBER(B272),ISNUMBER(D272),D272&gt;0),100*B272/D272,"")</f>
        <v/>
      </c>
    </row>
    <row r="273">
      <c r="A273" s="3" t="inlineStr">
        <is>
          <t>12138</t>
        </is>
      </c>
      <c r="B273" s="3" t="n">
        <v>554</v>
      </c>
      <c r="C273" s="3" t="n">
        <v>1028</v>
      </c>
      <c r="D273" s="3" t="n">
        <v>20886.8933</v>
      </c>
      <c r="E273" s="4">
        <f>IF(AND(ISNUMBER(B273),ISNUMBER(C273),B273&gt;0),C273/B273,"")</f>
        <v/>
      </c>
      <c r="F273" s="4">
        <f>IF(AND(ISNUMBER(B273),ISNUMBER(D273),D273&gt;0),100*B273/D273,"")</f>
        <v/>
      </c>
    </row>
    <row r="274">
      <c r="A274" s="3" t="inlineStr">
        <is>
          <t>12139</t>
        </is>
      </c>
      <c r="B274" s="3" t="n">
        <v>8</v>
      </c>
      <c r="C274" s="3" t="n">
        <v>14</v>
      </c>
      <c r="D274" s="3" t="n">
        <v>822.0304151</v>
      </c>
      <c r="E274" s="4">
        <f>IF(AND(ISNUMBER(B274),ISNUMBER(C274),B274&gt;0),C274/B274,"")</f>
        <v/>
      </c>
      <c r="F274" s="4">
        <f>IF(AND(ISNUMBER(B274),ISNUMBER(D274),D274&gt;0),100*B274/D274,"")</f>
        <v/>
      </c>
    </row>
    <row r="275">
      <c r="A275" s="3" t="inlineStr">
        <is>
          <t>12140</t>
        </is>
      </c>
      <c r="B275" s="3" t="n">
        <v>3</v>
      </c>
      <c r="C275" s="3" t="n">
        <v>5</v>
      </c>
      <c r="D275" s="3" t="n">
        <v>1941.747573</v>
      </c>
      <c r="E275" s="4">
        <f>IF(AND(ISNUMBER(B275),ISNUMBER(C275),B275&gt;0),C275/B275,"")</f>
        <v/>
      </c>
      <c r="F275" s="4">
        <f>IF(AND(ISNUMBER(B275),ISNUMBER(D275),D275&gt;0),100*B275/D275,"")</f>
        <v/>
      </c>
    </row>
    <row r="276">
      <c r="A276" s="3" t="inlineStr">
        <is>
          <t>12141</t>
        </is>
      </c>
      <c r="B276" s="3" t="n">
        <v>0</v>
      </c>
      <c r="C276" s="3" t="n">
        <v>2</v>
      </c>
      <c r="D276" s="3" t="n"/>
      <c r="E276" s="4">
        <f>IF(AND(ISNUMBER(B276),ISNUMBER(C276),B276&gt;0),C276/B276,"")</f>
        <v/>
      </c>
      <c r="F276" s="4">
        <f>IF(AND(ISNUMBER(B276),ISNUMBER(D276),D276&gt;0),100*B276/D276,"")</f>
        <v/>
      </c>
    </row>
    <row r="277">
      <c r="A277" s="3" t="inlineStr">
        <is>
          <t>12142</t>
        </is>
      </c>
      <c r="B277" s="3" t="n">
        <v>1</v>
      </c>
      <c r="C277" s="3" t="n"/>
      <c r="D277" s="3" t="n">
        <v>462.962963</v>
      </c>
      <c r="E277" s="4">
        <f>IF(AND(ISNUMBER(B277),ISNUMBER(C277),B277&gt;0),C277/B277,"")</f>
        <v/>
      </c>
      <c r="F277" s="4">
        <f>IF(AND(ISNUMBER(B277),ISNUMBER(D277),D277&gt;0),100*B277/D277,"")</f>
        <v/>
      </c>
    </row>
    <row r="278">
      <c r="A278" s="3" t="inlineStr">
        <is>
          <t>12901</t>
        </is>
      </c>
      <c r="B278" s="3" t="n">
        <v>4</v>
      </c>
      <c r="C278" s="3" t="n">
        <v>5</v>
      </c>
      <c r="D278" s="3" t="n">
        <v>1359.121814</v>
      </c>
      <c r="E278" s="4">
        <f>IF(AND(ISNUMBER(B278),ISNUMBER(C278),B278&gt;0),C278/B278,"")</f>
        <v/>
      </c>
      <c r="F278" s="4">
        <f>IF(AND(ISNUMBER(B278),ISNUMBER(D278),D278&gt;0),100*B278/D278,"")</f>
        <v/>
      </c>
    </row>
    <row r="279">
      <c r="A279" s="3" t="inlineStr">
        <is>
          <t>12902</t>
        </is>
      </c>
      <c r="B279" s="3" t="n">
        <v>4</v>
      </c>
      <c r="C279" s="3" t="n">
        <v>2</v>
      </c>
      <c r="D279" s="3" t="n">
        <v>2211.075456</v>
      </c>
      <c r="E279" s="4">
        <f>IF(AND(ISNUMBER(B279),ISNUMBER(C279),B279&gt;0),C279/B279,"")</f>
        <v/>
      </c>
      <c r="F279" s="4">
        <f>IF(AND(ISNUMBER(B279),ISNUMBER(D279),D279&gt;0),100*B279/D279,"")</f>
        <v/>
      </c>
    </row>
    <row r="280">
      <c r="A280" s="3" t="inlineStr">
        <is>
          <t>46001</t>
        </is>
      </c>
      <c r="B280" s="3" t="n">
        <v>5</v>
      </c>
      <c r="C280" s="3" t="n">
        <v>4</v>
      </c>
      <c r="D280" s="3" t="n">
        <v>1426.940639</v>
      </c>
      <c r="E280" s="4">
        <f>IF(AND(ISNUMBER(B280),ISNUMBER(C280),B280&gt;0),C280/B280,"")</f>
        <v/>
      </c>
      <c r="F280" s="4">
        <f>IF(AND(ISNUMBER(B280),ISNUMBER(D280),D280&gt;0),100*B280/D280,"")</f>
        <v/>
      </c>
    </row>
    <row r="281">
      <c r="A281" s="3" t="inlineStr">
        <is>
          <t>46002</t>
        </is>
      </c>
      <c r="B281" s="3" t="n">
        <v>15</v>
      </c>
      <c r="C281" s="3" t="n">
        <v>26</v>
      </c>
      <c r="D281" s="3" t="n">
        <v>1073.038129</v>
      </c>
      <c r="E281" s="4">
        <f>IF(AND(ISNUMBER(B281),ISNUMBER(C281),B281&gt;0),C281/B281,"")</f>
        <v/>
      </c>
      <c r="F281" s="4">
        <f>IF(AND(ISNUMBER(B281),ISNUMBER(D281),D281&gt;0),100*B281/D281,"")</f>
        <v/>
      </c>
    </row>
    <row r="282">
      <c r="A282" s="3" t="inlineStr">
        <is>
          <t>46003</t>
        </is>
      </c>
      <c r="B282" s="3" t="n">
        <v>3</v>
      </c>
      <c r="C282" s="3" t="n">
        <v>4</v>
      </c>
      <c r="D282" s="3" t="n">
        <v>747.9431563000001</v>
      </c>
      <c r="E282" s="4">
        <f>IF(AND(ISNUMBER(B282),ISNUMBER(C282),B282&gt;0),C282/B282,"")</f>
        <v/>
      </c>
      <c r="F282" s="4">
        <f>IF(AND(ISNUMBER(B282),ISNUMBER(D282),D282&gt;0),100*B282/D282,"")</f>
        <v/>
      </c>
    </row>
    <row r="283">
      <c r="A283" s="3" t="inlineStr">
        <is>
          <t>46004</t>
        </is>
      </c>
      <c r="B283" s="3" t="n">
        <v>1</v>
      </c>
      <c r="C283" s="3" t="n">
        <v>1</v>
      </c>
      <c r="D283" s="3" t="n">
        <v>1540.832049</v>
      </c>
      <c r="E283" s="4">
        <f>IF(AND(ISNUMBER(B283),ISNUMBER(C283),B283&gt;0),C283/B283,"")</f>
        <v/>
      </c>
      <c r="F283" s="4">
        <f>IF(AND(ISNUMBER(B283),ISNUMBER(D283),D283&gt;0),100*B283/D283,"")</f>
        <v/>
      </c>
    </row>
    <row r="284">
      <c r="A284" s="3" t="inlineStr">
        <is>
          <t>46005</t>
        </is>
      </c>
      <c r="B284" s="3" t="n">
        <v>18</v>
      </c>
      <c r="C284" s="3" t="n">
        <v>12</v>
      </c>
      <c r="D284" s="3" t="n">
        <v>6620.616562</v>
      </c>
      <c r="E284" s="4">
        <f>IF(AND(ISNUMBER(B284),ISNUMBER(C284),B284&gt;0),C284/B284,"")</f>
        <v/>
      </c>
      <c r="F284" s="4">
        <f>IF(AND(ISNUMBER(B284),ISNUMBER(D284),D284&gt;0),100*B284/D284,"")</f>
        <v/>
      </c>
    </row>
    <row r="285">
      <c r="A285" s="3" t="inlineStr">
        <is>
          <t>46006</t>
        </is>
      </c>
      <c r="B285" s="3" t="n">
        <v>2</v>
      </c>
      <c r="C285" s="3" t="n">
        <v>2</v>
      </c>
      <c r="D285" s="3" t="n">
        <v>1434.06608</v>
      </c>
      <c r="E285" s="4">
        <f>IF(AND(ISNUMBER(B285),ISNUMBER(C285),B285&gt;0),C285/B285,"")</f>
        <v/>
      </c>
      <c r="F285" s="4">
        <f>IF(AND(ISNUMBER(B285),ISNUMBER(D285),D285&gt;0),100*B285/D285,"")</f>
        <v/>
      </c>
    </row>
    <row r="286">
      <c r="A286" s="3" t="inlineStr">
        <is>
          <t>46007</t>
        </is>
      </c>
      <c r="B286" s="3" t="n">
        <v>0</v>
      </c>
      <c r="C286" s="3" t="n"/>
      <c r="D286" s="3" t="n"/>
      <c r="E286" s="4">
        <f>IF(AND(ISNUMBER(B286),ISNUMBER(C286),B286&gt;0),C286/B286,"")</f>
        <v/>
      </c>
      <c r="F286" s="4">
        <f>IF(AND(ISNUMBER(B286),ISNUMBER(D286),D286&gt;0),100*B286/D286,"")</f>
        <v/>
      </c>
    </row>
    <row r="287">
      <c r="A287" s="3" t="inlineStr">
        <is>
          <t>46008</t>
        </is>
      </c>
      <c r="B287" s="3" t="n">
        <v>3</v>
      </c>
      <c r="C287" s="3" t="n">
        <v>2</v>
      </c>
      <c r="D287" s="3" t="n">
        <v>2061.032697</v>
      </c>
      <c r="E287" s="4">
        <f>IF(AND(ISNUMBER(B287),ISNUMBER(C287),B287&gt;0),C287/B287,"")</f>
        <v/>
      </c>
      <c r="F287" s="4">
        <f>IF(AND(ISNUMBER(B287),ISNUMBER(D287),D287&gt;0),100*B287/D287,"")</f>
        <v/>
      </c>
    </row>
    <row r="288">
      <c r="A288" s="3" t="inlineStr">
        <is>
          <t>46009</t>
        </is>
      </c>
      <c r="B288" s="3" t="n">
        <v>1</v>
      </c>
      <c r="C288" s="3" t="n">
        <v>2</v>
      </c>
      <c r="D288" s="3" t="n">
        <v>611.995104</v>
      </c>
      <c r="E288" s="4">
        <f>IF(AND(ISNUMBER(B288),ISNUMBER(C288),B288&gt;0),C288/B288,"")</f>
        <v/>
      </c>
      <c r="F288" s="4">
        <f>IF(AND(ISNUMBER(B288),ISNUMBER(D288),D288&gt;0),100*B288/D288,"")</f>
        <v/>
      </c>
    </row>
    <row r="289">
      <c r="A289" s="3" t="inlineStr">
        <is>
          <t>46010</t>
        </is>
      </c>
      <c r="B289" s="3" t="n">
        <v>8</v>
      </c>
      <c r="C289" s="3" t="n">
        <v>7</v>
      </c>
      <c r="D289" s="3" t="n">
        <v>1854.857408</v>
      </c>
      <c r="E289" s="4">
        <f>IF(AND(ISNUMBER(B289),ISNUMBER(C289),B289&gt;0),C289/B289,"")</f>
        <v/>
      </c>
      <c r="F289" s="4">
        <f>IF(AND(ISNUMBER(B289),ISNUMBER(D289),D289&gt;0),100*B289/D289,"")</f>
        <v/>
      </c>
    </row>
    <row r="290">
      <c r="A290" s="3" t="inlineStr">
        <is>
          <t>46011</t>
        </is>
      </c>
      <c r="B290" s="3" t="n">
        <v>4</v>
      </c>
      <c r="C290" s="3" t="n">
        <v>7</v>
      </c>
      <c r="D290" s="3" t="n">
        <v>2455.33215</v>
      </c>
      <c r="E290" s="4">
        <f>IF(AND(ISNUMBER(B290),ISNUMBER(C290),B290&gt;0),C290/B290,"")</f>
        <v/>
      </c>
      <c r="F290" s="4">
        <f>IF(AND(ISNUMBER(B290),ISNUMBER(D290),D290&gt;0),100*B290/D290,"")</f>
        <v/>
      </c>
    </row>
    <row r="291">
      <c r="A291" s="3" t="inlineStr">
        <is>
          <t>46012</t>
        </is>
      </c>
      <c r="B291" s="3" t="n">
        <v>8</v>
      </c>
      <c r="C291" s="3" t="n">
        <v>5</v>
      </c>
      <c r="D291" s="3" t="n">
        <v>1218.026797</v>
      </c>
      <c r="E291" s="4">
        <f>IF(AND(ISNUMBER(B291),ISNUMBER(C291),B291&gt;0),C291/B291,"")</f>
        <v/>
      </c>
      <c r="F291" s="4">
        <f>IF(AND(ISNUMBER(B291),ISNUMBER(D291),D291&gt;0),100*B291/D291,"")</f>
        <v/>
      </c>
    </row>
    <row r="292">
      <c r="A292" s="3" t="inlineStr">
        <is>
          <t>46013</t>
        </is>
      </c>
      <c r="B292" s="3" t="n">
        <v>274</v>
      </c>
      <c r="C292" s="3" t="n">
        <v>464</v>
      </c>
      <c r="D292" s="3" t="n">
        <v>8649.216235</v>
      </c>
      <c r="E292" s="4">
        <f>IF(AND(ISNUMBER(B292),ISNUMBER(C292),B292&gt;0),C292/B292,"")</f>
        <v/>
      </c>
      <c r="F292" s="4">
        <f>IF(AND(ISNUMBER(B292),ISNUMBER(D292),D292&gt;0),100*B292/D292,"")</f>
        <v/>
      </c>
    </row>
    <row r="293">
      <c r="A293" s="3" t="inlineStr">
        <is>
          <t>46014</t>
        </is>
      </c>
      <c r="B293" s="3" t="n">
        <v>5</v>
      </c>
      <c r="C293" s="3" t="n">
        <v>1</v>
      </c>
      <c r="D293" s="3" t="n">
        <v>2027.527996</v>
      </c>
      <c r="E293" s="4">
        <f>IF(AND(ISNUMBER(B293),ISNUMBER(C293),B293&gt;0),C293/B293,"")</f>
        <v/>
      </c>
      <c r="F293" s="4">
        <f>IF(AND(ISNUMBER(B293),ISNUMBER(D293),D293&gt;0),100*B293/D293,"")</f>
        <v/>
      </c>
    </row>
    <row r="294">
      <c r="A294" s="3" t="inlineStr">
        <is>
          <t>46015</t>
        </is>
      </c>
      <c r="B294" s="3" t="n">
        <v>1</v>
      </c>
      <c r="C294" s="3" t="n">
        <v>1</v>
      </c>
      <c r="D294" s="3" t="n">
        <v>1052.631579</v>
      </c>
      <c r="E294" s="4">
        <f>IF(AND(ISNUMBER(B294),ISNUMBER(C294),B294&gt;0),C294/B294,"")</f>
        <v/>
      </c>
      <c r="F294" s="4">
        <f>IF(AND(ISNUMBER(B294),ISNUMBER(D294),D294&gt;0),100*B294/D294,"")</f>
        <v/>
      </c>
    </row>
    <row r="295">
      <c r="A295" s="3" t="inlineStr">
        <is>
          <t>46016</t>
        </is>
      </c>
      <c r="B295" s="3" t="n">
        <v>0</v>
      </c>
      <c r="C295" s="3" t="n"/>
      <c r="D295" s="3" t="n"/>
      <c r="E295" s="4">
        <f>IF(AND(ISNUMBER(B295),ISNUMBER(C295),B295&gt;0),C295/B295,"")</f>
        <v/>
      </c>
      <c r="F295" s="4">
        <f>IF(AND(ISNUMBER(B295),ISNUMBER(D295),D295&gt;0),100*B295/D295,"")</f>
        <v/>
      </c>
    </row>
    <row r="296">
      <c r="A296" s="3" t="inlineStr">
        <is>
          <t>46017</t>
        </is>
      </c>
      <c r="B296" s="3" t="n">
        <v>44</v>
      </c>
      <c r="C296" s="3" t="n">
        <v>22</v>
      </c>
      <c r="D296" s="3" t="n">
        <v>11381.75731</v>
      </c>
      <c r="E296" s="4">
        <f>IF(AND(ISNUMBER(B296),ISNUMBER(C296),B296&gt;0),C296/B296,"")</f>
        <v/>
      </c>
      <c r="F296" s="4">
        <f>IF(AND(ISNUMBER(B296),ISNUMBER(D296),D296&gt;0),100*B296/D296,"")</f>
        <v/>
      </c>
    </row>
    <row r="297">
      <c r="A297" s="3" t="inlineStr">
        <is>
          <t>46018</t>
        </is>
      </c>
      <c r="B297" s="3" t="n">
        <v>0</v>
      </c>
      <c r="C297" s="3" t="n">
        <v>1</v>
      </c>
      <c r="D297" s="3" t="n"/>
      <c r="E297" s="4">
        <f>IF(AND(ISNUMBER(B297),ISNUMBER(C297),B297&gt;0),C297/B297,"")</f>
        <v/>
      </c>
      <c r="F297" s="4">
        <f>IF(AND(ISNUMBER(B297),ISNUMBER(D297),D297&gt;0),100*B297/D297,"")</f>
        <v/>
      </c>
    </row>
    <row r="298">
      <c r="A298" s="3" t="inlineStr">
        <is>
          <t>46019</t>
        </is>
      </c>
      <c r="B298" s="3" t="n">
        <v>1</v>
      </c>
      <c r="C298" s="3" t="n"/>
      <c r="D298" s="3" t="n">
        <v>778.2101167</v>
      </c>
      <c r="E298" s="4">
        <f>IF(AND(ISNUMBER(B298),ISNUMBER(C298),B298&gt;0),C298/B298,"")</f>
        <v/>
      </c>
      <c r="F298" s="4">
        <f>IF(AND(ISNUMBER(B298),ISNUMBER(D298),D298&gt;0),100*B298/D298,"")</f>
        <v/>
      </c>
    </row>
    <row r="299">
      <c r="A299" s="3" t="inlineStr">
        <is>
          <t>46020</t>
        </is>
      </c>
      <c r="B299" s="3" t="n">
        <v>1</v>
      </c>
      <c r="C299" s="3" t="n">
        <v>1</v>
      </c>
      <c r="D299" s="3" t="n">
        <v>896.0573477</v>
      </c>
      <c r="E299" s="4">
        <f>IF(AND(ISNUMBER(B299),ISNUMBER(C299),B299&gt;0),C299/B299,"")</f>
        <v/>
      </c>
      <c r="F299" s="4">
        <f>IF(AND(ISNUMBER(B299),ISNUMBER(D299),D299&gt;0),100*B299/D299,"")</f>
        <v/>
      </c>
    </row>
    <row r="300">
      <c r="A300" s="3" t="inlineStr">
        <is>
          <t>46021</t>
        </is>
      </c>
      <c r="B300" s="3" t="n">
        <v>6</v>
      </c>
      <c r="C300" s="3" t="n">
        <v>5</v>
      </c>
      <c r="D300" s="3" t="n">
        <v>3842.532939</v>
      </c>
      <c r="E300" s="4">
        <f>IF(AND(ISNUMBER(B300),ISNUMBER(C300),B300&gt;0),C300/B300,"")</f>
        <v/>
      </c>
      <c r="F300" s="4">
        <f>IF(AND(ISNUMBER(B300),ISNUMBER(D300),D300&gt;0),100*B300/D300,"")</f>
        <v/>
      </c>
    </row>
    <row r="301">
      <c r="A301" s="3" t="inlineStr">
        <is>
          <t>46022</t>
        </is>
      </c>
      <c r="B301" s="3" t="n">
        <v>9</v>
      </c>
      <c r="C301" s="3" t="n">
        <v>3</v>
      </c>
      <c r="D301" s="3" t="n">
        <v>5349.786126</v>
      </c>
      <c r="E301" s="4">
        <f>IF(AND(ISNUMBER(B301),ISNUMBER(C301),B301&gt;0),C301/B301,"")</f>
        <v/>
      </c>
      <c r="F301" s="4">
        <f>IF(AND(ISNUMBER(B301),ISNUMBER(D301),D301&gt;0),100*B301/D301,"")</f>
        <v/>
      </c>
    </row>
    <row r="302">
      <c r="A302" s="3" t="inlineStr">
        <is>
          <t>46023</t>
        </is>
      </c>
      <c r="B302" s="3" t="n">
        <v>1</v>
      </c>
      <c r="C302" s="3" t="n"/>
      <c r="D302" s="3" t="n">
        <v>317.9650238</v>
      </c>
      <c r="E302" s="4">
        <f>IF(AND(ISNUMBER(B302),ISNUMBER(C302),B302&gt;0),C302/B302,"")</f>
        <v/>
      </c>
      <c r="F302" s="4">
        <f>IF(AND(ISNUMBER(B302),ISNUMBER(D302),D302&gt;0),100*B302/D302,"")</f>
        <v/>
      </c>
    </row>
    <row r="303">
      <c r="A303" s="3" t="inlineStr">
        <is>
          <t>46024</t>
        </is>
      </c>
      <c r="B303" s="3" t="n">
        <v>1</v>
      </c>
      <c r="C303" s="3" t="n"/>
      <c r="D303" s="3" t="n">
        <v>591.0165485</v>
      </c>
      <c r="E303" s="4">
        <f>IF(AND(ISNUMBER(B303),ISNUMBER(C303),B303&gt;0),C303/B303,"")</f>
        <v/>
      </c>
      <c r="F303" s="4">
        <f>IF(AND(ISNUMBER(B303),ISNUMBER(D303),D303&gt;0),100*B303/D303,"")</f>
        <v/>
      </c>
    </row>
    <row r="304">
      <c r="A304" s="3" t="inlineStr">
        <is>
          <t>46025</t>
        </is>
      </c>
      <c r="B304" s="3" t="n">
        <v>3</v>
      </c>
      <c r="C304" s="3" t="n"/>
      <c r="D304" s="3" t="n">
        <v>1003.009027</v>
      </c>
      <c r="E304" s="4">
        <f>IF(AND(ISNUMBER(B304),ISNUMBER(C304),B304&gt;0),C304/B304,"")</f>
        <v/>
      </c>
      <c r="F304" s="4">
        <f>IF(AND(ISNUMBER(B304),ISNUMBER(D304),D304&gt;0),100*B304/D304,"")</f>
        <v/>
      </c>
    </row>
    <row r="305">
      <c r="A305" s="3" t="inlineStr">
        <is>
          <t>46026</t>
        </is>
      </c>
      <c r="B305" s="3" t="n">
        <v>3</v>
      </c>
      <c r="C305" s="3" t="n">
        <v>3</v>
      </c>
      <c r="D305" s="3" t="n">
        <v>1392.75766</v>
      </c>
      <c r="E305" s="4">
        <f>IF(AND(ISNUMBER(B305),ISNUMBER(C305),B305&gt;0),C305/B305,"")</f>
        <v/>
      </c>
      <c r="F305" s="4">
        <f>IF(AND(ISNUMBER(B305),ISNUMBER(D305),D305&gt;0),100*B305/D305,"")</f>
        <v/>
      </c>
    </row>
    <row r="306">
      <c r="A306" s="3" t="inlineStr">
        <is>
          <t>46027</t>
        </is>
      </c>
      <c r="B306" s="3" t="n">
        <v>0</v>
      </c>
      <c r="C306" s="3" t="n"/>
      <c r="D306" s="3" t="n"/>
      <c r="E306" s="4">
        <f>IF(AND(ISNUMBER(B306),ISNUMBER(C306),B306&gt;0),C306/B306,"")</f>
        <v/>
      </c>
      <c r="F306" s="4">
        <f>IF(AND(ISNUMBER(B306),ISNUMBER(D306),D306&gt;0),100*B306/D306,"")</f>
        <v/>
      </c>
    </row>
    <row r="307">
      <c r="A307" s="3" t="inlineStr">
        <is>
          <t>46028</t>
        </is>
      </c>
      <c r="B307" s="3" t="n">
        <v>6</v>
      </c>
      <c r="C307" s="3" t="n">
        <v>5</v>
      </c>
      <c r="D307" s="3" t="n">
        <v>640</v>
      </c>
      <c r="E307" s="4">
        <f>IF(AND(ISNUMBER(B307),ISNUMBER(C307),B307&gt;0),C307/B307,"")</f>
        <v/>
      </c>
      <c r="F307" s="4">
        <f>IF(AND(ISNUMBER(B307),ISNUMBER(D307),D307&gt;0),100*B307/D307,"")</f>
        <v/>
      </c>
    </row>
    <row r="308">
      <c r="A308" s="3" t="inlineStr">
        <is>
          <t>46029</t>
        </is>
      </c>
      <c r="B308" s="3" t="n">
        <v>8</v>
      </c>
      <c r="C308" s="3" t="n">
        <v>13</v>
      </c>
      <c r="D308" s="3" t="n">
        <v>2846.255841</v>
      </c>
      <c r="E308" s="4">
        <f>IF(AND(ISNUMBER(B308),ISNUMBER(C308),B308&gt;0),C308/B308,"")</f>
        <v/>
      </c>
      <c r="F308" s="4">
        <f>IF(AND(ISNUMBER(B308),ISNUMBER(D308),D308&gt;0),100*B308/D308,"")</f>
        <v/>
      </c>
    </row>
    <row r="309">
      <c r="A309" s="3" t="inlineStr">
        <is>
          <t>46030</t>
        </is>
      </c>
      <c r="B309" s="3" t="n">
        <v>3</v>
      </c>
      <c r="C309" s="3" t="n">
        <v>1</v>
      </c>
      <c r="D309" s="3" t="n">
        <v>801.0680908</v>
      </c>
      <c r="E309" s="4">
        <f>IF(AND(ISNUMBER(B309),ISNUMBER(C309),B309&gt;0),C309/B309,"")</f>
        <v/>
      </c>
      <c r="F309" s="4">
        <f>IF(AND(ISNUMBER(B309),ISNUMBER(D309),D309&gt;0),100*B309/D309,"")</f>
        <v/>
      </c>
    </row>
    <row r="310">
      <c r="A310" s="3" t="inlineStr">
        <is>
          <t>46031</t>
        </is>
      </c>
      <c r="B310" s="3" t="n">
        <v>7</v>
      </c>
      <c r="C310" s="3" t="n">
        <v>6</v>
      </c>
      <c r="D310" s="3" t="n">
        <v>2336.781791</v>
      </c>
      <c r="E310" s="4">
        <f>IF(AND(ISNUMBER(B310),ISNUMBER(C310),B310&gt;0),C310/B310,"")</f>
        <v/>
      </c>
      <c r="F310" s="4">
        <f>IF(AND(ISNUMBER(B310),ISNUMBER(D310),D310&gt;0),100*B310/D310,"")</f>
        <v/>
      </c>
    </row>
    <row r="311">
      <c r="A311" s="3" t="inlineStr">
        <is>
          <t>46032</t>
        </is>
      </c>
      <c r="B311" s="3" t="n">
        <v>2</v>
      </c>
      <c r="C311" s="3" t="n">
        <v>2</v>
      </c>
      <c r="D311" s="3" t="n">
        <v>1756.08705</v>
      </c>
      <c r="E311" s="4">
        <f>IF(AND(ISNUMBER(B311),ISNUMBER(C311),B311&gt;0),C311/B311,"")</f>
        <v/>
      </c>
      <c r="F311" s="4">
        <f>IF(AND(ISNUMBER(B311),ISNUMBER(D311),D311&gt;0),100*B311/D311,"")</f>
        <v/>
      </c>
    </row>
    <row r="312">
      <c r="A312" s="3" t="inlineStr">
        <is>
          <t>46033</t>
        </is>
      </c>
      <c r="B312" s="3" t="n">
        <v>2</v>
      </c>
      <c r="C312" s="3" t="n">
        <v>1</v>
      </c>
      <c r="D312" s="3" t="n">
        <v>187.0032726</v>
      </c>
      <c r="E312" s="4">
        <f>IF(AND(ISNUMBER(B312),ISNUMBER(C312),B312&gt;0),C312/B312,"")</f>
        <v/>
      </c>
      <c r="F312" s="4">
        <f>IF(AND(ISNUMBER(B312),ISNUMBER(D312),D312&gt;0),100*B312/D312,"")</f>
        <v/>
      </c>
    </row>
    <row r="313">
      <c r="A313" s="3" t="inlineStr">
        <is>
          <t>46034</t>
        </is>
      </c>
      <c r="B313" s="3" t="n">
        <v>1</v>
      </c>
      <c r="C313" s="3" t="n">
        <v>1</v>
      </c>
      <c r="D313" s="3" t="n">
        <v>1240.694789</v>
      </c>
      <c r="E313" s="4">
        <f>IF(AND(ISNUMBER(B313),ISNUMBER(C313),B313&gt;0),C313/B313,"")</f>
        <v/>
      </c>
      <c r="F313" s="4">
        <f>IF(AND(ISNUMBER(B313),ISNUMBER(D313),D313&gt;0),100*B313/D313,"")</f>
        <v/>
      </c>
    </row>
    <row r="314">
      <c r="A314" s="3" t="inlineStr">
        <is>
          <t>46035</t>
        </is>
      </c>
      <c r="B314" s="3" t="n">
        <v>2</v>
      </c>
      <c r="C314" s="3" t="n">
        <v>4</v>
      </c>
      <c r="D314" s="3" t="n">
        <v>1939.124828</v>
      </c>
      <c r="E314" s="4">
        <f>IF(AND(ISNUMBER(B314),ISNUMBER(C314),B314&gt;0),C314/B314,"")</f>
        <v/>
      </c>
      <c r="F314" s="4">
        <f>IF(AND(ISNUMBER(B314),ISNUMBER(D314),D314&gt;0),100*B314/D314,"")</f>
        <v/>
      </c>
    </row>
    <row r="315">
      <c r="A315" s="3" t="inlineStr">
        <is>
          <t>46036</t>
        </is>
      </c>
      <c r="B315" s="3" t="n">
        <v>26</v>
      </c>
      <c r="C315" s="3" t="n">
        <v>17</v>
      </c>
      <c r="D315" s="3" t="n">
        <v>1223.01143</v>
      </c>
      <c r="E315" s="4">
        <f>IF(AND(ISNUMBER(B315),ISNUMBER(C315),B315&gt;0),C315/B315,"")</f>
        <v/>
      </c>
      <c r="F315" s="4">
        <f>IF(AND(ISNUMBER(B315),ISNUMBER(D315),D315&gt;0),100*B315/D315,"")</f>
        <v/>
      </c>
    </row>
    <row r="316">
      <c r="A316" s="3" t="inlineStr">
        <is>
          <t>46037</t>
        </is>
      </c>
      <c r="B316" s="3" t="n">
        <v>0</v>
      </c>
      <c r="C316" s="3" t="n"/>
      <c r="D316" s="3" t="n"/>
      <c r="E316" s="4">
        <f>IF(AND(ISNUMBER(B316),ISNUMBER(C316),B316&gt;0),C316/B316,"")</f>
        <v/>
      </c>
      <c r="F316" s="4">
        <f>IF(AND(ISNUMBER(B316),ISNUMBER(D316),D316&gt;0),100*B316/D316,"")</f>
        <v/>
      </c>
    </row>
    <row r="317">
      <c r="A317" s="3" t="inlineStr">
        <is>
          <t>46038</t>
        </is>
      </c>
      <c r="B317" s="3" t="n">
        <v>2</v>
      </c>
      <c r="C317" s="3" t="n">
        <v>1</v>
      </c>
      <c r="D317" s="3" t="n">
        <v>732.8691829000001</v>
      </c>
      <c r="E317" s="4">
        <f>IF(AND(ISNUMBER(B317),ISNUMBER(C317),B317&gt;0),C317/B317,"")</f>
        <v/>
      </c>
      <c r="F317" s="4">
        <f>IF(AND(ISNUMBER(B317),ISNUMBER(D317),D317&gt;0),100*B317/D317,"")</f>
        <v/>
      </c>
    </row>
    <row r="318">
      <c r="A318" s="3" t="inlineStr">
        <is>
          <t>46039</t>
        </is>
      </c>
      <c r="B318" s="3" t="n">
        <v>23</v>
      </c>
      <c r="C318" s="3" t="n">
        <v>17</v>
      </c>
      <c r="D318" s="3" t="n">
        <v>1583.052919</v>
      </c>
      <c r="E318" s="4">
        <f>IF(AND(ISNUMBER(B318),ISNUMBER(C318),B318&gt;0),C318/B318,"")</f>
        <v/>
      </c>
      <c r="F318" s="4">
        <f>IF(AND(ISNUMBER(B318),ISNUMBER(D318),D318&gt;0),100*B318/D318,"")</f>
        <v/>
      </c>
    </row>
    <row r="319">
      <c r="A319" s="3" t="inlineStr">
        <is>
          <t>46040</t>
        </is>
      </c>
      <c r="B319" s="3" t="n">
        <v>0</v>
      </c>
      <c r="C319" s="3" t="n">
        <v>1</v>
      </c>
      <c r="D319" s="3" t="n"/>
      <c r="E319" s="4">
        <f>IF(AND(ISNUMBER(B319),ISNUMBER(C319),B319&gt;0),C319/B319,"")</f>
        <v/>
      </c>
      <c r="F319" s="4">
        <f>IF(AND(ISNUMBER(B319),ISNUMBER(D319),D319&gt;0),100*B319/D319,"")</f>
        <v/>
      </c>
    </row>
    <row r="320">
      <c r="A320" s="3" t="inlineStr">
        <is>
          <t>46041</t>
        </is>
      </c>
      <c r="B320" s="3" t="n">
        <v>0</v>
      </c>
      <c r="C320" s="3" t="n">
        <v>2</v>
      </c>
      <c r="D320" s="3" t="n"/>
      <c r="E320" s="4">
        <f>IF(AND(ISNUMBER(B320),ISNUMBER(C320),B320&gt;0),C320/B320,"")</f>
        <v/>
      </c>
      <c r="F320" s="4">
        <f>IF(AND(ISNUMBER(B320),ISNUMBER(D320),D320&gt;0),100*B320/D320,"")</f>
        <v/>
      </c>
    </row>
    <row r="321">
      <c r="A321" s="3" t="inlineStr">
        <is>
          <t>46042</t>
        </is>
      </c>
      <c r="B321" s="3" t="n">
        <v>2</v>
      </c>
      <c r="C321" s="3" t="n">
        <v>2</v>
      </c>
      <c r="D321" s="3" t="n">
        <v>1492.537313</v>
      </c>
      <c r="E321" s="4">
        <f>IF(AND(ISNUMBER(B321),ISNUMBER(C321),B321&gt;0),C321/B321,"")</f>
        <v/>
      </c>
      <c r="F321" s="4">
        <f>IF(AND(ISNUMBER(B321),ISNUMBER(D321),D321&gt;0),100*B321/D321,"")</f>
        <v/>
      </c>
    </row>
    <row r="322">
      <c r="A322" s="3" t="inlineStr">
        <is>
          <t>46043</t>
        </is>
      </c>
      <c r="B322" s="3" t="n">
        <v>3</v>
      </c>
      <c r="C322" s="3" t="n">
        <v>2</v>
      </c>
      <c r="D322" s="3" t="n">
        <v>151.998784</v>
      </c>
      <c r="E322" s="4">
        <f>IF(AND(ISNUMBER(B322),ISNUMBER(C322),B322&gt;0),C322/B322,"")</f>
        <v/>
      </c>
      <c r="F322" s="4">
        <f>IF(AND(ISNUMBER(B322),ISNUMBER(D322),D322&gt;0),100*B322/D322,"")</f>
        <v/>
      </c>
    </row>
    <row r="323">
      <c r="A323" s="3" t="inlineStr">
        <is>
          <t>46044</t>
        </is>
      </c>
      <c r="B323" s="3" t="n">
        <v>14</v>
      </c>
      <c r="C323" s="3" t="n">
        <v>7</v>
      </c>
      <c r="D323" s="3" t="n">
        <v>2413.049703</v>
      </c>
      <c r="E323" s="4">
        <f>IF(AND(ISNUMBER(B323),ISNUMBER(C323),B323&gt;0),C323/B323,"")</f>
        <v/>
      </c>
      <c r="F323" s="4">
        <f>IF(AND(ISNUMBER(B323),ISNUMBER(D323),D323&gt;0),100*B323/D323,"")</f>
        <v/>
      </c>
    </row>
    <row r="324">
      <c r="A324" s="3" t="inlineStr">
        <is>
          <t>46045</t>
        </is>
      </c>
      <c r="B324" s="3" t="n">
        <v>4</v>
      </c>
      <c r="C324" s="3" t="n">
        <v>3</v>
      </c>
      <c r="D324" s="3" t="n">
        <v>1044.113808</v>
      </c>
      <c r="E324" s="4">
        <f>IF(AND(ISNUMBER(B324),ISNUMBER(C324),B324&gt;0),C324/B324,"")</f>
        <v/>
      </c>
      <c r="F324" s="4">
        <f>IF(AND(ISNUMBER(B324),ISNUMBER(D324),D324&gt;0),100*B324/D324,"")</f>
        <v/>
      </c>
    </row>
    <row r="325">
      <c r="A325" s="3" t="inlineStr">
        <is>
          <t>46046</t>
        </is>
      </c>
      <c r="B325" s="3" t="n">
        <v>28</v>
      </c>
      <c r="C325" s="3" t="n">
        <v>41</v>
      </c>
      <c r="D325" s="3" t="n">
        <v>1146.976897</v>
      </c>
      <c r="E325" s="4">
        <f>IF(AND(ISNUMBER(B325),ISNUMBER(C325),B325&gt;0),C325/B325,"")</f>
        <v/>
      </c>
      <c r="F325" s="4">
        <f>IF(AND(ISNUMBER(B325),ISNUMBER(D325),D325&gt;0),100*B325/D325,"")</f>
        <v/>
      </c>
    </row>
    <row r="326">
      <c r="A326" s="3" t="inlineStr">
        <is>
          <t>46047</t>
        </is>
      </c>
      <c r="B326" s="3" t="n">
        <v>0</v>
      </c>
      <c r="C326" s="3" t="n"/>
      <c r="D326" s="3" t="n"/>
      <c r="E326" s="4">
        <f>IF(AND(ISNUMBER(B326),ISNUMBER(C326),B326&gt;0),C326/B326,"")</f>
        <v/>
      </c>
      <c r="F326" s="4">
        <f>IF(AND(ISNUMBER(B326),ISNUMBER(D326),D326&gt;0),100*B326/D326,"")</f>
        <v/>
      </c>
    </row>
    <row r="327">
      <c r="A327" s="3" t="inlineStr">
        <is>
          <t>46048</t>
        </is>
      </c>
      <c r="B327" s="3" t="n">
        <v>82</v>
      </c>
      <c r="C327" s="3" t="n">
        <v>174</v>
      </c>
      <c r="D327" s="3" t="n">
        <v>3515.993483</v>
      </c>
      <c r="E327" s="4">
        <f>IF(AND(ISNUMBER(B327),ISNUMBER(C327),B327&gt;0),C327/B327,"")</f>
        <v/>
      </c>
      <c r="F327" s="4">
        <f>IF(AND(ISNUMBER(B327),ISNUMBER(D327),D327&gt;0),100*B327/D327,"")</f>
        <v/>
      </c>
    </row>
    <row r="328">
      <c r="A328" s="3" t="inlineStr">
        <is>
          <t>46049</t>
        </is>
      </c>
      <c r="B328" s="3" t="n">
        <v>0</v>
      </c>
      <c r="C328" s="3" t="n">
        <v>1</v>
      </c>
      <c r="D328" s="3" t="n"/>
      <c r="E328" s="4">
        <f>IF(AND(ISNUMBER(B328),ISNUMBER(C328),B328&gt;0),C328/B328,"")</f>
        <v/>
      </c>
      <c r="F328" s="4">
        <f>IF(AND(ISNUMBER(B328),ISNUMBER(D328),D328&gt;0),100*B328/D328,"")</f>
        <v/>
      </c>
    </row>
    <row r="329">
      <c r="A329" s="3" t="inlineStr">
        <is>
          <t>46050</t>
        </is>
      </c>
      <c r="B329" s="3" t="n">
        <v>0</v>
      </c>
      <c r="C329" s="3" t="n"/>
      <c r="D329" s="3" t="n"/>
      <c r="E329" s="4">
        <f>IF(AND(ISNUMBER(B329),ISNUMBER(C329),B329&gt;0),C329/B329,"")</f>
        <v/>
      </c>
      <c r="F329" s="4">
        <f>IF(AND(ISNUMBER(B329),ISNUMBER(D329),D329&gt;0),100*B329/D329,"")</f>
        <v/>
      </c>
    </row>
    <row r="330">
      <c r="A330" s="3" t="inlineStr">
        <is>
          <t>46051</t>
        </is>
      </c>
      <c r="B330" s="3" t="n">
        <v>11</v>
      </c>
      <c r="C330" s="3" t="n">
        <v>13</v>
      </c>
      <c r="D330" s="3" t="n">
        <v>5281.703146</v>
      </c>
      <c r="E330" s="4">
        <f>IF(AND(ISNUMBER(B330),ISNUMBER(C330),B330&gt;0),C330/B330,"")</f>
        <v/>
      </c>
      <c r="F330" s="4">
        <f>IF(AND(ISNUMBER(B330),ISNUMBER(D330),D330&gt;0),100*B330/D330,"")</f>
        <v/>
      </c>
    </row>
    <row r="331">
      <c r="A331" s="3" t="inlineStr">
        <is>
          <t>46052</t>
        </is>
      </c>
      <c r="B331" s="3" t="n">
        <v>3</v>
      </c>
      <c r="C331" s="3" t="n">
        <v>1</v>
      </c>
      <c r="D331" s="3" t="n">
        <v>394.9967084</v>
      </c>
      <c r="E331" s="4">
        <f>IF(AND(ISNUMBER(B331),ISNUMBER(C331),B331&gt;0),C331/B331,"")</f>
        <v/>
      </c>
      <c r="F331" s="4">
        <f>IF(AND(ISNUMBER(B331),ISNUMBER(D331),D331&gt;0),100*B331/D331,"")</f>
        <v/>
      </c>
    </row>
    <row r="332">
      <c r="A332" s="3" t="inlineStr">
        <is>
          <t>46053</t>
        </is>
      </c>
      <c r="B332" s="3" t="n">
        <v>1</v>
      </c>
      <c r="C332" s="3" t="n">
        <v>2</v>
      </c>
      <c r="D332" s="3" t="n">
        <v>341.997264</v>
      </c>
      <c r="E332" s="4">
        <f>IF(AND(ISNUMBER(B332),ISNUMBER(C332),B332&gt;0),C332/B332,"")</f>
        <v/>
      </c>
      <c r="F332" s="4">
        <f>IF(AND(ISNUMBER(B332),ISNUMBER(D332),D332&gt;0),100*B332/D332,"")</f>
        <v/>
      </c>
    </row>
    <row r="333">
      <c r="A333" s="3" t="inlineStr">
        <is>
          <t>46054</t>
        </is>
      </c>
      <c r="B333" s="3" t="n">
        <v>10</v>
      </c>
      <c r="C333" s="3" t="n">
        <v>9</v>
      </c>
      <c r="D333" s="3" t="n">
        <v>4688.937549</v>
      </c>
      <c r="E333" s="4">
        <f>IF(AND(ISNUMBER(B333),ISNUMBER(C333),B333&gt;0),C333/B333,"")</f>
        <v/>
      </c>
      <c r="F333" s="4">
        <f>IF(AND(ISNUMBER(B333),ISNUMBER(D333),D333&gt;0),100*B333/D333,"")</f>
        <v/>
      </c>
    </row>
    <row r="334">
      <c r="A334" s="3" t="inlineStr">
        <is>
          <t>46055</t>
        </is>
      </c>
      <c r="B334" s="3" t="n">
        <v>7</v>
      </c>
      <c r="C334" s="3" t="n">
        <v>7</v>
      </c>
      <c r="D334" s="3" t="n">
        <v>1043.997017</v>
      </c>
      <c r="E334" s="4">
        <f>IF(AND(ISNUMBER(B334),ISNUMBER(C334),B334&gt;0),C334/B334,"")</f>
        <v/>
      </c>
      <c r="F334" s="4">
        <f>IF(AND(ISNUMBER(B334),ISNUMBER(D334),D334&gt;0),100*B334/D334,"")</f>
        <v/>
      </c>
    </row>
    <row r="335">
      <c r="A335" s="3" t="inlineStr">
        <is>
          <t>46056</t>
        </is>
      </c>
      <c r="B335" s="3" t="n">
        <v>2</v>
      </c>
      <c r="C335" s="3" t="n">
        <v>1</v>
      </c>
      <c r="D335" s="3" t="n">
        <v>205.00205</v>
      </c>
      <c r="E335" s="4">
        <f>IF(AND(ISNUMBER(B335),ISNUMBER(C335),B335&gt;0),C335/B335,"")</f>
        <v/>
      </c>
      <c r="F335" s="4">
        <f>IF(AND(ISNUMBER(B335),ISNUMBER(D335),D335&gt;0),100*B335/D335,"")</f>
        <v/>
      </c>
    </row>
    <row r="336">
      <c r="A336" s="3" t="inlineStr">
        <is>
          <t>46057</t>
        </is>
      </c>
      <c r="B336" s="3" t="n">
        <v>4</v>
      </c>
      <c r="C336" s="3" t="n">
        <v>1</v>
      </c>
      <c r="D336" s="3" t="n">
        <v>411.0152076</v>
      </c>
      <c r="E336" s="4">
        <f>IF(AND(ISNUMBER(B336),ISNUMBER(C336),B336&gt;0),C336/B336,"")</f>
        <v/>
      </c>
      <c r="F336" s="4">
        <f>IF(AND(ISNUMBER(B336),ISNUMBER(D336),D336&gt;0),100*B336/D336,"")</f>
        <v/>
      </c>
    </row>
    <row r="337">
      <c r="A337" s="3" t="inlineStr">
        <is>
          <t>46058</t>
        </is>
      </c>
      <c r="B337" s="3" t="n">
        <v>1</v>
      </c>
      <c r="C337" s="3" t="n">
        <v>2</v>
      </c>
      <c r="D337" s="3" t="n">
        <v>1234.567901</v>
      </c>
      <c r="E337" s="4">
        <f>IF(AND(ISNUMBER(B337),ISNUMBER(C337),B337&gt;0),C337/B337,"")</f>
        <v/>
      </c>
      <c r="F337" s="4">
        <f>IF(AND(ISNUMBER(B337),ISNUMBER(D337),D337&gt;0),100*B337/D337,"")</f>
        <v/>
      </c>
    </row>
    <row r="338">
      <c r="A338" s="3" t="inlineStr">
        <is>
          <t>46059</t>
        </is>
      </c>
      <c r="B338" s="3" t="n">
        <v>1</v>
      </c>
      <c r="C338" s="3" t="n">
        <v>2</v>
      </c>
      <c r="D338" s="3" t="n">
        <v>1001.001001</v>
      </c>
      <c r="E338" s="4">
        <f>IF(AND(ISNUMBER(B338),ISNUMBER(C338),B338&gt;0),C338/B338,"")</f>
        <v/>
      </c>
      <c r="F338" s="4">
        <f>IF(AND(ISNUMBER(B338),ISNUMBER(D338),D338&gt;0),100*B338/D338,"")</f>
        <v/>
      </c>
    </row>
    <row r="339">
      <c r="A339" s="3" t="inlineStr">
        <is>
          <t>46060</t>
        </is>
      </c>
      <c r="B339" s="3" t="n">
        <v>6</v>
      </c>
      <c r="C339" s="3" t="n">
        <v>2</v>
      </c>
      <c r="D339" s="3" t="n">
        <v>1694.200109</v>
      </c>
      <c r="E339" s="4">
        <f>IF(AND(ISNUMBER(B339),ISNUMBER(C339),B339&gt;0),C339/B339,"")</f>
        <v/>
      </c>
      <c r="F339" s="4">
        <f>IF(AND(ISNUMBER(B339),ISNUMBER(D339),D339&gt;0),100*B339/D339,"")</f>
        <v/>
      </c>
    </row>
    <row r="340">
      <c r="A340" s="3" t="inlineStr">
        <is>
          <t>46061</t>
        </is>
      </c>
      <c r="B340" s="3" t="n">
        <v>0</v>
      </c>
      <c r="C340" s="3" t="n">
        <v>2</v>
      </c>
      <c r="D340" s="3" t="n"/>
      <c r="E340" s="4">
        <f>IF(AND(ISNUMBER(B340),ISNUMBER(C340),B340&gt;0),C340/B340,"")</f>
        <v/>
      </c>
      <c r="F340" s="4">
        <f>IF(AND(ISNUMBER(B340),ISNUMBER(D340),D340&gt;0),100*B340/D340,"")</f>
        <v/>
      </c>
    </row>
    <row r="341">
      <c r="A341" s="3" t="inlineStr">
        <is>
          <t>46062</t>
        </is>
      </c>
      <c r="B341" s="3" t="n">
        <v>3</v>
      </c>
      <c r="C341" s="3" t="n">
        <v>2</v>
      </c>
      <c r="D341" s="3" t="n">
        <v>2539.876133</v>
      </c>
      <c r="E341" s="4">
        <f>IF(AND(ISNUMBER(B341),ISNUMBER(C341),B341&gt;0),C341/B341,"")</f>
        <v/>
      </c>
      <c r="F341" s="4">
        <f>IF(AND(ISNUMBER(B341),ISNUMBER(D341),D341&gt;0),100*B341/D341,"")</f>
        <v/>
      </c>
    </row>
    <row r="342">
      <c r="A342" s="3" t="inlineStr">
        <is>
          <t>46063</t>
        </is>
      </c>
      <c r="B342" s="3" t="n">
        <v>0</v>
      </c>
      <c r="C342" s="3" t="n"/>
      <c r="D342" s="3" t="n"/>
      <c r="E342" s="4">
        <f>IF(AND(ISNUMBER(B342),ISNUMBER(C342),B342&gt;0),C342/B342,"")</f>
        <v/>
      </c>
      <c r="F342" s="4">
        <f>IF(AND(ISNUMBER(B342),ISNUMBER(D342),D342&gt;0),100*B342/D342,"")</f>
        <v/>
      </c>
    </row>
    <row r="343">
      <c r="A343" s="3" t="inlineStr">
        <is>
          <t>46064</t>
        </is>
      </c>
      <c r="B343" s="3" t="n">
        <v>0</v>
      </c>
      <c r="C343" s="3" t="n"/>
      <c r="D343" s="3" t="n"/>
      <c r="E343" s="4">
        <f>IF(AND(ISNUMBER(B343),ISNUMBER(C343),B343&gt;0),C343/B343,"")</f>
        <v/>
      </c>
      <c r="F343" s="4">
        <f>IF(AND(ISNUMBER(B343),ISNUMBER(D343),D343&gt;0),100*B343/D343,"")</f>
        <v/>
      </c>
    </row>
    <row r="344">
      <c r="A344" s="3" t="inlineStr">
        <is>
          <t>46065</t>
        </is>
      </c>
      <c r="B344" s="3" t="n">
        <v>0</v>
      </c>
      <c r="C344" s="3" t="n"/>
      <c r="D344" s="3" t="n"/>
      <c r="E344" s="4">
        <f>IF(AND(ISNUMBER(B344),ISNUMBER(C344),B344&gt;0),C344/B344,"")</f>
        <v/>
      </c>
      <c r="F344" s="4">
        <f>IF(AND(ISNUMBER(B344),ISNUMBER(D344),D344&gt;0),100*B344/D344,"")</f>
        <v/>
      </c>
    </row>
    <row r="345">
      <c r="A345" s="3" t="inlineStr">
        <is>
          <t>46066</t>
        </is>
      </c>
      <c r="B345" s="3" t="n">
        <v>0</v>
      </c>
      <c r="C345" s="3" t="n"/>
      <c r="D345" s="3" t="n"/>
      <c r="E345" s="4">
        <f>IF(AND(ISNUMBER(B345),ISNUMBER(C345),B345&gt;0),C345/B345,"")</f>
        <v/>
      </c>
      <c r="F345" s="4">
        <f>IF(AND(ISNUMBER(B345),ISNUMBER(D345),D345&gt;0),100*B345/D345,"")</f>
        <v/>
      </c>
    </row>
    <row r="346">
      <c r="A346" s="3" t="inlineStr">
        <is>
          <t>46067</t>
        </is>
      </c>
      <c r="B346" s="3" t="n">
        <v>1</v>
      </c>
      <c r="C346" s="3" t="n">
        <v>1</v>
      </c>
      <c r="D346" s="3" t="n">
        <v>1189.060642</v>
      </c>
      <c r="E346" s="4">
        <f>IF(AND(ISNUMBER(B346),ISNUMBER(C346),B346&gt;0),C346/B346,"")</f>
        <v/>
      </c>
      <c r="F346" s="4">
        <f>IF(AND(ISNUMBER(B346),ISNUMBER(D346),D346&gt;0),100*B346/D346,"")</f>
        <v/>
      </c>
    </row>
    <row r="347">
      <c r="A347" s="3" t="inlineStr">
        <is>
          <t>46068</t>
        </is>
      </c>
      <c r="B347" s="3" t="n">
        <v>0</v>
      </c>
      <c r="C347" s="3" t="n">
        <v>2</v>
      </c>
      <c r="D347" s="3" t="n"/>
      <c r="E347" s="4">
        <f>IF(AND(ISNUMBER(B347),ISNUMBER(C347),B347&gt;0),C347/B347,"")</f>
        <v/>
      </c>
      <c r="F347" s="4">
        <f>IF(AND(ISNUMBER(B347),ISNUMBER(D347),D347&gt;0),100*B347/D347,"")</f>
        <v/>
      </c>
    </row>
    <row r="348">
      <c r="A348" s="3" t="inlineStr">
        <is>
          <t>46069</t>
        </is>
      </c>
      <c r="B348" s="3" t="n">
        <v>1</v>
      </c>
      <c r="C348" s="3" t="n">
        <v>1</v>
      </c>
      <c r="D348" s="3" t="n">
        <v>130.9929264</v>
      </c>
      <c r="E348" s="4">
        <f>IF(AND(ISNUMBER(B348),ISNUMBER(C348),B348&gt;0),C348/B348,"")</f>
        <v/>
      </c>
      <c r="F348" s="4">
        <f>IF(AND(ISNUMBER(B348),ISNUMBER(D348),D348&gt;0),100*B348/D348,"")</f>
        <v/>
      </c>
    </row>
    <row r="349">
      <c r="A349" s="3" t="inlineStr">
        <is>
          <t>46070</t>
        </is>
      </c>
      <c r="B349" s="3" t="n">
        <v>17</v>
      </c>
      <c r="C349" s="3" t="n">
        <v>16</v>
      </c>
      <c r="D349" s="3" t="n">
        <v>694.9270327</v>
      </c>
      <c r="E349" s="4">
        <f>IF(AND(ISNUMBER(B349),ISNUMBER(C349),B349&gt;0),C349/B349,"")</f>
        <v/>
      </c>
      <c r="F349" s="4">
        <f>IF(AND(ISNUMBER(B349),ISNUMBER(D349),D349&gt;0),100*B349/D349,"")</f>
        <v/>
      </c>
    </row>
    <row r="350">
      <c r="A350" s="3" t="inlineStr">
        <is>
          <t>46071</t>
        </is>
      </c>
      <c r="B350" s="3" t="n">
        <v>4</v>
      </c>
      <c r="C350" s="3" t="n">
        <v>3</v>
      </c>
      <c r="D350" s="3" t="n">
        <v>530.0119253</v>
      </c>
      <c r="E350" s="4">
        <f>IF(AND(ISNUMBER(B350),ISNUMBER(C350),B350&gt;0),C350/B350,"")</f>
        <v/>
      </c>
      <c r="F350" s="4">
        <f>IF(AND(ISNUMBER(B350),ISNUMBER(D350),D350&gt;0),100*B350/D350,"")</f>
        <v/>
      </c>
    </row>
    <row r="351">
      <c r="A351" s="3" t="inlineStr">
        <is>
          <t>46072</t>
        </is>
      </c>
      <c r="B351" s="3" t="n">
        <v>46</v>
      </c>
      <c r="C351" s="3" t="n">
        <v>28</v>
      </c>
      <c r="D351" s="3" t="n">
        <v>2819.883324</v>
      </c>
      <c r="E351" s="4">
        <f>IF(AND(ISNUMBER(B351),ISNUMBER(C351),B351&gt;0),C351/B351,"")</f>
        <v/>
      </c>
      <c r="F351" s="4">
        <f>IF(AND(ISNUMBER(B351),ISNUMBER(D351),D351&gt;0),100*B351/D351,"")</f>
        <v/>
      </c>
    </row>
    <row r="352">
      <c r="A352" s="3" t="inlineStr">
        <is>
          <t>46073</t>
        </is>
      </c>
      <c r="B352" s="3" t="n">
        <v>10</v>
      </c>
      <c r="C352" s="3" t="n">
        <v>22</v>
      </c>
      <c r="D352" s="3" t="n">
        <v>962.000962</v>
      </c>
      <c r="E352" s="4">
        <f>IF(AND(ISNUMBER(B352),ISNUMBER(C352),B352&gt;0),C352/B352,"")</f>
        <v/>
      </c>
      <c r="F352" s="4">
        <f>IF(AND(ISNUMBER(B352),ISNUMBER(D352),D352&gt;0),100*B352/D352,"")</f>
        <v/>
      </c>
    </row>
    <row r="353">
      <c r="A353" s="3" t="inlineStr">
        <is>
          <t>46074</t>
        </is>
      </c>
      <c r="B353" s="3" t="n">
        <v>1</v>
      </c>
      <c r="C353" s="3" t="n">
        <v>2</v>
      </c>
      <c r="D353" s="3" t="n">
        <v>663.1299735</v>
      </c>
      <c r="E353" s="4">
        <f>IF(AND(ISNUMBER(B353),ISNUMBER(C353),B353&gt;0),C353/B353,"")</f>
        <v/>
      </c>
      <c r="F353" s="4">
        <f>IF(AND(ISNUMBER(B353),ISNUMBER(D353),D353&gt;0),100*B353/D353,"")</f>
        <v/>
      </c>
    </row>
    <row r="354">
      <c r="A354" s="3" t="inlineStr">
        <is>
          <t>46075</t>
        </is>
      </c>
      <c r="B354" s="3" t="n">
        <v>0</v>
      </c>
      <c r="C354" s="3" t="n">
        <v>1</v>
      </c>
      <c r="D354" s="3" t="n"/>
      <c r="E354" s="4">
        <f>IF(AND(ISNUMBER(B354),ISNUMBER(C354),B354&gt;0),C354/B354,"")</f>
        <v/>
      </c>
      <c r="F354" s="4">
        <f>IF(AND(ISNUMBER(B354),ISNUMBER(D354),D354&gt;0),100*B354/D354,"")</f>
        <v/>
      </c>
    </row>
    <row r="355">
      <c r="A355" s="3" t="inlineStr">
        <is>
          <t>46076</t>
        </is>
      </c>
      <c r="B355" s="3" t="n">
        <v>2</v>
      </c>
      <c r="C355" s="3" t="n">
        <v>3</v>
      </c>
      <c r="D355" s="3" t="n">
        <v>625.9780908</v>
      </c>
      <c r="E355" s="4">
        <f>IF(AND(ISNUMBER(B355),ISNUMBER(C355),B355&gt;0),C355/B355,"")</f>
        <v/>
      </c>
      <c r="F355" s="4">
        <f>IF(AND(ISNUMBER(B355),ISNUMBER(D355),D355&gt;0),100*B355/D355,"")</f>
        <v/>
      </c>
    </row>
    <row r="356">
      <c r="A356" s="3" t="inlineStr">
        <is>
          <t>46077</t>
        </is>
      </c>
      <c r="B356" s="3" t="n">
        <v>11</v>
      </c>
      <c r="C356" s="3" t="n">
        <v>15</v>
      </c>
      <c r="D356" s="3" t="n">
        <v>2770.909919</v>
      </c>
      <c r="E356" s="4">
        <f>IF(AND(ISNUMBER(B356),ISNUMBER(C356),B356&gt;0),C356/B356,"")</f>
        <v/>
      </c>
      <c r="F356" s="4">
        <f>IF(AND(ISNUMBER(B356),ISNUMBER(D356),D356&gt;0),100*B356/D356,"")</f>
        <v/>
      </c>
    </row>
    <row r="357">
      <c r="A357" s="3" t="inlineStr">
        <is>
          <t>46078</t>
        </is>
      </c>
      <c r="B357" s="3" t="n">
        <v>62</v>
      </c>
      <c r="C357" s="3" t="n">
        <v>50</v>
      </c>
      <c r="D357" s="3" t="n">
        <v>11498.25522</v>
      </c>
      <c r="E357" s="4">
        <f>IF(AND(ISNUMBER(B357),ISNUMBER(C357),B357&gt;0),C357/B357,"")</f>
        <v/>
      </c>
      <c r="F357" s="4">
        <f>IF(AND(ISNUMBER(B357),ISNUMBER(D357),D357&gt;0),100*B357/D357,"")</f>
        <v/>
      </c>
    </row>
    <row r="358">
      <c r="A358" s="3" t="inlineStr">
        <is>
          <t>46079</t>
        </is>
      </c>
      <c r="B358" s="3" t="n">
        <v>3</v>
      </c>
      <c r="C358" s="3" t="n">
        <v>5</v>
      </c>
      <c r="D358" s="3" t="n">
        <v>742.0232501</v>
      </c>
      <c r="E358" s="4">
        <f>IF(AND(ISNUMBER(B358),ISNUMBER(C358),B358&gt;0),C358/B358,"")</f>
        <v/>
      </c>
      <c r="F358" s="4">
        <f>IF(AND(ISNUMBER(B358),ISNUMBER(D358),D358&gt;0),100*B358/D358,"")</f>
        <v/>
      </c>
    </row>
    <row r="359">
      <c r="A359" s="3" t="inlineStr">
        <is>
          <t>46080</t>
        </is>
      </c>
      <c r="B359" s="3" t="n">
        <v>1</v>
      </c>
      <c r="C359" s="3" t="n">
        <v>2</v>
      </c>
      <c r="D359" s="3" t="n">
        <v>1226.993865</v>
      </c>
      <c r="E359" s="4">
        <f>IF(AND(ISNUMBER(B359),ISNUMBER(C359),B359&gt;0),C359/B359,"")</f>
        <v/>
      </c>
      <c r="F359" s="4">
        <f>IF(AND(ISNUMBER(B359),ISNUMBER(D359),D359&gt;0),100*B359/D359,"")</f>
        <v/>
      </c>
    </row>
    <row r="360">
      <c r="A360" s="3" t="inlineStr">
        <is>
          <t>46081</t>
        </is>
      </c>
      <c r="B360" s="3" t="n">
        <v>1</v>
      </c>
      <c r="C360" s="3" t="n">
        <v>1</v>
      </c>
      <c r="D360" s="3" t="n">
        <v>793.0214116</v>
      </c>
      <c r="E360" s="4">
        <f>IF(AND(ISNUMBER(B360),ISNUMBER(C360),B360&gt;0),C360/B360,"")</f>
        <v/>
      </c>
      <c r="F360" s="4">
        <f>IF(AND(ISNUMBER(B360),ISNUMBER(D360),D360&gt;0),100*B360/D360,"")</f>
        <v/>
      </c>
    </row>
    <row r="361">
      <c r="A361" s="3" t="inlineStr">
        <is>
          <t>46082</t>
        </is>
      </c>
      <c r="B361" s="3" t="n">
        <v>223</v>
      </c>
      <c r="C361" s="3" t="n">
        <v>556</v>
      </c>
      <c r="D361" s="3" t="n">
        <v>9812.053015</v>
      </c>
      <c r="E361" s="4">
        <f>IF(AND(ISNUMBER(B361),ISNUMBER(C361),B361&gt;0),C361/B361,"")</f>
        <v/>
      </c>
      <c r="F361" s="4">
        <f>IF(AND(ISNUMBER(B361),ISNUMBER(D361),D361&gt;0),100*B361/D361,"")</f>
        <v/>
      </c>
    </row>
    <row r="362">
      <c r="A362" s="3" t="inlineStr">
        <is>
          <t>46083</t>
        </is>
      </c>
      <c r="B362" s="3" t="n">
        <v>10</v>
      </c>
      <c r="C362" s="3" t="n">
        <v>4</v>
      </c>
      <c r="D362" s="3" t="n">
        <v>3156.256341</v>
      </c>
      <c r="E362" s="4">
        <f>IF(AND(ISNUMBER(B362),ISNUMBER(C362),B362&gt;0),C362/B362,"")</f>
        <v/>
      </c>
      <c r="F362" s="4">
        <f>IF(AND(ISNUMBER(B362),ISNUMBER(D362),D362&gt;0),100*B362/D362,"")</f>
        <v/>
      </c>
    </row>
    <row r="363">
      <c r="A363" s="3" t="inlineStr">
        <is>
          <t>46084</t>
        </is>
      </c>
      <c r="B363" s="3" t="n">
        <v>0</v>
      </c>
      <c r="C363" s="3" t="n"/>
      <c r="D363" s="3" t="n"/>
      <c r="E363" s="4">
        <f>IF(AND(ISNUMBER(B363),ISNUMBER(C363),B363&gt;0),C363/B363,"")</f>
        <v/>
      </c>
      <c r="F363" s="4">
        <f>IF(AND(ISNUMBER(B363),ISNUMBER(D363),D363&gt;0),100*B363/D363,"")</f>
        <v/>
      </c>
    </row>
    <row r="364">
      <c r="A364" s="3" t="inlineStr">
        <is>
          <t>46085</t>
        </is>
      </c>
      <c r="B364" s="3" t="n">
        <v>6</v>
      </c>
      <c r="C364" s="3" t="n"/>
      <c r="D364" s="3" t="n">
        <v>3797.503172</v>
      </c>
      <c r="E364" s="4">
        <f>IF(AND(ISNUMBER(B364),ISNUMBER(C364),B364&gt;0),C364/B364,"")</f>
        <v/>
      </c>
      <c r="F364" s="4">
        <f>IF(AND(ISNUMBER(B364),ISNUMBER(D364),D364&gt;0),100*B364/D364,"")</f>
        <v/>
      </c>
    </row>
    <row r="365">
      <c r="A365" s="3" t="inlineStr">
        <is>
          <t>46086</t>
        </is>
      </c>
      <c r="B365" s="3" t="n">
        <v>2</v>
      </c>
      <c r="C365" s="3" t="n">
        <v>2</v>
      </c>
      <c r="D365" s="3" t="n">
        <v>83.00132802</v>
      </c>
      <c r="E365" s="4">
        <f>IF(AND(ISNUMBER(B365),ISNUMBER(C365),B365&gt;0),C365/B365,"")</f>
        <v/>
      </c>
      <c r="F365" s="4">
        <f>IF(AND(ISNUMBER(B365),ISNUMBER(D365),D365&gt;0),100*B365/D365,"")</f>
        <v/>
      </c>
    </row>
    <row r="366">
      <c r="A366" s="3" t="inlineStr">
        <is>
          <t>46087</t>
        </is>
      </c>
      <c r="B366" s="3" t="n">
        <v>7</v>
      </c>
      <c r="C366" s="3" t="n">
        <v>1</v>
      </c>
      <c r="D366" s="3" t="n">
        <v>317.9939127</v>
      </c>
      <c r="E366" s="4">
        <f>IF(AND(ISNUMBER(B366),ISNUMBER(C366),B366&gt;0),C366/B366,"")</f>
        <v/>
      </c>
      <c r="F366" s="4">
        <f>IF(AND(ISNUMBER(B366),ISNUMBER(D366),D366&gt;0),100*B366/D366,"")</f>
        <v/>
      </c>
    </row>
    <row r="367">
      <c r="A367" s="3" t="inlineStr">
        <is>
          <t>46088</t>
        </is>
      </c>
      <c r="B367" s="3" t="n">
        <v>1</v>
      </c>
      <c r="C367" s="3" t="n">
        <v>2</v>
      </c>
      <c r="D367" s="3" t="n">
        <v>541.1255411</v>
      </c>
      <c r="E367" s="4">
        <f>IF(AND(ISNUMBER(B367),ISNUMBER(C367),B367&gt;0),C367/B367,"")</f>
        <v/>
      </c>
      <c r="F367" s="4">
        <f>IF(AND(ISNUMBER(B367),ISNUMBER(D367),D367&gt;0),100*B367/D367,"")</f>
        <v/>
      </c>
    </row>
    <row r="368">
      <c r="A368" s="3" t="inlineStr">
        <is>
          <t>46089</t>
        </is>
      </c>
      <c r="B368" s="3" t="n">
        <v>3</v>
      </c>
      <c r="C368" s="3" t="n">
        <v>7</v>
      </c>
      <c r="D368" s="3" t="n">
        <v>633.0449462</v>
      </c>
      <c r="E368" s="4">
        <f>IF(AND(ISNUMBER(B368),ISNUMBER(C368),B368&gt;0),C368/B368,"")</f>
        <v/>
      </c>
      <c r="F368" s="4">
        <f>IF(AND(ISNUMBER(B368),ISNUMBER(D368),D368&gt;0),100*B368/D368,"")</f>
        <v/>
      </c>
    </row>
    <row r="369">
      <c r="A369" s="3" t="inlineStr">
        <is>
          <t>46090</t>
        </is>
      </c>
      <c r="B369" s="3" t="n">
        <v>3</v>
      </c>
      <c r="C369" s="3" t="n">
        <v>2</v>
      </c>
      <c r="D369" s="3" t="n">
        <v>1315.212626</v>
      </c>
      <c r="E369" s="4">
        <f>IF(AND(ISNUMBER(B369),ISNUMBER(C369),B369&gt;0),C369/B369,"")</f>
        <v/>
      </c>
      <c r="F369" s="4">
        <f>IF(AND(ISNUMBER(B369),ISNUMBER(D369),D369&gt;0),100*B369/D369,"")</f>
        <v/>
      </c>
    </row>
    <row r="370">
      <c r="A370" s="3" t="inlineStr">
        <is>
          <t>46091</t>
        </is>
      </c>
      <c r="B370" s="3" t="n">
        <v>1</v>
      </c>
      <c r="C370" s="3" t="n">
        <v>2</v>
      </c>
      <c r="D370" s="3" t="n">
        <v>101.999184</v>
      </c>
      <c r="E370" s="4">
        <f>IF(AND(ISNUMBER(B370),ISNUMBER(C370),B370&gt;0),C370/B370,"")</f>
        <v/>
      </c>
      <c r="F370" s="4">
        <f>IF(AND(ISNUMBER(B370),ISNUMBER(D370),D370&gt;0),100*B370/D370,"")</f>
        <v/>
      </c>
    </row>
    <row r="371">
      <c r="A371" s="3" t="inlineStr">
        <is>
          <t>46092</t>
        </is>
      </c>
      <c r="B371" s="3" t="n">
        <v>14</v>
      </c>
      <c r="C371" s="3" t="n">
        <v>6</v>
      </c>
      <c r="D371" s="3" t="n">
        <v>800</v>
      </c>
      <c r="E371" s="4">
        <f>IF(AND(ISNUMBER(B371),ISNUMBER(C371),B371&gt;0),C371/B371,"")</f>
        <v/>
      </c>
      <c r="F371" s="4">
        <f>IF(AND(ISNUMBER(B371),ISNUMBER(D371),D371&gt;0),100*B371/D371,"")</f>
        <v/>
      </c>
    </row>
    <row r="372">
      <c r="A372" s="3" t="inlineStr">
        <is>
          <t>46093</t>
        </is>
      </c>
      <c r="B372" s="3" t="n">
        <v>8</v>
      </c>
      <c r="C372" s="3" t="n">
        <v>11</v>
      </c>
      <c r="D372" s="3" t="n">
        <v>2131.087446</v>
      </c>
      <c r="E372" s="4">
        <f>IF(AND(ISNUMBER(B372),ISNUMBER(C372),B372&gt;0),C372/B372,"")</f>
        <v/>
      </c>
      <c r="F372" s="4">
        <f>IF(AND(ISNUMBER(B372),ISNUMBER(D372),D372&gt;0),100*B372/D372,"")</f>
        <v/>
      </c>
    </row>
    <row r="373">
      <c r="A373" s="3" t="inlineStr">
        <is>
          <t>46094</t>
        </is>
      </c>
      <c r="B373" s="3" t="n">
        <v>21</v>
      </c>
      <c r="C373" s="3" t="n">
        <v>23</v>
      </c>
      <c r="D373" s="3" t="n">
        <v>9274.089497000001</v>
      </c>
      <c r="E373" s="4">
        <f>IF(AND(ISNUMBER(B373),ISNUMBER(C373),B373&gt;0),C373/B373,"")</f>
        <v/>
      </c>
      <c r="F373" s="4">
        <f>IF(AND(ISNUMBER(B373),ISNUMBER(D373),D373&gt;0),100*B373/D373,"")</f>
        <v/>
      </c>
    </row>
    <row r="374">
      <c r="A374" s="3" t="inlineStr">
        <is>
          <t>46095</t>
        </is>
      </c>
      <c r="B374" s="3" t="n">
        <v>5</v>
      </c>
      <c r="C374" s="3" t="n">
        <v>6</v>
      </c>
      <c r="D374" s="3" t="n">
        <v>670.9608158999999</v>
      </c>
      <c r="E374" s="4">
        <f>IF(AND(ISNUMBER(B374),ISNUMBER(C374),B374&gt;0),C374/B374,"")</f>
        <v/>
      </c>
      <c r="F374" s="4">
        <f>IF(AND(ISNUMBER(B374),ISNUMBER(D374),D374&gt;0),100*B374/D374,"")</f>
        <v/>
      </c>
    </row>
    <row r="375">
      <c r="A375" s="3" t="inlineStr">
        <is>
          <t>46096</t>
        </is>
      </c>
      <c r="B375" s="3" t="n">
        <v>0</v>
      </c>
      <c r="C375" s="3" t="n"/>
      <c r="D375" s="3" t="n"/>
      <c r="E375" s="4">
        <f>IF(AND(ISNUMBER(B375),ISNUMBER(C375),B375&gt;0),C375/B375,"")</f>
        <v/>
      </c>
      <c r="F375" s="4">
        <f>IF(AND(ISNUMBER(B375),ISNUMBER(D375),D375&gt;0),100*B375/D375,"")</f>
        <v/>
      </c>
    </row>
    <row r="376">
      <c r="A376" s="3" t="inlineStr">
        <is>
          <t>46097</t>
        </is>
      </c>
      <c r="B376" s="3" t="n">
        <v>3</v>
      </c>
      <c r="C376" s="3" t="n">
        <v>5</v>
      </c>
      <c r="D376" s="3" t="n">
        <v>692.0415225</v>
      </c>
      <c r="E376" s="4">
        <f>IF(AND(ISNUMBER(B376),ISNUMBER(C376),B376&gt;0),C376/B376,"")</f>
        <v/>
      </c>
      <c r="F376" s="4">
        <f>IF(AND(ISNUMBER(B376),ISNUMBER(D376),D376&gt;0),100*B376/D376,"")</f>
        <v/>
      </c>
    </row>
    <row r="377">
      <c r="A377" s="3" t="inlineStr">
        <is>
          <t>46098</t>
        </is>
      </c>
      <c r="B377" s="3" t="n">
        <v>15</v>
      </c>
      <c r="C377" s="3" t="n">
        <v>10</v>
      </c>
      <c r="D377" s="3" t="n">
        <v>2198.088333</v>
      </c>
      <c r="E377" s="4">
        <f>IF(AND(ISNUMBER(B377),ISNUMBER(C377),B377&gt;0),C377/B377,"")</f>
        <v/>
      </c>
      <c r="F377" s="4">
        <f>IF(AND(ISNUMBER(B377),ISNUMBER(D377),D377&gt;0),100*B377/D377,"")</f>
        <v/>
      </c>
    </row>
    <row r="378">
      <c r="A378" s="3" t="inlineStr">
        <is>
          <t>46099</t>
        </is>
      </c>
      <c r="B378" s="3" t="n">
        <v>7</v>
      </c>
      <c r="C378" s="3" t="n">
        <v>4</v>
      </c>
      <c r="D378" s="3" t="n">
        <v>919.9632015</v>
      </c>
      <c r="E378" s="4">
        <f>IF(AND(ISNUMBER(B378),ISNUMBER(C378),B378&gt;0),C378/B378,"")</f>
        <v/>
      </c>
      <c r="F378" s="4">
        <f>IF(AND(ISNUMBER(B378),ISNUMBER(D378),D378&gt;0),100*B378/D378,"")</f>
        <v/>
      </c>
    </row>
    <row r="379">
      <c r="A379" s="3" t="inlineStr">
        <is>
          <t>46100</t>
        </is>
      </c>
      <c r="B379" s="3" t="n">
        <v>0</v>
      </c>
      <c r="C379" s="3" t="n"/>
      <c r="D379" s="3" t="n"/>
      <c r="E379" s="4">
        <f>IF(AND(ISNUMBER(B379),ISNUMBER(C379),B379&gt;0),C379/B379,"")</f>
        <v/>
      </c>
      <c r="F379" s="4">
        <f>IF(AND(ISNUMBER(B379),ISNUMBER(D379),D379&gt;0),100*B379/D379,"")</f>
        <v/>
      </c>
    </row>
    <row r="380">
      <c r="A380" s="3" t="inlineStr">
        <is>
          <t>46101</t>
        </is>
      </c>
      <c r="B380" s="3" t="n">
        <v>2</v>
      </c>
      <c r="C380" s="3" t="n">
        <v>1</v>
      </c>
      <c r="D380" s="3" t="n">
        <v>628.9308176</v>
      </c>
      <c r="E380" s="4">
        <f>IF(AND(ISNUMBER(B380),ISNUMBER(C380),B380&gt;0),C380/B380,"")</f>
        <v/>
      </c>
      <c r="F380" s="4">
        <f>IF(AND(ISNUMBER(B380),ISNUMBER(D380),D380&gt;0),100*B380/D380,"")</f>
        <v/>
      </c>
    </row>
    <row r="381">
      <c r="A381" s="3" t="inlineStr">
        <is>
          <t>46102</t>
        </is>
      </c>
      <c r="B381" s="3" t="n">
        <v>4</v>
      </c>
      <c r="C381" s="3" t="n">
        <v>10</v>
      </c>
      <c r="D381" s="3" t="n">
        <v>2149.959861</v>
      </c>
      <c r="E381" s="4">
        <f>IF(AND(ISNUMBER(B381),ISNUMBER(C381),B381&gt;0),C381/B381,"")</f>
        <v/>
      </c>
      <c r="F381" s="4">
        <f>IF(AND(ISNUMBER(B381),ISNUMBER(D381),D381&gt;0),100*B381/D381,"")</f>
        <v/>
      </c>
    </row>
    <row r="382">
      <c r="A382" s="3" t="inlineStr">
        <is>
          <t>46103</t>
        </is>
      </c>
      <c r="B382" s="3" t="n">
        <v>0</v>
      </c>
      <c r="C382" s="3" t="n"/>
      <c r="D382" s="3" t="n"/>
      <c r="E382" s="4">
        <f>IF(AND(ISNUMBER(B382),ISNUMBER(C382),B382&gt;0),C382/B382,"")</f>
        <v/>
      </c>
      <c r="F382" s="4">
        <f>IF(AND(ISNUMBER(B382),ISNUMBER(D382),D382&gt;0),100*B382/D382,"")</f>
        <v/>
      </c>
    </row>
    <row r="383">
      <c r="A383" s="3" t="inlineStr">
        <is>
          <t>46104</t>
        </is>
      </c>
      <c r="B383" s="3" t="n">
        <v>0</v>
      </c>
      <c r="C383" s="3" t="n"/>
      <c r="D383" s="3" t="n"/>
      <c r="E383" s="4">
        <f>IF(AND(ISNUMBER(B383),ISNUMBER(C383),B383&gt;0),C383/B383,"")</f>
        <v/>
      </c>
      <c r="F383" s="4">
        <f>IF(AND(ISNUMBER(B383),ISNUMBER(D383),D383&gt;0),100*B383/D383,"")</f>
        <v/>
      </c>
    </row>
    <row r="384">
      <c r="A384" s="3" t="inlineStr">
        <is>
          <t>46105</t>
        </is>
      </c>
      <c r="B384" s="3" t="n">
        <v>756</v>
      </c>
      <c r="C384" s="3" t="n">
        <v>1445</v>
      </c>
      <c r="D384" s="3" t="n">
        <v>28488.22805</v>
      </c>
      <c r="E384" s="4">
        <f>IF(AND(ISNUMBER(B384),ISNUMBER(C384),B384&gt;0),C384/B384,"")</f>
        <v/>
      </c>
      <c r="F384" s="4">
        <f>IF(AND(ISNUMBER(B384),ISNUMBER(D384),D384&gt;0),100*B384/D384,"")</f>
        <v/>
      </c>
    </row>
    <row r="385">
      <c r="A385" s="3" t="inlineStr">
        <is>
          <t>46106</t>
        </is>
      </c>
      <c r="B385" s="3" t="n">
        <v>11</v>
      </c>
      <c r="C385" s="3" t="n">
        <v>11</v>
      </c>
      <c r="D385" s="3" t="n">
        <v>2328.214975</v>
      </c>
      <c r="E385" s="4">
        <f>IF(AND(ISNUMBER(B385),ISNUMBER(C385),B385&gt;0),C385/B385,"")</f>
        <v/>
      </c>
      <c r="F385" s="4">
        <f>IF(AND(ISNUMBER(B385),ISNUMBER(D385),D385&gt;0),100*B385/D385,"")</f>
        <v/>
      </c>
    </row>
    <row r="386">
      <c r="A386" s="3" t="inlineStr">
        <is>
          <t>46107</t>
        </is>
      </c>
      <c r="B386" s="3" t="n">
        <v>21</v>
      </c>
      <c r="C386" s="3" t="n">
        <v>15</v>
      </c>
      <c r="D386" s="3" t="n">
        <v>2026.967574</v>
      </c>
      <c r="E386" s="4">
        <f>IF(AND(ISNUMBER(B386),ISNUMBER(C386),B386&gt;0),C386/B386,"")</f>
        <v/>
      </c>
      <c r="F386" s="4">
        <f>IF(AND(ISNUMBER(B386),ISNUMBER(D386),D386&gt;0),100*B386/D386,"")</f>
        <v/>
      </c>
    </row>
    <row r="387">
      <c r="A387" s="3" t="inlineStr">
        <is>
          <t>46108</t>
        </is>
      </c>
      <c r="B387" s="3" t="n">
        <v>4</v>
      </c>
      <c r="C387" s="3" t="n">
        <v>2</v>
      </c>
      <c r="D387" s="3" t="n">
        <v>631.0143556</v>
      </c>
      <c r="E387" s="4">
        <f>IF(AND(ISNUMBER(B387),ISNUMBER(C387),B387&gt;0),C387/B387,"")</f>
        <v/>
      </c>
      <c r="F387" s="4">
        <f>IF(AND(ISNUMBER(B387),ISNUMBER(D387),D387&gt;0),100*B387/D387,"")</f>
        <v/>
      </c>
    </row>
    <row r="388">
      <c r="A388" s="3" t="inlineStr">
        <is>
          <t>46109</t>
        </is>
      </c>
      <c r="B388" s="3" t="n">
        <v>12</v>
      </c>
      <c r="C388" s="3" t="n">
        <v>6</v>
      </c>
      <c r="D388" s="3" t="n">
        <v>3629.522685</v>
      </c>
      <c r="E388" s="4">
        <f>IF(AND(ISNUMBER(B388),ISNUMBER(C388),B388&gt;0),C388/B388,"")</f>
        <v/>
      </c>
      <c r="F388" s="4">
        <f>IF(AND(ISNUMBER(B388),ISNUMBER(D388),D388&gt;0),100*B388/D388,"")</f>
        <v/>
      </c>
    </row>
    <row r="389">
      <c r="A389" s="3" t="inlineStr">
        <is>
          <t>46110</t>
        </is>
      </c>
      <c r="B389" s="3" t="n">
        <v>9</v>
      </c>
      <c r="C389" s="3" t="n"/>
      <c r="D389" s="3" t="n">
        <v>5119.562661</v>
      </c>
      <c r="E389" s="4">
        <f>IF(AND(ISNUMBER(B389),ISNUMBER(C389),B389&gt;0),C389/B389,"")</f>
        <v/>
      </c>
      <c r="F389" s="4">
        <f>IF(AND(ISNUMBER(B389),ISNUMBER(D389),D389&gt;0),100*B389/D389,"")</f>
        <v/>
      </c>
    </row>
    <row r="390">
      <c r="A390" s="3" t="inlineStr">
        <is>
          <t>46111</t>
        </is>
      </c>
      <c r="B390" s="3" t="n">
        <v>39</v>
      </c>
      <c r="C390" s="3" t="n">
        <v>40</v>
      </c>
      <c r="D390" s="3" t="n">
        <v>9200.246386000001</v>
      </c>
      <c r="E390" s="4">
        <f>IF(AND(ISNUMBER(B390),ISNUMBER(C390),B390&gt;0),C390/B390,"")</f>
        <v/>
      </c>
      <c r="F390" s="4">
        <f>IF(AND(ISNUMBER(B390),ISNUMBER(D390),D390&gt;0),100*B390/D390,"")</f>
        <v/>
      </c>
    </row>
    <row r="391">
      <c r="A391" s="3" t="inlineStr">
        <is>
          <t>46112</t>
        </is>
      </c>
      <c r="B391" s="3" t="n">
        <v>58</v>
      </c>
      <c r="C391" s="3" t="n">
        <v>52</v>
      </c>
      <c r="D391" s="3" t="n">
        <v>865.9947742000001</v>
      </c>
      <c r="E391" s="4">
        <f>IF(AND(ISNUMBER(B391),ISNUMBER(C391),B391&gt;0),C391/B391,"")</f>
        <v/>
      </c>
      <c r="F391" s="4">
        <f>IF(AND(ISNUMBER(B391),ISNUMBER(D391),D391&gt;0),100*B391/D391,"")</f>
        <v/>
      </c>
    </row>
    <row r="392">
      <c r="A392" s="3" t="inlineStr">
        <is>
          <t>46113</t>
        </is>
      </c>
      <c r="B392" s="3" t="n">
        <v>108</v>
      </c>
      <c r="C392" s="3" t="n">
        <v>424</v>
      </c>
      <c r="D392" s="3" t="n">
        <v>5983.979183</v>
      </c>
      <c r="E392" s="4">
        <f>IF(AND(ISNUMBER(B392),ISNUMBER(C392),B392&gt;0),C392/B392,"")</f>
        <v/>
      </c>
      <c r="F392" s="4">
        <f>IF(AND(ISNUMBER(B392),ISNUMBER(D392),D392&gt;0),100*B392/D392,"")</f>
        <v/>
      </c>
    </row>
    <row r="393">
      <c r="A393" s="3" t="inlineStr">
        <is>
          <t>46114</t>
        </is>
      </c>
      <c r="B393" s="3" t="n">
        <v>0</v>
      </c>
      <c r="C393" s="3" t="n"/>
      <c r="D393" s="3" t="n"/>
      <c r="E393" s="4">
        <f>IF(AND(ISNUMBER(B393),ISNUMBER(C393),B393&gt;0),C393/B393,"")</f>
        <v/>
      </c>
      <c r="F393" s="4">
        <f>IF(AND(ISNUMBER(B393),ISNUMBER(D393),D393&gt;0),100*B393/D393,"")</f>
        <v/>
      </c>
    </row>
    <row r="394">
      <c r="A394" s="3" t="inlineStr">
        <is>
          <t>46115</t>
        </is>
      </c>
      <c r="B394" s="3" t="n">
        <v>1</v>
      </c>
      <c r="C394" s="3" t="n">
        <v>1</v>
      </c>
      <c r="D394" s="3" t="n">
        <v>465.9832246</v>
      </c>
      <c r="E394" s="4">
        <f>IF(AND(ISNUMBER(B394),ISNUMBER(C394),B394&gt;0),C394/B394,"")</f>
        <v/>
      </c>
      <c r="F394" s="4">
        <f>IF(AND(ISNUMBER(B394),ISNUMBER(D394),D394&gt;0),100*B394/D394,"")</f>
        <v/>
      </c>
    </row>
    <row r="395">
      <c r="A395" s="3" t="inlineStr">
        <is>
          <t>46116</t>
        </is>
      </c>
      <c r="B395" s="3" t="n">
        <v>46</v>
      </c>
      <c r="C395" s="3" t="n">
        <v>48</v>
      </c>
      <c r="D395" s="3" t="n">
        <v>7913.940069</v>
      </c>
      <c r="E395" s="4">
        <f>IF(AND(ISNUMBER(B395),ISNUMBER(C395),B395&gt;0),C395/B395,"")</f>
        <v/>
      </c>
      <c r="F395" s="4">
        <f>IF(AND(ISNUMBER(B395),ISNUMBER(D395),D395&gt;0),100*B395/D395,"")</f>
        <v/>
      </c>
    </row>
    <row r="396">
      <c r="A396" s="3" t="inlineStr">
        <is>
          <t>46117</t>
        </is>
      </c>
      <c r="B396" s="3" t="n">
        <v>0</v>
      </c>
      <c r="C396" s="3" t="n">
        <v>1</v>
      </c>
      <c r="D396" s="3" t="n"/>
      <c r="E396" s="4">
        <f>IF(AND(ISNUMBER(B396),ISNUMBER(C396),B396&gt;0),C396/B396,"")</f>
        <v/>
      </c>
      <c r="F396" s="4">
        <f>IF(AND(ISNUMBER(B396),ISNUMBER(D396),D396&gt;0),100*B396/D396,"")</f>
        <v/>
      </c>
    </row>
    <row r="397">
      <c r="A397" s="3" t="inlineStr">
        <is>
          <t>46118</t>
        </is>
      </c>
      <c r="B397" s="3" t="n">
        <v>21</v>
      </c>
      <c r="C397" s="3" t="n">
        <v>10</v>
      </c>
      <c r="D397" s="3" t="n">
        <v>3694.049424</v>
      </c>
      <c r="E397" s="4">
        <f>IF(AND(ISNUMBER(B397),ISNUMBER(C397),B397&gt;0),C397/B397,"")</f>
        <v/>
      </c>
      <c r="F397" s="4">
        <f>IF(AND(ISNUMBER(B397),ISNUMBER(D397),D397&gt;0),100*B397/D397,"")</f>
        <v/>
      </c>
    </row>
    <row r="398">
      <c r="A398" s="3" t="inlineStr">
        <is>
          <t>46119</t>
        </is>
      </c>
      <c r="B398" s="3" t="n">
        <v>1</v>
      </c>
      <c r="C398" s="3" t="n"/>
      <c r="D398" s="3" t="n">
        <v>618.8118812</v>
      </c>
      <c r="E398" s="4">
        <f>IF(AND(ISNUMBER(B398),ISNUMBER(C398),B398&gt;0),C398/B398,"")</f>
        <v/>
      </c>
      <c r="F398" s="4">
        <f>IF(AND(ISNUMBER(B398),ISNUMBER(D398),D398&gt;0),100*B398/D398,"")</f>
        <v/>
      </c>
    </row>
    <row r="399">
      <c r="A399" s="3" t="inlineStr">
        <is>
          <t>46120</t>
        </is>
      </c>
      <c r="B399" s="3" t="n">
        <v>5</v>
      </c>
      <c r="C399" s="3" t="n">
        <v>6</v>
      </c>
      <c r="D399" s="3" t="n">
        <v>1302.083333</v>
      </c>
      <c r="E399" s="4">
        <f>IF(AND(ISNUMBER(B399),ISNUMBER(C399),B399&gt;0),C399/B399,"")</f>
        <v/>
      </c>
      <c r="F399" s="4">
        <f>IF(AND(ISNUMBER(B399),ISNUMBER(D399),D399&gt;0),100*B399/D399,"")</f>
        <v/>
      </c>
    </row>
    <row r="400">
      <c r="A400" s="3" t="inlineStr">
        <is>
          <t>46121</t>
        </is>
      </c>
      <c r="B400" s="3" t="n">
        <v>1</v>
      </c>
      <c r="C400" s="3" t="n">
        <v>2</v>
      </c>
      <c r="D400" s="3" t="n">
        <v>88.999644</v>
      </c>
      <c r="E400" s="4">
        <f>IF(AND(ISNUMBER(B400),ISNUMBER(C400),B400&gt;0),C400/B400,"")</f>
        <v/>
      </c>
      <c r="F400" s="4">
        <f>IF(AND(ISNUMBER(B400),ISNUMBER(D400),D400&gt;0),100*B400/D400,"")</f>
        <v/>
      </c>
    </row>
    <row r="401">
      <c r="A401" s="3" t="inlineStr">
        <is>
          <t>46122</t>
        </is>
      </c>
      <c r="B401" s="3" t="n">
        <v>6</v>
      </c>
      <c r="C401" s="3" t="n">
        <v>6</v>
      </c>
      <c r="D401" s="3" t="n">
        <v>989.9356542</v>
      </c>
      <c r="E401" s="4">
        <f>IF(AND(ISNUMBER(B401),ISNUMBER(C401),B401&gt;0),C401/B401,"")</f>
        <v/>
      </c>
      <c r="F401" s="4">
        <f>IF(AND(ISNUMBER(B401),ISNUMBER(D401),D401&gt;0),100*B401/D401,"")</f>
        <v/>
      </c>
    </row>
    <row r="402">
      <c r="A402" s="3" t="inlineStr">
        <is>
          <t>46123</t>
        </is>
      </c>
      <c r="B402" s="3" t="n">
        <v>6</v>
      </c>
      <c r="C402" s="3" t="n">
        <v>9</v>
      </c>
      <c r="D402" s="3" t="n">
        <v>1546.79041</v>
      </c>
      <c r="E402" s="4">
        <f>IF(AND(ISNUMBER(B402),ISNUMBER(C402),B402&gt;0),C402/B402,"")</f>
        <v/>
      </c>
      <c r="F402" s="4">
        <f>IF(AND(ISNUMBER(B402),ISNUMBER(D402),D402&gt;0),100*B402/D402,"")</f>
        <v/>
      </c>
    </row>
    <row r="403">
      <c r="A403" s="3" t="inlineStr">
        <is>
          <t>46124</t>
        </is>
      </c>
      <c r="B403" s="3" t="n">
        <v>9</v>
      </c>
      <c r="C403" s="3" t="n">
        <v>7</v>
      </c>
      <c r="D403" s="3" t="n">
        <v>683.9945279999999</v>
      </c>
      <c r="E403" s="4">
        <f>IF(AND(ISNUMBER(B403),ISNUMBER(C403),B403&gt;0),C403/B403,"")</f>
        <v/>
      </c>
      <c r="F403" s="4">
        <f>IF(AND(ISNUMBER(B403),ISNUMBER(D403),D403&gt;0),100*B403/D403,"")</f>
        <v/>
      </c>
    </row>
    <row r="404">
      <c r="A404" s="3" t="inlineStr">
        <is>
          <t>46125</t>
        </is>
      </c>
      <c r="B404" s="3" t="n">
        <v>1</v>
      </c>
      <c r="C404" s="3" t="n">
        <v>4</v>
      </c>
      <c r="D404" s="3" t="n">
        <v>573.0659026</v>
      </c>
      <c r="E404" s="4">
        <f>IF(AND(ISNUMBER(B404),ISNUMBER(C404),B404&gt;0),C404/B404,"")</f>
        <v/>
      </c>
      <c r="F404" s="4">
        <f>IF(AND(ISNUMBER(B404),ISNUMBER(D404),D404&gt;0),100*B404/D404,"")</f>
        <v/>
      </c>
    </row>
    <row r="405">
      <c r="A405" s="3" t="inlineStr">
        <is>
          <t>46126</t>
        </is>
      </c>
      <c r="B405" s="3" t="n">
        <v>3</v>
      </c>
      <c r="C405" s="3" t="n">
        <v>4</v>
      </c>
      <c r="D405" s="3" t="n">
        <v>985.016478</v>
      </c>
      <c r="E405" s="4">
        <f>IF(AND(ISNUMBER(B405),ISNUMBER(C405),B405&gt;0),C405/B405,"")</f>
        <v/>
      </c>
      <c r="F405" s="4">
        <f>IF(AND(ISNUMBER(B405),ISNUMBER(D405),D405&gt;0),100*B405/D405,"")</f>
        <v/>
      </c>
    </row>
    <row r="406">
      <c r="A406" s="3" t="inlineStr">
        <is>
          <t>46127</t>
        </is>
      </c>
      <c r="B406" s="3" t="n">
        <v>29</v>
      </c>
      <c r="C406" s="3" t="n">
        <v>41</v>
      </c>
      <c r="D406" s="3" t="n">
        <v>2532.373325</v>
      </c>
      <c r="E406" s="4">
        <f>IF(AND(ISNUMBER(B406),ISNUMBER(C406),B406&gt;0),C406/B406,"")</f>
        <v/>
      </c>
      <c r="F406" s="4">
        <f>IF(AND(ISNUMBER(B406),ISNUMBER(D406),D406&gt;0),100*B406/D406,"")</f>
        <v/>
      </c>
    </row>
    <row r="407">
      <c r="A407" s="3" t="inlineStr">
        <is>
          <t>46128</t>
        </is>
      </c>
      <c r="B407" s="3" t="n">
        <v>1</v>
      </c>
      <c r="C407" s="3" t="n">
        <v>2</v>
      </c>
      <c r="D407" s="3" t="n">
        <v>850.3401361</v>
      </c>
      <c r="E407" s="4">
        <f>IF(AND(ISNUMBER(B407),ISNUMBER(C407),B407&gt;0),C407/B407,"")</f>
        <v/>
      </c>
      <c r="F407" s="4">
        <f>IF(AND(ISNUMBER(B407),ISNUMBER(D407),D407&gt;0),100*B407/D407,"")</f>
        <v/>
      </c>
    </row>
    <row r="408">
      <c r="A408" s="3" t="inlineStr">
        <is>
          <t>46129</t>
        </is>
      </c>
      <c r="B408" s="3" t="n">
        <v>2</v>
      </c>
      <c r="C408" s="3" t="n">
        <v>1</v>
      </c>
      <c r="D408" s="3" t="n">
        <v>523.9717055</v>
      </c>
      <c r="E408" s="4">
        <f>IF(AND(ISNUMBER(B408),ISNUMBER(C408),B408&gt;0),C408/B408,"")</f>
        <v/>
      </c>
      <c r="F408" s="4">
        <f>IF(AND(ISNUMBER(B408),ISNUMBER(D408),D408&gt;0),100*B408/D408,"")</f>
        <v/>
      </c>
    </row>
    <row r="409">
      <c r="A409" s="3" t="inlineStr">
        <is>
          <t>46130</t>
        </is>
      </c>
      <c r="B409" s="3" t="n">
        <v>0</v>
      </c>
      <c r="C409" s="3" t="n"/>
      <c r="D409" s="3" t="n"/>
      <c r="E409" s="4">
        <f>IF(AND(ISNUMBER(B409),ISNUMBER(C409),B409&gt;0),C409/B409,"")</f>
        <v/>
      </c>
      <c r="F409" s="4">
        <f>IF(AND(ISNUMBER(B409),ISNUMBER(D409),D409&gt;0),100*B409/D409,"")</f>
        <v/>
      </c>
    </row>
    <row r="410">
      <c r="A410" s="3" t="inlineStr">
        <is>
          <t>46131</t>
        </is>
      </c>
      <c r="B410" s="3" t="n">
        <v>1321</v>
      </c>
      <c r="C410" s="3" t="n">
        <v>2963</v>
      </c>
      <c r="D410" s="3" t="n">
        <v>51695.21475</v>
      </c>
      <c r="E410" s="4">
        <f>IF(AND(ISNUMBER(B410),ISNUMBER(C410),B410&gt;0),C410/B410,"")</f>
        <v/>
      </c>
      <c r="F410" s="4">
        <f>IF(AND(ISNUMBER(B410),ISNUMBER(D410),D410&gt;0),100*B410/D410,"")</f>
        <v/>
      </c>
    </row>
    <row r="411">
      <c r="A411" s="3" t="inlineStr">
        <is>
          <t>46132</t>
        </is>
      </c>
      <c r="B411" s="3" t="n">
        <v>2</v>
      </c>
      <c r="C411" s="3" t="n">
        <v>4</v>
      </c>
      <c r="D411" s="3" t="n">
        <v>1015.228426</v>
      </c>
      <c r="E411" s="4">
        <f>IF(AND(ISNUMBER(B411),ISNUMBER(C411),B411&gt;0),C411/B411,"")</f>
        <v/>
      </c>
      <c r="F411" s="4">
        <f>IF(AND(ISNUMBER(B411),ISNUMBER(D411),D411&gt;0),100*B411/D411,"")</f>
        <v/>
      </c>
    </row>
    <row r="412">
      <c r="A412" s="3" t="inlineStr">
        <is>
          <t>46133</t>
        </is>
      </c>
      <c r="B412" s="3" t="n">
        <v>3</v>
      </c>
      <c r="C412" s="3" t="n">
        <v>2</v>
      </c>
      <c r="D412" s="3" t="n">
        <v>782.0646507</v>
      </c>
      <c r="E412" s="4">
        <f>IF(AND(ISNUMBER(B412),ISNUMBER(C412),B412&gt;0),C412/B412,"")</f>
        <v/>
      </c>
      <c r="F412" s="4">
        <f>IF(AND(ISNUMBER(B412),ISNUMBER(D412),D412&gt;0),100*B412/D412,"")</f>
        <v/>
      </c>
    </row>
    <row r="413">
      <c r="A413" s="3" t="inlineStr">
        <is>
          <t>46134</t>
        </is>
      </c>
      <c r="B413" s="3" t="n">
        <v>9</v>
      </c>
      <c r="C413" s="3" t="n">
        <v>10</v>
      </c>
      <c r="D413" s="3" t="n">
        <v>2524.056844</v>
      </c>
      <c r="E413" s="4">
        <f>IF(AND(ISNUMBER(B413),ISNUMBER(C413),B413&gt;0),C413/B413,"")</f>
        <v/>
      </c>
      <c r="F413" s="4">
        <f>IF(AND(ISNUMBER(B413),ISNUMBER(D413),D413&gt;0),100*B413/D413,"")</f>
        <v/>
      </c>
    </row>
    <row r="414">
      <c r="A414" s="3" t="inlineStr">
        <is>
          <t>46135</t>
        </is>
      </c>
      <c r="B414" s="3" t="n">
        <v>19</v>
      </c>
      <c r="C414" s="3" t="n">
        <v>13</v>
      </c>
      <c r="D414" s="3" t="n">
        <v>5175.279801</v>
      </c>
      <c r="E414" s="4">
        <f>IF(AND(ISNUMBER(B414),ISNUMBER(C414),B414&gt;0),C414/B414,"")</f>
        <v/>
      </c>
      <c r="F414" s="4">
        <f>IF(AND(ISNUMBER(B414),ISNUMBER(D414),D414&gt;0),100*B414/D414,"")</f>
        <v/>
      </c>
    </row>
    <row r="415">
      <c r="A415" s="3" t="inlineStr">
        <is>
          <t>46136</t>
        </is>
      </c>
      <c r="B415" s="3" t="n">
        <v>14</v>
      </c>
      <c r="C415" s="3" t="n">
        <v>4</v>
      </c>
      <c r="D415" s="3" t="n">
        <v>3230.451055</v>
      </c>
      <c r="E415" s="4">
        <f>IF(AND(ISNUMBER(B415),ISNUMBER(C415),B415&gt;0),C415/B415,"")</f>
        <v/>
      </c>
      <c r="F415" s="4">
        <f>IF(AND(ISNUMBER(B415),ISNUMBER(D415),D415&gt;0),100*B415/D415,"")</f>
        <v/>
      </c>
    </row>
    <row r="416">
      <c r="A416" s="3" t="inlineStr">
        <is>
          <t>46137</t>
        </is>
      </c>
      <c r="B416" s="3" t="n">
        <v>0</v>
      </c>
      <c r="C416" s="3" t="n"/>
      <c r="D416" s="3" t="n"/>
      <c r="E416" s="4">
        <f>IF(AND(ISNUMBER(B416),ISNUMBER(C416),B416&gt;0),C416/B416,"")</f>
        <v/>
      </c>
      <c r="F416" s="4">
        <f>IF(AND(ISNUMBER(B416),ISNUMBER(D416),D416&gt;0),100*B416/D416,"")</f>
        <v/>
      </c>
    </row>
    <row r="417">
      <c r="A417" s="3" t="inlineStr">
        <is>
          <t>46138</t>
        </is>
      </c>
      <c r="B417" s="3" t="n">
        <v>0</v>
      </c>
      <c r="C417" s="3" t="n"/>
      <c r="D417" s="3" t="n"/>
      <c r="E417" s="4">
        <f>IF(AND(ISNUMBER(B417),ISNUMBER(C417),B417&gt;0),C417/B417,"")</f>
        <v/>
      </c>
      <c r="F417" s="4">
        <f>IF(AND(ISNUMBER(B417),ISNUMBER(D417),D417&gt;0),100*B417/D417,"")</f>
        <v/>
      </c>
    </row>
    <row r="418">
      <c r="A418" s="3" t="inlineStr">
        <is>
          <t>46139</t>
        </is>
      </c>
      <c r="B418" s="3" t="n">
        <v>1</v>
      </c>
      <c r="C418" s="3" t="n">
        <v>2</v>
      </c>
      <c r="D418" s="3" t="n">
        <v>1140.250855</v>
      </c>
      <c r="E418" s="4">
        <f>IF(AND(ISNUMBER(B418),ISNUMBER(C418),B418&gt;0),C418/B418,"")</f>
        <v/>
      </c>
      <c r="F418" s="4">
        <f>IF(AND(ISNUMBER(B418),ISNUMBER(D418),D418&gt;0),100*B418/D418,"")</f>
        <v/>
      </c>
    </row>
    <row r="419">
      <c r="A419" s="3" t="inlineStr">
        <is>
          <t>46140</t>
        </is>
      </c>
      <c r="B419" s="3" t="n">
        <v>10</v>
      </c>
      <c r="C419" s="3" t="n">
        <v>49</v>
      </c>
      <c r="D419" s="3" t="n">
        <v>1063.038163</v>
      </c>
      <c r="E419" s="4">
        <f>IF(AND(ISNUMBER(B419),ISNUMBER(C419),B419&gt;0),C419/B419,"")</f>
        <v/>
      </c>
      <c r="F419" s="4">
        <f>IF(AND(ISNUMBER(B419),ISNUMBER(D419),D419&gt;0),100*B419/D419,"")</f>
        <v/>
      </c>
    </row>
    <row r="420">
      <c r="A420" s="3" t="inlineStr">
        <is>
          <t>46141</t>
        </is>
      </c>
      <c r="B420" s="3" t="n">
        <v>2</v>
      </c>
      <c r="C420" s="3" t="n">
        <v>4</v>
      </c>
      <c r="D420" s="3" t="n">
        <v>552.9444291</v>
      </c>
      <c r="E420" s="4">
        <f>IF(AND(ISNUMBER(B420),ISNUMBER(C420),B420&gt;0),C420/B420,"")</f>
        <v/>
      </c>
      <c r="F420" s="4">
        <f>IF(AND(ISNUMBER(B420),ISNUMBER(D420),D420&gt;0),100*B420/D420,"")</f>
        <v/>
      </c>
    </row>
    <row r="421">
      <c r="A421" s="3" t="inlineStr">
        <is>
          <t>46142</t>
        </is>
      </c>
      <c r="B421" s="3" t="n">
        <v>5</v>
      </c>
      <c r="C421" s="3" t="n">
        <v>4</v>
      </c>
      <c r="D421" s="3" t="n">
        <v>908.9256499000001</v>
      </c>
      <c r="E421" s="4">
        <f>IF(AND(ISNUMBER(B421),ISNUMBER(C421),B421&gt;0),C421/B421,"")</f>
        <v/>
      </c>
      <c r="F421" s="4">
        <f>IF(AND(ISNUMBER(B421),ISNUMBER(D421),D421&gt;0),100*B421/D421,"")</f>
        <v/>
      </c>
    </row>
    <row r="422">
      <c r="A422" s="3" t="inlineStr">
        <is>
          <t>46143</t>
        </is>
      </c>
      <c r="B422" s="3" t="n">
        <v>192</v>
      </c>
      <c r="C422" s="3" t="n">
        <v>423</v>
      </c>
      <c r="D422" s="3" t="n">
        <v>6787.645549</v>
      </c>
      <c r="E422" s="4">
        <f>IF(AND(ISNUMBER(B422),ISNUMBER(C422),B422&gt;0),C422/B422,"")</f>
        <v/>
      </c>
      <c r="F422" s="4">
        <f>IF(AND(ISNUMBER(B422),ISNUMBER(D422),D422&gt;0),100*B422/D422,"")</f>
        <v/>
      </c>
    </row>
    <row r="423">
      <c r="A423" s="3" t="inlineStr">
        <is>
          <t>46144</t>
        </is>
      </c>
      <c r="B423" s="3" t="n">
        <v>2</v>
      </c>
      <c r="C423" s="3" t="n">
        <v>2</v>
      </c>
      <c r="D423" s="3" t="n">
        <v>929.8000929999999</v>
      </c>
      <c r="E423" s="4">
        <f>IF(AND(ISNUMBER(B423),ISNUMBER(C423),B423&gt;0),C423/B423,"")</f>
        <v/>
      </c>
      <c r="F423" s="4">
        <f>IF(AND(ISNUMBER(B423),ISNUMBER(D423),D423&gt;0),100*B423/D423,"")</f>
        <v/>
      </c>
    </row>
    <row r="424">
      <c r="A424" s="3" t="inlineStr">
        <is>
          <t>46145</t>
        </is>
      </c>
      <c r="B424" s="3" t="n">
        <v>51</v>
      </c>
      <c r="C424" s="3" t="n">
        <v>58</v>
      </c>
      <c r="D424" s="3" t="n">
        <v>11814.2925</v>
      </c>
      <c r="E424" s="4">
        <f>IF(AND(ISNUMBER(B424),ISNUMBER(C424),B424&gt;0),C424/B424,"")</f>
        <v/>
      </c>
      <c r="F424" s="4">
        <f>IF(AND(ISNUMBER(B424),ISNUMBER(D424),D424&gt;0),100*B424/D424,"")</f>
        <v/>
      </c>
    </row>
    <row r="425">
      <c r="A425" s="3" t="inlineStr">
        <is>
          <t>46146</t>
        </is>
      </c>
      <c r="B425" s="3" t="n">
        <v>16</v>
      </c>
      <c r="C425" s="3" t="n">
        <v>22</v>
      </c>
      <c r="D425" s="3" t="n">
        <v>1266.023105</v>
      </c>
      <c r="E425" s="4">
        <f>IF(AND(ISNUMBER(B425),ISNUMBER(C425),B425&gt;0),C425/B425,"")</f>
        <v/>
      </c>
      <c r="F425" s="4">
        <f>IF(AND(ISNUMBER(B425),ISNUMBER(D425),D425&gt;0),100*B425/D425,"")</f>
        <v/>
      </c>
    </row>
    <row r="426">
      <c r="A426" s="3" t="inlineStr">
        <is>
          <t>46147</t>
        </is>
      </c>
      <c r="B426" s="3" t="n">
        <v>39</v>
      </c>
      <c r="C426" s="3" t="n">
        <v>48</v>
      </c>
      <c r="D426" s="3" t="n">
        <v>12948.50905</v>
      </c>
      <c r="E426" s="4">
        <f>IF(AND(ISNUMBER(B426),ISNUMBER(C426),B426&gt;0),C426/B426,"")</f>
        <v/>
      </c>
      <c r="F426" s="4">
        <f>IF(AND(ISNUMBER(B426),ISNUMBER(D426),D426&gt;0),100*B426/D426,"")</f>
        <v/>
      </c>
    </row>
    <row r="427">
      <c r="A427" s="3" t="inlineStr">
        <is>
          <t>46148</t>
        </is>
      </c>
      <c r="B427" s="3" t="n">
        <v>3</v>
      </c>
      <c r="C427" s="3" t="n"/>
      <c r="D427" s="3" t="n">
        <v>1016.949153</v>
      </c>
      <c r="E427" s="4">
        <f>IF(AND(ISNUMBER(B427),ISNUMBER(C427),B427&gt;0),C427/B427,"")</f>
        <v/>
      </c>
      <c r="F427" s="4">
        <f>IF(AND(ISNUMBER(B427),ISNUMBER(D427),D427&gt;0),100*B427/D427,"")</f>
        <v/>
      </c>
    </row>
    <row r="428">
      <c r="A428" s="3" t="inlineStr">
        <is>
          <t>46149</t>
        </is>
      </c>
      <c r="B428" s="3" t="n">
        <v>20</v>
      </c>
      <c r="C428" s="3" t="n">
        <v>17</v>
      </c>
      <c r="D428" s="3" t="n">
        <v>487.9953152</v>
      </c>
      <c r="E428" s="4">
        <f>IF(AND(ISNUMBER(B428),ISNUMBER(C428),B428&gt;0),C428/B428,"")</f>
        <v/>
      </c>
      <c r="F428" s="4">
        <f>IF(AND(ISNUMBER(B428),ISNUMBER(D428),D428&gt;0),100*B428/D428,"")</f>
        <v/>
      </c>
    </row>
    <row r="429">
      <c r="A429" s="3" t="inlineStr">
        <is>
          <t>46150</t>
        </is>
      </c>
      <c r="B429" s="3" t="n">
        <v>6</v>
      </c>
      <c r="C429" s="3" t="n">
        <v>7</v>
      </c>
      <c r="D429" s="3" t="n">
        <v>565.9843411000001</v>
      </c>
      <c r="E429" s="4">
        <f>IF(AND(ISNUMBER(B429),ISNUMBER(C429),B429&gt;0),C429/B429,"")</f>
        <v/>
      </c>
      <c r="F429" s="4">
        <f>IF(AND(ISNUMBER(B429),ISNUMBER(D429),D429&gt;0),100*B429/D429,"")</f>
        <v/>
      </c>
    </row>
    <row r="430">
      <c r="A430" s="3" t="inlineStr">
        <is>
          <t>46151</t>
        </is>
      </c>
      <c r="B430" s="3" t="n">
        <v>0</v>
      </c>
      <c r="C430" s="3" t="n"/>
      <c r="D430" s="3" t="n"/>
      <c r="E430" s="4">
        <f>IF(AND(ISNUMBER(B430),ISNUMBER(C430),B430&gt;0),C430/B430,"")</f>
        <v/>
      </c>
      <c r="F430" s="4">
        <f>IF(AND(ISNUMBER(B430),ISNUMBER(D430),D430&gt;0),100*B430/D430,"")</f>
        <v/>
      </c>
    </row>
    <row r="431">
      <c r="A431" s="3" t="inlineStr">
        <is>
          <t>46152</t>
        </is>
      </c>
      <c r="B431" s="3" t="n">
        <v>0</v>
      </c>
      <c r="C431" s="3" t="n"/>
      <c r="D431" s="3" t="n"/>
      <c r="E431" s="4">
        <f>IF(AND(ISNUMBER(B431),ISNUMBER(C431),B431&gt;0),C431/B431,"")</f>
        <v/>
      </c>
      <c r="F431" s="4">
        <f>IF(AND(ISNUMBER(B431),ISNUMBER(D431),D431&gt;0),100*B431/D431,"")</f>
        <v/>
      </c>
    </row>
    <row r="432">
      <c r="A432" s="3" t="inlineStr">
        <is>
          <t>46153</t>
        </is>
      </c>
      <c r="B432" s="3" t="n">
        <v>0</v>
      </c>
      <c r="C432" s="3" t="n"/>
      <c r="D432" s="3" t="n"/>
      <c r="E432" s="4">
        <f>IF(AND(ISNUMBER(B432),ISNUMBER(C432),B432&gt;0),C432/B432,"")</f>
        <v/>
      </c>
      <c r="F432" s="4">
        <f>IF(AND(ISNUMBER(B432),ISNUMBER(D432),D432&gt;0),100*B432/D432,"")</f>
        <v/>
      </c>
    </row>
    <row r="433">
      <c r="A433" s="3" t="inlineStr">
        <is>
          <t>46154</t>
        </is>
      </c>
      <c r="B433" s="3" t="n">
        <v>5</v>
      </c>
      <c r="C433" s="3" t="n">
        <v>2</v>
      </c>
      <c r="D433" s="3" t="n">
        <v>607.0171179</v>
      </c>
      <c r="E433" s="4">
        <f>IF(AND(ISNUMBER(B433),ISNUMBER(C433),B433&gt;0),C433/B433,"")</f>
        <v/>
      </c>
      <c r="F433" s="4">
        <f>IF(AND(ISNUMBER(B433),ISNUMBER(D433),D433&gt;0),100*B433/D433,"")</f>
        <v/>
      </c>
    </row>
    <row r="434">
      <c r="A434" s="3" t="inlineStr">
        <is>
          <t>46155</t>
        </is>
      </c>
      <c r="B434" s="3" t="n">
        <v>8</v>
      </c>
      <c r="C434" s="3" t="n">
        <v>4</v>
      </c>
      <c r="D434" s="3" t="n">
        <v>1024.983985</v>
      </c>
      <c r="E434" s="4">
        <f>IF(AND(ISNUMBER(B434),ISNUMBER(C434),B434&gt;0),C434/B434,"")</f>
        <v/>
      </c>
      <c r="F434" s="4">
        <f>IF(AND(ISNUMBER(B434),ISNUMBER(D434),D434&gt;0),100*B434/D434,"")</f>
        <v/>
      </c>
    </row>
    <row r="435">
      <c r="A435" s="3" t="inlineStr">
        <is>
          <t>46156</t>
        </is>
      </c>
      <c r="B435" s="3" t="n">
        <v>6</v>
      </c>
      <c r="C435" s="3" t="n">
        <v>4</v>
      </c>
      <c r="D435" s="3" t="n">
        <v>1797.091674</v>
      </c>
      <c r="E435" s="4">
        <f>IF(AND(ISNUMBER(B435),ISNUMBER(C435),B435&gt;0),C435/B435,"")</f>
        <v/>
      </c>
      <c r="F435" s="4">
        <f>IF(AND(ISNUMBER(B435),ISNUMBER(D435),D435&gt;0),100*B435/D435,"")</f>
        <v/>
      </c>
    </row>
    <row r="436">
      <c r="A436" s="3" t="inlineStr">
        <is>
          <t>46157</t>
        </is>
      </c>
      <c r="B436" s="3" t="n">
        <v>0</v>
      </c>
      <c r="C436" s="3" t="n">
        <v>1</v>
      </c>
      <c r="D436" s="3" t="n"/>
      <c r="E436" s="4">
        <f>IF(AND(ISNUMBER(B436),ISNUMBER(C436),B436&gt;0),C436/B436,"")</f>
        <v/>
      </c>
      <c r="F436" s="4">
        <f>IF(AND(ISNUMBER(B436),ISNUMBER(D436),D436&gt;0),100*B436/D436,"")</f>
        <v/>
      </c>
    </row>
    <row r="437">
      <c r="A437" s="3" t="inlineStr">
        <is>
          <t>46158</t>
        </is>
      </c>
      <c r="B437" s="3" t="n">
        <v>18</v>
      </c>
      <c r="C437" s="3" t="n">
        <v>13</v>
      </c>
      <c r="D437" s="3" t="n">
        <v>1336.005344</v>
      </c>
      <c r="E437" s="4">
        <f>IF(AND(ISNUMBER(B437),ISNUMBER(C437),B437&gt;0),C437/B437,"")</f>
        <v/>
      </c>
      <c r="F437" s="4">
        <f>IF(AND(ISNUMBER(B437),ISNUMBER(D437),D437&gt;0),100*B437/D437,"")</f>
        <v/>
      </c>
    </row>
    <row r="438">
      <c r="A438" s="3" t="inlineStr">
        <is>
          <t>46159</t>
        </is>
      </c>
      <c r="B438" s="3" t="n">
        <v>30</v>
      </c>
      <c r="C438" s="3" t="n">
        <v>7</v>
      </c>
      <c r="D438" s="3" t="n">
        <v>5107.285781</v>
      </c>
      <c r="E438" s="4">
        <f>IF(AND(ISNUMBER(B438),ISNUMBER(C438),B438&gt;0),C438/B438,"")</f>
        <v/>
      </c>
      <c r="F438" s="4">
        <f>IF(AND(ISNUMBER(B438),ISNUMBER(D438),D438&gt;0),100*B438/D438,"")</f>
        <v/>
      </c>
    </row>
    <row r="439">
      <c r="A439" s="3" t="inlineStr">
        <is>
          <t>46160</t>
        </is>
      </c>
      <c r="B439" s="3" t="n">
        <v>0</v>
      </c>
      <c r="C439" s="3" t="n">
        <v>2</v>
      </c>
      <c r="D439" s="3" t="n"/>
      <c r="E439" s="4">
        <f>IF(AND(ISNUMBER(B439),ISNUMBER(C439),B439&gt;0),C439/B439,"")</f>
        <v/>
      </c>
      <c r="F439" s="4">
        <f>IF(AND(ISNUMBER(B439),ISNUMBER(D439),D439&gt;0),100*B439/D439,"")</f>
        <v/>
      </c>
    </row>
    <row r="440">
      <c r="A440" s="3" t="inlineStr">
        <is>
          <t>46161</t>
        </is>
      </c>
      <c r="B440" s="3" t="n">
        <v>1</v>
      </c>
      <c r="C440" s="3" t="n">
        <v>5</v>
      </c>
      <c r="D440" s="3" t="n">
        <v>1328.021248</v>
      </c>
      <c r="E440" s="4">
        <f>IF(AND(ISNUMBER(B440),ISNUMBER(C440),B440&gt;0),C440/B440,"")</f>
        <v/>
      </c>
      <c r="F440" s="4">
        <f>IF(AND(ISNUMBER(B440),ISNUMBER(D440),D440&gt;0),100*B440/D440,"")</f>
        <v/>
      </c>
    </row>
    <row r="441">
      <c r="A441" s="3" t="inlineStr">
        <is>
          <t>46162</t>
        </is>
      </c>
      <c r="B441" s="3" t="n">
        <v>0</v>
      </c>
      <c r="C441" s="3" t="n"/>
      <c r="D441" s="3" t="n"/>
      <c r="E441" s="4">
        <f>IF(AND(ISNUMBER(B441),ISNUMBER(C441),B441&gt;0),C441/B441,"")</f>
        <v/>
      </c>
      <c r="F441" s="4">
        <f>IF(AND(ISNUMBER(B441),ISNUMBER(D441),D441&gt;0),100*B441/D441,"")</f>
        <v/>
      </c>
    </row>
    <row r="442">
      <c r="A442" s="3" t="inlineStr">
        <is>
          <t>46163</t>
        </is>
      </c>
      <c r="B442" s="3" t="n">
        <v>2</v>
      </c>
      <c r="C442" s="3" t="n">
        <v>1</v>
      </c>
      <c r="D442" s="3" t="n">
        <v>1422.475107</v>
      </c>
      <c r="E442" s="4">
        <f>IF(AND(ISNUMBER(B442),ISNUMBER(C442),B442&gt;0),C442/B442,"")</f>
        <v/>
      </c>
      <c r="F442" s="4">
        <f>IF(AND(ISNUMBER(B442),ISNUMBER(D442),D442&gt;0),100*B442/D442,"")</f>
        <v/>
      </c>
    </row>
    <row r="443">
      <c r="A443" s="3" t="inlineStr">
        <is>
          <t>46164</t>
        </is>
      </c>
      <c r="B443" s="3" t="n">
        <v>20</v>
      </c>
      <c r="C443" s="3" t="n">
        <v>2</v>
      </c>
      <c r="D443" s="3" t="n">
        <v>4427.552376</v>
      </c>
      <c r="E443" s="4">
        <f>IF(AND(ISNUMBER(B443),ISNUMBER(C443),B443&gt;0),C443/B443,"")</f>
        <v/>
      </c>
      <c r="F443" s="4">
        <f>IF(AND(ISNUMBER(B443),ISNUMBER(D443),D443&gt;0),100*B443/D443,"")</f>
        <v/>
      </c>
    </row>
    <row r="444">
      <c r="A444" s="3" t="inlineStr">
        <is>
          <t>46165</t>
        </is>
      </c>
      <c r="B444" s="3" t="n">
        <v>3</v>
      </c>
      <c r="C444" s="3" t="n">
        <v>4</v>
      </c>
      <c r="D444" s="3" t="n">
        <v>1460.818626</v>
      </c>
      <c r="E444" s="4">
        <f>IF(AND(ISNUMBER(B444),ISNUMBER(C444),B444&gt;0),C444/B444,"")</f>
        <v/>
      </c>
      <c r="F444" s="4">
        <f>IF(AND(ISNUMBER(B444),ISNUMBER(D444),D444&gt;0),100*B444/D444,"")</f>
        <v/>
      </c>
    </row>
    <row r="445">
      <c r="A445" s="3" t="inlineStr">
        <is>
          <t>46166</t>
        </is>
      </c>
      <c r="B445" s="3" t="n">
        <v>9</v>
      </c>
      <c r="C445" s="3" t="n">
        <v>5</v>
      </c>
      <c r="D445" s="3" t="n">
        <v>3095.340589</v>
      </c>
      <c r="E445" s="4">
        <f>IF(AND(ISNUMBER(B445),ISNUMBER(C445),B445&gt;0),C445/B445,"")</f>
        <v/>
      </c>
      <c r="F445" s="4">
        <f>IF(AND(ISNUMBER(B445),ISNUMBER(D445),D445&gt;0),100*B445/D445,"")</f>
        <v/>
      </c>
    </row>
    <row r="446">
      <c r="A446" s="3" t="inlineStr">
        <is>
          <t>46167</t>
        </is>
      </c>
      <c r="B446" s="3" t="n">
        <v>0</v>
      </c>
      <c r="C446" s="3" t="n"/>
      <c r="D446" s="3" t="n"/>
      <c r="E446" s="4">
        <f>IF(AND(ISNUMBER(B446),ISNUMBER(C446),B446&gt;0),C446/B446,"")</f>
        <v/>
      </c>
      <c r="F446" s="4">
        <f>IF(AND(ISNUMBER(B446),ISNUMBER(D446),D446&gt;0),100*B446/D446,"")</f>
        <v/>
      </c>
    </row>
    <row r="447">
      <c r="A447" s="3" t="inlineStr">
        <is>
          <t>46168</t>
        </is>
      </c>
      <c r="B447" s="3" t="n">
        <v>63</v>
      </c>
      <c r="C447" s="3" t="n">
        <v>222</v>
      </c>
      <c r="D447" s="3" t="n">
        <v>4675.89449</v>
      </c>
      <c r="E447" s="4">
        <f>IF(AND(ISNUMBER(B447),ISNUMBER(C447),B447&gt;0),C447/B447,"")</f>
        <v/>
      </c>
      <c r="F447" s="4">
        <f>IF(AND(ISNUMBER(B447),ISNUMBER(D447),D447&gt;0),100*B447/D447,"")</f>
        <v/>
      </c>
    </row>
    <row r="448">
      <c r="A448" s="3" t="inlineStr">
        <is>
          <t>46169</t>
        </is>
      </c>
      <c r="B448" s="3" t="n">
        <v>49</v>
      </c>
      <c r="C448" s="3" t="n">
        <v>21</v>
      </c>
      <c r="D448" s="3" t="n">
        <v>12122.78514</v>
      </c>
      <c r="E448" s="4">
        <f>IF(AND(ISNUMBER(B448),ISNUMBER(C448),B448&gt;0),C448/B448,"")</f>
        <v/>
      </c>
      <c r="F448" s="4">
        <f>IF(AND(ISNUMBER(B448),ISNUMBER(D448),D448&gt;0),100*B448/D448,"")</f>
        <v/>
      </c>
    </row>
    <row r="449">
      <c r="A449" s="3" t="inlineStr">
        <is>
          <t>46170</t>
        </is>
      </c>
      <c r="B449" s="3" t="n">
        <v>13</v>
      </c>
      <c r="C449" s="3" t="n">
        <v>13</v>
      </c>
      <c r="D449" s="3" t="n">
        <v>2464.020187</v>
      </c>
      <c r="E449" s="4">
        <f>IF(AND(ISNUMBER(B449),ISNUMBER(C449),B449&gt;0),C449/B449,"")</f>
        <v/>
      </c>
      <c r="F449" s="4">
        <f>IF(AND(ISNUMBER(B449),ISNUMBER(D449),D449&gt;0),100*B449/D449,"")</f>
        <v/>
      </c>
    </row>
    <row r="450">
      <c r="A450" s="3" t="inlineStr">
        <is>
          <t>46171</t>
        </is>
      </c>
      <c r="B450" s="3" t="n">
        <v>5</v>
      </c>
      <c r="C450" s="3" t="n">
        <v>5</v>
      </c>
      <c r="D450" s="3" t="n">
        <v>2878.339717</v>
      </c>
      <c r="E450" s="4">
        <f>IF(AND(ISNUMBER(B450),ISNUMBER(C450),B450&gt;0),C450/B450,"")</f>
        <v/>
      </c>
      <c r="F450" s="4">
        <f>IF(AND(ISNUMBER(B450),ISNUMBER(D450),D450&gt;0),100*B450/D450,"")</f>
        <v/>
      </c>
    </row>
    <row r="451">
      <c r="A451" s="3" t="inlineStr">
        <is>
          <t>46172</t>
        </is>
      </c>
      <c r="B451" s="3" t="n">
        <v>10</v>
      </c>
      <c r="C451" s="3" t="n">
        <v>9</v>
      </c>
      <c r="D451" s="3" t="n">
        <v>5507.733563</v>
      </c>
      <c r="E451" s="4">
        <f>IF(AND(ISNUMBER(B451),ISNUMBER(C451),B451&gt;0),C451/B451,"")</f>
        <v/>
      </c>
      <c r="F451" s="4">
        <f>IF(AND(ISNUMBER(B451),ISNUMBER(D451),D451&gt;0),100*B451/D451,"")</f>
        <v/>
      </c>
    </row>
    <row r="452">
      <c r="A452" s="3" t="inlineStr">
        <is>
          <t>46173</t>
        </is>
      </c>
      <c r="B452" s="3" t="n">
        <v>0</v>
      </c>
      <c r="C452" s="3" t="n"/>
      <c r="D452" s="3" t="n"/>
      <c r="E452" s="4">
        <f>IF(AND(ISNUMBER(B452),ISNUMBER(C452),B452&gt;0),C452/B452,"")</f>
        <v/>
      </c>
      <c r="F452" s="4">
        <f>IF(AND(ISNUMBER(B452),ISNUMBER(D452),D452&gt;0),100*B452/D452,"")</f>
        <v/>
      </c>
    </row>
    <row r="453">
      <c r="A453" s="3" t="inlineStr">
        <is>
          <t>46174</t>
        </is>
      </c>
      <c r="B453" s="3" t="n">
        <v>1</v>
      </c>
      <c r="C453" s="3" t="n">
        <v>2</v>
      </c>
      <c r="D453" s="3" t="n">
        <v>783.6990596000001</v>
      </c>
      <c r="E453" s="4">
        <f>IF(AND(ISNUMBER(B453),ISNUMBER(C453),B453&gt;0),C453/B453,"")</f>
        <v/>
      </c>
      <c r="F453" s="4">
        <f>IF(AND(ISNUMBER(B453),ISNUMBER(D453),D453&gt;0),100*B453/D453,"")</f>
        <v/>
      </c>
    </row>
    <row r="454">
      <c r="A454" s="3" t="inlineStr">
        <is>
          <t>46175</t>
        </is>
      </c>
      <c r="B454" s="3" t="n">
        <v>4</v>
      </c>
      <c r="C454" s="3" t="n">
        <v>4</v>
      </c>
      <c r="D454" s="3" t="n">
        <v>372.9951511</v>
      </c>
      <c r="E454" s="4">
        <f>IF(AND(ISNUMBER(B454),ISNUMBER(C454),B454&gt;0),C454/B454,"")</f>
        <v/>
      </c>
      <c r="F454" s="4">
        <f>IF(AND(ISNUMBER(B454),ISNUMBER(D454),D454&gt;0),100*B454/D454,"")</f>
        <v/>
      </c>
    </row>
    <row r="455">
      <c r="A455" s="3" t="inlineStr">
        <is>
          <t>46176</t>
        </is>
      </c>
      <c r="B455" s="3" t="n">
        <v>12</v>
      </c>
      <c r="C455" s="3" t="n">
        <v>11</v>
      </c>
      <c r="D455" s="3" t="n">
        <v>2770.857462</v>
      </c>
      <c r="E455" s="4">
        <f>IF(AND(ISNUMBER(B455),ISNUMBER(C455),B455&gt;0),C455/B455,"")</f>
        <v/>
      </c>
      <c r="F455" s="4">
        <f>IF(AND(ISNUMBER(B455),ISNUMBER(D455),D455&gt;0),100*B455/D455,"")</f>
        <v/>
      </c>
    </row>
    <row r="456">
      <c r="A456" s="3" t="inlineStr">
        <is>
          <t>46177</t>
        </is>
      </c>
      <c r="B456" s="3" t="n">
        <v>1</v>
      </c>
      <c r="C456" s="3" t="n"/>
      <c r="D456" s="3" t="n">
        <v>2070.393375</v>
      </c>
      <c r="E456" s="4">
        <f>IF(AND(ISNUMBER(B456),ISNUMBER(C456),B456&gt;0),C456/B456,"")</f>
        <v/>
      </c>
      <c r="F456" s="4">
        <f>IF(AND(ISNUMBER(B456),ISNUMBER(D456),D456&gt;0),100*B456/D456,"")</f>
        <v/>
      </c>
    </row>
    <row r="457">
      <c r="A457" s="3" t="inlineStr">
        <is>
          <t>46178</t>
        </is>
      </c>
      <c r="B457" s="3" t="n">
        <v>20</v>
      </c>
      <c r="C457" s="3" t="n">
        <v>14</v>
      </c>
      <c r="D457" s="3" t="n">
        <v>3630.231235</v>
      </c>
      <c r="E457" s="4">
        <f>IF(AND(ISNUMBER(B457),ISNUMBER(C457),B457&gt;0),C457/B457,"")</f>
        <v/>
      </c>
      <c r="F457" s="4">
        <f>IF(AND(ISNUMBER(B457),ISNUMBER(D457),D457&gt;0),100*B457/D457,"")</f>
        <v/>
      </c>
    </row>
    <row r="458">
      <c r="A458" s="3" t="inlineStr">
        <is>
          <t>46179</t>
        </is>
      </c>
      <c r="B458" s="3" t="n">
        <v>24</v>
      </c>
      <c r="C458" s="3" t="n">
        <v>34</v>
      </c>
      <c r="D458" s="3" t="n">
        <v>1989.071817</v>
      </c>
      <c r="E458" s="4">
        <f>IF(AND(ISNUMBER(B458),ISNUMBER(C458),B458&gt;0),C458/B458,"")</f>
        <v/>
      </c>
      <c r="F458" s="4">
        <f>IF(AND(ISNUMBER(B458),ISNUMBER(D458),D458&gt;0),100*B458/D458,"")</f>
        <v/>
      </c>
    </row>
    <row r="459">
      <c r="A459" s="3" t="inlineStr">
        <is>
          <t>46180</t>
        </is>
      </c>
      <c r="B459" s="3" t="n">
        <v>6</v>
      </c>
      <c r="C459" s="3" t="n"/>
      <c r="D459" s="3" t="n">
        <v>573.9978953</v>
      </c>
      <c r="E459" s="4">
        <f>IF(AND(ISNUMBER(B459),ISNUMBER(C459),B459&gt;0),C459/B459,"")</f>
        <v/>
      </c>
      <c r="F459" s="4">
        <f>IF(AND(ISNUMBER(B459),ISNUMBER(D459),D459&gt;0),100*B459/D459,"")</f>
        <v/>
      </c>
    </row>
    <row r="460">
      <c r="A460" s="3" t="inlineStr">
        <is>
          <t>46181</t>
        </is>
      </c>
      <c r="B460" s="3" t="n">
        <v>848</v>
      </c>
      <c r="C460" s="3" t="n">
        <v>1478</v>
      </c>
      <c r="D460" s="3" t="n">
        <v>18916.41474</v>
      </c>
      <c r="E460" s="4">
        <f>IF(AND(ISNUMBER(B460),ISNUMBER(C460),B460&gt;0),C460/B460,"")</f>
        <v/>
      </c>
      <c r="F460" s="4">
        <f>IF(AND(ISNUMBER(B460),ISNUMBER(D460),D460&gt;0),100*B460/D460,"")</f>
        <v/>
      </c>
    </row>
    <row r="461">
      <c r="A461" s="3" t="inlineStr">
        <is>
          <t>46182</t>
        </is>
      </c>
      <c r="B461" s="3" t="n">
        <v>12</v>
      </c>
      <c r="C461" s="3" t="n">
        <v>12</v>
      </c>
      <c r="D461" s="3" t="n">
        <v>2571.795971</v>
      </c>
      <c r="E461" s="4">
        <f>IF(AND(ISNUMBER(B461),ISNUMBER(C461),B461&gt;0),C461/B461,"")</f>
        <v/>
      </c>
      <c r="F461" s="4">
        <f>IF(AND(ISNUMBER(B461),ISNUMBER(D461),D461&gt;0),100*B461/D461,"")</f>
        <v/>
      </c>
    </row>
    <row r="462">
      <c r="A462" s="3" t="inlineStr">
        <is>
          <t>46183</t>
        </is>
      </c>
      <c r="B462" s="3" t="n">
        <v>3</v>
      </c>
      <c r="C462" s="3" t="n">
        <v>4</v>
      </c>
      <c r="D462" s="3" t="n">
        <v>3678.017406</v>
      </c>
      <c r="E462" s="4">
        <f>IF(AND(ISNUMBER(B462),ISNUMBER(C462),B462&gt;0),C462/B462,"")</f>
        <v/>
      </c>
      <c r="F462" s="4">
        <f>IF(AND(ISNUMBER(B462),ISNUMBER(D462),D462&gt;0),100*B462/D462,"")</f>
        <v/>
      </c>
    </row>
    <row r="463">
      <c r="A463" s="3" t="inlineStr">
        <is>
          <t>46184</t>
        </is>
      </c>
      <c r="B463" s="3" t="n">
        <v>57</v>
      </c>
      <c r="C463" s="3" t="n">
        <v>50</v>
      </c>
      <c r="D463" s="3" t="n">
        <v>11740.23709</v>
      </c>
      <c r="E463" s="4">
        <f>IF(AND(ISNUMBER(B463),ISNUMBER(C463),B463&gt;0),C463/B463,"")</f>
        <v/>
      </c>
      <c r="F463" s="4">
        <f>IF(AND(ISNUMBER(B463),ISNUMBER(D463),D463&gt;0),100*B463/D463,"")</f>
        <v/>
      </c>
    </row>
    <row r="464">
      <c r="A464" s="3" t="inlineStr">
        <is>
          <t>46185</t>
        </is>
      </c>
      <c r="B464" s="3" t="n">
        <v>2</v>
      </c>
      <c r="C464" s="3" t="n"/>
      <c r="D464" s="3" t="n">
        <v>279.9944001</v>
      </c>
      <c r="E464" s="4">
        <f>IF(AND(ISNUMBER(B464),ISNUMBER(C464),B464&gt;0),C464/B464,"")</f>
        <v/>
      </c>
      <c r="F464" s="4">
        <f>IF(AND(ISNUMBER(B464),ISNUMBER(D464),D464&gt;0),100*B464/D464,"")</f>
        <v/>
      </c>
    </row>
    <row r="465">
      <c r="A465" s="3" t="inlineStr">
        <is>
          <t>46186</t>
        </is>
      </c>
      <c r="B465" s="3" t="n">
        <v>7</v>
      </c>
      <c r="C465" s="3" t="n">
        <v>12</v>
      </c>
      <c r="D465" s="3" t="n">
        <v>4778.913987</v>
      </c>
      <c r="E465" s="4">
        <f>IF(AND(ISNUMBER(B465),ISNUMBER(C465),B465&gt;0),C465/B465,"")</f>
        <v/>
      </c>
      <c r="F465" s="4">
        <f>IF(AND(ISNUMBER(B465),ISNUMBER(D465),D465&gt;0),100*B465/D465,"")</f>
        <v/>
      </c>
    </row>
    <row r="466">
      <c r="A466" s="3" t="inlineStr">
        <is>
          <t>46187</t>
        </is>
      </c>
      <c r="B466" s="3" t="n">
        <v>7</v>
      </c>
      <c r="C466" s="3" t="n">
        <v>7</v>
      </c>
      <c r="D466" s="3" t="n">
        <v>1448.076127</v>
      </c>
      <c r="E466" s="4">
        <f>IF(AND(ISNUMBER(B466),ISNUMBER(C466),B466&gt;0),C466/B466,"")</f>
        <v/>
      </c>
      <c r="F466" s="4">
        <f>IF(AND(ISNUMBER(B466),ISNUMBER(D466),D466&gt;0),100*B466/D466,"")</f>
        <v/>
      </c>
    </row>
    <row r="467">
      <c r="A467" s="3" t="inlineStr">
        <is>
          <t>46188</t>
        </is>
      </c>
      <c r="B467" s="3" t="n">
        <v>1</v>
      </c>
      <c r="C467" s="3" t="n">
        <v>2</v>
      </c>
      <c r="D467" s="3" t="n">
        <v>483.0917874</v>
      </c>
      <c r="E467" s="4">
        <f>IF(AND(ISNUMBER(B467),ISNUMBER(C467),B467&gt;0),C467/B467,"")</f>
        <v/>
      </c>
      <c r="F467" s="4">
        <f>IF(AND(ISNUMBER(B467),ISNUMBER(D467),D467&gt;0),100*B467/D467,"")</f>
        <v/>
      </c>
    </row>
    <row r="468">
      <c r="A468" s="3" t="inlineStr">
        <is>
          <t>46189</t>
        </is>
      </c>
      <c r="B468" s="3" t="n">
        <v>0</v>
      </c>
      <c r="C468" s="3" t="n">
        <v>1</v>
      </c>
      <c r="D468" s="3" t="n"/>
      <c r="E468" s="4">
        <f>IF(AND(ISNUMBER(B468),ISNUMBER(C468),B468&gt;0),C468/B468,"")</f>
        <v/>
      </c>
      <c r="F468" s="4">
        <f>IF(AND(ISNUMBER(B468),ISNUMBER(D468),D468&gt;0),100*B468/D468,"")</f>
        <v/>
      </c>
    </row>
    <row r="469">
      <c r="A469" s="3" t="inlineStr">
        <is>
          <t>46190</t>
        </is>
      </c>
      <c r="B469" s="3" t="n">
        <v>69</v>
      </c>
      <c r="C469" s="3" t="n">
        <v>57</v>
      </c>
      <c r="D469" s="3" t="n">
        <v>20982.43632</v>
      </c>
      <c r="E469" s="4">
        <f>IF(AND(ISNUMBER(B469),ISNUMBER(C469),B469&gt;0),C469/B469,"")</f>
        <v/>
      </c>
      <c r="F469" s="4">
        <f>IF(AND(ISNUMBER(B469),ISNUMBER(D469),D469&gt;0),100*B469/D469,"")</f>
        <v/>
      </c>
    </row>
    <row r="470">
      <c r="A470" s="3" t="inlineStr">
        <is>
          <t>46191</t>
        </is>
      </c>
      <c r="B470" s="3" t="n">
        <v>11</v>
      </c>
      <c r="C470" s="3" t="n">
        <v>4</v>
      </c>
      <c r="D470" s="3" t="n">
        <v>2688.172043</v>
      </c>
      <c r="E470" s="4">
        <f>IF(AND(ISNUMBER(B470),ISNUMBER(C470),B470&gt;0),C470/B470,"")</f>
        <v/>
      </c>
      <c r="F470" s="4">
        <f>IF(AND(ISNUMBER(B470),ISNUMBER(D470),D470&gt;0),100*B470/D470,"")</f>
        <v/>
      </c>
    </row>
    <row r="471">
      <c r="A471" s="3" t="inlineStr">
        <is>
          <t>46192</t>
        </is>
      </c>
      <c r="B471" s="3" t="n">
        <v>2</v>
      </c>
      <c r="C471" s="3" t="n">
        <v>3</v>
      </c>
      <c r="D471" s="3" t="n">
        <v>739.0983001</v>
      </c>
      <c r="E471" s="4">
        <f>IF(AND(ISNUMBER(B471),ISNUMBER(C471),B471&gt;0),C471/B471,"")</f>
        <v/>
      </c>
      <c r="F471" s="4">
        <f>IF(AND(ISNUMBER(B471),ISNUMBER(D471),D471&gt;0),100*B471/D471,"")</f>
        <v/>
      </c>
    </row>
    <row r="472">
      <c r="A472" s="3" t="inlineStr">
        <is>
          <t>46193</t>
        </is>
      </c>
      <c r="B472" s="3" t="n">
        <v>7</v>
      </c>
      <c r="C472" s="3" t="n"/>
      <c r="D472" s="3" t="n">
        <v>2073.637564</v>
      </c>
      <c r="E472" s="4">
        <f>IF(AND(ISNUMBER(B472),ISNUMBER(C472),B472&gt;0),C472/B472,"")</f>
        <v/>
      </c>
      <c r="F472" s="4">
        <f>IF(AND(ISNUMBER(B472),ISNUMBER(D472),D472&gt;0),100*B472/D472,"")</f>
        <v/>
      </c>
    </row>
    <row r="473">
      <c r="A473" s="3" t="inlineStr">
        <is>
          <t>46194</t>
        </is>
      </c>
      <c r="B473" s="3" t="n">
        <v>17</v>
      </c>
      <c r="C473" s="3" t="n">
        <v>9</v>
      </c>
      <c r="D473" s="3" t="n">
        <v>7544.133919</v>
      </c>
      <c r="E473" s="4">
        <f>IF(AND(ISNUMBER(B473),ISNUMBER(C473),B473&gt;0),C473/B473,"")</f>
        <v/>
      </c>
      <c r="F473" s="4">
        <f>IF(AND(ISNUMBER(B473),ISNUMBER(D473),D473&gt;0),100*B473/D473,"")</f>
        <v/>
      </c>
    </row>
    <row r="474">
      <c r="A474" s="3" t="inlineStr">
        <is>
          <t>46195</t>
        </is>
      </c>
      <c r="B474" s="3" t="n">
        <v>74</v>
      </c>
      <c r="C474" s="3" t="n">
        <v>156</v>
      </c>
      <c r="D474" s="3" t="n">
        <v>3752.345216</v>
      </c>
      <c r="E474" s="4">
        <f>IF(AND(ISNUMBER(B474),ISNUMBER(C474),B474&gt;0),C474/B474,"")</f>
        <v/>
      </c>
      <c r="F474" s="4">
        <f>IF(AND(ISNUMBER(B474),ISNUMBER(D474),D474&gt;0),100*B474/D474,"")</f>
        <v/>
      </c>
    </row>
    <row r="475">
      <c r="A475" s="3" t="inlineStr">
        <is>
          <t>46196</t>
        </is>
      </c>
      <c r="B475" s="3" t="n">
        <v>0</v>
      </c>
      <c r="C475" s="3" t="n"/>
      <c r="D475" s="3" t="n"/>
      <c r="E475" s="4">
        <f>IF(AND(ISNUMBER(B475),ISNUMBER(C475),B475&gt;0),C475/B475,"")</f>
        <v/>
      </c>
      <c r="F475" s="4">
        <f>IF(AND(ISNUMBER(B475),ISNUMBER(D475),D475&gt;0),100*B475/D475,"")</f>
        <v/>
      </c>
    </row>
    <row r="476">
      <c r="A476" s="3" t="inlineStr">
        <is>
          <t>46197</t>
        </is>
      </c>
      <c r="B476" s="3" t="n">
        <v>3</v>
      </c>
      <c r="C476" s="3" t="n">
        <v>4</v>
      </c>
      <c r="D476" s="3" t="n">
        <v>1450.676983</v>
      </c>
      <c r="E476" s="4">
        <f>IF(AND(ISNUMBER(B476),ISNUMBER(C476),B476&gt;0),C476/B476,"")</f>
        <v/>
      </c>
      <c r="F476" s="4">
        <f>IF(AND(ISNUMBER(B476),ISNUMBER(D476),D476&gt;0),100*B476/D476,"")</f>
        <v/>
      </c>
    </row>
    <row r="477">
      <c r="A477" s="3" t="inlineStr">
        <is>
          <t>46198</t>
        </is>
      </c>
      <c r="B477" s="3" t="n">
        <v>6</v>
      </c>
      <c r="C477" s="3" t="n">
        <v>1</v>
      </c>
      <c r="D477" s="3" t="n">
        <v>700.0350018</v>
      </c>
      <c r="E477" s="4">
        <f>IF(AND(ISNUMBER(B477),ISNUMBER(C477),B477&gt;0),C477/B477,"")</f>
        <v/>
      </c>
      <c r="F477" s="4">
        <f>IF(AND(ISNUMBER(B477),ISNUMBER(D477),D477&gt;0),100*B477/D477,"")</f>
        <v/>
      </c>
    </row>
    <row r="478">
      <c r="A478" s="3" t="inlineStr">
        <is>
          <t>46199</t>
        </is>
      </c>
      <c r="B478" s="3" t="n">
        <v>119</v>
      </c>
      <c r="C478" s="3" t="n">
        <v>222</v>
      </c>
      <c r="D478" s="3" t="n">
        <v>7958.010312</v>
      </c>
      <c r="E478" s="4">
        <f>IF(AND(ISNUMBER(B478),ISNUMBER(C478),B478&gt;0),C478/B478,"")</f>
        <v/>
      </c>
      <c r="F478" s="4">
        <f>IF(AND(ISNUMBER(B478),ISNUMBER(D478),D478&gt;0),100*B478/D478,"")</f>
        <v/>
      </c>
    </row>
    <row r="479">
      <c r="A479" s="3" t="inlineStr">
        <is>
          <t>46200</t>
        </is>
      </c>
      <c r="B479" s="3" t="n">
        <v>1</v>
      </c>
      <c r="C479" s="3" t="n"/>
      <c r="D479" s="3" t="n">
        <v>823.0452675</v>
      </c>
      <c r="E479" s="4">
        <f>IF(AND(ISNUMBER(B479),ISNUMBER(C479),B479&gt;0),C479/B479,"")</f>
        <v/>
      </c>
      <c r="F479" s="4">
        <f>IF(AND(ISNUMBER(B479),ISNUMBER(D479),D479&gt;0),100*B479/D479,"")</f>
        <v/>
      </c>
    </row>
    <row r="480">
      <c r="A480" s="3" t="inlineStr">
        <is>
          <t>46201</t>
        </is>
      </c>
      <c r="B480" s="3" t="n">
        <v>4</v>
      </c>
      <c r="C480" s="3" t="n"/>
      <c r="D480" s="3" t="n">
        <v>156.000156</v>
      </c>
      <c r="E480" s="4">
        <f>IF(AND(ISNUMBER(B480),ISNUMBER(C480),B480&gt;0),C480/B480,"")</f>
        <v/>
      </c>
      <c r="F480" s="4">
        <f>IF(AND(ISNUMBER(B480),ISNUMBER(D480),D480&gt;0),100*B480/D480,"")</f>
        <v/>
      </c>
    </row>
    <row r="481">
      <c r="A481" s="3" t="inlineStr">
        <is>
          <t>46202</t>
        </is>
      </c>
      <c r="B481" s="3" t="n">
        <v>15</v>
      </c>
      <c r="C481" s="3" t="n">
        <v>13</v>
      </c>
      <c r="D481" s="3" t="n">
        <v>7643.1585</v>
      </c>
      <c r="E481" s="4">
        <f>IF(AND(ISNUMBER(B481),ISNUMBER(C481),B481&gt;0),C481/B481,"")</f>
        <v/>
      </c>
      <c r="F481" s="4">
        <f>IF(AND(ISNUMBER(B481),ISNUMBER(D481),D481&gt;0),100*B481/D481,"")</f>
        <v/>
      </c>
    </row>
    <row r="482">
      <c r="A482" s="3" t="inlineStr">
        <is>
          <t>46203</t>
        </is>
      </c>
      <c r="B482" s="3" t="n">
        <v>2</v>
      </c>
      <c r="C482" s="3" t="n">
        <v>2</v>
      </c>
      <c r="D482" s="3" t="n">
        <v>879.8944127</v>
      </c>
      <c r="E482" s="4">
        <f>IF(AND(ISNUMBER(B482),ISNUMBER(C482),B482&gt;0),C482/B482,"")</f>
        <v/>
      </c>
      <c r="F482" s="4">
        <f>IF(AND(ISNUMBER(B482),ISNUMBER(D482),D482&gt;0),100*B482/D482,"")</f>
        <v/>
      </c>
    </row>
    <row r="483">
      <c r="A483" s="3" t="inlineStr">
        <is>
          <t>46204</t>
        </is>
      </c>
      <c r="B483" s="3" t="n">
        <v>71</v>
      </c>
      <c r="C483" s="3" t="n">
        <v>99</v>
      </c>
      <c r="D483" s="3" t="n">
        <v>6909.077179</v>
      </c>
      <c r="E483" s="4">
        <f>IF(AND(ISNUMBER(B483),ISNUMBER(C483),B483&gt;0),C483/B483,"")</f>
        <v/>
      </c>
      <c r="F483" s="4">
        <f>IF(AND(ISNUMBER(B483),ISNUMBER(D483),D483&gt;0),100*B483/D483,"")</f>
        <v/>
      </c>
    </row>
    <row r="484">
      <c r="A484" s="3" t="inlineStr">
        <is>
          <t>46205</t>
        </is>
      </c>
      <c r="B484" s="3" t="n">
        <v>53</v>
      </c>
      <c r="C484" s="3" t="n">
        <v>75</v>
      </c>
      <c r="D484" s="3" t="n">
        <v>7325.092831</v>
      </c>
      <c r="E484" s="4">
        <f>IF(AND(ISNUMBER(B484),ISNUMBER(C484),B484&gt;0),C484/B484,"")</f>
        <v/>
      </c>
      <c r="F484" s="4">
        <f>IF(AND(ISNUMBER(B484),ISNUMBER(D484),D484&gt;0),100*B484/D484,"")</f>
        <v/>
      </c>
    </row>
    <row r="485">
      <c r="A485" s="3" t="inlineStr">
        <is>
          <t>46206</t>
        </is>
      </c>
      <c r="B485" s="3" t="n">
        <v>13</v>
      </c>
      <c r="C485" s="3" t="n">
        <v>4</v>
      </c>
      <c r="D485" s="3" t="n">
        <v>678.0014603</v>
      </c>
      <c r="E485" s="4">
        <f>IF(AND(ISNUMBER(B485),ISNUMBER(C485),B485&gt;0),C485/B485,"")</f>
        <v/>
      </c>
      <c r="F485" s="4">
        <f>IF(AND(ISNUMBER(B485),ISNUMBER(D485),D485&gt;0),100*B485/D485,"")</f>
        <v/>
      </c>
    </row>
    <row r="486">
      <c r="A486" s="3" t="inlineStr">
        <is>
          <t>46207</t>
        </is>
      </c>
      <c r="B486" s="3" t="n">
        <v>2</v>
      </c>
      <c r="C486" s="3" t="n">
        <v>2</v>
      </c>
      <c r="D486" s="3" t="n">
        <v>2399.59004</v>
      </c>
      <c r="E486" s="4">
        <f>IF(AND(ISNUMBER(B486),ISNUMBER(C486),B486&gt;0),C486/B486,"")</f>
        <v/>
      </c>
      <c r="F486" s="4">
        <f>IF(AND(ISNUMBER(B486),ISNUMBER(D486),D486&gt;0),100*B486/D486,"")</f>
        <v/>
      </c>
    </row>
    <row r="487">
      <c r="A487" s="3" t="inlineStr">
        <is>
          <t>46208</t>
        </is>
      </c>
      <c r="B487" s="3" t="n">
        <v>2</v>
      </c>
      <c r="C487" s="3" t="n">
        <v>4</v>
      </c>
      <c r="D487" s="3" t="n">
        <v>859.8452279000001</v>
      </c>
      <c r="E487" s="4">
        <f>IF(AND(ISNUMBER(B487),ISNUMBER(C487),B487&gt;0),C487/B487,"")</f>
        <v/>
      </c>
      <c r="F487" s="4">
        <f>IF(AND(ISNUMBER(B487),ISNUMBER(D487),D487&gt;0),100*B487/D487,"")</f>
        <v/>
      </c>
    </row>
    <row r="488">
      <c r="A488" s="3" t="inlineStr">
        <is>
          <t>46209</t>
        </is>
      </c>
      <c r="B488" s="3" t="n">
        <v>1</v>
      </c>
      <c r="C488" s="3" t="n">
        <v>1</v>
      </c>
      <c r="D488" s="3" t="n">
        <v>1086.956522</v>
      </c>
      <c r="E488" s="4">
        <f>IF(AND(ISNUMBER(B488),ISNUMBER(C488),B488&gt;0),C488/B488,"")</f>
        <v/>
      </c>
      <c r="F488" s="4">
        <f>IF(AND(ISNUMBER(B488),ISNUMBER(D488),D488&gt;0),100*B488/D488,"")</f>
        <v/>
      </c>
    </row>
    <row r="489">
      <c r="A489" s="3" t="inlineStr">
        <is>
          <t>46210</t>
        </is>
      </c>
      <c r="B489" s="3" t="n">
        <v>1</v>
      </c>
      <c r="C489" s="3" t="n">
        <v>1</v>
      </c>
      <c r="D489" s="3" t="n">
        <v>272.0348205</v>
      </c>
      <c r="E489" s="4">
        <f>IF(AND(ISNUMBER(B489),ISNUMBER(C489),B489&gt;0),C489/B489,"")</f>
        <v/>
      </c>
      <c r="F489" s="4">
        <f>IF(AND(ISNUMBER(B489),ISNUMBER(D489),D489&gt;0),100*B489/D489,"")</f>
        <v/>
      </c>
    </row>
    <row r="490">
      <c r="A490" s="3" t="inlineStr">
        <is>
          <t>46211</t>
        </is>
      </c>
      <c r="B490" s="3" t="n">
        <v>6</v>
      </c>
      <c r="C490" s="3" t="n">
        <v>11</v>
      </c>
      <c r="D490" s="3" t="n">
        <v>1336.898396</v>
      </c>
      <c r="E490" s="4">
        <f>IF(AND(ISNUMBER(B490),ISNUMBER(C490),B490&gt;0),C490/B490,"")</f>
        <v/>
      </c>
      <c r="F490" s="4">
        <f>IF(AND(ISNUMBER(B490),ISNUMBER(D490),D490&gt;0),100*B490/D490,"")</f>
        <v/>
      </c>
    </row>
    <row r="491">
      <c r="A491" s="3" t="inlineStr">
        <is>
          <t>46212</t>
        </is>
      </c>
      <c r="B491" s="3" t="n">
        <v>0</v>
      </c>
      <c r="C491" s="3" t="n">
        <v>2</v>
      </c>
      <c r="D491" s="3" t="n"/>
      <c r="E491" s="4">
        <f>IF(AND(ISNUMBER(B491),ISNUMBER(C491),B491&gt;0),C491/B491,"")</f>
        <v/>
      </c>
      <c r="F491" s="4">
        <f>IF(AND(ISNUMBER(B491),ISNUMBER(D491),D491&gt;0),100*B491/D491,"")</f>
        <v/>
      </c>
    </row>
    <row r="492">
      <c r="A492" s="3" t="inlineStr">
        <is>
          <t>46213</t>
        </is>
      </c>
      <c r="B492" s="3" t="n">
        <v>36</v>
      </c>
      <c r="C492" s="3" t="n">
        <v>59</v>
      </c>
      <c r="D492" s="3" t="n">
        <v>12981.95315</v>
      </c>
      <c r="E492" s="4">
        <f>IF(AND(ISNUMBER(B492),ISNUMBER(C492),B492&gt;0),C492/B492,"")</f>
        <v/>
      </c>
      <c r="F492" s="4">
        <f>IF(AND(ISNUMBER(B492),ISNUMBER(D492),D492&gt;0),100*B492/D492,"")</f>
        <v/>
      </c>
    </row>
    <row r="493">
      <c r="A493" s="3" t="inlineStr">
        <is>
          <t>46214</t>
        </is>
      </c>
      <c r="B493" s="3" t="n">
        <v>20</v>
      </c>
      <c r="C493" s="3" t="n">
        <v>17</v>
      </c>
      <c r="D493" s="3" t="n">
        <v>7388.900926</v>
      </c>
      <c r="E493" s="4">
        <f>IF(AND(ISNUMBER(B493),ISNUMBER(C493),B493&gt;0),C493/B493,"")</f>
        <v/>
      </c>
      <c r="F493" s="4">
        <f>IF(AND(ISNUMBER(B493),ISNUMBER(D493),D493&gt;0),100*B493/D493,"")</f>
        <v/>
      </c>
    </row>
    <row r="494">
      <c r="A494" s="3" t="inlineStr">
        <is>
          <t>46215</t>
        </is>
      </c>
      <c r="B494" s="3" t="n">
        <v>3</v>
      </c>
      <c r="C494" s="3" t="n">
        <v>3</v>
      </c>
      <c r="D494" s="3" t="n">
        <v>1035.911602</v>
      </c>
      <c r="E494" s="4">
        <f>IF(AND(ISNUMBER(B494),ISNUMBER(C494),B494&gt;0),C494/B494,"")</f>
        <v/>
      </c>
      <c r="F494" s="4">
        <f>IF(AND(ISNUMBER(B494),ISNUMBER(D494),D494&gt;0),100*B494/D494,"")</f>
        <v/>
      </c>
    </row>
    <row r="495">
      <c r="A495" s="3" t="inlineStr">
        <is>
          <t>46216</t>
        </is>
      </c>
      <c r="B495" s="3" t="n">
        <v>1</v>
      </c>
      <c r="C495" s="3" t="n">
        <v>1</v>
      </c>
      <c r="D495" s="3" t="n">
        <v>1090.512541</v>
      </c>
      <c r="E495" s="4">
        <f>IF(AND(ISNUMBER(B495),ISNUMBER(C495),B495&gt;0),C495/B495,"")</f>
        <v/>
      </c>
      <c r="F495" s="4">
        <f>IF(AND(ISNUMBER(B495),ISNUMBER(D495),D495&gt;0),100*B495/D495,"")</f>
        <v/>
      </c>
    </row>
    <row r="496">
      <c r="A496" s="3" t="inlineStr">
        <is>
          <t>46217</t>
        </is>
      </c>
      <c r="B496" s="3" t="n">
        <v>2</v>
      </c>
      <c r="C496" s="3" t="n">
        <v>4</v>
      </c>
      <c r="D496" s="3" t="n">
        <v>715.0518413</v>
      </c>
      <c r="E496" s="4">
        <f>IF(AND(ISNUMBER(B496),ISNUMBER(C496),B496&gt;0),C496/B496,"")</f>
        <v/>
      </c>
      <c r="F496" s="4">
        <f>IF(AND(ISNUMBER(B496),ISNUMBER(D496),D496&gt;0),100*B496/D496,"")</f>
        <v/>
      </c>
    </row>
    <row r="497">
      <c r="A497" s="3" t="inlineStr">
        <is>
          <t>46218</t>
        </is>
      </c>
      <c r="B497" s="3" t="n">
        <v>1</v>
      </c>
      <c r="C497" s="3" t="n">
        <v>8</v>
      </c>
      <c r="D497" s="3" t="n">
        <v>793.0214116</v>
      </c>
      <c r="E497" s="4">
        <f>IF(AND(ISNUMBER(B497),ISNUMBER(C497),B497&gt;0),C497/B497,"")</f>
        <v/>
      </c>
      <c r="F497" s="4">
        <f>IF(AND(ISNUMBER(B497),ISNUMBER(D497),D497&gt;0),100*B497/D497,"")</f>
        <v/>
      </c>
    </row>
    <row r="498">
      <c r="A498" s="3" t="inlineStr">
        <is>
          <t>46219</t>
        </is>
      </c>
      <c r="B498" s="3" t="n">
        <v>0</v>
      </c>
      <c r="C498" s="3" t="n"/>
      <c r="D498" s="3" t="n"/>
      <c r="E498" s="4">
        <f>IF(AND(ISNUMBER(B498),ISNUMBER(C498),B498&gt;0),C498/B498,"")</f>
        <v/>
      </c>
      <c r="F498" s="4">
        <f>IF(AND(ISNUMBER(B498),ISNUMBER(D498),D498&gt;0),100*B498/D498,"")</f>
        <v/>
      </c>
    </row>
    <row r="499">
      <c r="A499" s="3" t="inlineStr">
        <is>
          <t>46220</t>
        </is>
      </c>
      <c r="B499" s="3" t="n">
        <v>390</v>
      </c>
      <c r="C499" s="3" t="n">
        <v>625</v>
      </c>
      <c r="D499" s="3" t="n">
        <v>39411.71426</v>
      </c>
      <c r="E499" s="4">
        <f>IF(AND(ISNUMBER(B499),ISNUMBER(C499),B499&gt;0),C499/B499,"")</f>
        <v/>
      </c>
      <c r="F499" s="4">
        <f>IF(AND(ISNUMBER(B499),ISNUMBER(D499),D499&gt;0),100*B499/D499,"")</f>
        <v/>
      </c>
    </row>
    <row r="500">
      <c r="A500" s="3" t="inlineStr">
        <is>
          <t>46221</t>
        </is>
      </c>
      <c r="B500" s="3" t="n">
        <v>4</v>
      </c>
      <c r="C500" s="3" t="n">
        <v>2</v>
      </c>
      <c r="D500" s="3" t="n">
        <v>290.002175</v>
      </c>
      <c r="E500" s="4">
        <f>IF(AND(ISNUMBER(B500),ISNUMBER(C500),B500&gt;0),C500/B500,"")</f>
        <v/>
      </c>
      <c r="F500" s="4">
        <f>IF(AND(ISNUMBER(B500),ISNUMBER(D500),D500&gt;0),100*B500/D500,"")</f>
        <v/>
      </c>
    </row>
    <row r="501">
      <c r="A501" s="3" t="inlineStr">
        <is>
          <t>46222</t>
        </is>
      </c>
      <c r="B501" s="3" t="n">
        <v>0</v>
      </c>
      <c r="C501" s="3" t="n"/>
      <c r="D501" s="3" t="n"/>
      <c r="E501" s="4">
        <f>IF(AND(ISNUMBER(B501),ISNUMBER(C501),B501&gt;0),C501/B501,"")</f>
        <v/>
      </c>
      <c r="F501" s="4">
        <f>IF(AND(ISNUMBER(B501),ISNUMBER(D501),D501&gt;0),100*B501/D501,"")</f>
        <v/>
      </c>
    </row>
    <row r="502">
      <c r="A502" s="3" t="inlineStr">
        <is>
          <t>46223</t>
        </is>
      </c>
      <c r="B502" s="3" t="n">
        <v>9</v>
      </c>
      <c r="C502" s="3" t="n">
        <v>10</v>
      </c>
      <c r="D502" s="3" t="n">
        <v>3337.969674</v>
      </c>
      <c r="E502" s="4">
        <f>IF(AND(ISNUMBER(B502),ISNUMBER(C502),B502&gt;0),C502/B502,"")</f>
        <v/>
      </c>
      <c r="F502" s="4">
        <f>IF(AND(ISNUMBER(B502),ISNUMBER(D502),D502&gt;0),100*B502/D502,"")</f>
        <v/>
      </c>
    </row>
    <row r="503">
      <c r="A503" s="3" t="inlineStr">
        <is>
          <t>46224</t>
        </is>
      </c>
      <c r="B503" s="3" t="n">
        <v>2</v>
      </c>
      <c r="C503" s="3" t="n">
        <v>3</v>
      </c>
      <c r="D503" s="3" t="n">
        <v>212.9925453</v>
      </c>
      <c r="E503" s="4">
        <f>IF(AND(ISNUMBER(B503),ISNUMBER(C503),B503&gt;0),C503/B503,"")</f>
        <v/>
      </c>
      <c r="F503" s="4">
        <f>IF(AND(ISNUMBER(B503),ISNUMBER(D503),D503&gt;0),100*B503/D503,"")</f>
        <v/>
      </c>
    </row>
    <row r="504">
      <c r="A504" s="3" t="inlineStr">
        <is>
          <t>46225</t>
        </is>
      </c>
      <c r="B504" s="3" t="n">
        <v>2</v>
      </c>
      <c r="C504" s="3" t="n"/>
      <c r="D504" s="3" t="n">
        <v>294.9852507</v>
      </c>
      <c r="E504" s="4">
        <f>IF(AND(ISNUMBER(B504),ISNUMBER(C504),B504&gt;0),C504/B504,"")</f>
        <v/>
      </c>
      <c r="F504" s="4">
        <f>IF(AND(ISNUMBER(B504),ISNUMBER(D504),D504&gt;0),100*B504/D504,"")</f>
        <v/>
      </c>
    </row>
    <row r="505">
      <c r="A505" s="3" t="inlineStr">
        <is>
          <t>46226</t>
        </is>
      </c>
      <c r="B505" s="3" t="n">
        <v>0</v>
      </c>
      <c r="C505" s="3" t="n"/>
      <c r="D505" s="3" t="n"/>
      <c r="E505" s="4">
        <f>IF(AND(ISNUMBER(B505),ISNUMBER(C505),B505&gt;0),C505/B505,"")</f>
        <v/>
      </c>
      <c r="F505" s="4">
        <f>IF(AND(ISNUMBER(B505),ISNUMBER(D505),D505&gt;0),100*B505/D505,"")</f>
        <v/>
      </c>
    </row>
    <row r="506">
      <c r="A506" s="3" t="inlineStr">
        <is>
          <t>46227</t>
        </is>
      </c>
      <c r="B506" s="3" t="n">
        <v>0</v>
      </c>
      <c r="C506" s="3" t="n">
        <v>2</v>
      </c>
      <c r="D506" s="3" t="n"/>
      <c r="E506" s="4">
        <f>IF(AND(ISNUMBER(B506),ISNUMBER(C506),B506&gt;0),C506/B506,"")</f>
        <v/>
      </c>
      <c r="F506" s="4">
        <f>IF(AND(ISNUMBER(B506),ISNUMBER(D506),D506&gt;0),100*B506/D506,"")</f>
        <v/>
      </c>
    </row>
    <row r="507">
      <c r="A507" s="3" t="inlineStr">
        <is>
          <t>46228</t>
        </is>
      </c>
      <c r="B507" s="3" t="n">
        <v>32</v>
      </c>
      <c r="C507" s="3" t="n">
        <v>27</v>
      </c>
      <c r="D507" s="3" t="n">
        <v>2880.100964</v>
      </c>
      <c r="E507" s="4">
        <f>IF(AND(ISNUMBER(B507),ISNUMBER(C507),B507&gt;0),C507/B507,"")</f>
        <v/>
      </c>
      <c r="F507" s="4">
        <f>IF(AND(ISNUMBER(B507),ISNUMBER(D507),D507&gt;0),100*B507/D507,"")</f>
        <v/>
      </c>
    </row>
    <row r="508">
      <c r="A508" s="3" t="inlineStr">
        <is>
          <t>46229</t>
        </is>
      </c>
      <c r="B508" s="3" t="n">
        <v>26</v>
      </c>
      <c r="C508" s="3" t="n">
        <v>11</v>
      </c>
      <c r="D508" s="3" t="n">
        <v>2036.021926</v>
      </c>
      <c r="E508" s="4">
        <f>IF(AND(ISNUMBER(B508),ISNUMBER(C508),B508&gt;0),C508/B508,"")</f>
        <v/>
      </c>
      <c r="F508" s="4">
        <f>IF(AND(ISNUMBER(B508),ISNUMBER(D508),D508&gt;0),100*B508/D508,"")</f>
        <v/>
      </c>
    </row>
    <row r="509">
      <c r="A509" s="3" t="inlineStr">
        <is>
          <t>46230</t>
        </is>
      </c>
      <c r="B509" s="3" t="n">
        <v>9</v>
      </c>
      <c r="C509" s="3" t="n">
        <v>3</v>
      </c>
      <c r="D509" s="3" t="n">
        <v>3934.389815</v>
      </c>
      <c r="E509" s="4">
        <f>IF(AND(ISNUMBER(B509),ISNUMBER(C509),B509&gt;0),C509/B509,"")</f>
        <v/>
      </c>
      <c r="F509" s="4">
        <f>IF(AND(ISNUMBER(B509),ISNUMBER(D509),D509&gt;0),100*B509/D509,"")</f>
        <v/>
      </c>
    </row>
    <row r="510">
      <c r="A510" s="3" t="inlineStr">
        <is>
          <t>46231</t>
        </is>
      </c>
      <c r="B510" s="3" t="n">
        <v>6</v>
      </c>
      <c r="C510" s="3" t="n">
        <v>8</v>
      </c>
      <c r="D510" s="3" t="n">
        <v>2457.264957</v>
      </c>
      <c r="E510" s="4">
        <f>IF(AND(ISNUMBER(B510),ISNUMBER(C510),B510&gt;0),C510/B510,"")</f>
        <v/>
      </c>
      <c r="F510" s="4">
        <f>IF(AND(ISNUMBER(B510),ISNUMBER(D510),D510&gt;0),100*B510/D510,"")</f>
        <v/>
      </c>
    </row>
    <row r="511">
      <c r="A511" s="3" t="inlineStr">
        <is>
          <t>46232</t>
        </is>
      </c>
      <c r="B511" s="3" t="n">
        <v>1</v>
      </c>
      <c r="C511" s="3" t="n"/>
      <c r="D511" s="3" t="n">
        <v>908.2652134</v>
      </c>
      <c r="E511" s="4">
        <f>IF(AND(ISNUMBER(B511),ISNUMBER(C511),B511&gt;0),C511/B511,"")</f>
        <v/>
      </c>
      <c r="F511" s="4">
        <f>IF(AND(ISNUMBER(B511),ISNUMBER(D511),D511&gt;0),100*B511/D511,"")</f>
        <v/>
      </c>
    </row>
    <row r="512">
      <c r="A512" s="3" t="inlineStr">
        <is>
          <t>46233</t>
        </is>
      </c>
      <c r="B512" s="3" t="n">
        <v>1</v>
      </c>
      <c r="C512" s="3" t="n">
        <v>1</v>
      </c>
      <c r="D512" s="3" t="n">
        <v>888.8888889</v>
      </c>
      <c r="E512" s="4">
        <f>IF(AND(ISNUMBER(B512),ISNUMBER(C512),B512&gt;0),C512/B512,"")</f>
        <v/>
      </c>
      <c r="F512" s="4">
        <f>IF(AND(ISNUMBER(B512),ISNUMBER(D512),D512&gt;0),100*B512/D512,"")</f>
        <v/>
      </c>
    </row>
    <row r="513">
      <c r="A513" s="3" t="inlineStr">
        <is>
          <t>46234</t>
        </is>
      </c>
      <c r="B513" s="3" t="n">
        <v>0</v>
      </c>
      <c r="C513" s="3" t="n">
        <v>2</v>
      </c>
      <c r="D513" s="3" t="n"/>
      <c r="E513" s="4">
        <f>IF(AND(ISNUMBER(B513),ISNUMBER(C513),B513&gt;0),C513/B513,"")</f>
        <v/>
      </c>
      <c r="F513" s="4">
        <f>IF(AND(ISNUMBER(B513),ISNUMBER(D513),D513&gt;0),100*B513/D513,"")</f>
        <v/>
      </c>
    </row>
    <row r="514">
      <c r="A514" s="3" t="inlineStr">
        <is>
          <t>46235</t>
        </is>
      </c>
      <c r="B514" s="3" t="n">
        <v>168</v>
      </c>
      <c r="C514" s="3" t="n">
        <v>281</v>
      </c>
      <c r="D514" s="3" t="n">
        <v>20152.63298</v>
      </c>
      <c r="E514" s="4">
        <f>IF(AND(ISNUMBER(B514),ISNUMBER(C514),B514&gt;0),C514/B514,"")</f>
        <v/>
      </c>
      <c r="F514" s="4">
        <f>IF(AND(ISNUMBER(B514),ISNUMBER(D514),D514&gt;0),100*B514/D514,"")</f>
        <v/>
      </c>
    </row>
    <row r="515">
      <c r="A515" s="3" t="inlineStr">
        <is>
          <t>46236</t>
        </is>
      </c>
      <c r="B515" s="3" t="n">
        <v>0</v>
      </c>
      <c r="C515" s="3" t="n"/>
      <c r="D515" s="3" t="n"/>
      <c r="E515" s="4">
        <f>IF(AND(ISNUMBER(B515),ISNUMBER(C515),B515&gt;0),C515/B515,"")</f>
        <v/>
      </c>
      <c r="F515" s="4">
        <f>IF(AND(ISNUMBER(B515),ISNUMBER(D515),D515&gt;0),100*B515/D515,"")</f>
        <v/>
      </c>
    </row>
    <row r="516">
      <c r="A516" s="3" t="inlineStr">
        <is>
          <t>46237</t>
        </is>
      </c>
      <c r="B516" s="3" t="n">
        <v>2</v>
      </c>
      <c r="C516" s="3" t="n">
        <v>4</v>
      </c>
      <c r="D516" s="3" t="n">
        <v>1233.926509</v>
      </c>
      <c r="E516" s="4">
        <f>IF(AND(ISNUMBER(B516),ISNUMBER(C516),B516&gt;0),C516/B516,"")</f>
        <v/>
      </c>
      <c r="F516" s="4">
        <f>IF(AND(ISNUMBER(B516),ISNUMBER(D516),D516&gt;0),100*B516/D516,"")</f>
        <v/>
      </c>
    </row>
    <row r="517">
      <c r="A517" s="3" t="inlineStr">
        <is>
          <t>46238</t>
        </is>
      </c>
      <c r="B517" s="3" t="n">
        <v>71</v>
      </c>
      <c r="C517" s="3" t="n">
        <v>173</v>
      </c>
      <c r="D517" s="3" t="n">
        <v>11590.23825</v>
      </c>
      <c r="E517" s="4">
        <f>IF(AND(ISNUMBER(B517),ISNUMBER(C517),B517&gt;0),C517/B517,"")</f>
        <v/>
      </c>
      <c r="F517" s="4">
        <f>IF(AND(ISNUMBER(B517),ISNUMBER(D517),D517&gt;0),100*B517/D517,"")</f>
        <v/>
      </c>
    </row>
    <row r="518">
      <c r="A518" s="3" t="inlineStr">
        <is>
          <t>46239</t>
        </is>
      </c>
      <c r="B518" s="3" t="n">
        <v>3</v>
      </c>
      <c r="C518" s="3" t="n"/>
      <c r="D518" s="3" t="n">
        <v>838.9261745</v>
      </c>
      <c r="E518" s="4">
        <f>IF(AND(ISNUMBER(B518),ISNUMBER(C518),B518&gt;0),C518/B518,"")</f>
        <v/>
      </c>
      <c r="F518" s="4">
        <f>IF(AND(ISNUMBER(B518),ISNUMBER(D518),D518&gt;0),100*B518/D518,"")</f>
        <v/>
      </c>
    </row>
    <row r="519">
      <c r="A519" s="3" t="inlineStr">
        <is>
          <t>46240</t>
        </is>
      </c>
      <c r="B519" s="3" t="n">
        <v>1</v>
      </c>
      <c r="C519" s="3" t="n">
        <v>2</v>
      </c>
      <c r="D519" s="3" t="n">
        <v>237.9819134</v>
      </c>
      <c r="E519" s="4">
        <f>IF(AND(ISNUMBER(B519),ISNUMBER(C519),B519&gt;0),C519/B519,"")</f>
        <v/>
      </c>
      <c r="F519" s="4">
        <f>IF(AND(ISNUMBER(B519),ISNUMBER(D519),D519&gt;0),100*B519/D519,"")</f>
        <v/>
      </c>
    </row>
    <row r="520">
      <c r="A520" s="3" t="inlineStr">
        <is>
          <t>46241</t>
        </is>
      </c>
      <c r="B520" s="3" t="n">
        <v>1</v>
      </c>
      <c r="C520" s="3" t="n"/>
      <c r="D520" s="3" t="n">
        <v>686.8131868</v>
      </c>
      <c r="E520" s="4">
        <f>IF(AND(ISNUMBER(B520),ISNUMBER(C520),B520&gt;0),C520/B520,"")</f>
        <v/>
      </c>
      <c r="F520" s="4">
        <f>IF(AND(ISNUMBER(B520),ISNUMBER(D520),D520&gt;0),100*B520/D520,"")</f>
        <v/>
      </c>
    </row>
    <row r="521">
      <c r="A521" s="3" t="inlineStr">
        <is>
          <t>46242</t>
        </is>
      </c>
      <c r="B521" s="3" t="n">
        <v>1</v>
      </c>
      <c r="C521" s="3" t="n">
        <v>1</v>
      </c>
      <c r="D521" s="3" t="n">
        <v>503.0181087</v>
      </c>
      <c r="E521" s="4">
        <f>IF(AND(ISNUMBER(B521),ISNUMBER(C521),B521&gt;0),C521/B521,"")</f>
        <v/>
      </c>
      <c r="F521" s="4">
        <f>IF(AND(ISNUMBER(B521),ISNUMBER(D521),D521&gt;0),100*B521/D521,"")</f>
        <v/>
      </c>
    </row>
    <row r="522">
      <c r="A522" s="3" t="inlineStr">
        <is>
          <t>46243</t>
        </is>
      </c>
      <c r="B522" s="3" t="n">
        <v>0</v>
      </c>
      <c r="C522" s="3" t="n"/>
      <c r="D522" s="3" t="n"/>
      <c r="E522" s="4">
        <f>IF(AND(ISNUMBER(B522),ISNUMBER(C522),B522&gt;0),C522/B522,"")</f>
        <v/>
      </c>
      <c r="F522" s="4">
        <f>IF(AND(ISNUMBER(B522),ISNUMBER(D522),D522&gt;0),100*B522/D522,"")</f>
        <v/>
      </c>
    </row>
    <row r="523">
      <c r="A523" s="3" t="inlineStr">
        <is>
          <t>46244</t>
        </is>
      </c>
      <c r="B523" s="3" t="n">
        <v>60</v>
      </c>
      <c r="C523" s="3" t="n">
        <v>14</v>
      </c>
      <c r="D523" s="3" t="n">
        <v>18678.88956</v>
      </c>
      <c r="E523" s="4">
        <f>IF(AND(ISNUMBER(B523),ISNUMBER(C523),B523&gt;0),C523/B523,"")</f>
        <v/>
      </c>
      <c r="F523" s="4">
        <f>IF(AND(ISNUMBER(B523),ISNUMBER(D523),D523&gt;0),100*B523/D523,"")</f>
        <v/>
      </c>
    </row>
    <row r="524">
      <c r="A524" s="3" t="inlineStr">
        <is>
          <t>46245</t>
        </is>
      </c>
      <c r="B524" s="3" t="n">
        <v>8</v>
      </c>
      <c r="C524" s="3" t="n">
        <v>11</v>
      </c>
      <c r="D524" s="3" t="n">
        <v>845.0406676</v>
      </c>
      <c r="E524" s="4">
        <f>IF(AND(ISNUMBER(B524),ISNUMBER(C524),B524&gt;0),C524/B524,"")</f>
        <v/>
      </c>
      <c r="F524" s="4">
        <f>IF(AND(ISNUMBER(B524),ISNUMBER(D524),D524&gt;0),100*B524/D524,"")</f>
        <v/>
      </c>
    </row>
    <row r="525">
      <c r="A525" s="3" t="inlineStr">
        <is>
          <t>46246</t>
        </is>
      </c>
      <c r="B525" s="3" t="n">
        <v>2</v>
      </c>
      <c r="C525" s="3" t="n">
        <v>2</v>
      </c>
      <c r="D525" s="3" t="n">
        <v>928.0742459000001</v>
      </c>
      <c r="E525" s="4">
        <f>IF(AND(ISNUMBER(B525),ISNUMBER(C525),B525&gt;0),C525/B525,"")</f>
        <v/>
      </c>
      <c r="F525" s="4">
        <f>IF(AND(ISNUMBER(B525),ISNUMBER(D525),D525&gt;0),100*B525/D525,"")</f>
        <v/>
      </c>
    </row>
    <row r="526">
      <c r="A526" s="3" t="inlineStr">
        <is>
          <t>46247</t>
        </is>
      </c>
      <c r="B526" s="3" t="n">
        <v>2</v>
      </c>
      <c r="C526" s="3" t="n">
        <v>4</v>
      </c>
      <c r="D526" s="3" t="n">
        <v>1356.852103</v>
      </c>
      <c r="E526" s="4">
        <f>IF(AND(ISNUMBER(B526),ISNUMBER(C526),B526&gt;0),C526/B526,"")</f>
        <v/>
      </c>
      <c r="F526" s="4">
        <f>IF(AND(ISNUMBER(B526),ISNUMBER(D526),D526&gt;0),100*B526/D526,"")</f>
        <v/>
      </c>
    </row>
    <row r="527">
      <c r="A527" s="3" t="inlineStr">
        <is>
          <t>46248</t>
        </is>
      </c>
      <c r="B527" s="3" t="n">
        <v>25</v>
      </c>
      <c r="C527" s="3" t="n">
        <v>21</v>
      </c>
      <c r="D527" s="3" t="n">
        <v>5743.061519</v>
      </c>
      <c r="E527" s="4">
        <f>IF(AND(ISNUMBER(B527),ISNUMBER(C527),B527&gt;0),C527/B527,"")</f>
        <v/>
      </c>
      <c r="F527" s="4">
        <f>IF(AND(ISNUMBER(B527),ISNUMBER(D527),D527&gt;0),100*B527/D527,"")</f>
        <v/>
      </c>
    </row>
    <row r="528">
      <c r="A528" s="3" t="inlineStr">
        <is>
          <t>46249</t>
        </is>
      </c>
      <c r="B528" s="3" t="n">
        <v>8</v>
      </c>
      <c r="C528" s="3" t="n">
        <v>7</v>
      </c>
      <c r="D528" s="3" t="n">
        <v>3806.922241</v>
      </c>
      <c r="E528" s="4">
        <f>IF(AND(ISNUMBER(B528),ISNUMBER(C528),B528&gt;0),C528/B528,"")</f>
        <v/>
      </c>
      <c r="F528" s="4">
        <f>IF(AND(ISNUMBER(B528),ISNUMBER(D528),D528&gt;0),100*B528/D528,"")</f>
        <v/>
      </c>
    </row>
    <row r="529">
      <c r="A529" s="3" t="inlineStr">
        <is>
          <t>46250</t>
        </is>
      </c>
      <c r="B529" s="3" t="n">
        <v>5393</v>
      </c>
      <c r="C529" s="3" t="n">
        <v>5766</v>
      </c>
      <c r="D529" s="3" t="n">
        <v>381286.6372</v>
      </c>
      <c r="E529" s="4">
        <f>IF(AND(ISNUMBER(B529),ISNUMBER(C529),B529&gt;0),C529/B529,"")</f>
        <v/>
      </c>
      <c r="F529" s="4">
        <f>IF(AND(ISNUMBER(B529),ISNUMBER(D529),D529&gt;0),100*B529/D529,"")</f>
        <v/>
      </c>
    </row>
    <row r="530">
      <c r="A530" s="3" t="inlineStr">
        <is>
          <t>46251</t>
        </is>
      </c>
      <c r="B530" s="3" t="n">
        <v>5</v>
      </c>
      <c r="C530" s="3" t="n">
        <v>4</v>
      </c>
      <c r="D530" s="3" t="n">
        <v>2091.931227</v>
      </c>
      <c r="E530" s="4">
        <f>IF(AND(ISNUMBER(B530),ISNUMBER(C530),B530&gt;0),C530/B530,"")</f>
        <v/>
      </c>
      <c r="F530" s="4">
        <f>IF(AND(ISNUMBER(B530),ISNUMBER(D530),D530&gt;0),100*B530/D530,"")</f>
        <v/>
      </c>
    </row>
    <row r="531">
      <c r="A531" s="3" t="inlineStr">
        <is>
          <t>46252</t>
        </is>
      </c>
      <c r="B531" s="3" t="n">
        <v>0</v>
      </c>
      <c r="C531" s="3" t="n"/>
      <c r="D531" s="3" t="n"/>
      <c r="E531" s="4">
        <f>IF(AND(ISNUMBER(B531),ISNUMBER(C531),B531&gt;0),C531/B531,"")</f>
        <v/>
      </c>
      <c r="F531" s="4">
        <f>IF(AND(ISNUMBER(B531),ISNUMBER(D531),D531&gt;0),100*B531/D531,"")</f>
        <v/>
      </c>
    </row>
    <row r="532">
      <c r="A532" s="3" t="inlineStr">
        <is>
          <t>46253</t>
        </is>
      </c>
      <c r="B532" s="3" t="n">
        <v>0</v>
      </c>
      <c r="C532" s="3" t="n"/>
      <c r="D532" s="3" t="n"/>
      <c r="E532" s="4">
        <f>IF(AND(ISNUMBER(B532),ISNUMBER(C532),B532&gt;0),C532/B532,"")</f>
        <v/>
      </c>
      <c r="F532" s="4">
        <f>IF(AND(ISNUMBER(B532),ISNUMBER(D532),D532&gt;0),100*B532/D532,"")</f>
        <v/>
      </c>
    </row>
    <row r="533">
      <c r="A533" s="3" t="inlineStr">
        <is>
          <t>46254</t>
        </is>
      </c>
      <c r="B533" s="3" t="n">
        <v>8</v>
      </c>
      <c r="C533" s="3" t="n">
        <v>6</v>
      </c>
      <c r="D533" s="3" t="n">
        <v>1628.996131</v>
      </c>
      <c r="E533" s="4">
        <f>IF(AND(ISNUMBER(B533),ISNUMBER(C533),B533&gt;0),C533/B533,"")</f>
        <v/>
      </c>
      <c r="F533" s="4">
        <f>IF(AND(ISNUMBER(B533),ISNUMBER(D533),D533&gt;0),100*B533/D533,"")</f>
        <v/>
      </c>
    </row>
    <row r="534">
      <c r="A534" s="3" t="inlineStr">
        <is>
          <t>46255</t>
        </is>
      </c>
      <c r="B534" s="3" t="n">
        <v>9</v>
      </c>
      <c r="C534" s="3" t="n">
        <v>7</v>
      </c>
      <c r="D534" s="3" t="n">
        <v>3075.61279</v>
      </c>
      <c r="E534" s="4">
        <f>IF(AND(ISNUMBER(B534),ISNUMBER(C534),B534&gt;0),C534/B534,"")</f>
        <v/>
      </c>
      <c r="F534" s="4">
        <f>IF(AND(ISNUMBER(B534),ISNUMBER(D534),D534&gt;0),100*B534/D534,"")</f>
        <v/>
      </c>
    </row>
    <row r="535">
      <c r="A535" s="3" t="inlineStr">
        <is>
          <t>46256</t>
        </is>
      </c>
      <c r="B535" s="3" t="n">
        <v>15</v>
      </c>
      <c r="C535" s="3" t="n">
        <v>2</v>
      </c>
      <c r="D535" s="3" t="n">
        <v>2594.031019</v>
      </c>
      <c r="E535" s="4">
        <f>IF(AND(ISNUMBER(B535),ISNUMBER(C535),B535&gt;0),C535/B535,"")</f>
        <v/>
      </c>
      <c r="F535" s="4">
        <f>IF(AND(ISNUMBER(B535),ISNUMBER(D535),D535&gt;0),100*B535/D535,"")</f>
        <v/>
      </c>
    </row>
    <row r="536">
      <c r="A536" s="3" t="inlineStr">
        <is>
          <t>46257</t>
        </is>
      </c>
      <c r="B536" s="3" t="n">
        <v>4</v>
      </c>
      <c r="C536" s="3" t="n"/>
      <c r="D536" s="3" t="n">
        <v>1787.946721</v>
      </c>
      <c r="E536" s="4">
        <f>IF(AND(ISNUMBER(B536),ISNUMBER(C536),B536&gt;0),C536/B536,"")</f>
        <v/>
      </c>
      <c r="F536" s="4">
        <f>IF(AND(ISNUMBER(B536),ISNUMBER(D536),D536&gt;0),100*B536/D536,"")</f>
        <v/>
      </c>
    </row>
    <row r="537">
      <c r="A537" s="3" t="inlineStr">
        <is>
          <t>46258</t>
        </is>
      </c>
      <c r="B537" s="3" t="n">
        <v>5</v>
      </c>
      <c r="C537" s="3" t="n">
        <v>1</v>
      </c>
      <c r="D537" s="3" t="n">
        <v>2830.430618</v>
      </c>
      <c r="E537" s="4">
        <f>IF(AND(ISNUMBER(B537),ISNUMBER(C537),B537&gt;0),C537/B537,"")</f>
        <v/>
      </c>
      <c r="F537" s="4">
        <f>IF(AND(ISNUMBER(B537),ISNUMBER(D537),D537&gt;0),100*B537/D537,"")</f>
        <v/>
      </c>
    </row>
    <row r="538">
      <c r="A538" s="3" t="inlineStr">
        <is>
          <t>46259</t>
        </is>
      </c>
      <c r="B538" s="3" t="n">
        <v>3</v>
      </c>
      <c r="C538" s="3" t="n">
        <v>1</v>
      </c>
      <c r="D538" s="3" t="n">
        <v>742.9420505000001</v>
      </c>
      <c r="E538" s="4">
        <f>IF(AND(ISNUMBER(B538),ISNUMBER(C538),B538&gt;0),C538/B538,"")</f>
        <v/>
      </c>
      <c r="F538" s="4">
        <f>IF(AND(ISNUMBER(B538),ISNUMBER(D538),D538&gt;0),100*B538/D538,"")</f>
        <v/>
      </c>
    </row>
    <row r="539">
      <c r="A539" s="3" t="inlineStr">
        <is>
          <t>46260</t>
        </is>
      </c>
      <c r="B539" s="3" t="n">
        <v>1</v>
      </c>
      <c r="C539" s="3" t="n">
        <v>2</v>
      </c>
      <c r="D539" s="3" t="n">
        <v>366.0322108</v>
      </c>
      <c r="E539" s="4">
        <f>IF(AND(ISNUMBER(B539),ISNUMBER(C539),B539&gt;0),C539/B539,"")</f>
        <v/>
      </c>
      <c r="F539" s="4">
        <f>IF(AND(ISNUMBER(B539),ISNUMBER(D539),D539&gt;0),100*B539/D539,"")</f>
        <v/>
      </c>
    </row>
    <row r="540">
      <c r="A540" s="3" t="inlineStr">
        <is>
          <t>46261</t>
        </is>
      </c>
      <c r="B540" s="3" t="n">
        <v>5</v>
      </c>
      <c r="C540" s="3" t="n">
        <v>1</v>
      </c>
      <c r="D540" s="3" t="n">
        <v>2028.397566</v>
      </c>
      <c r="E540" s="4">
        <f>IF(AND(ISNUMBER(B540),ISNUMBER(C540),B540&gt;0),C540/B540,"")</f>
        <v/>
      </c>
      <c r="F540" s="4">
        <f>IF(AND(ISNUMBER(B540),ISNUMBER(D540),D540&gt;0),100*B540/D540,"")</f>
        <v/>
      </c>
    </row>
    <row r="541">
      <c r="A541" s="3" t="inlineStr">
        <is>
          <t>46262</t>
        </is>
      </c>
      <c r="B541" s="3" t="n">
        <v>2</v>
      </c>
      <c r="C541" s="3" t="n"/>
      <c r="D541" s="3" t="n">
        <v>351.9887364</v>
      </c>
      <c r="E541" s="4">
        <f>IF(AND(ISNUMBER(B541),ISNUMBER(C541),B541&gt;0),C541/B541,"")</f>
        <v/>
      </c>
      <c r="F541" s="4">
        <f>IF(AND(ISNUMBER(B541),ISNUMBER(D541),D541&gt;0),100*B541/D541,"")</f>
        <v/>
      </c>
    </row>
    <row r="542">
      <c r="A542" s="3" t="inlineStr">
        <is>
          <t>46263</t>
        </is>
      </c>
      <c r="B542" s="3" t="n">
        <v>6</v>
      </c>
      <c r="C542" s="3" t="n">
        <v>4</v>
      </c>
      <c r="D542" s="3" t="n">
        <v>443.0005907</v>
      </c>
      <c r="E542" s="4">
        <f>IF(AND(ISNUMBER(B542),ISNUMBER(C542),B542&gt;0),C542/B542,"")</f>
        <v/>
      </c>
      <c r="F542" s="4">
        <f>IF(AND(ISNUMBER(B542),ISNUMBER(D542),D542&gt;0),100*B542/D542,"")</f>
        <v/>
      </c>
    </row>
    <row r="543">
      <c r="A543" s="3" t="inlineStr">
        <is>
          <t>46902</t>
        </is>
      </c>
      <c r="B543" s="3" t="n">
        <v>1</v>
      </c>
      <c r="C543" s="3" t="n">
        <v>1</v>
      </c>
      <c r="D543" s="3" t="n">
        <v>816.3265306</v>
      </c>
      <c r="E543" s="4">
        <f>IF(AND(ISNUMBER(B543),ISNUMBER(C543),B543&gt;0),C543/B543,"")</f>
        <v/>
      </c>
      <c r="F543" s="4">
        <f>IF(AND(ISNUMBER(B543),ISNUMBER(D543),D543&gt;0),100*B543/D543,"")</f>
        <v/>
      </c>
    </row>
    <row r="544">
      <c r="A544" s="3" t="inlineStr">
        <is>
          <t>46903</t>
        </is>
      </c>
      <c r="B544" s="3" t="n">
        <v>7</v>
      </c>
      <c r="C544" s="3" t="n">
        <v>13</v>
      </c>
      <c r="D544" s="3" t="n">
        <v>2251.306283</v>
      </c>
      <c r="E544" s="4">
        <f>IF(AND(ISNUMBER(B544),ISNUMBER(C544),B544&gt;0),C544/B544,"")</f>
        <v/>
      </c>
      <c r="F544" s="4">
        <f>IF(AND(ISNUMBER(B544),ISNUMBER(D544),D544&gt;0),100*B544/D544,"")</f>
        <v/>
      </c>
    </row>
    <row r="545">
      <c r="A545" s="3" t="inlineStr">
        <is>
          <t>46904</t>
        </is>
      </c>
      <c r="B545" s="3" t="n">
        <v>2</v>
      </c>
      <c r="C545" s="3" t="n">
        <v>1</v>
      </c>
      <c r="D545" s="3" t="n">
        <v>755.0018875</v>
      </c>
      <c r="E545" s="4">
        <f>IF(AND(ISNUMBER(B545),ISNUMBER(C545),B545&gt;0),C545/B545,"")</f>
        <v/>
      </c>
      <c r="F545" s="4">
        <f>IF(AND(ISNUMBER(B545),ISNUMBER(D545),D545&gt;0),100*B545/D545,"")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decisiones: docs/v12/decisiones.md; cifras publicables: output/v5/cifras_clave.csv (ids V12-).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Borja Romero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