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01_Andalucia" sheetId="2" state="visible" r:id="rId2"/>
    <sheet xmlns:r="http://schemas.openxmlformats.org/officeDocument/2006/relationships" name="02_Aragon" sheetId="3" state="visible" r:id="rId3"/>
    <sheet xmlns:r="http://schemas.openxmlformats.org/officeDocument/2006/relationships" name="03_Asturias" sheetId="4" state="visible" r:id="rId4"/>
    <sheet xmlns:r="http://schemas.openxmlformats.org/officeDocument/2006/relationships" name="04_Illes_Balears" sheetId="5" state="visible" r:id="rId5"/>
    <sheet xmlns:r="http://schemas.openxmlformats.org/officeDocument/2006/relationships" name="05_Canarias" sheetId="6" state="visible" r:id="rId6"/>
    <sheet xmlns:r="http://schemas.openxmlformats.org/officeDocument/2006/relationships" name="06_Cantabria" sheetId="7" state="visible" r:id="rId7"/>
    <sheet xmlns:r="http://schemas.openxmlformats.org/officeDocument/2006/relationships" name="07_Castilla_y_Leon" sheetId="8" state="visible" r:id="rId8"/>
    <sheet xmlns:r="http://schemas.openxmlformats.org/officeDocument/2006/relationships" name="08_Castilla_La_Mancha" sheetId="9" state="visible" r:id="rId9"/>
    <sheet xmlns:r="http://schemas.openxmlformats.org/officeDocument/2006/relationships" name="09_Cataluna" sheetId="10" state="visible" r:id="rId10"/>
    <sheet xmlns:r="http://schemas.openxmlformats.org/officeDocument/2006/relationships" name="10_Comunitat_Valenciana" sheetId="11" state="visible" r:id="rId11"/>
    <sheet xmlns:r="http://schemas.openxmlformats.org/officeDocument/2006/relationships" name="11_Extremadura" sheetId="12" state="visible" r:id="rId12"/>
    <sheet xmlns:r="http://schemas.openxmlformats.org/officeDocument/2006/relationships" name="12_Galicia" sheetId="13" state="visible" r:id="rId13"/>
    <sheet xmlns:r="http://schemas.openxmlformats.org/officeDocument/2006/relationships" name="13_Comunidad_de_Madrid" sheetId="14" state="visible" r:id="rId14"/>
    <sheet xmlns:r="http://schemas.openxmlformats.org/officeDocument/2006/relationships" name="14_Region_de_Murcia" sheetId="15" state="visible" r:id="rId15"/>
    <sheet xmlns:r="http://schemas.openxmlformats.org/officeDocument/2006/relationships" name="15_Comunidad_Foral_de_Navarra" sheetId="16" state="visible" r:id="rId16"/>
    <sheet xmlns:r="http://schemas.openxmlformats.org/officeDocument/2006/relationships" name="16_Pais_Vasco" sheetId="17" state="visible" r:id="rId17"/>
    <sheet xmlns:r="http://schemas.openxmlformats.org/officeDocument/2006/relationships" name="17_La_Rioj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color rgb="000000FF"/>
    </font>
    <font>
      <color rgb="000000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2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3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4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5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6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7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8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9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0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1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2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3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4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5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6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7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CCAA</t>
        </is>
      </c>
      <c r="B1" t="inlineStr">
        <is>
          <t>Variación IPV 2022T3-último</t>
        </is>
      </c>
      <c r="C1" t="inlineStr">
        <is>
          <t>Variación IPC alquiler 2022T3-último</t>
        </is>
      </c>
      <c r="D1" t="inlineStr">
        <is>
          <t>Mejor modelo compra (RMSE×100)</t>
        </is>
      </c>
      <c r="E1" t="inlineStr">
        <is>
          <t>Mejor modelo alquiler (RMSE×100)</t>
        </is>
      </c>
    </row>
    <row r="2">
      <c r="A2" t="inlineStr">
        <is>
          <t>Andalucía</t>
        </is>
      </c>
      <c r="B2" s="1">
        <f>'01_Andalucia'!G6</f>
        <v/>
      </c>
      <c r="C2" s="1">
        <f>'01_Andalucia'!G9</f>
        <v/>
      </c>
      <c r="D2" s="2">
        <f>'01_Andalucia'!B13</f>
        <v/>
      </c>
      <c r="E2" s="2">
        <f>'01_Andalucia'!B12</f>
        <v/>
      </c>
    </row>
    <row r="3">
      <c r="A3" t="inlineStr">
        <is>
          <t>Aragón</t>
        </is>
      </c>
      <c r="B3" s="1">
        <f>'02_Aragon'!G6</f>
        <v/>
      </c>
      <c r="C3" s="1">
        <f>'02_Aragon'!G9</f>
        <v/>
      </c>
      <c r="D3" s="2">
        <f>'02_Aragon'!B13</f>
        <v/>
      </c>
      <c r="E3" s="2">
        <f>'02_Aragon'!B12</f>
        <v/>
      </c>
    </row>
    <row r="4">
      <c r="A4" t="inlineStr">
        <is>
          <t>Asturias</t>
        </is>
      </c>
      <c r="B4" s="1">
        <f>'03_Asturias'!G6</f>
        <v/>
      </c>
      <c r="C4" s="1">
        <f>'03_Asturias'!G9</f>
        <v/>
      </c>
      <c r="D4" s="2">
        <f>'03_Asturias'!B13</f>
        <v/>
      </c>
      <c r="E4" s="2">
        <f>'03_Asturias'!B12</f>
        <v/>
      </c>
    </row>
    <row r="5">
      <c r="A5" t="inlineStr">
        <is>
          <t>Illes Balears</t>
        </is>
      </c>
      <c r="B5" s="1">
        <f>'04_Illes_Balears'!G6</f>
        <v/>
      </c>
      <c r="C5" s="1">
        <f>'04_Illes_Balears'!G9</f>
        <v/>
      </c>
      <c r="D5" s="2">
        <f>'04_Illes_Balears'!B13</f>
        <v/>
      </c>
      <c r="E5" s="2">
        <f>'04_Illes_Balears'!B12</f>
        <v/>
      </c>
    </row>
    <row r="6">
      <c r="A6" t="inlineStr">
        <is>
          <t>Canarias</t>
        </is>
      </c>
      <c r="B6" s="1">
        <f>'05_Canarias'!G6</f>
        <v/>
      </c>
      <c r="C6" s="1">
        <f>'05_Canarias'!G9</f>
        <v/>
      </c>
      <c r="D6" s="2">
        <f>'05_Canarias'!B13</f>
        <v/>
      </c>
      <c r="E6" s="2">
        <f>'05_Canarias'!B12</f>
        <v/>
      </c>
    </row>
    <row r="7">
      <c r="A7" t="inlineStr">
        <is>
          <t>Cantabria</t>
        </is>
      </c>
      <c r="B7" s="1">
        <f>'06_Cantabria'!G6</f>
        <v/>
      </c>
      <c r="C7" s="1">
        <f>'06_Cantabria'!G9</f>
        <v/>
      </c>
      <c r="D7" s="2">
        <f>'06_Cantabria'!B13</f>
        <v/>
      </c>
      <c r="E7" s="2">
        <f>'06_Cantabria'!B12</f>
        <v/>
      </c>
    </row>
    <row r="8">
      <c r="A8" t="inlineStr">
        <is>
          <t>Castilla y León</t>
        </is>
      </c>
      <c r="B8" s="1">
        <f>'07_Castilla_y_Leon'!G6</f>
        <v/>
      </c>
      <c r="C8" s="1">
        <f>'07_Castilla_y_Leon'!G9</f>
        <v/>
      </c>
      <c r="D8" s="2">
        <f>'07_Castilla_y_Leon'!B13</f>
        <v/>
      </c>
      <c r="E8" s="2">
        <f>'07_Castilla_y_Leon'!B12</f>
        <v/>
      </c>
    </row>
    <row r="9">
      <c r="A9" t="inlineStr">
        <is>
          <t>Castilla-La Mancha</t>
        </is>
      </c>
      <c r="B9" s="1">
        <f>'08_Castilla_La_Mancha'!G6</f>
        <v/>
      </c>
      <c r="C9" s="1">
        <f>'08_Castilla_La_Mancha'!G9</f>
        <v/>
      </c>
      <c r="D9" s="2">
        <f>'08_Castilla_La_Mancha'!B13</f>
        <v/>
      </c>
      <c r="E9" s="2">
        <f>'08_Castilla_La_Mancha'!B12</f>
        <v/>
      </c>
    </row>
    <row r="10">
      <c r="A10" t="inlineStr">
        <is>
          <t>Cataluña</t>
        </is>
      </c>
      <c r="B10" s="1">
        <f>'09_Cataluna'!G6</f>
        <v/>
      </c>
      <c r="C10" s="1">
        <f>'09_Cataluna'!G9</f>
        <v/>
      </c>
      <c r="D10" s="2">
        <f>'09_Cataluna'!B13</f>
        <v/>
      </c>
      <c r="E10" s="2">
        <f>'09_Cataluna'!B12</f>
        <v/>
      </c>
    </row>
    <row r="11">
      <c r="A11" t="inlineStr">
        <is>
          <t>Comunitat Valenciana</t>
        </is>
      </c>
      <c r="B11" s="1">
        <f>'10_Comunitat_Valenciana'!G6</f>
        <v/>
      </c>
      <c r="C11" s="1">
        <f>'10_Comunitat_Valenciana'!G9</f>
        <v/>
      </c>
      <c r="D11" s="2">
        <f>'10_Comunitat_Valenciana'!B13</f>
        <v/>
      </c>
      <c r="E11" s="2">
        <f>'10_Comunitat_Valenciana'!B12</f>
        <v/>
      </c>
    </row>
    <row r="12">
      <c r="A12" t="inlineStr">
        <is>
          <t>Extremadura</t>
        </is>
      </c>
      <c r="B12" s="1">
        <f>'11_Extremadura'!G6</f>
        <v/>
      </c>
      <c r="C12" s="1">
        <f>'11_Extremadura'!G9</f>
        <v/>
      </c>
      <c r="D12" s="2">
        <f>'11_Extremadura'!B13</f>
        <v/>
      </c>
      <c r="E12" s="2">
        <f>'11_Extremadura'!B12</f>
        <v/>
      </c>
    </row>
    <row r="13">
      <c r="A13" t="inlineStr">
        <is>
          <t>Galicia</t>
        </is>
      </c>
      <c r="B13" s="1">
        <f>'12_Galicia'!G6</f>
        <v/>
      </c>
      <c r="C13" s="1">
        <f>'12_Galicia'!G9</f>
        <v/>
      </c>
      <c r="D13" s="2">
        <f>'12_Galicia'!B13</f>
        <v/>
      </c>
      <c r="E13" s="2">
        <f>'12_Galicia'!B12</f>
        <v/>
      </c>
    </row>
    <row r="14">
      <c r="A14" t="inlineStr">
        <is>
          <t>Comunidad de Madrid</t>
        </is>
      </c>
      <c r="B14" s="1">
        <f>'13_Comunidad_de_Madrid'!G6</f>
        <v/>
      </c>
      <c r="C14" s="1">
        <f>'13_Comunidad_de_Madrid'!G9</f>
        <v/>
      </c>
      <c r="D14" s="2">
        <f>'13_Comunidad_de_Madrid'!B13</f>
        <v/>
      </c>
      <c r="E14" s="2">
        <f>'13_Comunidad_de_Madrid'!B12</f>
        <v/>
      </c>
    </row>
    <row r="15">
      <c r="A15" t="inlineStr">
        <is>
          <t>Región de Murcia</t>
        </is>
      </c>
      <c r="B15" s="1">
        <f>'14_Region_de_Murcia'!G6</f>
        <v/>
      </c>
      <c r="C15" s="1">
        <f>'14_Region_de_Murcia'!G9</f>
        <v/>
      </c>
      <c r="D15" s="2">
        <f>'14_Region_de_Murcia'!B13</f>
        <v/>
      </c>
      <c r="E15" s="2">
        <f>'14_Region_de_Murcia'!B12</f>
        <v/>
      </c>
    </row>
    <row r="16">
      <c r="A16" t="inlineStr">
        <is>
          <t>Comunidad Foral de Navarra</t>
        </is>
      </c>
      <c r="B16" s="1">
        <f>'15_Comunidad_Foral_de_Navarra'!G6</f>
        <v/>
      </c>
      <c r="C16" s="1">
        <f>'15_Comunidad_Foral_de_Navarra'!G9</f>
        <v/>
      </c>
      <c r="D16" s="2">
        <f>'15_Comunidad_Foral_de_Navarra'!B13</f>
        <v/>
      </c>
      <c r="E16" s="2">
        <f>'15_Comunidad_Foral_de_Navarra'!B12</f>
        <v/>
      </c>
    </row>
    <row r="17">
      <c r="A17" t="inlineStr">
        <is>
          <t>País Vasco</t>
        </is>
      </c>
      <c r="B17" s="1">
        <f>'16_Pais_Vasco'!G6</f>
        <v/>
      </c>
      <c r="C17" s="1">
        <f>'16_Pais_Vasco'!G9</f>
        <v/>
      </c>
      <c r="D17" s="2">
        <f>'16_Pais_Vasco'!B13</f>
        <v/>
      </c>
      <c r="E17" s="2">
        <f>'16_Pais_Vasco'!B12</f>
        <v/>
      </c>
    </row>
    <row r="18">
      <c r="A18" t="inlineStr">
        <is>
          <t>La Rioja</t>
        </is>
      </c>
      <c r="B18" s="1">
        <f>'17_La_Rioja'!G6</f>
        <v/>
      </c>
      <c r="C18" s="1">
        <f>'17_La_Rioja'!G9</f>
        <v/>
      </c>
      <c r="D18" s="2">
        <f>'17_La_Rioja'!B13</f>
        <v/>
      </c>
      <c r="E18" s="2">
        <f>'17_La_Rioja'!B12</f>
        <v/>
      </c>
    </row>
    <row r="19">
      <c r="A19" t="inlineStr">
        <is>
          <t>Media simple de las 17 CCAA</t>
        </is>
      </c>
      <c r="B19" s="3">
        <f>AVERAGE(B2:B18)</f>
        <v/>
      </c>
      <c r="C19" s="3">
        <f>AVERAGE(C2:C18)</f>
        <v/>
      </c>
    </row>
    <row r="21">
      <c r="A21" t="inlineStr">
        <is>
          <t>Enlaces en verde a cada hoja; la media es un cálculo de esta hoja. Fuente de las series: panel_ccaa_q_v7.csv (INE). informativo, muestra ya vista en 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Andalucía (01):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53.316</v>
      </c>
      <c r="E4" s="4" t="inlineStr">
        <is>
          <t>2019Q4</t>
        </is>
      </c>
      <c r="F4" s="4" t="n">
        <v>66.17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66.66500000000001</v>
      </c>
      <c r="E5" s="4" t="inlineStr">
        <is>
          <t>2022Q2</t>
        </is>
      </c>
      <c r="F5" s="4" t="n">
        <v>76.202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77.432</v>
      </c>
      <c r="E6" s="4" t="inlineStr">
        <is>
          <t>2026Q2</t>
        </is>
      </c>
      <c r="F6" s="4" t="n">
        <v>110.903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88.395</v>
      </c>
      <c r="E7" s="4" t="inlineStr">
        <is>
          <t>2019Q4</t>
        </is>
      </c>
      <c r="F7" s="4" t="n">
        <v>90.44199999999999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90.66033333333333</v>
      </c>
      <c r="E8" s="4" t="inlineStr">
        <is>
          <t>2022Q2</t>
        </is>
      </c>
      <c r="F8" s="4" t="n">
        <v>92.44766666666668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92.86066666666666</v>
      </c>
      <c r="E9" s="4" t="inlineStr">
        <is>
          <t>2026Q2</t>
        </is>
      </c>
      <c r="F9" s="4" t="n">
        <v>102.2843333333333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0.4049361561848932</v>
      </c>
      <c r="D12" s="4" t="n">
        <v>0.4002916942114357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2.86332091782596</v>
      </c>
      <c r="D13" s="4" t="n">
        <v>2.701766246589297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0.0170871658705488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-0.0338160709907153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-0.0083091967811709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-0.0527443942250125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Aragón (02):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57.002</v>
      </c>
      <c r="E4" s="4" t="inlineStr">
        <is>
          <t>2019Q4</t>
        </is>
      </c>
      <c r="F4" s="4" t="n">
        <v>68.59399999999999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68.85599999999999</v>
      </c>
      <c r="E5" s="4" t="inlineStr">
        <is>
          <t>2022Q2</t>
        </is>
      </c>
      <c r="F5" s="4" t="n">
        <v>76.634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77.47</v>
      </c>
      <c r="E6" s="4" t="inlineStr">
        <is>
          <t>2026Q2</t>
        </is>
      </c>
      <c r="F6" s="4" t="n">
        <v>113.472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88.85366666666668</v>
      </c>
      <c r="E7" s="4" t="inlineStr">
        <is>
          <t>2019Q4</t>
        </is>
      </c>
      <c r="F7" s="4" t="n">
        <v>90.84733333333334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91.211</v>
      </c>
      <c r="E8" s="4" t="inlineStr">
        <is>
          <t>2022Q2</t>
        </is>
      </c>
      <c r="F8" s="4" t="n">
        <v>93.29966666666668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93.64866666666668</v>
      </c>
      <c r="E9" s="4" t="inlineStr">
        <is>
          <t>2026Q2</t>
        </is>
      </c>
      <c r="F9" s="4" t="n">
        <v>102.4396666666667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0.3902827984793033</v>
      </c>
      <c r="D12" s="4" t="n">
        <v>0.3579185548365771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2.79533311968818</v>
      </c>
      <c r="D13" s="4" t="n">
        <v>2.563374728919602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-0.1042631779068696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-0.1342883477996762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-0.210795446327912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-0.070111098405348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Asturias (03):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60.686</v>
      </c>
      <c r="E4" s="4" t="inlineStr">
        <is>
          <t>2019Q4</t>
        </is>
      </c>
      <c r="F4" s="4" t="n">
        <v>70.069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70.43000000000001</v>
      </c>
      <c r="E5" s="4" t="inlineStr">
        <is>
          <t>2022Q2</t>
        </is>
      </c>
      <c r="F5" s="4" t="n">
        <v>79.104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79.578</v>
      </c>
      <c r="E6" s="4" t="inlineStr">
        <is>
          <t>2026Q2</t>
        </is>
      </c>
      <c r="F6" s="4" t="n">
        <v>114.014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91.28766666666668</v>
      </c>
      <c r="E7" s="4" t="inlineStr">
        <is>
          <t>2019Q4</t>
        </is>
      </c>
      <c r="F7" s="4" t="n">
        <v>93.312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93.36199999999999</v>
      </c>
      <c r="E8" s="4" t="inlineStr">
        <is>
          <t>2022Q2</t>
        </is>
      </c>
      <c r="F8" s="4" t="n">
        <v>94.873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95.29666666666668</v>
      </c>
      <c r="E9" s="4" t="inlineStr">
        <is>
          <t>2026Q2</t>
        </is>
      </c>
      <c r="F9" s="4" t="n">
        <v>102.7386666666667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0.3682288189551858</v>
      </c>
      <c r="D12" s="4" t="n">
        <v>0.3408157284482995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2.594365309605113</v>
      </c>
      <c r="D13" s="4" t="n">
        <v>2.319448393533563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0.0222979028079452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-0.0133875667228832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-0.2348128953120576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-0.0794689239011694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Illes Balears (04):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47.581</v>
      </c>
      <c r="E4" s="4" t="inlineStr">
        <is>
          <t>2019Q4</t>
        </is>
      </c>
      <c r="F4" s="4" t="n">
        <v>68.23399999999999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69.048</v>
      </c>
      <c r="E5" s="4" t="inlineStr">
        <is>
          <t>2022Q2</t>
        </is>
      </c>
      <c r="F5" s="4" t="n">
        <v>80.51300000000001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82.05800000000001</v>
      </c>
      <c r="E6" s="4" t="inlineStr">
        <is>
          <t>2026Q2</t>
        </is>
      </c>
      <c r="F6" s="4" t="n">
        <v>112.048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84.62033333333333</v>
      </c>
      <c r="E7" s="4" t="inlineStr">
        <is>
          <t>2019Q4</t>
        </is>
      </c>
      <c r="F7" s="4" t="n">
        <v>90.03033333333333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90.331</v>
      </c>
      <c r="E8" s="4" t="inlineStr">
        <is>
          <t>2022Q2</t>
        </is>
      </c>
      <c r="F8" s="4" t="n">
        <v>92.05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92.34766666666668</v>
      </c>
      <c r="E9" s="4" t="inlineStr">
        <is>
          <t>2026Q2</t>
        </is>
      </c>
      <c r="F9" s="4" t="n">
        <v>103.0446666666667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mixto</t>
        </is>
      </c>
      <c r="C12" s="4" t="n">
        <v>0.6841423562881249</v>
      </c>
      <c r="D12" s="4" t="n">
        <v>0.6791027367751094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3.047260507200208</v>
      </c>
      <c r="D13" s="4" t="n">
        <v>3.057984117320038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-0.0869638309267816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0.0112188262776662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-0.0117780418538956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-0.0167242458449985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Canarias (05):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54.539</v>
      </c>
      <c r="E4" s="4" t="inlineStr">
        <is>
          <t>2019Q4</t>
        </is>
      </c>
      <c r="F4" s="4" t="n">
        <v>67.81100000000001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68.19199999999999</v>
      </c>
      <c r="E5" s="4" t="inlineStr">
        <is>
          <t>2022Q2</t>
        </is>
      </c>
      <c r="F5" s="4" t="n">
        <v>78.53400000000001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79.32299999999999</v>
      </c>
      <c r="E6" s="4" t="inlineStr">
        <is>
          <t>2026Q2</t>
        </is>
      </c>
      <c r="F6" s="4" t="n">
        <v>110.44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88.58600000000001</v>
      </c>
      <c r="E7" s="4" t="inlineStr">
        <is>
          <t>2019Q4</t>
        </is>
      </c>
      <c r="F7" s="4" t="n">
        <v>91.05666666666669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91.512</v>
      </c>
      <c r="E8" s="4" t="inlineStr">
        <is>
          <t>2022Q2</t>
        </is>
      </c>
      <c r="F8" s="4" t="n">
        <v>93.12366666666668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93.62866666666666</v>
      </c>
      <c r="E9" s="4" t="inlineStr">
        <is>
          <t>2026Q2</t>
        </is>
      </c>
      <c r="F9" s="4" t="n">
        <v>101.8673333333333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0.410925439613891</v>
      </c>
      <c r="D12" s="4" t="n">
        <v>0.418131639210462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2.645718321865529</v>
      </c>
      <c r="D13" s="4" t="n">
        <v>2.561271599062224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-0.1402128819418662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-0.1052045252616858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-0.3175240548992504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-0.1016999089387779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Cantabria (06):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55.077</v>
      </c>
      <c r="E4" s="4" t="inlineStr">
        <is>
          <t>2019Q4</t>
        </is>
      </c>
      <c r="F4" s="4" t="n">
        <v>66.941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67.06</v>
      </c>
      <c r="E5" s="4" t="inlineStr">
        <is>
          <t>2022Q2</t>
        </is>
      </c>
      <c r="F5" s="4" t="n">
        <v>77.797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79.005</v>
      </c>
      <c r="E6" s="4" t="inlineStr">
        <is>
          <t>2026Q2</t>
        </is>
      </c>
      <c r="F6" s="4" t="n">
        <v>111.313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90.617</v>
      </c>
      <c r="E7" s="4" t="inlineStr">
        <is>
          <t>2019Q4</t>
        </is>
      </c>
      <c r="F7" s="4" t="n">
        <v>92.122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92.32633333333337</v>
      </c>
      <c r="E8" s="4" t="inlineStr">
        <is>
          <t>2022Q2</t>
        </is>
      </c>
      <c r="F8" s="4" t="n">
        <v>93.68266666666666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93.98366666666668</v>
      </c>
      <c r="E9" s="4" t="inlineStr">
        <is>
          <t>2026Q2</t>
        </is>
      </c>
      <c r="F9" s="4" t="n">
        <v>102.542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0.4513450006847412</v>
      </c>
      <c r="D12" s="4" t="n">
        <v>0.4278965229353983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2.877828475315988</v>
      </c>
      <c r="D13" s="4" t="n">
        <v>2.640344555993042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-0.09910721582887259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-0.1243163527791631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-0.0895501959108834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-0.1491074650219419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Castilla y León (07):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61.37</v>
      </c>
      <c r="E4" s="4" t="inlineStr">
        <is>
          <t>2019Q4</t>
        </is>
      </c>
      <c r="F4" s="4" t="n">
        <v>71.386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70.949</v>
      </c>
      <c r="E5" s="4" t="inlineStr">
        <is>
          <t>2022Q2</t>
        </is>
      </c>
      <c r="F5" s="4" t="n">
        <v>79.20999999999999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80.393</v>
      </c>
      <c r="E6" s="4" t="inlineStr">
        <is>
          <t>2026Q2</t>
        </is>
      </c>
      <c r="F6" s="4" t="n">
        <v>113.551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90.98066666666666</v>
      </c>
      <c r="E7" s="4" t="inlineStr">
        <is>
          <t>2019Q4</t>
        </is>
      </c>
      <c r="F7" s="4" t="n">
        <v>92.10366666666668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92.251</v>
      </c>
      <c r="E8" s="4" t="inlineStr">
        <is>
          <t>2022Q2</t>
        </is>
      </c>
      <c r="F8" s="4" t="n">
        <v>94.10899999999999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94.52133333333336</v>
      </c>
      <c r="E9" s="4" t="inlineStr">
        <is>
          <t>2026Q2</t>
        </is>
      </c>
      <c r="F9" s="4" t="n">
        <v>102.1786666666667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0.3366540470131644</v>
      </c>
      <c r="D12" s="4" t="n">
        <v>0.346047111164072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2.65398471683829</v>
      </c>
      <c r="D13" s="4" t="n">
        <v>2.321073676562028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-0.006731332149437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-0.0288796977444589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-0.3681645615773617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-0.1740821576159813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Castilla-La Mancha (08):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67.831</v>
      </c>
      <c r="E4" s="4" t="inlineStr">
        <is>
          <t>2019Q4</t>
        </is>
      </c>
      <c r="F4" s="4" t="n">
        <v>75.798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75.411</v>
      </c>
      <c r="E5" s="4" t="inlineStr">
        <is>
          <t>2022Q2</t>
        </is>
      </c>
      <c r="F5" s="4" t="n">
        <v>83.044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84.289</v>
      </c>
      <c r="E6" s="4" t="inlineStr">
        <is>
          <t>2026Q2</t>
        </is>
      </c>
      <c r="F6" s="4" t="n">
        <v>110.864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90.96666666666664</v>
      </c>
      <c r="E7" s="4" t="inlineStr">
        <is>
          <t>2019Q4</t>
        </is>
      </c>
      <c r="F7" s="4" t="n">
        <v>91.35433333333332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91.47766666666666</v>
      </c>
      <c r="E8" s="4" t="inlineStr">
        <is>
          <t>2022Q2</t>
        </is>
      </c>
      <c r="F8" s="4" t="n">
        <v>93.03566666666666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93.56166666666668</v>
      </c>
      <c r="E9" s="4" t="inlineStr">
        <is>
          <t>2026Q2</t>
        </is>
      </c>
      <c r="F9" s="4" t="n">
        <v>102.4056666666667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0.4097204768598452</v>
      </c>
      <c r="D12" s="4" t="n">
        <v>0.3507272266538239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pmg</t>
        </is>
      </c>
      <c r="C13" s="4" t="n">
        <v>2.214657627219555</v>
      </c>
      <c r="D13" s="4" t="n">
        <v>2.34149974644895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-0.1319593126560672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-0.0206971104627421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-0.0447166086748977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0.0059901407608145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Cataluña (09):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49.99</v>
      </c>
      <c r="E4" s="4" t="inlineStr">
        <is>
          <t>2019Q4</t>
        </is>
      </c>
      <c r="F4" s="4" t="n">
        <v>71.98099999999999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72.464</v>
      </c>
      <c r="E5" s="4" t="inlineStr">
        <is>
          <t>2022Q2</t>
        </is>
      </c>
      <c r="F5" s="4" t="n">
        <v>80.61199999999999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82.337</v>
      </c>
      <c r="E6" s="4" t="inlineStr">
        <is>
          <t>2026Q2</t>
        </is>
      </c>
      <c r="F6" s="4" t="n">
        <v>109.046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88.66699999999999</v>
      </c>
      <c r="E7" s="4" t="inlineStr">
        <is>
          <t>2019Q4</t>
        </is>
      </c>
      <c r="F7" s="4" t="n">
        <v>92.48666666666666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92.77500000000001</v>
      </c>
      <c r="E8" s="4" t="inlineStr">
        <is>
          <t>2022Q2</t>
        </is>
      </c>
      <c r="F8" s="4" t="n">
        <v>95.087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95.44166666666666</v>
      </c>
      <c r="E9" s="4" t="inlineStr">
        <is>
          <t>2026Q2</t>
        </is>
      </c>
      <c r="F9" s="4" t="n">
        <v>101.7026666666667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pmg</t>
        </is>
      </c>
      <c r="C12" s="4" t="n">
        <v>0.2917160969938244</v>
      </c>
      <c r="D12" s="4" t="n">
        <v>0.2763973225963654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2.542117327407625</v>
      </c>
      <c r="D13" s="4" t="n">
        <v>2.840682844198493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0.0088063471525702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0.0117540092018135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-0.1108375152162731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-0.06060043712686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Comunitat Valenciana (10):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57.024</v>
      </c>
      <c r="E4" s="4" t="inlineStr">
        <is>
          <t>2019Q4</t>
        </is>
      </c>
      <c r="F4" s="4" t="n">
        <v>69.038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69.334</v>
      </c>
      <c r="E5" s="4" t="inlineStr">
        <is>
          <t>2022Q2</t>
        </is>
      </c>
      <c r="F5" s="4" t="n">
        <v>78.108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78.892</v>
      </c>
      <c r="E6" s="4" t="inlineStr">
        <is>
          <t>2026Q2</t>
        </is>
      </c>
      <c r="F6" s="4" t="n">
        <v>111.696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85.949</v>
      </c>
      <c r="E7" s="4" t="inlineStr">
        <is>
          <t>2019Q4</t>
        </is>
      </c>
      <c r="F7" s="4" t="n">
        <v>88.129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88.68400000000001</v>
      </c>
      <c r="E8" s="4" t="inlineStr">
        <is>
          <t>2022Q2</t>
        </is>
      </c>
      <c r="F8" s="4" t="n">
        <v>91.081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91.479</v>
      </c>
      <c r="E9" s="4" t="inlineStr">
        <is>
          <t>2026Q2</t>
        </is>
      </c>
      <c r="F9" s="4" t="n">
        <v>103.282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0.5652621109704927</v>
      </c>
      <c r="D12" s="4" t="n">
        <v>0.6584305841250925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pmg</t>
        </is>
      </c>
      <c r="C13" s="4" t="n">
        <v>2.196658719174869</v>
      </c>
      <c r="D13" s="4" t="n">
        <v>2.369914436022933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-0.1470290395605776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0.0191370065728188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-0.188179653637761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-0.1725986001982252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Extremadura (11):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70.205</v>
      </c>
      <c r="E4" s="4" t="inlineStr">
        <is>
          <t>2019Q4</t>
        </is>
      </c>
      <c r="F4" s="4" t="n">
        <v>75.627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75.048</v>
      </c>
      <c r="E5" s="4" t="inlineStr">
        <is>
          <t>2022Q2</t>
        </is>
      </c>
      <c r="F5" s="4" t="n">
        <v>81.92100000000001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83.021</v>
      </c>
      <c r="E6" s="4" t="inlineStr">
        <is>
          <t>2026Q2</t>
        </is>
      </c>
      <c r="F6" s="4" t="n">
        <v>111.963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92.33466666666668</v>
      </c>
      <c r="E7" s="4" t="inlineStr">
        <is>
          <t>2019Q4</t>
        </is>
      </c>
      <c r="F7" s="4" t="n">
        <v>92.05366666666669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92.27433333333332</v>
      </c>
      <c r="E8" s="4" t="inlineStr">
        <is>
          <t>2022Q2</t>
        </is>
      </c>
      <c r="F8" s="4" t="n">
        <v>93.95666666666666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94.262</v>
      </c>
      <c r="E9" s="4" t="inlineStr">
        <is>
          <t>2026Q2</t>
        </is>
      </c>
      <c r="F9" s="4" t="n">
        <v>101.6646666666667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ecm_v1</t>
        </is>
      </c>
      <c r="C12" s="4" t="n">
        <v>0.4971994928455645</v>
      </c>
      <c r="D12" s="4" t="n">
        <v>0.4959062936642814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2.69152495231944</v>
      </c>
      <c r="D13" s="4" t="n">
        <v>2.65205688953769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-0.0441344151377077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-0.0044112886587659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-0.1562893671440091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-0.0013138872242984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Galicia (12):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60.862</v>
      </c>
      <c r="E4" s="4" t="inlineStr">
        <is>
          <t>2019Q4</t>
        </is>
      </c>
      <c r="F4" s="4" t="n">
        <v>70.736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70.67400000000001</v>
      </c>
      <c r="E5" s="4" t="inlineStr">
        <is>
          <t>2022Q2</t>
        </is>
      </c>
      <c r="F5" s="4" t="n">
        <v>79.813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80.336</v>
      </c>
      <c r="E6" s="4" t="inlineStr">
        <is>
          <t>2026Q2</t>
        </is>
      </c>
      <c r="F6" s="4" t="n">
        <v>111.825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88.70066666666666</v>
      </c>
      <c r="E7" s="4" t="inlineStr">
        <is>
          <t>2019Q4</t>
        </is>
      </c>
      <c r="F7" s="4" t="n">
        <v>91.50466666666668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91.73333333333332</v>
      </c>
      <c r="E8" s="4" t="inlineStr">
        <is>
          <t>2022Q2</t>
        </is>
      </c>
      <c r="F8" s="4" t="n">
        <v>93.88233333333334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94.372</v>
      </c>
      <c r="E9" s="4" t="inlineStr">
        <is>
          <t>2026Q2</t>
        </is>
      </c>
      <c r="F9" s="4" t="n">
        <v>102.4783333333333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0.4344600425079787</v>
      </c>
      <c r="D12" s="4" t="n">
        <v>0.4211144789012432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2.489929317082952</v>
      </c>
      <c r="D13" s="4" t="n">
        <v>2.272132106622191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0.013768774634992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0.030546116881294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-0.2192275872109574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-0.1725386864300619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Comunidad de Madrid (13):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46.897</v>
      </c>
      <c r="E4" s="4" t="inlineStr">
        <is>
          <t>2019Q4</t>
        </is>
      </c>
      <c r="F4" s="4" t="n">
        <v>70.425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72.18000000000001</v>
      </c>
      <c r="E5" s="4" t="inlineStr">
        <is>
          <t>2022Q2</t>
        </is>
      </c>
      <c r="F5" s="4" t="n">
        <v>78.44199999999999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80.22799999999999</v>
      </c>
      <c r="E6" s="4" t="inlineStr">
        <is>
          <t>2026Q2</t>
        </is>
      </c>
      <c r="F6" s="4" t="n">
        <v>111.85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88.16466666666668</v>
      </c>
      <c r="E7" s="4" t="inlineStr">
        <is>
          <t>2019Q4</t>
        </is>
      </c>
      <c r="F7" s="4" t="n">
        <v>90.65000000000001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91.02</v>
      </c>
      <c r="E8" s="4" t="inlineStr">
        <is>
          <t>2022Q2</t>
        </is>
      </c>
      <c r="F8" s="4" t="n">
        <v>92.37533333333332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92.74433333333332</v>
      </c>
      <c r="E9" s="4" t="inlineStr">
        <is>
          <t>2026Q2</t>
        </is>
      </c>
      <c r="F9" s="4" t="n">
        <v>102.546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0.5363393554669238</v>
      </c>
      <c r="D12" s="4" t="n">
        <v>0.6121497788329902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3.059809176520801</v>
      </c>
      <c r="D13" s="4" t="n">
        <v>3.281037376816712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0.0527147144149626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-0.0159224546699638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-0.0804293874450589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-0.0876023345393112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Región de Murcia (14):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58.678</v>
      </c>
      <c r="E4" s="4" t="inlineStr">
        <is>
          <t>2019Q4</t>
        </is>
      </c>
      <c r="F4" s="4" t="n">
        <v>68.452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68.351</v>
      </c>
      <c r="E5" s="4" t="inlineStr">
        <is>
          <t>2022Q2</t>
        </is>
      </c>
      <c r="F5" s="4" t="n">
        <v>79.256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79.708</v>
      </c>
      <c r="E6" s="4" t="inlineStr">
        <is>
          <t>2026Q2</t>
        </is>
      </c>
      <c r="F6" s="4" t="n">
        <v>113.192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93.47433333333332</v>
      </c>
      <c r="E7" s="4" t="inlineStr">
        <is>
          <t>2019Q4</t>
        </is>
      </c>
      <c r="F7" s="4" t="n">
        <v>93.74666666666668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94.17133333333334</v>
      </c>
      <c r="E8" s="4" t="inlineStr">
        <is>
          <t>2022Q2</t>
        </is>
      </c>
      <c r="F8" s="4" t="n">
        <v>95.82333333333332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96.04166666666669</v>
      </c>
      <c r="E9" s="4" t="inlineStr">
        <is>
          <t>2026Q2</t>
        </is>
      </c>
      <c r="F9" s="4" t="n">
        <v>103.0136666666667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0.446450671628332</v>
      </c>
      <c r="D12" s="4" t="n">
        <v>0.4325641913165504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pmg</t>
        </is>
      </c>
      <c r="C13" s="4" t="n">
        <v>2.916799206035904</v>
      </c>
      <c r="D13" s="4" t="n">
        <v>2.632510713977876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-0.041296369614765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-0.005676325160492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-0.06754085138224809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-0.071786330572409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Comunidad Foral de Navarra (15):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60.946</v>
      </c>
      <c r="E4" s="4" t="inlineStr">
        <is>
          <t>2019Q4</t>
        </is>
      </c>
      <c r="F4" s="4" t="n">
        <v>68.59999999999999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69.84</v>
      </c>
      <c r="E5" s="4" t="inlineStr">
        <is>
          <t>2022Q2</t>
        </is>
      </c>
      <c r="F5" s="4" t="n">
        <v>76.371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77.29900000000001</v>
      </c>
      <c r="E6" s="4" t="inlineStr">
        <is>
          <t>2026Q2</t>
        </is>
      </c>
      <c r="F6" s="4" t="n">
        <v>109.174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89.32566666666666</v>
      </c>
      <c r="E7" s="4" t="inlineStr">
        <is>
          <t>2019Q4</t>
        </is>
      </c>
      <c r="F7" s="4" t="n">
        <v>91.494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92.111</v>
      </c>
      <c r="E8" s="4" t="inlineStr">
        <is>
          <t>2022Q2</t>
        </is>
      </c>
      <c r="F8" s="4" t="n">
        <v>94.43000000000001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94.898</v>
      </c>
      <c r="E9" s="4" t="inlineStr">
        <is>
          <t>2026Q2</t>
        </is>
      </c>
      <c r="F9" s="4" t="n">
        <v>101.4776666666667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0.3677280096671786</v>
      </c>
      <c r="D12" s="4" t="n">
        <v>0.4207876299117717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2.638736497825011</v>
      </c>
      <c r="D13" s="4" t="n">
        <v>2.547686586552095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-0.032431382278141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-0.0390251502543165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-0.2714329846621804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-0.065336602761006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 Vasco (16):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59.814</v>
      </c>
      <c r="E4" s="4" t="inlineStr">
        <is>
          <t>2019Q4</t>
        </is>
      </c>
      <c r="F4" s="4" t="n">
        <v>71.28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73.235</v>
      </c>
      <c r="E5" s="4" t="inlineStr">
        <is>
          <t>2022Q2</t>
        </is>
      </c>
      <c r="F5" s="4" t="n">
        <v>79.161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80.889</v>
      </c>
      <c r="E6" s="4" t="inlineStr">
        <is>
          <t>2026Q2</t>
        </is>
      </c>
      <c r="F6" s="4" t="n">
        <v>109.329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91.983</v>
      </c>
      <c r="E7" s="4" t="inlineStr">
        <is>
          <t>2019Q4</t>
        </is>
      </c>
      <c r="F7" s="4" t="n">
        <v>92.65000000000001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92.82866666666666</v>
      </c>
      <c r="E8" s="4" t="inlineStr">
        <is>
          <t>2022Q2</t>
        </is>
      </c>
      <c r="F8" s="4" t="n">
        <v>95.169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95.49833333333332</v>
      </c>
      <c r="E9" s="4" t="inlineStr">
        <is>
          <t>2026Q2</t>
        </is>
      </c>
      <c r="F9" s="4" t="n">
        <v>101.2666666666667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mixto</t>
        </is>
      </c>
      <c r="C12" s="4" t="n">
        <v>0.3702769215675522</v>
      </c>
      <c r="D12" s="4" t="n">
        <v>0.3879984637661001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3.017784597606014</v>
      </c>
      <c r="D13" s="4" t="n">
        <v>2.53412222127585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0.0045177937410962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-0.0275427042307058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-0.272214375714163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-0.1340314001434812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 Rioja (17): informativo, muestra ya vista en v1; C4; asociación</t>
        </is>
      </c>
    </row>
    <row r="2"/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59.449</v>
      </c>
      <c r="E4" s="4" t="inlineStr">
        <is>
          <t>2019Q4</t>
        </is>
      </c>
      <c r="F4" s="4" t="n">
        <v>69.86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70.211</v>
      </c>
      <c r="E5" s="4" t="inlineStr">
        <is>
          <t>2022Q2</t>
        </is>
      </c>
      <c r="F5" s="4" t="n">
        <v>78.13200000000001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79.85599999999999</v>
      </c>
      <c r="E6" s="4" t="inlineStr">
        <is>
          <t>2026Q2</t>
        </is>
      </c>
      <c r="F6" s="4" t="n">
        <v>113.309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93.74166666666667</v>
      </c>
      <c r="E7" s="4" t="inlineStr">
        <is>
          <t>2019Q4</t>
        </is>
      </c>
      <c r="F7" s="4" t="n">
        <v>91.68866666666668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92.148</v>
      </c>
      <c r="E8" s="4" t="inlineStr">
        <is>
          <t>2022Q2</t>
        </is>
      </c>
      <c r="F8" s="4" t="n">
        <v>94.56699999999999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95.15000000000001</v>
      </c>
      <c r="E9" s="4" t="inlineStr">
        <is>
          <t>2026Q2</t>
        </is>
      </c>
      <c r="F9" s="4" t="n">
        <v>102.759</v>
      </c>
      <c r="G9" s="3">
        <f>F9/D9-1</f>
        <v/>
      </c>
      <c r="H9" t="inlineStr">
        <is>
          <t>panel_ccaa_q_v7.csv, INE, hasta 2026Q2</t>
        </is>
      </c>
    </row>
    <row r="10"/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0.4165425939519376</v>
      </c>
      <c r="D12" s="4" t="n">
        <v>0.3991333708070327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3.200099844154713</v>
      </c>
      <c r="D13" s="4" t="n">
        <v>2.488880492933792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4"/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-0.09922392408277871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-0.0136774938292982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-0.1785111402105758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-0.06643462997897651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2026-10-12T00:00:00Z</dcterms:modified>
</cp:coreProperties>
</file>